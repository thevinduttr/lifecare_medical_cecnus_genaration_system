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codeName="ThisWorkbook" defaultThemeVersion="124226"/>
  <mc:AlternateContent xmlns:mc="http://schemas.openxmlformats.org/markup-compatibility/2006">
    <mc:Choice Requires="x15">
      <x15ac:absPath xmlns:x15ac="http://schemas.microsoft.com/office/spreadsheetml/2010/11/ac" url="D:\Quotation\GIG_IIB\company_data\gig\templates\"/>
    </mc:Choice>
  </mc:AlternateContent>
  <xr:revisionPtr revIDLastSave="0" documentId="13_ncr:1_{4DB8B50C-6E92-4C33-B427-FDB524900693}" xr6:coauthVersionLast="47" xr6:coauthVersionMax="47" xr10:uidLastSave="{00000000-0000-0000-0000-000000000000}"/>
  <bookViews>
    <workbookView xWindow="-120" yWindow="-120" windowWidth="20730" windowHeight="11040" tabRatio="599" xr2:uid="{00000000-000D-0000-FFFF-FFFF00000000}"/>
  </bookViews>
  <sheets>
    <sheet name="Census" sheetId="2" r:id="rId1"/>
  </sheets>
  <definedNames>
    <definedName name="_xlnm._FilterDatabase" localSheetId="0" hidden="1">Census!$A$1:$X$201</definedName>
    <definedName name="inception_date">Census!$Z$2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16" i="2" l="1"/>
  <c r="Q215" i="2"/>
  <c r="Q214" i="2"/>
  <c r="Q213" i="2"/>
  <c r="Q212" i="2"/>
  <c r="Q211" i="2"/>
  <c r="Q210" i="2"/>
  <c r="Q209" i="2"/>
  <c r="I206" i="2"/>
  <c r="G206" i="2"/>
  <c r="E206" i="2"/>
  <c r="D206" i="2"/>
  <c r="C206" i="2"/>
  <c r="B206" i="2"/>
  <c r="AG201" i="2"/>
  <c r="AF201" i="2"/>
  <c r="W201" i="2" s="1"/>
  <c r="AE201" i="2"/>
  <c r="AD201" i="2"/>
  <c r="AC201" i="2"/>
  <c r="AB201" i="2"/>
  <c r="X201" i="2"/>
  <c r="T201" i="2"/>
  <c r="S201" i="2"/>
  <c r="Q201" i="2"/>
  <c r="P201" i="2"/>
  <c r="O201" i="2"/>
  <c r="K201" i="2"/>
  <c r="J201" i="2"/>
  <c r="AG200" i="2"/>
  <c r="AF200" i="2"/>
  <c r="W200" i="2" s="1"/>
  <c r="AE200" i="2"/>
  <c r="AD200" i="2"/>
  <c r="U200" i="2" s="1"/>
  <c r="AC200" i="2"/>
  <c r="AB200" i="2"/>
  <c r="V200" i="2"/>
  <c r="S200" i="2"/>
  <c r="Q200" i="2"/>
  <c r="P200" i="2"/>
  <c r="O200" i="2"/>
  <c r="K200" i="2"/>
  <c r="J200" i="2"/>
  <c r="AG199" i="2"/>
  <c r="X199" i="2" s="1"/>
  <c r="AF199" i="2"/>
  <c r="W199" i="2" s="1"/>
  <c r="AE199" i="2"/>
  <c r="AD199" i="2"/>
  <c r="AC199" i="2"/>
  <c r="T199" i="2" s="1"/>
  <c r="AB199" i="2"/>
  <c r="V199" i="2"/>
  <c r="U199" i="2"/>
  <c r="Q199" i="2"/>
  <c r="P199" i="2"/>
  <c r="O199" i="2"/>
  <c r="K199" i="2"/>
  <c r="J199" i="2"/>
  <c r="AG198" i="2"/>
  <c r="AF198" i="2"/>
  <c r="W198" i="2" s="1"/>
  <c r="AE198" i="2"/>
  <c r="AD198" i="2"/>
  <c r="AC198" i="2"/>
  <c r="AB198" i="2"/>
  <c r="X198" i="2"/>
  <c r="U198" i="2"/>
  <c r="T198" i="2"/>
  <c r="Q198" i="2"/>
  <c r="P198" i="2"/>
  <c r="O198" i="2"/>
  <c r="K198" i="2"/>
  <c r="J198" i="2"/>
  <c r="AG197" i="2"/>
  <c r="AF197" i="2"/>
  <c r="W197" i="2" s="1"/>
  <c r="AE197" i="2"/>
  <c r="AD197" i="2"/>
  <c r="U197" i="2" s="1"/>
  <c r="AC197" i="2"/>
  <c r="AB197" i="2"/>
  <c r="X197" i="2"/>
  <c r="T197" i="2"/>
  <c r="S197" i="2"/>
  <c r="Q197" i="2"/>
  <c r="P197" i="2"/>
  <c r="O197" i="2"/>
  <c r="K197" i="2"/>
  <c r="J197" i="2"/>
  <c r="AG196" i="2"/>
  <c r="AF196" i="2"/>
  <c r="W196" i="2" s="1"/>
  <c r="AE196" i="2"/>
  <c r="AD196" i="2"/>
  <c r="U196" i="2" s="1"/>
  <c r="AC196" i="2"/>
  <c r="AB196" i="2"/>
  <c r="V196" i="2"/>
  <c r="S196" i="2"/>
  <c r="Q196" i="2"/>
  <c r="P196" i="2"/>
  <c r="O196" i="2"/>
  <c r="K196" i="2"/>
  <c r="J196" i="2"/>
  <c r="AG195" i="2"/>
  <c r="X195" i="2" s="1"/>
  <c r="AF195" i="2"/>
  <c r="W195" i="2" s="1"/>
  <c r="AE195" i="2"/>
  <c r="AD195" i="2"/>
  <c r="AC195" i="2"/>
  <c r="T195" i="2" s="1"/>
  <c r="AB195" i="2"/>
  <c r="V195" i="2"/>
  <c r="U195" i="2"/>
  <c r="Q195" i="2"/>
  <c r="P195" i="2"/>
  <c r="O195" i="2"/>
  <c r="K195" i="2"/>
  <c r="J195" i="2"/>
  <c r="AG194" i="2"/>
  <c r="AF194" i="2"/>
  <c r="W194" i="2" s="1"/>
  <c r="AE194" i="2"/>
  <c r="AD194" i="2"/>
  <c r="AC194" i="2"/>
  <c r="AB194" i="2"/>
  <c r="X194" i="2"/>
  <c r="U194" i="2"/>
  <c r="T194" i="2"/>
  <c r="Q194" i="2"/>
  <c r="P194" i="2"/>
  <c r="O194" i="2"/>
  <c r="K194" i="2"/>
  <c r="J194" i="2"/>
  <c r="AG193" i="2"/>
  <c r="AF193" i="2"/>
  <c r="W193" i="2" s="1"/>
  <c r="AE193" i="2"/>
  <c r="AD193" i="2"/>
  <c r="AC193" i="2"/>
  <c r="AB193" i="2"/>
  <c r="X193" i="2"/>
  <c r="T193" i="2"/>
  <c r="S193" i="2"/>
  <c r="Q193" i="2"/>
  <c r="P193" i="2"/>
  <c r="O193" i="2"/>
  <c r="K193" i="2"/>
  <c r="J193" i="2"/>
  <c r="AG192" i="2"/>
  <c r="AF192" i="2"/>
  <c r="W192" i="2" s="1"/>
  <c r="AE192" i="2"/>
  <c r="AD192" i="2"/>
  <c r="U192" i="2" s="1"/>
  <c r="AC192" i="2"/>
  <c r="AB192" i="2"/>
  <c r="V192" i="2"/>
  <c r="S192" i="2"/>
  <c r="Q192" i="2"/>
  <c r="P192" i="2"/>
  <c r="O192" i="2"/>
  <c r="K192" i="2"/>
  <c r="J192" i="2"/>
  <c r="AG191" i="2"/>
  <c r="X191" i="2" s="1"/>
  <c r="AF191" i="2"/>
  <c r="W191" i="2" s="1"/>
  <c r="AE191" i="2"/>
  <c r="AD191" i="2"/>
  <c r="AC191" i="2"/>
  <c r="T191" i="2" s="1"/>
  <c r="AB191" i="2"/>
  <c r="V191" i="2"/>
  <c r="U191" i="2"/>
  <c r="Q191" i="2"/>
  <c r="P191" i="2"/>
  <c r="O191" i="2"/>
  <c r="K191" i="2"/>
  <c r="J191" i="2"/>
  <c r="AG190" i="2"/>
  <c r="AF190" i="2"/>
  <c r="W190" i="2" s="1"/>
  <c r="AE190" i="2"/>
  <c r="AD190" i="2"/>
  <c r="AC190" i="2"/>
  <c r="AB190" i="2"/>
  <c r="X190" i="2"/>
  <c r="U190" i="2"/>
  <c r="T190" i="2"/>
  <c r="Q190" i="2"/>
  <c r="P190" i="2"/>
  <c r="O190" i="2"/>
  <c r="K190" i="2"/>
  <c r="J190" i="2"/>
  <c r="AG189" i="2"/>
  <c r="AF189" i="2"/>
  <c r="W189" i="2" s="1"/>
  <c r="AE189" i="2"/>
  <c r="AD189" i="2"/>
  <c r="U189" i="2" s="1"/>
  <c r="AC189" i="2"/>
  <c r="AB189" i="2"/>
  <c r="X189" i="2"/>
  <c r="T189" i="2"/>
  <c r="S189" i="2"/>
  <c r="Q189" i="2"/>
  <c r="P189" i="2"/>
  <c r="O189" i="2"/>
  <c r="K189" i="2"/>
  <c r="J189" i="2"/>
  <c r="AG188" i="2"/>
  <c r="AF188" i="2"/>
  <c r="W188" i="2" s="1"/>
  <c r="AE188" i="2"/>
  <c r="AD188" i="2"/>
  <c r="U188" i="2" s="1"/>
  <c r="AC188" i="2"/>
  <c r="AB188" i="2"/>
  <c r="V188" i="2"/>
  <c r="S188" i="2"/>
  <c r="Q188" i="2"/>
  <c r="P188" i="2"/>
  <c r="O188" i="2"/>
  <c r="K188" i="2"/>
  <c r="J188" i="2"/>
  <c r="AG187" i="2"/>
  <c r="X187" i="2" s="1"/>
  <c r="AF187" i="2"/>
  <c r="W187" i="2" s="1"/>
  <c r="AE187" i="2"/>
  <c r="AD187" i="2"/>
  <c r="AC187" i="2"/>
  <c r="T187" i="2" s="1"/>
  <c r="AB187" i="2"/>
  <c r="V187" i="2"/>
  <c r="U187" i="2"/>
  <c r="Q187" i="2"/>
  <c r="P187" i="2"/>
  <c r="O187" i="2"/>
  <c r="K187" i="2"/>
  <c r="J187" i="2"/>
  <c r="AG186" i="2"/>
  <c r="AF186" i="2"/>
  <c r="W186" i="2" s="1"/>
  <c r="AE186" i="2"/>
  <c r="AD186" i="2"/>
  <c r="AC186" i="2"/>
  <c r="AB186" i="2"/>
  <c r="X186" i="2"/>
  <c r="U186" i="2"/>
  <c r="T186" i="2"/>
  <c r="Q186" i="2"/>
  <c r="P186" i="2"/>
  <c r="O186" i="2"/>
  <c r="K186" i="2"/>
  <c r="J186" i="2"/>
  <c r="AG185" i="2"/>
  <c r="AF185" i="2"/>
  <c r="W185" i="2" s="1"/>
  <c r="AE185" i="2"/>
  <c r="AD185" i="2"/>
  <c r="AC185" i="2"/>
  <c r="AB185" i="2"/>
  <c r="X185" i="2"/>
  <c r="T185" i="2"/>
  <c r="S185" i="2"/>
  <c r="Q185" i="2"/>
  <c r="P185" i="2"/>
  <c r="O185" i="2"/>
  <c r="K185" i="2"/>
  <c r="J185" i="2"/>
  <c r="AG184" i="2"/>
  <c r="AF184" i="2"/>
  <c r="W184" i="2" s="1"/>
  <c r="AE184" i="2"/>
  <c r="AD184" i="2"/>
  <c r="U184" i="2" s="1"/>
  <c r="AC184" i="2"/>
  <c r="AB184" i="2"/>
  <c r="V184" i="2"/>
  <c r="S184" i="2"/>
  <c r="Q184" i="2"/>
  <c r="P184" i="2"/>
  <c r="O184" i="2"/>
  <c r="K184" i="2"/>
  <c r="J184" i="2"/>
  <c r="AG183" i="2"/>
  <c r="X183" i="2" s="1"/>
  <c r="AF183" i="2"/>
  <c r="W183" i="2" s="1"/>
  <c r="AE183" i="2"/>
  <c r="AD183" i="2"/>
  <c r="AC183" i="2"/>
  <c r="T183" i="2" s="1"/>
  <c r="AB183" i="2"/>
  <c r="V183" i="2"/>
  <c r="U183" i="2"/>
  <c r="Q183" i="2"/>
  <c r="P183" i="2"/>
  <c r="O183" i="2"/>
  <c r="K183" i="2"/>
  <c r="J183" i="2"/>
  <c r="AG182" i="2"/>
  <c r="AF182" i="2"/>
  <c r="W182" i="2" s="1"/>
  <c r="AE182" i="2"/>
  <c r="AD182" i="2"/>
  <c r="AC182" i="2"/>
  <c r="AB182" i="2"/>
  <c r="X182" i="2"/>
  <c r="U182" i="2"/>
  <c r="T182" i="2"/>
  <c r="Q182" i="2"/>
  <c r="P182" i="2"/>
  <c r="O182" i="2"/>
  <c r="K182" i="2"/>
  <c r="J182" i="2"/>
  <c r="AG181" i="2"/>
  <c r="AF181" i="2"/>
  <c r="W181" i="2" s="1"/>
  <c r="AE181" i="2"/>
  <c r="AD181" i="2"/>
  <c r="AC181" i="2"/>
  <c r="AB181" i="2"/>
  <c r="X181" i="2"/>
  <c r="T181" i="2"/>
  <c r="S181" i="2"/>
  <c r="Q181" i="2"/>
  <c r="P181" i="2"/>
  <c r="O181" i="2"/>
  <c r="K181" i="2"/>
  <c r="J181" i="2"/>
  <c r="AG180" i="2"/>
  <c r="AF180" i="2"/>
  <c r="W180" i="2" s="1"/>
  <c r="AE180" i="2"/>
  <c r="AD180" i="2"/>
  <c r="U180" i="2" s="1"/>
  <c r="AC180" i="2"/>
  <c r="AB180" i="2"/>
  <c r="V180" i="2"/>
  <c r="S180" i="2"/>
  <c r="Q180" i="2"/>
  <c r="P180" i="2"/>
  <c r="O180" i="2"/>
  <c r="K180" i="2"/>
  <c r="J180" i="2"/>
  <c r="AG179" i="2"/>
  <c r="X179" i="2" s="1"/>
  <c r="AF179" i="2"/>
  <c r="W179" i="2" s="1"/>
  <c r="AE179" i="2"/>
  <c r="AD179" i="2"/>
  <c r="AC179" i="2"/>
  <c r="T179" i="2" s="1"/>
  <c r="AB179" i="2"/>
  <c r="V179" i="2"/>
  <c r="U179" i="2"/>
  <c r="Q179" i="2"/>
  <c r="P179" i="2"/>
  <c r="O179" i="2"/>
  <c r="K179" i="2"/>
  <c r="J179" i="2"/>
  <c r="AG178" i="2"/>
  <c r="AF178" i="2"/>
  <c r="W178" i="2" s="1"/>
  <c r="AE178" i="2"/>
  <c r="AD178" i="2"/>
  <c r="AC178" i="2"/>
  <c r="AB178" i="2"/>
  <c r="X178" i="2"/>
  <c r="U178" i="2"/>
  <c r="T178" i="2"/>
  <c r="Q178" i="2"/>
  <c r="P178" i="2"/>
  <c r="O178" i="2"/>
  <c r="K178" i="2"/>
  <c r="J178" i="2"/>
  <c r="AG177" i="2"/>
  <c r="AF177" i="2"/>
  <c r="W177" i="2" s="1"/>
  <c r="AE177" i="2"/>
  <c r="AD177" i="2"/>
  <c r="AC177" i="2"/>
  <c r="AB177" i="2"/>
  <c r="X177" i="2"/>
  <c r="T177" i="2"/>
  <c r="S177" i="2"/>
  <c r="Q177" i="2"/>
  <c r="P177" i="2"/>
  <c r="O177" i="2"/>
  <c r="K177" i="2"/>
  <c r="J177" i="2"/>
  <c r="AG176" i="2"/>
  <c r="AF176" i="2"/>
  <c r="W176" i="2" s="1"/>
  <c r="AE176" i="2"/>
  <c r="AD176" i="2"/>
  <c r="U176" i="2" s="1"/>
  <c r="AC176" i="2"/>
  <c r="AB176" i="2"/>
  <c r="V176" i="2"/>
  <c r="S176" i="2"/>
  <c r="Q176" i="2"/>
  <c r="P176" i="2"/>
  <c r="O176" i="2"/>
  <c r="K176" i="2"/>
  <c r="J176" i="2"/>
  <c r="AG175" i="2"/>
  <c r="X175" i="2" s="1"/>
  <c r="AF175" i="2"/>
  <c r="W175" i="2" s="1"/>
  <c r="AE175" i="2"/>
  <c r="AD175" i="2"/>
  <c r="AC175" i="2"/>
  <c r="T175" i="2" s="1"/>
  <c r="AB175" i="2"/>
  <c r="V175" i="2"/>
  <c r="U175" i="2"/>
  <c r="Q175" i="2"/>
  <c r="P175" i="2"/>
  <c r="O175" i="2"/>
  <c r="K175" i="2"/>
  <c r="J175" i="2"/>
  <c r="AG174" i="2"/>
  <c r="AF174" i="2"/>
  <c r="W174" i="2" s="1"/>
  <c r="AE174" i="2"/>
  <c r="AD174" i="2"/>
  <c r="AC174" i="2"/>
  <c r="AB174" i="2"/>
  <c r="X174" i="2"/>
  <c r="U174" i="2"/>
  <c r="T174" i="2"/>
  <c r="Q174" i="2"/>
  <c r="P174" i="2"/>
  <c r="O174" i="2"/>
  <c r="K174" i="2"/>
  <c r="J174" i="2"/>
  <c r="AG173" i="2"/>
  <c r="AF173" i="2"/>
  <c r="W173" i="2" s="1"/>
  <c r="AE173" i="2"/>
  <c r="AD173" i="2"/>
  <c r="AC173" i="2"/>
  <c r="AB173" i="2"/>
  <c r="X173" i="2"/>
  <c r="T173" i="2"/>
  <c r="S173" i="2"/>
  <c r="Q173" i="2"/>
  <c r="P173" i="2"/>
  <c r="O173" i="2"/>
  <c r="K173" i="2"/>
  <c r="J173" i="2"/>
  <c r="AG172" i="2"/>
  <c r="AF172" i="2"/>
  <c r="W172" i="2" s="1"/>
  <c r="AE172" i="2"/>
  <c r="AD172" i="2"/>
  <c r="U172" i="2" s="1"/>
  <c r="AC172" i="2"/>
  <c r="AB172" i="2"/>
  <c r="V172" i="2"/>
  <c r="S172" i="2"/>
  <c r="Q172" i="2"/>
  <c r="P172" i="2"/>
  <c r="O172" i="2"/>
  <c r="K172" i="2"/>
  <c r="J172" i="2"/>
  <c r="AG171" i="2"/>
  <c r="X171" i="2" s="1"/>
  <c r="AF171" i="2"/>
  <c r="W171" i="2" s="1"/>
  <c r="AE171" i="2"/>
  <c r="AD171" i="2"/>
  <c r="AC171" i="2"/>
  <c r="T171" i="2" s="1"/>
  <c r="AB171" i="2"/>
  <c r="V171" i="2"/>
  <c r="U171" i="2"/>
  <c r="Q171" i="2"/>
  <c r="P171" i="2"/>
  <c r="O171" i="2"/>
  <c r="K171" i="2"/>
  <c r="J171" i="2"/>
  <c r="AG170" i="2"/>
  <c r="AF170" i="2"/>
  <c r="W170" i="2" s="1"/>
  <c r="AE170" i="2"/>
  <c r="AD170" i="2"/>
  <c r="AC170" i="2"/>
  <c r="AB170" i="2"/>
  <c r="X170" i="2"/>
  <c r="U170" i="2"/>
  <c r="T170" i="2"/>
  <c r="Q170" i="2"/>
  <c r="P170" i="2"/>
  <c r="O170" i="2"/>
  <c r="K170" i="2"/>
  <c r="J170" i="2"/>
  <c r="AG169" i="2"/>
  <c r="AF169" i="2"/>
  <c r="W169" i="2" s="1"/>
  <c r="AE169" i="2"/>
  <c r="AD169" i="2"/>
  <c r="AC169" i="2"/>
  <c r="AB169" i="2"/>
  <c r="X169" i="2"/>
  <c r="T169" i="2"/>
  <c r="S169" i="2"/>
  <c r="Q169" i="2"/>
  <c r="P169" i="2"/>
  <c r="O169" i="2"/>
  <c r="K169" i="2"/>
  <c r="J169" i="2"/>
  <c r="AG168" i="2"/>
  <c r="AF168" i="2"/>
  <c r="W168" i="2" s="1"/>
  <c r="AE168" i="2"/>
  <c r="AD168" i="2"/>
  <c r="U168" i="2" s="1"/>
  <c r="AC168" i="2"/>
  <c r="AB168" i="2"/>
  <c r="V168" i="2"/>
  <c r="S168" i="2"/>
  <c r="Q168" i="2"/>
  <c r="P168" i="2"/>
  <c r="O168" i="2"/>
  <c r="K168" i="2"/>
  <c r="J168" i="2"/>
  <c r="AG167" i="2"/>
  <c r="X167" i="2" s="1"/>
  <c r="AF167" i="2"/>
  <c r="W167" i="2" s="1"/>
  <c r="AE167" i="2"/>
  <c r="AD167" i="2"/>
  <c r="AC167" i="2"/>
  <c r="T167" i="2" s="1"/>
  <c r="AB167" i="2"/>
  <c r="V167" i="2"/>
  <c r="U167" i="2"/>
  <c r="Q167" i="2"/>
  <c r="P167" i="2"/>
  <c r="O167" i="2"/>
  <c r="K167" i="2"/>
  <c r="J167" i="2"/>
  <c r="AG166" i="2"/>
  <c r="AF166" i="2"/>
  <c r="W166" i="2" s="1"/>
  <c r="AE166" i="2"/>
  <c r="AD166" i="2"/>
  <c r="AC166" i="2"/>
  <c r="AB166" i="2"/>
  <c r="X166" i="2"/>
  <c r="U166" i="2"/>
  <c r="T166" i="2"/>
  <c r="Q166" i="2"/>
  <c r="P166" i="2"/>
  <c r="O166" i="2"/>
  <c r="K166" i="2"/>
  <c r="J166" i="2"/>
  <c r="AG165" i="2"/>
  <c r="AF165" i="2"/>
  <c r="W165" i="2" s="1"/>
  <c r="AE165" i="2"/>
  <c r="AD165" i="2"/>
  <c r="U165" i="2" s="1"/>
  <c r="AC165" i="2"/>
  <c r="AB165" i="2"/>
  <c r="X165" i="2"/>
  <c r="T165" i="2"/>
  <c r="S165" i="2"/>
  <c r="Q165" i="2"/>
  <c r="P165" i="2"/>
  <c r="O165" i="2"/>
  <c r="K165" i="2"/>
  <c r="J165" i="2"/>
  <c r="AG164" i="2"/>
  <c r="AF164" i="2"/>
  <c r="W164" i="2" s="1"/>
  <c r="AE164" i="2"/>
  <c r="AD164" i="2"/>
  <c r="U164" i="2" s="1"/>
  <c r="AC164" i="2"/>
  <c r="AB164" i="2"/>
  <c r="V164" i="2"/>
  <c r="S164" i="2"/>
  <c r="Q164" i="2"/>
  <c r="P164" i="2"/>
  <c r="O164" i="2"/>
  <c r="K164" i="2"/>
  <c r="J164" i="2"/>
  <c r="AG163" i="2"/>
  <c r="X163" i="2" s="1"/>
  <c r="AF163" i="2"/>
  <c r="W163" i="2" s="1"/>
  <c r="AE163" i="2"/>
  <c r="AD163" i="2"/>
  <c r="AC163" i="2"/>
  <c r="T163" i="2" s="1"/>
  <c r="AB163" i="2"/>
  <c r="V163" i="2"/>
  <c r="U163" i="2"/>
  <c r="Q163" i="2"/>
  <c r="P163" i="2"/>
  <c r="O163" i="2"/>
  <c r="K163" i="2"/>
  <c r="J163" i="2"/>
  <c r="AG162" i="2"/>
  <c r="AF162" i="2"/>
  <c r="W162" i="2" s="1"/>
  <c r="AE162" i="2"/>
  <c r="AD162" i="2"/>
  <c r="AC162" i="2"/>
  <c r="AB162" i="2"/>
  <c r="X162" i="2"/>
  <c r="U162" i="2"/>
  <c r="T162" i="2"/>
  <c r="Q162" i="2"/>
  <c r="P162" i="2"/>
  <c r="O162" i="2"/>
  <c r="K162" i="2"/>
  <c r="J162" i="2"/>
  <c r="AG161" i="2"/>
  <c r="AF161" i="2"/>
  <c r="W161" i="2" s="1"/>
  <c r="AE161" i="2"/>
  <c r="AD161" i="2"/>
  <c r="AC161" i="2"/>
  <c r="AB161" i="2"/>
  <c r="X161" i="2"/>
  <c r="T161" i="2"/>
  <c r="S161" i="2"/>
  <c r="Q161" i="2"/>
  <c r="P161" i="2"/>
  <c r="O161" i="2"/>
  <c r="K161" i="2"/>
  <c r="J161" i="2"/>
  <c r="AG160" i="2"/>
  <c r="AF160" i="2"/>
  <c r="W160" i="2" s="1"/>
  <c r="AE160" i="2"/>
  <c r="AD160" i="2"/>
  <c r="U160" i="2" s="1"/>
  <c r="AC160" i="2"/>
  <c r="AB160" i="2"/>
  <c r="V160" i="2"/>
  <c r="S160" i="2"/>
  <c r="Q160" i="2"/>
  <c r="P160" i="2"/>
  <c r="O160" i="2"/>
  <c r="K160" i="2"/>
  <c r="J160" i="2"/>
  <c r="AG159" i="2"/>
  <c r="X159" i="2" s="1"/>
  <c r="AF159" i="2"/>
  <c r="W159" i="2" s="1"/>
  <c r="AE159" i="2"/>
  <c r="AD159" i="2"/>
  <c r="AC159" i="2"/>
  <c r="AB159" i="2"/>
  <c r="R159" i="2" s="1"/>
  <c r="V159" i="2"/>
  <c r="U159" i="2"/>
  <c r="T159" i="2"/>
  <c r="S159" i="2"/>
  <c r="Q159" i="2"/>
  <c r="P159" i="2"/>
  <c r="O159" i="2"/>
  <c r="K159" i="2"/>
  <c r="J159" i="2"/>
  <c r="AG158" i="2"/>
  <c r="AF158" i="2"/>
  <c r="W158" i="2" s="1"/>
  <c r="AE158" i="2"/>
  <c r="AD158" i="2"/>
  <c r="U158" i="2" s="1"/>
  <c r="AC158" i="2"/>
  <c r="AB158" i="2"/>
  <c r="X158" i="2"/>
  <c r="T158" i="2"/>
  <c r="S158" i="2"/>
  <c r="Q158" i="2"/>
  <c r="P158" i="2"/>
  <c r="O158" i="2"/>
  <c r="K158" i="2"/>
  <c r="J158" i="2"/>
  <c r="AG157" i="2"/>
  <c r="X157" i="2" s="1"/>
  <c r="AF157" i="2"/>
  <c r="W157" i="2" s="1"/>
  <c r="AE157" i="2"/>
  <c r="AD157" i="2"/>
  <c r="U157" i="2" s="1"/>
  <c r="AC157" i="2"/>
  <c r="T157" i="2" s="1"/>
  <c r="AB157" i="2"/>
  <c r="V157" i="2"/>
  <c r="S157" i="2"/>
  <c r="Q157" i="2"/>
  <c r="P157" i="2"/>
  <c r="O157" i="2"/>
  <c r="K157" i="2"/>
  <c r="J157" i="2"/>
  <c r="AG156" i="2"/>
  <c r="AF156" i="2"/>
  <c r="W156" i="2" s="1"/>
  <c r="AE156" i="2"/>
  <c r="AD156" i="2"/>
  <c r="AC156" i="2"/>
  <c r="T156" i="2" s="1"/>
  <c r="AB156" i="2"/>
  <c r="S156" i="2" s="1"/>
  <c r="X156" i="2"/>
  <c r="U156" i="2"/>
  <c r="Q156" i="2"/>
  <c r="P156" i="2"/>
  <c r="O156" i="2"/>
  <c r="K156" i="2"/>
  <c r="J156" i="2"/>
  <c r="AG155" i="2"/>
  <c r="AF155" i="2"/>
  <c r="AH155" i="2" s="1"/>
  <c r="AE155" i="2"/>
  <c r="V155" i="2" s="1"/>
  <c r="AD155" i="2"/>
  <c r="U155" i="2" s="1"/>
  <c r="AC155" i="2"/>
  <c r="AB155" i="2"/>
  <c r="X155" i="2"/>
  <c r="T155" i="2"/>
  <c r="Q155" i="2"/>
  <c r="P155" i="2"/>
  <c r="O155" i="2"/>
  <c r="K155" i="2"/>
  <c r="J155" i="2"/>
  <c r="AG154" i="2"/>
  <c r="X154" i="2" s="1"/>
  <c r="AF154" i="2"/>
  <c r="W154" i="2" s="1"/>
  <c r="AE154" i="2"/>
  <c r="AD154" i="2"/>
  <c r="U154" i="2" s="1"/>
  <c r="AC154" i="2"/>
  <c r="AB154" i="2"/>
  <c r="V154" i="2"/>
  <c r="T154" i="2"/>
  <c r="S154" i="2"/>
  <c r="Q154" i="2"/>
  <c r="P154" i="2"/>
  <c r="O154" i="2"/>
  <c r="K154" i="2"/>
  <c r="J154" i="2"/>
  <c r="AH153" i="2"/>
  <c r="AG153" i="2"/>
  <c r="X153" i="2" s="1"/>
  <c r="AF153" i="2"/>
  <c r="W153" i="2" s="1"/>
  <c r="AE153" i="2"/>
  <c r="AD153" i="2"/>
  <c r="U153" i="2" s="1"/>
  <c r="AC153" i="2"/>
  <c r="T153" i="2" s="1"/>
  <c r="AB153" i="2"/>
  <c r="V153" i="2"/>
  <c r="S153" i="2"/>
  <c r="Q153" i="2"/>
  <c r="P153" i="2"/>
  <c r="O153" i="2"/>
  <c r="K153" i="2"/>
  <c r="J153" i="2"/>
  <c r="AG152" i="2"/>
  <c r="AF152" i="2"/>
  <c r="W152" i="2" s="1"/>
  <c r="AE152" i="2"/>
  <c r="AD152" i="2"/>
  <c r="AC152" i="2"/>
  <c r="T152" i="2" s="1"/>
  <c r="AB152" i="2"/>
  <c r="S152" i="2" s="1"/>
  <c r="X152" i="2"/>
  <c r="U152" i="2"/>
  <c r="Q152" i="2"/>
  <c r="P152" i="2"/>
  <c r="O152" i="2"/>
  <c r="K152" i="2"/>
  <c r="J152" i="2"/>
  <c r="AG151" i="2"/>
  <c r="AF151" i="2"/>
  <c r="AH151" i="2" s="1"/>
  <c r="AE151" i="2"/>
  <c r="V151" i="2" s="1"/>
  <c r="AD151" i="2"/>
  <c r="U151" i="2" s="1"/>
  <c r="AC151" i="2"/>
  <c r="AB151" i="2"/>
  <c r="X151" i="2"/>
  <c r="T151" i="2"/>
  <c r="Q151" i="2"/>
  <c r="P151" i="2"/>
  <c r="O151" i="2"/>
  <c r="K151" i="2"/>
  <c r="J151" i="2"/>
  <c r="AG150" i="2"/>
  <c r="AF150" i="2"/>
  <c r="AE150" i="2"/>
  <c r="AH150" i="2" s="1"/>
  <c r="AD150" i="2"/>
  <c r="U150" i="2" s="1"/>
  <c r="AC150" i="2"/>
  <c r="AB150" i="2"/>
  <c r="X150" i="2"/>
  <c r="W150" i="2"/>
  <c r="T150" i="2"/>
  <c r="S150" i="2"/>
  <c r="R150" i="2"/>
  <c r="Q150" i="2"/>
  <c r="P150" i="2"/>
  <c r="O150" i="2"/>
  <c r="K150" i="2"/>
  <c r="J150" i="2"/>
  <c r="AG149" i="2"/>
  <c r="X149" i="2" s="1"/>
  <c r="AF149" i="2"/>
  <c r="AE149" i="2"/>
  <c r="AD149" i="2"/>
  <c r="U149" i="2" s="1"/>
  <c r="AC149" i="2"/>
  <c r="T149" i="2" s="1"/>
  <c r="AB149" i="2"/>
  <c r="V149" i="2"/>
  <c r="Q149" i="2"/>
  <c r="P149" i="2"/>
  <c r="O149" i="2"/>
  <c r="K149" i="2"/>
  <c r="J149" i="2"/>
  <c r="AG148" i="2"/>
  <c r="X148" i="2" s="1"/>
  <c r="AF148" i="2"/>
  <c r="W148" i="2" s="1"/>
  <c r="AE148" i="2"/>
  <c r="AD148" i="2"/>
  <c r="AC148" i="2"/>
  <c r="T148" i="2" s="1"/>
  <c r="AB148" i="2"/>
  <c r="S148" i="2" s="1"/>
  <c r="U148" i="2"/>
  <c r="Q148" i="2"/>
  <c r="P148" i="2"/>
  <c r="O148" i="2"/>
  <c r="K148" i="2"/>
  <c r="J148" i="2"/>
  <c r="AG147" i="2"/>
  <c r="AF147" i="2"/>
  <c r="AE147" i="2"/>
  <c r="V147" i="2" s="1"/>
  <c r="AD147" i="2"/>
  <c r="U147" i="2" s="1"/>
  <c r="AC147" i="2"/>
  <c r="AB147" i="2"/>
  <c r="X147" i="2"/>
  <c r="T147" i="2"/>
  <c r="Q147" i="2"/>
  <c r="P147" i="2"/>
  <c r="O147" i="2"/>
  <c r="K147" i="2"/>
  <c r="J147" i="2"/>
  <c r="AG146" i="2"/>
  <c r="X146" i="2" s="1"/>
  <c r="AF146" i="2"/>
  <c r="W146" i="2" s="1"/>
  <c r="AE146" i="2"/>
  <c r="AD146" i="2"/>
  <c r="U146" i="2" s="1"/>
  <c r="AC146" i="2"/>
  <c r="AB146" i="2"/>
  <c r="V146" i="2"/>
  <c r="T146" i="2"/>
  <c r="S146" i="2"/>
  <c r="R146" i="2"/>
  <c r="Q146" i="2"/>
  <c r="P146" i="2"/>
  <c r="O146" i="2"/>
  <c r="K146" i="2"/>
  <c r="J146" i="2"/>
  <c r="AG145" i="2"/>
  <c r="X145" i="2" s="1"/>
  <c r="AF145" i="2"/>
  <c r="W145" i="2" s="1"/>
  <c r="AE145" i="2"/>
  <c r="AD145" i="2"/>
  <c r="U145" i="2" s="1"/>
  <c r="AC145" i="2"/>
  <c r="T145" i="2" s="1"/>
  <c r="AB145" i="2"/>
  <c r="R145" i="2" s="1"/>
  <c r="V145" i="2"/>
  <c r="Q145" i="2"/>
  <c r="P145" i="2"/>
  <c r="O145" i="2"/>
  <c r="K145" i="2"/>
  <c r="J145" i="2"/>
  <c r="AG144" i="2"/>
  <c r="X144" i="2" s="1"/>
  <c r="AF144" i="2"/>
  <c r="W144" i="2" s="1"/>
  <c r="AE144" i="2"/>
  <c r="AD144" i="2"/>
  <c r="AC144" i="2"/>
  <c r="T144" i="2" s="1"/>
  <c r="AB144" i="2"/>
  <c r="S144" i="2" s="1"/>
  <c r="U144" i="2"/>
  <c r="Q144" i="2"/>
  <c r="P144" i="2"/>
  <c r="O144" i="2"/>
  <c r="K144" i="2"/>
  <c r="J144" i="2"/>
  <c r="AG143" i="2"/>
  <c r="AF143" i="2"/>
  <c r="AH143" i="2" s="1"/>
  <c r="AE143" i="2"/>
  <c r="V143" i="2" s="1"/>
  <c r="AD143" i="2"/>
  <c r="U143" i="2" s="1"/>
  <c r="AC143" i="2"/>
  <c r="AB143" i="2"/>
  <c r="X143" i="2"/>
  <c r="T143" i="2"/>
  <c r="Q143" i="2"/>
  <c r="P143" i="2"/>
  <c r="O143" i="2"/>
  <c r="K143" i="2"/>
  <c r="J143" i="2"/>
  <c r="AG142" i="2"/>
  <c r="AF142" i="2"/>
  <c r="R142" i="2" s="1"/>
  <c r="AE142" i="2"/>
  <c r="AD142" i="2"/>
  <c r="U142" i="2" s="1"/>
  <c r="AC142" i="2"/>
  <c r="AB142" i="2"/>
  <c r="X142" i="2"/>
  <c r="W142" i="2"/>
  <c r="T142" i="2"/>
  <c r="S142" i="2"/>
  <c r="Q142" i="2"/>
  <c r="P142" i="2"/>
  <c r="O142" i="2"/>
  <c r="K142" i="2"/>
  <c r="J142" i="2"/>
  <c r="AG141" i="2"/>
  <c r="X141" i="2" s="1"/>
  <c r="AF141" i="2"/>
  <c r="W141" i="2" s="1"/>
  <c r="AE141" i="2"/>
  <c r="AD141" i="2"/>
  <c r="U141" i="2" s="1"/>
  <c r="AC141" i="2"/>
  <c r="T141" i="2" s="1"/>
  <c r="AB141" i="2"/>
  <c r="V141" i="2"/>
  <c r="S141" i="2"/>
  <c r="Q141" i="2"/>
  <c r="P141" i="2"/>
  <c r="O141" i="2"/>
  <c r="K141" i="2"/>
  <c r="J141" i="2"/>
  <c r="AG140" i="2"/>
  <c r="AF140" i="2"/>
  <c r="W140" i="2" s="1"/>
  <c r="AE140" i="2"/>
  <c r="AD140" i="2"/>
  <c r="AC140" i="2"/>
  <c r="T140" i="2" s="1"/>
  <c r="AB140" i="2"/>
  <c r="S140" i="2" s="1"/>
  <c r="X140" i="2"/>
  <c r="U140" i="2"/>
  <c r="Q140" i="2"/>
  <c r="P140" i="2"/>
  <c r="O140" i="2"/>
  <c r="K140" i="2"/>
  <c r="J140" i="2"/>
  <c r="AG139" i="2"/>
  <c r="AF139" i="2"/>
  <c r="AH139" i="2" s="1"/>
  <c r="AE139" i="2"/>
  <c r="V139" i="2" s="1"/>
  <c r="AD139" i="2"/>
  <c r="U139" i="2" s="1"/>
  <c r="AC139" i="2"/>
  <c r="AB139" i="2"/>
  <c r="X139" i="2"/>
  <c r="T139" i="2"/>
  <c r="Q139" i="2"/>
  <c r="P139" i="2"/>
  <c r="O139" i="2"/>
  <c r="K139" i="2"/>
  <c r="J139" i="2"/>
  <c r="AG138" i="2"/>
  <c r="X138" i="2" s="1"/>
  <c r="AF138" i="2"/>
  <c r="W138" i="2" s="1"/>
  <c r="AE138" i="2"/>
  <c r="AD138" i="2"/>
  <c r="U138" i="2" s="1"/>
  <c r="AC138" i="2"/>
  <c r="AB138" i="2"/>
  <c r="V138" i="2"/>
  <c r="T138" i="2"/>
  <c r="S138" i="2"/>
  <c r="R138" i="2"/>
  <c r="Q138" i="2"/>
  <c r="P138" i="2"/>
  <c r="O138" i="2"/>
  <c r="K138" i="2"/>
  <c r="J138" i="2"/>
  <c r="AG137" i="2"/>
  <c r="X137" i="2" s="1"/>
  <c r="AF137" i="2"/>
  <c r="W137" i="2" s="1"/>
  <c r="AE137" i="2"/>
  <c r="AD137" i="2"/>
  <c r="U137" i="2" s="1"/>
  <c r="AC137" i="2"/>
  <c r="T137" i="2" s="1"/>
  <c r="AB137" i="2"/>
  <c r="V137" i="2"/>
  <c r="S137" i="2"/>
  <c r="Q137" i="2"/>
  <c r="P137" i="2"/>
  <c r="O137" i="2"/>
  <c r="K137" i="2"/>
  <c r="J137" i="2"/>
  <c r="AG136" i="2"/>
  <c r="AF136" i="2"/>
  <c r="W136" i="2" s="1"/>
  <c r="AE136" i="2"/>
  <c r="R136" i="2" s="1"/>
  <c r="AD136" i="2"/>
  <c r="AC136" i="2"/>
  <c r="T136" i="2" s="1"/>
  <c r="AB136" i="2"/>
  <c r="S136" i="2" s="1"/>
  <c r="X136" i="2"/>
  <c r="U136" i="2"/>
  <c r="Q136" i="2"/>
  <c r="P136" i="2"/>
  <c r="O136" i="2"/>
  <c r="K136" i="2"/>
  <c r="J136" i="2"/>
  <c r="AG135" i="2"/>
  <c r="AF135" i="2"/>
  <c r="AH135" i="2" s="1"/>
  <c r="AE135" i="2"/>
  <c r="V135" i="2" s="1"/>
  <c r="AD135" i="2"/>
  <c r="U135" i="2" s="1"/>
  <c r="AC135" i="2"/>
  <c r="AB135" i="2"/>
  <c r="X135" i="2"/>
  <c r="T135" i="2"/>
  <c r="Q135" i="2"/>
  <c r="P135" i="2"/>
  <c r="O135" i="2"/>
  <c r="K135" i="2"/>
  <c r="J135" i="2"/>
  <c r="AG134" i="2"/>
  <c r="AF134" i="2"/>
  <c r="R134" i="2" s="1"/>
  <c r="AE134" i="2"/>
  <c r="AD134" i="2"/>
  <c r="U134" i="2" s="1"/>
  <c r="AC134" i="2"/>
  <c r="AB134" i="2"/>
  <c r="X134" i="2"/>
  <c r="W134" i="2"/>
  <c r="T134" i="2"/>
  <c r="S134" i="2"/>
  <c r="Q134" i="2"/>
  <c r="P134" i="2"/>
  <c r="O134" i="2"/>
  <c r="K134" i="2"/>
  <c r="J134" i="2"/>
  <c r="AG133" i="2"/>
  <c r="X133" i="2" s="1"/>
  <c r="AF133" i="2"/>
  <c r="AE133" i="2"/>
  <c r="AD133" i="2"/>
  <c r="U133" i="2" s="1"/>
  <c r="AC133" i="2"/>
  <c r="T133" i="2" s="1"/>
  <c r="AB133" i="2"/>
  <c r="V133" i="2"/>
  <c r="Q133" i="2"/>
  <c r="P133" i="2"/>
  <c r="O133" i="2"/>
  <c r="K133" i="2"/>
  <c r="J133" i="2"/>
  <c r="AG132" i="2"/>
  <c r="X132" i="2" s="1"/>
  <c r="AF132" i="2"/>
  <c r="W132" i="2" s="1"/>
  <c r="AE132" i="2"/>
  <c r="AD132" i="2"/>
  <c r="AC132" i="2"/>
  <c r="T132" i="2" s="1"/>
  <c r="AB132" i="2"/>
  <c r="S132" i="2" s="1"/>
  <c r="U132" i="2"/>
  <c r="Q132" i="2"/>
  <c r="P132" i="2"/>
  <c r="O132" i="2"/>
  <c r="K132" i="2"/>
  <c r="J132" i="2"/>
  <c r="AG131" i="2"/>
  <c r="AF131" i="2"/>
  <c r="AE131" i="2"/>
  <c r="V131" i="2" s="1"/>
  <c r="AD131" i="2"/>
  <c r="U131" i="2" s="1"/>
  <c r="AC131" i="2"/>
  <c r="AB131" i="2"/>
  <c r="X131" i="2"/>
  <c r="T131" i="2"/>
  <c r="Q131" i="2"/>
  <c r="P131" i="2"/>
  <c r="O131" i="2"/>
  <c r="K131" i="2"/>
  <c r="J131" i="2"/>
  <c r="AG130" i="2"/>
  <c r="X130" i="2" s="1"/>
  <c r="AF130" i="2"/>
  <c r="R130" i="2" s="1"/>
  <c r="AE130" i="2"/>
  <c r="AD130" i="2"/>
  <c r="U130" i="2" s="1"/>
  <c r="AC130" i="2"/>
  <c r="AB130" i="2"/>
  <c r="V130" i="2"/>
  <c r="T130" i="2"/>
  <c r="S130" i="2"/>
  <c r="Q130" i="2"/>
  <c r="P130" i="2"/>
  <c r="O130" i="2"/>
  <c r="K130" i="2"/>
  <c r="J130" i="2"/>
  <c r="AG129" i="2"/>
  <c r="X129" i="2" s="1"/>
  <c r="AF129" i="2"/>
  <c r="W129" i="2" s="1"/>
  <c r="AE129" i="2"/>
  <c r="AD129" i="2"/>
  <c r="U129" i="2" s="1"/>
  <c r="AC129" i="2"/>
  <c r="T129" i="2" s="1"/>
  <c r="AB129" i="2"/>
  <c r="V129" i="2"/>
  <c r="Q129" i="2"/>
  <c r="P129" i="2"/>
  <c r="O129" i="2"/>
  <c r="K129" i="2"/>
  <c r="J129" i="2"/>
  <c r="AG128" i="2"/>
  <c r="X128" i="2" s="1"/>
  <c r="AF128" i="2"/>
  <c r="W128" i="2" s="1"/>
  <c r="AE128" i="2"/>
  <c r="AD128" i="2"/>
  <c r="AC128" i="2"/>
  <c r="T128" i="2" s="1"/>
  <c r="AB128" i="2"/>
  <c r="S128" i="2" s="1"/>
  <c r="U128" i="2"/>
  <c r="Q128" i="2"/>
  <c r="P128" i="2"/>
  <c r="O128" i="2"/>
  <c r="K128" i="2"/>
  <c r="J128" i="2"/>
  <c r="AG127" i="2"/>
  <c r="AF127" i="2"/>
  <c r="AH127" i="2" s="1"/>
  <c r="AE127" i="2"/>
  <c r="V127" i="2" s="1"/>
  <c r="AD127" i="2"/>
  <c r="U127" i="2" s="1"/>
  <c r="AC127" i="2"/>
  <c r="AB127" i="2"/>
  <c r="X127" i="2"/>
  <c r="T127" i="2"/>
  <c r="Q127" i="2"/>
  <c r="P127" i="2"/>
  <c r="O127" i="2"/>
  <c r="K127" i="2"/>
  <c r="J127" i="2"/>
  <c r="AG126" i="2"/>
  <c r="AF126" i="2"/>
  <c r="AE126" i="2"/>
  <c r="AH126" i="2" s="1"/>
  <c r="AD126" i="2"/>
  <c r="U126" i="2" s="1"/>
  <c r="AC126" i="2"/>
  <c r="AB126" i="2"/>
  <c r="X126" i="2"/>
  <c r="W126" i="2"/>
  <c r="T126" i="2"/>
  <c r="S126" i="2"/>
  <c r="R126" i="2"/>
  <c r="Q126" i="2"/>
  <c r="P126" i="2"/>
  <c r="O126" i="2"/>
  <c r="K126" i="2"/>
  <c r="J126" i="2"/>
  <c r="AG125" i="2"/>
  <c r="X125" i="2" s="1"/>
  <c r="AF125" i="2"/>
  <c r="W125" i="2" s="1"/>
  <c r="AE125" i="2"/>
  <c r="AD125" i="2"/>
  <c r="U125" i="2" s="1"/>
  <c r="AC125" i="2"/>
  <c r="T125" i="2" s="1"/>
  <c r="AB125" i="2"/>
  <c r="V125" i="2"/>
  <c r="S125" i="2"/>
  <c r="Q125" i="2"/>
  <c r="P125" i="2"/>
  <c r="O125" i="2"/>
  <c r="K125" i="2"/>
  <c r="J125" i="2"/>
  <c r="AG124" i="2"/>
  <c r="AF124" i="2"/>
  <c r="W124" i="2" s="1"/>
  <c r="AE124" i="2"/>
  <c r="AD124" i="2"/>
  <c r="AC124" i="2"/>
  <c r="T124" i="2" s="1"/>
  <c r="AB124" i="2"/>
  <c r="S124" i="2" s="1"/>
  <c r="X124" i="2"/>
  <c r="U124" i="2"/>
  <c r="Q124" i="2"/>
  <c r="P124" i="2"/>
  <c r="O124" i="2"/>
  <c r="K124" i="2"/>
  <c r="J124" i="2"/>
  <c r="AH123" i="2"/>
  <c r="AG123" i="2"/>
  <c r="AF123" i="2"/>
  <c r="AE123" i="2"/>
  <c r="V123" i="2" s="1"/>
  <c r="AD123" i="2"/>
  <c r="U123" i="2" s="1"/>
  <c r="AC123" i="2"/>
  <c r="AB123" i="2"/>
  <c r="X123" i="2"/>
  <c r="W123" i="2"/>
  <c r="T123" i="2"/>
  <c r="Q123" i="2"/>
  <c r="P123" i="2"/>
  <c r="O123" i="2"/>
  <c r="K123" i="2"/>
  <c r="J123" i="2"/>
  <c r="AG122" i="2"/>
  <c r="X122" i="2" s="1"/>
  <c r="AF122" i="2"/>
  <c r="R122" i="2" s="1"/>
  <c r="AE122" i="2"/>
  <c r="AD122" i="2"/>
  <c r="U122" i="2" s="1"/>
  <c r="AC122" i="2"/>
  <c r="AB122" i="2"/>
  <c r="V122" i="2"/>
  <c r="T122" i="2"/>
  <c r="S122" i="2"/>
  <c r="Q122" i="2"/>
  <c r="P122" i="2"/>
  <c r="O122" i="2"/>
  <c r="K122" i="2"/>
  <c r="J122" i="2"/>
  <c r="AH121" i="2"/>
  <c r="AG121" i="2"/>
  <c r="X121" i="2" s="1"/>
  <c r="AF121" i="2"/>
  <c r="W121" i="2" s="1"/>
  <c r="AE121" i="2"/>
  <c r="AD121" i="2"/>
  <c r="U121" i="2" s="1"/>
  <c r="AC121" i="2"/>
  <c r="T121" i="2" s="1"/>
  <c r="AB121" i="2"/>
  <c r="V121" i="2"/>
  <c r="S121" i="2"/>
  <c r="Q121" i="2"/>
  <c r="P121" i="2"/>
  <c r="O121" i="2"/>
  <c r="K121" i="2"/>
  <c r="J121" i="2"/>
  <c r="AG120" i="2"/>
  <c r="AF120" i="2"/>
  <c r="W120" i="2" s="1"/>
  <c r="AE120" i="2"/>
  <c r="R120" i="2" s="1"/>
  <c r="AD120" i="2"/>
  <c r="AC120" i="2"/>
  <c r="T120" i="2" s="1"/>
  <c r="AB120" i="2"/>
  <c r="S120" i="2" s="1"/>
  <c r="X120" i="2"/>
  <c r="U120" i="2"/>
  <c r="Q120" i="2"/>
  <c r="P120" i="2"/>
  <c r="O120" i="2"/>
  <c r="K120" i="2"/>
  <c r="J120" i="2"/>
  <c r="AH119" i="2"/>
  <c r="AG119" i="2"/>
  <c r="AF119" i="2"/>
  <c r="AE119" i="2"/>
  <c r="V119" i="2" s="1"/>
  <c r="AD119" i="2"/>
  <c r="U119" i="2" s="1"/>
  <c r="AC119" i="2"/>
  <c r="AB119" i="2"/>
  <c r="X119" i="2"/>
  <c r="W119" i="2"/>
  <c r="T119" i="2"/>
  <c r="Q119" i="2"/>
  <c r="P119" i="2"/>
  <c r="O119" i="2"/>
  <c r="K119" i="2"/>
  <c r="J119" i="2"/>
  <c r="AG118" i="2"/>
  <c r="AF118" i="2"/>
  <c r="R118" i="2" s="1"/>
  <c r="AE118" i="2"/>
  <c r="AD118" i="2"/>
  <c r="U118" i="2" s="1"/>
  <c r="AC118" i="2"/>
  <c r="AB118" i="2"/>
  <c r="X118" i="2"/>
  <c r="W118" i="2"/>
  <c r="T118" i="2"/>
  <c r="S118" i="2"/>
  <c r="Q118" i="2"/>
  <c r="P118" i="2"/>
  <c r="O118" i="2"/>
  <c r="K118" i="2"/>
  <c r="J118" i="2"/>
  <c r="AG117" i="2"/>
  <c r="X117" i="2" s="1"/>
  <c r="AF117" i="2"/>
  <c r="AE117" i="2"/>
  <c r="AD117" i="2"/>
  <c r="U117" i="2" s="1"/>
  <c r="AC117" i="2"/>
  <c r="T117" i="2" s="1"/>
  <c r="AB117" i="2"/>
  <c r="V117" i="2"/>
  <c r="Q117" i="2"/>
  <c r="P117" i="2"/>
  <c r="O117" i="2"/>
  <c r="K117" i="2"/>
  <c r="J117" i="2"/>
  <c r="AG116" i="2"/>
  <c r="X116" i="2" s="1"/>
  <c r="AF116" i="2"/>
  <c r="W116" i="2" s="1"/>
  <c r="AE116" i="2"/>
  <c r="AD116" i="2"/>
  <c r="AC116" i="2"/>
  <c r="AB116" i="2"/>
  <c r="V116" i="2"/>
  <c r="U116" i="2"/>
  <c r="T116" i="2"/>
  <c r="Q116" i="2"/>
  <c r="P116" i="2"/>
  <c r="O116" i="2"/>
  <c r="K116" i="2"/>
  <c r="J116" i="2"/>
  <c r="AG115" i="2"/>
  <c r="AF115" i="2"/>
  <c r="AE115" i="2"/>
  <c r="AD115" i="2"/>
  <c r="AC115" i="2"/>
  <c r="AB115" i="2"/>
  <c r="X115" i="2"/>
  <c r="W115" i="2"/>
  <c r="U115" i="2"/>
  <c r="T115" i="2"/>
  <c r="S115" i="2"/>
  <c r="Q115" i="2"/>
  <c r="P115" i="2"/>
  <c r="O115" i="2"/>
  <c r="K115" i="2"/>
  <c r="J115" i="2"/>
  <c r="AG114" i="2"/>
  <c r="AF114" i="2"/>
  <c r="R114" i="2" s="1"/>
  <c r="AE114" i="2"/>
  <c r="V114" i="2" s="1"/>
  <c r="AD114" i="2"/>
  <c r="U114" i="2" s="1"/>
  <c r="AC114" i="2"/>
  <c r="AB114" i="2"/>
  <c r="X114" i="2"/>
  <c r="T114" i="2"/>
  <c r="S114" i="2"/>
  <c r="Q114" i="2"/>
  <c r="P114" i="2"/>
  <c r="O114" i="2"/>
  <c r="K114" i="2"/>
  <c r="J114" i="2"/>
  <c r="AG113" i="2"/>
  <c r="X113" i="2" s="1"/>
  <c r="AF113" i="2"/>
  <c r="W113" i="2" s="1"/>
  <c r="AE113" i="2"/>
  <c r="AD113" i="2"/>
  <c r="U113" i="2" s="1"/>
  <c r="AC113" i="2"/>
  <c r="T113" i="2" s="1"/>
  <c r="AB113" i="2"/>
  <c r="V113" i="2"/>
  <c r="S113" i="2"/>
  <c r="Q113" i="2"/>
  <c r="P113" i="2"/>
  <c r="O113" i="2"/>
  <c r="K113" i="2"/>
  <c r="J113" i="2"/>
  <c r="AG112" i="2"/>
  <c r="X112" i="2" s="1"/>
  <c r="AF112" i="2"/>
  <c r="W112" i="2" s="1"/>
  <c r="AE112" i="2"/>
  <c r="AD112" i="2"/>
  <c r="AC112" i="2"/>
  <c r="AB112" i="2"/>
  <c r="V112" i="2"/>
  <c r="U112" i="2"/>
  <c r="T112" i="2"/>
  <c r="Q112" i="2"/>
  <c r="P112" i="2"/>
  <c r="O112" i="2"/>
  <c r="K112" i="2"/>
  <c r="J112" i="2"/>
  <c r="AG111" i="2"/>
  <c r="AF111" i="2"/>
  <c r="AE111" i="2"/>
  <c r="AD111" i="2"/>
  <c r="AC111" i="2"/>
  <c r="AB111" i="2"/>
  <c r="X111" i="2"/>
  <c r="W111" i="2"/>
  <c r="U111" i="2"/>
  <c r="T111" i="2"/>
  <c r="S111" i="2"/>
  <c r="Q111" i="2"/>
  <c r="P111" i="2"/>
  <c r="O111" i="2"/>
  <c r="K111" i="2"/>
  <c r="J111" i="2"/>
  <c r="AG110" i="2"/>
  <c r="AF110" i="2"/>
  <c r="AH110" i="2" s="1"/>
  <c r="AE110" i="2"/>
  <c r="V110" i="2" s="1"/>
  <c r="AD110" i="2"/>
  <c r="U110" i="2" s="1"/>
  <c r="AC110" i="2"/>
  <c r="AB110" i="2"/>
  <c r="X110" i="2"/>
  <c r="T110" i="2"/>
  <c r="S110" i="2"/>
  <c r="Q110" i="2"/>
  <c r="P110" i="2"/>
  <c r="O110" i="2"/>
  <c r="K110" i="2"/>
  <c r="J110" i="2"/>
  <c r="AG109" i="2"/>
  <c r="X109" i="2" s="1"/>
  <c r="AF109" i="2"/>
  <c r="W109" i="2" s="1"/>
  <c r="AE109" i="2"/>
  <c r="AD109" i="2"/>
  <c r="U109" i="2" s="1"/>
  <c r="AC109" i="2"/>
  <c r="T109" i="2" s="1"/>
  <c r="AB109" i="2"/>
  <c r="V109" i="2"/>
  <c r="S109" i="2"/>
  <c r="Q109" i="2"/>
  <c r="P109" i="2"/>
  <c r="O109" i="2"/>
  <c r="K109" i="2"/>
  <c r="J109" i="2"/>
  <c r="AG108" i="2"/>
  <c r="X108" i="2" s="1"/>
  <c r="AF108" i="2"/>
  <c r="W108" i="2" s="1"/>
  <c r="AE108" i="2"/>
  <c r="AD108" i="2"/>
  <c r="AC108" i="2"/>
  <c r="AB108" i="2"/>
  <c r="V108" i="2"/>
  <c r="U108" i="2"/>
  <c r="T108" i="2"/>
  <c r="Q108" i="2"/>
  <c r="P108" i="2"/>
  <c r="O108" i="2"/>
  <c r="K108" i="2"/>
  <c r="J108" i="2"/>
  <c r="AG107" i="2"/>
  <c r="AF107" i="2"/>
  <c r="AH107" i="2" s="1"/>
  <c r="AE107" i="2"/>
  <c r="V107" i="2" s="1"/>
  <c r="AD107" i="2"/>
  <c r="U107" i="2" s="1"/>
  <c r="AC107" i="2"/>
  <c r="AB107" i="2"/>
  <c r="X107" i="2"/>
  <c r="T107" i="2"/>
  <c r="S107" i="2"/>
  <c r="Q107" i="2"/>
  <c r="P107" i="2"/>
  <c r="O107" i="2"/>
  <c r="K107" i="2"/>
  <c r="J107" i="2"/>
  <c r="AG106" i="2"/>
  <c r="AF106" i="2"/>
  <c r="R106" i="2" s="1"/>
  <c r="AE106" i="2"/>
  <c r="AD106" i="2"/>
  <c r="U106" i="2" s="1"/>
  <c r="AC106" i="2"/>
  <c r="AB106" i="2"/>
  <c r="X106" i="2"/>
  <c r="T106" i="2"/>
  <c r="S106" i="2"/>
  <c r="Q106" i="2"/>
  <c r="P106" i="2"/>
  <c r="O106" i="2"/>
  <c r="K106" i="2"/>
  <c r="J106" i="2"/>
  <c r="AG105" i="2"/>
  <c r="X105" i="2" s="1"/>
  <c r="AF105" i="2"/>
  <c r="AE105" i="2"/>
  <c r="AD105" i="2"/>
  <c r="AC105" i="2"/>
  <c r="T105" i="2" s="1"/>
  <c r="AB105" i="2"/>
  <c r="V105" i="2"/>
  <c r="U105" i="2"/>
  <c r="Q105" i="2"/>
  <c r="P105" i="2"/>
  <c r="O105" i="2"/>
  <c r="K105" i="2"/>
  <c r="J105" i="2"/>
  <c r="AG104" i="2"/>
  <c r="X104" i="2" s="1"/>
  <c r="AF104" i="2"/>
  <c r="W104" i="2" s="1"/>
  <c r="AE104" i="2"/>
  <c r="AD104" i="2"/>
  <c r="AC104" i="2"/>
  <c r="AB104" i="2"/>
  <c r="V104" i="2"/>
  <c r="U104" i="2"/>
  <c r="T104" i="2"/>
  <c r="Q104" i="2"/>
  <c r="P104" i="2"/>
  <c r="O104" i="2"/>
  <c r="K104" i="2"/>
  <c r="J104" i="2"/>
  <c r="AH103" i="2"/>
  <c r="AG103" i="2"/>
  <c r="AF103" i="2"/>
  <c r="AE103" i="2"/>
  <c r="V103" i="2" s="1"/>
  <c r="AD103" i="2"/>
  <c r="AC103" i="2"/>
  <c r="AB103" i="2"/>
  <c r="X103" i="2"/>
  <c r="W103" i="2"/>
  <c r="U103" i="2"/>
  <c r="T103" i="2"/>
  <c r="S103" i="2"/>
  <c r="Q103" i="2"/>
  <c r="P103" i="2"/>
  <c r="O103" i="2"/>
  <c r="K103" i="2"/>
  <c r="J103" i="2"/>
  <c r="AH102" i="2"/>
  <c r="AG102" i="2"/>
  <c r="AF102" i="2"/>
  <c r="AE102" i="2"/>
  <c r="V102" i="2" s="1"/>
  <c r="AD102" i="2"/>
  <c r="AC102" i="2"/>
  <c r="AB102" i="2"/>
  <c r="X102" i="2"/>
  <c r="W102" i="2"/>
  <c r="T102" i="2"/>
  <c r="S102" i="2"/>
  <c r="Q102" i="2"/>
  <c r="P102" i="2"/>
  <c r="O102" i="2"/>
  <c r="K102" i="2"/>
  <c r="J102" i="2"/>
  <c r="AG101" i="2"/>
  <c r="X101" i="2" s="1"/>
  <c r="AF101" i="2"/>
  <c r="W101" i="2" s="1"/>
  <c r="AE101" i="2"/>
  <c r="AD101" i="2"/>
  <c r="AC101" i="2"/>
  <c r="T101" i="2" s="1"/>
  <c r="AB101" i="2"/>
  <c r="V101" i="2"/>
  <c r="U101" i="2"/>
  <c r="Q101" i="2"/>
  <c r="P101" i="2"/>
  <c r="O101" i="2"/>
  <c r="K101" i="2"/>
  <c r="J101" i="2"/>
  <c r="AG100" i="2"/>
  <c r="X100" i="2" s="1"/>
  <c r="AF100" i="2"/>
  <c r="W100" i="2" s="1"/>
  <c r="AE100" i="2"/>
  <c r="AD100" i="2"/>
  <c r="AC100" i="2"/>
  <c r="AB100" i="2"/>
  <c r="V100" i="2"/>
  <c r="U100" i="2"/>
  <c r="T100" i="2"/>
  <c r="Q100" i="2"/>
  <c r="P100" i="2"/>
  <c r="O100" i="2"/>
  <c r="K100" i="2"/>
  <c r="J100" i="2"/>
  <c r="AG99" i="2"/>
  <c r="AF99" i="2"/>
  <c r="AE99" i="2"/>
  <c r="V99" i="2" s="1"/>
  <c r="AD99" i="2"/>
  <c r="AC99" i="2"/>
  <c r="AB99" i="2"/>
  <c r="X99" i="2"/>
  <c r="W99" i="2"/>
  <c r="U99" i="2"/>
  <c r="T99" i="2"/>
  <c r="S99" i="2"/>
  <c r="Q99" i="2"/>
  <c r="P99" i="2"/>
  <c r="O99" i="2"/>
  <c r="K99" i="2"/>
  <c r="J99" i="2"/>
  <c r="AG98" i="2"/>
  <c r="AF98" i="2"/>
  <c r="AH98" i="2" s="1"/>
  <c r="AE98" i="2"/>
  <c r="V98" i="2" s="1"/>
  <c r="AD98" i="2"/>
  <c r="U98" i="2" s="1"/>
  <c r="AC98" i="2"/>
  <c r="AB98" i="2"/>
  <c r="X98" i="2"/>
  <c r="T98" i="2"/>
  <c r="S98" i="2"/>
  <c r="Q98" i="2"/>
  <c r="P98" i="2"/>
  <c r="O98" i="2"/>
  <c r="K98" i="2"/>
  <c r="J98" i="2"/>
  <c r="AG97" i="2"/>
  <c r="X97" i="2" s="1"/>
  <c r="AF97" i="2"/>
  <c r="W97" i="2" s="1"/>
  <c r="AE97" i="2"/>
  <c r="AD97" i="2"/>
  <c r="AC97" i="2"/>
  <c r="T97" i="2" s="1"/>
  <c r="AB97" i="2"/>
  <c r="V97" i="2"/>
  <c r="U97" i="2"/>
  <c r="S97" i="2"/>
  <c r="Q97" i="2"/>
  <c r="P97" i="2"/>
  <c r="O97" i="2"/>
  <c r="K97" i="2"/>
  <c r="J97" i="2"/>
  <c r="AG96" i="2"/>
  <c r="X96" i="2" s="1"/>
  <c r="AF96" i="2"/>
  <c r="W96" i="2" s="1"/>
  <c r="AE96" i="2"/>
  <c r="AD96" i="2"/>
  <c r="AC96" i="2"/>
  <c r="AB96" i="2"/>
  <c r="S96" i="2" s="1"/>
  <c r="V96" i="2"/>
  <c r="U96" i="2"/>
  <c r="T96" i="2"/>
  <c r="R96" i="2"/>
  <c r="Q96" i="2"/>
  <c r="P96" i="2"/>
  <c r="O96" i="2"/>
  <c r="K96" i="2"/>
  <c r="J96" i="2"/>
  <c r="AG95" i="2"/>
  <c r="AF95" i="2"/>
  <c r="W95" i="2" s="1"/>
  <c r="AE95" i="2"/>
  <c r="V95" i="2" s="1"/>
  <c r="AD95" i="2"/>
  <c r="AC95" i="2"/>
  <c r="AB95" i="2"/>
  <c r="X95" i="2"/>
  <c r="U95" i="2"/>
  <c r="T95" i="2"/>
  <c r="Q95" i="2"/>
  <c r="P95" i="2"/>
  <c r="O95" i="2"/>
  <c r="K95" i="2"/>
  <c r="J95" i="2"/>
  <c r="AG94" i="2"/>
  <c r="AF94" i="2"/>
  <c r="W94" i="2" s="1"/>
  <c r="AE94" i="2"/>
  <c r="AD94" i="2"/>
  <c r="U94" i="2" s="1"/>
  <c r="AC94" i="2"/>
  <c r="AB94" i="2"/>
  <c r="V94" i="2"/>
  <c r="S94" i="2"/>
  <c r="Q94" i="2"/>
  <c r="P94" i="2"/>
  <c r="O94" i="2"/>
  <c r="K94" i="2"/>
  <c r="J94" i="2"/>
  <c r="AG93" i="2"/>
  <c r="X93" i="2" s="1"/>
  <c r="AF93" i="2"/>
  <c r="AH93" i="2" s="1"/>
  <c r="AE93" i="2"/>
  <c r="AD93" i="2"/>
  <c r="U93" i="2" s="1"/>
  <c r="AC93" i="2"/>
  <c r="T93" i="2" s="1"/>
  <c r="AB93" i="2"/>
  <c r="V93" i="2"/>
  <c r="S93" i="2"/>
  <c r="R93" i="2"/>
  <c r="Q93" i="2"/>
  <c r="P93" i="2"/>
  <c r="O93" i="2"/>
  <c r="K93" i="2"/>
  <c r="J93" i="2"/>
  <c r="AG92" i="2"/>
  <c r="AF92" i="2"/>
  <c r="W92" i="2" s="1"/>
  <c r="AE92" i="2"/>
  <c r="AD92" i="2"/>
  <c r="AC92" i="2"/>
  <c r="AB92" i="2"/>
  <c r="S92" i="2" s="1"/>
  <c r="X92" i="2"/>
  <c r="U92" i="2"/>
  <c r="T92" i="2"/>
  <c r="R92" i="2"/>
  <c r="Q92" i="2"/>
  <c r="P92" i="2"/>
  <c r="O92" i="2"/>
  <c r="K92" i="2"/>
  <c r="J92" i="2"/>
  <c r="AG91" i="2"/>
  <c r="AF91" i="2"/>
  <c r="W91" i="2" s="1"/>
  <c r="AE91" i="2"/>
  <c r="V91" i="2" s="1"/>
  <c r="AD91" i="2"/>
  <c r="AC91" i="2"/>
  <c r="AB91" i="2"/>
  <c r="X91" i="2"/>
  <c r="U91" i="2"/>
  <c r="T91" i="2"/>
  <c r="Q91" i="2"/>
  <c r="P91" i="2"/>
  <c r="O91" i="2"/>
  <c r="K91" i="2"/>
  <c r="J91" i="2"/>
  <c r="AG90" i="2"/>
  <c r="AF90" i="2"/>
  <c r="AE90" i="2"/>
  <c r="AD90" i="2"/>
  <c r="U90" i="2" s="1"/>
  <c r="AC90" i="2"/>
  <c r="AB90" i="2"/>
  <c r="W90" i="2"/>
  <c r="V90" i="2"/>
  <c r="S90" i="2"/>
  <c r="Q90" i="2"/>
  <c r="P90" i="2"/>
  <c r="O90" i="2"/>
  <c r="K90" i="2"/>
  <c r="J90" i="2"/>
  <c r="AG89" i="2"/>
  <c r="X89" i="2" s="1"/>
  <c r="AF89" i="2"/>
  <c r="AH89" i="2" s="1"/>
  <c r="AE89" i="2"/>
  <c r="AD89" i="2"/>
  <c r="U89" i="2" s="1"/>
  <c r="AC89" i="2"/>
  <c r="T89" i="2" s="1"/>
  <c r="AB89" i="2"/>
  <c r="V89" i="2"/>
  <c r="S89" i="2"/>
  <c r="R89" i="2"/>
  <c r="Q89" i="2"/>
  <c r="P89" i="2"/>
  <c r="O89" i="2"/>
  <c r="K89" i="2"/>
  <c r="J89" i="2"/>
  <c r="AG88" i="2"/>
  <c r="AF88" i="2"/>
  <c r="W88" i="2" s="1"/>
  <c r="AE88" i="2"/>
  <c r="AD88" i="2"/>
  <c r="AC88" i="2"/>
  <c r="AB88" i="2"/>
  <c r="S88" i="2" s="1"/>
  <c r="X88" i="2"/>
  <c r="U88" i="2"/>
  <c r="T88" i="2"/>
  <c r="Q88" i="2"/>
  <c r="P88" i="2"/>
  <c r="O88" i="2"/>
  <c r="K88" i="2"/>
  <c r="J88" i="2"/>
  <c r="AG87" i="2"/>
  <c r="AF87" i="2"/>
  <c r="W87" i="2" s="1"/>
  <c r="AE87" i="2"/>
  <c r="V87" i="2" s="1"/>
  <c r="AD87" i="2"/>
  <c r="AC87" i="2"/>
  <c r="AB87" i="2"/>
  <c r="X87" i="2"/>
  <c r="U87" i="2"/>
  <c r="T87" i="2"/>
  <c r="Q87" i="2"/>
  <c r="P87" i="2"/>
  <c r="O87" i="2"/>
  <c r="K87" i="2"/>
  <c r="J87" i="2"/>
  <c r="AG86" i="2"/>
  <c r="AF86" i="2"/>
  <c r="AE86" i="2"/>
  <c r="AD86" i="2"/>
  <c r="U86" i="2" s="1"/>
  <c r="AC86" i="2"/>
  <c r="T86" i="2" s="1"/>
  <c r="AB86" i="2"/>
  <c r="W86" i="2"/>
  <c r="V86" i="2"/>
  <c r="S86" i="2"/>
  <c r="Q86" i="2"/>
  <c r="P86" i="2"/>
  <c r="O86" i="2"/>
  <c r="K86" i="2"/>
  <c r="J86" i="2"/>
  <c r="AG85" i="2"/>
  <c r="X85" i="2" s="1"/>
  <c r="AF85" i="2"/>
  <c r="W85" i="2" s="1"/>
  <c r="AE85" i="2"/>
  <c r="AD85" i="2"/>
  <c r="AC85" i="2"/>
  <c r="T85" i="2" s="1"/>
  <c r="AB85" i="2"/>
  <c r="V85" i="2"/>
  <c r="U85" i="2"/>
  <c r="Q85" i="2"/>
  <c r="P85" i="2"/>
  <c r="O85" i="2"/>
  <c r="K85" i="2"/>
  <c r="J85" i="2"/>
  <c r="AG84" i="2"/>
  <c r="AF84" i="2"/>
  <c r="W84" i="2" s="1"/>
  <c r="AE84" i="2"/>
  <c r="AD84" i="2"/>
  <c r="AC84" i="2"/>
  <c r="AB84" i="2"/>
  <c r="X84" i="2"/>
  <c r="U84" i="2"/>
  <c r="T84" i="2"/>
  <c r="Q84" i="2"/>
  <c r="P84" i="2"/>
  <c r="O84" i="2"/>
  <c r="K84" i="2"/>
  <c r="J84" i="2"/>
  <c r="AG83" i="2"/>
  <c r="AF83" i="2"/>
  <c r="AH83" i="2" s="1"/>
  <c r="AE83" i="2"/>
  <c r="V83" i="2" s="1"/>
  <c r="AD83" i="2"/>
  <c r="AC83" i="2"/>
  <c r="AB83" i="2"/>
  <c r="X83" i="2"/>
  <c r="T83" i="2"/>
  <c r="S83" i="2"/>
  <c r="Q83" i="2"/>
  <c r="P83" i="2"/>
  <c r="O83" i="2"/>
  <c r="K83" i="2"/>
  <c r="J83" i="2"/>
  <c r="AG82" i="2"/>
  <c r="AF82" i="2"/>
  <c r="AE82" i="2"/>
  <c r="AD82" i="2"/>
  <c r="U82" i="2" s="1"/>
  <c r="AC82" i="2"/>
  <c r="T82" i="2" s="1"/>
  <c r="AB82" i="2"/>
  <c r="W82" i="2"/>
  <c r="V82" i="2"/>
  <c r="S82" i="2"/>
  <c r="Q82" i="2"/>
  <c r="P82" i="2"/>
  <c r="O82" i="2"/>
  <c r="K82" i="2"/>
  <c r="J82" i="2"/>
  <c r="AG81" i="2"/>
  <c r="X81" i="2" s="1"/>
  <c r="AF81" i="2"/>
  <c r="W81" i="2" s="1"/>
  <c r="AE81" i="2"/>
  <c r="AD81" i="2"/>
  <c r="AC81" i="2"/>
  <c r="T81" i="2" s="1"/>
  <c r="AB81" i="2"/>
  <c r="V81" i="2"/>
  <c r="U81" i="2"/>
  <c r="Q81" i="2"/>
  <c r="P81" i="2"/>
  <c r="O81" i="2"/>
  <c r="K81" i="2"/>
  <c r="J81" i="2"/>
  <c r="AG80" i="2"/>
  <c r="AF80" i="2"/>
  <c r="W80" i="2" s="1"/>
  <c r="AE80" i="2"/>
  <c r="AD80" i="2"/>
  <c r="AC80" i="2"/>
  <c r="AB80" i="2"/>
  <c r="X80" i="2"/>
  <c r="U80" i="2"/>
  <c r="T80" i="2"/>
  <c r="Q80" i="2"/>
  <c r="P80" i="2"/>
  <c r="O80" i="2"/>
  <c r="K80" i="2"/>
  <c r="J80" i="2"/>
  <c r="AG79" i="2"/>
  <c r="AF79" i="2"/>
  <c r="W79" i="2" s="1"/>
  <c r="AE79" i="2"/>
  <c r="V79" i="2" s="1"/>
  <c r="AD79" i="2"/>
  <c r="AC79" i="2"/>
  <c r="AB79" i="2"/>
  <c r="X79" i="2"/>
  <c r="T79" i="2"/>
  <c r="S79" i="2"/>
  <c r="Q79" i="2"/>
  <c r="P79" i="2"/>
  <c r="O79" i="2"/>
  <c r="K79" i="2"/>
  <c r="J79" i="2"/>
  <c r="AG78" i="2"/>
  <c r="X78" i="2" s="1"/>
  <c r="AF78" i="2"/>
  <c r="W78" i="2" s="1"/>
  <c r="AE78" i="2"/>
  <c r="AD78" i="2"/>
  <c r="U78" i="2" s="1"/>
  <c r="AC78" i="2"/>
  <c r="T78" i="2" s="1"/>
  <c r="AB78" i="2"/>
  <c r="V78" i="2"/>
  <c r="S78" i="2"/>
  <c r="R78" i="2"/>
  <c r="Q78" i="2"/>
  <c r="P78" i="2"/>
  <c r="O78" i="2"/>
  <c r="K78" i="2"/>
  <c r="J78" i="2"/>
  <c r="AG77" i="2"/>
  <c r="X77" i="2" s="1"/>
  <c r="AF77" i="2"/>
  <c r="W77" i="2" s="1"/>
  <c r="AE77" i="2"/>
  <c r="AD77" i="2"/>
  <c r="AC77" i="2"/>
  <c r="T77" i="2" s="1"/>
  <c r="AB77" i="2"/>
  <c r="S77" i="2" s="1"/>
  <c r="V77" i="2"/>
  <c r="U77" i="2"/>
  <c r="Q77" i="2"/>
  <c r="P77" i="2"/>
  <c r="O77" i="2"/>
  <c r="K77" i="2"/>
  <c r="J77" i="2"/>
  <c r="AG76" i="2"/>
  <c r="AF76" i="2"/>
  <c r="W76" i="2" s="1"/>
  <c r="AE76" i="2"/>
  <c r="AD76" i="2"/>
  <c r="AC76" i="2"/>
  <c r="AB76" i="2"/>
  <c r="X76" i="2"/>
  <c r="U76" i="2"/>
  <c r="T76" i="2"/>
  <c r="Q76" i="2"/>
  <c r="P76" i="2"/>
  <c r="O76" i="2"/>
  <c r="K76" i="2"/>
  <c r="J76" i="2"/>
  <c r="AH75" i="2"/>
  <c r="AG75" i="2"/>
  <c r="AF75" i="2"/>
  <c r="AE75" i="2"/>
  <c r="V75" i="2" s="1"/>
  <c r="AD75" i="2"/>
  <c r="AC75" i="2"/>
  <c r="AB75" i="2"/>
  <c r="X75" i="2"/>
  <c r="W75" i="2"/>
  <c r="T75" i="2"/>
  <c r="S75" i="2"/>
  <c r="Q75" i="2"/>
  <c r="P75" i="2"/>
  <c r="O75" i="2"/>
  <c r="K75" i="2"/>
  <c r="J75" i="2"/>
  <c r="AH74" i="2"/>
  <c r="AG74" i="2"/>
  <c r="X74" i="2" s="1"/>
  <c r="AF74" i="2"/>
  <c r="AE74" i="2"/>
  <c r="AD74" i="2"/>
  <c r="U74" i="2" s="1"/>
  <c r="AC74" i="2"/>
  <c r="T74" i="2" s="1"/>
  <c r="AB74" i="2"/>
  <c r="W74" i="2"/>
  <c r="V74" i="2"/>
  <c r="S74" i="2"/>
  <c r="R74" i="2"/>
  <c r="Q74" i="2"/>
  <c r="P74" i="2"/>
  <c r="O74" i="2"/>
  <c r="K74" i="2"/>
  <c r="J74" i="2"/>
  <c r="AG73" i="2"/>
  <c r="X73" i="2" s="1"/>
  <c r="AF73" i="2"/>
  <c r="W73" i="2" s="1"/>
  <c r="AE73" i="2"/>
  <c r="AD73" i="2"/>
  <c r="AC73" i="2"/>
  <c r="T73" i="2" s="1"/>
  <c r="AB73" i="2"/>
  <c r="S73" i="2" s="1"/>
  <c r="V73" i="2"/>
  <c r="U73" i="2"/>
  <c r="Q73" i="2"/>
  <c r="P73" i="2"/>
  <c r="O73" i="2"/>
  <c r="K73" i="2"/>
  <c r="J73" i="2"/>
  <c r="AG72" i="2"/>
  <c r="AF72" i="2"/>
  <c r="W72" i="2" s="1"/>
  <c r="AE72" i="2"/>
  <c r="AD72" i="2"/>
  <c r="AC72" i="2"/>
  <c r="AB72" i="2"/>
  <c r="X72" i="2"/>
  <c r="U72" i="2"/>
  <c r="T72" i="2"/>
  <c r="Q72" i="2"/>
  <c r="P72" i="2"/>
  <c r="O72" i="2"/>
  <c r="K72" i="2"/>
  <c r="J72" i="2"/>
  <c r="AG71" i="2"/>
  <c r="AF71" i="2"/>
  <c r="AH71" i="2" s="1"/>
  <c r="AE71" i="2"/>
  <c r="V71" i="2" s="1"/>
  <c r="AD71" i="2"/>
  <c r="AC71" i="2"/>
  <c r="AB71" i="2"/>
  <c r="X71" i="2"/>
  <c r="T71" i="2"/>
  <c r="S71" i="2"/>
  <c r="Q71" i="2"/>
  <c r="P71" i="2"/>
  <c r="O71" i="2"/>
  <c r="K71" i="2"/>
  <c r="J71" i="2"/>
  <c r="AG70" i="2"/>
  <c r="X70" i="2" s="1"/>
  <c r="AF70" i="2"/>
  <c r="W70" i="2" s="1"/>
  <c r="AE70" i="2"/>
  <c r="AD70" i="2"/>
  <c r="U70" i="2" s="1"/>
  <c r="AC70" i="2"/>
  <c r="T70" i="2" s="1"/>
  <c r="AB70" i="2"/>
  <c r="V70" i="2"/>
  <c r="S70" i="2"/>
  <c r="Q70" i="2"/>
  <c r="P70" i="2"/>
  <c r="O70" i="2"/>
  <c r="K70" i="2"/>
  <c r="J70" i="2"/>
  <c r="AG69" i="2"/>
  <c r="X69" i="2" s="1"/>
  <c r="AF69" i="2"/>
  <c r="W69" i="2" s="1"/>
  <c r="AE69" i="2"/>
  <c r="AD69" i="2"/>
  <c r="AC69" i="2"/>
  <c r="T69" i="2" s="1"/>
  <c r="AB69" i="2"/>
  <c r="S69" i="2" s="1"/>
  <c r="V69" i="2"/>
  <c r="U69" i="2"/>
  <c r="Q69" i="2"/>
  <c r="P69" i="2"/>
  <c r="O69" i="2"/>
  <c r="K69" i="2"/>
  <c r="J69" i="2"/>
  <c r="AG68" i="2"/>
  <c r="AF68" i="2"/>
  <c r="W68" i="2" s="1"/>
  <c r="AE68" i="2"/>
  <c r="AD68" i="2"/>
  <c r="AC68" i="2"/>
  <c r="AB68" i="2"/>
  <c r="X68" i="2"/>
  <c r="U68" i="2"/>
  <c r="T68" i="2"/>
  <c r="Q68" i="2"/>
  <c r="P68" i="2"/>
  <c r="O68" i="2"/>
  <c r="K68" i="2"/>
  <c r="J68" i="2"/>
  <c r="AH67" i="2"/>
  <c r="AG67" i="2"/>
  <c r="AF67" i="2"/>
  <c r="AE67" i="2"/>
  <c r="V67" i="2" s="1"/>
  <c r="AD67" i="2"/>
  <c r="AC67" i="2"/>
  <c r="AB67" i="2"/>
  <c r="X67" i="2"/>
  <c r="W67" i="2"/>
  <c r="T67" i="2"/>
  <c r="S67" i="2"/>
  <c r="Q67" i="2"/>
  <c r="P67" i="2"/>
  <c r="O67" i="2"/>
  <c r="K67" i="2"/>
  <c r="J67" i="2"/>
  <c r="AH66" i="2"/>
  <c r="AG66" i="2"/>
  <c r="X66" i="2" s="1"/>
  <c r="AF66" i="2"/>
  <c r="W66" i="2" s="1"/>
  <c r="AE66" i="2"/>
  <c r="AD66" i="2"/>
  <c r="U66" i="2" s="1"/>
  <c r="AC66" i="2"/>
  <c r="T66" i="2" s="1"/>
  <c r="AB66" i="2"/>
  <c r="V66" i="2"/>
  <c r="S66" i="2"/>
  <c r="R66" i="2"/>
  <c r="Q66" i="2"/>
  <c r="P66" i="2"/>
  <c r="O66" i="2"/>
  <c r="K66" i="2"/>
  <c r="J66" i="2"/>
  <c r="AG65" i="2"/>
  <c r="X65" i="2" s="1"/>
  <c r="AF65" i="2"/>
  <c r="W65" i="2" s="1"/>
  <c r="AE65" i="2"/>
  <c r="AD65" i="2"/>
  <c r="AC65" i="2"/>
  <c r="T65" i="2" s="1"/>
  <c r="AB65" i="2"/>
  <c r="S65" i="2" s="1"/>
  <c r="V65" i="2"/>
  <c r="U65" i="2"/>
  <c r="Q65" i="2"/>
  <c r="P65" i="2"/>
  <c r="O65" i="2"/>
  <c r="K65" i="2"/>
  <c r="J65" i="2"/>
  <c r="AG64" i="2"/>
  <c r="AF64" i="2"/>
  <c r="W64" i="2" s="1"/>
  <c r="AE64" i="2"/>
  <c r="AD64" i="2"/>
  <c r="AC64" i="2"/>
  <c r="AB64" i="2"/>
  <c r="X64" i="2"/>
  <c r="U64" i="2"/>
  <c r="T64" i="2"/>
  <c r="S64" i="2"/>
  <c r="Q64" i="2"/>
  <c r="P64" i="2"/>
  <c r="O64" i="2"/>
  <c r="K64" i="2"/>
  <c r="J64" i="2"/>
  <c r="AG63" i="2"/>
  <c r="X63" i="2" s="1"/>
  <c r="AF63" i="2"/>
  <c r="W63" i="2" s="1"/>
  <c r="AE63" i="2"/>
  <c r="AD63" i="2"/>
  <c r="U63" i="2" s="1"/>
  <c r="AC63" i="2"/>
  <c r="AB63" i="2"/>
  <c r="V63" i="2"/>
  <c r="T63" i="2"/>
  <c r="S63" i="2"/>
  <c r="Q63" i="2"/>
  <c r="P63" i="2"/>
  <c r="O63" i="2"/>
  <c r="K63" i="2"/>
  <c r="J63" i="2"/>
  <c r="AG62" i="2"/>
  <c r="AF62" i="2"/>
  <c r="AH62" i="2" s="1"/>
  <c r="AE62" i="2"/>
  <c r="V62" i="2" s="1"/>
  <c r="AD62" i="2"/>
  <c r="AC62" i="2"/>
  <c r="AB62" i="2"/>
  <c r="S62" i="2" s="1"/>
  <c r="X62" i="2"/>
  <c r="U62" i="2"/>
  <c r="T62" i="2"/>
  <c r="Q62" i="2"/>
  <c r="P62" i="2"/>
  <c r="O62" i="2"/>
  <c r="K62" i="2"/>
  <c r="J62" i="2"/>
  <c r="AG61" i="2"/>
  <c r="AF61" i="2"/>
  <c r="AE61" i="2"/>
  <c r="V61" i="2" s="1"/>
  <c r="AD61" i="2"/>
  <c r="U61" i="2" s="1"/>
  <c r="AC61" i="2"/>
  <c r="AB61" i="2"/>
  <c r="X61" i="2"/>
  <c r="W61" i="2"/>
  <c r="T61" i="2"/>
  <c r="S61" i="2"/>
  <c r="Q61" i="2"/>
  <c r="P61" i="2"/>
  <c r="O61" i="2"/>
  <c r="K61" i="2"/>
  <c r="J61" i="2"/>
  <c r="AH60" i="2"/>
  <c r="AG60" i="2"/>
  <c r="X60" i="2" s="1"/>
  <c r="AF60" i="2"/>
  <c r="W60" i="2" s="1"/>
  <c r="AE60" i="2"/>
  <c r="AD60" i="2"/>
  <c r="U60" i="2" s="1"/>
  <c r="AC60" i="2"/>
  <c r="T60" i="2" s="1"/>
  <c r="AB60" i="2"/>
  <c r="V60" i="2"/>
  <c r="S60" i="2"/>
  <c r="Q60" i="2"/>
  <c r="P60" i="2"/>
  <c r="O60" i="2"/>
  <c r="K60" i="2"/>
  <c r="J60" i="2"/>
  <c r="AG59" i="2"/>
  <c r="X59" i="2" s="1"/>
  <c r="AF59" i="2"/>
  <c r="W59" i="2" s="1"/>
  <c r="AE59" i="2"/>
  <c r="AD59" i="2"/>
  <c r="AC59" i="2"/>
  <c r="T59" i="2" s="1"/>
  <c r="AB59" i="2"/>
  <c r="S59" i="2" s="1"/>
  <c r="V59" i="2"/>
  <c r="U59" i="2"/>
  <c r="Q59" i="2"/>
  <c r="P59" i="2"/>
  <c r="O59" i="2"/>
  <c r="K59" i="2"/>
  <c r="J59" i="2"/>
  <c r="AG58" i="2"/>
  <c r="AF58" i="2"/>
  <c r="AH58" i="2" s="1"/>
  <c r="AE58" i="2"/>
  <c r="V58" i="2" s="1"/>
  <c r="AD58" i="2"/>
  <c r="AC58" i="2"/>
  <c r="AB58" i="2"/>
  <c r="S58" i="2" s="1"/>
  <c r="X58" i="2"/>
  <c r="U58" i="2"/>
  <c r="T58" i="2"/>
  <c r="Q58" i="2"/>
  <c r="P58" i="2"/>
  <c r="O58" i="2"/>
  <c r="K58" i="2"/>
  <c r="J58" i="2"/>
  <c r="AG57" i="2"/>
  <c r="AF57" i="2"/>
  <c r="W57" i="2" s="1"/>
  <c r="AE57" i="2"/>
  <c r="V57" i="2" s="1"/>
  <c r="AD57" i="2"/>
  <c r="U57" i="2" s="1"/>
  <c r="AC57" i="2"/>
  <c r="AB57" i="2"/>
  <c r="X57" i="2"/>
  <c r="T57" i="2"/>
  <c r="S57" i="2"/>
  <c r="Q57" i="2"/>
  <c r="P57" i="2"/>
  <c r="O57" i="2"/>
  <c r="K57" i="2"/>
  <c r="J57" i="2"/>
  <c r="AG56" i="2"/>
  <c r="X56" i="2" s="1"/>
  <c r="AF56" i="2"/>
  <c r="AH56" i="2" s="1"/>
  <c r="AE56" i="2"/>
  <c r="AD56" i="2"/>
  <c r="U56" i="2" s="1"/>
  <c r="AC56" i="2"/>
  <c r="T56" i="2" s="1"/>
  <c r="AB56" i="2"/>
  <c r="V56" i="2"/>
  <c r="S56" i="2"/>
  <c r="Q56" i="2"/>
  <c r="P56" i="2"/>
  <c r="O56" i="2"/>
  <c r="K56" i="2"/>
  <c r="J56" i="2"/>
  <c r="AG55" i="2"/>
  <c r="X55" i="2" s="1"/>
  <c r="AF55" i="2"/>
  <c r="W55" i="2" s="1"/>
  <c r="AE55" i="2"/>
  <c r="AD55" i="2"/>
  <c r="AC55" i="2"/>
  <c r="T55" i="2" s="1"/>
  <c r="AB55" i="2"/>
  <c r="S55" i="2" s="1"/>
  <c r="V55" i="2"/>
  <c r="U55" i="2"/>
  <c r="Q55" i="2"/>
  <c r="P55" i="2"/>
  <c r="O55" i="2"/>
  <c r="K55" i="2"/>
  <c r="J55" i="2"/>
  <c r="AG54" i="2"/>
  <c r="AF54" i="2"/>
  <c r="AH54" i="2" s="1"/>
  <c r="AE54" i="2"/>
  <c r="V54" i="2" s="1"/>
  <c r="AD54" i="2"/>
  <c r="AC54" i="2"/>
  <c r="AB54" i="2"/>
  <c r="S54" i="2" s="1"/>
  <c r="X54" i="2"/>
  <c r="U54" i="2"/>
  <c r="T54" i="2"/>
  <c r="Q54" i="2"/>
  <c r="P54" i="2"/>
  <c r="O54" i="2"/>
  <c r="K54" i="2"/>
  <c r="J54" i="2"/>
  <c r="AG53" i="2"/>
  <c r="AF53" i="2"/>
  <c r="W53" i="2" s="1"/>
  <c r="AE53" i="2"/>
  <c r="V53" i="2" s="1"/>
  <c r="AD53" i="2"/>
  <c r="U53" i="2" s="1"/>
  <c r="AC53" i="2"/>
  <c r="AB53" i="2"/>
  <c r="X53" i="2"/>
  <c r="T53" i="2"/>
  <c r="S53" i="2"/>
  <c r="Q53" i="2"/>
  <c r="P53" i="2"/>
  <c r="O53" i="2"/>
  <c r="K53" i="2"/>
  <c r="J53" i="2"/>
  <c r="AG52" i="2"/>
  <c r="X52" i="2" s="1"/>
  <c r="AF52" i="2"/>
  <c r="W52" i="2" s="1"/>
  <c r="AE52" i="2"/>
  <c r="AD52" i="2"/>
  <c r="U52" i="2" s="1"/>
  <c r="AC52" i="2"/>
  <c r="T52" i="2" s="1"/>
  <c r="AB52" i="2"/>
  <c r="V52" i="2"/>
  <c r="S52" i="2"/>
  <c r="Q52" i="2"/>
  <c r="P52" i="2"/>
  <c r="O52" i="2"/>
  <c r="K52" i="2"/>
  <c r="J52" i="2"/>
  <c r="AG51" i="2"/>
  <c r="X51" i="2" s="1"/>
  <c r="AF51" i="2"/>
  <c r="W51" i="2" s="1"/>
  <c r="AE51" i="2"/>
  <c r="AD51" i="2"/>
  <c r="AC51" i="2"/>
  <c r="T51" i="2" s="1"/>
  <c r="AB51" i="2"/>
  <c r="S51" i="2" s="1"/>
  <c r="V51" i="2"/>
  <c r="U51" i="2"/>
  <c r="Q51" i="2"/>
  <c r="P51" i="2"/>
  <c r="O51" i="2"/>
  <c r="K51" i="2"/>
  <c r="J51" i="2"/>
  <c r="AG50" i="2"/>
  <c r="AF50" i="2"/>
  <c r="AH50" i="2" s="1"/>
  <c r="AE50" i="2"/>
  <c r="V50" i="2" s="1"/>
  <c r="AD50" i="2"/>
  <c r="AC50" i="2"/>
  <c r="AB50" i="2"/>
  <c r="S50" i="2" s="1"/>
  <c r="X50" i="2"/>
  <c r="U50" i="2"/>
  <c r="T50" i="2"/>
  <c r="Q50" i="2"/>
  <c r="P50" i="2"/>
  <c r="O50" i="2"/>
  <c r="K50" i="2"/>
  <c r="J50" i="2"/>
  <c r="AG49" i="2"/>
  <c r="AF49" i="2"/>
  <c r="W49" i="2" s="1"/>
  <c r="AE49" i="2"/>
  <c r="V49" i="2" s="1"/>
  <c r="AD49" i="2"/>
  <c r="U49" i="2" s="1"/>
  <c r="AC49" i="2"/>
  <c r="AB49" i="2"/>
  <c r="X49" i="2"/>
  <c r="T49" i="2"/>
  <c r="S49" i="2"/>
  <c r="Q49" i="2"/>
  <c r="P49" i="2"/>
  <c r="O49" i="2"/>
  <c r="K49" i="2"/>
  <c r="J49" i="2"/>
  <c r="AG48" i="2"/>
  <c r="X48" i="2" s="1"/>
  <c r="AF48" i="2"/>
  <c r="AH48" i="2" s="1"/>
  <c r="AE48" i="2"/>
  <c r="AD48" i="2"/>
  <c r="U48" i="2" s="1"/>
  <c r="AC48" i="2"/>
  <c r="T48" i="2" s="1"/>
  <c r="AB48" i="2"/>
  <c r="V48" i="2"/>
  <c r="S48" i="2"/>
  <c r="Q48" i="2"/>
  <c r="P48" i="2"/>
  <c r="O48" i="2"/>
  <c r="K48" i="2"/>
  <c r="J48" i="2"/>
  <c r="AG47" i="2"/>
  <c r="X47" i="2" s="1"/>
  <c r="AF47" i="2"/>
  <c r="W47" i="2" s="1"/>
  <c r="AE47" i="2"/>
  <c r="AD47" i="2"/>
  <c r="U47" i="2" s="1"/>
  <c r="AC47" i="2"/>
  <c r="T47" i="2" s="1"/>
  <c r="AB47" i="2"/>
  <c r="V47" i="2"/>
  <c r="S47" i="2"/>
  <c r="Q47" i="2"/>
  <c r="P47" i="2"/>
  <c r="O47" i="2"/>
  <c r="K47" i="2"/>
  <c r="J47" i="2"/>
  <c r="AG46" i="2"/>
  <c r="X46" i="2" s="1"/>
  <c r="AF46" i="2"/>
  <c r="AH46" i="2" s="1"/>
  <c r="AE46" i="2"/>
  <c r="AD46" i="2"/>
  <c r="AC46" i="2"/>
  <c r="T46" i="2" s="1"/>
  <c r="AB46" i="2"/>
  <c r="S46" i="2" s="1"/>
  <c r="V46" i="2"/>
  <c r="U46" i="2"/>
  <c r="Q46" i="2"/>
  <c r="P46" i="2"/>
  <c r="O46" i="2"/>
  <c r="K46" i="2"/>
  <c r="J46" i="2"/>
  <c r="AG45" i="2"/>
  <c r="AF45" i="2"/>
  <c r="W45" i="2" s="1"/>
  <c r="AE45" i="2"/>
  <c r="V45" i="2" s="1"/>
  <c r="AD45" i="2"/>
  <c r="AC45" i="2"/>
  <c r="AB45" i="2"/>
  <c r="S45" i="2" s="1"/>
  <c r="X45" i="2"/>
  <c r="U45" i="2"/>
  <c r="T45" i="2"/>
  <c r="Q45" i="2"/>
  <c r="P45" i="2"/>
  <c r="O45" i="2"/>
  <c r="K45" i="2"/>
  <c r="J45" i="2"/>
  <c r="AG44" i="2"/>
  <c r="AF44" i="2"/>
  <c r="AH44" i="2" s="1"/>
  <c r="AE44" i="2"/>
  <c r="V44" i="2" s="1"/>
  <c r="AD44" i="2"/>
  <c r="U44" i="2" s="1"/>
  <c r="AC44" i="2"/>
  <c r="AB44" i="2"/>
  <c r="X44" i="2"/>
  <c r="T44" i="2"/>
  <c r="S44" i="2"/>
  <c r="Q44" i="2"/>
  <c r="P44" i="2"/>
  <c r="O44" i="2"/>
  <c r="K44" i="2"/>
  <c r="J44" i="2"/>
  <c r="AG43" i="2"/>
  <c r="X43" i="2" s="1"/>
  <c r="AF43" i="2"/>
  <c r="R43" i="2" s="1"/>
  <c r="AE43" i="2"/>
  <c r="AD43" i="2"/>
  <c r="U43" i="2" s="1"/>
  <c r="AC43" i="2"/>
  <c r="T43" i="2" s="1"/>
  <c r="AB43" i="2"/>
  <c r="V43" i="2"/>
  <c r="S43" i="2"/>
  <c r="Q43" i="2"/>
  <c r="P43" i="2"/>
  <c r="O43" i="2"/>
  <c r="K43" i="2"/>
  <c r="J43" i="2"/>
  <c r="AG42" i="2"/>
  <c r="AF42" i="2"/>
  <c r="AH42" i="2" s="1"/>
  <c r="AE42" i="2"/>
  <c r="AD42" i="2"/>
  <c r="AC42" i="2"/>
  <c r="T42" i="2" s="1"/>
  <c r="AB42" i="2"/>
  <c r="S42" i="2" s="1"/>
  <c r="X42" i="2"/>
  <c r="V42" i="2"/>
  <c r="U42" i="2"/>
  <c r="Q42" i="2"/>
  <c r="P42" i="2"/>
  <c r="O42" i="2"/>
  <c r="K42" i="2"/>
  <c r="J42" i="2"/>
  <c r="AG41" i="2"/>
  <c r="AF41" i="2"/>
  <c r="W41" i="2" s="1"/>
  <c r="AE41" i="2"/>
  <c r="V41" i="2" s="1"/>
  <c r="AD41" i="2"/>
  <c r="AC41" i="2"/>
  <c r="AB41" i="2"/>
  <c r="S41" i="2" s="1"/>
  <c r="X41" i="2"/>
  <c r="U41" i="2"/>
  <c r="T41" i="2"/>
  <c r="Q41" i="2"/>
  <c r="P41" i="2"/>
  <c r="O41" i="2"/>
  <c r="K41" i="2"/>
  <c r="J41" i="2"/>
  <c r="AG40" i="2"/>
  <c r="AF40" i="2"/>
  <c r="AH40" i="2" s="1"/>
  <c r="AE40" i="2"/>
  <c r="AD40" i="2"/>
  <c r="U40" i="2" s="1"/>
  <c r="AC40" i="2"/>
  <c r="AB40" i="2"/>
  <c r="X40" i="2"/>
  <c r="V40" i="2"/>
  <c r="T40" i="2"/>
  <c r="S40" i="2"/>
  <c r="Q40" i="2"/>
  <c r="P40" i="2"/>
  <c r="O40" i="2"/>
  <c r="K40" i="2"/>
  <c r="J40" i="2"/>
  <c r="AG39" i="2"/>
  <c r="X39" i="2" s="1"/>
  <c r="AF39" i="2"/>
  <c r="W39" i="2" s="1"/>
  <c r="AE39" i="2"/>
  <c r="AD39" i="2"/>
  <c r="U39" i="2" s="1"/>
  <c r="AC39" i="2"/>
  <c r="T39" i="2" s="1"/>
  <c r="AB39" i="2"/>
  <c r="V39" i="2"/>
  <c r="S39" i="2"/>
  <c r="Q39" i="2"/>
  <c r="P39" i="2"/>
  <c r="O39" i="2"/>
  <c r="K39" i="2"/>
  <c r="J39" i="2"/>
  <c r="AG38" i="2"/>
  <c r="AF38" i="2"/>
  <c r="AH38" i="2" s="1"/>
  <c r="AE38" i="2"/>
  <c r="AD38" i="2"/>
  <c r="AC38" i="2"/>
  <c r="T38" i="2" s="1"/>
  <c r="AB38" i="2"/>
  <c r="S38" i="2" s="1"/>
  <c r="X38" i="2"/>
  <c r="V38" i="2"/>
  <c r="U38" i="2"/>
  <c r="Q38" i="2"/>
  <c r="P38" i="2"/>
  <c r="O38" i="2"/>
  <c r="K38" i="2"/>
  <c r="J38" i="2"/>
  <c r="AG37" i="2"/>
  <c r="AF37" i="2"/>
  <c r="W37" i="2" s="1"/>
  <c r="AE37" i="2"/>
  <c r="V37" i="2" s="1"/>
  <c r="AD37" i="2"/>
  <c r="AC37" i="2"/>
  <c r="AB37" i="2"/>
  <c r="S37" i="2" s="1"/>
  <c r="X37" i="2"/>
  <c r="U37" i="2"/>
  <c r="T37" i="2"/>
  <c r="Q37" i="2"/>
  <c r="P37" i="2"/>
  <c r="O37" i="2"/>
  <c r="K37" i="2"/>
  <c r="J37" i="2"/>
  <c r="AG36" i="2"/>
  <c r="AF36" i="2"/>
  <c r="W36" i="2" s="1"/>
  <c r="AE36" i="2"/>
  <c r="AD36" i="2"/>
  <c r="U36" i="2" s="1"/>
  <c r="AC36" i="2"/>
  <c r="AB36" i="2"/>
  <c r="X36" i="2"/>
  <c r="V36" i="2"/>
  <c r="T36" i="2"/>
  <c r="S36" i="2"/>
  <c r="Q36" i="2"/>
  <c r="P36" i="2"/>
  <c r="O36" i="2"/>
  <c r="K36" i="2"/>
  <c r="J36" i="2"/>
  <c r="AG35" i="2"/>
  <c r="X35" i="2" s="1"/>
  <c r="AF35" i="2"/>
  <c r="W35" i="2" s="1"/>
  <c r="AE35" i="2"/>
  <c r="AD35" i="2"/>
  <c r="U35" i="2" s="1"/>
  <c r="AC35" i="2"/>
  <c r="T35" i="2" s="1"/>
  <c r="AB35" i="2"/>
  <c r="V35" i="2"/>
  <c r="S35" i="2"/>
  <c r="Q35" i="2"/>
  <c r="P35" i="2"/>
  <c r="O35" i="2"/>
  <c r="K35" i="2"/>
  <c r="J35" i="2"/>
  <c r="AG34" i="2"/>
  <c r="AF34" i="2"/>
  <c r="AH34" i="2" s="1"/>
  <c r="AE34" i="2"/>
  <c r="AD34" i="2"/>
  <c r="AC34" i="2"/>
  <c r="T34" i="2" s="1"/>
  <c r="AB34" i="2"/>
  <c r="S34" i="2" s="1"/>
  <c r="X34" i="2"/>
  <c r="V34" i="2"/>
  <c r="U34" i="2"/>
  <c r="Q34" i="2"/>
  <c r="P34" i="2"/>
  <c r="O34" i="2"/>
  <c r="K34" i="2"/>
  <c r="J34" i="2"/>
  <c r="AG33" i="2"/>
  <c r="AF33" i="2"/>
  <c r="W33" i="2" s="1"/>
  <c r="AE33" i="2"/>
  <c r="V33" i="2" s="1"/>
  <c r="AD33" i="2"/>
  <c r="AC33" i="2"/>
  <c r="AB33" i="2"/>
  <c r="S33" i="2" s="1"/>
  <c r="X33" i="2"/>
  <c r="U33" i="2"/>
  <c r="T33" i="2"/>
  <c r="Q33" i="2"/>
  <c r="P33" i="2"/>
  <c r="O33" i="2"/>
  <c r="K33" i="2"/>
  <c r="J33" i="2"/>
  <c r="AG32" i="2"/>
  <c r="AF32" i="2"/>
  <c r="AH32" i="2" s="1"/>
  <c r="AE32" i="2"/>
  <c r="AD32" i="2"/>
  <c r="U32" i="2" s="1"/>
  <c r="AC32" i="2"/>
  <c r="AB32" i="2"/>
  <c r="X32" i="2"/>
  <c r="V32" i="2"/>
  <c r="T32" i="2"/>
  <c r="S32" i="2"/>
  <c r="Q32" i="2"/>
  <c r="P32" i="2"/>
  <c r="O32" i="2"/>
  <c r="K32" i="2"/>
  <c r="J32" i="2"/>
  <c r="AG31" i="2"/>
  <c r="X31" i="2" s="1"/>
  <c r="AF31" i="2"/>
  <c r="W31" i="2" s="1"/>
  <c r="AE31" i="2"/>
  <c r="AD31" i="2"/>
  <c r="U31" i="2" s="1"/>
  <c r="AC31" i="2"/>
  <c r="T31" i="2" s="1"/>
  <c r="AB31" i="2"/>
  <c r="V31" i="2"/>
  <c r="S31" i="2"/>
  <c r="Q31" i="2"/>
  <c r="P31" i="2"/>
  <c r="O31" i="2"/>
  <c r="K31" i="2"/>
  <c r="J31" i="2"/>
  <c r="AG30" i="2"/>
  <c r="AF30" i="2"/>
  <c r="AH30" i="2" s="1"/>
  <c r="AE30" i="2"/>
  <c r="AD30" i="2"/>
  <c r="AC30" i="2"/>
  <c r="T30" i="2" s="1"/>
  <c r="AB30" i="2"/>
  <c r="S30" i="2" s="1"/>
  <c r="X30" i="2"/>
  <c r="V30" i="2"/>
  <c r="U30" i="2"/>
  <c r="Q30" i="2"/>
  <c r="P30" i="2"/>
  <c r="O30" i="2"/>
  <c r="K30" i="2"/>
  <c r="J30" i="2"/>
  <c r="AG29" i="2"/>
  <c r="AF29" i="2"/>
  <c r="W29" i="2" s="1"/>
  <c r="AE29" i="2"/>
  <c r="V29" i="2" s="1"/>
  <c r="AD29" i="2"/>
  <c r="AC29" i="2"/>
  <c r="AB29" i="2"/>
  <c r="S29" i="2" s="1"/>
  <c r="X29" i="2"/>
  <c r="U29" i="2"/>
  <c r="T29" i="2"/>
  <c r="Q29" i="2"/>
  <c r="P29" i="2"/>
  <c r="O29" i="2"/>
  <c r="K29" i="2"/>
  <c r="J29" i="2"/>
  <c r="AG28" i="2"/>
  <c r="AF28" i="2"/>
  <c r="AH28" i="2" s="1"/>
  <c r="AE28" i="2"/>
  <c r="AD28" i="2"/>
  <c r="U28" i="2" s="1"/>
  <c r="AC28" i="2"/>
  <c r="AB28" i="2"/>
  <c r="R28" i="2" s="1"/>
  <c r="X28" i="2"/>
  <c r="V28" i="2"/>
  <c r="T28" i="2"/>
  <c r="S28" i="2"/>
  <c r="Q28" i="2"/>
  <c r="P28" i="2"/>
  <c r="O28" i="2"/>
  <c r="K28" i="2"/>
  <c r="J28" i="2"/>
  <c r="AG27" i="2"/>
  <c r="X27" i="2" s="1"/>
  <c r="AF27" i="2"/>
  <c r="W27" i="2" s="1"/>
  <c r="AE27" i="2"/>
  <c r="AD27" i="2"/>
  <c r="AC27" i="2"/>
  <c r="T27" i="2" s="1"/>
  <c r="AB27" i="2"/>
  <c r="V27" i="2"/>
  <c r="U27" i="2"/>
  <c r="S27" i="2"/>
  <c r="Q27" i="2"/>
  <c r="P27" i="2"/>
  <c r="O27" i="2"/>
  <c r="K27" i="2"/>
  <c r="J27" i="2"/>
  <c r="AG26" i="2"/>
  <c r="AF26" i="2"/>
  <c r="AH26" i="2" s="1"/>
  <c r="AE26" i="2"/>
  <c r="AD26" i="2"/>
  <c r="AC26" i="2"/>
  <c r="T26" i="2" s="1"/>
  <c r="AB26" i="2"/>
  <c r="S26" i="2" s="1"/>
  <c r="X26" i="2"/>
  <c r="V26" i="2"/>
  <c r="U26" i="2"/>
  <c r="Q26" i="2"/>
  <c r="P26" i="2"/>
  <c r="O26" i="2"/>
  <c r="K26" i="2"/>
  <c r="J26" i="2"/>
  <c r="AG25" i="2"/>
  <c r="AF25" i="2"/>
  <c r="W25" i="2" s="1"/>
  <c r="AE25" i="2"/>
  <c r="V25" i="2" s="1"/>
  <c r="AD25" i="2"/>
  <c r="AC25" i="2"/>
  <c r="AB25" i="2"/>
  <c r="S25" i="2" s="1"/>
  <c r="X25" i="2"/>
  <c r="U25" i="2"/>
  <c r="T25" i="2"/>
  <c r="Q25" i="2"/>
  <c r="P25" i="2"/>
  <c r="O25" i="2"/>
  <c r="K25" i="2"/>
  <c r="J25" i="2"/>
  <c r="AG24" i="2"/>
  <c r="AF24" i="2"/>
  <c r="AH24" i="2" s="1"/>
  <c r="AE24" i="2"/>
  <c r="AD24" i="2"/>
  <c r="U24" i="2" s="1"/>
  <c r="AC24" i="2"/>
  <c r="AB24" i="2"/>
  <c r="R24" i="2" s="1"/>
  <c r="X24" i="2"/>
  <c r="V24" i="2"/>
  <c r="T24" i="2"/>
  <c r="S24" i="2"/>
  <c r="Q24" i="2"/>
  <c r="P24" i="2"/>
  <c r="O24" i="2"/>
  <c r="K24" i="2"/>
  <c r="J24" i="2"/>
  <c r="AG23" i="2"/>
  <c r="X23" i="2" s="1"/>
  <c r="AF23" i="2"/>
  <c r="AE23" i="2"/>
  <c r="AD23" i="2"/>
  <c r="AC23" i="2"/>
  <c r="T23" i="2" s="1"/>
  <c r="AB23" i="2"/>
  <c r="W23" i="2"/>
  <c r="V23" i="2"/>
  <c r="U23" i="2"/>
  <c r="S23" i="2"/>
  <c r="Q23" i="2"/>
  <c r="P23" i="2"/>
  <c r="O23" i="2"/>
  <c r="K23" i="2"/>
  <c r="J23" i="2"/>
  <c r="AG22" i="2"/>
  <c r="AF22" i="2"/>
  <c r="AH22" i="2" s="1"/>
  <c r="AE22" i="2"/>
  <c r="AD22" i="2"/>
  <c r="AC22" i="2"/>
  <c r="T22" i="2" s="1"/>
  <c r="AB22" i="2"/>
  <c r="S22" i="2" s="1"/>
  <c r="X22" i="2"/>
  <c r="V22" i="2"/>
  <c r="U22" i="2"/>
  <c r="Q22" i="2"/>
  <c r="P22" i="2"/>
  <c r="O22" i="2"/>
  <c r="K22" i="2"/>
  <c r="J22" i="2"/>
  <c r="AG21" i="2"/>
  <c r="AF21" i="2"/>
  <c r="W21" i="2" s="1"/>
  <c r="AE21" i="2"/>
  <c r="V21" i="2" s="1"/>
  <c r="AD21" i="2"/>
  <c r="AC21" i="2"/>
  <c r="AB21" i="2"/>
  <c r="X21" i="2"/>
  <c r="U21" i="2"/>
  <c r="T21" i="2"/>
  <c r="S21" i="2"/>
  <c r="Q21" i="2"/>
  <c r="P21" i="2"/>
  <c r="O21" i="2"/>
  <c r="K21" i="2"/>
  <c r="J21" i="2"/>
  <c r="AH20" i="2"/>
  <c r="AG20" i="2"/>
  <c r="AF20" i="2"/>
  <c r="AE20" i="2"/>
  <c r="AD20" i="2"/>
  <c r="U20" i="2" s="1"/>
  <c r="AC20" i="2"/>
  <c r="AB20" i="2"/>
  <c r="X20" i="2"/>
  <c r="W20" i="2"/>
  <c r="V20" i="2"/>
  <c r="T20" i="2"/>
  <c r="S20" i="2"/>
  <c r="Q20" i="2"/>
  <c r="P20" i="2"/>
  <c r="O20" i="2"/>
  <c r="K20" i="2"/>
  <c r="J20" i="2"/>
  <c r="AG19" i="2"/>
  <c r="X19" i="2" s="1"/>
  <c r="AF19" i="2"/>
  <c r="W19" i="2" s="1"/>
  <c r="AE19" i="2"/>
  <c r="AH19" i="2" s="1"/>
  <c r="AD19" i="2"/>
  <c r="U19" i="2" s="1"/>
  <c r="AC19" i="2"/>
  <c r="T19" i="2" s="1"/>
  <c r="AB19" i="2"/>
  <c r="V19" i="2"/>
  <c r="S19" i="2"/>
  <c r="Q19" i="2"/>
  <c r="P19" i="2"/>
  <c r="O19" i="2"/>
  <c r="K19" i="2"/>
  <c r="J19" i="2"/>
  <c r="AG18" i="2"/>
  <c r="X18" i="2" s="1"/>
  <c r="AF18" i="2"/>
  <c r="W18" i="2" s="1"/>
  <c r="AE18" i="2"/>
  <c r="AD18" i="2"/>
  <c r="AC18" i="2"/>
  <c r="T18" i="2" s="1"/>
  <c r="AB18" i="2"/>
  <c r="V18" i="2"/>
  <c r="U18" i="2"/>
  <c r="S18" i="2"/>
  <c r="Q18" i="2"/>
  <c r="P18" i="2"/>
  <c r="O18" i="2"/>
  <c r="K18" i="2"/>
  <c r="J18" i="2"/>
  <c r="AG17" i="2"/>
  <c r="X17" i="2" s="1"/>
  <c r="AF17" i="2"/>
  <c r="AE17" i="2"/>
  <c r="AD17" i="2"/>
  <c r="AC17" i="2"/>
  <c r="T17" i="2" s="1"/>
  <c r="AB17" i="2"/>
  <c r="W17" i="2"/>
  <c r="V17" i="2"/>
  <c r="U17" i="2"/>
  <c r="S17" i="2"/>
  <c r="Q17" i="2"/>
  <c r="P17" i="2"/>
  <c r="O17" i="2"/>
  <c r="K17" i="2"/>
  <c r="J17" i="2"/>
  <c r="AG16" i="2"/>
  <c r="X16" i="2" s="1"/>
  <c r="AF16" i="2"/>
  <c r="AE16" i="2"/>
  <c r="AD16" i="2"/>
  <c r="AC16" i="2"/>
  <c r="T16" i="2" s="1"/>
  <c r="AB16" i="2"/>
  <c r="W16" i="2"/>
  <c r="V16" i="2"/>
  <c r="U16" i="2"/>
  <c r="S16" i="2"/>
  <c r="Q16" i="2"/>
  <c r="P16" i="2"/>
  <c r="O16" i="2"/>
  <c r="K16" i="2"/>
  <c r="J16" i="2"/>
  <c r="AG15" i="2"/>
  <c r="X15" i="2" s="1"/>
  <c r="AF15" i="2"/>
  <c r="W15" i="2" s="1"/>
  <c r="AE15" i="2"/>
  <c r="AD15" i="2"/>
  <c r="AC15" i="2"/>
  <c r="T15" i="2" s="1"/>
  <c r="AB15" i="2"/>
  <c r="V15" i="2"/>
  <c r="U15" i="2"/>
  <c r="S15" i="2"/>
  <c r="Q15" i="2"/>
  <c r="P15" i="2"/>
  <c r="O15" i="2"/>
  <c r="K15" i="2"/>
  <c r="J15" i="2"/>
  <c r="AG14" i="2"/>
  <c r="X14" i="2" s="1"/>
  <c r="AF14" i="2"/>
  <c r="W14" i="2" s="1"/>
  <c r="AE14" i="2"/>
  <c r="AD14" i="2"/>
  <c r="AC14" i="2"/>
  <c r="T14" i="2" s="1"/>
  <c r="AB14" i="2"/>
  <c r="V14" i="2"/>
  <c r="U14" i="2"/>
  <c r="S14" i="2"/>
  <c r="Q14" i="2"/>
  <c r="P14" i="2"/>
  <c r="O14" i="2"/>
  <c r="K14" i="2"/>
  <c r="J14" i="2"/>
  <c r="AG13" i="2"/>
  <c r="X13" i="2" s="1"/>
  <c r="AF13" i="2"/>
  <c r="W13" i="2" s="1"/>
  <c r="AE13" i="2"/>
  <c r="AD13" i="2"/>
  <c r="AC13" i="2"/>
  <c r="T13" i="2" s="1"/>
  <c r="AB13" i="2"/>
  <c r="V13" i="2"/>
  <c r="U13" i="2"/>
  <c r="S13" i="2"/>
  <c r="Q13" i="2"/>
  <c r="P13" i="2"/>
  <c r="O13" i="2"/>
  <c r="K13" i="2"/>
  <c r="J13" i="2"/>
  <c r="AG12" i="2"/>
  <c r="X12" i="2" s="1"/>
  <c r="AF12" i="2"/>
  <c r="W12" i="2" s="1"/>
  <c r="AE12" i="2"/>
  <c r="AH12" i="2" s="1"/>
  <c r="AD12" i="2"/>
  <c r="AC12" i="2"/>
  <c r="T12" i="2" s="1"/>
  <c r="AB12" i="2"/>
  <c r="S12" i="2" s="1"/>
  <c r="V12" i="2"/>
  <c r="U12" i="2"/>
  <c r="Q12" i="2"/>
  <c r="P12" i="2"/>
  <c r="O12" i="2"/>
  <c r="K12" i="2"/>
  <c r="J12" i="2"/>
  <c r="AG11" i="2"/>
  <c r="X11" i="2" s="1"/>
  <c r="AF11" i="2"/>
  <c r="W11" i="2" s="1"/>
  <c r="AE11" i="2"/>
  <c r="AD11" i="2"/>
  <c r="AC11" i="2"/>
  <c r="T11" i="2" s="1"/>
  <c r="AB11" i="2"/>
  <c r="S11" i="2" s="1"/>
  <c r="V11" i="2"/>
  <c r="U11" i="2"/>
  <c r="Q11" i="2"/>
  <c r="P11" i="2"/>
  <c r="O11" i="2"/>
  <c r="K11" i="2"/>
  <c r="J11" i="2"/>
  <c r="AG10" i="2"/>
  <c r="X10" i="2" s="1"/>
  <c r="AE10" i="2"/>
  <c r="V10" i="2" s="1"/>
  <c r="AD10" i="2"/>
  <c r="AC10" i="2"/>
  <c r="T10" i="2" s="1"/>
  <c r="AB10" i="2"/>
  <c r="S10" i="2" s="1"/>
  <c r="U10" i="2"/>
  <c r="J10" i="2"/>
  <c r="P10" i="2" s="1"/>
  <c r="AG9" i="2"/>
  <c r="X9" i="2" s="1"/>
  <c r="AE9" i="2"/>
  <c r="V9" i="2" s="1"/>
  <c r="AD9" i="2"/>
  <c r="AC9" i="2"/>
  <c r="T9" i="2" s="1"/>
  <c r="AB9" i="2"/>
  <c r="S9" i="2" s="1"/>
  <c r="U9" i="2"/>
  <c r="J9" i="2"/>
  <c r="P9" i="2" s="1"/>
  <c r="AG8" i="2"/>
  <c r="X8" i="2" s="1"/>
  <c r="AE8" i="2"/>
  <c r="V8" i="2" s="1"/>
  <c r="AD8" i="2"/>
  <c r="AC8" i="2"/>
  <c r="T8" i="2" s="1"/>
  <c r="AB8" i="2"/>
  <c r="S8" i="2" s="1"/>
  <c r="U8" i="2"/>
  <c r="J8" i="2"/>
  <c r="P8" i="2" s="1"/>
  <c r="AN7" i="2"/>
  <c r="AN6" i="2" s="1"/>
  <c r="AG7" i="2"/>
  <c r="X7" i="2" s="1"/>
  <c r="AF7" i="2"/>
  <c r="AE7" i="2"/>
  <c r="AD7" i="2"/>
  <c r="U7" i="2" s="1"/>
  <c r="AC7" i="2"/>
  <c r="T7" i="2" s="1"/>
  <c r="AB7" i="2"/>
  <c r="V7" i="2"/>
  <c r="S7" i="2"/>
  <c r="J7" i="2"/>
  <c r="P7" i="2" s="1"/>
  <c r="AG6" i="2"/>
  <c r="AE6" i="2"/>
  <c r="AD6" i="2"/>
  <c r="U6" i="2" s="1"/>
  <c r="AC6" i="2"/>
  <c r="AB6" i="2"/>
  <c r="X6" i="2"/>
  <c r="T6" i="2"/>
  <c r="S6" i="2"/>
  <c r="P6" i="2"/>
  <c r="J6" i="2"/>
  <c r="AF6" i="2" s="1"/>
  <c r="AG5" i="2"/>
  <c r="AE5" i="2"/>
  <c r="AD5" i="2"/>
  <c r="U5" i="2" s="1"/>
  <c r="AC5" i="2"/>
  <c r="T5" i="2" s="1"/>
  <c r="AB5" i="2"/>
  <c r="S5" i="2" s="1"/>
  <c r="X5" i="2"/>
  <c r="P5" i="2"/>
  <c r="J5" i="2"/>
  <c r="AF5" i="2" s="1"/>
  <c r="AG4" i="2"/>
  <c r="X4" i="2" s="1"/>
  <c r="AE4" i="2"/>
  <c r="AD4" i="2"/>
  <c r="U4" i="2" s="1"/>
  <c r="AC4" i="2"/>
  <c r="T4" i="2" s="1"/>
  <c r="AB4" i="2"/>
  <c r="S4" i="2"/>
  <c r="P4" i="2"/>
  <c r="J4" i="2"/>
  <c r="AF4" i="2" s="1"/>
  <c r="AJ3" i="2"/>
  <c r="AJ4" i="2" s="1"/>
  <c r="AJ5" i="2" s="1"/>
  <c r="AJ6" i="2" s="1"/>
  <c r="AJ7" i="2" s="1"/>
  <c r="AJ8" i="2" s="1"/>
  <c r="AJ9" i="2" s="1"/>
  <c r="AI3" i="2"/>
  <c r="AG3" i="2"/>
  <c r="AE3" i="2"/>
  <c r="V3" i="2" s="1"/>
  <c r="AD3" i="2"/>
  <c r="AC3" i="2"/>
  <c r="AB3" i="2"/>
  <c r="X3" i="2"/>
  <c r="U3" i="2"/>
  <c r="T3" i="2"/>
  <c r="J3" i="2"/>
  <c r="AG2" i="2"/>
  <c r="X2" i="2" s="1"/>
  <c r="AE2" i="2"/>
  <c r="V2" i="2" s="1"/>
  <c r="AD2" i="2"/>
  <c r="AC2" i="2"/>
  <c r="AB2" i="2"/>
  <c r="S2" i="2" s="1"/>
  <c r="U2" i="2"/>
  <c r="J2" i="2"/>
  <c r="AF2" i="2" s="1"/>
  <c r="W2" i="2" s="1"/>
  <c r="R65" i="2" l="1"/>
  <c r="W93" i="2"/>
  <c r="AH17" i="2"/>
  <c r="R32" i="2"/>
  <c r="R70" i="2"/>
  <c r="AH73" i="2"/>
  <c r="W107" i="2"/>
  <c r="I207" i="2"/>
  <c r="R128" i="2"/>
  <c r="R20" i="2"/>
  <c r="R60" i="2"/>
  <c r="R101" i="2"/>
  <c r="AH15" i="2"/>
  <c r="R55" i="2"/>
  <c r="W56" i="2"/>
  <c r="R73" i="2"/>
  <c r="R40" i="2"/>
  <c r="AH7" i="2"/>
  <c r="AH27" i="2"/>
  <c r="AH47" i="2"/>
  <c r="AH109" i="2"/>
  <c r="W110" i="2"/>
  <c r="W139" i="2"/>
  <c r="AH142" i="2"/>
  <c r="W155" i="2"/>
  <c r="AH65" i="2"/>
  <c r="AH36" i="2"/>
  <c r="W48" i="2"/>
  <c r="AH52" i="2"/>
  <c r="AH63" i="2"/>
  <c r="W122" i="2"/>
  <c r="W130" i="2"/>
  <c r="AH14" i="2"/>
  <c r="AH23" i="2"/>
  <c r="W28" i="2"/>
  <c r="AH31" i="2"/>
  <c r="AH39" i="2"/>
  <c r="W43" i="2"/>
  <c r="R44" i="2"/>
  <c r="R48" i="2"/>
  <c r="AH55" i="2"/>
  <c r="R69" i="2"/>
  <c r="AH70" i="2"/>
  <c r="W71" i="2"/>
  <c r="R77" i="2"/>
  <c r="AH78" i="2"/>
  <c r="W83" i="2"/>
  <c r="AH113" i="2"/>
  <c r="R129" i="2"/>
  <c r="AH134" i="2"/>
  <c r="W151" i="2"/>
  <c r="AH13" i="2"/>
  <c r="R36" i="2"/>
  <c r="R52" i="2"/>
  <c r="AH59" i="2"/>
  <c r="AH97" i="2"/>
  <c r="W98" i="2"/>
  <c r="W106" i="2"/>
  <c r="W114" i="2"/>
  <c r="AH114" i="2"/>
  <c r="AH118" i="2"/>
  <c r="W135" i="2"/>
  <c r="R144" i="2"/>
  <c r="R154" i="2"/>
  <c r="R7" i="2"/>
  <c r="O7" i="2" s="1"/>
  <c r="W24" i="2"/>
  <c r="W32" i="2"/>
  <c r="W40" i="2"/>
  <c r="R56" i="2"/>
  <c r="R152" i="2"/>
  <c r="R158" i="2"/>
  <c r="AH158" i="2"/>
  <c r="R88" i="2"/>
  <c r="AH11" i="2"/>
  <c r="AH18" i="2"/>
  <c r="AH35" i="2"/>
  <c r="AH43" i="2"/>
  <c r="AH137" i="2"/>
  <c r="AH157" i="2"/>
  <c r="AH16" i="2"/>
  <c r="W44" i="2"/>
  <c r="AH51" i="2"/>
  <c r="AH69" i="2"/>
  <c r="AH77" i="2"/>
  <c r="AH141" i="2"/>
  <c r="W89" i="2"/>
  <c r="AH125" i="2"/>
  <c r="AH5" i="2"/>
  <c r="AJ10" i="2"/>
  <c r="AJ11" i="2" s="1"/>
  <c r="AJ12" i="2" s="1"/>
  <c r="AJ13" i="2" s="1"/>
  <c r="AJ14" i="2" s="1"/>
  <c r="AJ15" i="2" s="1"/>
  <c r="AJ16" i="2" s="1"/>
  <c r="AJ17" i="2" s="1"/>
  <c r="AJ18" i="2" s="1"/>
  <c r="K6" i="2"/>
  <c r="K5" i="2"/>
  <c r="K4" i="2"/>
  <c r="K10" i="2"/>
  <c r="K9" i="2"/>
  <c r="K8" i="2"/>
  <c r="W6" i="2"/>
  <c r="R6" i="2"/>
  <c r="O6" i="2" s="1"/>
  <c r="R2" i="2"/>
  <c r="O2" i="2" s="1"/>
  <c r="K3" i="2"/>
  <c r="W4" i="2"/>
  <c r="R4" i="2"/>
  <c r="O4" i="2" s="1"/>
  <c r="AH4" i="2"/>
  <c r="AH6" i="2"/>
  <c r="W5" i="2"/>
  <c r="R5" i="2"/>
  <c r="O5" i="2" s="1"/>
  <c r="Q2" i="2"/>
  <c r="C208" i="2" s="1"/>
  <c r="AF3" i="2"/>
  <c r="R13" i="2"/>
  <c r="R14" i="2"/>
  <c r="R15" i="2"/>
  <c r="R18" i="2"/>
  <c r="R19" i="2"/>
  <c r="R27" i="2"/>
  <c r="S3" i="2"/>
  <c r="V4" i="2"/>
  <c r="V5" i="2"/>
  <c r="V6" i="2"/>
  <c r="Q7" i="2"/>
  <c r="P2" i="2"/>
  <c r="T2" i="2"/>
  <c r="AH2" i="2"/>
  <c r="P3" i="2"/>
  <c r="K7" i="2"/>
  <c r="Q8" i="2"/>
  <c r="AF8" i="2"/>
  <c r="W8" i="2" s="1"/>
  <c r="Q9" i="2"/>
  <c r="AF9" i="2"/>
  <c r="W9" i="2" s="1"/>
  <c r="Q10" i="2"/>
  <c r="AF10" i="2"/>
  <c r="W10" i="2" s="1"/>
  <c r="AH21" i="2"/>
  <c r="AH25" i="2"/>
  <c r="AH29" i="2"/>
  <c r="AH33" i="2"/>
  <c r="AH37" i="2"/>
  <c r="AH41" i="2"/>
  <c r="AH45" i="2"/>
  <c r="AH49" i="2"/>
  <c r="AH53" i="2"/>
  <c r="AH57" i="2"/>
  <c r="AH61" i="2"/>
  <c r="R64" i="2"/>
  <c r="R68" i="2"/>
  <c r="S68" i="2"/>
  <c r="R72" i="2"/>
  <c r="S72" i="2"/>
  <c r="R76" i="2"/>
  <c r="S76" i="2"/>
  <c r="R80" i="2"/>
  <c r="S80" i="2"/>
  <c r="AH81" i="2"/>
  <c r="R82" i="2"/>
  <c r="R87" i="2"/>
  <c r="S87" i="2"/>
  <c r="AH92" i="2"/>
  <c r="V92" i="2"/>
  <c r="R95" i="2"/>
  <c r="S95" i="2"/>
  <c r="V106" i="2"/>
  <c r="AH106" i="2"/>
  <c r="R117" i="2"/>
  <c r="S117" i="2"/>
  <c r="W117" i="2"/>
  <c r="AH117" i="2"/>
  <c r="R133" i="2"/>
  <c r="S133" i="2"/>
  <c r="W133" i="2"/>
  <c r="AH133" i="2"/>
  <c r="R149" i="2"/>
  <c r="S149" i="2"/>
  <c r="W149" i="2"/>
  <c r="AH149" i="2"/>
  <c r="W7" i="2"/>
  <c r="R11" i="2"/>
  <c r="R12" i="2"/>
  <c r="R16" i="2"/>
  <c r="R17" i="2"/>
  <c r="R31" i="2"/>
  <c r="R35" i="2"/>
  <c r="R47" i="2"/>
  <c r="R59" i="2"/>
  <c r="R63" i="2"/>
  <c r="S81" i="2"/>
  <c r="R81" i="2"/>
  <c r="X82" i="2"/>
  <c r="AH82" i="2"/>
  <c r="V84" i="2"/>
  <c r="AH84" i="2"/>
  <c r="R90" i="2"/>
  <c r="T90" i="2"/>
  <c r="X90" i="2"/>
  <c r="AH90" i="2"/>
  <c r="R105" i="2"/>
  <c r="S105" i="2"/>
  <c r="W105" i="2"/>
  <c r="AH105" i="2"/>
  <c r="V115" i="2"/>
  <c r="AH115" i="2"/>
  <c r="AH124" i="2"/>
  <c r="V124" i="2"/>
  <c r="R124" i="2"/>
  <c r="AH140" i="2"/>
  <c r="V140" i="2"/>
  <c r="R140" i="2"/>
  <c r="AH156" i="2"/>
  <c r="V156" i="2"/>
  <c r="R156" i="2"/>
  <c r="Q3" i="2"/>
  <c r="R23" i="2"/>
  <c r="R39" i="2"/>
  <c r="R51" i="2"/>
  <c r="U83" i="2"/>
  <c r="R83" i="2"/>
  <c r="K2" i="2"/>
  <c r="Q4" i="2"/>
  <c r="Q5" i="2"/>
  <c r="Q6" i="2"/>
  <c r="R22" i="2"/>
  <c r="R26" i="2"/>
  <c r="R30" i="2"/>
  <c r="R34" i="2"/>
  <c r="R38" i="2"/>
  <c r="R42" i="2"/>
  <c r="R46" i="2"/>
  <c r="R50" i="2"/>
  <c r="R54" i="2"/>
  <c r="R58" i="2"/>
  <c r="R62" i="2"/>
  <c r="R84" i="2"/>
  <c r="AH85" i="2"/>
  <c r="R86" i="2"/>
  <c r="AH88" i="2"/>
  <c r="V88" i="2"/>
  <c r="R91" i="2"/>
  <c r="S91" i="2"/>
  <c r="U102" i="2"/>
  <c r="R102" i="2"/>
  <c r="R132" i="2"/>
  <c r="R148" i="2"/>
  <c r="R21" i="2"/>
  <c r="W22" i="2"/>
  <c r="R25" i="2"/>
  <c r="W26" i="2"/>
  <c r="R29" i="2"/>
  <c r="W30" i="2"/>
  <c r="R33" i="2"/>
  <c r="W34" i="2"/>
  <c r="R37" i="2"/>
  <c r="W38" i="2"/>
  <c r="R41" i="2"/>
  <c r="W42" i="2"/>
  <c r="R45" i="2"/>
  <c r="W46" i="2"/>
  <c r="R49" i="2"/>
  <c r="W50" i="2"/>
  <c r="R53" i="2"/>
  <c r="W54" i="2"/>
  <c r="R57" i="2"/>
  <c r="W58" i="2"/>
  <c r="R61" i="2"/>
  <c r="W62" i="2"/>
  <c r="V64" i="2"/>
  <c r="AH64" i="2"/>
  <c r="U67" i="2"/>
  <c r="R67" i="2"/>
  <c r="V68" i="2"/>
  <c r="AH68" i="2"/>
  <c r="U71" i="2"/>
  <c r="R71" i="2"/>
  <c r="V72" i="2"/>
  <c r="AH72" i="2"/>
  <c r="U75" i="2"/>
  <c r="R75" i="2"/>
  <c r="V76" i="2"/>
  <c r="AH76" i="2"/>
  <c r="U79" i="2"/>
  <c r="R79" i="2"/>
  <c r="AH79" i="2"/>
  <c r="V80" i="2"/>
  <c r="AH80" i="2"/>
  <c r="S85" i="2"/>
  <c r="R85" i="2"/>
  <c r="X86" i="2"/>
  <c r="AH86" i="2"/>
  <c r="R94" i="2"/>
  <c r="T94" i="2"/>
  <c r="X94" i="2"/>
  <c r="AH94" i="2"/>
  <c r="R131" i="2"/>
  <c r="S131" i="2"/>
  <c r="AH131" i="2"/>
  <c r="W131" i="2"/>
  <c r="R147" i="2"/>
  <c r="S147" i="2"/>
  <c r="AH147" i="2"/>
  <c r="W147" i="2"/>
  <c r="S84" i="2"/>
  <c r="S100" i="2"/>
  <c r="R100" i="2"/>
  <c r="AH101" i="2"/>
  <c r="V111" i="2"/>
  <c r="AH111" i="2"/>
  <c r="R113" i="2"/>
  <c r="S116" i="2"/>
  <c r="R116" i="2"/>
  <c r="R119" i="2"/>
  <c r="S119" i="2"/>
  <c r="R121" i="2"/>
  <c r="W127" i="2"/>
  <c r="AH128" i="2"/>
  <c r="V128" i="2"/>
  <c r="S129" i="2"/>
  <c r="AH129" i="2"/>
  <c r="R135" i="2"/>
  <c r="S135" i="2"/>
  <c r="R137" i="2"/>
  <c r="W143" i="2"/>
  <c r="AH144" i="2"/>
  <c r="V144" i="2"/>
  <c r="S145" i="2"/>
  <c r="AH145" i="2"/>
  <c r="R151" i="2"/>
  <c r="S151" i="2"/>
  <c r="R153" i="2"/>
  <c r="S108" i="2"/>
  <c r="R108" i="2"/>
  <c r="AH120" i="2"/>
  <c r="V120" i="2"/>
  <c r="R127" i="2"/>
  <c r="S127" i="2"/>
  <c r="AH136" i="2"/>
  <c r="V136" i="2"/>
  <c r="R143" i="2"/>
  <c r="S143" i="2"/>
  <c r="AH152" i="2"/>
  <c r="V152" i="2"/>
  <c r="T160" i="2"/>
  <c r="R160" i="2"/>
  <c r="X160" i="2"/>
  <c r="AH160" i="2"/>
  <c r="S162" i="2"/>
  <c r="R162" i="2"/>
  <c r="T164" i="2"/>
  <c r="R164" i="2"/>
  <c r="X164" i="2"/>
  <c r="AH164" i="2"/>
  <c r="S166" i="2"/>
  <c r="R166" i="2"/>
  <c r="T168" i="2"/>
  <c r="R168" i="2"/>
  <c r="X168" i="2"/>
  <c r="AH168" i="2"/>
  <c r="S170" i="2"/>
  <c r="R170" i="2"/>
  <c r="T172" i="2"/>
  <c r="R172" i="2"/>
  <c r="X172" i="2"/>
  <c r="AH172" i="2"/>
  <c r="S174" i="2"/>
  <c r="R174" i="2"/>
  <c r="T176" i="2"/>
  <c r="R176" i="2"/>
  <c r="X176" i="2"/>
  <c r="AH176" i="2"/>
  <c r="S178" i="2"/>
  <c r="R178" i="2"/>
  <c r="T180" i="2"/>
  <c r="R180" i="2"/>
  <c r="X180" i="2"/>
  <c r="AH180" i="2"/>
  <c r="S182" i="2"/>
  <c r="R182" i="2"/>
  <c r="T184" i="2"/>
  <c r="R184" i="2"/>
  <c r="X184" i="2"/>
  <c r="AH184" i="2"/>
  <c r="S186" i="2"/>
  <c r="R186" i="2"/>
  <c r="T188" i="2"/>
  <c r="R188" i="2"/>
  <c r="X188" i="2"/>
  <c r="AH188" i="2"/>
  <c r="S190" i="2"/>
  <c r="R190" i="2"/>
  <c r="T192" i="2"/>
  <c r="R192" i="2"/>
  <c r="X192" i="2"/>
  <c r="AH192" i="2"/>
  <c r="S194" i="2"/>
  <c r="R194" i="2"/>
  <c r="T196" i="2"/>
  <c r="R196" i="2"/>
  <c r="X196" i="2"/>
  <c r="AH196" i="2"/>
  <c r="S198" i="2"/>
  <c r="R198" i="2"/>
  <c r="T200" i="2"/>
  <c r="R200" i="2"/>
  <c r="X200" i="2"/>
  <c r="AH200" i="2"/>
  <c r="AH87" i="2"/>
  <c r="AH91" i="2"/>
  <c r="AH95" i="2"/>
  <c r="R97" i="2"/>
  <c r="R98" i="2"/>
  <c r="AH99" i="2"/>
  <c r="S101" i="2"/>
  <c r="S104" i="2"/>
  <c r="R104" i="2"/>
  <c r="R109" i="2"/>
  <c r="R110" i="2"/>
  <c r="S112" i="2"/>
  <c r="R112" i="2"/>
  <c r="R123" i="2"/>
  <c r="S123" i="2"/>
  <c r="R125" i="2"/>
  <c r="AH132" i="2"/>
  <c r="V132" i="2"/>
  <c r="R139" i="2"/>
  <c r="S139" i="2"/>
  <c r="R141" i="2"/>
  <c r="AH148" i="2"/>
  <c r="V148" i="2"/>
  <c r="R155" i="2"/>
  <c r="S155" i="2"/>
  <c r="R157" i="2"/>
  <c r="AH96" i="2"/>
  <c r="R99" i="2"/>
  <c r="AH100" i="2"/>
  <c r="R103" i="2"/>
  <c r="AH104" i="2"/>
  <c r="R107" i="2"/>
  <c r="AH108" i="2"/>
  <c r="R111" i="2"/>
  <c r="AH112" i="2"/>
  <c r="R115" i="2"/>
  <c r="AH116" i="2"/>
  <c r="V118" i="2"/>
  <c r="AH122" i="2"/>
  <c r="V126" i="2"/>
  <c r="AH130" i="2"/>
  <c r="V134" i="2"/>
  <c r="AH138" i="2"/>
  <c r="V142" i="2"/>
  <c r="AH146" i="2"/>
  <c r="V150" i="2"/>
  <c r="AH154" i="2"/>
  <c r="V158" i="2"/>
  <c r="V161" i="2"/>
  <c r="AH161" i="2"/>
  <c r="S163" i="2"/>
  <c r="R163" i="2"/>
  <c r="V165" i="2"/>
  <c r="AH165" i="2"/>
  <c r="S167" i="2"/>
  <c r="R167" i="2"/>
  <c r="V169" i="2"/>
  <c r="AH169" i="2"/>
  <c r="S171" i="2"/>
  <c r="R171" i="2"/>
  <c r="V173" i="2"/>
  <c r="AH173" i="2"/>
  <c r="S175" i="2"/>
  <c r="R175" i="2"/>
  <c r="V177" i="2"/>
  <c r="AH177" i="2"/>
  <c r="S179" i="2"/>
  <c r="R179" i="2"/>
  <c r="V181" i="2"/>
  <c r="AH181" i="2"/>
  <c r="S183" i="2"/>
  <c r="R183" i="2"/>
  <c r="V185" i="2"/>
  <c r="AH185" i="2"/>
  <c r="S187" i="2"/>
  <c r="R187" i="2"/>
  <c r="V189" i="2"/>
  <c r="AH189" i="2"/>
  <c r="S191" i="2"/>
  <c r="R191" i="2"/>
  <c r="V193" i="2"/>
  <c r="AH193" i="2"/>
  <c r="S195" i="2"/>
  <c r="R195" i="2"/>
  <c r="V197" i="2"/>
  <c r="AH197" i="2"/>
  <c r="S199" i="2"/>
  <c r="R199" i="2"/>
  <c r="V201" i="2"/>
  <c r="AH201" i="2"/>
  <c r="R161" i="2"/>
  <c r="U161" i="2"/>
  <c r="AH162" i="2"/>
  <c r="V162" i="2"/>
  <c r="AH166" i="2"/>
  <c r="V166" i="2"/>
  <c r="R169" i="2"/>
  <c r="U169" i="2"/>
  <c r="AH170" i="2"/>
  <c r="V170" i="2"/>
  <c r="R173" i="2"/>
  <c r="U173" i="2"/>
  <c r="AH174" i="2"/>
  <c r="V174" i="2"/>
  <c r="R177" i="2"/>
  <c r="U177" i="2"/>
  <c r="AH178" i="2"/>
  <c r="V178" i="2"/>
  <c r="R181" i="2"/>
  <c r="U181" i="2"/>
  <c r="AH182" i="2"/>
  <c r="V182" i="2"/>
  <c r="R185" i="2"/>
  <c r="U185" i="2"/>
  <c r="AH186" i="2"/>
  <c r="V186" i="2"/>
  <c r="AH190" i="2"/>
  <c r="V190" i="2"/>
  <c r="R193" i="2"/>
  <c r="U193" i="2"/>
  <c r="AH194" i="2"/>
  <c r="V194" i="2"/>
  <c r="AH198" i="2"/>
  <c r="V198" i="2"/>
  <c r="R201" i="2"/>
  <c r="U201" i="2"/>
  <c r="AH159" i="2"/>
  <c r="AH163" i="2"/>
  <c r="R165" i="2"/>
  <c r="AH167" i="2"/>
  <c r="AH171" i="2"/>
  <c r="AH175" i="2"/>
  <c r="AH179" i="2"/>
  <c r="AH183" i="2"/>
  <c r="AH187" i="2"/>
  <c r="R189" i="2"/>
  <c r="AH191" i="2"/>
  <c r="AH195" i="2"/>
  <c r="R197" i="2"/>
  <c r="AH199" i="2"/>
  <c r="R9" i="2" l="1"/>
  <c r="O9" i="2" s="1"/>
  <c r="AH3" i="2"/>
  <c r="AA2" i="2" s="1"/>
  <c r="W3" i="2"/>
  <c r="AH8" i="2"/>
  <c r="R8" i="2"/>
  <c r="O8" i="2" s="1"/>
  <c r="AH10" i="2"/>
  <c r="R10" i="2"/>
  <c r="O10" i="2" s="1"/>
  <c r="AH9" i="2"/>
  <c r="R3" i="2"/>
  <c r="O3" i="2" s="1"/>
</calcChain>
</file>

<file path=xl/sharedStrings.xml><?xml version="1.0" encoding="utf-8"?>
<sst xmlns="http://schemas.openxmlformats.org/spreadsheetml/2006/main" count="345" uniqueCount="313">
  <si>
    <t>Date of Birth
(DD/MM/YYYY)</t>
  </si>
  <si>
    <t>Age</t>
  </si>
  <si>
    <t>Member type</t>
  </si>
  <si>
    <t>Category</t>
  </si>
  <si>
    <t>SN</t>
  </si>
  <si>
    <t>Name</t>
  </si>
  <si>
    <t>Relation</t>
  </si>
  <si>
    <t>Gender</t>
  </si>
  <si>
    <t>Marital</t>
  </si>
  <si>
    <t>Age Band</t>
  </si>
  <si>
    <t>Eligible for</t>
  </si>
  <si>
    <t>Control</t>
  </si>
  <si>
    <r>
      <t xml:space="preserve">CHECK FORMAT INPUT
If </t>
    </r>
    <r>
      <rPr>
        <b/>
        <sz val="10"/>
        <color rgb="FFFF0000"/>
        <rFont val="Calibri"/>
        <family val="2"/>
        <scheme val="minor"/>
      </rPr>
      <t xml:space="preserve">RED </t>
    </r>
    <r>
      <rPr>
        <b/>
        <sz val="10"/>
        <color theme="0"/>
        <rFont val="Calibri"/>
        <family val="2"/>
        <scheme val="minor"/>
      </rPr>
      <t>Check &amp; input again</t>
    </r>
  </si>
  <si>
    <t>CHK Name</t>
  </si>
  <si>
    <t>CHK Gender</t>
  </si>
  <si>
    <t>CHK relation</t>
  </si>
  <si>
    <t>CHK Marital</t>
  </si>
  <si>
    <t>CHK DOB</t>
  </si>
  <si>
    <t>CHK Plan</t>
  </si>
  <si>
    <t>Age band Reference Table</t>
  </si>
  <si>
    <t>0-4</t>
  </si>
  <si>
    <t>CAT 1</t>
  </si>
  <si>
    <t>CAT 2</t>
  </si>
  <si>
    <t>E</t>
  </si>
  <si>
    <t>M</t>
  </si>
  <si>
    <t>5-9</t>
  </si>
  <si>
    <t>10-14</t>
  </si>
  <si>
    <t>15-19</t>
  </si>
  <si>
    <t>20-24</t>
  </si>
  <si>
    <t>25-29</t>
  </si>
  <si>
    <t>30-34</t>
  </si>
  <si>
    <t>35-39</t>
  </si>
  <si>
    <t>40-44</t>
  </si>
  <si>
    <t>45-49</t>
  </si>
  <si>
    <t>50-54</t>
  </si>
  <si>
    <t>55-59</t>
  </si>
  <si>
    <t>60-64</t>
  </si>
  <si>
    <t>65-69</t>
  </si>
  <si>
    <t>70-74</t>
  </si>
  <si>
    <t>75-79</t>
  </si>
  <si>
    <t>80-Above</t>
  </si>
  <si>
    <t>Validation number of items per column</t>
  </si>
  <si>
    <t>Validation min number of E for Life</t>
  </si>
  <si>
    <t xml:space="preserve">Overaged members excluded from </t>
  </si>
  <si>
    <t>health-CAT 1</t>
  </si>
  <si>
    <t>PA &amp; WC-CAT 1</t>
  </si>
  <si>
    <t>Overaged members excluded from</t>
  </si>
  <si>
    <t>health-CAT 2</t>
  </si>
  <si>
    <t>PA &amp; WC-CAT 2</t>
  </si>
  <si>
    <t>Relation List</t>
  </si>
  <si>
    <t>Gender List</t>
  </si>
  <si>
    <t>Category List</t>
  </si>
  <si>
    <t>Chk rel</t>
  </si>
  <si>
    <t>W</t>
  </si>
  <si>
    <t>F</t>
  </si>
  <si>
    <t>S</t>
  </si>
  <si>
    <t>H</t>
  </si>
  <si>
    <t>D</t>
  </si>
  <si>
    <t>Employee Male – Single</t>
  </si>
  <si>
    <t>Employee Male – Married</t>
  </si>
  <si>
    <t>Employee Female – Single</t>
  </si>
  <si>
    <t>Employee Female – Married</t>
  </si>
  <si>
    <t>Spouse – Male</t>
  </si>
  <si>
    <t>Spouse – Female</t>
  </si>
  <si>
    <t>Child – Male</t>
  </si>
  <si>
    <t>Child – Female</t>
  </si>
  <si>
    <t>CAT 3</t>
  </si>
  <si>
    <t>CAT 4</t>
  </si>
  <si>
    <t>Effective date</t>
  </si>
  <si>
    <t>date min</t>
  </si>
  <si>
    <t>date max</t>
  </si>
  <si>
    <t>Census Check</t>
  </si>
  <si>
    <t>Check Final</t>
  </si>
  <si>
    <t>nb non vide Age</t>
  </si>
  <si>
    <t>nb non vide Categ</t>
  </si>
  <si>
    <t>Health UW Loading</t>
  </si>
  <si>
    <t>Life UW Loading</t>
  </si>
  <si>
    <t>PA UW Loading</t>
  </si>
  <si>
    <t>Nationality</t>
  </si>
  <si>
    <t>Salvadoran</t>
  </si>
  <si>
    <t>Bahamian</t>
  </si>
  <si>
    <t>Togolese</t>
  </si>
  <si>
    <t>Surinamese</t>
  </si>
  <si>
    <t>Papua New Guinean</t>
  </si>
  <si>
    <t>Guyanese</t>
  </si>
  <si>
    <t>Paraguayan</t>
  </si>
  <si>
    <t>Chadian</t>
  </si>
  <si>
    <t>Sammarinese</t>
  </si>
  <si>
    <t>Antiguan</t>
  </si>
  <si>
    <t>Saint Lucian</t>
  </si>
  <si>
    <t>Pakistani</t>
  </si>
  <si>
    <t>American</t>
  </si>
  <si>
    <t>Canadian</t>
  </si>
  <si>
    <t>Afghan</t>
  </si>
  <si>
    <t>Bangladeshi</t>
  </si>
  <si>
    <t>Indian</t>
  </si>
  <si>
    <t>Nepalese</t>
  </si>
  <si>
    <t>Sri Lankan</t>
  </si>
  <si>
    <t>Malagasy</t>
  </si>
  <si>
    <t>Cambodian</t>
  </si>
  <si>
    <t>Chinese</t>
  </si>
  <si>
    <t>Indonesian</t>
  </si>
  <si>
    <t>Japanese</t>
  </si>
  <si>
    <t>Korean</t>
  </si>
  <si>
    <t>Malaysian</t>
  </si>
  <si>
    <t>Philippine</t>
  </si>
  <si>
    <t>Singapore</t>
  </si>
  <si>
    <t>Myanmarese</t>
  </si>
  <si>
    <t>Thai</t>
  </si>
  <si>
    <t>Vietnamese</t>
  </si>
  <si>
    <t>Fijian</t>
  </si>
  <si>
    <t>Eritrean</t>
  </si>
  <si>
    <t>Ethiopian</t>
  </si>
  <si>
    <t>Kenyan</t>
  </si>
  <si>
    <t>Kittitian</t>
  </si>
  <si>
    <t>Moldovan</t>
  </si>
  <si>
    <t>Somali</t>
  </si>
  <si>
    <t>South African</t>
  </si>
  <si>
    <t>Tanzanian</t>
  </si>
  <si>
    <t>Angolan</t>
  </si>
  <si>
    <t>Zambian</t>
  </si>
  <si>
    <t>Mauritanian</t>
  </si>
  <si>
    <t>Senegalese</t>
  </si>
  <si>
    <t>Nigerian</t>
  </si>
  <si>
    <t>Zimbabwean</t>
  </si>
  <si>
    <t>Trinidadian</t>
  </si>
  <si>
    <t>Jamaican</t>
  </si>
  <si>
    <t>Ugandan</t>
  </si>
  <si>
    <t>Ecuadorian</t>
  </si>
  <si>
    <t>Gambian</t>
  </si>
  <si>
    <t>Sierra Leonean</t>
  </si>
  <si>
    <t>Mauritian</t>
  </si>
  <si>
    <t>Ghanaian</t>
  </si>
  <si>
    <t>Namibian</t>
  </si>
  <si>
    <t>Monegasque</t>
  </si>
  <si>
    <t>Uruguayan</t>
  </si>
  <si>
    <t>Honduran</t>
  </si>
  <si>
    <t>Mongolian</t>
  </si>
  <si>
    <t>Guinean</t>
  </si>
  <si>
    <t>Estonian</t>
  </si>
  <si>
    <t>Beninese</t>
  </si>
  <si>
    <t>Ivorian</t>
  </si>
  <si>
    <t>Cameroonian</t>
  </si>
  <si>
    <t>Algerian</t>
  </si>
  <si>
    <t>Egyptian</t>
  </si>
  <si>
    <t>Emirati</t>
  </si>
  <si>
    <t>Iranian</t>
  </si>
  <si>
    <t>Iraqi</t>
  </si>
  <si>
    <t>Jordanian</t>
  </si>
  <si>
    <t>Lebanese</t>
  </si>
  <si>
    <t>Moroccan</t>
  </si>
  <si>
    <t>Omani</t>
  </si>
  <si>
    <t>Palestinian</t>
  </si>
  <si>
    <t>Saudi</t>
  </si>
  <si>
    <t>Sudanese</t>
  </si>
  <si>
    <t>Syrian</t>
  </si>
  <si>
    <t>Turkish</t>
  </si>
  <si>
    <t>Turkmen</t>
  </si>
  <si>
    <t>Yemeni</t>
  </si>
  <si>
    <t>Tunisian</t>
  </si>
  <si>
    <t>Kuwaiti</t>
  </si>
  <si>
    <t>Qatari</t>
  </si>
  <si>
    <t>Bahraini</t>
  </si>
  <si>
    <t>Libyan</t>
  </si>
  <si>
    <t>Argentine</t>
  </si>
  <si>
    <t>Armenian</t>
  </si>
  <si>
    <t>Australian</t>
  </si>
  <si>
    <t>Azerbaijani</t>
  </si>
  <si>
    <t>Belarusian</t>
  </si>
  <si>
    <t>Belgian</t>
  </si>
  <si>
    <t>Bosnian</t>
  </si>
  <si>
    <t>Brazilian</t>
  </si>
  <si>
    <t>British</t>
  </si>
  <si>
    <t>Bulgarian</t>
  </si>
  <si>
    <t>Comoran</t>
  </si>
  <si>
    <t>Croatian</t>
  </si>
  <si>
    <t>Cypriot</t>
  </si>
  <si>
    <t>Czech</t>
  </si>
  <si>
    <t>Danish</t>
  </si>
  <si>
    <t>Dominican</t>
  </si>
  <si>
    <t>Dutch</t>
  </si>
  <si>
    <t>French</t>
  </si>
  <si>
    <t>Greek</t>
  </si>
  <si>
    <t>Hungarian</t>
  </si>
  <si>
    <t>Irish</t>
  </si>
  <si>
    <t>Italian</t>
  </si>
  <si>
    <t>Kazakhstani</t>
  </si>
  <si>
    <t>New Zealand</t>
  </si>
  <si>
    <t>Polish</t>
  </si>
  <si>
    <t>Portuguese</t>
  </si>
  <si>
    <t>Romanian</t>
  </si>
  <si>
    <t>Russian</t>
  </si>
  <si>
    <t>Serbian</t>
  </si>
  <si>
    <t>Spanish</t>
  </si>
  <si>
    <t>Swazi</t>
  </si>
  <si>
    <t>Swedish</t>
  </si>
  <si>
    <t>Ukrainian</t>
  </si>
  <si>
    <t>Uzbek</t>
  </si>
  <si>
    <t>Finnish</t>
  </si>
  <si>
    <t>Venezuelan</t>
  </si>
  <si>
    <t>Swiss</t>
  </si>
  <si>
    <t>Macedonian</t>
  </si>
  <si>
    <t>Maltese</t>
  </si>
  <si>
    <t>Kyrgyzstani</t>
  </si>
  <si>
    <t>Austrian</t>
  </si>
  <si>
    <t>Norwegian</t>
  </si>
  <si>
    <t>Colombian</t>
  </si>
  <si>
    <t>Montenegrin</t>
  </si>
  <si>
    <t>Icelandic</t>
  </si>
  <si>
    <t>Cuban</t>
  </si>
  <si>
    <t>Slovak</t>
  </si>
  <si>
    <t>Belizean</t>
  </si>
  <si>
    <t>Lithuanian</t>
  </si>
  <si>
    <t>Georgian</t>
  </si>
  <si>
    <t>Djiboutian</t>
  </si>
  <si>
    <t>Latvian</t>
  </si>
  <si>
    <t>Seychellois</t>
  </si>
  <si>
    <t>Grenadian</t>
  </si>
  <si>
    <t>Tajikistani</t>
  </si>
  <si>
    <t>Chilean</t>
  </si>
  <si>
    <t>Peruvian</t>
  </si>
  <si>
    <t>Mexican</t>
  </si>
  <si>
    <t>Luxembourg</t>
  </si>
  <si>
    <t>Albanian</t>
  </si>
  <si>
    <t>Slovenian</t>
  </si>
  <si>
    <t>African Countries</t>
  </si>
  <si>
    <t>American Samoan</t>
  </si>
  <si>
    <t>Andorra</t>
  </si>
  <si>
    <t>Anguillian</t>
  </si>
  <si>
    <t>Antarctica</t>
  </si>
  <si>
    <t>Aruba</t>
  </si>
  <si>
    <t>Barbadian</t>
  </si>
  <si>
    <t>Basotho</t>
  </si>
  <si>
    <t>Bermudian</t>
  </si>
  <si>
    <t>Bhutanese</t>
  </si>
  <si>
    <t>Bolivian</t>
  </si>
  <si>
    <t>Bouvet Island</t>
  </si>
  <si>
    <t>British Indian Ocean Territory</t>
  </si>
  <si>
    <t>Bruneian</t>
  </si>
  <si>
    <t>Burkina Faso</t>
  </si>
  <si>
    <t>Burundian</t>
  </si>
  <si>
    <t>Cape Verdean</t>
  </si>
  <si>
    <t>Caymanian</t>
  </si>
  <si>
    <t>Central African</t>
  </si>
  <si>
    <t>Christmas Islanders</t>
  </si>
  <si>
    <t>Cis Countries</t>
  </si>
  <si>
    <t>Cocossian</t>
  </si>
  <si>
    <t>Congolese</t>
  </si>
  <si>
    <t>Cook Islander</t>
  </si>
  <si>
    <t>Costa Rican</t>
  </si>
  <si>
    <t>English</t>
  </si>
  <si>
    <t>Equatoguinean</t>
  </si>
  <si>
    <t>Europe</t>
  </si>
  <si>
    <t>Falkland Islander</t>
  </si>
  <si>
    <t>Faroese</t>
  </si>
  <si>
    <t>French Polynesia</t>
  </si>
  <si>
    <t>French Southern Territories</t>
  </si>
  <si>
    <t>Gabonese</t>
  </si>
  <si>
    <t>Germany</t>
  </si>
  <si>
    <t>Gibraltarian</t>
  </si>
  <si>
    <t>Greenlander</t>
  </si>
  <si>
    <t>Guam</t>
  </si>
  <si>
    <t>Guatemalan</t>
  </si>
  <si>
    <t>Gulf Countries</t>
  </si>
  <si>
    <t>Haitian</t>
  </si>
  <si>
    <t>Heard Island And Mcdonald Islands</t>
  </si>
  <si>
    <t>Vatican City State</t>
  </si>
  <si>
    <t>I-Kiribati</t>
  </si>
  <si>
    <t>Isle Of Man</t>
  </si>
  <si>
    <t>Israeli</t>
  </si>
  <si>
    <t>Laotian</t>
  </si>
  <si>
    <t>Liberian</t>
  </si>
  <si>
    <t>Liechtensteinian</t>
  </si>
  <si>
    <t>Mahoran</t>
  </si>
  <si>
    <t>Malawian</t>
  </si>
  <si>
    <t>Maldivian</t>
  </si>
  <si>
    <t>Malian</t>
  </si>
  <si>
    <t>Malta</t>
  </si>
  <si>
    <t>Marshallese</t>
  </si>
  <si>
    <t>Micronesian</t>
  </si>
  <si>
    <t>Montserrat</t>
  </si>
  <si>
    <t>Motswana</t>
  </si>
  <si>
    <t>Mozambican</t>
  </si>
  <si>
    <t>Nauruan</t>
  </si>
  <si>
    <t>Netherlands Antilles</t>
  </si>
  <si>
    <t>New Caledonia</t>
  </si>
  <si>
    <t>Nicaraguan</t>
  </si>
  <si>
    <t>Nigerien</t>
  </si>
  <si>
    <t>Niue</t>
  </si>
  <si>
    <t>Ni-Vanuatu</t>
  </si>
  <si>
    <t>Norfolk Island</t>
  </si>
  <si>
    <t>Northern Mariana Islands</t>
  </si>
  <si>
    <t>Palauan</t>
  </si>
  <si>
    <t>Panamanian</t>
  </si>
  <si>
    <t>Pitcairn</t>
  </si>
  <si>
    <t>Puerto Rican</t>
  </si>
  <si>
    <t>Rwandan</t>
  </si>
  <si>
    <t xml:space="preserve">Saint Helena </t>
  </si>
  <si>
    <t>Saint Pierre And Miquelon</t>
  </si>
  <si>
    <t>Samoan</t>
  </si>
  <si>
    <t>Santomean</t>
  </si>
  <si>
    <t>Solomon Islands</t>
  </si>
  <si>
    <t>South Georgia</t>
  </si>
  <si>
    <t>Svalbard And Jan Mayen</t>
  </si>
  <si>
    <t>Timorese</t>
  </si>
  <si>
    <t>Tokelauan</t>
  </si>
  <si>
    <t>Tongan</t>
  </si>
  <si>
    <t>Turks And Caicos Islands</t>
  </si>
  <si>
    <t>Tuvaluan</t>
  </si>
  <si>
    <t>United States Minor Outlying Islands</t>
  </si>
  <si>
    <t>Vincentian</t>
  </si>
  <si>
    <t>Virgin Islands</t>
  </si>
  <si>
    <t>Wallisian, Futunan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</si>
</sst>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Calibri"/>
      <family val="2"/>
      <scheme val="minor"/>
    </font>
    <font>
      <b/>
      <sz val="11"/>
      <color theme="0"/>
      <name val="Calibri"/>
      <family val="2"/>
      <scheme val="minor"/>
    </font>
    <font>
      <sz val="11"/>
      <color rgb="FFFF0000"/>
      <name val="Calibri"/>
      <family val="2"/>
      <scheme val="minor"/>
    </font>
    <font>
      <sz val="11"/>
      <color theme="0"/>
      <name val="Calibri"/>
      <family val="2"/>
      <scheme val="minor"/>
    </font>
    <font>
      <sz val="11"/>
      <color theme="1"/>
      <name val="Calibri"/>
      <family val="2"/>
      <scheme val="minor"/>
    </font>
    <font>
      <b/>
      <sz val="10"/>
      <color theme="0"/>
      <name val="Calibri"/>
      <family val="2"/>
      <scheme val="minor"/>
    </font>
    <font>
      <b/>
      <sz val="10"/>
      <color rgb="FFFF0000"/>
      <name val="Calibri"/>
      <family val="2"/>
      <scheme val="minor"/>
    </font>
    <font>
      <sz val="8"/>
      <color theme="0"/>
      <name val="Calibri"/>
      <family val="2"/>
      <scheme val="minor"/>
    </font>
    <font>
      <sz val="8"/>
      <color theme="1"/>
      <name val="Calibri"/>
      <family val="2"/>
      <scheme val="minor"/>
    </font>
    <font>
      <sz val="8"/>
      <name val="Calibri"/>
      <family val="2"/>
      <scheme val="minor"/>
    </font>
    <font>
      <sz val="9"/>
      <color theme="1"/>
      <name val="Calibri"/>
      <family val="2"/>
      <scheme val="minor"/>
    </font>
    <font>
      <sz val="10"/>
      <color theme="1"/>
      <name val="Calibri"/>
      <family val="2"/>
      <scheme val="minor"/>
    </font>
    <font>
      <sz val="10"/>
      <name val="Arial"/>
      <family val="2"/>
    </font>
    <font>
      <sz val="10"/>
      <name val="Verdana"/>
      <family val="2"/>
    </font>
    <font>
      <b/>
      <sz val="18"/>
      <color theme="3"/>
      <name val="Cambria"/>
      <family val="2"/>
      <scheme val="major"/>
    </font>
    <font>
      <sz val="11"/>
      <color rgb="FF9C6500"/>
      <name val="Calibri"/>
      <family val="2"/>
      <scheme val="minor"/>
    </font>
    <font>
      <sz val="10"/>
      <color theme="6"/>
      <name val="Calibri"/>
      <family val="2"/>
      <scheme val="minor"/>
    </font>
    <font>
      <b/>
      <sz val="9"/>
      <color theme="5"/>
      <name val="Calibri"/>
      <family val="2"/>
      <scheme val="minor"/>
    </font>
    <font>
      <b/>
      <sz val="14"/>
      <color theme="6"/>
      <name val="Calibri"/>
      <family val="2"/>
      <scheme val="minor"/>
    </font>
    <font>
      <sz val="8"/>
      <color theme="6"/>
      <name val="Calibri"/>
      <family val="2"/>
      <scheme val="minor"/>
    </font>
  </fonts>
  <fills count="15">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6" tint="-0.24994659260841701"/>
        <bgColor indexed="64"/>
      </patternFill>
    </fill>
    <fill>
      <patternFill patternType="solid">
        <fgColor rgb="FFECC2C8"/>
        <bgColor indexed="64"/>
      </patternFill>
    </fill>
    <fill>
      <patternFill patternType="solid">
        <fgColor theme="0"/>
        <bgColor indexed="64"/>
      </patternFill>
    </fill>
    <fill>
      <patternFill patternType="solid">
        <fgColor rgb="FFB73A4B"/>
        <bgColor indexed="64"/>
      </patternFill>
    </fill>
    <fill>
      <patternFill patternType="solid">
        <fgColor rgb="FF0070C0"/>
        <bgColor indexed="64"/>
      </patternFill>
    </fill>
    <fill>
      <patternFill patternType="solid">
        <fgColor theme="6" tint="0.59999389629810485"/>
        <bgColor indexed="64"/>
      </patternFill>
    </fill>
  </fills>
  <borders count="16">
    <border>
      <left/>
      <right/>
      <top/>
      <bottom/>
      <diagonal/>
    </border>
    <border>
      <left style="thin">
        <color theme="0" tint="-0.14996795556505021"/>
      </left>
      <right style="thin">
        <color theme="0" tint="-0.14996795556505021"/>
      </right>
      <top style="thin">
        <color theme="0" tint="-0.1499679555650502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dotted">
        <color indexed="64"/>
      </right>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dotted">
        <color indexed="64"/>
      </left>
      <right/>
      <top/>
      <bottom/>
      <diagonal/>
    </border>
    <border>
      <left style="medium">
        <color indexed="64"/>
      </left>
      <right style="hair">
        <color indexed="64"/>
      </right>
      <top/>
      <bottom/>
      <diagonal/>
    </border>
    <border>
      <left style="hair">
        <color indexed="64"/>
      </left>
      <right style="hair">
        <color indexed="64"/>
      </right>
      <top/>
      <bottom/>
      <diagonal/>
    </border>
    <border>
      <left style="hair">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5">
    <xf numFmtId="0" fontId="0" fillId="0" borderId="0"/>
    <xf numFmtId="43" fontId="4" fillId="0" borderId="0" applyFont="0" applyFill="0" applyBorder="0" applyAlignment="0" applyProtection="0"/>
    <xf numFmtId="43" fontId="4" fillId="0" borderId="0" applyFont="0" applyFill="0" applyBorder="0" applyAlignment="0" applyProtection="0"/>
    <xf numFmtId="0" fontId="12" fillId="0" borderId="0"/>
    <xf numFmtId="0" fontId="13"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0" borderId="0"/>
    <xf numFmtId="0" fontId="12" fillId="0" borderId="0"/>
    <xf numFmtId="0" fontId="13" fillId="0" borderId="0"/>
    <xf numFmtId="0" fontId="4" fillId="0" borderId="0"/>
    <xf numFmtId="0" fontId="4" fillId="0" borderId="0"/>
    <xf numFmtId="0" fontId="4" fillId="0" borderId="0"/>
    <xf numFmtId="0" fontId="4" fillId="0" borderId="0"/>
    <xf numFmtId="0" fontId="13" fillId="0" borderId="0"/>
    <xf numFmtId="0" fontId="4" fillId="0" borderId="0"/>
    <xf numFmtId="0" fontId="4" fillId="0" borderId="0"/>
    <xf numFmtId="0" fontId="4" fillId="0" borderId="0"/>
    <xf numFmtId="0" fontId="14" fillId="0" borderId="0" applyNumberFormat="0" applyFill="0" applyBorder="0" applyAlignment="0" applyProtection="0"/>
    <xf numFmtId="0" fontId="15"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1" fillId="9" borderId="0" applyNumberFormat="0" applyProtection="0">
      <alignment vertical="center"/>
    </xf>
    <xf numFmtId="0" fontId="16" fillId="0" borderId="0" applyFill="0" applyBorder="0" applyProtection="0">
      <alignment vertical="center"/>
    </xf>
    <xf numFmtId="0" fontId="17" fillId="0" borderId="0" applyNumberFormat="0" applyFill="0" applyProtection="0">
      <alignment vertical="center"/>
    </xf>
    <xf numFmtId="0" fontId="18" fillId="0" borderId="0" applyNumberFormat="0" applyProtection="0">
      <alignment vertical="center"/>
    </xf>
    <xf numFmtId="0" fontId="19" fillId="0" borderId="1">
      <alignment horizontal="left" vertical="center"/>
    </xf>
  </cellStyleXfs>
  <cellXfs count="80">
    <xf numFmtId="0" fontId="0" fillId="0" borderId="0" xfId="0"/>
    <xf numFmtId="14" fontId="0" fillId="0" borderId="0" xfId="0" applyNumberFormat="1"/>
    <xf numFmtId="14" fontId="11" fillId="10" borderId="0" xfId="0" applyNumberFormat="1" applyFont="1" applyFill="1" applyAlignment="1" applyProtection="1">
      <alignment horizontal="center"/>
      <protection locked="0"/>
    </xf>
    <xf numFmtId="14" fontId="11" fillId="11" borderId="0" xfId="0" applyNumberFormat="1" applyFont="1" applyFill="1" applyAlignment="1" applyProtection="1">
      <alignment horizontal="center"/>
      <protection locked="0"/>
    </xf>
    <xf numFmtId="49" fontId="1" fillId="12" borderId="0" xfId="0" applyNumberFormat="1" applyFont="1" applyFill="1" applyAlignment="1" applyProtection="1">
      <alignment horizontal="center" vertical="center"/>
      <protection hidden="1"/>
    </xf>
    <xf numFmtId="49" fontId="3" fillId="11" borderId="0" xfId="0" applyNumberFormat="1" applyFont="1" applyFill="1" applyAlignment="1">
      <alignment vertical="center"/>
    </xf>
    <xf numFmtId="49" fontId="3" fillId="13" borderId="0" xfId="0" applyNumberFormat="1" applyFont="1" applyFill="1" applyAlignment="1">
      <alignment vertical="center"/>
    </xf>
    <xf numFmtId="49" fontId="7" fillId="13" borderId="2" xfId="0" applyNumberFormat="1" applyFont="1" applyFill="1" applyBorder="1" applyAlignment="1" applyProtection="1">
      <alignment horizontal="left" vertical="center"/>
      <protection hidden="1"/>
    </xf>
    <xf numFmtId="49" fontId="7" fillId="13" borderId="3" xfId="0" applyNumberFormat="1" applyFont="1" applyFill="1" applyBorder="1" applyAlignment="1" applyProtection="1">
      <alignment vertical="center"/>
      <protection hidden="1"/>
    </xf>
    <xf numFmtId="49" fontId="11" fillId="10" borderId="0" xfId="0" applyNumberFormat="1" applyFont="1" applyFill="1" applyAlignment="1">
      <alignment horizontal="center"/>
    </xf>
    <xf numFmtId="49" fontId="0" fillId="11" borderId="0" xfId="0" applyNumberFormat="1" applyFill="1"/>
    <xf numFmtId="49" fontId="0" fillId="13" borderId="0" xfId="0" applyNumberFormat="1" applyFill="1"/>
    <xf numFmtId="49" fontId="0" fillId="0" borderId="0" xfId="0" applyNumberFormat="1"/>
    <xf numFmtId="49" fontId="9" fillId="11" borderId="4" xfId="0" applyNumberFormat="1" applyFont="1" applyFill="1" applyBorder="1" applyAlignment="1" applyProtection="1">
      <alignment horizontal="center"/>
      <protection hidden="1"/>
    </xf>
    <xf numFmtId="49" fontId="11" fillId="11" borderId="0" xfId="0" applyNumberFormat="1" applyFont="1" applyFill="1" applyAlignment="1">
      <alignment horizontal="center"/>
    </xf>
    <xf numFmtId="49" fontId="11" fillId="11" borderId="0" xfId="0" applyNumberFormat="1" applyFont="1" applyFill="1" applyProtection="1">
      <protection locked="0"/>
    </xf>
    <xf numFmtId="49" fontId="11" fillId="11" borderId="0" xfId="0" applyNumberFormat="1" applyFont="1" applyFill="1" applyAlignment="1" applyProtection="1">
      <alignment horizontal="center"/>
      <protection locked="0"/>
    </xf>
    <xf numFmtId="49" fontId="11" fillId="11" borderId="0" xfId="0" applyNumberFormat="1" applyFont="1" applyFill="1" applyAlignment="1" applyProtection="1">
      <alignment horizontal="center" wrapText="1"/>
      <protection locked="0"/>
    </xf>
    <xf numFmtId="49" fontId="10" fillId="11" borderId="0" xfId="0" applyNumberFormat="1" applyFont="1" applyFill="1" applyAlignment="1">
      <alignment horizontal="center"/>
    </xf>
    <xf numFmtId="49" fontId="10" fillId="11" borderId="5" xfId="0" applyNumberFormat="1" applyFont="1" applyFill="1" applyBorder="1" applyAlignment="1">
      <alignment horizontal="center"/>
    </xf>
    <xf numFmtId="49" fontId="8" fillId="11" borderId="0" xfId="0" applyNumberFormat="1" applyFont="1" applyFill="1" applyAlignment="1">
      <alignment horizontal="center"/>
    </xf>
    <xf numFmtId="49" fontId="8" fillId="0" borderId="0" xfId="1" applyNumberFormat="1" applyFont="1" applyAlignment="1" applyProtection="1">
      <alignment horizontal="right"/>
    </xf>
    <xf numFmtId="49" fontId="0" fillId="0" borderId="0" xfId="0" applyNumberFormat="1" applyProtection="1">
      <protection hidden="1"/>
    </xf>
    <xf numFmtId="49" fontId="2" fillId="11" borderId="0" xfId="0" applyNumberFormat="1" applyFont="1" applyFill="1"/>
    <xf numFmtId="49" fontId="0" fillId="11" borderId="0" xfId="0" applyNumberFormat="1" applyFill="1" applyAlignment="1">
      <alignment horizontal="center"/>
    </xf>
    <xf numFmtId="49" fontId="0" fillId="11" borderId="6" xfId="0" applyNumberFormat="1" applyFill="1" applyBorder="1" applyAlignment="1">
      <alignment horizontal="center"/>
    </xf>
    <xf numFmtId="49" fontId="0" fillId="11" borderId="7" xfId="0" applyNumberFormat="1" applyFill="1" applyBorder="1" applyAlignment="1">
      <alignment horizontal="center"/>
    </xf>
    <xf numFmtId="49" fontId="0" fillId="11" borderId="8" xfId="0" applyNumberFormat="1" applyFill="1" applyBorder="1" applyAlignment="1">
      <alignment horizontal="center"/>
    </xf>
    <xf numFmtId="49" fontId="10" fillId="11" borderId="9" xfId="0" applyNumberFormat="1" applyFont="1" applyFill="1" applyBorder="1" applyAlignment="1">
      <alignment horizontal="center"/>
    </xf>
    <xf numFmtId="49" fontId="0" fillId="11" borderId="0" xfId="0" applyNumberFormat="1" applyFill="1" applyAlignment="1" applyProtection="1">
      <alignment horizontal="center"/>
      <protection hidden="1"/>
    </xf>
    <xf numFmtId="49" fontId="0" fillId="11" borderId="0" xfId="0" applyNumberFormat="1" applyFill="1" applyProtection="1">
      <protection hidden="1"/>
    </xf>
    <xf numFmtId="49" fontId="0" fillId="0" borderId="0" xfId="0" applyNumberFormat="1" applyAlignment="1" applyProtection="1">
      <alignment horizontal="center"/>
      <protection hidden="1"/>
    </xf>
    <xf numFmtId="49" fontId="0" fillId="14" borderId="0" xfId="0" applyNumberFormat="1" applyFill="1" applyProtection="1">
      <protection hidden="1"/>
    </xf>
    <xf numFmtId="49" fontId="10" fillId="0" borderId="0" xfId="0" applyNumberFormat="1" applyFont="1" applyProtection="1">
      <protection hidden="1"/>
    </xf>
    <xf numFmtId="49" fontId="8" fillId="0" borderId="0" xfId="0" applyNumberFormat="1" applyFont="1" applyProtection="1">
      <protection hidden="1"/>
    </xf>
    <xf numFmtId="0" fontId="1" fillId="12" borderId="0" xfId="0" applyFont="1" applyFill="1" applyAlignment="1" applyProtection="1">
      <alignment horizontal="center" vertical="center"/>
      <protection hidden="1"/>
    </xf>
    <xf numFmtId="0" fontId="1" fillId="12" borderId="0" xfId="0" applyFont="1" applyFill="1" applyAlignment="1" applyProtection="1">
      <alignment horizontal="center" vertical="center" wrapText="1"/>
      <protection hidden="1"/>
    </xf>
    <xf numFmtId="0" fontId="11" fillId="10" borderId="0" xfId="0" applyFont="1" applyFill="1" applyAlignment="1">
      <alignment horizontal="center"/>
    </xf>
    <xf numFmtId="0" fontId="11" fillId="10" borderId="0" xfId="0" applyFont="1" applyFill="1" applyProtection="1">
      <protection locked="0"/>
    </xf>
    <xf numFmtId="0" fontId="11" fillId="10" borderId="0" xfId="0" applyFont="1" applyFill="1" applyAlignment="1" applyProtection="1">
      <alignment horizontal="center"/>
      <protection locked="0"/>
    </xf>
    <xf numFmtId="0" fontId="11" fillId="10" borderId="0" xfId="0" applyFont="1" applyFill="1" applyAlignment="1" applyProtection="1">
      <alignment horizontal="center" wrapText="1"/>
      <protection locked="0"/>
    </xf>
    <xf numFmtId="0" fontId="11" fillId="10" borderId="9" xfId="0" applyFont="1" applyFill="1" applyBorder="1" applyAlignment="1">
      <alignment horizontal="center"/>
    </xf>
    <xf numFmtId="0" fontId="11" fillId="11" borderId="0" xfId="0" applyFont="1" applyFill="1" applyAlignment="1">
      <alignment horizontal="center"/>
    </xf>
    <xf numFmtId="0" fontId="11" fillId="11" borderId="0" xfId="0" applyFont="1" applyFill="1" applyProtection="1">
      <protection locked="0"/>
    </xf>
    <xf numFmtId="0" fontId="11" fillId="11" borderId="0" xfId="0" applyFont="1" applyFill="1" applyAlignment="1" applyProtection="1">
      <alignment horizontal="center"/>
      <protection locked="0"/>
    </xf>
    <xf numFmtId="0" fontId="11" fillId="11" borderId="0" xfId="0" applyFont="1" applyFill="1" applyAlignment="1" applyProtection="1">
      <alignment horizontal="center" wrapText="1"/>
      <protection locked="0"/>
    </xf>
    <xf numFmtId="0" fontId="11" fillId="11" borderId="9" xfId="0" applyFont="1" applyFill="1" applyBorder="1" applyAlignment="1">
      <alignment horizontal="center"/>
    </xf>
    <xf numFmtId="49" fontId="3" fillId="13" borderId="0" xfId="0" applyNumberFormat="1" applyFont="1" applyFill="1" applyAlignment="1">
      <alignment vertical="center" wrapText="1"/>
    </xf>
    <xf numFmtId="0" fontId="0" fillId="13" borderId="0" xfId="0" applyFill="1"/>
    <xf numFmtId="0" fontId="2" fillId="11" borderId="0" xfId="0" applyFont="1" applyFill="1"/>
    <xf numFmtId="1" fontId="11" fillId="10" borderId="0" xfId="0" applyNumberFormat="1" applyFont="1" applyFill="1" applyAlignment="1">
      <alignment horizontal="center"/>
    </xf>
    <xf numFmtId="0" fontId="10" fillId="10" borderId="0" xfId="0" applyFont="1" applyFill="1" applyAlignment="1">
      <alignment horizontal="center"/>
    </xf>
    <xf numFmtId="0" fontId="10" fillId="10" borderId="5" xfId="0" applyFont="1" applyFill="1" applyBorder="1" applyAlignment="1">
      <alignment horizontal="center"/>
    </xf>
    <xf numFmtId="0" fontId="8" fillId="10" borderId="0" xfId="0" applyFont="1" applyFill="1" applyAlignment="1">
      <alignment horizontal="center"/>
    </xf>
    <xf numFmtId="0" fontId="0" fillId="10" borderId="10" xfId="0" applyFill="1" applyBorder="1" applyAlignment="1">
      <alignment horizontal="center"/>
    </xf>
    <xf numFmtId="0" fontId="0" fillId="10" borderId="11" xfId="0" applyFill="1" applyBorder="1" applyAlignment="1">
      <alignment horizontal="center"/>
    </xf>
    <xf numFmtId="0" fontId="0" fillId="10" borderId="12" xfId="0" applyFill="1" applyBorder="1" applyAlignment="1">
      <alignment horizontal="center"/>
    </xf>
    <xf numFmtId="0" fontId="10" fillId="11" borderId="0" xfId="0" applyFont="1" applyFill="1" applyAlignment="1">
      <alignment horizontal="center"/>
    </xf>
    <xf numFmtId="0" fontId="10" fillId="11" borderId="5" xfId="0" applyFont="1" applyFill="1" applyBorder="1" applyAlignment="1">
      <alignment horizontal="center"/>
    </xf>
    <xf numFmtId="0" fontId="8" fillId="11" borderId="0" xfId="0" applyFont="1" applyFill="1" applyAlignment="1">
      <alignment horizontal="center"/>
    </xf>
    <xf numFmtId="0" fontId="0" fillId="11" borderId="10" xfId="0" applyFill="1" applyBorder="1" applyAlignment="1">
      <alignment horizontal="center"/>
    </xf>
    <xf numFmtId="0" fontId="0" fillId="11" borderId="11" xfId="0" applyFill="1" applyBorder="1" applyAlignment="1">
      <alignment horizontal="center"/>
    </xf>
    <xf numFmtId="0" fontId="0" fillId="11" borderId="12" xfId="0" applyFill="1" applyBorder="1" applyAlignment="1">
      <alignment horizontal="center"/>
    </xf>
    <xf numFmtId="14" fontId="0" fillId="0" borderId="0" xfId="0" applyNumberFormat="1" applyProtection="1">
      <protection locked="0"/>
    </xf>
    <xf numFmtId="49" fontId="3" fillId="11" borderId="0" xfId="0" applyNumberFormat="1" applyFont="1" applyFill="1"/>
    <xf numFmtId="49" fontId="11" fillId="10" borderId="0" xfId="0" applyNumberFormat="1" applyFont="1" applyFill="1" applyAlignment="1" applyProtection="1">
      <alignment horizontal="center" wrapText="1"/>
      <protection locked="0"/>
    </xf>
    <xf numFmtId="14" fontId="11" fillId="0" borderId="0" xfId="0" applyNumberFormat="1" applyFont="1" applyAlignment="1" applyProtection="1">
      <alignment horizontal="center"/>
      <protection locked="0"/>
    </xf>
    <xf numFmtId="0" fontId="11" fillId="0" borderId="0" xfId="0" applyFont="1" applyAlignment="1" applyProtection="1">
      <alignment horizontal="center" wrapText="1"/>
      <protection locked="0"/>
    </xf>
    <xf numFmtId="0" fontId="11" fillId="0" borderId="0" xfId="0" applyFont="1" applyAlignment="1" applyProtection="1">
      <alignment horizontal="center"/>
      <protection locked="0"/>
    </xf>
    <xf numFmtId="0" fontId="11" fillId="0" borderId="0" xfId="0" applyFont="1" applyAlignment="1">
      <alignment horizontal="center"/>
    </xf>
    <xf numFmtId="14" fontId="1" fillId="12" borderId="0" xfId="0" applyNumberFormat="1" applyFont="1" applyFill="1" applyAlignment="1" applyProtection="1">
      <alignment horizontal="center" vertical="center" wrapText="1"/>
      <protection hidden="1"/>
    </xf>
    <xf numFmtId="14" fontId="0" fillId="11" borderId="0" xfId="0" applyNumberFormat="1" applyFill="1" applyProtection="1">
      <protection hidden="1"/>
    </xf>
    <xf numFmtId="14" fontId="0" fillId="0" borderId="0" xfId="0" applyNumberFormat="1" applyProtection="1">
      <protection hidden="1"/>
    </xf>
    <xf numFmtId="14" fontId="10" fillId="0" borderId="0" xfId="0" applyNumberFormat="1" applyFont="1" applyProtection="1">
      <protection hidden="1"/>
    </xf>
    <xf numFmtId="0" fontId="1" fillId="12" borderId="9" xfId="0" applyFont="1" applyFill="1" applyBorder="1" applyAlignment="1" applyProtection="1">
      <alignment horizontal="center" vertical="center"/>
      <protection hidden="1"/>
    </xf>
    <xf numFmtId="0" fontId="1" fillId="12" borderId="0" xfId="0" applyFont="1" applyFill="1" applyAlignment="1" applyProtection="1">
      <alignment horizontal="center" vertical="center"/>
      <protection hidden="1"/>
    </xf>
    <xf numFmtId="0" fontId="1" fillId="12" borderId="5" xfId="0" applyFont="1" applyFill="1" applyBorder="1" applyAlignment="1" applyProtection="1">
      <alignment horizontal="center" vertical="center"/>
      <protection hidden="1"/>
    </xf>
    <xf numFmtId="0" fontId="5" fillId="12" borderId="13" xfId="0" applyFont="1" applyFill="1" applyBorder="1" applyAlignment="1" applyProtection="1">
      <alignment horizontal="center" vertical="center" wrapText="1"/>
      <protection hidden="1"/>
    </xf>
    <xf numFmtId="0" fontId="5" fillId="12" borderId="14" xfId="0" applyFont="1" applyFill="1" applyBorder="1" applyAlignment="1" applyProtection="1">
      <alignment horizontal="center" vertical="center"/>
      <protection hidden="1"/>
    </xf>
    <xf numFmtId="0" fontId="5" fillId="12" borderId="15" xfId="0" applyFont="1" applyFill="1" applyBorder="1" applyAlignment="1" applyProtection="1">
      <alignment horizontal="center" vertical="center"/>
      <protection hidden="1"/>
    </xf>
  </cellXfs>
  <cellStyles count="35">
    <cellStyle name="60% - Accent1 2" xfId="24" xr:uid="{00000000-0005-0000-0000-00000C000000}"/>
    <cellStyle name="60% - Accent2 2" xfId="25" xr:uid="{00000000-0005-0000-0000-00000D000000}"/>
    <cellStyle name="60% - Accent3 2" xfId="26" xr:uid="{00000000-0005-0000-0000-00000E000000}"/>
    <cellStyle name="60% - Accent4 2" xfId="27" xr:uid="{00000000-0005-0000-0000-00000F000000}"/>
    <cellStyle name="60% - Accent5 2" xfId="28" xr:uid="{00000000-0005-0000-0000-000010000000}"/>
    <cellStyle name="60% - Accent6 2" xfId="29" xr:uid="{00000000-0005-0000-0000-000011000000}"/>
    <cellStyle name="Comma 18" xfId="2" xr:uid="{00000000-0005-0000-0000-00001B000000}"/>
    <cellStyle name="Data Labels" xfId="34" xr:uid="{00000000-0005-0000-0000-00001C000000}"/>
    <cellStyle name="Heading 1 2" xfId="30" xr:uid="{00000000-0005-0000-0000-000020000000}"/>
    <cellStyle name="Heading 3 2" xfId="32" xr:uid="{00000000-0005-0000-0000-000023000000}"/>
    <cellStyle name="Heading 4 2" xfId="33" xr:uid="{00000000-0005-0000-0000-000025000000}"/>
    <cellStyle name="Milliers 2" xfId="1" xr:uid="{00000000-0005-0000-0000-000028000000}"/>
    <cellStyle name="Neutral 2" xfId="23" xr:uid="{00000000-0005-0000-0000-000029000000}"/>
    <cellStyle name="Normal" xfId="0" builtinId="0"/>
    <cellStyle name="Normal 2" xfId="3" xr:uid="{00000000-0005-0000-0000-00002B000000}"/>
    <cellStyle name="Normal 2 2" xfId="31" xr:uid="{00000000-0005-0000-0000-00002C000000}"/>
    <cellStyle name="Normal 3" xfId="4" xr:uid="{00000000-0005-0000-0000-00002D000000}"/>
    <cellStyle name="Normal 3 2" xfId="5" xr:uid="{00000000-0005-0000-0000-00002E000000}"/>
    <cellStyle name="Normal 3 3" xfId="6" xr:uid="{00000000-0005-0000-0000-00002F000000}"/>
    <cellStyle name="Normal 3 4" xfId="7" xr:uid="{00000000-0005-0000-0000-000030000000}"/>
    <cellStyle name="Normal 3 5" xfId="8" xr:uid="{00000000-0005-0000-0000-000031000000}"/>
    <cellStyle name="Normal 3 6" xfId="9" xr:uid="{00000000-0005-0000-0000-000032000000}"/>
    <cellStyle name="Normal 3 7" xfId="10" xr:uid="{00000000-0005-0000-0000-000033000000}"/>
    <cellStyle name="Normal 4" xfId="11" xr:uid="{00000000-0005-0000-0000-000034000000}"/>
    <cellStyle name="Normal 5" xfId="12" xr:uid="{00000000-0005-0000-0000-000035000000}"/>
    <cellStyle name="Normal 6" xfId="13" xr:uid="{00000000-0005-0000-0000-000036000000}"/>
    <cellStyle name="Normal 6 2" xfId="14" xr:uid="{00000000-0005-0000-0000-000037000000}"/>
    <cellStyle name="Normal 6 3" xfId="15" xr:uid="{00000000-0005-0000-0000-000038000000}"/>
    <cellStyle name="Normal 7 2" xfId="16" xr:uid="{00000000-0005-0000-0000-000039000000}"/>
    <cellStyle name="Normal 7 3" xfId="17" xr:uid="{00000000-0005-0000-0000-00003A000000}"/>
    <cellStyle name="Normal 8" xfId="18" xr:uid="{00000000-0005-0000-0000-00003B000000}"/>
    <cellStyle name="Normal 8 2" xfId="19" xr:uid="{00000000-0005-0000-0000-00003C000000}"/>
    <cellStyle name="Normal 8 3" xfId="20" xr:uid="{00000000-0005-0000-0000-00003D000000}"/>
    <cellStyle name="Normal 9" xfId="21" xr:uid="{00000000-0005-0000-0000-00003E000000}"/>
    <cellStyle name="Title 2" xfId="22" xr:uid="{00000000-0005-0000-0000-000041000000}"/>
  </cellStyles>
  <dxfs count="3">
    <dxf>
      <fill>
        <patternFill>
          <bgColor theme="2" tint="-0.24994659260841701"/>
        </patternFill>
      </fill>
    </dxf>
    <dxf>
      <fill>
        <patternFill>
          <bgColor rgb="FFCCFF99"/>
        </patternFill>
      </fill>
    </dxf>
    <dxf>
      <font>
        <b/>
        <i val="0"/>
        <color theme="0"/>
      </font>
      <fill>
        <patternFill>
          <bgColor rgb="FFFA586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AN264"/>
  <sheetViews>
    <sheetView tabSelected="1" zoomScale="85" workbookViewId="0">
      <selection activeCell="H5" sqref="H5"/>
    </sheetView>
  </sheetViews>
  <sheetFormatPr defaultColWidth="11.42578125" defaultRowHeight="15" zeroHeight="1" x14ac:dyDescent="0.25"/>
  <cols>
    <col min="1" max="1" width="4.140625" style="31" bestFit="1" customWidth="1"/>
    <col min="2" max="2" width="39.28515625" style="22" customWidth="1"/>
    <col min="3" max="3" width="11" style="22" bestFit="1" customWidth="1"/>
    <col min="4" max="5" width="9.7109375" style="22" bestFit="1" customWidth="1"/>
    <col min="6" max="6" width="23.28515625" style="22" customWidth="1"/>
    <col min="7" max="7" width="17.85546875" style="72" customWidth="1"/>
    <col min="8" max="8" width="17.85546875" style="22" customWidth="1"/>
    <col min="9" max="9" width="13.42578125" style="22" customWidth="1"/>
    <col min="10" max="10" width="14.5703125" style="22" customWidth="1"/>
    <col min="11" max="11" width="12" style="22" customWidth="1"/>
    <col min="12" max="12" width="14.42578125" style="22" customWidth="1"/>
    <col min="13" max="14" width="14" style="22" customWidth="1"/>
    <col min="15" max="17" width="6.42578125" style="22" customWidth="1"/>
    <col min="18" max="18" width="9.5703125" style="22" customWidth="1"/>
    <col min="19" max="24" width="4.85546875" style="22" customWidth="1"/>
    <col min="25" max="25" width="9.5703125" style="22" customWidth="1"/>
    <col min="26" max="26" width="14.28515625" style="64" customWidth="1"/>
    <col min="27" max="27" width="15" style="22" bestFit="1" customWidth="1"/>
    <col min="28" max="28" width="11.5703125" style="22" customWidth="1"/>
    <col min="29" max="29" width="13.140625" style="22" customWidth="1"/>
    <col min="30" max="30" width="13" style="22" customWidth="1"/>
    <col min="31" max="31" width="12.140625" style="22" customWidth="1"/>
    <col min="32" max="32" width="10.5703125" style="22" customWidth="1"/>
    <col min="33" max="33" width="10.28515625" style="22" customWidth="1"/>
    <col min="34" max="34" width="12.42578125" style="22" customWidth="1"/>
    <col min="35" max="35" width="5.85546875" style="22" customWidth="1"/>
    <col min="36" max="36" width="18.42578125" style="22" customWidth="1"/>
    <col min="37" max="37" width="7.42578125" style="22" customWidth="1"/>
    <col min="38" max="38" width="8.85546875" style="22" customWidth="1"/>
    <col min="39" max="39" width="10" style="22" customWidth="1"/>
    <col min="40" max="40" width="11.5703125" style="22" customWidth="1"/>
    <col min="41" max="54" width="8.85546875" style="22" customWidth="1"/>
    <col min="55" max="55" width="11.42578125" style="22" customWidth="1"/>
    <col min="56" max="16384" width="11.42578125" style="22"/>
  </cols>
  <sheetData>
    <row r="1" spans="1:40" s="6" customFormat="1" ht="39.75" customHeight="1" thickBot="1" x14ac:dyDescent="0.3">
      <c r="A1" s="35" t="s">
        <v>4</v>
      </c>
      <c r="B1" s="35" t="s">
        <v>5</v>
      </c>
      <c r="C1" s="35" t="s">
        <v>6</v>
      </c>
      <c r="D1" s="35" t="s">
        <v>7</v>
      </c>
      <c r="E1" s="35" t="s">
        <v>8</v>
      </c>
      <c r="F1" s="35" t="s">
        <v>2</v>
      </c>
      <c r="G1" s="70" t="s">
        <v>0</v>
      </c>
      <c r="H1" s="36" t="s">
        <v>78</v>
      </c>
      <c r="I1" s="35" t="s">
        <v>3</v>
      </c>
      <c r="J1" s="35" t="s">
        <v>1</v>
      </c>
      <c r="K1" s="35" t="s">
        <v>9</v>
      </c>
      <c r="L1" s="36" t="s">
        <v>75</v>
      </c>
      <c r="M1" s="36" t="s">
        <v>76</v>
      </c>
      <c r="N1" s="36" t="s">
        <v>77</v>
      </c>
      <c r="O1" s="74" t="s">
        <v>10</v>
      </c>
      <c r="P1" s="75"/>
      <c r="Q1" s="76"/>
      <c r="R1" s="35" t="s">
        <v>11</v>
      </c>
      <c r="S1" s="77" t="s">
        <v>12</v>
      </c>
      <c r="T1" s="78"/>
      <c r="U1" s="78"/>
      <c r="V1" s="78"/>
      <c r="W1" s="78"/>
      <c r="X1" s="79"/>
      <c r="Y1" s="5"/>
      <c r="Z1" s="47" t="s">
        <v>68</v>
      </c>
      <c r="AA1" s="47" t="s">
        <v>71</v>
      </c>
      <c r="AB1" s="6" t="s">
        <v>13</v>
      </c>
      <c r="AC1" s="6" t="s">
        <v>14</v>
      </c>
      <c r="AD1" s="6" t="s">
        <v>15</v>
      </c>
      <c r="AE1" s="6" t="s">
        <v>16</v>
      </c>
      <c r="AF1" s="6" t="s">
        <v>17</v>
      </c>
      <c r="AG1" s="6" t="s">
        <v>18</v>
      </c>
      <c r="AH1" s="6" t="s">
        <v>72</v>
      </c>
      <c r="AJ1" s="7" t="s">
        <v>19</v>
      </c>
      <c r="AK1" s="8"/>
    </row>
    <row r="2" spans="1:40" s="11" customFormat="1" x14ac:dyDescent="0.25">
      <c r="A2" s="37">
        <v>1</v>
      </c>
      <c r="B2" s="38"/>
      <c r="C2" s="39"/>
      <c r="D2" s="40"/>
      <c r="E2" s="40"/>
      <c r="F2" s="39"/>
      <c r="G2" s="2"/>
      <c r="H2" s="39"/>
      <c r="I2" s="39"/>
      <c r="J2" s="50" t="str">
        <f t="shared" ref="J2:J33" si="0">IFERROR(IF(G2="","",ROUNDDOWN(IF($G2="","",(inception_date-$G2)/365.25),0)),0)</f>
        <v/>
      </c>
      <c r="K2" s="37" t="str">
        <f>IF(I2="","",IF($AM$3=1,IFERROR(IF(J2=FALSE,"",VLOOKUP(J2,$AJ$1:$AK$18,2,1)),""),IFERROR(IF(J2 = "FALSE","",VLOOKUP(J2,#REF!,2,TRUE)),"")))</f>
        <v/>
      </c>
      <c r="L2" s="37"/>
      <c r="M2" s="37"/>
      <c r="N2" s="37"/>
      <c r="O2" s="41" t="str">
        <f t="shared" ref="O2:O33" si="1">IF(C2="","",IF(R2=1,"Yes","No"))</f>
        <v/>
      </c>
      <c r="P2" s="51" t="str">
        <f>IFERROR(IF(C2="","",IF(AND(Census!C2="E",Census!J2&gt;=18,Census!J2&lt;=65),"Yes","No")),"ERROR")</f>
        <v/>
      </c>
      <c r="Q2" s="52" t="str">
        <f>IFERROR(IF(C2="","",IF(AND(Census!C2="E",Census!J2&gt;=18,Census!J2&lt;=64),"Yes","No")),"ERROR")</f>
        <v/>
      </c>
      <c r="R2" s="53">
        <f t="shared" ref="R2:R33" ca="1" si="2">IF(OR(AB2&lt;&gt;1,AC2&lt;&gt;1,AD2&lt;&gt;1,AF2&lt;&gt;1,AE2&lt;&gt;1,AG2&lt;&gt;1),-1,1)</f>
        <v>-1</v>
      </c>
      <c r="S2" s="54">
        <f t="shared" ref="S2:S33" si="3">AB2</f>
        <v>0</v>
      </c>
      <c r="T2" s="55">
        <f t="shared" ref="T2:T33" si="4">AC2</f>
        <v>0</v>
      </c>
      <c r="U2" s="55">
        <f t="shared" ref="U2:U33" si="5">AD2</f>
        <v>0</v>
      </c>
      <c r="V2" s="55">
        <f t="shared" ref="V2:V33" si="6">AE2</f>
        <v>0</v>
      </c>
      <c r="W2" s="55">
        <f t="shared" ref="W2:W33" ca="1" si="7">AF2</f>
        <v>-1</v>
      </c>
      <c r="X2" s="56">
        <f t="shared" ref="X2:X33" si="8">AG2</f>
        <v>0</v>
      </c>
      <c r="Y2" s="10"/>
      <c r="Z2" s="63">
        <v>45708</v>
      </c>
      <c r="AA2">
        <f ca="1">IF((COUNTIF(AH2:AH201,0)+COUNTIF(AH2:AH201,-1))&gt;MIN(COUNTIF(AE2:AE201,0),COUNTIF(AF2:AF201,-1),COUNTIF(AG2:AG201,0)),0,1)</f>
        <v>1</v>
      </c>
      <c r="AB2" s="48">
        <f t="shared" ref="AB2:AB33" si="9">IFERROR(IF(OR(B2=0,B2=""),0,1),0)</f>
        <v>0</v>
      </c>
      <c r="AC2" s="48">
        <f t="shared" ref="AC2:AC33" si="10">IFERROR(IF(OR(C2="S",C2="D"),IF(AND(C2="D",D2="F"),1,IF(AND(C2="S",D2="M"),1,0)),IF(OR(C2="W",C2="H"),IF(OR(AND(C2="W",D2="F"),AND(C2="H",D2="M")),1,),IF(OR(D2="M",D2="F"),1,0))),0)</f>
        <v>0</v>
      </c>
      <c r="AD2" s="48">
        <f t="shared" ref="AD2:AD33" si="11">IFERROR(IF(OR(C2="E",C2="W",C2="H"),1,IF(C2 = "S",IF(D2="M",1,0),IF(D2 = "F",1,0))),0)</f>
        <v>0</v>
      </c>
      <c r="AE2" s="48">
        <f t="shared" ref="AE2:AE33" si="12">IFERROR(IF(OR(E2="M",E2="S"),IF(E2="M",IF(OR(C2="S",C2 = "D"),0,1),IF(OR(C2="W",C2="H"),0,1)),0),0)</f>
        <v>0</v>
      </c>
      <c r="AF2">
        <f t="shared" ref="AF2:AF33" ca="1" si="13">IF(G2="",-1,IF(AND(G2&lt;=TODAY(),ISNUMBER(DATE(YEAR(G2),MONTH(G2),DAY(G2)))),IF(AND(OR(C2="S",C2="D"),J2&gt;24),-1,1),-1))</f>
        <v>-1</v>
      </c>
      <c r="AG2" s="48">
        <f t="shared" ref="AG2:AG33" si="14">IF(OR(I2="CAT 1",I2="CAT 2",I2="CAT 3",I2="CAT 4"),1,0)</f>
        <v>0</v>
      </c>
      <c r="AH2" s="48">
        <f t="shared" ref="AH2:AH33" ca="1" si="15">PRODUCT(AF2:AG2)*AE2</f>
        <v>0</v>
      </c>
      <c r="AJ2" s="13">
        <v>0</v>
      </c>
      <c r="AK2" s="13" t="s">
        <v>20</v>
      </c>
    </row>
    <row r="3" spans="1:40" s="12" customFormat="1" x14ac:dyDescent="0.25">
      <c r="A3" s="42">
        <v>2</v>
      </c>
      <c r="B3" s="43"/>
      <c r="C3" s="44"/>
      <c r="D3" s="67"/>
      <c r="E3" s="67"/>
      <c r="F3" s="39"/>
      <c r="G3" s="66"/>
      <c r="H3" s="68"/>
      <c r="I3" s="68"/>
      <c r="J3" s="69" t="str">
        <f t="shared" si="0"/>
        <v/>
      </c>
      <c r="K3" s="42" t="str">
        <f>IF(I3="","",IF($AM$3=1,IFERROR(IF(J3=FALSE,"",VLOOKUP(J3,$AJ$1:$AK$18,2,1)),""),IFERROR(IF(J3 = "FALSE","",VLOOKUP(J3,#REF!,2,TRUE)),"")))</f>
        <v/>
      </c>
      <c r="L3" s="42"/>
      <c r="M3" s="42"/>
      <c r="N3" s="42"/>
      <c r="O3" s="46" t="str">
        <f t="shared" si="1"/>
        <v/>
      </c>
      <c r="P3" s="57" t="str">
        <f>IFERROR(IF(C3="","",IF(AND(Census!C3="E",Census!J3&gt;=18,Census!J3&lt;=65),"Yes","No")),"ERROR")</f>
        <v/>
      </c>
      <c r="Q3" s="58" t="str">
        <f>IFERROR(IF(C3="","",IF(AND(Census!C3="E",Census!J3&gt;=18,Census!J3&lt;=64),"Yes","No")),"ERROR")</f>
        <v/>
      </c>
      <c r="R3" s="59">
        <f t="shared" ca="1" si="2"/>
        <v>-1</v>
      </c>
      <c r="S3" s="60">
        <f t="shared" si="3"/>
        <v>0</v>
      </c>
      <c r="T3" s="61">
        <f t="shared" si="4"/>
        <v>0</v>
      </c>
      <c r="U3" s="61">
        <f t="shared" si="5"/>
        <v>0</v>
      </c>
      <c r="V3" s="61">
        <f t="shared" si="6"/>
        <v>0</v>
      </c>
      <c r="W3" s="61">
        <f t="shared" ca="1" si="7"/>
        <v>-1</v>
      </c>
      <c r="X3" s="62">
        <f t="shared" si="8"/>
        <v>0</v>
      </c>
      <c r="Y3" s="10"/>
      <c r="Z3" s="10"/>
      <c r="AA3" s="10"/>
      <c r="AB3">
        <f t="shared" si="9"/>
        <v>0</v>
      </c>
      <c r="AC3">
        <f t="shared" si="10"/>
        <v>0</v>
      </c>
      <c r="AD3">
        <f t="shared" si="11"/>
        <v>0</v>
      </c>
      <c r="AE3">
        <f t="shared" si="12"/>
        <v>0</v>
      </c>
      <c r="AF3">
        <f t="shared" ca="1" si="13"/>
        <v>-1</v>
      </c>
      <c r="AG3">
        <f t="shared" si="14"/>
        <v>0</v>
      </c>
      <c r="AH3">
        <f t="shared" ca="1" si="15"/>
        <v>0</v>
      </c>
      <c r="AI3" s="12">
        <f ca="1">YEAR(TODAY())</f>
        <v>2025</v>
      </c>
      <c r="AJ3" s="13">
        <f t="shared" ref="AJ3:AJ18" si="16">AJ2+5</f>
        <v>5</v>
      </c>
      <c r="AK3" s="13" t="s">
        <v>25</v>
      </c>
      <c r="AM3" s="21">
        <v>1</v>
      </c>
    </row>
    <row r="4" spans="1:40" s="12" customFormat="1" x14ac:dyDescent="0.25">
      <c r="A4" s="37">
        <v>3</v>
      </c>
      <c r="B4" s="38"/>
      <c r="C4" s="39"/>
      <c r="D4" s="40"/>
      <c r="E4" s="40"/>
      <c r="F4" s="39"/>
      <c r="G4" s="2"/>
      <c r="H4" s="39"/>
      <c r="I4" s="39"/>
      <c r="J4" s="50" t="str">
        <f t="shared" si="0"/>
        <v/>
      </c>
      <c r="K4" s="37" t="str">
        <f>IF(I4="","",IF($AM$3=1,IFERROR(IF(J4=FALSE,"",VLOOKUP(J4,$AJ$1:$AK$18,2,1)),""),IFERROR(IF(J4 = "FALSE","",VLOOKUP(J4,#REF!,2,TRUE)),"")))</f>
        <v/>
      </c>
      <c r="L4" s="37"/>
      <c r="M4" s="37"/>
      <c r="N4" s="37"/>
      <c r="O4" s="41" t="str">
        <f t="shared" si="1"/>
        <v/>
      </c>
      <c r="P4" s="51" t="str">
        <f>IFERROR(IF(C4="","",IF(AND(Census!C4="E",Census!J4&gt;=18,Census!J4&lt;=65),"Yes","No")),"ERROR")</f>
        <v/>
      </c>
      <c r="Q4" s="52" t="str">
        <f>IFERROR(IF(C4="","",IF(AND(Census!C4="E",Census!J4&gt;=18,Census!J4&lt;=64),"Yes","No")),"ERROR")</f>
        <v/>
      </c>
      <c r="R4" s="53">
        <f t="shared" ca="1" si="2"/>
        <v>-1</v>
      </c>
      <c r="S4" s="54">
        <f t="shared" si="3"/>
        <v>0</v>
      </c>
      <c r="T4" s="55">
        <f t="shared" si="4"/>
        <v>0</v>
      </c>
      <c r="U4" s="55">
        <f t="shared" si="5"/>
        <v>0</v>
      </c>
      <c r="V4" s="55">
        <f t="shared" si="6"/>
        <v>0</v>
      </c>
      <c r="W4" s="55">
        <f t="shared" ca="1" si="7"/>
        <v>-1</v>
      </c>
      <c r="X4" s="56">
        <f t="shared" si="8"/>
        <v>0</v>
      </c>
      <c r="Y4" s="10"/>
      <c r="Z4" s="10"/>
      <c r="AA4" s="10"/>
      <c r="AB4">
        <f t="shared" si="9"/>
        <v>0</v>
      </c>
      <c r="AC4">
        <f t="shared" si="10"/>
        <v>0</v>
      </c>
      <c r="AD4">
        <f t="shared" si="11"/>
        <v>0</v>
      </c>
      <c r="AE4">
        <f t="shared" si="12"/>
        <v>0</v>
      </c>
      <c r="AF4">
        <f t="shared" ca="1" si="13"/>
        <v>-1</v>
      </c>
      <c r="AG4">
        <f t="shared" si="14"/>
        <v>0</v>
      </c>
      <c r="AH4">
        <f t="shared" ca="1" si="15"/>
        <v>0</v>
      </c>
      <c r="AJ4" s="13">
        <f t="shared" si="16"/>
        <v>10</v>
      </c>
      <c r="AK4" s="13" t="s">
        <v>26</v>
      </c>
    </row>
    <row r="5" spans="1:40" s="12" customFormat="1" x14ac:dyDescent="0.25">
      <c r="A5" s="42">
        <v>4</v>
      </c>
      <c r="B5" s="43"/>
      <c r="C5" s="44"/>
      <c r="D5" s="45"/>
      <c r="E5" s="67"/>
      <c r="F5" s="39"/>
      <c r="G5" s="66"/>
      <c r="H5" s="68"/>
      <c r="I5" s="68"/>
      <c r="J5" s="69" t="str">
        <f t="shared" si="0"/>
        <v/>
      </c>
      <c r="K5" s="42" t="str">
        <f>IF(I5="","",IF($AM$3=1,IFERROR(IF(J5=FALSE,"",VLOOKUP(J5,$AJ$1:$AK$18,2,1)),""),IFERROR(IF(J5 = "FALSE","",VLOOKUP(J5,#REF!,2,TRUE)),"")))</f>
        <v/>
      </c>
      <c r="L5" s="42"/>
      <c r="M5" s="42"/>
      <c r="N5" s="42"/>
      <c r="O5" s="46" t="str">
        <f t="shared" si="1"/>
        <v/>
      </c>
      <c r="P5" s="57" t="str">
        <f>IFERROR(IF(C5="","",IF(AND(Census!C5="E",Census!J5&gt;=18,Census!J5&lt;=65),"Yes","No")),"ERROR")</f>
        <v/>
      </c>
      <c r="Q5" s="58" t="str">
        <f>IFERROR(IF(C5="","",IF(AND(Census!C5="E",Census!J5&gt;=18,Census!J5&lt;=64),"Yes","No")),"ERROR")</f>
        <v/>
      </c>
      <c r="R5" s="59">
        <f t="shared" ca="1" si="2"/>
        <v>-1</v>
      </c>
      <c r="S5" s="60">
        <f t="shared" si="3"/>
        <v>0</v>
      </c>
      <c r="T5" s="61">
        <f t="shared" si="4"/>
        <v>0</v>
      </c>
      <c r="U5" s="61">
        <f t="shared" si="5"/>
        <v>0</v>
      </c>
      <c r="V5" s="61">
        <f t="shared" si="6"/>
        <v>0</v>
      </c>
      <c r="W5" s="61">
        <f t="shared" ca="1" si="7"/>
        <v>-1</v>
      </c>
      <c r="X5" s="62">
        <f t="shared" si="8"/>
        <v>0</v>
      </c>
      <c r="Y5" s="23"/>
      <c r="Z5" s="23"/>
      <c r="AA5" s="23"/>
      <c r="AB5">
        <f t="shared" si="9"/>
        <v>0</v>
      </c>
      <c r="AC5">
        <f t="shared" si="10"/>
        <v>0</v>
      </c>
      <c r="AD5">
        <f t="shared" si="11"/>
        <v>0</v>
      </c>
      <c r="AE5">
        <f t="shared" si="12"/>
        <v>0</v>
      </c>
      <c r="AF5">
        <f t="shared" ca="1" si="13"/>
        <v>-1</v>
      </c>
      <c r="AG5">
        <f t="shared" si="14"/>
        <v>0</v>
      </c>
      <c r="AH5">
        <f t="shared" ca="1" si="15"/>
        <v>0</v>
      </c>
      <c r="AJ5" s="13">
        <f t="shared" si="16"/>
        <v>15</v>
      </c>
      <c r="AK5" s="13" t="s">
        <v>27</v>
      </c>
    </row>
    <row r="6" spans="1:40" s="12" customFormat="1" x14ac:dyDescent="0.25">
      <c r="A6" s="37">
        <v>5</v>
      </c>
      <c r="B6" s="38"/>
      <c r="C6" s="39"/>
      <c r="D6" s="40"/>
      <c r="E6" s="40"/>
      <c r="F6" s="39"/>
      <c r="G6" s="2"/>
      <c r="H6" s="39"/>
      <c r="I6" s="39"/>
      <c r="J6" s="50" t="str">
        <f t="shared" si="0"/>
        <v/>
      </c>
      <c r="K6" s="37" t="str">
        <f>IF(I6="","",IF($AM$3=1,IFERROR(IF(J6=FALSE,"",VLOOKUP(J6,$AJ$1:$AK$18,2,1)),""),IFERROR(IF(J6 = "FALSE","",VLOOKUP(J6,#REF!,2,TRUE)),"")))</f>
        <v/>
      </c>
      <c r="L6" s="37"/>
      <c r="M6" s="37"/>
      <c r="N6" s="37"/>
      <c r="O6" s="41" t="str">
        <f t="shared" si="1"/>
        <v/>
      </c>
      <c r="P6" s="51" t="str">
        <f>IFERROR(IF(C6="","",IF(AND(Census!C6="E",Census!J6&gt;=18,Census!J6&lt;=65),"Yes","No")),"ERROR")</f>
        <v/>
      </c>
      <c r="Q6" s="52" t="str">
        <f>IFERROR(IF(C6="","",IF(AND(Census!C6="E",Census!J6&gt;=18,Census!J6&lt;=64),"Yes","No")),"ERROR")</f>
        <v/>
      </c>
      <c r="R6" s="53">
        <f t="shared" ca="1" si="2"/>
        <v>-1</v>
      </c>
      <c r="S6" s="54">
        <f t="shared" si="3"/>
        <v>0</v>
      </c>
      <c r="T6" s="55">
        <f t="shared" si="4"/>
        <v>0</v>
      </c>
      <c r="U6" s="55">
        <f t="shared" si="5"/>
        <v>0</v>
      </c>
      <c r="V6" s="55">
        <f t="shared" si="6"/>
        <v>0</v>
      </c>
      <c r="W6" s="55">
        <f t="shared" ca="1" si="7"/>
        <v>-1</v>
      </c>
      <c r="X6" s="56">
        <f t="shared" si="8"/>
        <v>0</v>
      </c>
      <c r="Y6" s="23"/>
      <c r="Z6" s="23"/>
      <c r="AA6" s="23"/>
      <c r="AB6">
        <f t="shared" si="9"/>
        <v>0</v>
      </c>
      <c r="AC6">
        <f t="shared" si="10"/>
        <v>0</v>
      </c>
      <c r="AD6">
        <f t="shared" si="11"/>
        <v>0</v>
      </c>
      <c r="AE6">
        <f t="shared" si="12"/>
        <v>0</v>
      </c>
      <c r="AF6">
        <f t="shared" ca="1" si="13"/>
        <v>-1</v>
      </c>
      <c r="AG6">
        <f t="shared" si="14"/>
        <v>0</v>
      </c>
      <c r="AH6">
        <f t="shared" ca="1" si="15"/>
        <v>0</v>
      </c>
      <c r="AJ6" s="13">
        <f t="shared" si="16"/>
        <v>20</v>
      </c>
      <c r="AK6" s="13" t="s">
        <v>28</v>
      </c>
      <c r="AM6" s="12" t="s">
        <v>69</v>
      </c>
      <c r="AN6" s="1">
        <f ca="1">AN7-(99*365.25)</f>
        <v>9553.25</v>
      </c>
    </row>
    <row r="7" spans="1:40" s="12" customFormat="1" x14ac:dyDescent="0.25">
      <c r="A7" s="42">
        <v>6</v>
      </c>
      <c r="B7" s="43"/>
      <c r="C7" s="44"/>
      <c r="D7" s="45"/>
      <c r="E7" s="67"/>
      <c r="F7" s="39"/>
      <c r="G7" s="66"/>
      <c r="H7" s="68"/>
      <c r="I7" s="68"/>
      <c r="J7" s="69" t="str">
        <f t="shared" si="0"/>
        <v/>
      </c>
      <c r="K7" s="42" t="str">
        <f>IF(I7="","",IF($AM$3=1,IFERROR(IF(J7=FALSE,"",VLOOKUP(J7,$AJ$1:$AK$18,2,1)),""),IFERROR(IF(J7 = "FALSE","",VLOOKUP(J7,#REF!,2,TRUE)),"")))</f>
        <v/>
      </c>
      <c r="L7" s="42"/>
      <c r="M7" s="42"/>
      <c r="N7" s="42"/>
      <c r="O7" s="46" t="str">
        <f t="shared" si="1"/>
        <v/>
      </c>
      <c r="P7" s="57" t="str">
        <f>IFERROR(IF(C7="","",IF(AND(Census!C7="E",Census!J7&gt;=18,Census!J7&lt;=65),"Yes","No")),"ERROR")</f>
        <v/>
      </c>
      <c r="Q7" s="58" t="str">
        <f>IFERROR(IF(C7="","",IF(AND(Census!C7="E",Census!J7&gt;=18,Census!J7&lt;=64),"Yes","No")),"ERROR")</f>
        <v/>
      </c>
      <c r="R7" s="59">
        <f t="shared" ca="1" si="2"/>
        <v>-1</v>
      </c>
      <c r="S7" s="60">
        <f t="shared" si="3"/>
        <v>0</v>
      </c>
      <c r="T7" s="61">
        <f t="shared" si="4"/>
        <v>0</v>
      </c>
      <c r="U7" s="61">
        <f t="shared" si="5"/>
        <v>0</v>
      </c>
      <c r="V7" s="61">
        <f t="shared" si="6"/>
        <v>0</v>
      </c>
      <c r="W7" s="61">
        <f t="shared" ca="1" si="7"/>
        <v>-1</v>
      </c>
      <c r="X7" s="62">
        <f t="shared" si="8"/>
        <v>0</v>
      </c>
      <c r="Y7" s="23"/>
      <c r="Z7" s="23"/>
      <c r="AA7" s="23"/>
      <c r="AB7">
        <f t="shared" si="9"/>
        <v>0</v>
      </c>
      <c r="AC7">
        <f t="shared" si="10"/>
        <v>0</v>
      </c>
      <c r="AD7">
        <f t="shared" si="11"/>
        <v>0</v>
      </c>
      <c r="AE7">
        <f t="shared" si="12"/>
        <v>0</v>
      </c>
      <c r="AF7">
        <f t="shared" ca="1" si="13"/>
        <v>-1</v>
      </c>
      <c r="AG7">
        <f t="shared" si="14"/>
        <v>0</v>
      </c>
      <c r="AH7">
        <f t="shared" ca="1" si="15"/>
        <v>0</v>
      </c>
      <c r="AJ7" s="13">
        <f t="shared" si="16"/>
        <v>25</v>
      </c>
      <c r="AK7" s="13" t="s">
        <v>29</v>
      </c>
      <c r="AM7" s="12" t="s">
        <v>70</v>
      </c>
      <c r="AN7" s="1">
        <f ca="1">TODAY()</f>
        <v>45713</v>
      </c>
    </row>
    <row r="8" spans="1:40" s="12" customFormat="1" x14ac:dyDescent="0.25">
      <c r="A8" s="37">
        <v>7</v>
      </c>
      <c r="B8" s="38"/>
      <c r="C8" s="39"/>
      <c r="D8" s="40"/>
      <c r="E8" s="40"/>
      <c r="F8" s="39"/>
      <c r="G8" s="2"/>
      <c r="H8" s="39"/>
      <c r="I8" s="39"/>
      <c r="J8" s="50" t="str">
        <f t="shared" si="0"/>
        <v/>
      </c>
      <c r="K8" s="37" t="str">
        <f>IF(I8="","",IF($AM$3=1,IFERROR(IF(J8=FALSE,"",VLOOKUP(J8,$AJ$1:$AK$18,2,1)),""),IFERROR(IF(J8 = "FALSE","",VLOOKUP(J8,#REF!,2,TRUE)),"")))</f>
        <v/>
      </c>
      <c r="L8" s="37"/>
      <c r="M8" s="37"/>
      <c r="N8" s="37"/>
      <c r="O8" s="41" t="str">
        <f t="shared" si="1"/>
        <v/>
      </c>
      <c r="P8" s="51" t="str">
        <f>IFERROR(IF(C8="","",IF(AND(Census!C8="E",Census!J8&gt;=18,Census!J8&lt;=65),"Yes","No")),"ERROR")</f>
        <v/>
      </c>
      <c r="Q8" s="52" t="str">
        <f>IFERROR(IF(C8="","",IF(AND(Census!C8="E",Census!J8&gt;=18,Census!J8&lt;=64),"Yes","No")),"ERROR")</f>
        <v/>
      </c>
      <c r="R8" s="53">
        <f t="shared" ca="1" si="2"/>
        <v>-1</v>
      </c>
      <c r="S8" s="54">
        <f t="shared" si="3"/>
        <v>0</v>
      </c>
      <c r="T8" s="55">
        <f t="shared" si="4"/>
        <v>0</v>
      </c>
      <c r="U8" s="55">
        <f t="shared" si="5"/>
        <v>0</v>
      </c>
      <c r="V8" s="55">
        <f t="shared" si="6"/>
        <v>0</v>
      </c>
      <c r="W8" s="55">
        <f t="shared" ca="1" si="7"/>
        <v>-1</v>
      </c>
      <c r="X8" s="56">
        <f t="shared" si="8"/>
        <v>0</v>
      </c>
      <c r="Y8" s="23"/>
      <c r="Z8" s="23"/>
      <c r="AA8" s="23"/>
      <c r="AB8">
        <f t="shared" si="9"/>
        <v>0</v>
      </c>
      <c r="AC8">
        <f t="shared" si="10"/>
        <v>0</v>
      </c>
      <c r="AD8">
        <f t="shared" si="11"/>
        <v>0</v>
      </c>
      <c r="AE8">
        <f t="shared" si="12"/>
        <v>0</v>
      </c>
      <c r="AF8">
        <f t="shared" ca="1" si="13"/>
        <v>-1</v>
      </c>
      <c r="AG8">
        <f t="shared" si="14"/>
        <v>0</v>
      </c>
      <c r="AH8">
        <f t="shared" ca="1" si="15"/>
        <v>0</v>
      </c>
      <c r="AJ8" s="13">
        <f t="shared" si="16"/>
        <v>30</v>
      </c>
      <c r="AK8" s="13" t="s">
        <v>30</v>
      </c>
    </row>
    <row r="9" spans="1:40" s="12" customFormat="1" x14ac:dyDescent="0.25">
      <c r="A9" s="42">
        <v>8</v>
      </c>
      <c r="B9" s="43"/>
      <c r="C9" s="44"/>
      <c r="D9" s="45"/>
      <c r="E9" s="45"/>
      <c r="F9" s="39"/>
      <c r="G9" s="66"/>
      <c r="H9" s="68"/>
      <c r="I9" s="68"/>
      <c r="J9" s="69" t="str">
        <f t="shared" si="0"/>
        <v/>
      </c>
      <c r="K9" s="42" t="str">
        <f>IF(I9="","",IF($AM$3=1,IFERROR(IF(J9=FALSE,"",VLOOKUP(J9,$AJ$1:$AK$18,2,1)),""),IFERROR(IF(J9 = "FALSE","",VLOOKUP(J9,#REF!,2,TRUE)),"")))</f>
        <v/>
      </c>
      <c r="L9" s="42"/>
      <c r="M9" s="42"/>
      <c r="N9" s="42"/>
      <c r="O9" s="46" t="str">
        <f t="shared" si="1"/>
        <v/>
      </c>
      <c r="P9" s="57" t="str">
        <f>IFERROR(IF(C9="","",IF(AND(Census!C9="E",Census!J9&gt;=18,Census!J9&lt;=65),"Yes","No")),"ERROR")</f>
        <v/>
      </c>
      <c r="Q9" s="58" t="str">
        <f>IFERROR(IF(C9="","",IF(AND(Census!C9="E",Census!J9&gt;=18,Census!J9&lt;=64),"Yes","No")),"ERROR")</f>
        <v/>
      </c>
      <c r="R9" s="59">
        <f t="shared" ca="1" si="2"/>
        <v>-1</v>
      </c>
      <c r="S9" s="60">
        <f t="shared" si="3"/>
        <v>0</v>
      </c>
      <c r="T9" s="61">
        <f t="shared" si="4"/>
        <v>0</v>
      </c>
      <c r="U9" s="61">
        <f t="shared" si="5"/>
        <v>0</v>
      </c>
      <c r="V9" s="61">
        <f t="shared" si="6"/>
        <v>0</v>
      </c>
      <c r="W9" s="61">
        <f t="shared" ca="1" si="7"/>
        <v>-1</v>
      </c>
      <c r="X9" s="62">
        <f t="shared" si="8"/>
        <v>0</v>
      </c>
      <c r="Y9" s="23"/>
      <c r="Z9" s="23"/>
      <c r="AA9" s="23"/>
      <c r="AB9">
        <f t="shared" si="9"/>
        <v>0</v>
      </c>
      <c r="AC9">
        <f t="shared" si="10"/>
        <v>0</v>
      </c>
      <c r="AD9">
        <f t="shared" si="11"/>
        <v>0</v>
      </c>
      <c r="AE9">
        <f t="shared" si="12"/>
        <v>0</v>
      </c>
      <c r="AF9">
        <f t="shared" ca="1" si="13"/>
        <v>-1</v>
      </c>
      <c r="AG9">
        <f t="shared" si="14"/>
        <v>0</v>
      </c>
      <c r="AH9">
        <f t="shared" ca="1" si="15"/>
        <v>0</v>
      </c>
      <c r="AJ9" s="13">
        <f t="shared" si="16"/>
        <v>35</v>
      </c>
      <c r="AK9" s="13" t="s">
        <v>31</v>
      </c>
      <c r="AN9" s="1"/>
    </row>
    <row r="10" spans="1:40" s="12" customFormat="1" x14ac:dyDescent="0.25">
      <c r="A10" s="37">
        <v>9</v>
      </c>
      <c r="B10" s="38"/>
      <c r="C10" s="39"/>
      <c r="D10" s="40"/>
      <c r="E10" s="40"/>
      <c r="F10" s="39"/>
      <c r="G10" s="2"/>
      <c r="H10" s="39"/>
      <c r="I10" s="39"/>
      <c r="J10" s="50" t="str">
        <f t="shared" si="0"/>
        <v/>
      </c>
      <c r="K10" s="37" t="str">
        <f>IF(I10="","",IF($AM$3=1,IFERROR(IF(J10=FALSE,"",VLOOKUP(J10,$AJ$1:$AK$18,2,1)),""),IFERROR(IF(J10 = "FALSE","",VLOOKUP(J10,#REF!,2,TRUE)),"")))</f>
        <v/>
      </c>
      <c r="L10" s="37"/>
      <c r="M10" s="37"/>
      <c r="N10" s="37"/>
      <c r="O10" s="41" t="str">
        <f t="shared" si="1"/>
        <v/>
      </c>
      <c r="P10" s="51" t="str">
        <f>IFERROR(IF(C10="","",IF(AND(Census!C10="E",Census!J10&gt;=18,Census!J10&lt;=65),"Yes","No")),"ERROR")</f>
        <v/>
      </c>
      <c r="Q10" s="52" t="str">
        <f>IFERROR(IF(C10="","",IF(AND(Census!C10="E",Census!J10&gt;=18,Census!J10&lt;=64),"Yes","No")),"ERROR")</f>
        <v/>
      </c>
      <c r="R10" s="53">
        <f t="shared" ca="1" si="2"/>
        <v>-1</v>
      </c>
      <c r="S10" s="54">
        <f t="shared" si="3"/>
        <v>0</v>
      </c>
      <c r="T10" s="55">
        <f t="shared" si="4"/>
        <v>0</v>
      </c>
      <c r="U10" s="55">
        <f t="shared" si="5"/>
        <v>0</v>
      </c>
      <c r="V10" s="55">
        <f t="shared" si="6"/>
        <v>0</v>
      </c>
      <c r="W10" s="55">
        <f t="shared" ca="1" si="7"/>
        <v>-1</v>
      </c>
      <c r="X10" s="56">
        <f t="shared" si="8"/>
        <v>0</v>
      </c>
      <c r="Y10" s="23"/>
      <c r="Z10" s="49"/>
      <c r="AA10" s="23"/>
      <c r="AB10">
        <f t="shared" si="9"/>
        <v>0</v>
      </c>
      <c r="AC10">
        <f t="shared" si="10"/>
        <v>0</v>
      </c>
      <c r="AD10">
        <f t="shared" si="11"/>
        <v>0</v>
      </c>
      <c r="AE10">
        <f t="shared" si="12"/>
        <v>0</v>
      </c>
      <c r="AF10">
        <f t="shared" ca="1" si="13"/>
        <v>-1</v>
      </c>
      <c r="AG10">
        <f t="shared" si="14"/>
        <v>0</v>
      </c>
      <c r="AH10">
        <f t="shared" ca="1" si="15"/>
        <v>0</v>
      </c>
      <c r="AJ10" s="13">
        <f t="shared" si="16"/>
        <v>40</v>
      </c>
      <c r="AK10" s="13" t="s">
        <v>32</v>
      </c>
    </row>
    <row r="11" spans="1:40" s="12" customFormat="1" x14ac:dyDescent="0.25">
      <c r="A11" s="42">
        <v>10</v>
      </c>
      <c r="B11" s="43"/>
      <c r="C11" s="44"/>
      <c r="D11" s="45"/>
      <c r="E11" s="45"/>
      <c r="F11" s="39"/>
      <c r="G11" s="66"/>
      <c r="H11" s="68"/>
      <c r="I11" s="68"/>
      <c r="J11" s="69" t="str">
        <f t="shared" si="0"/>
        <v/>
      </c>
      <c r="K11" s="42" t="str">
        <f>IF(I11="","",IF($AM$3=1,IFERROR(IF(J11=FALSE,"",VLOOKUP(J11,$AJ$1:$AK$18,2,1)),""),IFERROR(IF(J11 = "FALSE","",VLOOKUP(J11,#REF!,2,TRUE)),"")))</f>
        <v/>
      </c>
      <c r="L11" s="42"/>
      <c r="M11" s="42"/>
      <c r="N11" s="42"/>
      <c r="O11" s="46" t="str">
        <f t="shared" si="1"/>
        <v/>
      </c>
      <c r="P11" s="57" t="str">
        <f>IFERROR(IF(C11="","",IF(AND(Census!C11="E",Census!J11&gt;=18,Census!J11&lt;=65),"Yes","No")),"ERROR")</f>
        <v/>
      </c>
      <c r="Q11" s="58" t="str">
        <f>IFERROR(IF(C11="","",IF(AND(Census!C11="E",Census!J11&gt;=18,Census!J11&lt;=64),"Yes","No")),"ERROR")</f>
        <v/>
      </c>
      <c r="R11" s="59">
        <f t="shared" ca="1" si="2"/>
        <v>-1</v>
      </c>
      <c r="S11" s="60">
        <f t="shared" si="3"/>
        <v>0</v>
      </c>
      <c r="T11" s="61">
        <f t="shared" si="4"/>
        <v>0</v>
      </c>
      <c r="U11" s="61">
        <f t="shared" si="5"/>
        <v>0</v>
      </c>
      <c r="V11" s="61">
        <f t="shared" si="6"/>
        <v>0</v>
      </c>
      <c r="W11" s="61">
        <f t="shared" ca="1" si="7"/>
        <v>-1</v>
      </c>
      <c r="X11" s="62">
        <f t="shared" si="8"/>
        <v>0</v>
      </c>
      <c r="Y11" s="23"/>
      <c r="Z11" s="49"/>
      <c r="AA11" s="23"/>
      <c r="AB11">
        <f t="shared" si="9"/>
        <v>0</v>
      </c>
      <c r="AC11">
        <f t="shared" si="10"/>
        <v>0</v>
      </c>
      <c r="AD11">
        <f t="shared" si="11"/>
        <v>0</v>
      </c>
      <c r="AE11">
        <f t="shared" si="12"/>
        <v>0</v>
      </c>
      <c r="AF11">
        <f t="shared" ca="1" si="13"/>
        <v>-1</v>
      </c>
      <c r="AG11">
        <f t="shared" si="14"/>
        <v>0</v>
      </c>
      <c r="AH11">
        <f t="shared" ca="1" si="15"/>
        <v>0</v>
      </c>
      <c r="AJ11" s="13">
        <f t="shared" si="16"/>
        <v>45</v>
      </c>
      <c r="AK11" s="13" t="s">
        <v>33</v>
      </c>
    </row>
    <row r="12" spans="1:40" s="12" customFormat="1" x14ac:dyDescent="0.25">
      <c r="A12" s="37">
        <v>11</v>
      </c>
      <c r="B12" s="38"/>
      <c r="C12" s="39"/>
      <c r="D12" s="40"/>
      <c r="E12" s="40"/>
      <c r="F12" s="39"/>
      <c r="G12" s="2"/>
      <c r="H12" s="39"/>
      <c r="I12" s="39"/>
      <c r="J12" s="50" t="str">
        <f t="shared" si="0"/>
        <v/>
      </c>
      <c r="K12" s="37" t="str">
        <f>IF(I12="","",IF($AM$3=1,IFERROR(IF(J12=FALSE,"",VLOOKUP(J12,$AJ$1:$AK$18,2,1)),""),IFERROR(IF(J12 = "FALSE","",VLOOKUP(J12,#REF!,2,TRUE)),"")))</f>
        <v/>
      </c>
      <c r="L12" s="37"/>
      <c r="M12" s="37"/>
      <c r="N12" s="37"/>
      <c r="O12" s="41" t="str">
        <f t="shared" si="1"/>
        <v/>
      </c>
      <c r="P12" s="51" t="str">
        <f>IFERROR(IF(C12="","",IF(AND(Census!C12="E",Census!J12&gt;=18,Census!J12&lt;=65),"Yes","No")),"ERROR")</f>
        <v/>
      </c>
      <c r="Q12" s="52" t="str">
        <f>IFERROR(IF(C12="","",IF(AND(Census!C12="E",Census!J12&gt;=18,Census!J12&lt;=64),"Yes","No")),"ERROR")</f>
        <v/>
      </c>
      <c r="R12" s="53">
        <f t="shared" ca="1" si="2"/>
        <v>-1</v>
      </c>
      <c r="S12" s="54">
        <f t="shared" si="3"/>
        <v>0</v>
      </c>
      <c r="T12" s="55">
        <f t="shared" si="4"/>
        <v>0</v>
      </c>
      <c r="U12" s="55">
        <f t="shared" si="5"/>
        <v>0</v>
      </c>
      <c r="V12" s="55">
        <f t="shared" si="6"/>
        <v>0</v>
      </c>
      <c r="W12" s="55">
        <f t="shared" ca="1" si="7"/>
        <v>-1</v>
      </c>
      <c r="X12" s="56">
        <f t="shared" si="8"/>
        <v>0</v>
      </c>
      <c r="Y12" s="23"/>
      <c r="Z12" s="23"/>
      <c r="AA12" s="23"/>
      <c r="AB12">
        <f t="shared" si="9"/>
        <v>0</v>
      </c>
      <c r="AC12">
        <f t="shared" si="10"/>
        <v>0</v>
      </c>
      <c r="AD12">
        <f t="shared" si="11"/>
        <v>0</v>
      </c>
      <c r="AE12">
        <f t="shared" si="12"/>
        <v>0</v>
      </c>
      <c r="AF12">
        <f t="shared" ca="1" si="13"/>
        <v>-1</v>
      </c>
      <c r="AG12">
        <f t="shared" si="14"/>
        <v>0</v>
      </c>
      <c r="AH12">
        <f t="shared" ca="1" si="15"/>
        <v>0</v>
      </c>
      <c r="AJ12" s="13">
        <f t="shared" si="16"/>
        <v>50</v>
      </c>
      <c r="AK12" s="13" t="s">
        <v>34</v>
      </c>
    </row>
    <row r="13" spans="1:40" s="12" customFormat="1" x14ac:dyDescent="0.25">
      <c r="A13" s="42">
        <v>12</v>
      </c>
      <c r="B13" s="43"/>
      <c r="C13" s="44"/>
      <c r="D13" s="45"/>
      <c r="E13" s="45"/>
      <c r="F13" s="39"/>
      <c r="G13" s="66"/>
      <c r="H13" s="68"/>
      <c r="I13" s="68"/>
      <c r="J13" s="69" t="str">
        <f t="shared" si="0"/>
        <v/>
      </c>
      <c r="K13" s="42" t="str">
        <f>IF(I13="","",IF($AM$3=1,IFERROR(IF(J13=FALSE,"",VLOOKUP(J13,$AJ$1:$AK$18,2,1)),""),IFERROR(IF(J13 = "FALSE","",VLOOKUP(J13,#REF!,2,TRUE)),"")))</f>
        <v/>
      </c>
      <c r="L13" s="42"/>
      <c r="M13" s="42"/>
      <c r="N13" s="42"/>
      <c r="O13" s="46" t="str">
        <f t="shared" si="1"/>
        <v/>
      </c>
      <c r="P13" s="57" t="str">
        <f>IFERROR(IF(C13="","",IF(AND(Census!C13="E",Census!J13&gt;=18,Census!J13&lt;=65),"Yes","No")),"ERROR")</f>
        <v/>
      </c>
      <c r="Q13" s="58" t="str">
        <f>IFERROR(IF(C13="","",IF(AND(Census!C13="E",Census!J13&gt;=18,Census!J13&lt;=64),"Yes","No")),"ERROR")</f>
        <v/>
      </c>
      <c r="R13" s="59">
        <f t="shared" ca="1" si="2"/>
        <v>-1</v>
      </c>
      <c r="S13" s="60">
        <f t="shared" si="3"/>
        <v>0</v>
      </c>
      <c r="T13" s="61">
        <f t="shared" si="4"/>
        <v>0</v>
      </c>
      <c r="U13" s="61">
        <f t="shared" si="5"/>
        <v>0</v>
      </c>
      <c r="V13" s="61">
        <f t="shared" si="6"/>
        <v>0</v>
      </c>
      <c r="W13" s="61">
        <f t="shared" ca="1" si="7"/>
        <v>-1</v>
      </c>
      <c r="X13" s="62">
        <f t="shared" si="8"/>
        <v>0</v>
      </c>
      <c r="Y13" s="23"/>
      <c r="Z13" s="23"/>
      <c r="AA13" s="23"/>
      <c r="AB13">
        <f t="shared" si="9"/>
        <v>0</v>
      </c>
      <c r="AC13">
        <f t="shared" si="10"/>
        <v>0</v>
      </c>
      <c r="AD13">
        <f t="shared" si="11"/>
        <v>0</v>
      </c>
      <c r="AE13">
        <f t="shared" si="12"/>
        <v>0</v>
      </c>
      <c r="AF13">
        <f t="shared" ca="1" si="13"/>
        <v>-1</v>
      </c>
      <c r="AG13">
        <f t="shared" si="14"/>
        <v>0</v>
      </c>
      <c r="AH13">
        <f t="shared" ca="1" si="15"/>
        <v>0</v>
      </c>
      <c r="AJ13" s="13">
        <f t="shared" si="16"/>
        <v>55</v>
      </c>
      <c r="AK13" s="13" t="s">
        <v>35</v>
      </c>
    </row>
    <row r="14" spans="1:40" s="12" customFormat="1" x14ac:dyDescent="0.25">
      <c r="A14" s="37">
        <v>13</v>
      </c>
      <c r="B14" s="38"/>
      <c r="C14" s="39"/>
      <c r="D14" s="40"/>
      <c r="E14" s="40"/>
      <c r="F14" s="39"/>
      <c r="G14" s="2"/>
      <c r="H14" s="39"/>
      <c r="I14" s="39"/>
      <c r="J14" s="50" t="str">
        <f t="shared" si="0"/>
        <v/>
      </c>
      <c r="K14" s="37" t="str">
        <f>IF(I14="","",IF($AM$3=1,IFERROR(IF(J14=FALSE,"",VLOOKUP(J14,$AJ$1:$AK$18,2,1)),""),IFERROR(IF(J14 = "FALSE","",VLOOKUP(J14,#REF!,2,TRUE)),"")))</f>
        <v/>
      </c>
      <c r="L14" s="37"/>
      <c r="M14" s="37"/>
      <c r="N14" s="37"/>
      <c r="O14" s="41" t="str">
        <f t="shared" si="1"/>
        <v/>
      </c>
      <c r="P14" s="51" t="str">
        <f>IFERROR(IF(C14="","",IF(AND(Census!C14="E",Census!J14&gt;=18,Census!J14&lt;=65),"Yes","No")),"ERROR")</f>
        <v/>
      </c>
      <c r="Q14" s="52" t="str">
        <f>IFERROR(IF(C14="","",IF(AND(Census!C14="E",Census!J14&gt;=18,Census!J14&lt;=64),"Yes","No")),"ERROR")</f>
        <v/>
      </c>
      <c r="R14" s="53">
        <f t="shared" ca="1" si="2"/>
        <v>-1</v>
      </c>
      <c r="S14" s="54">
        <f t="shared" si="3"/>
        <v>0</v>
      </c>
      <c r="T14" s="55">
        <f t="shared" si="4"/>
        <v>0</v>
      </c>
      <c r="U14" s="55">
        <f t="shared" si="5"/>
        <v>0</v>
      </c>
      <c r="V14" s="55">
        <f t="shared" si="6"/>
        <v>0</v>
      </c>
      <c r="W14" s="55">
        <f t="shared" ca="1" si="7"/>
        <v>-1</v>
      </c>
      <c r="X14" s="56">
        <f t="shared" si="8"/>
        <v>0</v>
      </c>
      <c r="Y14" s="23"/>
      <c r="Z14" s="23"/>
      <c r="AA14" s="23"/>
      <c r="AB14">
        <f t="shared" si="9"/>
        <v>0</v>
      </c>
      <c r="AC14">
        <f t="shared" si="10"/>
        <v>0</v>
      </c>
      <c r="AD14">
        <f t="shared" si="11"/>
        <v>0</v>
      </c>
      <c r="AE14">
        <f t="shared" si="12"/>
        <v>0</v>
      </c>
      <c r="AF14">
        <f t="shared" ca="1" si="13"/>
        <v>-1</v>
      </c>
      <c r="AG14">
        <f t="shared" si="14"/>
        <v>0</v>
      </c>
      <c r="AH14">
        <f t="shared" ca="1" si="15"/>
        <v>0</v>
      </c>
      <c r="AJ14" s="13">
        <f t="shared" si="16"/>
        <v>60</v>
      </c>
      <c r="AK14" s="13" t="s">
        <v>36</v>
      </c>
    </row>
    <row r="15" spans="1:40" s="12" customFormat="1" x14ac:dyDescent="0.25">
      <c r="A15" s="42">
        <v>14</v>
      </c>
      <c r="B15" s="43"/>
      <c r="C15" s="44"/>
      <c r="D15" s="45"/>
      <c r="E15" s="45"/>
      <c r="F15" s="39"/>
      <c r="G15" s="66"/>
      <c r="H15" s="68"/>
      <c r="I15" s="68"/>
      <c r="J15" s="69" t="str">
        <f t="shared" si="0"/>
        <v/>
      </c>
      <c r="K15" s="42" t="str">
        <f>IF(I15="","",IF($AM$3=1,IFERROR(IF(J15=FALSE,"",VLOOKUP(J15,$AJ$1:$AK$18,2,1)),""),IFERROR(IF(J15 = "FALSE","",VLOOKUP(J15,#REF!,2,TRUE)),"")))</f>
        <v/>
      </c>
      <c r="L15" s="42"/>
      <c r="M15" s="42"/>
      <c r="N15" s="42"/>
      <c r="O15" s="46" t="str">
        <f t="shared" si="1"/>
        <v/>
      </c>
      <c r="P15" s="57" t="str">
        <f>IFERROR(IF(C15="","",IF(AND(Census!C15="E",Census!J15&gt;=18,Census!J15&lt;=65),"Yes","No")),"ERROR")</f>
        <v/>
      </c>
      <c r="Q15" s="58" t="str">
        <f>IFERROR(IF(C15="","",IF(AND(Census!C15="E",Census!J15&gt;=18,Census!J15&lt;=64),"Yes","No")),"ERROR")</f>
        <v/>
      </c>
      <c r="R15" s="59">
        <f t="shared" ca="1" si="2"/>
        <v>-1</v>
      </c>
      <c r="S15" s="60">
        <f t="shared" si="3"/>
        <v>0</v>
      </c>
      <c r="T15" s="61">
        <f t="shared" si="4"/>
        <v>0</v>
      </c>
      <c r="U15" s="61">
        <f t="shared" si="5"/>
        <v>0</v>
      </c>
      <c r="V15" s="61">
        <f t="shared" si="6"/>
        <v>0</v>
      </c>
      <c r="W15" s="61">
        <f t="shared" ca="1" si="7"/>
        <v>-1</v>
      </c>
      <c r="X15" s="62">
        <f t="shared" si="8"/>
        <v>0</v>
      </c>
      <c r="Y15" s="23"/>
      <c r="Z15" s="23"/>
      <c r="AA15" s="23"/>
      <c r="AB15">
        <f t="shared" si="9"/>
        <v>0</v>
      </c>
      <c r="AC15">
        <f t="shared" si="10"/>
        <v>0</v>
      </c>
      <c r="AD15">
        <f t="shared" si="11"/>
        <v>0</v>
      </c>
      <c r="AE15">
        <f t="shared" si="12"/>
        <v>0</v>
      </c>
      <c r="AF15">
        <f t="shared" ca="1" si="13"/>
        <v>-1</v>
      </c>
      <c r="AG15">
        <f t="shared" si="14"/>
        <v>0</v>
      </c>
      <c r="AH15">
        <f t="shared" ca="1" si="15"/>
        <v>0</v>
      </c>
      <c r="AJ15" s="13">
        <f t="shared" si="16"/>
        <v>65</v>
      </c>
      <c r="AK15" s="13" t="s">
        <v>37</v>
      </c>
    </row>
    <row r="16" spans="1:40" s="12" customFormat="1" x14ac:dyDescent="0.25">
      <c r="A16" s="37">
        <v>15</v>
      </c>
      <c r="B16" s="38"/>
      <c r="C16" s="39"/>
      <c r="D16" s="40"/>
      <c r="E16" s="40"/>
      <c r="F16" s="39"/>
      <c r="G16" s="2"/>
      <c r="H16" s="39"/>
      <c r="I16" s="39"/>
      <c r="J16" s="50" t="str">
        <f t="shared" si="0"/>
        <v/>
      </c>
      <c r="K16" s="37" t="str">
        <f>IF(I16="","",IF($AM$3=1,IFERROR(IF(J16=FALSE,"",VLOOKUP(J16,$AJ$1:$AK$18,2,1)),""),IFERROR(IF(J16 = "FALSE","",VLOOKUP(J16,#REF!,2,TRUE)),"")))</f>
        <v/>
      </c>
      <c r="L16" s="37"/>
      <c r="M16" s="37"/>
      <c r="N16" s="37"/>
      <c r="O16" s="41" t="str">
        <f t="shared" si="1"/>
        <v/>
      </c>
      <c r="P16" s="51" t="str">
        <f>IFERROR(IF(C16="","",IF(AND(Census!C16="E",Census!J16&gt;=18,Census!J16&lt;=65),"Yes","No")),"ERROR")</f>
        <v/>
      </c>
      <c r="Q16" s="52" t="str">
        <f>IFERROR(IF(C16="","",IF(AND(Census!C16="E",Census!J16&gt;=18,Census!J16&lt;=64),"Yes","No")),"ERROR")</f>
        <v/>
      </c>
      <c r="R16" s="53">
        <f t="shared" ca="1" si="2"/>
        <v>-1</v>
      </c>
      <c r="S16" s="54">
        <f t="shared" si="3"/>
        <v>0</v>
      </c>
      <c r="T16" s="55">
        <f t="shared" si="4"/>
        <v>0</v>
      </c>
      <c r="U16" s="55">
        <f t="shared" si="5"/>
        <v>0</v>
      </c>
      <c r="V16" s="55">
        <f t="shared" si="6"/>
        <v>0</v>
      </c>
      <c r="W16" s="55">
        <f t="shared" ca="1" si="7"/>
        <v>-1</v>
      </c>
      <c r="X16" s="56">
        <f t="shared" si="8"/>
        <v>0</v>
      </c>
      <c r="Y16" s="23"/>
      <c r="Z16" s="23"/>
      <c r="AA16" s="23"/>
      <c r="AB16">
        <f t="shared" si="9"/>
        <v>0</v>
      </c>
      <c r="AC16">
        <f t="shared" si="10"/>
        <v>0</v>
      </c>
      <c r="AD16">
        <f t="shared" si="11"/>
        <v>0</v>
      </c>
      <c r="AE16">
        <f t="shared" si="12"/>
        <v>0</v>
      </c>
      <c r="AF16">
        <f t="shared" ca="1" si="13"/>
        <v>-1</v>
      </c>
      <c r="AG16">
        <f t="shared" si="14"/>
        <v>0</v>
      </c>
      <c r="AH16">
        <f t="shared" ca="1" si="15"/>
        <v>0</v>
      </c>
      <c r="AJ16" s="13">
        <f t="shared" si="16"/>
        <v>70</v>
      </c>
      <c r="AK16" s="13" t="s">
        <v>38</v>
      </c>
    </row>
    <row r="17" spans="1:37" s="12" customFormat="1" x14ac:dyDescent="0.25">
      <c r="A17" s="42">
        <v>16</v>
      </c>
      <c r="B17" s="43"/>
      <c r="C17" s="44"/>
      <c r="D17" s="17"/>
      <c r="E17" s="17"/>
      <c r="F17" s="39"/>
      <c r="G17" s="66"/>
      <c r="H17" s="68"/>
      <c r="I17" s="68"/>
      <c r="J17" s="69" t="str">
        <f t="shared" si="0"/>
        <v/>
      </c>
      <c r="K17" s="42" t="str">
        <f>IF(I17="","",IF($AM$3=1,IFERROR(IF(J17=FALSE,"",VLOOKUP(J17,$AJ$1:$AK$18,2,1)),""),IFERROR(IF(J17 = "FALSE","",VLOOKUP(J17,#REF!,2,TRUE)),"")))</f>
        <v/>
      </c>
      <c r="L17" s="42"/>
      <c r="M17" s="42"/>
      <c r="N17" s="42"/>
      <c r="O17" s="46" t="str">
        <f t="shared" si="1"/>
        <v/>
      </c>
      <c r="P17" s="57" t="str">
        <f>IFERROR(IF(C17="","",IF(AND(Census!C17="E",Census!J17&gt;=18,Census!J17&lt;=65),"Yes","No")),"ERROR")</f>
        <v/>
      </c>
      <c r="Q17" s="58" t="str">
        <f>IFERROR(IF(C17="","",IF(AND(Census!C17="E",Census!J17&gt;=18,Census!J17&lt;=64),"Yes","No")),"ERROR")</f>
        <v/>
      </c>
      <c r="R17" s="59">
        <f t="shared" ca="1" si="2"/>
        <v>-1</v>
      </c>
      <c r="S17" s="60">
        <f t="shared" si="3"/>
        <v>0</v>
      </c>
      <c r="T17" s="61">
        <f t="shared" si="4"/>
        <v>0</v>
      </c>
      <c r="U17" s="61">
        <f t="shared" si="5"/>
        <v>0</v>
      </c>
      <c r="V17" s="61">
        <f t="shared" si="6"/>
        <v>0</v>
      </c>
      <c r="W17" s="61">
        <f t="shared" ca="1" si="7"/>
        <v>-1</v>
      </c>
      <c r="X17" s="62">
        <f t="shared" si="8"/>
        <v>0</v>
      </c>
      <c r="Y17" s="23"/>
      <c r="Z17" s="23"/>
      <c r="AA17" s="23"/>
      <c r="AB17">
        <f t="shared" si="9"/>
        <v>0</v>
      </c>
      <c r="AC17">
        <f t="shared" si="10"/>
        <v>0</v>
      </c>
      <c r="AD17">
        <f t="shared" si="11"/>
        <v>0</v>
      </c>
      <c r="AE17">
        <f t="shared" si="12"/>
        <v>0</v>
      </c>
      <c r="AF17">
        <f t="shared" ca="1" si="13"/>
        <v>-1</v>
      </c>
      <c r="AG17">
        <f t="shared" si="14"/>
        <v>0</v>
      </c>
      <c r="AH17">
        <f t="shared" ca="1" si="15"/>
        <v>0</v>
      </c>
      <c r="AJ17" s="13">
        <f t="shared" si="16"/>
        <v>75</v>
      </c>
      <c r="AK17" s="13" t="s">
        <v>39</v>
      </c>
    </row>
    <row r="18" spans="1:37" s="12" customFormat="1" x14ac:dyDescent="0.25">
      <c r="A18" s="37">
        <v>17</v>
      </c>
      <c r="B18" s="38"/>
      <c r="C18" s="39"/>
      <c r="D18" s="65"/>
      <c r="E18" s="65"/>
      <c r="F18" s="39"/>
      <c r="G18" s="2"/>
      <c r="H18" s="39"/>
      <c r="I18" s="39"/>
      <c r="J18" s="50" t="str">
        <f t="shared" si="0"/>
        <v/>
      </c>
      <c r="K18" s="37" t="str">
        <f>IF(I18="","",IF($AM$3=1,IFERROR(IF(J18=FALSE,"",VLOOKUP(J18,$AJ$1:$AK$18,2,1)),""),IFERROR(IF(J18 = "FALSE","",VLOOKUP(J18,#REF!,2,TRUE)),"")))</f>
        <v/>
      </c>
      <c r="L18" s="37"/>
      <c r="M18" s="37"/>
      <c r="N18" s="37"/>
      <c r="O18" s="41" t="str">
        <f t="shared" si="1"/>
        <v/>
      </c>
      <c r="P18" s="51" t="str">
        <f>IFERROR(IF(C18="","",IF(AND(Census!C18="E",Census!J18&gt;=18,Census!J18&lt;=65),"Yes","No")),"ERROR")</f>
        <v/>
      </c>
      <c r="Q18" s="52" t="str">
        <f>IFERROR(IF(C18="","",IF(AND(Census!C18="E",Census!J18&gt;=18,Census!J18&lt;=64),"Yes","No")),"ERROR")</f>
        <v/>
      </c>
      <c r="R18" s="53">
        <f t="shared" ca="1" si="2"/>
        <v>-1</v>
      </c>
      <c r="S18" s="54">
        <f t="shared" si="3"/>
        <v>0</v>
      </c>
      <c r="T18" s="55">
        <f t="shared" si="4"/>
        <v>0</v>
      </c>
      <c r="U18" s="55">
        <f t="shared" si="5"/>
        <v>0</v>
      </c>
      <c r="V18" s="55">
        <f t="shared" si="6"/>
        <v>0</v>
      </c>
      <c r="W18" s="55">
        <f t="shared" ca="1" si="7"/>
        <v>-1</v>
      </c>
      <c r="X18" s="56">
        <f t="shared" si="8"/>
        <v>0</v>
      </c>
      <c r="Y18" s="23"/>
      <c r="Z18" s="23"/>
      <c r="AA18" s="23"/>
      <c r="AB18">
        <f t="shared" si="9"/>
        <v>0</v>
      </c>
      <c r="AC18">
        <f t="shared" si="10"/>
        <v>0</v>
      </c>
      <c r="AD18">
        <f t="shared" si="11"/>
        <v>0</v>
      </c>
      <c r="AE18">
        <f t="shared" si="12"/>
        <v>0</v>
      </c>
      <c r="AF18">
        <f t="shared" ca="1" si="13"/>
        <v>-1</v>
      </c>
      <c r="AG18">
        <f t="shared" si="14"/>
        <v>0</v>
      </c>
      <c r="AH18">
        <f t="shared" ca="1" si="15"/>
        <v>0</v>
      </c>
      <c r="AJ18" s="13">
        <f t="shared" si="16"/>
        <v>80</v>
      </c>
      <c r="AK18" s="13" t="s">
        <v>40</v>
      </c>
    </row>
    <row r="19" spans="1:37" s="12" customFormat="1" x14ac:dyDescent="0.25">
      <c r="A19" s="42">
        <v>18</v>
      </c>
      <c r="B19" s="43"/>
      <c r="C19" s="44"/>
      <c r="D19" s="17"/>
      <c r="E19" s="17"/>
      <c r="F19" s="39"/>
      <c r="G19" s="66"/>
      <c r="H19" s="68"/>
      <c r="I19" s="68"/>
      <c r="J19" s="69" t="str">
        <f t="shared" si="0"/>
        <v/>
      </c>
      <c r="K19" s="42" t="str">
        <f>IF(I19="","",IF($AM$3=1,IFERROR(IF(J19=FALSE,"",VLOOKUP(J19,$AJ$1:$AK$18,2,1)),""),IFERROR(IF(J19 = "FALSE","",VLOOKUP(J19,#REF!,2,TRUE)),"")))</f>
        <v/>
      </c>
      <c r="L19" s="42"/>
      <c r="M19" s="42"/>
      <c r="N19" s="42"/>
      <c r="O19" s="46" t="str">
        <f t="shared" si="1"/>
        <v/>
      </c>
      <c r="P19" s="57" t="str">
        <f>IFERROR(IF(C19="","",IF(AND(Census!C19="E",Census!J19&gt;=18,Census!J19&lt;=65),"Yes","No")),"ERROR")</f>
        <v/>
      </c>
      <c r="Q19" s="58" t="str">
        <f>IFERROR(IF(C19="","",IF(AND(Census!C19="E",Census!J19&gt;=18,Census!J19&lt;=64),"Yes","No")),"ERROR")</f>
        <v/>
      </c>
      <c r="R19" s="59">
        <f t="shared" ca="1" si="2"/>
        <v>-1</v>
      </c>
      <c r="S19" s="60">
        <f t="shared" si="3"/>
        <v>0</v>
      </c>
      <c r="T19" s="61">
        <f t="shared" si="4"/>
        <v>0</v>
      </c>
      <c r="U19" s="61">
        <f t="shared" si="5"/>
        <v>0</v>
      </c>
      <c r="V19" s="61">
        <f t="shared" si="6"/>
        <v>0</v>
      </c>
      <c r="W19" s="61">
        <f t="shared" ca="1" si="7"/>
        <v>-1</v>
      </c>
      <c r="X19" s="62">
        <f t="shared" si="8"/>
        <v>0</v>
      </c>
      <c r="Y19" s="23"/>
      <c r="Z19" s="23"/>
      <c r="AA19" s="23"/>
      <c r="AB19">
        <f t="shared" si="9"/>
        <v>0</v>
      </c>
      <c r="AC19">
        <f t="shared" si="10"/>
        <v>0</v>
      </c>
      <c r="AD19">
        <f t="shared" si="11"/>
        <v>0</v>
      </c>
      <c r="AE19">
        <f t="shared" si="12"/>
        <v>0</v>
      </c>
      <c r="AF19">
        <f t="shared" ca="1" si="13"/>
        <v>-1</v>
      </c>
      <c r="AG19">
        <f t="shared" si="14"/>
        <v>0</v>
      </c>
      <c r="AH19">
        <f t="shared" ca="1" si="15"/>
        <v>0</v>
      </c>
    </row>
    <row r="20" spans="1:37" s="12" customFormat="1" x14ac:dyDescent="0.25">
      <c r="A20" s="37">
        <v>19</v>
      </c>
      <c r="B20" s="38"/>
      <c r="C20" s="39"/>
      <c r="D20" s="65"/>
      <c r="E20" s="65"/>
      <c r="F20" s="39"/>
      <c r="G20" s="2"/>
      <c r="H20" s="39"/>
      <c r="I20" s="39"/>
      <c r="J20" s="50" t="str">
        <f t="shared" si="0"/>
        <v/>
      </c>
      <c r="K20" s="37" t="str">
        <f>IF(I20="","",IF($AM$3=1,IFERROR(IF(J20=FALSE,"",VLOOKUP(J20,$AJ$1:$AK$18,2,1)),""),IFERROR(IF(J20 = "FALSE","",VLOOKUP(J20,#REF!,2,TRUE)),"")))</f>
        <v/>
      </c>
      <c r="L20" s="37"/>
      <c r="M20" s="37"/>
      <c r="N20" s="37"/>
      <c r="O20" s="41" t="str">
        <f t="shared" si="1"/>
        <v/>
      </c>
      <c r="P20" s="51" t="str">
        <f>IFERROR(IF(C20="","",IF(AND(Census!C20="E",Census!J20&gt;=18,Census!J20&lt;=65),"Yes","No")),"ERROR")</f>
        <v/>
      </c>
      <c r="Q20" s="52" t="str">
        <f>IFERROR(IF(C20="","",IF(AND(Census!C20="E",Census!J20&gt;=18,Census!J20&lt;=64),"Yes","No")),"ERROR")</f>
        <v/>
      </c>
      <c r="R20" s="53">
        <f t="shared" ca="1" si="2"/>
        <v>-1</v>
      </c>
      <c r="S20" s="54">
        <f t="shared" si="3"/>
        <v>0</v>
      </c>
      <c r="T20" s="55">
        <f t="shared" si="4"/>
        <v>0</v>
      </c>
      <c r="U20" s="55">
        <f t="shared" si="5"/>
        <v>0</v>
      </c>
      <c r="V20" s="55">
        <f t="shared" si="6"/>
        <v>0</v>
      </c>
      <c r="W20" s="55">
        <f t="shared" ca="1" si="7"/>
        <v>-1</v>
      </c>
      <c r="X20" s="56">
        <f t="shared" si="8"/>
        <v>0</v>
      </c>
      <c r="Y20" s="23"/>
      <c r="Z20" s="23"/>
      <c r="AA20" s="23"/>
      <c r="AB20">
        <f t="shared" si="9"/>
        <v>0</v>
      </c>
      <c r="AC20">
        <f t="shared" si="10"/>
        <v>0</v>
      </c>
      <c r="AD20">
        <f t="shared" si="11"/>
        <v>0</v>
      </c>
      <c r="AE20">
        <f t="shared" si="12"/>
        <v>0</v>
      </c>
      <c r="AF20">
        <f t="shared" ca="1" si="13"/>
        <v>-1</v>
      </c>
      <c r="AG20">
        <f t="shared" si="14"/>
        <v>0</v>
      </c>
      <c r="AH20">
        <f t="shared" ca="1" si="15"/>
        <v>0</v>
      </c>
    </row>
    <row r="21" spans="1:37" s="12" customFormat="1" x14ac:dyDescent="0.25">
      <c r="A21" s="42">
        <v>20</v>
      </c>
      <c r="B21" s="43"/>
      <c r="C21" s="44"/>
      <c r="D21" s="17"/>
      <c r="E21" s="17"/>
      <c r="F21" s="39"/>
      <c r="G21" s="66"/>
      <c r="H21" s="68"/>
      <c r="I21" s="68"/>
      <c r="J21" s="69" t="str">
        <f t="shared" si="0"/>
        <v/>
      </c>
      <c r="K21" s="42" t="str">
        <f>IF(I21="","",IF($AM$3=1,IFERROR(IF(J21=FALSE,"",VLOOKUP(J21,$AJ$1:$AK$18,2,1)),""),IFERROR(IF(J21 = "FALSE","",VLOOKUP(J21,#REF!,2,TRUE)),"")))</f>
        <v/>
      </c>
      <c r="L21" s="42"/>
      <c r="M21" s="42"/>
      <c r="N21" s="42"/>
      <c r="O21" s="46" t="str">
        <f t="shared" si="1"/>
        <v/>
      </c>
      <c r="P21" s="57" t="str">
        <f>IFERROR(IF(C21="","",IF(AND(Census!C21="E",Census!J21&gt;=18,Census!J21&lt;=65),"Yes","No")),"ERROR")</f>
        <v/>
      </c>
      <c r="Q21" s="58" t="str">
        <f>IFERROR(IF(C21="","",IF(AND(Census!C21="E",Census!J21&gt;=18,Census!J21&lt;=64),"Yes","No")),"ERROR")</f>
        <v/>
      </c>
      <c r="R21" s="59">
        <f t="shared" ca="1" si="2"/>
        <v>-1</v>
      </c>
      <c r="S21" s="60">
        <f t="shared" si="3"/>
        <v>0</v>
      </c>
      <c r="T21" s="61">
        <f t="shared" si="4"/>
        <v>0</v>
      </c>
      <c r="U21" s="61">
        <f t="shared" si="5"/>
        <v>0</v>
      </c>
      <c r="V21" s="61">
        <f t="shared" si="6"/>
        <v>0</v>
      </c>
      <c r="W21" s="61">
        <f t="shared" ca="1" si="7"/>
        <v>-1</v>
      </c>
      <c r="X21" s="62">
        <f t="shared" si="8"/>
        <v>0</v>
      </c>
      <c r="Y21" s="23"/>
      <c r="Z21" s="23"/>
      <c r="AA21" s="23"/>
      <c r="AB21">
        <f t="shared" si="9"/>
        <v>0</v>
      </c>
      <c r="AC21">
        <f t="shared" si="10"/>
        <v>0</v>
      </c>
      <c r="AD21">
        <f t="shared" si="11"/>
        <v>0</v>
      </c>
      <c r="AE21">
        <f t="shared" si="12"/>
        <v>0</v>
      </c>
      <c r="AF21">
        <f t="shared" ca="1" si="13"/>
        <v>-1</v>
      </c>
      <c r="AG21">
        <f t="shared" si="14"/>
        <v>0</v>
      </c>
      <c r="AH21">
        <f t="shared" ca="1" si="15"/>
        <v>0</v>
      </c>
      <c r="AJ21" s="12" t="s">
        <v>73</v>
      </c>
    </row>
    <row r="22" spans="1:37" s="12" customFormat="1" x14ac:dyDescent="0.25">
      <c r="A22" s="37">
        <v>21</v>
      </c>
      <c r="B22" s="38"/>
      <c r="C22" s="39"/>
      <c r="D22" s="65"/>
      <c r="E22" s="65"/>
      <c r="F22" s="39"/>
      <c r="G22" s="2"/>
      <c r="H22" s="39"/>
      <c r="I22" s="39"/>
      <c r="J22" s="50" t="str">
        <f t="shared" si="0"/>
        <v/>
      </c>
      <c r="K22" s="37" t="str">
        <f>IF(I22="","",IF($AM$3=1,IFERROR(IF(J22=FALSE,"",VLOOKUP(J22,$AJ$1:$AK$18,2,1)),""),IFERROR(IF(J22 = "FALSE","",VLOOKUP(J22,#REF!,2,TRUE)),"")))</f>
        <v/>
      </c>
      <c r="L22" s="37"/>
      <c r="M22" s="37"/>
      <c r="N22" s="37"/>
      <c r="O22" s="41" t="str">
        <f t="shared" si="1"/>
        <v/>
      </c>
      <c r="P22" s="51" t="str">
        <f>IFERROR(IF(C22="","",IF(AND(Census!C22="E",Census!J22&gt;=18,Census!J22&lt;=65),"Yes","No")),"ERROR")</f>
        <v/>
      </c>
      <c r="Q22" s="52" t="str">
        <f>IFERROR(IF(C22="","",IF(AND(Census!C22="E",Census!J22&gt;=18,Census!J22&lt;=64),"Yes","No")),"ERROR")</f>
        <v/>
      </c>
      <c r="R22" s="53">
        <f t="shared" ca="1" si="2"/>
        <v>-1</v>
      </c>
      <c r="S22" s="54">
        <f t="shared" si="3"/>
        <v>0</v>
      </c>
      <c r="T22" s="55">
        <f t="shared" si="4"/>
        <v>0</v>
      </c>
      <c r="U22" s="55">
        <f t="shared" si="5"/>
        <v>0</v>
      </c>
      <c r="V22" s="55">
        <f t="shared" si="6"/>
        <v>0</v>
      </c>
      <c r="W22" s="55">
        <f t="shared" ca="1" si="7"/>
        <v>-1</v>
      </c>
      <c r="X22" s="56">
        <f t="shared" si="8"/>
        <v>0</v>
      </c>
      <c r="Y22" s="23"/>
      <c r="Z22" s="23"/>
      <c r="AA22" s="23"/>
      <c r="AB22">
        <f t="shared" si="9"/>
        <v>0</v>
      </c>
      <c r="AC22">
        <f t="shared" si="10"/>
        <v>0</v>
      </c>
      <c r="AD22">
        <f t="shared" si="11"/>
        <v>0</v>
      </c>
      <c r="AE22">
        <f t="shared" si="12"/>
        <v>0</v>
      </c>
      <c r="AF22">
        <f t="shared" ca="1" si="13"/>
        <v>-1</v>
      </c>
      <c r="AG22">
        <f t="shared" si="14"/>
        <v>0</v>
      </c>
      <c r="AH22">
        <f t="shared" ca="1" si="15"/>
        <v>0</v>
      </c>
      <c r="AJ22" s="12" t="s">
        <v>74</v>
      </c>
    </row>
    <row r="23" spans="1:37" s="12" customFormat="1" x14ac:dyDescent="0.25">
      <c r="A23" s="42">
        <v>22</v>
      </c>
      <c r="B23" s="43"/>
      <c r="C23" s="44"/>
      <c r="D23" s="17"/>
      <c r="E23" s="17"/>
      <c r="F23" s="39"/>
      <c r="G23" s="66"/>
      <c r="H23" s="68"/>
      <c r="I23" s="68"/>
      <c r="J23" s="69" t="str">
        <f t="shared" si="0"/>
        <v/>
      </c>
      <c r="K23" s="42" t="str">
        <f>IF(I23="","",IF($AM$3=1,IFERROR(IF(J23=FALSE,"",VLOOKUP(J23,$AJ$1:$AK$18,2,1)),""),IFERROR(IF(J23 = "FALSE","",VLOOKUP(J23,#REF!,2,TRUE)),"")))</f>
        <v/>
      </c>
      <c r="L23" s="42"/>
      <c r="M23" s="42"/>
      <c r="N23" s="42"/>
      <c r="O23" s="46" t="str">
        <f t="shared" si="1"/>
        <v/>
      </c>
      <c r="P23" s="57" t="str">
        <f>IFERROR(IF(C23="","",IF(AND(Census!C23="E",Census!J23&gt;=18,Census!J23&lt;=65),"Yes","No")),"ERROR")</f>
        <v/>
      </c>
      <c r="Q23" s="58" t="str">
        <f>IFERROR(IF(C23="","",IF(AND(Census!C23="E",Census!J23&gt;=18,Census!J23&lt;=64),"Yes","No")),"ERROR")</f>
        <v/>
      </c>
      <c r="R23" s="59">
        <f t="shared" ca="1" si="2"/>
        <v>-1</v>
      </c>
      <c r="S23" s="60">
        <f t="shared" si="3"/>
        <v>0</v>
      </c>
      <c r="T23" s="61">
        <f t="shared" si="4"/>
        <v>0</v>
      </c>
      <c r="U23" s="61">
        <f t="shared" si="5"/>
        <v>0</v>
      </c>
      <c r="V23" s="61">
        <f t="shared" si="6"/>
        <v>0</v>
      </c>
      <c r="W23" s="61">
        <f t="shared" ca="1" si="7"/>
        <v>-1</v>
      </c>
      <c r="X23" s="62">
        <f t="shared" si="8"/>
        <v>0</v>
      </c>
      <c r="Y23" s="23"/>
      <c r="Z23" s="23"/>
      <c r="AA23" s="23"/>
      <c r="AB23">
        <f t="shared" si="9"/>
        <v>0</v>
      </c>
      <c r="AC23">
        <f t="shared" si="10"/>
        <v>0</v>
      </c>
      <c r="AD23">
        <f t="shared" si="11"/>
        <v>0</v>
      </c>
      <c r="AE23">
        <f t="shared" si="12"/>
        <v>0</v>
      </c>
      <c r="AF23">
        <f t="shared" ca="1" si="13"/>
        <v>-1</v>
      </c>
      <c r="AG23">
        <f t="shared" si="14"/>
        <v>0</v>
      </c>
      <c r="AH23">
        <f t="shared" ca="1" si="15"/>
        <v>0</v>
      </c>
      <c r="AJ23" s="12" t="s">
        <v>73</v>
      </c>
    </row>
    <row r="24" spans="1:37" s="12" customFormat="1" x14ac:dyDescent="0.25">
      <c r="A24" s="37">
        <v>23</v>
      </c>
      <c r="B24" s="38"/>
      <c r="C24" s="39"/>
      <c r="D24" s="65"/>
      <c r="E24" s="65"/>
      <c r="F24" s="39"/>
      <c r="G24" s="2"/>
      <c r="H24" s="39"/>
      <c r="I24" s="39"/>
      <c r="J24" s="50" t="str">
        <f t="shared" si="0"/>
        <v/>
      </c>
      <c r="K24" s="37" t="str">
        <f>IF(I24="","",IF($AM$3=1,IFERROR(IF(J24=FALSE,"",VLOOKUP(J24,$AJ$1:$AK$18,2,1)),""),IFERROR(IF(J24 = "FALSE","",VLOOKUP(J24,#REF!,2,TRUE)),"")))</f>
        <v/>
      </c>
      <c r="L24" s="37"/>
      <c r="M24" s="37"/>
      <c r="N24" s="37"/>
      <c r="O24" s="41" t="str">
        <f t="shared" si="1"/>
        <v/>
      </c>
      <c r="P24" s="51" t="str">
        <f>IFERROR(IF(C24="","",IF(AND(Census!C24="E",Census!J24&gt;=18,Census!J24&lt;=65),"Yes","No")),"ERROR")</f>
        <v/>
      </c>
      <c r="Q24" s="52" t="str">
        <f>IFERROR(IF(C24="","",IF(AND(Census!C24="E",Census!J24&gt;=18,Census!J24&lt;=64),"Yes","No")),"ERROR")</f>
        <v/>
      </c>
      <c r="R24" s="53">
        <f t="shared" ca="1" si="2"/>
        <v>-1</v>
      </c>
      <c r="S24" s="54">
        <f t="shared" si="3"/>
        <v>0</v>
      </c>
      <c r="T24" s="55">
        <f t="shared" si="4"/>
        <v>0</v>
      </c>
      <c r="U24" s="55">
        <f t="shared" si="5"/>
        <v>0</v>
      </c>
      <c r="V24" s="55">
        <f t="shared" si="6"/>
        <v>0</v>
      </c>
      <c r="W24" s="55">
        <f t="shared" ca="1" si="7"/>
        <v>-1</v>
      </c>
      <c r="X24" s="56">
        <f t="shared" si="8"/>
        <v>0</v>
      </c>
      <c r="Y24" s="23"/>
      <c r="Z24" s="23"/>
      <c r="AA24" s="23"/>
      <c r="AB24">
        <f t="shared" si="9"/>
        <v>0</v>
      </c>
      <c r="AC24">
        <f t="shared" si="10"/>
        <v>0</v>
      </c>
      <c r="AD24">
        <f t="shared" si="11"/>
        <v>0</v>
      </c>
      <c r="AE24">
        <f t="shared" si="12"/>
        <v>0</v>
      </c>
      <c r="AF24">
        <f t="shared" ca="1" si="13"/>
        <v>-1</v>
      </c>
      <c r="AG24">
        <f t="shared" si="14"/>
        <v>0</v>
      </c>
      <c r="AH24">
        <f t="shared" ca="1" si="15"/>
        <v>0</v>
      </c>
    </row>
    <row r="25" spans="1:37" s="12" customFormat="1" x14ac:dyDescent="0.25">
      <c r="A25" s="42">
        <v>24</v>
      </c>
      <c r="B25" s="43"/>
      <c r="C25" s="44"/>
      <c r="D25" s="17"/>
      <c r="E25" s="17"/>
      <c r="F25" s="39"/>
      <c r="G25" s="3"/>
      <c r="H25" s="44"/>
      <c r="I25" s="44"/>
      <c r="J25" s="42" t="str">
        <f t="shared" si="0"/>
        <v/>
      </c>
      <c r="K25" s="42" t="str">
        <f>IF(I25="","",IF($AM$3=1,IFERROR(IF(J25=FALSE,"",VLOOKUP(J25,$AJ$1:$AK$18,2,1)),""),IFERROR(IF(J25 = "FALSE","",VLOOKUP(J25,#REF!,2,TRUE)),"")))</f>
        <v/>
      </c>
      <c r="L25" s="42"/>
      <c r="M25" s="42"/>
      <c r="N25" s="42"/>
      <c r="O25" s="46" t="str">
        <f t="shared" si="1"/>
        <v/>
      </c>
      <c r="P25" s="57" t="str">
        <f>IFERROR(IF(C25="","",IF(AND(Census!C25="E",Census!J25&gt;=18,Census!J25&lt;=65),"Yes","No")),"ERROR")</f>
        <v/>
      </c>
      <c r="Q25" s="58" t="str">
        <f>IFERROR(IF(C25="","",IF(AND(Census!C25="E",Census!J25&gt;=18,Census!J25&lt;=64),"Yes","No")),"ERROR")</f>
        <v/>
      </c>
      <c r="R25" s="59">
        <f t="shared" ca="1" si="2"/>
        <v>-1</v>
      </c>
      <c r="S25" s="60">
        <f t="shared" si="3"/>
        <v>0</v>
      </c>
      <c r="T25" s="61">
        <f t="shared" si="4"/>
        <v>0</v>
      </c>
      <c r="U25" s="61">
        <f t="shared" si="5"/>
        <v>0</v>
      </c>
      <c r="V25" s="61">
        <f t="shared" si="6"/>
        <v>0</v>
      </c>
      <c r="W25" s="61">
        <f t="shared" ca="1" si="7"/>
        <v>-1</v>
      </c>
      <c r="X25" s="62">
        <f t="shared" si="8"/>
        <v>0</v>
      </c>
      <c r="Y25" s="23"/>
      <c r="Z25" s="23"/>
      <c r="AA25" s="23"/>
      <c r="AB25">
        <f t="shared" si="9"/>
        <v>0</v>
      </c>
      <c r="AC25">
        <f t="shared" si="10"/>
        <v>0</v>
      </c>
      <c r="AD25">
        <f t="shared" si="11"/>
        <v>0</v>
      </c>
      <c r="AE25">
        <f t="shared" si="12"/>
        <v>0</v>
      </c>
      <c r="AF25">
        <f t="shared" ca="1" si="13"/>
        <v>-1</v>
      </c>
      <c r="AG25">
        <f t="shared" si="14"/>
        <v>0</v>
      </c>
      <c r="AH25">
        <f t="shared" ca="1" si="15"/>
        <v>0</v>
      </c>
    </row>
    <row r="26" spans="1:37" s="12" customFormat="1" x14ac:dyDescent="0.25">
      <c r="A26" s="37">
        <v>25</v>
      </c>
      <c r="B26" s="38"/>
      <c r="C26" s="39"/>
      <c r="D26" s="65"/>
      <c r="E26" s="65"/>
      <c r="F26" s="39"/>
      <c r="G26" s="2"/>
      <c r="H26" s="39"/>
      <c r="I26" s="39"/>
      <c r="J26" s="50" t="str">
        <f t="shared" si="0"/>
        <v/>
      </c>
      <c r="K26" s="37" t="str">
        <f>IF(I26="","",IF($AM$3=1,IFERROR(IF(J26=FALSE,"",VLOOKUP(J26,$AJ$1:$AK$18,2,1)),""),IFERROR(IF(J26 = "FALSE","",VLOOKUP(J26,#REF!,2,TRUE)),"")))</f>
        <v/>
      </c>
      <c r="L26" s="37"/>
      <c r="M26" s="37"/>
      <c r="N26" s="37"/>
      <c r="O26" s="41" t="str">
        <f t="shared" si="1"/>
        <v/>
      </c>
      <c r="P26" s="51" t="str">
        <f>IFERROR(IF(C26="","",IF(AND(Census!C26="E",Census!J26&gt;=18,Census!J26&lt;=65),"Yes","No")),"ERROR")</f>
        <v/>
      </c>
      <c r="Q26" s="52" t="str">
        <f>IFERROR(IF(C26="","",IF(AND(Census!C26="E",Census!J26&gt;=18,Census!J26&lt;=64),"Yes","No")),"ERROR")</f>
        <v/>
      </c>
      <c r="R26" s="53">
        <f t="shared" ca="1" si="2"/>
        <v>-1</v>
      </c>
      <c r="S26" s="54">
        <f t="shared" si="3"/>
        <v>0</v>
      </c>
      <c r="T26" s="55">
        <f t="shared" si="4"/>
        <v>0</v>
      </c>
      <c r="U26" s="55">
        <f t="shared" si="5"/>
        <v>0</v>
      </c>
      <c r="V26" s="55">
        <f t="shared" si="6"/>
        <v>0</v>
      </c>
      <c r="W26" s="55">
        <f t="shared" ca="1" si="7"/>
        <v>-1</v>
      </c>
      <c r="X26" s="56">
        <f t="shared" si="8"/>
        <v>0</v>
      </c>
      <c r="Y26" s="23"/>
      <c r="Z26" s="23"/>
      <c r="AA26" s="23"/>
      <c r="AB26">
        <f t="shared" si="9"/>
        <v>0</v>
      </c>
      <c r="AC26">
        <f t="shared" si="10"/>
        <v>0</v>
      </c>
      <c r="AD26">
        <f t="shared" si="11"/>
        <v>0</v>
      </c>
      <c r="AE26">
        <f t="shared" si="12"/>
        <v>0</v>
      </c>
      <c r="AF26">
        <f t="shared" ca="1" si="13"/>
        <v>-1</v>
      </c>
      <c r="AG26">
        <f t="shared" si="14"/>
        <v>0</v>
      </c>
      <c r="AH26">
        <f t="shared" ca="1" si="15"/>
        <v>0</v>
      </c>
    </row>
    <row r="27" spans="1:37" s="12" customFormat="1" x14ac:dyDescent="0.25">
      <c r="A27" s="42">
        <v>26</v>
      </c>
      <c r="B27" s="43"/>
      <c r="C27" s="44"/>
      <c r="D27" s="17"/>
      <c r="E27" s="45"/>
      <c r="F27" s="39"/>
      <c r="G27" s="3"/>
      <c r="H27" s="44"/>
      <c r="I27" s="44"/>
      <c r="J27" s="42" t="str">
        <f t="shared" si="0"/>
        <v/>
      </c>
      <c r="K27" s="42" t="str">
        <f>IF(I27="","",IF($AM$3=1,IFERROR(IF(J27=FALSE,"",VLOOKUP(J27,$AJ$1:$AK$18,2,1)),""),IFERROR(IF(J27 = "FALSE","",VLOOKUP(J27,#REF!,2,TRUE)),"")))</f>
        <v/>
      </c>
      <c r="L27" s="42"/>
      <c r="M27" s="42"/>
      <c r="N27" s="42"/>
      <c r="O27" s="46" t="str">
        <f t="shared" si="1"/>
        <v/>
      </c>
      <c r="P27" s="57" t="str">
        <f>IFERROR(IF(C27="","",IF(AND(Census!C27="E",Census!J27&gt;=18,Census!J27&lt;=65),"Yes","No")),"ERROR")</f>
        <v/>
      </c>
      <c r="Q27" s="58" t="str">
        <f>IFERROR(IF(C27="","",IF(AND(Census!C27="E",Census!J27&gt;=18,Census!J27&lt;=64),"Yes","No")),"ERROR")</f>
        <v/>
      </c>
      <c r="R27" s="59">
        <f t="shared" ca="1" si="2"/>
        <v>-1</v>
      </c>
      <c r="S27" s="60">
        <f t="shared" si="3"/>
        <v>0</v>
      </c>
      <c r="T27" s="61">
        <f t="shared" si="4"/>
        <v>0</v>
      </c>
      <c r="U27" s="61">
        <f t="shared" si="5"/>
        <v>0</v>
      </c>
      <c r="V27" s="61">
        <f t="shared" si="6"/>
        <v>0</v>
      </c>
      <c r="W27" s="61">
        <f t="shared" ca="1" si="7"/>
        <v>-1</v>
      </c>
      <c r="X27" s="62">
        <f t="shared" si="8"/>
        <v>0</v>
      </c>
      <c r="Y27" s="23"/>
      <c r="Z27" s="64"/>
      <c r="AA27" s="23"/>
      <c r="AB27">
        <f t="shared" si="9"/>
        <v>0</v>
      </c>
      <c r="AC27">
        <f t="shared" si="10"/>
        <v>0</v>
      </c>
      <c r="AD27">
        <f t="shared" si="11"/>
        <v>0</v>
      </c>
      <c r="AE27">
        <f t="shared" si="12"/>
        <v>0</v>
      </c>
      <c r="AF27">
        <f t="shared" ca="1" si="13"/>
        <v>-1</v>
      </c>
      <c r="AG27">
        <f t="shared" si="14"/>
        <v>0</v>
      </c>
      <c r="AH27">
        <f t="shared" ca="1" si="15"/>
        <v>0</v>
      </c>
    </row>
    <row r="28" spans="1:37" s="12" customFormat="1" x14ac:dyDescent="0.25">
      <c r="A28" s="37">
        <v>27</v>
      </c>
      <c r="B28" s="38"/>
      <c r="C28" s="39"/>
      <c r="D28" s="65"/>
      <c r="E28" s="65"/>
      <c r="F28" s="39"/>
      <c r="G28" s="2"/>
      <c r="H28" s="39"/>
      <c r="I28" s="39"/>
      <c r="J28" s="50" t="str">
        <f t="shared" si="0"/>
        <v/>
      </c>
      <c r="K28" s="37" t="str">
        <f>IF(I28="","",IF($AM$3=1,IFERROR(IF(J28=FALSE,"",VLOOKUP(J28,$AJ$1:$AK$18,2,1)),""),IFERROR(IF(J28 = "FALSE","",VLOOKUP(J28,#REF!,2,TRUE)),"")))</f>
        <v/>
      </c>
      <c r="L28" s="37"/>
      <c r="M28" s="37"/>
      <c r="N28" s="37"/>
      <c r="O28" s="41" t="str">
        <f t="shared" si="1"/>
        <v/>
      </c>
      <c r="P28" s="51" t="str">
        <f>IFERROR(IF(C28="","",IF(AND(Census!C28="E",Census!J28&gt;=18,Census!J28&lt;=65),"Yes","No")),"ERROR")</f>
        <v/>
      </c>
      <c r="Q28" s="52" t="str">
        <f>IFERROR(IF(C28="","",IF(AND(Census!C28="E",Census!J28&gt;=18,Census!J28&lt;=64),"Yes","No")),"ERROR")</f>
        <v/>
      </c>
      <c r="R28" s="53">
        <f t="shared" ca="1" si="2"/>
        <v>-1</v>
      </c>
      <c r="S28" s="54">
        <f t="shared" si="3"/>
        <v>0</v>
      </c>
      <c r="T28" s="55">
        <f t="shared" si="4"/>
        <v>0</v>
      </c>
      <c r="U28" s="55">
        <f t="shared" si="5"/>
        <v>0</v>
      </c>
      <c r="V28" s="55">
        <f t="shared" si="6"/>
        <v>0</v>
      </c>
      <c r="W28" s="55">
        <f t="shared" ca="1" si="7"/>
        <v>-1</v>
      </c>
      <c r="X28" s="56">
        <f t="shared" si="8"/>
        <v>0</v>
      </c>
      <c r="Y28" s="23"/>
      <c r="Z28" s="64"/>
      <c r="AA28" s="23"/>
      <c r="AB28">
        <f t="shared" si="9"/>
        <v>0</v>
      </c>
      <c r="AC28">
        <f t="shared" si="10"/>
        <v>0</v>
      </c>
      <c r="AD28">
        <f t="shared" si="11"/>
        <v>0</v>
      </c>
      <c r="AE28">
        <f t="shared" si="12"/>
        <v>0</v>
      </c>
      <c r="AF28">
        <f t="shared" ca="1" si="13"/>
        <v>-1</v>
      </c>
      <c r="AG28">
        <f t="shared" si="14"/>
        <v>0</v>
      </c>
      <c r="AH28">
        <f t="shared" ca="1" si="15"/>
        <v>0</v>
      </c>
    </row>
    <row r="29" spans="1:37" s="12" customFormat="1" x14ac:dyDescent="0.25">
      <c r="A29" s="42">
        <v>28</v>
      </c>
      <c r="B29" s="43"/>
      <c r="C29" s="44"/>
      <c r="D29" s="17"/>
      <c r="E29" s="17"/>
      <c r="F29" s="39"/>
      <c r="G29" s="3"/>
      <c r="H29" s="44"/>
      <c r="I29" s="44"/>
      <c r="J29" s="42" t="str">
        <f t="shared" si="0"/>
        <v/>
      </c>
      <c r="K29" s="42" t="str">
        <f>IF(I29="","",IF($AM$3=1,IFERROR(IF(J29=FALSE,"",VLOOKUP(J29,$AJ$1:$AK$18,2,1)),""),IFERROR(IF(J29 = "FALSE","",VLOOKUP(J29,#REF!,2,TRUE)),"")))</f>
        <v/>
      </c>
      <c r="L29" s="42"/>
      <c r="M29" s="42"/>
      <c r="N29" s="42"/>
      <c r="O29" s="46" t="str">
        <f t="shared" si="1"/>
        <v/>
      </c>
      <c r="P29" s="57" t="str">
        <f>IFERROR(IF(C29="","",IF(AND(Census!C29="E",Census!J29&gt;=18,Census!J29&lt;=65),"Yes","No")),"ERROR")</f>
        <v/>
      </c>
      <c r="Q29" s="58" t="str">
        <f>IFERROR(IF(C29="","",IF(AND(Census!C29="E",Census!J29&gt;=18,Census!J29&lt;=64),"Yes","No")),"ERROR")</f>
        <v/>
      </c>
      <c r="R29" s="59">
        <f t="shared" ca="1" si="2"/>
        <v>-1</v>
      </c>
      <c r="S29" s="60">
        <f t="shared" si="3"/>
        <v>0</v>
      </c>
      <c r="T29" s="61">
        <f t="shared" si="4"/>
        <v>0</v>
      </c>
      <c r="U29" s="61">
        <f t="shared" si="5"/>
        <v>0</v>
      </c>
      <c r="V29" s="61">
        <f t="shared" si="6"/>
        <v>0</v>
      </c>
      <c r="W29" s="61">
        <f t="shared" ca="1" si="7"/>
        <v>-1</v>
      </c>
      <c r="X29" s="62">
        <f t="shared" si="8"/>
        <v>0</v>
      </c>
      <c r="Y29" s="23"/>
      <c r="Z29" s="64"/>
      <c r="AA29" s="23"/>
      <c r="AB29">
        <f t="shared" si="9"/>
        <v>0</v>
      </c>
      <c r="AC29">
        <f t="shared" si="10"/>
        <v>0</v>
      </c>
      <c r="AD29">
        <f t="shared" si="11"/>
        <v>0</v>
      </c>
      <c r="AE29">
        <f t="shared" si="12"/>
        <v>0</v>
      </c>
      <c r="AF29">
        <f t="shared" ca="1" si="13"/>
        <v>-1</v>
      </c>
      <c r="AG29">
        <f t="shared" si="14"/>
        <v>0</v>
      </c>
      <c r="AH29">
        <f t="shared" ca="1" si="15"/>
        <v>0</v>
      </c>
    </row>
    <row r="30" spans="1:37" s="12" customFormat="1" x14ac:dyDescent="0.25">
      <c r="A30" s="37">
        <v>29</v>
      </c>
      <c r="B30" s="38"/>
      <c r="C30" s="39"/>
      <c r="D30" s="65"/>
      <c r="E30" s="40"/>
      <c r="F30" s="39"/>
      <c r="G30" s="2"/>
      <c r="H30" s="39"/>
      <c r="I30" s="39"/>
      <c r="J30" s="50" t="str">
        <f t="shared" si="0"/>
        <v/>
      </c>
      <c r="K30" s="37" t="str">
        <f>IF(I30="","",IF($AM$3=1,IFERROR(IF(J30=FALSE,"",VLOOKUP(J30,$AJ$1:$AK$18,2,1)),""),IFERROR(IF(J30 = "FALSE","",VLOOKUP(J30,#REF!,2,TRUE)),"")))</f>
        <v/>
      </c>
      <c r="L30" s="37"/>
      <c r="M30" s="37"/>
      <c r="N30" s="37"/>
      <c r="O30" s="41" t="str">
        <f t="shared" si="1"/>
        <v/>
      </c>
      <c r="P30" s="51" t="str">
        <f>IFERROR(IF(C30="","",IF(AND(Census!C30="E",Census!J30&gt;=18,Census!J30&lt;=65),"Yes","No")),"ERROR")</f>
        <v/>
      </c>
      <c r="Q30" s="52" t="str">
        <f>IFERROR(IF(C30="","",IF(AND(Census!C30="E",Census!J30&gt;=18,Census!J30&lt;=64),"Yes","No")),"ERROR")</f>
        <v/>
      </c>
      <c r="R30" s="53">
        <f t="shared" ca="1" si="2"/>
        <v>-1</v>
      </c>
      <c r="S30" s="54">
        <f t="shared" si="3"/>
        <v>0</v>
      </c>
      <c r="T30" s="55">
        <f t="shared" si="4"/>
        <v>0</v>
      </c>
      <c r="U30" s="55">
        <f t="shared" si="5"/>
        <v>0</v>
      </c>
      <c r="V30" s="55">
        <f t="shared" si="6"/>
        <v>0</v>
      </c>
      <c r="W30" s="55">
        <f t="shared" ca="1" si="7"/>
        <v>-1</v>
      </c>
      <c r="X30" s="56">
        <f t="shared" si="8"/>
        <v>0</v>
      </c>
      <c r="Y30" s="23"/>
      <c r="Z30" s="64"/>
      <c r="AA30" s="23"/>
      <c r="AB30">
        <f t="shared" si="9"/>
        <v>0</v>
      </c>
      <c r="AC30">
        <f t="shared" si="10"/>
        <v>0</v>
      </c>
      <c r="AD30">
        <f t="shared" si="11"/>
        <v>0</v>
      </c>
      <c r="AE30">
        <f t="shared" si="12"/>
        <v>0</v>
      </c>
      <c r="AF30">
        <f t="shared" ca="1" si="13"/>
        <v>-1</v>
      </c>
      <c r="AG30">
        <f t="shared" si="14"/>
        <v>0</v>
      </c>
      <c r="AH30">
        <f t="shared" ca="1" si="15"/>
        <v>0</v>
      </c>
    </row>
    <row r="31" spans="1:37" s="12" customFormat="1" x14ac:dyDescent="0.25">
      <c r="A31" s="42">
        <v>30</v>
      </c>
      <c r="B31" s="43"/>
      <c r="C31" s="44"/>
      <c r="D31" s="17"/>
      <c r="E31" s="17"/>
      <c r="F31" s="39"/>
      <c r="G31" s="3"/>
      <c r="H31" s="44"/>
      <c r="I31" s="44"/>
      <c r="J31" s="42" t="str">
        <f t="shared" si="0"/>
        <v/>
      </c>
      <c r="K31" s="42" t="str">
        <f>IF(I31="","",IF($AM$3=1,IFERROR(IF(J31=FALSE,"",VLOOKUP(J31,$AJ$1:$AK$18,2,1)),""),IFERROR(IF(J31 = "FALSE","",VLOOKUP(J31,#REF!,2,TRUE)),"")))</f>
        <v/>
      </c>
      <c r="L31" s="42"/>
      <c r="M31" s="42"/>
      <c r="N31" s="42"/>
      <c r="O31" s="46" t="str">
        <f t="shared" si="1"/>
        <v/>
      </c>
      <c r="P31" s="57" t="str">
        <f>IFERROR(IF(C31="","",IF(AND(Census!C31="E",Census!J31&gt;=18,Census!J31&lt;=65),"Yes","No")),"ERROR")</f>
        <v/>
      </c>
      <c r="Q31" s="58" t="str">
        <f>IFERROR(IF(C31="","",IF(AND(Census!C31="E",Census!J31&gt;=18,Census!J31&lt;=64),"Yes","No")),"ERROR")</f>
        <v/>
      </c>
      <c r="R31" s="59">
        <f t="shared" ca="1" si="2"/>
        <v>-1</v>
      </c>
      <c r="S31" s="60">
        <f t="shared" si="3"/>
        <v>0</v>
      </c>
      <c r="T31" s="61">
        <f t="shared" si="4"/>
        <v>0</v>
      </c>
      <c r="U31" s="61">
        <f t="shared" si="5"/>
        <v>0</v>
      </c>
      <c r="V31" s="61">
        <f t="shared" si="6"/>
        <v>0</v>
      </c>
      <c r="W31" s="61">
        <f t="shared" ca="1" si="7"/>
        <v>-1</v>
      </c>
      <c r="X31" s="62">
        <f t="shared" si="8"/>
        <v>0</v>
      </c>
      <c r="Y31" s="23"/>
      <c r="Z31" s="64" t="s">
        <v>93</v>
      </c>
      <c r="AA31" s="23"/>
      <c r="AB31">
        <f t="shared" si="9"/>
        <v>0</v>
      </c>
      <c r="AC31">
        <f t="shared" si="10"/>
        <v>0</v>
      </c>
      <c r="AD31">
        <f t="shared" si="11"/>
        <v>0</v>
      </c>
      <c r="AE31">
        <f t="shared" si="12"/>
        <v>0</v>
      </c>
      <c r="AF31">
        <f t="shared" ca="1" si="13"/>
        <v>-1</v>
      </c>
      <c r="AG31">
        <f t="shared" si="14"/>
        <v>0</v>
      </c>
      <c r="AH31">
        <f t="shared" ca="1" si="15"/>
        <v>0</v>
      </c>
    </row>
    <row r="32" spans="1:37" s="12" customFormat="1" x14ac:dyDescent="0.25">
      <c r="A32" s="37">
        <v>31</v>
      </c>
      <c r="B32" s="38"/>
      <c r="C32" s="39"/>
      <c r="D32" s="65"/>
      <c r="E32" s="40"/>
      <c r="F32" s="39"/>
      <c r="G32" s="2"/>
      <c r="H32" s="39"/>
      <c r="I32" s="39"/>
      <c r="J32" s="50" t="str">
        <f t="shared" si="0"/>
        <v/>
      </c>
      <c r="K32" s="37" t="str">
        <f>IF(I32="","",IF($AM$3=1,IFERROR(IF(J32=FALSE,"",VLOOKUP(J32,$AJ$1:$AK$18,2,1)),""),IFERROR(IF(J32 = "FALSE","",VLOOKUP(J32,#REF!,2,TRUE)),"")))</f>
        <v/>
      </c>
      <c r="L32" s="37"/>
      <c r="M32" s="37"/>
      <c r="N32" s="37"/>
      <c r="O32" s="41" t="str">
        <f t="shared" si="1"/>
        <v/>
      </c>
      <c r="P32" s="51" t="str">
        <f>IFERROR(IF(C32="","",IF(AND(Census!C32="E",Census!J32&gt;=18,Census!J32&lt;=65),"Yes","No")),"ERROR")</f>
        <v/>
      </c>
      <c r="Q32" s="52" t="str">
        <f>IFERROR(IF(C32="","",IF(AND(Census!C32="E",Census!J32&gt;=18,Census!J32&lt;=64),"Yes","No")),"ERROR")</f>
        <v/>
      </c>
      <c r="R32" s="53">
        <f t="shared" ca="1" si="2"/>
        <v>-1</v>
      </c>
      <c r="S32" s="54">
        <f t="shared" si="3"/>
        <v>0</v>
      </c>
      <c r="T32" s="55">
        <f t="shared" si="4"/>
        <v>0</v>
      </c>
      <c r="U32" s="55">
        <f t="shared" si="5"/>
        <v>0</v>
      </c>
      <c r="V32" s="55">
        <f t="shared" si="6"/>
        <v>0</v>
      </c>
      <c r="W32" s="55">
        <f t="shared" ca="1" si="7"/>
        <v>-1</v>
      </c>
      <c r="X32" s="56">
        <f t="shared" si="8"/>
        <v>0</v>
      </c>
      <c r="Y32" s="23"/>
      <c r="Z32" s="64" t="s">
        <v>225</v>
      </c>
      <c r="AA32" s="23"/>
      <c r="AB32">
        <f t="shared" si="9"/>
        <v>0</v>
      </c>
      <c r="AC32">
        <f t="shared" si="10"/>
        <v>0</v>
      </c>
      <c r="AD32">
        <f t="shared" si="11"/>
        <v>0</v>
      </c>
      <c r="AE32">
        <f t="shared" si="12"/>
        <v>0</v>
      </c>
      <c r="AF32">
        <f t="shared" ca="1" si="13"/>
        <v>-1</v>
      </c>
      <c r="AG32">
        <f t="shared" si="14"/>
        <v>0</v>
      </c>
      <c r="AH32">
        <f t="shared" ca="1" si="15"/>
        <v>0</v>
      </c>
    </row>
    <row r="33" spans="1:34" s="12" customFormat="1" x14ac:dyDescent="0.25">
      <c r="A33" s="42">
        <v>32</v>
      </c>
      <c r="B33" s="43"/>
      <c r="C33" s="44"/>
      <c r="D33" s="17"/>
      <c r="E33" s="45"/>
      <c r="F33" s="39"/>
      <c r="G33" s="3"/>
      <c r="H33" s="44"/>
      <c r="I33" s="44"/>
      <c r="J33" s="42" t="str">
        <f t="shared" si="0"/>
        <v/>
      </c>
      <c r="K33" s="42" t="str">
        <f>IF(I33="","",IF($AM$3=1,IFERROR(IF(J33=FALSE,"",VLOOKUP(J33,$AJ$1:$AK$18,2,1)),""),IFERROR(IF(J33 = "FALSE","",VLOOKUP(J33,#REF!,2,TRUE)),"")))</f>
        <v/>
      </c>
      <c r="L33" s="42"/>
      <c r="M33" s="42"/>
      <c r="N33" s="42"/>
      <c r="O33" s="46" t="str">
        <f t="shared" si="1"/>
        <v/>
      </c>
      <c r="P33" s="57" t="str">
        <f>IFERROR(IF(C33="","",IF(AND(Census!C33="E",Census!J33&gt;=18,Census!J33&lt;=65),"Yes","No")),"ERROR")</f>
        <v/>
      </c>
      <c r="Q33" s="58" t="str">
        <f>IFERROR(IF(C33="","",IF(AND(Census!C33="E",Census!J33&gt;=18,Census!J33&lt;=64),"Yes","No")),"ERROR")</f>
        <v/>
      </c>
      <c r="R33" s="59">
        <f t="shared" ca="1" si="2"/>
        <v>-1</v>
      </c>
      <c r="S33" s="60">
        <f t="shared" si="3"/>
        <v>0</v>
      </c>
      <c r="T33" s="61">
        <f t="shared" si="4"/>
        <v>0</v>
      </c>
      <c r="U33" s="61">
        <f t="shared" si="5"/>
        <v>0</v>
      </c>
      <c r="V33" s="61">
        <f t="shared" si="6"/>
        <v>0</v>
      </c>
      <c r="W33" s="61">
        <f t="shared" ca="1" si="7"/>
        <v>-1</v>
      </c>
      <c r="X33" s="62">
        <f t="shared" si="8"/>
        <v>0</v>
      </c>
      <c r="Y33" s="23"/>
      <c r="Z33" s="64" t="s">
        <v>223</v>
      </c>
      <c r="AA33" s="23"/>
      <c r="AB33">
        <f t="shared" si="9"/>
        <v>0</v>
      </c>
      <c r="AC33">
        <f t="shared" si="10"/>
        <v>0</v>
      </c>
      <c r="AD33">
        <f t="shared" si="11"/>
        <v>0</v>
      </c>
      <c r="AE33">
        <f t="shared" si="12"/>
        <v>0</v>
      </c>
      <c r="AF33">
        <f t="shared" ca="1" si="13"/>
        <v>-1</v>
      </c>
      <c r="AG33">
        <f t="shared" si="14"/>
        <v>0</v>
      </c>
      <c r="AH33">
        <f t="shared" ca="1" si="15"/>
        <v>0</v>
      </c>
    </row>
    <row r="34" spans="1:34" s="12" customFormat="1" x14ac:dyDescent="0.25">
      <c r="A34" s="37">
        <v>33</v>
      </c>
      <c r="B34" s="38"/>
      <c r="C34" s="39"/>
      <c r="D34" s="65"/>
      <c r="E34" s="65"/>
      <c r="F34" s="39"/>
      <c r="G34" s="2"/>
      <c r="H34" s="39"/>
      <c r="I34" s="39"/>
      <c r="J34" s="50" t="str">
        <f t="shared" ref="J34:J65" si="17">IFERROR(IF(G34="","",ROUNDDOWN(IF($G34="","",(inception_date-$G34)/365.25),0)),0)</f>
        <v/>
      </c>
      <c r="K34" s="37" t="str">
        <f>IF(I34="","",IF($AM$3=1,IFERROR(IF(J34=FALSE,"",VLOOKUP(J34,$AJ$1:$AK$18,2,1)),""),IFERROR(IF(J34 = "FALSE","",VLOOKUP(J34,#REF!,2,TRUE)),"")))</f>
        <v/>
      </c>
      <c r="L34" s="37"/>
      <c r="M34" s="37"/>
      <c r="N34" s="37"/>
      <c r="O34" s="41" t="str">
        <f t="shared" ref="O34:O65" si="18">IF(C34="","",IF(R34=1,"Yes","No"))</f>
        <v/>
      </c>
      <c r="P34" s="51" t="str">
        <f>IFERROR(IF(C34="","",IF(AND(Census!C34="E",Census!J34&gt;=18,Census!J34&lt;=65),"Yes","No")),"ERROR")</f>
        <v/>
      </c>
      <c r="Q34" s="52" t="str">
        <f>IFERROR(IF(C34="","",IF(AND(Census!C34="E",Census!J34&gt;=18,Census!J34&lt;=64),"Yes","No")),"ERROR")</f>
        <v/>
      </c>
      <c r="R34" s="53">
        <f t="shared" ref="R34:R65" ca="1" si="19">IF(OR(AB34&lt;&gt;1,AC34&lt;&gt;1,AD34&lt;&gt;1,AF34&lt;&gt;1,AE34&lt;&gt;1,AG34&lt;&gt;1),-1,1)</f>
        <v>-1</v>
      </c>
      <c r="S34" s="54">
        <f t="shared" ref="S34:S65" si="20">AB34</f>
        <v>0</v>
      </c>
      <c r="T34" s="55">
        <f t="shared" ref="T34:T65" si="21">AC34</f>
        <v>0</v>
      </c>
      <c r="U34" s="55">
        <f t="shared" ref="U34:U65" si="22">AD34</f>
        <v>0</v>
      </c>
      <c r="V34" s="55">
        <f t="shared" ref="V34:V65" si="23">AE34</f>
        <v>0</v>
      </c>
      <c r="W34" s="55">
        <f t="shared" ref="W34:W65" ca="1" si="24">AF34</f>
        <v>-1</v>
      </c>
      <c r="X34" s="56">
        <f t="shared" ref="X34:X65" si="25">AG34</f>
        <v>0</v>
      </c>
      <c r="Y34" s="23"/>
      <c r="Z34" s="64" t="s">
        <v>143</v>
      </c>
      <c r="AA34" s="23"/>
      <c r="AB34">
        <f t="shared" ref="AB34:AB65" si="26">IFERROR(IF(OR(B34=0,B34=""),0,1),0)</f>
        <v>0</v>
      </c>
      <c r="AC34">
        <f t="shared" ref="AC34:AC65" si="27">IFERROR(IF(OR(C34="S",C34="D"),IF(AND(C34="D",D34="F"),1,IF(AND(C34="S",D34="M"),1,0)),IF(OR(C34="W",C34="H"),IF(OR(AND(C34="W",D34="F"),AND(C34="H",D34="M")),1,),IF(OR(D34="M",D34="F"),1,0))),0)</f>
        <v>0</v>
      </c>
      <c r="AD34">
        <f t="shared" ref="AD34:AD65" si="28">IFERROR(IF(OR(C34="E",C34="W",C34="H"),1,IF(C34 = "S",IF(D34="M",1,0),IF(D34 = "F",1,0))),0)</f>
        <v>0</v>
      </c>
      <c r="AE34">
        <f t="shared" ref="AE34:AE65" si="29">IFERROR(IF(OR(E34="M",E34="S"),IF(E34="M",IF(OR(C34="S",C34 = "D"),0,1),IF(OR(C34="W",C34="H"),0,1)),0),0)</f>
        <v>0</v>
      </c>
      <c r="AF34">
        <f t="shared" ref="AF34:AF65" ca="1" si="30">IF(G34="",-1,IF(AND(G34&lt;=TODAY(),ISNUMBER(DATE(YEAR(G34),MONTH(G34),DAY(G34)))),IF(AND(OR(C34="S",C34="D"),J34&gt;24),-1,1),-1))</f>
        <v>-1</v>
      </c>
      <c r="AG34">
        <f t="shared" ref="AG34:AG65" si="31">IF(OR(I34="CAT 1",I34="CAT 2",I34="CAT 3",I34="CAT 4"),1,0)</f>
        <v>0</v>
      </c>
      <c r="AH34">
        <f t="shared" ref="AH34:AH65" ca="1" si="32">PRODUCT(AF34:AG34)*AE34</f>
        <v>0</v>
      </c>
    </row>
    <row r="35" spans="1:34" s="12" customFormat="1" x14ac:dyDescent="0.25">
      <c r="A35" s="42">
        <v>34</v>
      </c>
      <c r="B35" s="43"/>
      <c r="C35" s="44"/>
      <c r="D35" s="17"/>
      <c r="E35" s="17"/>
      <c r="F35" s="39"/>
      <c r="G35" s="3"/>
      <c r="H35" s="44"/>
      <c r="I35" s="44"/>
      <c r="J35" s="42" t="str">
        <f t="shared" si="17"/>
        <v/>
      </c>
      <c r="K35" s="42" t="str">
        <f>IF(I35="","",IF($AM$3=1,IFERROR(IF(J35=FALSE,"",VLOOKUP(J35,$AJ$1:$AK$18,2,1)),""),IFERROR(IF(J35 = "FALSE","",VLOOKUP(J35,#REF!,2,TRUE)),"")))</f>
        <v/>
      </c>
      <c r="L35" s="42"/>
      <c r="M35" s="42"/>
      <c r="N35" s="42"/>
      <c r="O35" s="46" t="str">
        <f t="shared" si="18"/>
        <v/>
      </c>
      <c r="P35" s="57" t="str">
        <f>IFERROR(IF(C35="","",IF(AND(Census!C35="E",Census!J35&gt;=18,Census!J35&lt;=65),"Yes","No")),"ERROR")</f>
        <v/>
      </c>
      <c r="Q35" s="58" t="str">
        <f>IFERROR(IF(C35="","",IF(AND(Census!C35="E",Census!J35&gt;=18,Census!J35&lt;=64),"Yes","No")),"ERROR")</f>
        <v/>
      </c>
      <c r="R35" s="59">
        <f t="shared" ca="1" si="19"/>
        <v>-1</v>
      </c>
      <c r="S35" s="60">
        <f t="shared" si="20"/>
        <v>0</v>
      </c>
      <c r="T35" s="61">
        <f t="shared" si="21"/>
        <v>0</v>
      </c>
      <c r="U35" s="61">
        <f t="shared" si="22"/>
        <v>0</v>
      </c>
      <c r="V35" s="61">
        <f t="shared" si="23"/>
        <v>0</v>
      </c>
      <c r="W35" s="61">
        <f t="shared" ca="1" si="24"/>
        <v>-1</v>
      </c>
      <c r="X35" s="62">
        <f t="shared" si="25"/>
        <v>0</v>
      </c>
      <c r="Y35" s="23"/>
      <c r="Z35" s="64" t="s">
        <v>91</v>
      </c>
      <c r="AA35" s="23"/>
      <c r="AB35">
        <f t="shared" si="26"/>
        <v>0</v>
      </c>
      <c r="AC35">
        <f t="shared" si="27"/>
        <v>0</v>
      </c>
      <c r="AD35">
        <f t="shared" si="28"/>
        <v>0</v>
      </c>
      <c r="AE35">
        <f t="shared" si="29"/>
        <v>0</v>
      </c>
      <c r="AF35">
        <f t="shared" ca="1" si="30"/>
        <v>-1</v>
      </c>
      <c r="AG35">
        <f t="shared" si="31"/>
        <v>0</v>
      </c>
      <c r="AH35">
        <f t="shared" ca="1" si="32"/>
        <v>0</v>
      </c>
    </row>
    <row r="36" spans="1:34" s="12" customFormat="1" x14ac:dyDescent="0.25">
      <c r="A36" s="37">
        <v>35</v>
      </c>
      <c r="B36" s="38"/>
      <c r="C36" s="39"/>
      <c r="D36" s="65"/>
      <c r="E36" s="40"/>
      <c r="F36" s="39"/>
      <c r="G36" s="2"/>
      <c r="H36" s="39"/>
      <c r="I36" s="39"/>
      <c r="J36" s="50" t="str">
        <f t="shared" si="17"/>
        <v/>
      </c>
      <c r="K36" s="37" t="str">
        <f>IF(I36="","",IF($AM$3=1,IFERROR(IF(J36=FALSE,"",VLOOKUP(J36,$AJ$1:$AK$18,2,1)),""),IFERROR(IF(J36 = "FALSE","",VLOOKUP(J36,#REF!,2,TRUE)),"")))</f>
        <v/>
      </c>
      <c r="L36" s="37"/>
      <c r="M36" s="37"/>
      <c r="N36" s="37"/>
      <c r="O36" s="41" t="str">
        <f t="shared" si="18"/>
        <v/>
      </c>
      <c r="P36" s="51" t="str">
        <f>IFERROR(IF(C36="","",IF(AND(Census!C36="E",Census!J36&gt;=18,Census!J36&lt;=65),"Yes","No")),"ERROR")</f>
        <v/>
      </c>
      <c r="Q36" s="52" t="str">
        <f>IFERROR(IF(C36="","",IF(AND(Census!C36="E",Census!J36&gt;=18,Census!J36&lt;=64),"Yes","No")),"ERROR")</f>
        <v/>
      </c>
      <c r="R36" s="53">
        <f t="shared" ca="1" si="19"/>
        <v>-1</v>
      </c>
      <c r="S36" s="54">
        <f t="shared" si="20"/>
        <v>0</v>
      </c>
      <c r="T36" s="55">
        <f t="shared" si="21"/>
        <v>0</v>
      </c>
      <c r="U36" s="55">
        <f t="shared" si="22"/>
        <v>0</v>
      </c>
      <c r="V36" s="55">
        <f t="shared" si="23"/>
        <v>0</v>
      </c>
      <c r="W36" s="55">
        <f t="shared" ca="1" si="24"/>
        <v>-1</v>
      </c>
      <c r="X36" s="56">
        <f t="shared" si="25"/>
        <v>0</v>
      </c>
      <c r="Y36" s="23"/>
      <c r="Z36" s="64" t="s">
        <v>226</v>
      </c>
      <c r="AA36" s="23"/>
      <c r="AB36">
        <f t="shared" si="26"/>
        <v>0</v>
      </c>
      <c r="AC36">
        <f t="shared" si="27"/>
        <v>0</v>
      </c>
      <c r="AD36">
        <f t="shared" si="28"/>
        <v>0</v>
      </c>
      <c r="AE36">
        <f t="shared" si="29"/>
        <v>0</v>
      </c>
      <c r="AF36">
        <f t="shared" ca="1" si="30"/>
        <v>-1</v>
      </c>
      <c r="AG36">
        <f t="shared" si="31"/>
        <v>0</v>
      </c>
      <c r="AH36">
        <f t="shared" ca="1" si="32"/>
        <v>0</v>
      </c>
    </row>
    <row r="37" spans="1:34" s="12" customFormat="1" x14ac:dyDescent="0.25">
      <c r="A37" s="42">
        <v>36</v>
      </c>
      <c r="B37" s="43"/>
      <c r="C37" s="44"/>
      <c r="D37" s="17"/>
      <c r="E37" s="17"/>
      <c r="F37" s="39"/>
      <c r="G37" s="3"/>
      <c r="H37" s="44"/>
      <c r="I37" s="44"/>
      <c r="J37" s="42" t="str">
        <f t="shared" si="17"/>
        <v/>
      </c>
      <c r="K37" s="42" t="str">
        <f>IF(I37="","",IF($AM$3=1,IFERROR(IF(J37=FALSE,"",VLOOKUP(J37,$AJ$1:$AK$18,2,1)),""),IFERROR(IF(J37 = "FALSE","",VLOOKUP(J37,#REF!,2,TRUE)),"")))</f>
        <v/>
      </c>
      <c r="L37" s="42"/>
      <c r="M37" s="42"/>
      <c r="N37" s="42"/>
      <c r="O37" s="46" t="str">
        <f t="shared" si="18"/>
        <v/>
      </c>
      <c r="P37" s="57" t="str">
        <f>IFERROR(IF(C37="","",IF(AND(Census!C37="E",Census!J37&gt;=18,Census!J37&lt;=65),"Yes","No")),"ERROR")</f>
        <v/>
      </c>
      <c r="Q37" s="58" t="str">
        <f>IFERROR(IF(C37="","",IF(AND(Census!C37="E",Census!J37&gt;=18,Census!J37&lt;=64),"Yes","No")),"ERROR")</f>
        <v/>
      </c>
      <c r="R37" s="59">
        <f t="shared" ca="1" si="19"/>
        <v>-1</v>
      </c>
      <c r="S37" s="60">
        <f t="shared" si="20"/>
        <v>0</v>
      </c>
      <c r="T37" s="61">
        <f t="shared" si="21"/>
        <v>0</v>
      </c>
      <c r="U37" s="61">
        <f t="shared" si="22"/>
        <v>0</v>
      </c>
      <c r="V37" s="61">
        <f t="shared" si="23"/>
        <v>0</v>
      </c>
      <c r="W37" s="61">
        <f t="shared" ca="1" si="24"/>
        <v>-1</v>
      </c>
      <c r="X37" s="62">
        <f t="shared" si="25"/>
        <v>0</v>
      </c>
      <c r="Y37" s="23"/>
      <c r="Z37" s="64" t="s">
        <v>227</v>
      </c>
      <c r="AA37" s="23"/>
      <c r="AB37">
        <f t="shared" si="26"/>
        <v>0</v>
      </c>
      <c r="AC37">
        <f t="shared" si="27"/>
        <v>0</v>
      </c>
      <c r="AD37">
        <f t="shared" si="28"/>
        <v>0</v>
      </c>
      <c r="AE37">
        <f t="shared" si="29"/>
        <v>0</v>
      </c>
      <c r="AF37">
        <f t="shared" ca="1" si="30"/>
        <v>-1</v>
      </c>
      <c r="AG37">
        <f t="shared" si="31"/>
        <v>0</v>
      </c>
      <c r="AH37">
        <f t="shared" ca="1" si="32"/>
        <v>0</v>
      </c>
    </row>
    <row r="38" spans="1:34" s="12" customFormat="1" x14ac:dyDescent="0.25">
      <c r="A38" s="37">
        <v>37</v>
      </c>
      <c r="B38" s="38"/>
      <c r="C38" s="39"/>
      <c r="D38" s="65"/>
      <c r="E38" s="40"/>
      <c r="F38" s="39"/>
      <c r="G38" s="2"/>
      <c r="H38" s="39"/>
      <c r="I38" s="39"/>
      <c r="J38" s="50" t="str">
        <f t="shared" si="17"/>
        <v/>
      </c>
      <c r="K38" s="37" t="str">
        <f>IF(I38="","",IF($AM$3=1,IFERROR(IF(J38=FALSE,"",VLOOKUP(J38,$AJ$1:$AK$18,2,1)),""),IFERROR(IF(J38 = "FALSE","",VLOOKUP(J38,#REF!,2,TRUE)),"")))</f>
        <v/>
      </c>
      <c r="L38" s="37"/>
      <c r="M38" s="37"/>
      <c r="N38" s="37"/>
      <c r="O38" s="41" t="str">
        <f t="shared" si="18"/>
        <v/>
      </c>
      <c r="P38" s="51" t="str">
        <f>IFERROR(IF(C38="","",IF(AND(Census!C38="E",Census!J38&gt;=18,Census!J38&lt;=65),"Yes","No")),"ERROR")</f>
        <v/>
      </c>
      <c r="Q38" s="52" t="str">
        <f>IFERROR(IF(C38="","",IF(AND(Census!C38="E",Census!J38&gt;=18,Census!J38&lt;=64),"Yes","No")),"ERROR")</f>
        <v/>
      </c>
      <c r="R38" s="53">
        <f t="shared" ca="1" si="19"/>
        <v>-1</v>
      </c>
      <c r="S38" s="54">
        <f t="shared" si="20"/>
        <v>0</v>
      </c>
      <c r="T38" s="55">
        <f t="shared" si="21"/>
        <v>0</v>
      </c>
      <c r="U38" s="55">
        <f t="shared" si="22"/>
        <v>0</v>
      </c>
      <c r="V38" s="55">
        <f t="shared" si="23"/>
        <v>0</v>
      </c>
      <c r="W38" s="55">
        <f t="shared" ca="1" si="24"/>
        <v>-1</v>
      </c>
      <c r="X38" s="56">
        <f t="shared" si="25"/>
        <v>0</v>
      </c>
      <c r="Y38" s="23"/>
      <c r="Z38" s="64" t="s">
        <v>119</v>
      </c>
      <c r="AA38" s="23"/>
      <c r="AB38">
        <f t="shared" si="26"/>
        <v>0</v>
      </c>
      <c r="AC38">
        <f t="shared" si="27"/>
        <v>0</v>
      </c>
      <c r="AD38">
        <f t="shared" si="28"/>
        <v>0</v>
      </c>
      <c r="AE38">
        <f t="shared" si="29"/>
        <v>0</v>
      </c>
      <c r="AF38">
        <f t="shared" ca="1" si="30"/>
        <v>-1</v>
      </c>
      <c r="AG38">
        <f t="shared" si="31"/>
        <v>0</v>
      </c>
      <c r="AH38">
        <f t="shared" ca="1" si="32"/>
        <v>0</v>
      </c>
    </row>
    <row r="39" spans="1:34" s="12" customFormat="1" x14ac:dyDescent="0.25">
      <c r="A39" s="42">
        <v>38</v>
      </c>
      <c r="B39" s="43"/>
      <c r="C39" s="44"/>
      <c r="D39" s="17"/>
      <c r="E39" s="17"/>
      <c r="F39" s="39"/>
      <c r="G39" s="3"/>
      <c r="H39" s="44"/>
      <c r="I39" s="44"/>
      <c r="J39" s="42" t="str">
        <f t="shared" si="17"/>
        <v/>
      </c>
      <c r="K39" s="42" t="str">
        <f>IF(I39="","",IF($AM$3=1,IFERROR(IF(J39=FALSE,"",VLOOKUP(J39,$AJ$1:$AK$18,2,1)),""),IFERROR(IF(J39 = "FALSE","",VLOOKUP(J39,#REF!,2,TRUE)),"")))</f>
        <v/>
      </c>
      <c r="L39" s="42"/>
      <c r="M39" s="42"/>
      <c r="N39" s="42"/>
      <c r="O39" s="46" t="str">
        <f t="shared" si="18"/>
        <v/>
      </c>
      <c r="P39" s="57" t="str">
        <f>IFERROR(IF(C39="","",IF(AND(Census!C39="E",Census!J39&gt;=18,Census!J39&lt;=65),"Yes","No")),"ERROR")</f>
        <v/>
      </c>
      <c r="Q39" s="58" t="str">
        <f>IFERROR(IF(C39="","",IF(AND(Census!C39="E",Census!J39&gt;=18,Census!J39&lt;=64),"Yes","No")),"ERROR")</f>
        <v/>
      </c>
      <c r="R39" s="59">
        <f t="shared" ca="1" si="19"/>
        <v>-1</v>
      </c>
      <c r="S39" s="60">
        <f t="shared" si="20"/>
        <v>0</v>
      </c>
      <c r="T39" s="61">
        <f t="shared" si="21"/>
        <v>0</v>
      </c>
      <c r="U39" s="61">
        <f t="shared" si="22"/>
        <v>0</v>
      </c>
      <c r="V39" s="61">
        <f t="shared" si="23"/>
        <v>0</v>
      </c>
      <c r="W39" s="61">
        <f t="shared" ca="1" si="24"/>
        <v>-1</v>
      </c>
      <c r="X39" s="62">
        <f t="shared" si="25"/>
        <v>0</v>
      </c>
      <c r="Y39" s="23"/>
      <c r="Z39" s="64" t="s">
        <v>228</v>
      </c>
      <c r="AA39" s="23"/>
      <c r="AB39">
        <f t="shared" si="26"/>
        <v>0</v>
      </c>
      <c r="AC39">
        <f t="shared" si="27"/>
        <v>0</v>
      </c>
      <c r="AD39">
        <f t="shared" si="28"/>
        <v>0</v>
      </c>
      <c r="AE39">
        <f t="shared" si="29"/>
        <v>0</v>
      </c>
      <c r="AF39">
        <f t="shared" ca="1" si="30"/>
        <v>-1</v>
      </c>
      <c r="AG39">
        <f t="shared" si="31"/>
        <v>0</v>
      </c>
      <c r="AH39">
        <f t="shared" ca="1" si="32"/>
        <v>0</v>
      </c>
    </row>
    <row r="40" spans="1:34" s="12" customFormat="1" x14ac:dyDescent="0.25">
      <c r="A40" s="37">
        <v>39</v>
      </c>
      <c r="B40" s="38"/>
      <c r="C40" s="39"/>
      <c r="D40" s="65"/>
      <c r="E40" s="40"/>
      <c r="F40" s="39"/>
      <c r="G40" s="2"/>
      <c r="H40" s="39"/>
      <c r="I40" s="39"/>
      <c r="J40" s="50" t="str">
        <f t="shared" si="17"/>
        <v/>
      </c>
      <c r="K40" s="37" t="str">
        <f>IF(I40="","",IF($AM$3=1,IFERROR(IF(J40=FALSE,"",VLOOKUP(J40,$AJ$1:$AK$18,2,1)),""),IFERROR(IF(J40 = "FALSE","",VLOOKUP(J40,#REF!,2,TRUE)),"")))</f>
        <v/>
      </c>
      <c r="L40" s="37"/>
      <c r="M40" s="37"/>
      <c r="N40" s="37"/>
      <c r="O40" s="41" t="str">
        <f t="shared" si="18"/>
        <v/>
      </c>
      <c r="P40" s="51" t="str">
        <f>IFERROR(IF(C40="","",IF(AND(Census!C40="E",Census!J40&gt;=18,Census!J40&lt;=65),"Yes","No")),"ERROR")</f>
        <v/>
      </c>
      <c r="Q40" s="52" t="str">
        <f>IFERROR(IF(C40="","",IF(AND(Census!C40="E",Census!J40&gt;=18,Census!J40&lt;=64),"Yes","No")),"ERROR")</f>
        <v/>
      </c>
      <c r="R40" s="53">
        <f t="shared" ca="1" si="19"/>
        <v>-1</v>
      </c>
      <c r="S40" s="54">
        <f t="shared" si="20"/>
        <v>0</v>
      </c>
      <c r="T40" s="55">
        <f t="shared" si="21"/>
        <v>0</v>
      </c>
      <c r="U40" s="55">
        <f t="shared" si="22"/>
        <v>0</v>
      </c>
      <c r="V40" s="55">
        <f t="shared" si="23"/>
        <v>0</v>
      </c>
      <c r="W40" s="55">
        <f t="shared" ca="1" si="24"/>
        <v>-1</v>
      </c>
      <c r="X40" s="56">
        <f t="shared" si="25"/>
        <v>0</v>
      </c>
      <c r="Y40" s="10"/>
      <c r="Z40" s="64" t="s">
        <v>229</v>
      </c>
      <c r="AA40" s="10"/>
      <c r="AB40">
        <f t="shared" si="26"/>
        <v>0</v>
      </c>
      <c r="AC40">
        <f t="shared" si="27"/>
        <v>0</v>
      </c>
      <c r="AD40">
        <f t="shared" si="28"/>
        <v>0</v>
      </c>
      <c r="AE40">
        <f t="shared" si="29"/>
        <v>0</v>
      </c>
      <c r="AF40">
        <f t="shared" ca="1" si="30"/>
        <v>-1</v>
      </c>
      <c r="AG40">
        <f t="shared" si="31"/>
        <v>0</v>
      </c>
      <c r="AH40">
        <f t="shared" ca="1" si="32"/>
        <v>0</v>
      </c>
    </row>
    <row r="41" spans="1:34" s="12" customFormat="1" x14ac:dyDescent="0.25">
      <c r="A41" s="42">
        <v>40</v>
      </c>
      <c r="B41" s="43"/>
      <c r="C41" s="44"/>
      <c r="D41" s="17"/>
      <c r="E41" s="17"/>
      <c r="F41" s="39"/>
      <c r="G41" s="3"/>
      <c r="H41" s="44"/>
      <c r="I41" s="44"/>
      <c r="J41" s="42" t="str">
        <f t="shared" si="17"/>
        <v/>
      </c>
      <c r="K41" s="42" t="str">
        <f>IF(I41="","",IF($AM$3=1,IFERROR(IF(J41=FALSE,"",VLOOKUP(J41,$AJ$1:$AK$18,2,1)),""),IFERROR(IF(J41 = "FALSE","",VLOOKUP(J41,#REF!,2,TRUE)),"")))</f>
        <v/>
      </c>
      <c r="L41" s="42"/>
      <c r="M41" s="42"/>
      <c r="N41" s="42"/>
      <c r="O41" s="46" t="str">
        <f t="shared" si="18"/>
        <v/>
      </c>
      <c r="P41" s="57" t="str">
        <f>IFERROR(IF(C41="","",IF(AND(Census!C41="E",Census!J41&gt;=18,Census!J41&lt;=65),"Yes","No")),"ERROR")</f>
        <v/>
      </c>
      <c r="Q41" s="58" t="str">
        <f>IFERROR(IF(C41="","",IF(AND(Census!C41="E",Census!J41&gt;=18,Census!J41&lt;=64),"Yes","No")),"ERROR")</f>
        <v/>
      </c>
      <c r="R41" s="59">
        <f t="shared" ca="1" si="19"/>
        <v>-1</v>
      </c>
      <c r="S41" s="60">
        <f t="shared" si="20"/>
        <v>0</v>
      </c>
      <c r="T41" s="61">
        <f t="shared" si="21"/>
        <v>0</v>
      </c>
      <c r="U41" s="61">
        <f t="shared" si="22"/>
        <v>0</v>
      </c>
      <c r="V41" s="61">
        <f t="shared" si="23"/>
        <v>0</v>
      </c>
      <c r="W41" s="61">
        <f t="shared" ca="1" si="24"/>
        <v>-1</v>
      </c>
      <c r="X41" s="62">
        <f t="shared" si="25"/>
        <v>0</v>
      </c>
      <c r="Y41" s="10"/>
      <c r="Z41" s="64" t="s">
        <v>88</v>
      </c>
      <c r="AA41" s="10"/>
      <c r="AB41">
        <f t="shared" si="26"/>
        <v>0</v>
      </c>
      <c r="AC41">
        <f t="shared" si="27"/>
        <v>0</v>
      </c>
      <c r="AD41">
        <f t="shared" si="28"/>
        <v>0</v>
      </c>
      <c r="AE41">
        <f t="shared" si="29"/>
        <v>0</v>
      </c>
      <c r="AF41">
        <f t="shared" ca="1" si="30"/>
        <v>-1</v>
      </c>
      <c r="AG41">
        <f t="shared" si="31"/>
        <v>0</v>
      </c>
      <c r="AH41">
        <f t="shared" ca="1" si="32"/>
        <v>0</v>
      </c>
    </row>
    <row r="42" spans="1:34" s="12" customFormat="1" x14ac:dyDescent="0.25">
      <c r="A42" s="37">
        <v>41</v>
      </c>
      <c r="B42" s="38"/>
      <c r="C42" s="39"/>
      <c r="D42" s="65"/>
      <c r="E42" s="40"/>
      <c r="F42" s="39"/>
      <c r="G42" s="2"/>
      <c r="H42" s="39"/>
      <c r="I42" s="39"/>
      <c r="J42" s="50" t="str">
        <f t="shared" si="17"/>
        <v/>
      </c>
      <c r="K42" s="37" t="str">
        <f>IF(I42="","",IF($AM$3=1,IFERROR(IF(J42=FALSE,"",VLOOKUP(J42,$AJ$1:$AK$18,2,1)),""),IFERROR(IF(J42 = "FALSE","",VLOOKUP(J42,#REF!,2,TRUE)),"")))</f>
        <v/>
      </c>
      <c r="L42" s="37"/>
      <c r="M42" s="37"/>
      <c r="N42" s="37"/>
      <c r="O42" s="41" t="str">
        <f t="shared" si="18"/>
        <v/>
      </c>
      <c r="P42" s="51" t="str">
        <f>IFERROR(IF(C42="","",IF(AND(Census!C42="E",Census!J42&gt;=18,Census!J42&lt;=65),"Yes","No")),"ERROR")</f>
        <v/>
      </c>
      <c r="Q42" s="52" t="str">
        <f>IFERROR(IF(C42="","",IF(AND(Census!C42="E",Census!J42&gt;=18,Census!J42&lt;=64),"Yes","No")),"ERROR")</f>
        <v/>
      </c>
      <c r="R42" s="53">
        <f t="shared" ca="1" si="19"/>
        <v>-1</v>
      </c>
      <c r="S42" s="54">
        <f t="shared" si="20"/>
        <v>0</v>
      </c>
      <c r="T42" s="55">
        <f t="shared" si="21"/>
        <v>0</v>
      </c>
      <c r="U42" s="55">
        <f t="shared" si="22"/>
        <v>0</v>
      </c>
      <c r="V42" s="55">
        <f t="shared" si="23"/>
        <v>0</v>
      </c>
      <c r="W42" s="55">
        <f t="shared" ca="1" si="24"/>
        <v>-1</v>
      </c>
      <c r="X42" s="56">
        <f t="shared" si="25"/>
        <v>0</v>
      </c>
      <c r="Y42" s="10"/>
      <c r="Z42" s="64" t="s">
        <v>164</v>
      </c>
      <c r="AA42" s="10"/>
      <c r="AB42">
        <f t="shared" si="26"/>
        <v>0</v>
      </c>
      <c r="AC42">
        <f t="shared" si="27"/>
        <v>0</v>
      </c>
      <c r="AD42">
        <f t="shared" si="28"/>
        <v>0</v>
      </c>
      <c r="AE42">
        <f t="shared" si="29"/>
        <v>0</v>
      </c>
      <c r="AF42">
        <f t="shared" ca="1" si="30"/>
        <v>-1</v>
      </c>
      <c r="AG42">
        <f t="shared" si="31"/>
        <v>0</v>
      </c>
      <c r="AH42">
        <f t="shared" ca="1" si="32"/>
        <v>0</v>
      </c>
    </row>
    <row r="43" spans="1:34" s="12" customFormat="1" x14ac:dyDescent="0.25">
      <c r="A43" s="42">
        <v>42</v>
      </c>
      <c r="B43" s="43"/>
      <c r="C43" s="44"/>
      <c r="D43" s="17"/>
      <c r="E43" s="17"/>
      <c r="F43" s="39"/>
      <c r="G43" s="3"/>
      <c r="H43" s="44"/>
      <c r="I43" s="44"/>
      <c r="J43" s="42" t="str">
        <f t="shared" si="17"/>
        <v/>
      </c>
      <c r="K43" s="42" t="str">
        <f>IF(I43="","",IF($AM$3=1,IFERROR(IF(J43=FALSE,"",VLOOKUP(J43,$AJ$1:$AK$18,2,1)),""),IFERROR(IF(J43 = "FALSE","",VLOOKUP(J43,#REF!,2,TRUE)),"")))</f>
        <v/>
      </c>
      <c r="L43" s="42"/>
      <c r="M43" s="42"/>
      <c r="N43" s="42"/>
      <c r="O43" s="46" t="str">
        <f t="shared" si="18"/>
        <v/>
      </c>
      <c r="P43" s="57" t="str">
        <f>IFERROR(IF(C43="","",IF(AND(Census!C43="E",Census!J43&gt;=18,Census!J43&lt;=65),"Yes","No")),"ERROR")</f>
        <v/>
      </c>
      <c r="Q43" s="58" t="str">
        <f>IFERROR(IF(C43="","",IF(AND(Census!C43="E",Census!J43&gt;=18,Census!J43&lt;=64),"Yes","No")),"ERROR")</f>
        <v/>
      </c>
      <c r="R43" s="59">
        <f t="shared" ca="1" si="19"/>
        <v>-1</v>
      </c>
      <c r="S43" s="60">
        <f t="shared" si="20"/>
        <v>0</v>
      </c>
      <c r="T43" s="61">
        <f t="shared" si="21"/>
        <v>0</v>
      </c>
      <c r="U43" s="61">
        <f t="shared" si="22"/>
        <v>0</v>
      </c>
      <c r="V43" s="61">
        <f t="shared" si="23"/>
        <v>0</v>
      </c>
      <c r="W43" s="61">
        <f t="shared" ca="1" si="24"/>
        <v>-1</v>
      </c>
      <c r="X43" s="62">
        <f t="shared" si="25"/>
        <v>0</v>
      </c>
      <c r="Y43" s="10"/>
      <c r="Z43" s="64" t="s">
        <v>165</v>
      </c>
      <c r="AA43" s="10"/>
      <c r="AB43">
        <f t="shared" si="26"/>
        <v>0</v>
      </c>
      <c r="AC43">
        <f t="shared" si="27"/>
        <v>0</v>
      </c>
      <c r="AD43">
        <f t="shared" si="28"/>
        <v>0</v>
      </c>
      <c r="AE43">
        <f t="shared" si="29"/>
        <v>0</v>
      </c>
      <c r="AF43">
        <f t="shared" ca="1" si="30"/>
        <v>-1</v>
      </c>
      <c r="AG43">
        <f t="shared" si="31"/>
        <v>0</v>
      </c>
      <c r="AH43">
        <f t="shared" ca="1" si="32"/>
        <v>0</v>
      </c>
    </row>
    <row r="44" spans="1:34" s="12" customFormat="1" x14ac:dyDescent="0.25">
      <c r="A44" s="37">
        <v>43</v>
      </c>
      <c r="B44" s="38"/>
      <c r="C44" s="39"/>
      <c r="D44" s="65"/>
      <c r="E44" s="40"/>
      <c r="F44" s="39"/>
      <c r="G44" s="2"/>
      <c r="H44" s="39"/>
      <c r="I44" s="39"/>
      <c r="J44" s="50" t="str">
        <f t="shared" si="17"/>
        <v/>
      </c>
      <c r="K44" s="37" t="str">
        <f>IF(I44="","",IF($AM$3=1,IFERROR(IF(J44=FALSE,"",VLOOKUP(J44,$AJ$1:$AK$18,2,1)),""),IFERROR(IF(J44 = "FALSE","",VLOOKUP(J44,#REF!,2,TRUE)),"")))</f>
        <v/>
      </c>
      <c r="L44" s="37"/>
      <c r="M44" s="37"/>
      <c r="N44" s="37"/>
      <c r="O44" s="41" t="str">
        <f t="shared" si="18"/>
        <v/>
      </c>
      <c r="P44" s="51" t="str">
        <f>IFERROR(IF(C44="","",IF(AND(Census!C44="E",Census!J44&gt;=18,Census!J44&lt;=65),"Yes","No")),"ERROR")</f>
        <v/>
      </c>
      <c r="Q44" s="52" t="str">
        <f>IFERROR(IF(C44="","",IF(AND(Census!C44="E",Census!J44&gt;=18,Census!J44&lt;=64),"Yes","No")),"ERROR")</f>
        <v/>
      </c>
      <c r="R44" s="53">
        <f t="shared" ca="1" si="19"/>
        <v>-1</v>
      </c>
      <c r="S44" s="54">
        <f t="shared" si="20"/>
        <v>0</v>
      </c>
      <c r="T44" s="55">
        <f t="shared" si="21"/>
        <v>0</v>
      </c>
      <c r="U44" s="55">
        <f t="shared" si="22"/>
        <v>0</v>
      </c>
      <c r="V44" s="55">
        <f t="shared" si="23"/>
        <v>0</v>
      </c>
      <c r="W44" s="55">
        <f t="shared" ca="1" si="24"/>
        <v>-1</v>
      </c>
      <c r="X44" s="56">
        <f t="shared" si="25"/>
        <v>0</v>
      </c>
      <c r="Y44" s="10"/>
      <c r="Z44" s="64" t="s">
        <v>230</v>
      </c>
      <c r="AA44" s="10"/>
      <c r="AB44">
        <f t="shared" si="26"/>
        <v>0</v>
      </c>
      <c r="AC44">
        <f t="shared" si="27"/>
        <v>0</v>
      </c>
      <c r="AD44">
        <f t="shared" si="28"/>
        <v>0</v>
      </c>
      <c r="AE44">
        <f t="shared" si="29"/>
        <v>0</v>
      </c>
      <c r="AF44">
        <f t="shared" ca="1" si="30"/>
        <v>-1</v>
      </c>
      <c r="AG44">
        <f t="shared" si="31"/>
        <v>0</v>
      </c>
      <c r="AH44">
        <f t="shared" ca="1" si="32"/>
        <v>0</v>
      </c>
    </row>
    <row r="45" spans="1:34" s="12" customFormat="1" x14ac:dyDescent="0.25">
      <c r="A45" s="42">
        <v>44</v>
      </c>
      <c r="B45" s="43"/>
      <c r="C45" s="44"/>
      <c r="D45" s="17"/>
      <c r="E45" s="45"/>
      <c r="F45" s="39"/>
      <c r="G45" s="3"/>
      <c r="H45" s="44"/>
      <c r="I45" s="44"/>
      <c r="J45" s="42" t="str">
        <f t="shared" si="17"/>
        <v/>
      </c>
      <c r="K45" s="42" t="str">
        <f>IF(I45="","",IF($AM$3=1,IFERROR(IF(J45=FALSE,"",VLOOKUP(J45,$AJ$1:$AK$18,2,1)),""),IFERROR(IF(J45 = "FALSE","",VLOOKUP(J45,#REF!,2,TRUE)),"")))</f>
        <v/>
      </c>
      <c r="L45" s="42"/>
      <c r="M45" s="42"/>
      <c r="N45" s="42"/>
      <c r="O45" s="46" t="str">
        <f t="shared" si="18"/>
        <v/>
      </c>
      <c r="P45" s="57" t="str">
        <f>IFERROR(IF(C45="","",IF(AND(Census!C45="E",Census!J45&gt;=18,Census!J45&lt;=65),"Yes","No")),"ERROR")</f>
        <v/>
      </c>
      <c r="Q45" s="58" t="str">
        <f>IFERROR(IF(C45="","",IF(AND(Census!C45="E",Census!J45&gt;=18,Census!J45&lt;=64),"Yes","No")),"ERROR")</f>
        <v/>
      </c>
      <c r="R45" s="59">
        <f t="shared" ca="1" si="19"/>
        <v>-1</v>
      </c>
      <c r="S45" s="60">
        <f t="shared" si="20"/>
        <v>0</v>
      </c>
      <c r="T45" s="61">
        <f t="shared" si="21"/>
        <v>0</v>
      </c>
      <c r="U45" s="61">
        <f t="shared" si="22"/>
        <v>0</v>
      </c>
      <c r="V45" s="61">
        <f t="shared" si="23"/>
        <v>0</v>
      </c>
      <c r="W45" s="61">
        <f t="shared" ca="1" si="24"/>
        <v>-1</v>
      </c>
      <c r="X45" s="62">
        <f t="shared" si="25"/>
        <v>0</v>
      </c>
      <c r="Y45" s="10"/>
      <c r="Z45" s="64" t="s">
        <v>166</v>
      </c>
      <c r="AA45" s="10"/>
      <c r="AB45">
        <f t="shared" si="26"/>
        <v>0</v>
      </c>
      <c r="AC45">
        <f t="shared" si="27"/>
        <v>0</v>
      </c>
      <c r="AD45">
        <f t="shared" si="28"/>
        <v>0</v>
      </c>
      <c r="AE45">
        <f t="shared" si="29"/>
        <v>0</v>
      </c>
      <c r="AF45">
        <f t="shared" ca="1" si="30"/>
        <v>-1</v>
      </c>
      <c r="AG45">
        <f t="shared" si="31"/>
        <v>0</v>
      </c>
      <c r="AH45">
        <f t="shared" ca="1" si="32"/>
        <v>0</v>
      </c>
    </row>
    <row r="46" spans="1:34" s="12" customFormat="1" x14ac:dyDescent="0.25">
      <c r="A46" s="37">
        <v>45</v>
      </c>
      <c r="B46" s="38"/>
      <c r="C46" s="39"/>
      <c r="D46" s="65"/>
      <c r="E46" s="40"/>
      <c r="F46" s="39"/>
      <c r="G46" s="2"/>
      <c r="H46" s="39"/>
      <c r="I46" s="39"/>
      <c r="J46" s="50" t="str">
        <f t="shared" si="17"/>
        <v/>
      </c>
      <c r="K46" s="37" t="str">
        <f>IF(I46="","",IF($AM$3=1,IFERROR(IF(J46=FALSE,"",VLOOKUP(J46,$AJ$1:$AK$18,2,1)),""),IFERROR(IF(J46 = "FALSE","",VLOOKUP(J46,#REF!,2,TRUE)),"")))</f>
        <v/>
      </c>
      <c r="L46" s="37"/>
      <c r="M46" s="37"/>
      <c r="N46" s="37"/>
      <c r="O46" s="41" t="str">
        <f t="shared" si="18"/>
        <v/>
      </c>
      <c r="P46" s="51" t="str">
        <f>IFERROR(IF(C46="","",IF(AND(Census!C46="E",Census!J46&gt;=18,Census!J46&lt;=65),"Yes","No")),"ERROR")</f>
        <v/>
      </c>
      <c r="Q46" s="52" t="str">
        <f>IFERROR(IF(C46="","",IF(AND(Census!C46="E",Census!J46&gt;=18,Census!J46&lt;=64),"Yes","No")),"ERROR")</f>
        <v/>
      </c>
      <c r="R46" s="53">
        <f t="shared" ca="1" si="19"/>
        <v>-1</v>
      </c>
      <c r="S46" s="54">
        <f t="shared" si="20"/>
        <v>0</v>
      </c>
      <c r="T46" s="55">
        <f t="shared" si="21"/>
        <v>0</v>
      </c>
      <c r="U46" s="55">
        <f t="shared" si="22"/>
        <v>0</v>
      </c>
      <c r="V46" s="55">
        <f t="shared" si="23"/>
        <v>0</v>
      </c>
      <c r="W46" s="55">
        <f t="shared" ca="1" si="24"/>
        <v>-1</v>
      </c>
      <c r="X46" s="56">
        <f t="shared" si="25"/>
        <v>0</v>
      </c>
      <c r="Y46" s="10"/>
      <c r="Z46" s="64" t="s">
        <v>204</v>
      </c>
      <c r="AA46" s="10"/>
      <c r="AB46">
        <f t="shared" si="26"/>
        <v>0</v>
      </c>
      <c r="AC46">
        <f t="shared" si="27"/>
        <v>0</v>
      </c>
      <c r="AD46">
        <f t="shared" si="28"/>
        <v>0</v>
      </c>
      <c r="AE46">
        <f t="shared" si="29"/>
        <v>0</v>
      </c>
      <c r="AF46">
        <f t="shared" ca="1" si="30"/>
        <v>-1</v>
      </c>
      <c r="AG46">
        <f t="shared" si="31"/>
        <v>0</v>
      </c>
      <c r="AH46">
        <f t="shared" ca="1" si="32"/>
        <v>0</v>
      </c>
    </row>
    <row r="47" spans="1:34" s="12" customFormat="1" x14ac:dyDescent="0.25">
      <c r="A47" s="42">
        <v>46</v>
      </c>
      <c r="B47" s="43"/>
      <c r="C47" s="44"/>
      <c r="D47" s="17"/>
      <c r="E47" s="17"/>
      <c r="F47" s="39"/>
      <c r="G47" s="3"/>
      <c r="H47" s="44"/>
      <c r="I47" s="44"/>
      <c r="J47" s="42" t="str">
        <f t="shared" si="17"/>
        <v/>
      </c>
      <c r="K47" s="42" t="str">
        <f>IF(I47="","",IF($AM$3=1,IFERROR(IF(J47=FALSE,"",VLOOKUP(J47,$AJ$1:$AK$18,2,1)),""),IFERROR(IF(J47 = "FALSE","",VLOOKUP(J47,#REF!,2,TRUE)),"")))</f>
        <v/>
      </c>
      <c r="L47" s="42"/>
      <c r="M47" s="42"/>
      <c r="N47" s="42"/>
      <c r="O47" s="46" t="str">
        <f t="shared" si="18"/>
        <v/>
      </c>
      <c r="P47" s="57" t="str">
        <f>IFERROR(IF(C47="","",IF(AND(Census!C47="E",Census!J47&gt;=18,Census!J47&lt;=65),"Yes","No")),"ERROR")</f>
        <v/>
      </c>
      <c r="Q47" s="58" t="str">
        <f>IFERROR(IF(C47="","",IF(AND(Census!C47="E",Census!J47&gt;=18,Census!J47&lt;=64),"Yes","No")),"ERROR")</f>
        <v/>
      </c>
      <c r="R47" s="59">
        <f t="shared" ca="1" si="19"/>
        <v>-1</v>
      </c>
      <c r="S47" s="60">
        <f t="shared" si="20"/>
        <v>0</v>
      </c>
      <c r="T47" s="61">
        <f t="shared" si="21"/>
        <v>0</v>
      </c>
      <c r="U47" s="61">
        <f t="shared" si="22"/>
        <v>0</v>
      </c>
      <c r="V47" s="61">
        <f t="shared" si="23"/>
        <v>0</v>
      </c>
      <c r="W47" s="61">
        <f t="shared" ca="1" si="24"/>
        <v>-1</v>
      </c>
      <c r="X47" s="62">
        <f t="shared" si="25"/>
        <v>0</v>
      </c>
      <c r="Y47" s="10"/>
      <c r="Z47" s="64" t="s">
        <v>167</v>
      </c>
      <c r="AA47" s="10"/>
      <c r="AB47">
        <f t="shared" si="26"/>
        <v>0</v>
      </c>
      <c r="AC47">
        <f t="shared" si="27"/>
        <v>0</v>
      </c>
      <c r="AD47">
        <f t="shared" si="28"/>
        <v>0</v>
      </c>
      <c r="AE47">
        <f t="shared" si="29"/>
        <v>0</v>
      </c>
      <c r="AF47">
        <f t="shared" ca="1" si="30"/>
        <v>-1</v>
      </c>
      <c r="AG47">
        <f t="shared" si="31"/>
        <v>0</v>
      </c>
      <c r="AH47">
        <f t="shared" ca="1" si="32"/>
        <v>0</v>
      </c>
    </row>
    <row r="48" spans="1:34" s="12" customFormat="1" x14ac:dyDescent="0.25">
      <c r="A48" s="37">
        <v>47</v>
      </c>
      <c r="B48" s="38"/>
      <c r="C48" s="39"/>
      <c r="D48" s="65"/>
      <c r="E48" s="65"/>
      <c r="F48" s="39"/>
      <c r="G48" s="2"/>
      <c r="H48" s="39"/>
      <c r="I48" s="39"/>
      <c r="J48" s="50" t="str">
        <f t="shared" si="17"/>
        <v/>
      </c>
      <c r="K48" s="37" t="str">
        <f>IF(I48="","",IF($AM$3=1,IFERROR(IF(J48=FALSE,"",VLOOKUP(J48,$AJ$1:$AK$18,2,1)),""),IFERROR(IF(J48 = "FALSE","",VLOOKUP(J48,#REF!,2,TRUE)),"")))</f>
        <v/>
      </c>
      <c r="L48" s="37"/>
      <c r="M48" s="37"/>
      <c r="N48" s="37"/>
      <c r="O48" s="41" t="str">
        <f t="shared" si="18"/>
        <v/>
      </c>
      <c r="P48" s="51" t="str">
        <f>IFERROR(IF(C48="","",IF(AND(Census!C48="E",Census!J48&gt;=18,Census!J48&lt;=65),"Yes","No")),"ERROR")</f>
        <v/>
      </c>
      <c r="Q48" s="52" t="str">
        <f>IFERROR(IF(C48="","",IF(AND(Census!C48="E",Census!J48&gt;=18,Census!J48&lt;=64),"Yes","No")),"ERROR")</f>
        <v/>
      </c>
      <c r="R48" s="53">
        <f t="shared" ca="1" si="19"/>
        <v>-1</v>
      </c>
      <c r="S48" s="54">
        <f t="shared" si="20"/>
        <v>0</v>
      </c>
      <c r="T48" s="55">
        <f t="shared" si="21"/>
        <v>0</v>
      </c>
      <c r="U48" s="55">
        <f t="shared" si="22"/>
        <v>0</v>
      </c>
      <c r="V48" s="55">
        <f t="shared" si="23"/>
        <v>0</v>
      </c>
      <c r="W48" s="55">
        <f t="shared" ca="1" si="24"/>
        <v>-1</v>
      </c>
      <c r="X48" s="56">
        <f t="shared" si="25"/>
        <v>0</v>
      </c>
      <c r="Y48" s="10"/>
      <c r="Z48" s="64" t="s">
        <v>80</v>
      </c>
      <c r="AA48" s="10"/>
      <c r="AB48">
        <f t="shared" si="26"/>
        <v>0</v>
      </c>
      <c r="AC48">
        <f t="shared" si="27"/>
        <v>0</v>
      </c>
      <c r="AD48">
        <f t="shared" si="28"/>
        <v>0</v>
      </c>
      <c r="AE48">
        <f t="shared" si="29"/>
        <v>0</v>
      </c>
      <c r="AF48">
        <f t="shared" ca="1" si="30"/>
        <v>-1</v>
      </c>
      <c r="AG48">
        <f t="shared" si="31"/>
        <v>0</v>
      </c>
      <c r="AH48">
        <f t="shared" ca="1" si="32"/>
        <v>0</v>
      </c>
    </row>
    <row r="49" spans="1:34" s="12" customFormat="1" x14ac:dyDescent="0.25">
      <c r="A49" s="42">
        <v>48</v>
      </c>
      <c r="B49" s="43"/>
      <c r="C49" s="44"/>
      <c r="D49" s="17"/>
      <c r="E49" s="17"/>
      <c r="F49" s="39"/>
      <c r="G49" s="3"/>
      <c r="H49" s="44"/>
      <c r="I49" s="44"/>
      <c r="J49" s="42" t="str">
        <f t="shared" si="17"/>
        <v/>
      </c>
      <c r="K49" s="42" t="str">
        <f>IF(I49="","",IF($AM$3=1,IFERROR(IF(J49=FALSE,"",VLOOKUP(J49,$AJ$1:$AK$18,2,1)),""),IFERROR(IF(J49 = "FALSE","",VLOOKUP(J49,#REF!,2,TRUE)),"")))</f>
        <v/>
      </c>
      <c r="L49" s="42"/>
      <c r="M49" s="42"/>
      <c r="N49" s="42"/>
      <c r="O49" s="46" t="str">
        <f t="shared" si="18"/>
        <v/>
      </c>
      <c r="P49" s="57" t="str">
        <f>IFERROR(IF(C49="","",IF(AND(Census!C49="E",Census!J49&gt;=18,Census!J49&lt;=65),"Yes","No")),"ERROR")</f>
        <v/>
      </c>
      <c r="Q49" s="58" t="str">
        <f>IFERROR(IF(C49="","",IF(AND(Census!C49="E",Census!J49&gt;=18,Census!J49&lt;=64),"Yes","No")),"ERROR")</f>
        <v/>
      </c>
      <c r="R49" s="59">
        <f t="shared" ca="1" si="19"/>
        <v>-1</v>
      </c>
      <c r="S49" s="60">
        <f t="shared" si="20"/>
        <v>0</v>
      </c>
      <c r="T49" s="61">
        <f t="shared" si="21"/>
        <v>0</v>
      </c>
      <c r="U49" s="61">
        <f t="shared" si="22"/>
        <v>0</v>
      </c>
      <c r="V49" s="61">
        <f t="shared" si="23"/>
        <v>0</v>
      </c>
      <c r="W49" s="61">
        <f t="shared" ca="1" si="24"/>
        <v>-1</v>
      </c>
      <c r="X49" s="62">
        <f t="shared" si="25"/>
        <v>0</v>
      </c>
      <c r="Y49" s="10"/>
      <c r="Z49" s="64" t="s">
        <v>162</v>
      </c>
      <c r="AA49" s="10"/>
      <c r="AB49">
        <f t="shared" si="26"/>
        <v>0</v>
      </c>
      <c r="AC49">
        <f t="shared" si="27"/>
        <v>0</v>
      </c>
      <c r="AD49">
        <f t="shared" si="28"/>
        <v>0</v>
      </c>
      <c r="AE49">
        <f t="shared" si="29"/>
        <v>0</v>
      </c>
      <c r="AF49">
        <f t="shared" ca="1" si="30"/>
        <v>-1</v>
      </c>
      <c r="AG49">
        <f t="shared" si="31"/>
        <v>0</v>
      </c>
      <c r="AH49">
        <f t="shared" ca="1" si="32"/>
        <v>0</v>
      </c>
    </row>
    <row r="50" spans="1:34" s="12" customFormat="1" x14ac:dyDescent="0.25">
      <c r="A50" s="37">
        <v>49</v>
      </c>
      <c r="B50" s="38"/>
      <c r="C50" s="39"/>
      <c r="D50" s="65"/>
      <c r="E50" s="65"/>
      <c r="F50" s="39"/>
      <c r="G50" s="2"/>
      <c r="H50" s="39"/>
      <c r="I50" s="39"/>
      <c r="J50" s="50" t="str">
        <f t="shared" si="17"/>
        <v/>
      </c>
      <c r="K50" s="37" t="str">
        <f>IF(I50="","",IF($AM$3=1,IFERROR(IF(J50=FALSE,"",VLOOKUP(J50,$AJ$1:$AK$18,2,1)),""),IFERROR(IF(J50 = "FALSE","",VLOOKUP(J50,#REF!,2,TRUE)),"")))</f>
        <v/>
      </c>
      <c r="L50" s="37"/>
      <c r="M50" s="37"/>
      <c r="N50" s="37"/>
      <c r="O50" s="41" t="str">
        <f t="shared" si="18"/>
        <v/>
      </c>
      <c r="P50" s="51" t="str">
        <f>IFERROR(IF(C50="","",IF(AND(Census!C50="E",Census!J50&gt;=18,Census!J50&lt;=65),"Yes","No")),"ERROR")</f>
        <v/>
      </c>
      <c r="Q50" s="52" t="str">
        <f>IFERROR(IF(C50="","",IF(AND(Census!C50="E",Census!J50&gt;=18,Census!J50&lt;=64),"Yes","No")),"ERROR")</f>
        <v/>
      </c>
      <c r="R50" s="53">
        <f t="shared" ca="1" si="19"/>
        <v>-1</v>
      </c>
      <c r="S50" s="54">
        <f t="shared" si="20"/>
        <v>0</v>
      </c>
      <c r="T50" s="55">
        <f t="shared" si="21"/>
        <v>0</v>
      </c>
      <c r="U50" s="55">
        <f t="shared" si="22"/>
        <v>0</v>
      </c>
      <c r="V50" s="55">
        <f t="shared" si="23"/>
        <v>0</v>
      </c>
      <c r="W50" s="55">
        <f t="shared" ca="1" si="24"/>
        <v>-1</v>
      </c>
      <c r="X50" s="56">
        <f t="shared" si="25"/>
        <v>0</v>
      </c>
      <c r="Y50" s="10"/>
      <c r="Z50" s="64" t="s">
        <v>94</v>
      </c>
      <c r="AA50" s="10"/>
      <c r="AB50">
        <f t="shared" si="26"/>
        <v>0</v>
      </c>
      <c r="AC50">
        <f t="shared" si="27"/>
        <v>0</v>
      </c>
      <c r="AD50">
        <f t="shared" si="28"/>
        <v>0</v>
      </c>
      <c r="AE50">
        <f t="shared" si="29"/>
        <v>0</v>
      </c>
      <c r="AF50">
        <f t="shared" ca="1" si="30"/>
        <v>-1</v>
      </c>
      <c r="AG50">
        <f t="shared" si="31"/>
        <v>0</v>
      </c>
      <c r="AH50">
        <f t="shared" ca="1" si="32"/>
        <v>0</v>
      </c>
    </row>
    <row r="51" spans="1:34" s="12" customFormat="1" x14ac:dyDescent="0.25">
      <c r="A51" s="42">
        <v>50</v>
      </c>
      <c r="B51" s="43"/>
      <c r="C51" s="44"/>
      <c r="D51" s="17"/>
      <c r="E51" s="45"/>
      <c r="F51" s="39"/>
      <c r="G51" s="3"/>
      <c r="H51" s="44"/>
      <c r="I51" s="44"/>
      <c r="J51" s="42" t="str">
        <f t="shared" si="17"/>
        <v/>
      </c>
      <c r="K51" s="42" t="str">
        <f>IF(I51="","",IF($AM$3=1,IFERROR(IF(J51=FALSE,"",VLOOKUP(J51,$AJ$1:$AK$18,2,1)),""),IFERROR(IF(J51 = "FALSE","",VLOOKUP(J51,#REF!,2,TRUE)),"")))</f>
        <v/>
      </c>
      <c r="L51" s="42"/>
      <c r="M51" s="42"/>
      <c r="N51" s="42"/>
      <c r="O51" s="46" t="str">
        <f t="shared" si="18"/>
        <v/>
      </c>
      <c r="P51" s="57" t="str">
        <f>IFERROR(IF(C51="","",IF(AND(Census!C51="E",Census!J51&gt;=18,Census!J51&lt;=65),"Yes","No")),"ERROR")</f>
        <v/>
      </c>
      <c r="Q51" s="58" t="str">
        <f>IFERROR(IF(C51="","",IF(AND(Census!C51="E",Census!J51&gt;=18,Census!J51&lt;=64),"Yes","No")),"ERROR")</f>
        <v/>
      </c>
      <c r="R51" s="59">
        <f t="shared" ca="1" si="19"/>
        <v>-1</v>
      </c>
      <c r="S51" s="60">
        <f t="shared" si="20"/>
        <v>0</v>
      </c>
      <c r="T51" s="61">
        <f t="shared" si="21"/>
        <v>0</v>
      </c>
      <c r="U51" s="61">
        <f t="shared" si="22"/>
        <v>0</v>
      </c>
      <c r="V51" s="61">
        <f t="shared" si="23"/>
        <v>0</v>
      </c>
      <c r="W51" s="61">
        <f t="shared" ca="1" si="24"/>
        <v>-1</v>
      </c>
      <c r="X51" s="62">
        <f t="shared" si="25"/>
        <v>0</v>
      </c>
      <c r="Y51" s="10"/>
      <c r="Z51" s="64" t="s">
        <v>231</v>
      </c>
      <c r="AA51" s="10"/>
      <c r="AB51">
        <f t="shared" si="26"/>
        <v>0</v>
      </c>
      <c r="AC51">
        <f t="shared" si="27"/>
        <v>0</v>
      </c>
      <c r="AD51">
        <f t="shared" si="28"/>
        <v>0</v>
      </c>
      <c r="AE51">
        <f t="shared" si="29"/>
        <v>0</v>
      </c>
      <c r="AF51">
        <f t="shared" ca="1" si="30"/>
        <v>-1</v>
      </c>
      <c r="AG51">
        <f t="shared" si="31"/>
        <v>0</v>
      </c>
      <c r="AH51">
        <f t="shared" ca="1" si="32"/>
        <v>0</v>
      </c>
    </row>
    <row r="52" spans="1:34" s="12" customFormat="1" x14ac:dyDescent="0.25">
      <c r="A52" s="37">
        <v>51</v>
      </c>
      <c r="B52" s="38"/>
      <c r="C52" s="39"/>
      <c r="D52" s="65"/>
      <c r="E52" s="40"/>
      <c r="F52" s="39"/>
      <c r="G52" s="2"/>
      <c r="H52" s="39"/>
      <c r="I52" s="39"/>
      <c r="J52" s="50" t="str">
        <f t="shared" si="17"/>
        <v/>
      </c>
      <c r="K52" s="37" t="str">
        <f>IF(I52="","",IF($AM$3=1,IFERROR(IF(J52=FALSE,"",VLOOKUP(J52,$AJ$1:$AK$18,2,1)),""),IFERROR(IF(J52 = "FALSE","",VLOOKUP(J52,#REF!,2,TRUE)),"")))</f>
        <v/>
      </c>
      <c r="L52" s="37"/>
      <c r="M52" s="37"/>
      <c r="N52" s="37"/>
      <c r="O52" s="41" t="str">
        <f t="shared" si="18"/>
        <v/>
      </c>
      <c r="P52" s="51" t="str">
        <f>IFERROR(IF(C52="","",IF(AND(Census!C52="E",Census!J52&gt;=18,Census!J52&lt;=65),"Yes","No")),"ERROR")</f>
        <v/>
      </c>
      <c r="Q52" s="52" t="str">
        <f>IFERROR(IF(C52="","",IF(AND(Census!C52="E",Census!J52&gt;=18,Census!J52&lt;=64),"Yes","No")),"ERROR")</f>
        <v/>
      </c>
      <c r="R52" s="53">
        <f t="shared" ca="1" si="19"/>
        <v>-1</v>
      </c>
      <c r="S52" s="54">
        <f t="shared" si="20"/>
        <v>0</v>
      </c>
      <c r="T52" s="55">
        <f t="shared" si="21"/>
        <v>0</v>
      </c>
      <c r="U52" s="55">
        <f t="shared" si="22"/>
        <v>0</v>
      </c>
      <c r="V52" s="55">
        <f t="shared" si="23"/>
        <v>0</v>
      </c>
      <c r="W52" s="55">
        <f t="shared" ca="1" si="24"/>
        <v>-1</v>
      </c>
      <c r="X52" s="56">
        <f t="shared" si="25"/>
        <v>0</v>
      </c>
      <c r="Y52" s="10"/>
      <c r="Z52" s="64" t="s">
        <v>232</v>
      </c>
      <c r="AA52" s="10"/>
      <c r="AB52">
        <f t="shared" si="26"/>
        <v>0</v>
      </c>
      <c r="AC52">
        <f t="shared" si="27"/>
        <v>0</v>
      </c>
      <c r="AD52">
        <f t="shared" si="28"/>
        <v>0</v>
      </c>
      <c r="AE52">
        <f t="shared" si="29"/>
        <v>0</v>
      </c>
      <c r="AF52">
        <f t="shared" ca="1" si="30"/>
        <v>-1</v>
      </c>
      <c r="AG52">
        <f t="shared" si="31"/>
        <v>0</v>
      </c>
      <c r="AH52">
        <f t="shared" ca="1" si="32"/>
        <v>0</v>
      </c>
    </row>
    <row r="53" spans="1:34" s="12" customFormat="1" x14ac:dyDescent="0.25">
      <c r="A53" s="42">
        <v>52</v>
      </c>
      <c r="B53" s="43"/>
      <c r="C53" s="44"/>
      <c r="D53" s="17"/>
      <c r="E53" s="17"/>
      <c r="F53" s="39"/>
      <c r="G53" s="3"/>
      <c r="H53" s="44"/>
      <c r="I53" s="44"/>
      <c r="J53" s="42" t="str">
        <f t="shared" si="17"/>
        <v/>
      </c>
      <c r="K53" s="42" t="str">
        <f>IF(I53="","",IF($AM$3=1,IFERROR(IF(J53=FALSE,"",VLOOKUP(J53,$AJ$1:$AK$18,2,1)),""),IFERROR(IF(J53 = "FALSE","",VLOOKUP(J53,#REF!,2,TRUE)),"")))</f>
        <v/>
      </c>
      <c r="L53" s="42"/>
      <c r="M53" s="42"/>
      <c r="N53" s="42"/>
      <c r="O53" s="46" t="str">
        <f t="shared" si="18"/>
        <v/>
      </c>
      <c r="P53" s="57" t="str">
        <f>IFERROR(IF(C53="","",IF(AND(Census!C53="E",Census!J53&gt;=18,Census!J53&lt;=65),"Yes","No")),"ERROR")</f>
        <v/>
      </c>
      <c r="Q53" s="58" t="str">
        <f>IFERROR(IF(C53="","",IF(AND(Census!C53="E",Census!J53&gt;=18,Census!J53&lt;=64),"Yes","No")),"ERROR")</f>
        <v/>
      </c>
      <c r="R53" s="59">
        <f t="shared" ca="1" si="19"/>
        <v>-1</v>
      </c>
      <c r="S53" s="60">
        <f t="shared" si="20"/>
        <v>0</v>
      </c>
      <c r="T53" s="61">
        <f t="shared" si="21"/>
        <v>0</v>
      </c>
      <c r="U53" s="61">
        <f t="shared" si="22"/>
        <v>0</v>
      </c>
      <c r="V53" s="61">
        <f t="shared" si="23"/>
        <v>0</v>
      </c>
      <c r="W53" s="61">
        <f t="shared" ca="1" si="24"/>
        <v>-1</v>
      </c>
      <c r="X53" s="62">
        <f t="shared" si="25"/>
        <v>0</v>
      </c>
      <c r="Y53" s="10"/>
      <c r="Z53" s="64" t="s">
        <v>168</v>
      </c>
      <c r="AA53" s="10"/>
      <c r="AB53">
        <f t="shared" si="26"/>
        <v>0</v>
      </c>
      <c r="AC53">
        <f t="shared" si="27"/>
        <v>0</v>
      </c>
      <c r="AD53">
        <f t="shared" si="28"/>
        <v>0</v>
      </c>
      <c r="AE53">
        <f t="shared" si="29"/>
        <v>0</v>
      </c>
      <c r="AF53">
        <f t="shared" ca="1" si="30"/>
        <v>-1</v>
      </c>
      <c r="AG53">
        <f t="shared" si="31"/>
        <v>0</v>
      </c>
      <c r="AH53">
        <f t="shared" ca="1" si="32"/>
        <v>0</v>
      </c>
    </row>
    <row r="54" spans="1:34" s="12" customFormat="1" x14ac:dyDescent="0.25">
      <c r="A54" s="37">
        <v>53</v>
      </c>
      <c r="B54" s="38"/>
      <c r="C54" s="39"/>
      <c r="D54" s="65"/>
      <c r="E54" s="65"/>
      <c r="F54" s="39"/>
      <c r="G54" s="2"/>
      <c r="H54" s="39"/>
      <c r="I54" s="39"/>
      <c r="J54" s="50" t="str">
        <f t="shared" si="17"/>
        <v/>
      </c>
      <c r="K54" s="37" t="str">
        <f>IF(I54="","",IF($AM$3=1,IFERROR(IF(J54=FALSE,"",VLOOKUP(J54,$AJ$1:$AK$18,2,1)),""),IFERROR(IF(J54 = "FALSE","",VLOOKUP(J54,#REF!,2,TRUE)),"")))</f>
        <v/>
      </c>
      <c r="L54" s="37"/>
      <c r="M54" s="37"/>
      <c r="N54" s="37"/>
      <c r="O54" s="41" t="str">
        <f t="shared" si="18"/>
        <v/>
      </c>
      <c r="P54" s="51" t="str">
        <f>IFERROR(IF(C54="","",IF(AND(Census!C54="E",Census!J54&gt;=18,Census!J54&lt;=65),"Yes","No")),"ERROR")</f>
        <v/>
      </c>
      <c r="Q54" s="52" t="str">
        <f>IFERROR(IF(C54="","",IF(AND(Census!C54="E",Census!J54&gt;=18,Census!J54&lt;=64),"Yes","No")),"ERROR")</f>
        <v/>
      </c>
      <c r="R54" s="53">
        <f t="shared" ca="1" si="19"/>
        <v>-1</v>
      </c>
      <c r="S54" s="54">
        <f t="shared" si="20"/>
        <v>0</v>
      </c>
      <c r="T54" s="55">
        <f t="shared" si="21"/>
        <v>0</v>
      </c>
      <c r="U54" s="55">
        <f t="shared" si="22"/>
        <v>0</v>
      </c>
      <c r="V54" s="55">
        <f t="shared" si="23"/>
        <v>0</v>
      </c>
      <c r="W54" s="55">
        <f t="shared" ca="1" si="24"/>
        <v>-1</v>
      </c>
      <c r="X54" s="56">
        <f t="shared" si="25"/>
        <v>0</v>
      </c>
      <c r="Y54" s="10"/>
      <c r="Z54" s="64" t="s">
        <v>169</v>
      </c>
      <c r="AA54" s="10"/>
      <c r="AB54">
        <f t="shared" si="26"/>
        <v>0</v>
      </c>
      <c r="AC54">
        <f t="shared" si="27"/>
        <v>0</v>
      </c>
      <c r="AD54">
        <f t="shared" si="28"/>
        <v>0</v>
      </c>
      <c r="AE54">
        <f t="shared" si="29"/>
        <v>0</v>
      </c>
      <c r="AF54">
        <f t="shared" ca="1" si="30"/>
        <v>-1</v>
      </c>
      <c r="AG54">
        <f t="shared" si="31"/>
        <v>0</v>
      </c>
      <c r="AH54">
        <f t="shared" ca="1" si="32"/>
        <v>0</v>
      </c>
    </row>
    <row r="55" spans="1:34" s="12" customFormat="1" x14ac:dyDescent="0.25">
      <c r="A55" s="42">
        <v>54</v>
      </c>
      <c r="B55" s="43"/>
      <c r="C55" s="44"/>
      <c r="D55" s="17"/>
      <c r="E55" s="17"/>
      <c r="F55" s="39"/>
      <c r="G55" s="3"/>
      <c r="H55" s="44"/>
      <c r="I55" s="44"/>
      <c r="J55" s="42" t="str">
        <f t="shared" si="17"/>
        <v/>
      </c>
      <c r="K55" s="42" t="str">
        <f>IF(I55="","",IF($AM$3=1,IFERROR(IF(J55=FALSE,"",VLOOKUP(J55,$AJ$1:$AK$18,2,1)),""),IFERROR(IF(J55 = "FALSE","",VLOOKUP(J55,#REF!,2,TRUE)),"")))</f>
        <v/>
      </c>
      <c r="L55" s="42"/>
      <c r="M55" s="42"/>
      <c r="N55" s="42"/>
      <c r="O55" s="46" t="str">
        <f t="shared" si="18"/>
        <v/>
      </c>
      <c r="P55" s="57" t="str">
        <f>IFERROR(IF(C55="","",IF(AND(Census!C55="E",Census!J55&gt;=18,Census!J55&lt;=65),"Yes","No")),"ERROR")</f>
        <v/>
      </c>
      <c r="Q55" s="58" t="str">
        <f>IFERROR(IF(C55="","",IF(AND(Census!C55="E",Census!J55&gt;=18,Census!J55&lt;=64),"Yes","No")),"ERROR")</f>
        <v/>
      </c>
      <c r="R55" s="59">
        <f t="shared" ca="1" si="19"/>
        <v>-1</v>
      </c>
      <c r="S55" s="60">
        <f t="shared" si="20"/>
        <v>0</v>
      </c>
      <c r="T55" s="61">
        <f t="shared" si="21"/>
        <v>0</v>
      </c>
      <c r="U55" s="61">
        <f t="shared" si="22"/>
        <v>0</v>
      </c>
      <c r="V55" s="61">
        <f t="shared" si="23"/>
        <v>0</v>
      </c>
      <c r="W55" s="61">
        <f t="shared" ca="1" si="24"/>
        <v>-1</v>
      </c>
      <c r="X55" s="62">
        <f t="shared" si="25"/>
        <v>0</v>
      </c>
      <c r="Y55" s="10"/>
      <c r="Z55" s="64" t="s">
        <v>211</v>
      </c>
      <c r="AA55" s="10"/>
      <c r="AB55">
        <f t="shared" si="26"/>
        <v>0</v>
      </c>
      <c r="AC55">
        <f t="shared" si="27"/>
        <v>0</v>
      </c>
      <c r="AD55">
        <f t="shared" si="28"/>
        <v>0</v>
      </c>
      <c r="AE55">
        <f t="shared" si="29"/>
        <v>0</v>
      </c>
      <c r="AF55">
        <f t="shared" ca="1" si="30"/>
        <v>-1</v>
      </c>
      <c r="AG55">
        <f t="shared" si="31"/>
        <v>0</v>
      </c>
      <c r="AH55">
        <f t="shared" ca="1" si="32"/>
        <v>0</v>
      </c>
    </row>
    <row r="56" spans="1:34" s="12" customFormat="1" x14ac:dyDescent="0.25">
      <c r="A56" s="37">
        <v>55</v>
      </c>
      <c r="B56" s="38"/>
      <c r="C56" s="39"/>
      <c r="D56" s="65"/>
      <c r="E56" s="65"/>
      <c r="F56" s="39"/>
      <c r="G56" s="2"/>
      <c r="H56" s="39"/>
      <c r="I56" s="39"/>
      <c r="J56" s="50" t="str">
        <f t="shared" si="17"/>
        <v/>
      </c>
      <c r="K56" s="37" t="str">
        <f>IF(I56="","",IF($AM$3=1,IFERROR(IF(J56=FALSE,"",VLOOKUP(J56,$AJ$1:$AK$18,2,1)),""),IFERROR(IF(J56 = "FALSE","",VLOOKUP(J56,#REF!,2,TRUE)),"")))</f>
        <v/>
      </c>
      <c r="L56" s="37"/>
      <c r="M56" s="37"/>
      <c r="N56" s="37"/>
      <c r="O56" s="41" t="str">
        <f t="shared" si="18"/>
        <v/>
      </c>
      <c r="P56" s="51" t="str">
        <f>IFERROR(IF(C56="","",IF(AND(Census!C56="E",Census!J56&gt;=18,Census!J56&lt;=65),"Yes","No")),"ERROR")</f>
        <v/>
      </c>
      <c r="Q56" s="52" t="str">
        <f>IFERROR(IF(C56="","",IF(AND(Census!C56="E",Census!J56&gt;=18,Census!J56&lt;=64),"Yes","No")),"ERROR")</f>
        <v/>
      </c>
      <c r="R56" s="53">
        <f t="shared" ca="1" si="19"/>
        <v>-1</v>
      </c>
      <c r="S56" s="54">
        <f t="shared" si="20"/>
        <v>0</v>
      </c>
      <c r="T56" s="55">
        <f t="shared" si="21"/>
        <v>0</v>
      </c>
      <c r="U56" s="55">
        <f t="shared" si="22"/>
        <v>0</v>
      </c>
      <c r="V56" s="55">
        <f t="shared" si="23"/>
        <v>0</v>
      </c>
      <c r="W56" s="55">
        <f t="shared" ca="1" si="24"/>
        <v>-1</v>
      </c>
      <c r="X56" s="56">
        <f t="shared" si="25"/>
        <v>0</v>
      </c>
      <c r="Y56" s="10"/>
      <c r="Z56" s="64" t="s">
        <v>140</v>
      </c>
      <c r="AA56" s="10"/>
      <c r="AB56">
        <f t="shared" si="26"/>
        <v>0</v>
      </c>
      <c r="AC56">
        <f t="shared" si="27"/>
        <v>0</v>
      </c>
      <c r="AD56">
        <f t="shared" si="28"/>
        <v>0</v>
      </c>
      <c r="AE56">
        <f t="shared" si="29"/>
        <v>0</v>
      </c>
      <c r="AF56">
        <f t="shared" ca="1" si="30"/>
        <v>-1</v>
      </c>
      <c r="AG56">
        <f t="shared" si="31"/>
        <v>0</v>
      </c>
      <c r="AH56">
        <f t="shared" ca="1" si="32"/>
        <v>0</v>
      </c>
    </row>
    <row r="57" spans="1:34" s="12" customFormat="1" x14ac:dyDescent="0.25">
      <c r="A57" s="42">
        <v>56</v>
      </c>
      <c r="B57" s="43"/>
      <c r="C57" s="44"/>
      <c r="D57" s="17"/>
      <c r="E57" s="45"/>
      <c r="F57" s="39"/>
      <c r="G57" s="3"/>
      <c r="H57" s="44"/>
      <c r="I57" s="44"/>
      <c r="J57" s="42" t="str">
        <f t="shared" si="17"/>
        <v/>
      </c>
      <c r="K57" s="42" t="str">
        <f>IF(I57="","",IF($AM$3=1,IFERROR(IF(J57=FALSE,"",VLOOKUP(J57,$AJ$1:$AK$18,2,1)),""),IFERROR(IF(J57 = "FALSE","",VLOOKUP(J57,#REF!,2,TRUE)),"")))</f>
        <v/>
      </c>
      <c r="L57" s="42"/>
      <c r="M57" s="42"/>
      <c r="N57" s="42"/>
      <c r="O57" s="46" t="str">
        <f t="shared" si="18"/>
        <v/>
      </c>
      <c r="P57" s="57" t="str">
        <f>IFERROR(IF(C57="","",IF(AND(Census!C57="E",Census!J57&gt;=18,Census!J57&lt;=65),"Yes","No")),"ERROR")</f>
        <v/>
      </c>
      <c r="Q57" s="58" t="str">
        <f>IFERROR(IF(C57="","",IF(AND(Census!C57="E",Census!J57&gt;=18,Census!J57&lt;=64),"Yes","No")),"ERROR")</f>
        <v/>
      </c>
      <c r="R57" s="59">
        <f t="shared" ca="1" si="19"/>
        <v>-1</v>
      </c>
      <c r="S57" s="60">
        <f t="shared" si="20"/>
        <v>0</v>
      </c>
      <c r="T57" s="61">
        <f t="shared" si="21"/>
        <v>0</v>
      </c>
      <c r="U57" s="61">
        <f t="shared" si="22"/>
        <v>0</v>
      </c>
      <c r="V57" s="61">
        <f t="shared" si="23"/>
        <v>0</v>
      </c>
      <c r="W57" s="61">
        <f t="shared" ca="1" si="24"/>
        <v>-1</v>
      </c>
      <c r="X57" s="62">
        <f t="shared" si="25"/>
        <v>0</v>
      </c>
      <c r="Y57" s="10"/>
      <c r="Z57" s="64" t="s">
        <v>233</v>
      </c>
      <c r="AA57" s="10"/>
      <c r="AB57">
        <f t="shared" si="26"/>
        <v>0</v>
      </c>
      <c r="AC57">
        <f t="shared" si="27"/>
        <v>0</v>
      </c>
      <c r="AD57">
        <f t="shared" si="28"/>
        <v>0</v>
      </c>
      <c r="AE57">
        <f t="shared" si="29"/>
        <v>0</v>
      </c>
      <c r="AF57">
        <f t="shared" ca="1" si="30"/>
        <v>-1</v>
      </c>
      <c r="AG57">
        <f t="shared" si="31"/>
        <v>0</v>
      </c>
      <c r="AH57">
        <f t="shared" ca="1" si="32"/>
        <v>0</v>
      </c>
    </row>
    <row r="58" spans="1:34" s="12" customFormat="1" x14ac:dyDescent="0.25">
      <c r="A58" s="37">
        <v>57</v>
      </c>
      <c r="B58" s="38"/>
      <c r="C58" s="39"/>
      <c r="D58" s="65"/>
      <c r="E58" s="65"/>
      <c r="F58" s="39"/>
      <c r="G58" s="2"/>
      <c r="H58" s="39"/>
      <c r="I58" s="39"/>
      <c r="J58" s="50" t="str">
        <f t="shared" si="17"/>
        <v/>
      </c>
      <c r="K58" s="37" t="str">
        <f>IF(I58="","",IF($AM$3=1,IFERROR(IF(J58=FALSE,"",VLOOKUP(J58,$AJ$1:$AK$18,2,1)),""),IFERROR(IF(J58 = "FALSE","",VLOOKUP(J58,#REF!,2,TRUE)),"")))</f>
        <v/>
      </c>
      <c r="L58" s="37"/>
      <c r="M58" s="37"/>
      <c r="N58" s="37"/>
      <c r="O58" s="41" t="str">
        <f t="shared" si="18"/>
        <v/>
      </c>
      <c r="P58" s="51" t="str">
        <f>IFERROR(IF(C58="","",IF(AND(Census!C58="E",Census!J58&gt;=18,Census!J58&lt;=65),"Yes","No")),"ERROR")</f>
        <v/>
      </c>
      <c r="Q58" s="52" t="str">
        <f>IFERROR(IF(C58="","",IF(AND(Census!C58="E",Census!J58&gt;=18,Census!J58&lt;=64),"Yes","No")),"ERROR")</f>
        <v/>
      </c>
      <c r="R58" s="53">
        <f t="shared" ca="1" si="19"/>
        <v>-1</v>
      </c>
      <c r="S58" s="54">
        <f t="shared" si="20"/>
        <v>0</v>
      </c>
      <c r="T58" s="55">
        <f t="shared" si="21"/>
        <v>0</v>
      </c>
      <c r="U58" s="55">
        <f t="shared" si="22"/>
        <v>0</v>
      </c>
      <c r="V58" s="55">
        <f t="shared" si="23"/>
        <v>0</v>
      </c>
      <c r="W58" s="55">
        <f t="shared" ca="1" si="24"/>
        <v>-1</v>
      </c>
      <c r="X58" s="56">
        <f t="shared" si="25"/>
        <v>0</v>
      </c>
      <c r="Y58" s="10"/>
      <c r="Z58" s="64" t="s">
        <v>234</v>
      </c>
      <c r="AA58" s="10"/>
      <c r="AB58">
        <f t="shared" si="26"/>
        <v>0</v>
      </c>
      <c r="AC58">
        <f t="shared" si="27"/>
        <v>0</v>
      </c>
      <c r="AD58">
        <f t="shared" si="28"/>
        <v>0</v>
      </c>
      <c r="AE58">
        <f t="shared" si="29"/>
        <v>0</v>
      </c>
      <c r="AF58">
        <f t="shared" ca="1" si="30"/>
        <v>-1</v>
      </c>
      <c r="AG58">
        <f t="shared" si="31"/>
        <v>0</v>
      </c>
      <c r="AH58">
        <f t="shared" ca="1" si="32"/>
        <v>0</v>
      </c>
    </row>
    <row r="59" spans="1:34" s="12" customFormat="1" x14ac:dyDescent="0.25">
      <c r="A59" s="42">
        <v>58</v>
      </c>
      <c r="B59" s="43"/>
      <c r="C59" s="44"/>
      <c r="D59" s="17"/>
      <c r="E59" s="17"/>
      <c r="F59" s="39"/>
      <c r="G59" s="3"/>
      <c r="H59" s="44"/>
      <c r="I59" s="44"/>
      <c r="J59" s="42" t="str">
        <f t="shared" si="17"/>
        <v/>
      </c>
      <c r="K59" s="42" t="str">
        <f>IF(I59="","",IF($AM$3=1,IFERROR(IF(J59=FALSE,"",VLOOKUP(J59,$AJ$1:$AK$18,2,1)),""),IFERROR(IF(J59 = "FALSE","",VLOOKUP(J59,#REF!,2,TRUE)),"")))</f>
        <v/>
      </c>
      <c r="L59" s="42"/>
      <c r="M59" s="42"/>
      <c r="N59" s="42"/>
      <c r="O59" s="46" t="str">
        <f t="shared" si="18"/>
        <v/>
      </c>
      <c r="P59" s="57" t="str">
        <f>IFERROR(IF(C59="","",IF(AND(Census!C59="E",Census!J59&gt;=18,Census!J59&lt;=65),"Yes","No")),"ERROR")</f>
        <v/>
      </c>
      <c r="Q59" s="58" t="str">
        <f>IFERROR(IF(C59="","",IF(AND(Census!C59="E",Census!J59&gt;=18,Census!J59&lt;=64),"Yes","No")),"ERROR")</f>
        <v/>
      </c>
      <c r="R59" s="59">
        <f t="shared" ca="1" si="19"/>
        <v>-1</v>
      </c>
      <c r="S59" s="60">
        <f t="shared" si="20"/>
        <v>0</v>
      </c>
      <c r="T59" s="61">
        <f t="shared" si="21"/>
        <v>0</v>
      </c>
      <c r="U59" s="61">
        <f t="shared" si="22"/>
        <v>0</v>
      </c>
      <c r="V59" s="61">
        <f t="shared" si="23"/>
        <v>0</v>
      </c>
      <c r="W59" s="61">
        <f t="shared" ca="1" si="24"/>
        <v>-1</v>
      </c>
      <c r="X59" s="62">
        <f t="shared" si="25"/>
        <v>0</v>
      </c>
      <c r="Y59" s="10"/>
      <c r="Z59" s="64" t="s">
        <v>235</v>
      </c>
      <c r="AA59" s="10"/>
      <c r="AB59">
        <f t="shared" si="26"/>
        <v>0</v>
      </c>
      <c r="AC59">
        <f t="shared" si="27"/>
        <v>0</v>
      </c>
      <c r="AD59">
        <f t="shared" si="28"/>
        <v>0</v>
      </c>
      <c r="AE59">
        <f t="shared" si="29"/>
        <v>0</v>
      </c>
      <c r="AF59">
        <f t="shared" ca="1" si="30"/>
        <v>-1</v>
      </c>
      <c r="AG59">
        <f t="shared" si="31"/>
        <v>0</v>
      </c>
      <c r="AH59">
        <f t="shared" ca="1" si="32"/>
        <v>0</v>
      </c>
    </row>
    <row r="60" spans="1:34" s="12" customFormat="1" x14ac:dyDescent="0.25">
      <c r="A60" s="37">
        <v>59</v>
      </c>
      <c r="B60" s="38"/>
      <c r="C60" s="39"/>
      <c r="D60" s="65"/>
      <c r="E60" s="40"/>
      <c r="F60" s="39"/>
      <c r="G60" s="2"/>
      <c r="H60" s="39"/>
      <c r="I60" s="39"/>
      <c r="J60" s="50" t="str">
        <f t="shared" si="17"/>
        <v/>
      </c>
      <c r="K60" s="37" t="str">
        <f>IF(I60="","",IF($AM$3=1,IFERROR(IF(J60=FALSE,"",VLOOKUP(J60,$AJ$1:$AK$18,2,1)),""),IFERROR(IF(J60 = "FALSE","",VLOOKUP(J60,#REF!,2,TRUE)),"")))</f>
        <v/>
      </c>
      <c r="L60" s="37"/>
      <c r="M60" s="37"/>
      <c r="N60" s="37"/>
      <c r="O60" s="41" t="str">
        <f t="shared" si="18"/>
        <v/>
      </c>
      <c r="P60" s="51" t="str">
        <f>IFERROR(IF(C60="","",IF(AND(Census!C60="E",Census!J60&gt;=18,Census!J60&lt;=65),"Yes","No")),"ERROR")</f>
        <v/>
      </c>
      <c r="Q60" s="52" t="str">
        <f>IFERROR(IF(C60="","",IF(AND(Census!C60="E",Census!J60&gt;=18,Census!J60&lt;=64),"Yes","No")),"ERROR")</f>
        <v/>
      </c>
      <c r="R60" s="53">
        <f t="shared" ca="1" si="19"/>
        <v>-1</v>
      </c>
      <c r="S60" s="54">
        <f t="shared" si="20"/>
        <v>0</v>
      </c>
      <c r="T60" s="55">
        <f t="shared" si="21"/>
        <v>0</v>
      </c>
      <c r="U60" s="55">
        <f t="shared" si="22"/>
        <v>0</v>
      </c>
      <c r="V60" s="55">
        <f t="shared" si="23"/>
        <v>0</v>
      </c>
      <c r="W60" s="55">
        <f t="shared" ca="1" si="24"/>
        <v>-1</v>
      </c>
      <c r="X60" s="56">
        <f t="shared" si="25"/>
        <v>0</v>
      </c>
      <c r="Y60" s="10"/>
      <c r="Z60" s="64" t="s">
        <v>170</v>
      </c>
      <c r="AA60" s="10"/>
      <c r="AB60">
        <f t="shared" si="26"/>
        <v>0</v>
      </c>
      <c r="AC60">
        <f t="shared" si="27"/>
        <v>0</v>
      </c>
      <c r="AD60">
        <f t="shared" si="28"/>
        <v>0</v>
      </c>
      <c r="AE60">
        <f t="shared" si="29"/>
        <v>0</v>
      </c>
      <c r="AF60">
        <f t="shared" ca="1" si="30"/>
        <v>-1</v>
      </c>
      <c r="AG60">
        <f t="shared" si="31"/>
        <v>0</v>
      </c>
      <c r="AH60">
        <f t="shared" ca="1" si="32"/>
        <v>0</v>
      </c>
    </row>
    <row r="61" spans="1:34" s="12" customFormat="1" x14ac:dyDescent="0.25">
      <c r="A61" s="42">
        <v>60</v>
      </c>
      <c r="B61" s="43"/>
      <c r="C61" s="44"/>
      <c r="D61" s="17"/>
      <c r="E61" s="45"/>
      <c r="F61" s="39"/>
      <c r="G61" s="3"/>
      <c r="H61" s="44"/>
      <c r="I61" s="44"/>
      <c r="J61" s="42" t="str">
        <f t="shared" si="17"/>
        <v/>
      </c>
      <c r="K61" s="42" t="str">
        <f>IF(I61="","",IF($AM$3=1,IFERROR(IF(J61=FALSE,"",VLOOKUP(J61,$AJ$1:$AK$18,2,1)),""),IFERROR(IF(J61 = "FALSE","",VLOOKUP(J61,#REF!,2,TRUE)),"")))</f>
        <v/>
      </c>
      <c r="L61" s="42"/>
      <c r="M61" s="42"/>
      <c r="N61" s="42"/>
      <c r="O61" s="46" t="str">
        <f t="shared" si="18"/>
        <v/>
      </c>
      <c r="P61" s="57" t="str">
        <f>IFERROR(IF(C61="","",IF(AND(Census!C61="E",Census!J61&gt;=18,Census!J61&lt;=65),"Yes","No")),"ERROR")</f>
        <v/>
      </c>
      <c r="Q61" s="58" t="str">
        <f>IFERROR(IF(C61="","",IF(AND(Census!C61="E",Census!J61&gt;=18,Census!J61&lt;=64),"Yes","No")),"ERROR")</f>
        <v/>
      </c>
      <c r="R61" s="59">
        <f t="shared" ca="1" si="19"/>
        <v>-1</v>
      </c>
      <c r="S61" s="60">
        <f t="shared" si="20"/>
        <v>0</v>
      </c>
      <c r="T61" s="61">
        <f t="shared" si="21"/>
        <v>0</v>
      </c>
      <c r="U61" s="61">
        <f t="shared" si="22"/>
        <v>0</v>
      </c>
      <c r="V61" s="61">
        <f t="shared" si="23"/>
        <v>0</v>
      </c>
      <c r="W61" s="61">
        <f t="shared" ca="1" si="24"/>
        <v>-1</v>
      </c>
      <c r="X61" s="62">
        <f t="shared" si="25"/>
        <v>0</v>
      </c>
      <c r="Y61" s="10"/>
      <c r="Z61" s="64" t="s">
        <v>236</v>
      </c>
      <c r="AA61" s="10"/>
      <c r="AB61">
        <f t="shared" si="26"/>
        <v>0</v>
      </c>
      <c r="AC61">
        <f t="shared" si="27"/>
        <v>0</v>
      </c>
      <c r="AD61">
        <f t="shared" si="28"/>
        <v>0</v>
      </c>
      <c r="AE61">
        <f t="shared" si="29"/>
        <v>0</v>
      </c>
      <c r="AF61">
        <f t="shared" ca="1" si="30"/>
        <v>-1</v>
      </c>
      <c r="AG61">
        <f t="shared" si="31"/>
        <v>0</v>
      </c>
      <c r="AH61">
        <f t="shared" ca="1" si="32"/>
        <v>0</v>
      </c>
    </row>
    <row r="62" spans="1:34" s="12" customFormat="1" x14ac:dyDescent="0.25">
      <c r="A62" s="37">
        <v>61</v>
      </c>
      <c r="B62" s="38"/>
      <c r="C62" s="39"/>
      <c r="D62" s="65"/>
      <c r="E62" s="65"/>
      <c r="F62" s="39"/>
      <c r="G62" s="2"/>
      <c r="H62" s="39"/>
      <c r="I62" s="39"/>
      <c r="J62" s="50" t="str">
        <f t="shared" si="17"/>
        <v/>
      </c>
      <c r="K62" s="37" t="str">
        <f>IF(I62="","",IF($AM$3=1,IFERROR(IF(J62=FALSE,"",VLOOKUP(J62,$AJ$1:$AK$18,2,1)),""),IFERROR(IF(J62 = "FALSE","",VLOOKUP(J62,#REF!,2,TRUE)),"")))</f>
        <v/>
      </c>
      <c r="L62" s="37"/>
      <c r="M62" s="37"/>
      <c r="N62" s="37"/>
      <c r="O62" s="41" t="str">
        <f t="shared" si="18"/>
        <v/>
      </c>
      <c r="P62" s="51" t="str">
        <f>IFERROR(IF(C62="","",IF(AND(Census!C62="E",Census!J62&gt;=18,Census!J62&lt;=65),"Yes","No")),"ERROR")</f>
        <v/>
      </c>
      <c r="Q62" s="52" t="str">
        <f>IFERROR(IF(C62="","",IF(AND(Census!C62="E",Census!J62&gt;=18,Census!J62&lt;=64),"Yes","No")),"ERROR")</f>
        <v/>
      </c>
      <c r="R62" s="53">
        <f t="shared" ca="1" si="19"/>
        <v>-1</v>
      </c>
      <c r="S62" s="54">
        <f t="shared" si="20"/>
        <v>0</v>
      </c>
      <c r="T62" s="55">
        <f t="shared" si="21"/>
        <v>0</v>
      </c>
      <c r="U62" s="55">
        <f t="shared" si="22"/>
        <v>0</v>
      </c>
      <c r="V62" s="55">
        <f t="shared" si="23"/>
        <v>0</v>
      </c>
      <c r="W62" s="55">
        <f t="shared" ca="1" si="24"/>
        <v>-1</v>
      </c>
      <c r="X62" s="56">
        <f t="shared" si="25"/>
        <v>0</v>
      </c>
      <c r="Y62" s="10"/>
      <c r="Z62" s="64" t="s">
        <v>171</v>
      </c>
      <c r="AA62" s="10"/>
      <c r="AB62">
        <f t="shared" si="26"/>
        <v>0</v>
      </c>
      <c r="AC62">
        <f t="shared" si="27"/>
        <v>0</v>
      </c>
      <c r="AD62">
        <f t="shared" si="28"/>
        <v>0</v>
      </c>
      <c r="AE62">
        <f t="shared" si="29"/>
        <v>0</v>
      </c>
      <c r="AF62">
        <f t="shared" ca="1" si="30"/>
        <v>-1</v>
      </c>
      <c r="AG62">
        <f t="shared" si="31"/>
        <v>0</v>
      </c>
      <c r="AH62">
        <f t="shared" ca="1" si="32"/>
        <v>0</v>
      </c>
    </row>
    <row r="63" spans="1:34" s="12" customFormat="1" x14ac:dyDescent="0.25">
      <c r="A63" s="42">
        <v>62</v>
      </c>
      <c r="B63" s="43"/>
      <c r="C63" s="44"/>
      <c r="D63" s="17"/>
      <c r="E63" s="45"/>
      <c r="F63" s="39"/>
      <c r="G63" s="3"/>
      <c r="H63" s="44"/>
      <c r="I63" s="44"/>
      <c r="J63" s="42" t="str">
        <f t="shared" si="17"/>
        <v/>
      </c>
      <c r="K63" s="42" t="str">
        <f>IF(I63="","",IF($AM$3=1,IFERROR(IF(J63=FALSE,"",VLOOKUP(J63,$AJ$1:$AK$18,2,1)),""),IFERROR(IF(J63 = "FALSE","",VLOOKUP(J63,#REF!,2,TRUE)),"")))</f>
        <v/>
      </c>
      <c r="L63" s="42"/>
      <c r="M63" s="42"/>
      <c r="N63" s="42"/>
      <c r="O63" s="46" t="str">
        <f t="shared" si="18"/>
        <v/>
      </c>
      <c r="P63" s="57" t="str">
        <f>IFERROR(IF(C63="","",IF(AND(Census!C63="E",Census!J63&gt;=18,Census!J63&lt;=65),"Yes","No")),"ERROR")</f>
        <v/>
      </c>
      <c r="Q63" s="58" t="str">
        <f>IFERROR(IF(C63="","",IF(AND(Census!C63="E",Census!J63&gt;=18,Census!J63&lt;=64),"Yes","No")),"ERROR")</f>
        <v/>
      </c>
      <c r="R63" s="59">
        <f t="shared" ca="1" si="19"/>
        <v>-1</v>
      </c>
      <c r="S63" s="60">
        <f t="shared" si="20"/>
        <v>0</v>
      </c>
      <c r="T63" s="61">
        <f t="shared" si="21"/>
        <v>0</v>
      </c>
      <c r="U63" s="61">
        <f t="shared" si="22"/>
        <v>0</v>
      </c>
      <c r="V63" s="61">
        <f t="shared" si="23"/>
        <v>0</v>
      </c>
      <c r="W63" s="61">
        <f t="shared" ca="1" si="24"/>
        <v>-1</v>
      </c>
      <c r="X63" s="62">
        <f t="shared" si="25"/>
        <v>0</v>
      </c>
      <c r="Y63" s="10"/>
      <c r="Z63" s="64" t="s">
        <v>172</v>
      </c>
      <c r="AA63" s="10"/>
      <c r="AB63">
        <f t="shared" si="26"/>
        <v>0</v>
      </c>
      <c r="AC63">
        <f t="shared" si="27"/>
        <v>0</v>
      </c>
      <c r="AD63">
        <f t="shared" si="28"/>
        <v>0</v>
      </c>
      <c r="AE63">
        <f t="shared" si="29"/>
        <v>0</v>
      </c>
      <c r="AF63">
        <f t="shared" ca="1" si="30"/>
        <v>-1</v>
      </c>
      <c r="AG63">
        <f t="shared" si="31"/>
        <v>0</v>
      </c>
      <c r="AH63">
        <f t="shared" ca="1" si="32"/>
        <v>0</v>
      </c>
    </row>
    <row r="64" spans="1:34" s="12" customFormat="1" x14ac:dyDescent="0.25">
      <c r="A64" s="37">
        <v>63</v>
      </c>
      <c r="B64" s="38"/>
      <c r="C64" s="39"/>
      <c r="D64" s="65"/>
      <c r="E64" s="40"/>
      <c r="F64" s="39"/>
      <c r="G64" s="2"/>
      <c r="H64" s="39"/>
      <c r="I64" s="39"/>
      <c r="J64" s="50" t="str">
        <f t="shared" si="17"/>
        <v/>
      </c>
      <c r="K64" s="37" t="str">
        <f>IF(I64="","",IF($AM$3=1,IFERROR(IF(J64=FALSE,"",VLOOKUP(J64,$AJ$1:$AK$18,2,1)),""),IFERROR(IF(J64 = "FALSE","",VLOOKUP(J64,#REF!,2,TRUE)),"")))</f>
        <v/>
      </c>
      <c r="L64" s="37"/>
      <c r="M64" s="37"/>
      <c r="N64" s="37"/>
      <c r="O64" s="41" t="str">
        <f t="shared" si="18"/>
        <v/>
      </c>
      <c r="P64" s="51" t="str">
        <f>IFERROR(IF(C64="","",IF(AND(Census!C64="E",Census!J64&gt;=18,Census!J64&lt;=65),"Yes","No")),"ERROR")</f>
        <v/>
      </c>
      <c r="Q64" s="52" t="str">
        <f>IFERROR(IF(C64="","",IF(AND(Census!C64="E",Census!J64&gt;=18,Census!J64&lt;=64),"Yes","No")),"ERROR")</f>
        <v/>
      </c>
      <c r="R64" s="53">
        <f t="shared" ca="1" si="19"/>
        <v>-1</v>
      </c>
      <c r="S64" s="54">
        <f t="shared" si="20"/>
        <v>0</v>
      </c>
      <c r="T64" s="55">
        <f t="shared" si="21"/>
        <v>0</v>
      </c>
      <c r="U64" s="55">
        <f t="shared" si="22"/>
        <v>0</v>
      </c>
      <c r="V64" s="55">
        <f t="shared" si="23"/>
        <v>0</v>
      </c>
      <c r="W64" s="55">
        <f t="shared" ca="1" si="24"/>
        <v>-1</v>
      </c>
      <c r="X64" s="56">
        <f t="shared" si="25"/>
        <v>0</v>
      </c>
      <c r="Y64" s="10"/>
      <c r="Z64" s="64" t="s">
        <v>237</v>
      </c>
      <c r="AA64" s="10"/>
      <c r="AB64">
        <f t="shared" si="26"/>
        <v>0</v>
      </c>
      <c r="AC64">
        <f t="shared" si="27"/>
        <v>0</v>
      </c>
      <c r="AD64">
        <f t="shared" si="28"/>
        <v>0</v>
      </c>
      <c r="AE64">
        <f t="shared" si="29"/>
        <v>0</v>
      </c>
      <c r="AF64">
        <f t="shared" ca="1" si="30"/>
        <v>-1</v>
      </c>
      <c r="AG64">
        <f t="shared" si="31"/>
        <v>0</v>
      </c>
      <c r="AH64">
        <f t="shared" ca="1" si="32"/>
        <v>0</v>
      </c>
    </row>
    <row r="65" spans="1:34" s="12" customFormat="1" x14ac:dyDescent="0.25">
      <c r="A65" s="42">
        <v>64</v>
      </c>
      <c r="B65" s="43"/>
      <c r="C65" s="44"/>
      <c r="D65" s="17"/>
      <c r="E65" s="17"/>
      <c r="F65" s="39"/>
      <c r="G65" s="3"/>
      <c r="H65" s="44"/>
      <c r="I65" s="44"/>
      <c r="J65" s="42" t="str">
        <f t="shared" si="17"/>
        <v/>
      </c>
      <c r="K65" s="42" t="str">
        <f>IF(I65="","",IF($AM$3=1,IFERROR(IF(J65=FALSE,"",VLOOKUP(J65,$AJ$1:$AK$18,2,1)),""),IFERROR(IF(J65 = "FALSE","",VLOOKUP(J65,#REF!,2,TRUE)),"")))</f>
        <v/>
      </c>
      <c r="L65" s="42"/>
      <c r="M65" s="42"/>
      <c r="N65" s="42"/>
      <c r="O65" s="46" t="str">
        <f t="shared" si="18"/>
        <v/>
      </c>
      <c r="P65" s="57" t="str">
        <f>IFERROR(IF(C65="","",IF(AND(Census!C65="E",Census!J65&gt;=18,Census!J65&lt;=65),"Yes","No")),"ERROR")</f>
        <v/>
      </c>
      <c r="Q65" s="58" t="str">
        <f>IFERROR(IF(C65="","",IF(AND(Census!C65="E",Census!J65&gt;=18,Census!J65&lt;=64),"Yes","No")),"ERROR")</f>
        <v/>
      </c>
      <c r="R65" s="59">
        <f t="shared" ca="1" si="19"/>
        <v>-1</v>
      </c>
      <c r="S65" s="60">
        <f t="shared" si="20"/>
        <v>0</v>
      </c>
      <c r="T65" s="61">
        <f t="shared" si="21"/>
        <v>0</v>
      </c>
      <c r="U65" s="61">
        <f t="shared" si="22"/>
        <v>0</v>
      </c>
      <c r="V65" s="61">
        <f t="shared" si="23"/>
        <v>0</v>
      </c>
      <c r="W65" s="61">
        <f t="shared" ca="1" si="24"/>
        <v>-1</v>
      </c>
      <c r="X65" s="62">
        <f t="shared" si="25"/>
        <v>0</v>
      </c>
      <c r="Y65" s="10"/>
      <c r="Z65" s="64" t="s">
        <v>238</v>
      </c>
      <c r="AA65" s="10"/>
      <c r="AB65">
        <f t="shared" si="26"/>
        <v>0</v>
      </c>
      <c r="AC65">
        <f t="shared" si="27"/>
        <v>0</v>
      </c>
      <c r="AD65">
        <f t="shared" si="28"/>
        <v>0</v>
      </c>
      <c r="AE65">
        <f t="shared" si="29"/>
        <v>0</v>
      </c>
      <c r="AF65">
        <f t="shared" ca="1" si="30"/>
        <v>-1</v>
      </c>
      <c r="AG65">
        <f t="shared" si="31"/>
        <v>0</v>
      </c>
      <c r="AH65">
        <f t="shared" ca="1" si="32"/>
        <v>0</v>
      </c>
    </row>
    <row r="66" spans="1:34" s="12" customFormat="1" x14ac:dyDescent="0.25">
      <c r="A66" s="37">
        <v>65</v>
      </c>
      <c r="B66" s="38"/>
      <c r="C66" s="39"/>
      <c r="D66" s="65"/>
      <c r="E66" s="65"/>
      <c r="F66" s="39"/>
      <c r="G66" s="2"/>
      <c r="H66" s="39"/>
      <c r="I66" s="39"/>
      <c r="J66" s="50" t="str">
        <f t="shared" ref="J66:J97" si="33">IFERROR(IF(G66="","",ROUNDDOWN(IF($G66="","",(inception_date-$G66)/365.25),0)),0)</f>
        <v/>
      </c>
      <c r="K66" s="37" t="str">
        <f>IF(I66="","",IF($AM$3=1,IFERROR(IF(J66=FALSE,"",VLOOKUP(J66,$AJ$1:$AK$18,2,1)),""),IFERROR(IF(J66 = "FALSE","",VLOOKUP(J66,#REF!,2,TRUE)),"")))</f>
        <v/>
      </c>
      <c r="L66" s="37"/>
      <c r="M66" s="37"/>
      <c r="N66" s="37"/>
      <c r="O66" s="41" t="str">
        <f t="shared" ref="O66:O97" si="34">IF(C66="","",IF(R66=1,"Yes","No"))</f>
        <v/>
      </c>
      <c r="P66" s="51" t="str">
        <f>IFERROR(IF(C66="","",IF(AND(Census!C66="E",Census!J66&gt;=18,Census!J66&lt;=65),"Yes","No")),"ERROR")</f>
        <v/>
      </c>
      <c r="Q66" s="52" t="str">
        <f>IFERROR(IF(C66="","",IF(AND(Census!C66="E",Census!J66&gt;=18,Census!J66&lt;=64),"Yes","No")),"ERROR")</f>
        <v/>
      </c>
      <c r="R66" s="53">
        <f t="shared" ref="R66:R97" ca="1" si="35">IF(OR(AB66&lt;&gt;1,AC66&lt;&gt;1,AD66&lt;&gt;1,AF66&lt;&gt;1,AE66&lt;&gt;1,AG66&lt;&gt;1),-1,1)</f>
        <v>-1</v>
      </c>
      <c r="S66" s="54">
        <f t="shared" ref="S66:S97" si="36">AB66</f>
        <v>0</v>
      </c>
      <c r="T66" s="55">
        <f t="shared" ref="T66:T97" si="37">AC66</f>
        <v>0</v>
      </c>
      <c r="U66" s="55">
        <f t="shared" ref="U66:U97" si="38">AD66</f>
        <v>0</v>
      </c>
      <c r="V66" s="55">
        <f t="shared" ref="V66:V97" si="39">AE66</f>
        <v>0</v>
      </c>
      <c r="W66" s="55">
        <f t="shared" ref="W66:W97" ca="1" si="40">AF66</f>
        <v>-1</v>
      </c>
      <c r="X66" s="56">
        <f t="shared" ref="X66:X97" si="41">AG66</f>
        <v>0</v>
      </c>
      <c r="Y66" s="10"/>
      <c r="Z66" s="64" t="s">
        <v>173</v>
      </c>
      <c r="AA66" s="10"/>
      <c r="AB66">
        <f t="shared" ref="AB66:AB97" si="42">IFERROR(IF(OR(B66=0,B66=""),0,1),0)</f>
        <v>0</v>
      </c>
      <c r="AC66">
        <f t="shared" ref="AC66:AC97" si="43">IFERROR(IF(OR(C66="S",C66="D"),IF(AND(C66="D",D66="F"),1,IF(AND(C66="S",D66="M"),1,0)),IF(OR(C66="W",C66="H"),IF(OR(AND(C66="W",D66="F"),AND(C66="H",D66="M")),1,),IF(OR(D66="M",D66="F"),1,0))),0)</f>
        <v>0</v>
      </c>
      <c r="AD66">
        <f t="shared" ref="AD66:AD97" si="44">IFERROR(IF(OR(C66="E",C66="W",C66="H"),1,IF(C66 = "S",IF(D66="M",1,0),IF(D66 = "F",1,0))),0)</f>
        <v>0</v>
      </c>
      <c r="AE66">
        <f t="shared" ref="AE66:AE97" si="45">IFERROR(IF(OR(E66="M",E66="S"),IF(E66="M",IF(OR(C66="S",C66 = "D"),0,1),IF(OR(C66="W",C66="H"),0,1)),0),0)</f>
        <v>0</v>
      </c>
      <c r="AF66">
        <f t="shared" ref="AF66:AF97" ca="1" si="46">IF(G66="",-1,IF(AND(G66&lt;=TODAY(),ISNUMBER(DATE(YEAR(G66),MONTH(G66),DAY(G66)))),IF(AND(OR(C66="S",C66="D"),J66&gt;24),-1,1),-1))</f>
        <v>-1</v>
      </c>
      <c r="AG66">
        <f t="shared" ref="AG66:AG97" si="47">IF(OR(I66="CAT 1",I66="CAT 2",I66="CAT 3",I66="CAT 4"),1,0)</f>
        <v>0</v>
      </c>
      <c r="AH66">
        <f t="shared" ref="AH66:AH97" ca="1" si="48">PRODUCT(AF66:AG66)*AE66</f>
        <v>0</v>
      </c>
    </row>
    <row r="67" spans="1:34" s="12" customFormat="1" x14ac:dyDescent="0.25">
      <c r="A67" s="42">
        <v>66</v>
      </c>
      <c r="B67" s="43"/>
      <c r="C67" s="44"/>
      <c r="D67" s="17"/>
      <c r="E67" s="17"/>
      <c r="F67" s="39"/>
      <c r="G67" s="3"/>
      <c r="H67" s="44"/>
      <c r="I67" s="44"/>
      <c r="J67" s="42" t="str">
        <f t="shared" si="33"/>
        <v/>
      </c>
      <c r="K67" s="42" t="str">
        <f>IF(I67="","",IF($AM$3=1,IFERROR(IF(J67=FALSE,"",VLOOKUP(J67,$AJ$1:$AK$18,2,1)),""),IFERROR(IF(J67 = "FALSE","",VLOOKUP(J67,#REF!,2,TRUE)),"")))</f>
        <v/>
      </c>
      <c r="L67" s="42"/>
      <c r="M67" s="42"/>
      <c r="N67" s="42"/>
      <c r="O67" s="46" t="str">
        <f t="shared" si="34"/>
        <v/>
      </c>
      <c r="P67" s="57" t="str">
        <f>IFERROR(IF(C67="","",IF(AND(Census!C67="E",Census!J67&gt;=18,Census!J67&lt;=65),"Yes","No")),"ERROR")</f>
        <v/>
      </c>
      <c r="Q67" s="58" t="str">
        <f>IFERROR(IF(C67="","",IF(AND(Census!C67="E",Census!J67&gt;=18,Census!J67&lt;=64),"Yes","No")),"ERROR")</f>
        <v/>
      </c>
      <c r="R67" s="59">
        <f t="shared" ca="1" si="35"/>
        <v>-1</v>
      </c>
      <c r="S67" s="60">
        <f t="shared" si="36"/>
        <v>0</v>
      </c>
      <c r="T67" s="61">
        <f t="shared" si="37"/>
        <v>0</v>
      </c>
      <c r="U67" s="61">
        <f t="shared" si="38"/>
        <v>0</v>
      </c>
      <c r="V67" s="61">
        <f t="shared" si="39"/>
        <v>0</v>
      </c>
      <c r="W67" s="61">
        <f t="shared" ca="1" si="40"/>
        <v>-1</v>
      </c>
      <c r="X67" s="62">
        <f t="shared" si="41"/>
        <v>0</v>
      </c>
      <c r="Y67" s="10"/>
      <c r="Z67" s="64" t="s">
        <v>239</v>
      </c>
      <c r="AA67" s="10"/>
      <c r="AB67">
        <f t="shared" si="42"/>
        <v>0</v>
      </c>
      <c r="AC67">
        <f t="shared" si="43"/>
        <v>0</v>
      </c>
      <c r="AD67">
        <f t="shared" si="44"/>
        <v>0</v>
      </c>
      <c r="AE67">
        <f t="shared" si="45"/>
        <v>0</v>
      </c>
      <c r="AF67">
        <f t="shared" ca="1" si="46"/>
        <v>-1</v>
      </c>
      <c r="AG67">
        <f t="shared" si="47"/>
        <v>0</v>
      </c>
      <c r="AH67">
        <f t="shared" ca="1" si="48"/>
        <v>0</v>
      </c>
    </row>
    <row r="68" spans="1:34" s="12" customFormat="1" x14ac:dyDescent="0.25">
      <c r="A68" s="37">
        <v>67</v>
      </c>
      <c r="B68" s="38"/>
      <c r="C68" s="39"/>
      <c r="D68" s="65"/>
      <c r="E68" s="40"/>
      <c r="F68" s="39"/>
      <c r="G68" s="2"/>
      <c r="H68" s="39"/>
      <c r="I68" s="39"/>
      <c r="J68" s="50" t="str">
        <f t="shared" si="33"/>
        <v/>
      </c>
      <c r="K68" s="37" t="str">
        <f>IF(I68="","",IF($AM$3=1,IFERROR(IF(J68=FALSE,"",VLOOKUP(J68,$AJ$1:$AK$18,2,1)),""),IFERROR(IF(J68 = "FALSE","",VLOOKUP(J68,#REF!,2,TRUE)),"")))</f>
        <v/>
      </c>
      <c r="L68" s="37"/>
      <c r="M68" s="37"/>
      <c r="N68" s="37"/>
      <c r="O68" s="41" t="str">
        <f t="shared" si="34"/>
        <v/>
      </c>
      <c r="P68" s="51" t="str">
        <f>IFERROR(IF(C68="","",IF(AND(Census!C68="E",Census!J68&gt;=18,Census!J68&lt;=65),"Yes","No")),"ERROR")</f>
        <v/>
      </c>
      <c r="Q68" s="52" t="str">
        <f>IFERROR(IF(C68="","",IF(AND(Census!C68="E",Census!J68&gt;=18,Census!J68&lt;=64),"Yes","No")),"ERROR")</f>
        <v/>
      </c>
      <c r="R68" s="53">
        <f t="shared" ca="1" si="35"/>
        <v>-1</v>
      </c>
      <c r="S68" s="54">
        <f t="shared" si="36"/>
        <v>0</v>
      </c>
      <c r="T68" s="55">
        <f t="shared" si="37"/>
        <v>0</v>
      </c>
      <c r="U68" s="55">
        <f t="shared" si="38"/>
        <v>0</v>
      </c>
      <c r="V68" s="55">
        <f t="shared" si="39"/>
        <v>0</v>
      </c>
      <c r="W68" s="55">
        <f t="shared" ca="1" si="40"/>
        <v>-1</v>
      </c>
      <c r="X68" s="56">
        <f t="shared" si="41"/>
        <v>0</v>
      </c>
      <c r="Y68" s="10"/>
      <c r="Z68" s="64" t="s">
        <v>240</v>
      </c>
      <c r="AA68" s="10"/>
      <c r="AB68">
        <f t="shared" si="42"/>
        <v>0</v>
      </c>
      <c r="AC68">
        <f t="shared" si="43"/>
        <v>0</v>
      </c>
      <c r="AD68">
        <f t="shared" si="44"/>
        <v>0</v>
      </c>
      <c r="AE68">
        <f t="shared" si="45"/>
        <v>0</v>
      </c>
      <c r="AF68">
        <f t="shared" ca="1" si="46"/>
        <v>-1</v>
      </c>
      <c r="AG68">
        <f t="shared" si="47"/>
        <v>0</v>
      </c>
      <c r="AH68">
        <f t="shared" ca="1" si="48"/>
        <v>0</v>
      </c>
    </row>
    <row r="69" spans="1:34" s="12" customFormat="1" x14ac:dyDescent="0.25">
      <c r="A69" s="42">
        <v>68</v>
      </c>
      <c r="B69" s="43"/>
      <c r="C69" s="44"/>
      <c r="D69" s="17"/>
      <c r="E69" s="45"/>
      <c r="F69" s="39"/>
      <c r="G69" s="3"/>
      <c r="H69" s="44"/>
      <c r="I69" s="44"/>
      <c r="J69" s="42" t="str">
        <f t="shared" si="33"/>
        <v/>
      </c>
      <c r="K69" s="42" t="str">
        <f>IF(I69="","",IF($AM$3=1,IFERROR(IF(J69=FALSE,"",VLOOKUP(J69,$AJ$1:$AK$18,2,1)),""),IFERROR(IF(J69 = "FALSE","",VLOOKUP(J69,#REF!,2,TRUE)),"")))</f>
        <v/>
      </c>
      <c r="L69" s="42"/>
      <c r="M69" s="42"/>
      <c r="N69" s="42"/>
      <c r="O69" s="46" t="str">
        <f t="shared" si="34"/>
        <v/>
      </c>
      <c r="P69" s="57" t="str">
        <f>IFERROR(IF(C69="","",IF(AND(Census!C69="E",Census!J69&gt;=18,Census!J69&lt;=65),"Yes","No")),"ERROR")</f>
        <v/>
      </c>
      <c r="Q69" s="58" t="str">
        <f>IFERROR(IF(C69="","",IF(AND(Census!C69="E",Census!J69&gt;=18,Census!J69&lt;=64),"Yes","No")),"ERROR")</f>
        <v/>
      </c>
      <c r="R69" s="59">
        <f t="shared" ca="1" si="35"/>
        <v>-1</v>
      </c>
      <c r="S69" s="60">
        <f t="shared" si="36"/>
        <v>0</v>
      </c>
      <c r="T69" s="61">
        <f t="shared" si="37"/>
        <v>0</v>
      </c>
      <c r="U69" s="61">
        <f t="shared" si="38"/>
        <v>0</v>
      </c>
      <c r="V69" s="61">
        <f t="shared" si="39"/>
        <v>0</v>
      </c>
      <c r="W69" s="61">
        <f t="shared" ca="1" si="40"/>
        <v>-1</v>
      </c>
      <c r="X69" s="62">
        <f t="shared" si="41"/>
        <v>0</v>
      </c>
      <c r="Y69" s="10"/>
      <c r="Z69" s="64" t="s">
        <v>99</v>
      </c>
      <c r="AA69" s="10"/>
      <c r="AB69">
        <f t="shared" si="42"/>
        <v>0</v>
      </c>
      <c r="AC69">
        <f t="shared" si="43"/>
        <v>0</v>
      </c>
      <c r="AD69">
        <f t="shared" si="44"/>
        <v>0</v>
      </c>
      <c r="AE69">
        <f t="shared" si="45"/>
        <v>0</v>
      </c>
      <c r="AF69">
        <f t="shared" ca="1" si="46"/>
        <v>-1</v>
      </c>
      <c r="AG69">
        <f t="shared" si="47"/>
        <v>0</v>
      </c>
      <c r="AH69">
        <f t="shared" ca="1" si="48"/>
        <v>0</v>
      </c>
    </row>
    <row r="70" spans="1:34" s="12" customFormat="1" x14ac:dyDescent="0.25">
      <c r="A70" s="37">
        <v>69</v>
      </c>
      <c r="B70" s="38"/>
      <c r="C70" s="39"/>
      <c r="D70" s="65"/>
      <c r="E70" s="65"/>
      <c r="F70" s="39"/>
      <c r="G70" s="2"/>
      <c r="H70" s="39"/>
      <c r="I70" s="39"/>
      <c r="J70" s="50" t="str">
        <f t="shared" si="33"/>
        <v/>
      </c>
      <c r="K70" s="37" t="str">
        <f>IF(I70="","",IF($AM$3=1,IFERROR(IF(J70=FALSE,"",VLOOKUP(J70,$AJ$1:$AK$18,2,1)),""),IFERROR(IF(J70 = "FALSE","",VLOOKUP(J70,#REF!,2,TRUE)),"")))</f>
        <v/>
      </c>
      <c r="L70" s="37"/>
      <c r="M70" s="37"/>
      <c r="N70" s="37"/>
      <c r="O70" s="41" t="str">
        <f t="shared" si="34"/>
        <v/>
      </c>
      <c r="P70" s="51" t="str">
        <f>IFERROR(IF(C70="","",IF(AND(Census!C70="E",Census!J70&gt;=18,Census!J70&lt;=65),"Yes","No")),"ERROR")</f>
        <v/>
      </c>
      <c r="Q70" s="52" t="str">
        <f>IFERROR(IF(C70="","",IF(AND(Census!C70="E",Census!J70&gt;=18,Census!J70&lt;=64),"Yes","No")),"ERROR")</f>
        <v/>
      </c>
      <c r="R70" s="53">
        <f t="shared" ca="1" si="35"/>
        <v>-1</v>
      </c>
      <c r="S70" s="54">
        <f t="shared" si="36"/>
        <v>0</v>
      </c>
      <c r="T70" s="55">
        <f t="shared" si="37"/>
        <v>0</v>
      </c>
      <c r="U70" s="55">
        <f t="shared" si="38"/>
        <v>0</v>
      </c>
      <c r="V70" s="55">
        <f t="shared" si="39"/>
        <v>0</v>
      </c>
      <c r="W70" s="55">
        <f t="shared" ca="1" si="40"/>
        <v>-1</v>
      </c>
      <c r="X70" s="56">
        <f t="shared" si="41"/>
        <v>0</v>
      </c>
      <c r="Y70" s="10"/>
      <c r="Z70" s="64" t="s">
        <v>142</v>
      </c>
      <c r="AA70" s="10"/>
      <c r="AB70">
        <f t="shared" si="42"/>
        <v>0</v>
      </c>
      <c r="AC70">
        <f t="shared" si="43"/>
        <v>0</v>
      </c>
      <c r="AD70">
        <f t="shared" si="44"/>
        <v>0</v>
      </c>
      <c r="AE70">
        <f t="shared" si="45"/>
        <v>0</v>
      </c>
      <c r="AF70">
        <f t="shared" ca="1" si="46"/>
        <v>-1</v>
      </c>
      <c r="AG70">
        <f t="shared" si="47"/>
        <v>0</v>
      </c>
      <c r="AH70">
        <f t="shared" ca="1" si="48"/>
        <v>0</v>
      </c>
    </row>
    <row r="71" spans="1:34" s="12" customFormat="1" x14ac:dyDescent="0.25">
      <c r="A71" s="42">
        <v>70</v>
      </c>
      <c r="B71" s="43"/>
      <c r="C71" s="44"/>
      <c r="D71" s="17"/>
      <c r="E71" s="17"/>
      <c r="F71" s="39"/>
      <c r="G71" s="3"/>
      <c r="H71" s="44"/>
      <c r="I71" s="44"/>
      <c r="J71" s="42" t="str">
        <f t="shared" si="33"/>
        <v/>
      </c>
      <c r="K71" s="42" t="str">
        <f>IF(I71="","",IF($AM$3=1,IFERROR(IF(J71=FALSE,"",VLOOKUP(J71,$AJ$1:$AK$18,2,1)),""),IFERROR(IF(J71 = "FALSE","",VLOOKUP(J71,#REF!,2,TRUE)),"")))</f>
        <v/>
      </c>
      <c r="L71" s="42"/>
      <c r="M71" s="42"/>
      <c r="N71" s="42"/>
      <c r="O71" s="46" t="str">
        <f t="shared" si="34"/>
        <v/>
      </c>
      <c r="P71" s="57" t="str">
        <f>IFERROR(IF(C71="","",IF(AND(Census!C71="E",Census!J71&gt;=18,Census!J71&lt;=65),"Yes","No")),"ERROR")</f>
        <v/>
      </c>
      <c r="Q71" s="58" t="str">
        <f>IFERROR(IF(C71="","",IF(AND(Census!C71="E",Census!J71&gt;=18,Census!J71&lt;=64),"Yes","No")),"ERROR")</f>
        <v/>
      </c>
      <c r="R71" s="59">
        <f t="shared" ca="1" si="35"/>
        <v>-1</v>
      </c>
      <c r="S71" s="60">
        <f t="shared" si="36"/>
        <v>0</v>
      </c>
      <c r="T71" s="61">
        <f t="shared" si="37"/>
        <v>0</v>
      </c>
      <c r="U71" s="61">
        <f t="shared" si="38"/>
        <v>0</v>
      </c>
      <c r="V71" s="61">
        <f t="shared" si="39"/>
        <v>0</v>
      </c>
      <c r="W71" s="61">
        <f t="shared" ca="1" si="40"/>
        <v>-1</v>
      </c>
      <c r="X71" s="62">
        <f t="shared" si="41"/>
        <v>0</v>
      </c>
      <c r="Y71" s="10"/>
      <c r="Z71" s="64" t="s">
        <v>92</v>
      </c>
      <c r="AA71" s="10"/>
      <c r="AB71">
        <f t="shared" si="42"/>
        <v>0</v>
      </c>
      <c r="AC71">
        <f t="shared" si="43"/>
        <v>0</v>
      </c>
      <c r="AD71">
        <f t="shared" si="44"/>
        <v>0</v>
      </c>
      <c r="AE71">
        <f t="shared" si="45"/>
        <v>0</v>
      </c>
      <c r="AF71">
        <f t="shared" ca="1" si="46"/>
        <v>-1</v>
      </c>
      <c r="AG71">
        <f t="shared" si="47"/>
        <v>0</v>
      </c>
      <c r="AH71">
        <f t="shared" ca="1" si="48"/>
        <v>0</v>
      </c>
    </row>
    <row r="72" spans="1:34" s="12" customFormat="1" x14ac:dyDescent="0.25">
      <c r="A72" s="37">
        <v>71</v>
      </c>
      <c r="B72" s="38"/>
      <c r="C72" s="39"/>
      <c r="D72" s="65"/>
      <c r="E72" s="40"/>
      <c r="F72" s="39"/>
      <c r="G72" s="2"/>
      <c r="H72" s="39"/>
      <c r="I72" s="39"/>
      <c r="J72" s="50" t="str">
        <f t="shared" si="33"/>
        <v/>
      </c>
      <c r="K72" s="37" t="str">
        <f>IF(I72="","",IF($AM$3=1,IFERROR(IF(J72=FALSE,"",VLOOKUP(J72,$AJ$1:$AK$18,2,1)),""),IFERROR(IF(J72 = "FALSE","",VLOOKUP(J72,#REF!,2,TRUE)),"")))</f>
        <v/>
      </c>
      <c r="L72" s="37"/>
      <c r="M72" s="37"/>
      <c r="N72" s="37"/>
      <c r="O72" s="41" t="str">
        <f t="shared" si="34"/>
        <v/>
      </c>
      <c r="P72" s="51" t="str">
        <f>IFERROR(IF(C72="","",IF(AND(Census!C72="E",Census!J72&gt;=18,Census!J72&lt;=65),"Yes","No")),"ERROR")</f>
        <v/>
      </c>
      <c r="Q72" s="52" t="str">
        <f>IFERROR(IF(C72="","",IF(AND(Census!C72="E",Census!J72&gt;=18,Census!J72&lt;=64),"Yes","No")),"ERROR")</f>
        <v/>
      </c>
      <c r="R72" s="53">
        <f t="shared" ca="1" si="35"/>
        <v>-1</v>
      </c>
      <c r="S72" s="54">
        <f t="shared" si="36"/>
        <v>0</v>
      </c>
      <c r="T72" s="55">
        <f t="shared" si="37"/>
        <v>0</v>
      </c>
      <c r="U72" s="55">
        <f t="shared" si="38"/>
        <v>0</v>
      </c>
      <c r="V72" s="55">
        <f t="shared" si="39"/>
        <v>0</v>
      </c>
      <c r="W72" s="55">
        <f t="shared" ca="1" si="40"/>
        <v>-1</v>
      </c>
      <c r="X72" s="56">
        <f t="shared" si="41"/>
        <v>0</v>
      </c>
      <c r="Y72" s="10"/>
      <c r="Z72" s="64" t="s">
        <v>241</v>
      </c>
      <c r="AA72" s="10"/>
      <c r="AB72">
        <f t="shared" si="42"/>
        <v>0</v>
      </c>
      <c r="AC72">
        <f t="shared" si="43"/>
        <v>0</v>
      </c>
      <c r="AD72">
        <f t="shared" si="44"/>
        <v>0</v>
      </c>
      <c r="AE72">
        <f t="shared" si="45"/>
        <v>0</v>
      </c>
      <c r="AF72">
        <f t="shared" ca="1" si="46"/>
        <v>-1</v>
      </c>
      <c r="AG72">
        <f t="shared" si="47"/>
        <v>0</v>
      </c>
      <c r="AH72">
        <f t="shared" ca="1" si="48"/>
        <v>0</v>
      </c>
    </row>
    <row r="73" spans="1:34" s="12" customFormat="1" x14ac:dyDescent="0.25">
      <c r="A73" s="42">
        <v>72</v>
      </c>
      <c r="B73" s="43"/>
      <c r="C73" s="44"/>
      <c r="D73" s="17"/>
      <c r="E73" s="17"/>
      <c r="F73" s="39"/>
      <c r="G73" s="3"/>
      <c r="H73" s="44"/>
      <c r="I73" s="44"/>
      <c r="J73" s="42" t="str">
        <f t="shared" si="33"/>
        <v/>
      </c>
      <c r="K73" s="42" t="str">
        <f>IF(I73="","",IF($AM$3=1,IFERROR(IF(J73=FALSE,"",VLOOKUP(J73,$AJ$1:$AK$18,2,1)),""),IFERROR(IF(J73 = "FALSE","",VLOOKUP(J73,#REF!,2,TRUE)),"")))</f>
        <v/>
      </c>
      <c r="L73" s="42"/>
      <c r="M73" s="42"/>
      <c r="N73" s="42"/>
      <c r="O73" s="46" t="str">
        <f t="shared" si="34"/>
        <v/>
      </c>
      <c r="P73" s="57" t="str">
        <f>IFERROR(IF(C73="","",IF(AND(Census!C73="E",Census!J73&gt;=18,Census!J73&lt;=65),"Yes","No")),"ERROR")</f>
        <v/>
      </c>
      <c r="Q73" s="58" t="str">
        <f>IFERROR(IF(C73="","",IF(AND(Census!C73="E",Census!J73&gt;=18,Census!J73&lt;=64),"Yes","No")),"ERROR")</f>
        <v/>
      </c>
      <c r="R73" s="59">
        <f t="shared" ca="1" si="35"/>
        <v>-1</v>
      </c>
      <c r="S73" s="60">
        <f t="shared" si="36"/>
        <v>0</v>
      </c>
      <c r="T73" s="61">
        <f t="shared" si="37"/>
        <v>0</v>
      </c>
      <c r="U73" s="61">
        <f t="shared" si="38"/>
        <v>0</v>
      </c>
      <c r="V73" s="61">
        <f t="shared" si="39"/>
        <v>0</v>
      </c>
      <c r="W73" s="61">
        <f t="shared" ca="1" si="40"/>
        <v>-1</v>
      </c>
      <c r="X73" s="62">
        <f t="shared" si="41"/>
        <v>0</v>
      </c>
      <c r="Y73" s="10"/>
      <c r="Z73" s="64" t="s">
        <v>242</v>
      </c>
      <c r="AA73" s="10"/>
      <c r="AB73">
        <f t="shared" si="42"/>
        <v>0</v>
      </c>
      <c r="AC73">
        <f t="shared" si="43"/>
        <v>0</v>
      </c>
      <c r="AD73">
        <f t="shared" si="44"/>
        <v>0</v>
      </c>
      <c r="AE73">
        <f t="shared" si="45"/>
        <v>0</v>
      </c>
      <c r="AF73">
        <f t="shared" ca="1" si="46"/>
        <v>-1</v>
      </c>
      <c r="AG73">
        <f t="shared" si="47"/>
        <v>0</v>
      </c>
      <c r="AH73">
        <f t="shared" ca="1" si="48"/>
        <v>0</v>
      </c>
    </row>
    <row r="74" spans="1:34" s="12" customFormat="1" x14ac:dyDescent="0.25">
      <c r="A74" s="37">
        <v>73</v>
      </c>
      <c r="B74" s="38"/>
      <c r="C74" s="39"/>
      <c r="D74" s="65"/>
      <c r="E74" s="65"/>
      <c r="F74" s="39"/>
      <c r="G74" s="2"/>
      <c r="H74" s="39"/>
      <c r="I74" s="39"/>
      <c r="J74" s="50" t="str">
        <f t="shared" si="33"/>
        <v/>
      </c>
      <c r="K74" s="37" t="str">
        <f>IF(I74="","",IF($AM$3=1,IFERROR(IF(J74=FALSE,"",VLOOKUP(J74,$AJ$1:$AK$18,2,1)),""),IFERROR(IF(J74 = "FALSE","",VLOOKUP(J74,#REF!,2,TRUE)),"")))</f>
        <v/>
      </c>
      <c r="L74" s="37"/>
      <c r="M74" s="37"/>
      <c r="N74" s="37"/>
      <c r="O74" s="41" t="str">
        <f t="shared" si="34"/>
        <v/>
      </c>
      <c r="P74" s="51" t="str">
        <f>IFERROR(IF(C74="","",IF(AND(Census!C74="E",Census!J74&gt;=18,Census!J74&lt;=65),"Yes","No")),"ERROR")</f>
        <v/>
      </c>
      <c r="Q74" s="52" t="str">
        <f>IFERROR(IF(C74="","",IF(AND(Census!C74="E",Census!J74&gt;=18,Census!J74&lt;=64),"Yes","No")),"ERROR")</f>
        <v/>
      </c>
      <c r="R74" s="53">
        <f t="shared" ca="1" si="35"/>
        <v>-1</v>
      </c>
      <c r="S74" s="54">
        <f t="shared" si="36"/>
        <v>0</v>
      </c>
      <c r="T74" s="55">
        <f t="shared" si="37"/>
        <v>0</v>
      </c>
      <c r="U74" s="55">
        <f t="shared" si="38"/>
        <v>0</v>
      </c>
      <c r="V74" s="55">
        <f t="shared" si="39"/>
        <v>0</v>
      </c>
      <c r="W74" s="55">
        <f t="shared" ca="1" si="40"/>
        <v>-1</v>
      </c>
      <c r="X74" s="56">
        <f t="shared" si="41"/>
        <v>0</v>
      </c>
      <c r="Y74" s="10"/>
      <c r="Z74" s="64" t="s">
        <v>243</v>
      </c>
      <c r="AA74" s="10"/>
      <c r="AB74">
        <f t="shared" si="42"/>
        <v>0</v>
      </c>
      <c r="AC74">
        <f t="shared" si="43"/>
        <v>0</v>
      </c>
      <c r="AD74">
        <f t="shared" si="44"/>
        <v>0</v>
      </c>
      <c r="AE74">
        <f t="shared" si="45"/>
        <v>0</v>
      </c>
      <c r="AF74">
        <f t="shared" ca="1" si="46"/>
        <v>-1</v>
      </c>
      <c r="AG74">
        <f t="shared" si="47"/>
        <v>0</v>
      </c>
      <c r="AH74">
        <f t="shared" ca="1" si="48"/>
        <v>0</v>
      </c>
    </row>
    <row r="75" spans="1:34" s="12" customFormat="1" x14ac:dyDescent="0.25">
      <c r="A75" s="42">
        <v>74</v>
      </c>
      <c r="B75" s="43"/>
      <c r="C75" s="44"/>
      <c r="D75" s="17"/>
      <c r="E75" s="17"/>
      <c r="F75" s="39"/>
      <c r="G75" s="3"/>
      <c r="H75" s="44"/>
      <c r="I75" s="44"/>
      <c r="J75" s="42" t="str">
        <f t="shared" si="33"/>
        <v/>
      </c>
      <c r="K75" s="42" t="str">
        <f>IF(I75="","",IF($AM$3=1,IFERROR(IF(J75=FALSE,"",VLOOKUP(J75,$AJ$1:$AK$18,2,1)),""),IFERROR(IF(J75 = "FALSE","",VLOOKUP(J75,#REF!,2,TRUE)),"")))</f>
        <v/>
      </c>
      <c r="L75" s="42"/>
      <c r="M75" s="42"/>
      <c r="N75" s="42"/>
      <c r="O75" s="46" t="str">
        <f t="shared" si="34"/>
        <v/>
      </c>
      <c r="P75" s="57" t="str">
        <f>IFERROR(IF(C75="","",IF(AND(Census!C75="E",Census!J75&gt;=18,Census!J75&lt;=65),"Yes","No")),"ERROR")</f>
        <v/>
      </c>
      <c r="Q75" s="58" t="str">
        <f>IFERROR(IF(C75="","",IF(AND(Census!C75="E",Census!J75&gt;=18,Census!J75&lt;=64),"Yes","No")),"ERROR")</f>
        <v/>
      </c>
      <c r="R75" s="59">
        <f t="shared" ca="1" si="35"/>
        <v>-1</v>
      </c>
      <c r="S75" s="60">
        <f t="shared" si="36"/>
        <v>0</v>
      </c>
      <c r="T75" s="61">
        <f t="shared" si="37"/>
        <v>0</v>
      </c>
      <c r="U75" s="61">
        <f t="shared" si="38"/>
        <v>0</v>
      </c>
      <c r="V75" s="61">
        <f t="shared" si="39"/>
        <v>0</v>
      </c>
      <c r="W75" s="61">
        <f t="shared" ca="1" si="40"/>
        <v>-1</v>
      </c>
      <c r="X75" s="62">
        <f t="shared" si="41"/>
        <v>0</v>
      </c>
      <c r="Y75" s="10"/>
      <c r="Z75" s="64" t="s">
        <v>86</v>
      </c>
      <c r="AA75" s="10"/>
      <c r="AB75">
        <f t="shared" si="42"/>
        <v>0</v>
      </c>
      <c r="AC75">
        <f t="shared" si="43"/>
        <v>0</v>
      </c>
      <c r="AD75">
        <f t="shared" si="44"/>
        <v>0</v>
      </c>
      <c r="AE75">
        <f t="shared" si="45"/>
        <v>0</v>
      </c>
      <c r="AF75">
        <f t="shared" ca="1" si="46"/>
        <v>-1</v>
      </c>
      <c r="AG75">
        <f t="shared" si="47"/>
        <v>0</v>
      </c>
      <c r="AH75">
        <f t="shared" ca="1" si="48"/>
        <v>0</v>
      </c>
    </row>
    <row r="76" spans="1:34" s="12" customFormat="1" x14ac:dyDescent="0.25">
      <c r="A76" s="37">
        <v>75</v>
      </c>
      <c r="B76" s="38"/>
      <c r="C76" s="39"/>
      <c r="D76" s="65"/>
      <c r="E76" s="65"/>
      <c r="F76" s="39"/>
      <c r="G76" s="2"/>
      <c r="H76" s="39"/>
      <c r="I76" s="39"/>
      <c r="J76" s="50" t="str">
        <f t="shared" si="33"/>
        <v/>
      </c>
      <c r="K76" s="37" t="str">
        <f>IF(I76="","",IF($AM$3=1,IFERROR(IF(J76=FALSE,"",VLOOKUP(J76,$AJ$1:$AK$18,2,1)),""),IFERROR(IF(J76 = "FALSE","",VLOOKUP(J76,#REF!,2,TRUE)),"")))</f>
        <v/>
      </c>
      <c r="L76" s="37"/>
      <c r="M76" s="37"/>
      <c r="N76" s="37"/>
      <c r="O76" s="41" t="str">
        <f t="shared" si="34"/>
        <v/>
      </c>
      <c r="P76" s="51" t="str">
        <f>IFERROR(IF(C76="","",IF(AND(Census!C76="E",Census!J76&gt;=18,Census!J76&lt;=65),"Yes","No")),"ERROR")</f>
        <v/>
      </c>
      <c r="Q76" s="52" t="str">
        <f>IFERROR(IF(C76="","",IF(AND(Census!C76="E",Census!J76&gt;=18,Census!J76&lt;=64),"Yes","No")),"ERROR")</f>
        <v/>
      </c>
      <c r="R76" s="53">
        <f t="shared" ca="1" si="35"/>
        <v>-1</v>
      </c>
      <c r="S76" s="54">
        <f t="shared" si="36"/>
        <v>0</v>
      </c>
      <c r="T76" s="55">
        <f t="shared" si="37"/>
        <v>0</v>
      </c>
      <c r="U76" s="55">
        <f t="shared" si="38"/>
        <v>0</v>
      </c>
      <c r="V76" s="55">
        <f t="shared" si="39"/>
        <v>0</v>
      </c>
      <c r="W76" s="55">
        <f t="shared" ca="1" si="40"/>
        <v>-1</v>
      </c>
      <c r="X76" s="56">
        <f t="shared" si="41"/>
        <v>0</v>
      </c>
      <c r="Y76" s="10"/>
      <c r="Z76" s="64" t="s">
        <v>219</v>
      </c>
      <c r="AA76" s="10"/>
      <c r="AB76">
        <f t="shared" si="42"/>
        <v>0</v>
      </c>
      <c r="AC76">
        <f t="shared" si="43"/>
        <v>0</v>
      </c>
      <c r="AD76">
        <f t="shared" si="44"/>
        <v>0</v>
      </c>
      <c r="AE76">
        <f t="shared" si="45"/>
        <v>0</v>
      </c>
      <c r="AF76">
        <f t="shared" ca="1" si="46"/>
        <v>-1</v>
      </c>
      <c r="AG76">
        <f t="shared" si="47"/>
        <v>0</v>
      </c>
      <c r="AH76">
        <f t="shared" ca="1" si="48"/>
        <v>0</v>
      </c>
    </row>
    <row r="77" spans="1:34" s="12" customFormat="1" x14ac:dyDescent="0.25">
      <c r="A77" s="42">
        <v>76</v>
      </c>
      <c r="B77" s="43"/>
      <c r="C77" s="44"/>
      <c r="D77" s="17"/>
      <c r="E77" s="17"/>
      <c r="F77" s="39"/>
      <c r="G77" s="3"/>
      <c r="H77" s="44"/>
      <c r="I77" s="44"/>
      <c r="J77" s="42" t="str">
        <f t="shared" si="33"/>
        <v/>
      </c>
      <c r="K77" s="42" t="str">
        <f>IF(I77="","",IF($AM$3=1,IFERROR(IF(J77=FALSE,"",VLOOKUP(J77,$AJ$1:$AK$18,2,1)),""),IFERROR(IF(J77 = "FALSE","",VLOOKUP(J77,#REF!,2,TRUE)),"")))</f>
        <v/>
      </c>
      <c r="L77" s="42"/>
      <c r="M77" s="42"/>
      <c r="N77" s="42"/>
      <c r="O77" s="46" t="str">
        <f t="shared" si="34"/>
        <v/>
      </c>
      <c r="P77" s="57" t="str">
        <f>IFERROR(IF(C77="","",IF(AND(Census!C77="E",Census!J77&gt;=18,Census!J77&lt;=65),"Yes","No")),"ERROR")</f>
        <v/>
      </c>
      <c r="Q77" s="58" t="str">
        <f>IFERROR(IF(C77="","",IF(AND(Census!C77="E",Census!J77&gt;=18,Census!J77&lt;=64),"Yes","No")),"ERROR")</f>
        <v/>
      </c>
      <c r="R77" s="59">
        <f t="shared" ca="1" si="35"/>
        <v>-1</v>
      </c>
      <c r="S77" s="60">
        <f t="shared" si="36"/>
        <v>0</v>
      </c>
      <c r="T77" s="61">
        <f t="shared" si="37"/>
        <v>0</v>
      </c>
      <c r="U77" s="61">
        <f t="shared" si="38"/>
        <v>0</v>
      </c>
      <c r="V77" s="61">
        <f t="shared" si="39"/>
        <v>0</v>
      </c>
      <c r="W77" s="61">
        <f t="shared" ca="1" si="40"/>
        <v>-1</v>
      </c>
      <c r="X77" s="62">
        <f t="shared" si="41"/>
        <v>0</v>
      </c>
      <c r="Y77" s="10"/>
      <c r="Z77" s="64" t="s">
        <v>100</v>
      </c>
      <c r="AA77" s="10"/>
      <c r="AB77">
        <f t="shared" si="42"/>
        <v>0</v>
      </c>
      <c r="AC77">
        <f t="shared" si="43"/>
        <v>0</v>
      </c>
      <c r="AD77">
        <f t="shared" si="44"/>
        <v>0</v>
      </c>
      <c r="AE77">
        <f t="shared" si="45"/>
        <v>0</v>
      </c>
      <c r="AF77">
        <f t="shared" ca="1" si="46"/>
        <v>-1</v>
      </c>
      <c r="AG77">
        <f t="shared" si="47"/>
        <v>0</v>
      </c>
      <c r="AH77">
        <f t="shared" ca="1" si="48"/>
        <v>0</v>
      </c>
    </row>
    <row r="78" spans="1:34" s="12" customFormat="1" x14ac:dyDescent="0.25">
      <c r="A78" s="37">
        <v>77</v>
      </c>
      <c r="B78" s="38"/>
      <c r="C78" s="39"/>
      <c r="D78" s="65"/>
      <c r="E78" s="65"/>
      <c r="F78" s="39"/>
      <c r="G78" s="2"/>
      <c r="H78" s="39"/>
      <c r="I78" s="39"/>
      <c r="J78" s="50" t="str">
        <f t="shared" si="33"/>
        <v/>
      </c>
      <c r="K78" s="37" t="str">
        <f>IF(I78="","",IF($AM$3=1,IFERROR(IF(J78=FALSE,"",VLOOKUP(J78,$AJ$1:$AK$18,2,1)),""),IFERROR(IF(J78 = "FALSE","",VLOOKUP(J78,#REF!,2,TRUE)),"")))</f>
        <v/>
      </c>
      <c r="L78" s="37"/>
      <c r="M78" s="37"/>
      <c r="N78" s="37"/>
      <c r="O78" s="41" t="str">
        <f t="shared" si="34"/>
        <v/>
      </c>
      <c r="P78" s="51" t="str">
        <f>IFERROR(IF(C78="","",IF(AND(Census!C78="E",Census!J78&gt;=18,Census!J78&lt;=65),"Yes","No")),"ERROR")</f>
        <v/>
      </c>
      <c r="Q78" s="52" t="str">
        <f>IFERROR(IF(C78="","",IF(AND(Census!C78="E",Census!J78&gt;=18,Census!J78&lt;=64),"Yes","No")),"ERROR")</f>
        <v/>
      </c>
      <c r="R78" s="53">
        <f t="shared" ca="1" si="35"/>
        <v>-1</v>
      </c>
      <c r="S78" s="54">
        <f t="shared" si="36"/>
        <v>0</v>
      </c>
      <c r="T78" s="55">
        <f t="shared" si="37"/>
        <v>0</v>
      </c>
      <c r="U78" s="55">
        <f t="shared" si="38"/>
        <v>0</v>
      </c>
      <c r="V78" s="55">
        <f t="shared" si="39"/>
        <v>0</v>
      </c>
      <c r="W78" s="55">
        <f t="shared" ca="1" si="40"/>
        <v>-1</v>
      </c>
      <c r="X78" s="56">
        <f t="shared" si="41"/>
        <v>0</v>
      </c>
      <c r="Y78" s="10"/>
      <c r="Z78" s="64" t="s">
        <v>244</v>
      </c>
      <c r="AA78" s="10"/>
      <c r="AB78">
        <f t="shared" si="42"/>
        <v>0</v>
      </c>
      <c r="AC78">
        <f t="shared" si="43"/>
        <v>0</v>
      </c>
      <c r="AD78">
        <f t="shared" si="44"/>
        <v>0</v>
      </c>
      <c r="AE78">
        <f t="shared" si="45"/>
        <v>0</v>
      </c>
      <c r="AF78">
        <f t="shared" ca="1" si="46"/>
        <v>-1</v>
      </c>
      <c r="AG78">
        <f t="shared" si="47"/>
        <v>0</v>
      </c>
      <c r="AH78">
        <f t="shared" ca="1" si="48"/>
        <v>0</v>
      </c>
    </row>
    <row r="79" spans="1:34" s="12" customFormat="1" x14ac:dyDescent="0.25">
      <c r="A79" s="42">
        <v>78</v>
      </c>
      <c r="B79" s="43"/>
      <c r="C79" s="44"/>
      <c r="D79" s="17"/>
      <c r="E79" s="17"/>
      <c r="F79" s="39"/>
      <c r="G79" s="3"/>
      <c r="H79" s="44"/>
      <c r="I79" s="44"/>
      <c r="J79" s="42" t="str">
        <f t="shared" si="33"/>
        <v/>
      </c>
      <c r="K79" s="42" t="str">
        <f>IF(I79="","",IF($AM$3=1,IFERROR(IF(J79=FALSE,"",VLOOKUP(J79,$AJ$1:$AK$18,2,1)),""),IFERROR(IF(J79 = "FALSE","",VLOOKUP(J79,#REF!,2,TRUE)),"")))</f>
        <v/>
      </c>
      <c r="L79" s="42"/>
      <c r="M79" s="42"/>
      <c r="N79" s="42"/>
      <c r="O79" s="46" t="str">
        <f t="shared" si="34"/>
        <v/>
      </c>
      <c r="P79" s="57" t="str">
        <f>IFERROR(IF(C79="","",IF(AND(Census!C79="E",Census!J79&gt;=18,Census!J79&lt;=65),"Yes","No")),"ERROR")</f>
        <v/>
      </c>
      <c r="Q79" s="58" t="str">
        <f>IFERROR(IF(C79="","",IF(AND(Census!C79="E",Census!J79&gt;=18,Census!J79&lt;=64),"Yes","No")),"ERROR")</f>
        <v/>
      </c>
      <c r="R79" s="59">
        <f t="shared" ca="1" si="35"/>
        <v>-1</v>
      </c>
      <c r="S79" s="60">
        <f t="shared" si="36"/>
        <v>0</v>
      </c>
      <c r="T79" s="61">
        <f t="shared" si="37"/>
        <v>0</v>
      </c>
      <c r="U79" s="61">
        <f t="shared" si="38"/>
        <v>0</v>
      </c>
      <c r="V79" s="61">
        <f t="shared" si="39"/>
        <v>0</v>
      </c>
      <c r="W79" s="61">
        <f t="shared" ca="1" si="40"/>
        <v>-1</v>
      </c>
      <c r="X79" s="62">
        <f t="shared" si="41"/>
        <v>0</v>
      </c>
      <c r="Y79" s="10"/>
      <c r="Z79" s="64" t="s">
        <v>245</v>
      </c>
      <c r="AA79" s="10"/>
      <c r="AB79">
        <f t="shared" si="42"/>
        <v>0</v>
      </c>
      <c r="AC79">
        <f t="shared" si="43"/>
        <v>0</v>
      </c>
      <c r="AD79">
        <f t="shared" si="44"/>
        <v>0</v>
      </c>
      <c r="AE79">
        <f t="shared" si="45"/>
        <v>0</v>
      </c>
      <c r="AF79">
        <f t="shared" ca="1" si="46"/>
        <v>-1</v>
      </c>
      <c r="AG79">
        <f t="shared" si="47"/>
        <v>0</v>
      </c>
      <c r="AH79">
        <f t="shared" ca="1" si="48"/>
        <v>0</v>
      </c>
    </row>
    <row r="80" spans="1:34" s="12" customFormat="1" x14ac:dyDescent="0.25">
      <c r="A80" s="37">
        <v>79</v>
      </c>
      <c r="B80" s="38"/>
      <c r="C80" s="39"/>
      <c r="D80" s="65"/>
      <c r="E80" s="65"/>
      <c r="F80" s="39"/>
      <c r="G80" s="2"/>
      <c r="H80" s="39"/>
      <c r="I80" s="39"/>
      <c r="J80" s="50" t="str">
        <f t="shared" si="33"/>
        <v/>
      </c>
      <c r="K80" s="37" t="str">
        <f>IF(I80="","",IF($AM$3=1,IFERROR(IF(J80=FALSE,"",VLOOKUP(J80,$AJ$1:$AK$18,2,1)),""),IFERROR(IF(J80 = "FALSE","",VLOOKUP(J80,#REF!,2,TRUE)),"")))</f>
        <v/>
      </c>
      <c r="L80" s="37"/>
      <c r="M80" s="37"/>
      <c r="N80" s="37"/>
      <c r="O80" s="41" t="str">
        <f t="shared" si="34"/>
        <v/>
      </c>
      <c r="P80" s="51" t="str">
        <f>IFERROR(IF(C80="","",IF(AND(Census!C80="E",Census!J80&gt;=18,Census!J80&lt;=65),"Yes","No")),"ERROR")</f>
        <v/>
      </c>
      <c r="Q80" s="52" t="str">
        <f>IFERROR(IF(C80="","",IF(AND(Census!C80="E",Census!J80&gt;=18,Census!J80&lt;=64),"Yes","No")),"ERROR")</f>
        <v/>
      </c>
      <c r="R80" s="53">
        <f t="shared" ca="1" si="35"/>
        <v>-1</v>
      </c>
      <c r="S80" s="54">
        <f t="shared" si="36"/>
        <v>0</v>
      </c>
      <c r="T80" s="55">
        <f t="shared" si="37"/>
        <v>0</v>
      </c>
      <c r="U80" s="55">
        <f t="shared" si="38"/>
        <v>0</v>
      </c>
      <c r="V80" s="55">
        <f t="shared" si="39"/>
        <v>0</v>
      </c>
      <c r="W80" s="55">
        <f t="shared" ca="1" si="40"/>
        <v>-1</v>
      </c>
      <c r="X80" s="56">
        <f t="shared" si="41"/>
        <v>0</v>
      </c>
      <c r="Y80" s="10"/>
      <c r="Z80" s="64" t="s">
        <v>246</v>
      </c>
      <c r="AA80" s="10"/>
      <c r="AB80">
        <f t="shared" si="42"/>
        <v>0</v>
      </c>
      <c r="AC80">
        <f t="shared" si="43"/>
        <v>0</v>
      </c>
      <c r="AD80">
        <f t="shared" si="44"/>
        <v>0</v>
      </c>
      <c r="AE80">
        <f t="shared" si="45"/>
        <v>0</v>
      </c>
      <c r="AF80">
        <f t="shared" ca="1" si="46"/>
        <v>-1</v>
      </c>
      <c r="AG80">
        <f t="shared" si="47"/>
        <v>0</v>
      </c>
      <c r="AH80">
        <f t="shared" ca="1" si="48"/>
        <v>0</v>
      </c>
    </row>
    <row r="81" spans="1:34" s="12" customFormat="1" x14ac:dyDescent="0.25">
      <c r="A81" s="42">
        <v>80</v>
      </c>
      <c r="B81" s="43"/>
      <c r="C81" s="44"/>
      <c r="D81" s="17"/>
      <c r="E81" s="17"/>
      <c r="F81" s="39"/>
      <c r="G81" s="3"/>
      <c r="H81" s="44"/>
      <c r="I81" s="44"/>
      <c r="J81" s="42" t="str">
        <f t="shared" si="33"/>
        <v/>
      </c>
      <c r="K81" s="42" t="str">
        <f>IF(I81="","",IF($AM$3=1,IFERROR(IF(J81=FALSE,"",VLOOKUP(J81,$AJ$1:$AK$18,2,1)),""),IFERROR(IF(J81 = "FALSE","",VLOOKUP(J81,#REF!,2,TRUE)),"")))</f>
        <v/>
      </c>
      <c r="L81" s="42"/>
      <c r="M81" s="42"/>
      <c r="N81" s="42"/>
      <c r="O81" s="46" t="str">
        <f t="shared" si="34"/>
        <v/>
      </c>
      <c r="P81" s="57" t="str">
        <f>IFERROR(IF(C81="","",IF(AND(Census!C81="E",Census!J81&gt;=18,Census!J81&lt;=65),"Yes","No")),"ERROR")</f>
        <v/>
      </c>
      <c r="Q81" s="58" t="str">
        <f>IFERROR(IF(C81="","",IF(AND(Census!C81="E",Census!J81&gt;=18,Census!J81&lt;=64),"Yes","No")),"ERROR")</f>
        <v/>
      </c>
      <c r="R81" s="59">
        <f t="shared" ca="1" si="35"/>
        <v>-1</v>
      </c>
      <c r="S81" s="60">
        <f t="shared" si="36"/>
        <v>0</v>
      </c>
      <c r="T81" s="61">
        <f t="shared" si="37"/>
        <v>0</v>
      </c>
      <c r="U81" s="61">
        <f t="shared" si="38"/>
        <v>0</v>
      </c>
      <c r="V81" s="61">
        <f t="shared" si="39"/>
        <v>0</v>
      </c>
      <c r="W81" s="61">
        <f t="shared" ca="1" si="40"/>
        <v>-1</v>
      </c>
      <c r="X81" s="62">
        <f t="shared" si="41"/>
        <v>0</v>
      </c>
      <c r="Y81" s="10"/>
      <c r="Z81" s="64" t="s">
        <v>206</v>
      </c>
      <c r="AA81" s="10"/>
      <c r="AB81">
        <f t="shared" si="42"/>
        <v>0</v>
      </c>
      <c r="AC81">
        <f t="shared" si="43"/>
        <v>0</v>
      </c>
      <c r="AD81">
        <f t="shared" si="44"/>
        <v>0</v>
      </c>
      <c r="AE81">
        <f t="shared" si="45"/>
        <v>0</v>
      </c>
      <c r="AF81">
        <f t="shared" ca="1" si="46"/>
        <v>-1</v>
      </c>
      <c r="AG81">
        <f t="shared" si="47"/>
        <v>0</v>
      </c>
      <c r="AH81">
        <f t="shared" ca="1" si="48"/>
        <v>0</v>
      </c>
    </row>
    <row r="82" spans="1:34" s="12" customFormat="1" x14ac:dyDescent="0.25">
      <c r="A82" s="37">
        <v>81</v>
      </c>
      <c r="B82" s="38"/>
      <c r="C82" s="39"/>
      <c r="D82" s="65"/>
      <c r="E82" s="40"/>
      <c r="F82" s="39"/>
      <c r="G82" s="2"/>
      <c r="H82" s="39"/>
      <c r="I82" s="39"/>
      <c r="J82" s="50" t="str">
        <f t="shared" si="33"/>
        <v/>
      </c>
      <c r="K82" s="37" t="str">
        <f>IF(I82="","",IF($AM$3=1,IFERROR(IF(J82=FALSE,"",VLOOKUP(J82,$AJ$1:$AK$18,2,1)),""),IFERROR(IF(J82 = "FALSE","",VLOOKUP(J82,#REF!,2,TRUE)),"")))</f>
        <v/>
      </c>
      <c r="L82" s="37"/>
      <c r="M82" s="37"/>
      <c r="N82" s="37"/>
      <c r="O82" s="41" t="str">
        <f t="shared" si="34"/>
        <v/>
      </c>
      <c r="P82" s="51" t="str">
        <f>IFERROR(IF(C82="","",IF(AND(Census!C82="E",Census!J82&gt;=18,Census!J82&lt;=65),"Yes","No")),"ERROR")</f>
        <v/>
      </c>
      <c r="Q82" s="52" t="str">
        <f>IFERROR(IF(C82="","",IF(AND(Census!C82="E",Census!J82&gt;=18,Census!J82&lt;=64),"Yes","No")),"ERROR")</f>
        <v/>
      </c>
      <c r="R82" s="53">
        <f t="shared" ca="1" si="35"/>
        <v>-1</v>
      </c>
      <c r="S82" s="54">
        <f t="shared" si="36"/>
        <v>0</v>
      </c>
      <c r="T82" s="55">
        <f t="shared" si="37"/>
        <v>0</v>
      </c>
      <c r="U82" s="55">
        <f t="shared" si="38"/>
        <v>0</v>
      </c>
      <c r="V82" s="55">
        <f t="shared" si="39"/>
        <v>0</v>
      </c>
      <c r="W82" s="55">
        <f t="shared" ca="1" si="40"/>
        <v>-1</v>
      </c>
      <c r="X82" s="56">
        <f t="shared" si="41"/>
        <v>0</v>
      </c>
      <c r="Y82" s="10"/>
      <c r="Z82" s="64" t="s">
        <v>174</v>
      </c>
      <c r="AA82" s="10"/>
      <c r="AB82">
        <f t="shared" si="42"/>
        <v>0</v>
      </c>
      <c r="AC82">
        <f t="shared" si="43"/>
        <v>0</v>
      </c>
      <c r="AD82">
        <f t="shared" si="44"/>
        <v>0</v>
      </c>
      <c r="AE82">
        <f t="shared" si="45"/>
        <v>0</v>
      </c>
      <c r="AF82">
        <f t="shared" ca="1" si="46"/>
        <v>-1</v>
      </c>
      <c r="AG82">
        <f t="shared" si="47"/>
        <v>0</v>
      </c>
      <c r="AH82">
        <f t="shared" ca="1" si="48"/>
        <v>0</v>
      </c>
    </row>
    <row r="83" spans="1:34" s="12" customFormat="1" x14ac:dyDescent="0.25">
      <c r="A83" s="42">
        <v>82</v>
      </c>
      <c r="B83" s="43"/>
      <c r="C83" s="44"/>
      <c r="D83" s="17"/>
      <c r="E83" s="17"/>
      <c r="F83" s="39"/>
      <c r="G83" s="3"/>
      <c r="H83" s="44"/>
      <c r="I83" s="44"/>
      <c r="J83" s="42" t="str">
        <f t="shared" si="33"/>
        <v/>
      </c>
      <c r="K83" s="42" t="str">
        <f>IF(I83="","",IF($AM$3=1,IFERROR(IF(J83=FALSE,"",VLOOKUP(J83,$AJ$1:$AK$18,2,1)),""),IFERROR(IF(J83 = "FALSE","",VLOOKUP(J83,#REF!,2,TRUE)),"")))</f>
        <v/>
      </c>
      <c r="L83" s="42"/>
      <c r="M83" s="42"/>
      <c r="N83" s="42"/>
      <c r="O83" s="46" t="str">
        <f t="shared" si="34"/>
        <v/>
      </c>
      <c r="P83" s="57" t="str">
        <f>IFERROR(IF(C83="","",IF(AND(Census!C83="E",Census!J83&gt;=18,Census!J83&lt;=65),"Yes","No")),"ERROR")</f>
        <v/>
      </c>
      <c r="Q83" s="58" t="str">
        <f>IFERROR(IF(C83="","",IF(AND(Census!C83="E",Census!J83&gt;=18,Census!J83&lt;=64),"Yes","No")),"ERROR")</f>
        <v/>
      </c>
      <c r="R83" s="59">
        <f t="shared" ca="1" si="35"/>
        <v>-1</v>
      </c>
      <c r="S83" s="60">
        <f t="shared" si="36"/>
        <v>0</v>
      </c>
      <c r="T83" s="61">
        <f t="shared" si="37"/>
        <v>0</v>
      </c>
      <c r="U83" s="61">
        <f t="shared" si="38"/>
        <v>0</v>
      </c>
      <c r="V83" s="61">
        <f t="shared" si="39"/>
        <v>0</v>
      </c>
      <c r="W83" s="61">
        <f t="shared" ca="1" si="40"/>
        <v>-1</v>
      </c>
      <c r="X83" s="62">
        <f t="shared" si="41"/>
        <v>0</v>
      </c>
      <c r="Y83" s="10"/>
      <c r="Z83" s="64" t="s">
        <v>247</v>
      </c>
      <c r="AA83" s="10"/>
      <c r="AB83">
        <f t="shared" si="42"/>
        <v>0</v>
      </c>
      <c r="AC83">
        <f t="shared" si="43"/>
        <v>0</v>
      </c>
      <c r="AD83">
        <f t="shared" si="44"/>
        <v>0</v>
      </c>
      <c r="AE83">
        <f t="shared" si="45"/>
        <v>0</v>
      </c>
      <c r="AF83">
        <f t="shared" ca="1" si="46"/>
        <v>-1</v>
      </c>
      <c r="AG83">
        <f t="shared" si="47"/>
        <v>0</v>
      </c>
      <c r="AH83">
        <f t="shared" ca="1" si="48"/>
        <v>0</v>
      </c>
    </row>
    <row r="84" spans="1:34" s="12" customFormat="1" x14ac:dyDescent="0.25">
      <c r="A84" s="37">
        <v>83</v>
      </c>
      <c r="B84" s="38"/>
      <c r="C84" s="39"/>
      <c r="D84" s="65"/>
      <c r="E84" s="65"/>
      <c r="F84" s="39"/>
      <c r="G84" s="2"/>
      <c r="H84" s="39"/>
      <c r="I84" s="39"/>
      <c r="J84" s="50" t="str">
        <f t="shared" si="33"/>
        <v/>
      </c>
      <c r="K84" s="37" t="str">
        <f>IF(I84="","",IF($AM$3=1,IFERROR(IF(J84=FALSE,"",VLOOKUP(J84,$AJ$1:$AK$18,2,1)),""),IFERROR(IF(J84 = "FALSE","",VLOOKUP(J84,#REF!,2,TRUE)),"")))</f>
        <v/>
      </c>
      <c r="L84" s="37"/>
      <c r="M84" s="37"/>
      <c r="N84" s="37"/>
      <c r="O84" s="41" t="str">
        <f t="shared" si="34"/>
        <v/>
      </c>
      <c r="P84" s="51" t="str">
        <f>IFERROR(IF(C84="","",IF(AND(Census!C84="E",Census!J84&gt;=18,Census!J84&lt;=65),"Yes","No")),"ERROR")</f>
        <v/>
      </c>
      <c r="Q84" s="52" t="str">
        <f>IFERROR(IF(C84="","",IF(AND(Census!C84="E",Census!J84&gt;=18,Census!J84&lt;=64),"Yes","No")),"ERROR")</f>
        <v/>
      </c>
      <c r="R84" s="53">
        <f t="shared" ca="1" si="35"/>
        <v>-1</v>
      </c>
      <c r="S84" s="54">
        <f t="shared" si="36"/>
        <v>0</v>
      </c>
      <c r="T84" s="55">
        <f t="shared" si="37"/>
        <v>0</v>
      </c>
      <c r="U84" s="55">
        <f t="shared" si="38"/>
        <v>0</v>
      </c>
      <c r="V84" s="55">
        <f t="shared" si="39"/>
        <v>0</v>
      </c>
      <c r="W84" s="55">
        <f t="shared" ca="1" si="40"/>
        <v>-1</v>
      </c>
      <c r="X84" s="56">
        <f t="shared" si="41"/>
        <v>0</v>
      </c>
      <c r="Y84" s="10"/>
      <c r="Z84" s="64" t="s">
        <v>248</v>
      </c>
      <c r="AA84" s="10"/>
      <c r="AB84">
        <f t="shared" si="42"/>
        <v>0</v>
      </c>
      <c r="AC84">
        <f t="shared" si="43"/>
        <v>0</v>
      </c>
      <c r="AD84">
        <f t="shared" si="44"/>
        <v>0</v>
      </c>
      <c r="AE84">
        <f t="shared" si="45"/>
        <v>0</v>
      </c>
      <c r="AF84">
        <f t="shared" ca="1" si="46"/>
        <v>-1</v>
      </c>
      <c r="AG84">
        <f t="shared" si="47"/>
        <v>0</v>
      </c>
      <c r="AH84">
        <f t="shared" ca="1" si="48"/>
        <v>0</v>
      </c>
    </row>
    <row r="85" spans="1:34" s="12" customFormat="1" x14ac:dyDescent="0.25">
      <c r="A85" s="42">
        <v>84</v>
      </c>
      <c r="B85" s="43"/>
      <c r="C85" s="44"/>
      <c r="D85" s="17"/>
      <c r="E85" s="17"/>
      <c r="F85" s="39"/>
      <c r="G85" s="3"/>
      <c r="H85" s="44"/>
      <c r="I85" s="44"/>
      <c r="J85" s="42" t="str">
        <f t="shared" si="33"/>
        <v/>
      </c>
      <c r="K85" s="42" t="str">
        <f>IF(I85="","",IF($AM$3=1,IFERROR(IF(J85=FALSE,"",VLOOKUP(J85,$AJ$1:$AK$18,2,1)),""),IFERROR(IF(J85 = "FALSE","",VLOOKUP(J85,#REF!,2,TRUE)),"")))</f>
        <v/>
      </c>
      <c r="L85" s="42"/>
      <c r="M85" s="42"/>
      <c r="N85" s="42"/>
      <c r="O85" s="46" t="str">
        <f t="shared" si="34"/>
        <v/>
      </c>
      <c r="P85" s="57" t="str">
        <f>IFERROR(IF(C85="","",IF(AND(Census!C85="E",Census!J85&gt;=18,Census!J85&lt;=65),"Yes","No")),"ERROR")</f>
        <v/>
      </c>
      <c r="Q85" s="58" t="str">
        <f>IFERROR(IF(C85="","",IF(AND(Census!C85="E",Census!J85&gt;=18,Census!J85&lt;=64),"Yes","No")),"ERROR")</f>
        <v/>
      </c>
      <c r="R85" s="59">
        <f t="shared" ca="1" si="35"/>
        <v>-1</v>
      </c>
      <c r="S85" s="60">
        <f t="shared" si="36"/>
        <v>0</v>
      </c>
      <c r="T85" s="61">
        <f t="shared" si="37"/>
        <v>0</v>
      </c>
      <c r="U85" s="61">
        <f t="shared" si="38"/>
        <v>0</v>
      </c>
      <c r="V85" s="61">
        <f t="shared" si="39"/>
        <v>0</v>
      </c>
      <c r="W85" s="61">
        <f t="shared" ca="1" si="40"/>
        <v>-1</v>
      </c>
      <c r="X85" s="62">
        <f t="shared" si="41"/>
        <v>0</v>
      </c>
      <c r="Y85" s="10"/>
      <c r="Z85" s="64" t="s">
        <v>249</v>
      </c>
      <c r="AA85" s="10"/>
      <c r="AB85">
        <f t="shared" si="42"/>
        <v>0</v>
      </c>
      <c r="AC85">
        <f t="shared" si="43"/>
        <v>0</v>
      </c>
      <c r="AD85">
        <f t="shared" si="44"/>
        <v>0</v>
      </c>
      <c r="AE85">
        <f t="shared" si="45"/>
        <v>0</v>
      </c>
      <c r="AF85">
        <f t="shared" ca="1" si="46"/>
        <v>-1</v>
      </c>
      <c r="AG85">
        <f t="shared" si="47"/>
        <v>0</v>
      </c>
      <c r="AH85">
        <f t="shared" ca="1" si="48"/>
        <v>0</v>
      </c>
    </row>
    <row r="86" spans="1:34" s="12" customFormat="1" x14ac:dyDescent="0.25">
      <c r="A86" s="37">
        <v>85</v>
      </c>
      <c r="B86" s="38"/>
      <c r="C86" s="39"/>
      <c r="D86" s="65"/>
      <c r="E86" s="40"/>
      <c r="F86" s="39"/>
      <c r="G86" s="2"/>
      <c r="H86" s="39"/>
      <c r="I86" s="39"/>
      <c r="J86" s="50" t="str">
        <f t="shared" si="33"/>
        <v/>
      </c>
      <c r="K86" s="37" t="str">
        <f>IF(I86="","",IF($AM$3=1,IFERROR(IF(J86=FALSE,"",VLOOKUP(J86,$AJ$1:$AK$18,2,1)),""),IFERROR(IF(J86 = "FALSE","",VLOOKUP(J86,#REF!,2,TRUE)),"")))</f>
        <v/>
      </c>
      <c r="L86" s="37"/>
      <c r="M86" s="37"/>
      <c r="N86" s="37"/>
      <c r="O86" s="41" t="str">
        <f t="shared" si="34"/>
        <v/>
      </c>
      <c r="P86" s="51" t="str">
        <f>IFERROR(IF(C86="","",IF(AND(Census!C86="E",Census!J86&gt;=18,Census!J86&lt;=65),"Yes","No")),"ERROR")</f>
        <v/>
      </c>
      <c r="Q86" s="52" t="str">
        <f>IFERROR(IF(C86="","",IF(AND(Census!C86="E",Census!J86&gt;=18,Census!J86&lt;=64),"Yes","No")),"ERROR")</f>
        <v/>
      </c>
      <c r="R86" s="53">
        <f t="shared" ca="1" si="35"/>
        <v>-1</v>
      </c>
      <c r="S86" s="54">
        <f t="shared" si="36"/>
        <v>0</v>
      </c>
      <c r="T86" s="55">
        <f t="shared" si="37"/>
        <v>0</v>
      </c>
      <c r="U86" s="55">
        <f t="shared" si="38"/>
        <v>0</v>
      </c>
      <c r="V86" s="55">
        <f t="shared" si="39"/>
        <v>0</v>
      </c>
      <c r="W86" s="55">
        <f t="shared" ca="1" si="40"/>
        <v>-1</v>
      </c>
      <c r="X86" s="56">
        <f t="shared" si="41"/>
        <v>0</v>
      </c>
      <c r="Y86" s="10"/>
      <c r="Z86" s="64" t="s">
        <v>175</v>
      </c>
      <c r="AA86" s="10"/>
      <c r="AB86">
        <f t="shared" si="42"/>
        <v>0</v>
      </c>
      <c r="AC86">
        <f t="shared" si="43"/>
        <v>0</v>
      </c>
      <c r="AD86">
        <f t="shared" si="44"/>
        <v>0</v>
      </c>
      <c r="AE86">
        <f t="shared" si="45"/>
        <v>0</v>
      </c>
      <c r="AF86">
        <f t="shared" ca="1" si="46"/>
        <v>-1</v>
      </c>
      <c r="AG86">
        <f t="shared" si="47"/>
        <v>0</v>
      </c>
      <c r="AH86">
        <f t="shared" ca="1" si="48"/>
        <v>0</v>
      </c>
    </row>
    <row r="87" spans="1:34" s="12" customFormat="1" x14ac:dyDescent="0.25">
      <c r="A87" s="42">
        <v>86</v>
      </c>
      <c r="B87" s="43"/>
      <c r="C87" s="44"/>
      <c r="D87" s="17"/>
      <c r="E87" s="45"/>
      <c r="F87" s="39"/>
      <c r="G87" s="3"/>
      <c r="H87" s="44"/>
      <c r="I87" s="44"/>
      <c r="J87" s="42" t="str">
        <f t="shared" si="33"/>
        <v/>
      </c>
      <c r="K87" s="42" t="str">
        <f>IF(I87="","",IF($AM$3=1,IFERROR(IF(J87=FALSE,"",VLOOKUP(J87,$AJ$1:$AK$18,2,1)),""),IFERROR(IF(J87 = "FALSE","",VLOOKUP(J87,#REF!,2,TRUE)),"")))</f>
        <v/>
      </c>
      <c r="L87" s="42"/>
      <c r="M87" s="42"/>
      <c r="N87" s="42"/>
      <c r="O87" s="46" t="str">
        <f t="shared" si="34"/>
        <v/>
      </c>
      <c r="P87" s="57" t="str">
        <f>IFERROR(IF(C87="","",IF(AND(Census!C87="E",Census!J87&gt;=18,Census!J87&lt;=65),"Yes","No")),"ERROR")</f>
        <v/>
      </c>
      <c r="Q87" s="58" t="str">
        <f>IFERROR(IF(C87="","",IF(AND(Census!C87="E",Census!J87&gt;=18,Census!J87&lt;=64),"Yes","No")),"ERROR")</f>
        <v/>
      </c>
      <c r="R87" s="59">
        <f t="shared" ca="1" si="35"/>
        <v>-1</v>
      </c>
      <c r="S87" s="60">
        <f t="shared" si="36"/>
        <v>0</v>
      </c>
      <c r="T87" s="61">
        <f t="shared" si="37"/>
        <v>0</v>
      </c>
      <c r="U87" s="61">
        <f t="shared" si="38"/>
        <v>0</v>
      </c>
      <c r="V87" s="61">
        <f t="shared" si="39"/>
        <v>0</v>
      </c>
      <c r="W87" s="61">
        <f t="shared" ca="1" si="40"/>
        <v>-1</v>
      </c>
      <c r="X87" s="62">
        <f t="shared" si="41"/>
        <v>0</v>
      </c>
      <c r="Y87" s="10"/>
      <c r="Z87" s="64" t="s">
        <v>209</v>
      </c>
      <c r="AA87" s="10"/>
      <c r="AB87">
        <f t="shared" si="42"/>
        <v>0</v>
      </c>
      <c r="AC87">
        <f t="shared" si="43"/>
        <v>0</v>
      </c>
      <c r="AD87">
        <f t="shared" si="44"/>
        <v>0</v>
      </c>
      <c r="AE87">
        <f t="shared" si="45"/>
        <v>0</v>
      </c>
      <c r="AF87">
        <f t="shared" ca="1" si="46"/>
        <v>-1</v>
      </c>
      <c r="AG87">
        <f t="shared" si="47"/>
        <v>0</v>
      </c>
      <c r="AH87">
        <f t="shared" ca="1" si="48"/>
        <v>0</v>
      </c>
    </row>
    <row r="88" spans="1:34" s="12" customFormat="1" x14ac:dyDescent="0.25">
      <c r="A88" s="37">
        <v>87</v>
      </c>
      <c r="B88" s="38"/>
      <c r="C88" s="39"/>
      <c r="D88" s="65"/>
      <c r="E88" s="40"/>
      <c r="F88" s="39"/>
      <c r="G88" s="2"/>
      <c r="H88" s="39"/>
      <c r="I88" s="39"/>
      <c r="J88" s="50" t="str">
        <f t="shared" si="33"/>
        <v/>
      </c>
      <c r="K88" s="37" t="str">
        <f>IF(I88="","",IF($AM$3=1,IFERROR(IF(J88=FALSE,"",VLOOKUP(J88,$AJ$1:$AK$18,2,1)),""),IFERROR(IF(J88 = "FALSE","",VLOOKUP(J88,#REF!,2,TRUE)),"")))</f>
        <v/>
      </c>
      <c r="L88" s="37"/>
      <c r="M88" s="37"/>
      <c r="N88" s="37"/>
      <c r="O88" s="41" t="str">
        <f t="shared" si="34"/>
        <v/>
      </c>
      <c r="P88" s="51" t="str">
        <f>IFERROR(IF(C88="","",IF(AND(Census!C88="E",Census!J88&gt;=18,Census!J88&lt;=65),"Yes","No")),"ERROR")</f>
        <v/>
      </c>
      <c r="Q88" s="52" t="str">
        <f>IFERROR(IF(C88="","",IF(AND(Census!C88="E",Census!J88&gt;=18,Census!J88&lt;=64),"Yes","No")),"ERROR")</f>
        <v/>
      </c>
      <c r="R88" s="53">
        <f t="shared" ca="1" si="35"/>
        <v>-1</v>
      </c>
      <c r="S88" s="54">
        <f t="shared" si="36"/>
        <v>0</v>
      </c>
      <c r="T88" s="55">
        <f t="shared" si="37"/>
        <v>0</v>
      </c>
      <c r="U88" s="55">
        <f t="shared" si="38"/>
        <v>0</v>
      </c>
      <c r="V88" s="55">
        <f t="shared" si="39"/>
        <v>0</v>
      </c>
      <c r="W88" s="55">
        <f t="shared" ca="1" si="40"/>
        <v>-1</v>
      </c>
      <c r="X88" s="56">
        <f t="shared" si="41"/>
        <v>0</v>
      </c>
      <c r="Y88" s="10"/>
      <c r="Z88" s="64" t="s">
        <v>176</v>
      </c>
      <c r="AA88" s="10"/>
      <c r="AB88">
        <f t="shared" si="42"/>
        <v>0</v>
      </c>
      <c r="AC88">
        <f t="shared" si="43"/>
        <v>0</v>
      </c>
      <c r="AD88">
        <f t="shared" si="44"/>
        <v>0</v>
      </c>
      <c r="AE88">
        <f t="shared" si="45"/>
        <v>0</v>
      </c>
      <c r="AF88">
        <f t="shared" ca="1" si="46"/>
        <v>-1</v>
      </c>
      <c r="AG88">
        <f t="shared" si="47"/>
        <v>0</v>
      </c>
      <c r="AH88">
        <f t="shared" ca="1" si="48"/>
        <v>0</v>
      </c>
    </row>
    <row r="89" spans="1:34" s="12" customFormat="1" x14ac:dyDescent="0.25">
      <c r="A89" s="42">
        <v>88</v>
      </c>
      <c r="B89" s="43"/>
      <c r="C89" s="44"/>
      <c r="D89" s="17"/>
      <c r="E89" s="45"/>
      <c r="F89" s="39"/>
      <c r="G89" s="3"/>
      <c r="H89" s="44"/>
      <c r="I89" s="44"/>
      <c r="J89" s="42" t="str">
        <f t="shared" si="33"/>
        <v/>
      </c>
      <c r="K89" s="42" t="str">
        <f>IF(I89="","",IF($AM$3=1,IFERROR(IF(J89=FALSE,"",VLOOKUP(J89,$AJ$1:$AK$18,2,1)),""),IFERROR(IF(J89 = "FALSE","",VLOOKUP(J89,#REF!,2,TRUE)),"")))</f>
        <v/>
      </c>
      <c r="L89" s="42"/>
      <c r="M89" s="42"/>
      <c r="N89" s="42"/>
      <c r="O89" s="46" t="str">
        <f t="shared" si="34"/>
        <v/>
      </c>
      <c r="P89" s="57" t="str">
        <f>IFERROR(IF(C89="","",IF(AND(Census!C89="E",Census!J89&gt;=18,Census!J89&lt;=65),"Yes","No")),"ERROR")</f>
        <v/>
      </c>
      <c r="Q89" s="58" t="str">
        <f>IFERROR(IF(C89="","",IF(AND(Census!C89="E",Census!J89&gt;=18,Census!J89&lt;=64),"Yes","No")),"ERROR")</f>
        <v/>
      </c>
      <c r="R89" s="59">
        <f t="shared" ca="1" si="35"/>
        <v>-1</v>
      </c>
      <c r="S89" s="60">
        <f t="shared" si="36"/>
        <v>0</v>
      </c>
      <c r="T89" s="61">
        <f t="shared" si="37"/>
        <v>0</v>
      </c>
      <c r="U89" s="61">
        <f t="shared" si="38"/>
        <v>0</v>
      </c>
      <c r="V89" s="61">
        <f t="shared" si="39"/>
        <v>0</v>
      </c>
      <c r="W89" s="61">
        <f t="shared" ca="1" si="40"/>
        <v>-1</v>
      </c>
      <c r="X89" s="62">
        <f t="shared" si="41"/>
        <v>0</v>
      </c>
      <c r="Y89" s="10"/>
      <c r="Z89" s="64" t="s">
        <v>177</v>
      </c>
      <c r="AA89" s="10"/>
      <c r="AB89">
        <f t="shared" si="42"/>
        <v>0</v>
      </c>
      <c r="AC89">
        <f t="shared" si="43"/>
        <v>0</v>
      </c>
      <c r="AD89">
        <f t="shared" si="44"/>
        <v>0</v>
      </c>
      <c r="AE89">
        <f t="shared" si="45"/>
        <v>0</v>
      </c>
      <c r="AF89">
        <f t="shared" ca="1" si="46"/>
        <v>-1</v>
      </c>
      <c r="AG89">
        <f t="shared" si="47"/>
        <v>0</v>
      </c>
      <c r="AH89">
        <f t="shared" ca="1" si="48"/>
        <v>0</v>
      </c>
    </row>
    <row r="90" spans="1:34" s="12" customFormat="1" x14ac:dyDescent="0.25">
      <c r="A90" s="37">
        <v>89</v>
      </c>
      <c r="B90" s="38"/>
      <c r="C90" s="39"/>
      <c r="D90" s="65"/>
      <c r="E90" s="40"/>
      <c r="F90" s="39"/>
      <c r="G90" s="2"/>
      <c r="H90" s="39"/>
      <c r="I90" s="39"/>
      <c r="J90" s="50" t="str">
        <f t="shared" si="33"/>
        <v/>
      </c>
      <c r="K90" s="37" t="str">
        <f>IF(I90="","",IF($AM$3=1,IFERROR(IF(J90=FALSE,"",VLOOKUP(J90,$AJ$1:$AK$18,2,1)),""),IFERROR(IF(J90 = "FALSE","",VLOOKUP(J90,#REF!,2,TRUE)),"")))</f>
        <v/>
      </c>
      <c r="L90" s="37"/>
      <c r="M90" s="37"/>
      <c r="N90" s="37"/>
      <c r="O90" s="41" t="str">
        <f t="shared" si="34"/>
        <v/>
      </c>
      <c r="P90" s="51" t="str">
        <f>IFERROR(IF(C90="","",IF(AND(Census!C90="E",Census!J90&gt;=18,Census!J90&lt;=65),"Yes","No")),"ERROR")</f>
        <v/>
      </c>
      <c r="Q90" s="52" t="str">
        <f>IFERROR(IF(C90="","",IF(AND(Census!C90="E",Census!J90&gt;=18,Census!J90&lt;=64),"Yes","No")),"ERROR")</f>
        <v/>
      </c>
      <c r="R90" s="53">
        <f t="shared" ca="1" si="35"/>
        <v>-1</v>
      </c>
      <c r="S90" s="54">
        <f t="shared" si="36"/>
        <v>0</v>
      </c>
      <c r="T90" s="55">
        <f t="shared" si="37"/>
        <v>0</v>
      </c>
      <c r="U90" s="55">
        <f t="shared" si="38"/>
        <v>0</v>
      </c>
      <c r="V90" s="55">
        <f t="shared" si="39"/>
        <v>0</v>
      </c>
      <c r="W90" s="55">
        <f t="shared" ca="1" si="40"/>
        <v>-1</v>
      </c>
      <c r="X90" s="56">
        <f t="shared" si="41"/>
        <v>0</v>
      </c>
      <c r="Y90" s="10"/>
      <c r="Z90" s="64" t="s">
        <v>178</v>
      </c>
      <c r="AA90" s="10"/>
      <c r="AB90">
        <f t="shared" si="42"/>
        <v>0</v>
      </c>
      <c r="AC90">
        <f t="shared" si="43"/>
        <v>0</v>
      </c>
      <c r="AD90">
        <f t="shared" si="44"/>
        <v>0</v>
      </c>
      <c r="AE90">
        <f t="shared" si="45"/>
        <v>0</v>
      </c>
      <c r="AF90">
        <f t="shared" ca="1" si="46"/>
        <v>-1</v>
      </c>
      <c r="AG90">
        <f t="shared" si="47"/>
        <v>0</v>
      </c>
      <c r="AH90">
        <f t="shared" ca="1" si="48"/>
        <v>0</v>
      </c>
    </row>
    <row r="91" spans="1:34" s="12" customFormat="1" x14ac:dyDescent="0.25">
      <c r="A91" s="42">
        <v>90</v>
      </c>
      <c r="B91" s="43"/>
      <c r="C91" s="44"/>
      <c r="D91" s="17"/>
      <c r="E91" s="17"/>
      <c r="F91" s="39"/>
      <c r="G91" s="3"/>
      <c r="H91" s="44"/>
      <c r="I91" s="44"/>
      <c r="J91" s="42" t="str">
        <f t="shared" si="33"/>
        <v/>
      </c>
      <c r="K91" s="42" t="str">
        <f>IF(I91="","",IF($AM$3=1,IFERROR(IF(J91=FALSE,"",VLOOKUP(J91,$AJ$1:$AK$18,2,1)),""),IFERROR(IF(J91 = "FALSE","",VLOOKUP(J91,#REF!,2,TRUE)),"")))</f>
        <v/>
      </c>
      <c r="L91" s="42"/>
      <c r="M91" s="42"/>
      <c r="N91" s="42"/>
      <c r="O91" s="46" t="str">
        <f t="shared" si="34"/>
        <v/>
      </c>
      <c r="P91" s="57" t="str">
        <f>IFERROR(IF(C91="","",IF(AND(Census!C91="E",Census!J91&gt;=18,Census!J91&lt;=65),"Yes","No")),"ERROR")</f>
        <v/>
      </c>
      <c r="Q91" s="58" t="str">
        <f>IFERROR(IF(C91="","",IF(AND(Census!C91="E",Census!J91&gt;=18,Census!J91&lt;=64),"Yes","No")),"ERROR")</f>
        <v/>
      </c>
      <c r="R91" s="59">
        <f t="shared" ca="1" si="35"/>
        <v>-1</v>
      </c>
      <c r="S91" s="60">
        <f t="shared" si="36"/>
        <v>0</v>
      </c>
      <c r="T91" s="61">
        <f t="shared" si="37"/>
        <v>0</v>
      </c>
      <c r="U91" s="61">
        <f t="shared" si="38"/>
        <v>0</v>
      </c>
      <c r="V91" s="61">
        <f t="shared" si="39"/>
        <v>0</v>
      </c>
      <c r="W91" s="61">
        <f t="shared" ca="1" si="40"/>
        <v>-1</v>
      </c>
      <c r="X91" s="62">
        <f t="shared" si="41"/>
        <v>0</v>
      </c>
      <c r="Y91" s="10"/>
      <c r="Z91" s="64" t="s">
        <v>214</v>
      </c>
      <c r="AA91" s="10"/>
      <c r="AB91">
        <f t="shared" si="42"/>
        <v>0</v>
      </c>
      <c r="AC91">
        <f t="shared" si="43"/>
        <v>0</v>
      </c>
      <c r="AD91">
        <f t="shared" si="44"/>
        <v>0</v>
      </c>
      <c r="AE91">
        <f t="shared" si="45"/>
        <v>0</v>
      </c>
      <c r="AF91">
        <f t="shared" ca="1" si="46"/>
        <v>-1</v>
      </c>
      <c r="AG91">
        <f t="shared" si="47"/>
        <v>0</v>
      </c>
      <c r="AH91">
        <f t="shared" ca="1" si="48"/>
        <v>0</v>
      </c>
    </row>
    <row r="92" spans="1:34" s="12" customFormat="1" x14ac:dyDescent="0.25">
      <c r="A92" s="37">
        <v>91</v>
      </c>
      <c r="B92" s="38"/>
      <c r="C92" s="39"/>
      <c r="D92" s="65"/>
      <c r="E92" s="40"/>
      <c r="F92" s="39"/>
      <c r="G92" s="2"/>
      <c r="H92" s="39"/>
      <c r="I92" s="39"/>
      <c r="J92" s="50" t="str">
        <f t="shared" si="33"/>
        <v/>
      </c>
      <c r="K92" s="37" t="str">
        <f>IF(I92="","",IF($AM$3=1,IFERROR(IF(J92=FALSE,"",VLOOKUP(J92,$AJ$1:$AK$18,2,1)),""),IFERROR(IF(J92 = "FALSE","",VLOOKUP(J92,#REF!,2,TRUE)),"")))</f>
        <v/>
      </c>
      <c r="L92" s="37"/>
      <c r="M92" s="37"/>
      <c r="N92" s="37"/>
      <c r="O92" s="41" t="str">
        <f t="shared" si="34"/>
        <v/>
      </c>
      <c r="P92" s="51" t="str">
        <f>IFERROR(IF(C92="","",IF(AND(Census!C92="E",Census!J92&gt;=18,Census!J92&lt;=65),"Yes","No")),"ERROR")</f>
        <v/>
      </c>
      <c r="Q92" s="52" t="str">
        <f>IFERROR(IF(C92="","",IF(AND(Census!C92="E",Census!J92&gt;=18,Census!J92&lt;=64),"Yes","No")),"ERROR")</f>
        <v/>
      </c>
      <c r="R92" s="53">
        <f t="shared" ca="1" si="35"/>
        <v>-1</v>
      </c>
      <c r="S92" s="54">
        <f t="shared" si="36"/>
        <v>0</v>
      </c>
      <c r="T92" s="55">
        <f t="shared" si="37"/>
        <v>0</v>
      </c>
      <c r="U92" s="55">
        <f t="shared" si="38"/>
        <v>0</v>
      </c>
      <c r="V92" s="55">
        <f t="shared" si="39"/>
        <v>0</v>
      </c>
      <c r="W92" s="55">
        <f t="shared" ca="1" si="40"/>
        <v>-1</v>
      </c>
      <c r="X92" s="56">
        <f t="shared" si="41"/>
        <v>0</v>
      </c>
      <c r="Y92" s="10"/>
      <c r="Z92" s="64" t="s">
        <v>179</v>
      </c>
      <c r="AA92" s="10"/>
      <c r="AB92">
        <f t="shared" si="42"/>
        <v>0</v>
      </c>
      <c r="AC92">
        <f t="shared" si="43"/>
        <v>0</v>
      </c>
      <c r="AD92">
        <f t="shared" si="44"/>
        <v>0</v>
      </c>
      <c r="AE92">
        <f t="shared" si="45"/>
        <v>0</v>
      </c>
      <c r="AF92">
        <f t="shared" ca="1" si="46"/>
        <v>-1</v>
      </c>
      <c r="AG92">
        <f t="shared" si="47"/>
        <v>0</v>
      </c>
      <c r="AH92">
        <f t="shared" ca="1" si="48"/>
        <v>0</v>
      </c>
    </row>
    <row r="93" spans="1:34" s="12" customFormat="1" x14ac:dyDescent="0.25">
      <c r="A93" s="42">
        <v>92</v>
      </c>
      <c r="B93" s="43"/>
      <c r="C93" s="44"/>
      <c r="D93" s="17"/>
      <c r="E93" s="45"/>
      <c r="F93" s="39"/>
      <c r="G93" s="3"/>
      <c r="H93" s="44"/>
      <c r="I93" s="44"/>
      <c r="J93" s="42" t="str">
        <f t="shared" si="33"/>
        <v/>
      </c>
      <c r="K93" s="42" t="str">
        <f>IF(I93="","",IF($AM$3=1,IFERROR(IF(J93=FALSE,"",VLOOKUP(J93,$AJ$1:$AK$18,2,1)),""),IFERROR(IF(J93 = "FALSE","",VLOOKUP(J93,#REF!,2,TRUE)),"")))</f>
        <v/>
      </c>
      <c r="L93" s="42"/>
      <c r="M93" s="42"/>
      <c r="N93" s="42"/>
      <c r="O93" s="46" t="str">
        <f t="shared" si="34"/>
        <v/>
      </c>
      <c r="P93" s="57" t="str">
        <f>IFERROR(IF(C93="","",IF(AND(Census!C93="E",Census!J93&gt;=18,Census!J93&lt;=65),"Yes","No")),"ERROR")</f>
        <v/>
      </c>
      <c r="Q93" s="58" t="str">
        <f>IFERROR(IF(C93="","",IF(AND(Census!C93="E",Census!J93&gt;=18,Census!J93&lt;=64),"Yes","No")),"ERROR")</f>
        <v/>
      </c>
      <c r="R93" s="59">
        <f t="shared" ca="1" si="35"/>
        <v>-1</v>
      </c>
      <c r="S93" s="60">
        <f t="shared" si="36"/>
        <v>0</v>
      </c>
      <c r="T93" s="61">
        <f t="shared" si="37"/>
        <v>0</v>
      </c>
      <c r="U93" s="61">
        <f t="shared" si="38"/>
        <v>0</v>
      </c>
      <c r="V93" s="61">
        <f t="shared" si="39"/>
        <v>0</v>
      </c>
      <c r="W93" s="61">
        <f t="shared" ca="1" si="40"/>
        <v>-1</v>
      </c>
      <c r="X93" s="62">
        <f t="shared" si="41"/>
        <v>0</v>
      </c>
      <c r="Y93" s="10"/>
      <c r="Z93" s="64" t="s">
        <v>180</v>
      </c>
      <c r="AA93" s="10"/>
      <c r="AB93">
        <f t="shared" si="42"/>
        <v>0</v>
      </c>
      <c r="AC93">
        <f t="shared" si="43"/>
        <v>0</v>
      </c>
      <c r="AD93">
        <f t="shared" si="44"/>
        <v>0</v>
      </c>
      <c r="AE93">
        <f t="shared" si="45"/>
        <v>0</v>
      </c>
      <c r="AF93">
        <f t="shared" ca="1" si="46"/>
        <v>-1</v>
      </c>
      <c r="AG93">
        <f t="shared" si="47"/>
        <v>0</v>
      </c>
      <c r="AH93">
        <f t="shared" ca="1" si="48"/>
        <v>0</v>
      </c>
    </row>
    <row r="94" spans="1:34" s="12" customFormat="1" x14ac:dyDescent="0.25">
      <c r="A94" s="37">
        <v>93</v>
      </c>
      <c r="B94" s="38"/>
      <c r="C94" s="39"/>
      <c r="D94" s="65"/>
      <c r="E94" s="65"/>
      <c r="F94" s="39"/>
      <c r="G94" s="2"/>
      <c r="H94" s="39"/>
      <c r="I94" s="39"/>
      <c r="J94" s="50" t="str">
        <f t="shared" si="33"/>
        <v/>
      </c>
      <c r="K94" s="37" t="str">
        <f>IF(I94="","",IF($AM$3=1,IFERROR(IF(J94=FALSE,"",VLOOKUP(J94,$AJ$1:$AK$18,2,1)),""),IFERROR(IF(J94 = "FALSE","",VLOOKUP(J94,#REF!,2,TRUE)),"")))</f>
        <v/>
      </c>
      <c r="L94" s="37"/>
      <c r="M94" s="37"/>
      <c r="N94" s="37"/>
      <c r="O94" s="41" t="str">
        <f t="shared" si="34"/>
        <v/>
      </c>
      <c r="P94" s="51" t="str">
        <f>IFERROR(IF(C94="","",IF(AND(Census!C94="E",Census!J94&gt;=18,Census!J94&lt;=65),"Yes","No")),"ERROR")</f>
        <v/>
      </c>
      <c r="Q94" s="52" t="str">
        <f>IFERROR(IF(C94="","",IF(AND(Census!C94="E",Census!J94&gt;=18,Census!J94&lt;=64),"Yes","No")),"ERROR")</f>
        <v/>
      </c>
      <c r="R94" s="53">
        <f t="shared" ca="1" si="35"/>
        <v>-1</v>
      </c>
      <c r="S94" s="54">
        <f t="shared" si="36"/>
        <v>0</v>
      </c>
      <c r="T94" s="55">
        <f t="shared" si="37"/>
        <v>0</v>
      </c>
      <c r="U94" s="55">
        <f t="shared" si="38"/>
        <v>0</v>
      </c>
      <c r="V94" s="55">
        <f t="shared" si="39"/>
        <v>0</v>
      </c>
      <c r="W94" s="55">
        <f t="shared" ca="1" si="40"/>
        <v>-1</v>
      </c>
      <c r="X94" s="56">
        <f t="shared" si="41"/>
        <v>0</v>
      </c>
      <c r="Y94" s="10"/>
      <c r="Z94" s="64" t="s">
        <v>128</v>
      </c>
      <c r="AA94" s="10"/>
      <c r="AB94">
        <f t="shared" si="42"/>
        <v>0</v>
      </c>
      <c r="AC94">
        <f t="shared" si="43"/>
        <v>0</v>
      </c>
      <c r="AD94">
        <f t="shared" si="44"/>
        <v>0</v>
      </c>
      <c r="AE94">
        <f t="shared" si="45"/>
        <v>0</v>
      </c>
      <c r="AF94">
        <f t="shared" ca="1" si="46"/>
        <v>-1</v>
      </c>
      <c r="AG94">
        <f t="shared" si="47"/>
        <v>0</v>
      </c>
      <c r="AH94">
        <f t="shared" ca="1" si="48"/>
        <v>0</v>
      </c>
    </row>
    <row r="95" spans="1:34" s="12" customFormat="1" x14ac:dyDescent="0.25">
      <c r="A95" s="42">
        <v>94</v>
      </c>
      <c r="B95" s="43"/>
      <c r="C95" s="44"/>
      <c r="D95" s="17"/>
      <c r="E95" s="17"/>
      <c r="F95" s="39"/>
      <c r="G95" s="3"/>
      <c r="H95" s="44"/>
      <c r="I95" s="44"/>
      <c r="J95" s="42" t="str">
        <f t="shared" si="33"/>
        <v/>
      </c>
      <c r="K95" s="42" t="str">
        <f>IF(I95="","",IF($AM$3=1,IFERROR(IF(J95=FALSE,"",VLOOKUP(J95,$AJ$1:$AK$18,2,1)),""),IFERROR(IF(J95 = "FALSE","",VLOOKUP(J95,#REF!,2,TRUE)),"")))</f>
        <v/>
      </c>
      <c r="L95" s="42"/>
      <c r="M95" s="42"/>
      <c r="N95" s="42"/>
      <c r="O95" s="46" t="str">
        <f t="shared" si="34"/>
        <v/>
      </c>
      <c r="P95" s="57" t="str">
        <f>IFERROR(IF(C95="","",IF(AND(Census!C95="E",Census!J95&gt;=18,Census!J95&lt;=65),"Yes","No")),"ERROR")</f>
        <v/>
      </c>
      <c r="Q95" s="58" t="str">
        <f>IFERROR(IF(C95="","",IF(AND(Census!C95="E",Census!J95&gt;=18,Census!J95&lt;=64),"Yes","No")),"ERROR")</f>
        <v/>
      </c>
      <c r="R95" s="59">
        <f t="shared" ca="1" si="35"/>
        <v>-1</v>
      </c>
      <c r="S95" s="60">
        <f t="shared" si="36"/>
        <v>0</v>
      </c>
      <c r="T95" s="61">
        <f t="shared" si="37"/>
        <v>0</v>
      </c>
      <c r="U95" s="61">
        <f t="shared" si="38"/>
        <v>0</v>
      </c>
      <c r="V95" s="61">
        <f t="shared" si="39"/>
        <v>0</v>
      </c>
      <c r="W95" s="61">
        <f t="shared" ca="1" si="40"/>
        <v>-1</v>
      </c>
      <c r="X95" s="62">
        <f t="shared" si="41"/>
        <v>0</v>
      </c>
      <c r="Y95" s="10"/>
      <c r="Z95" s="64" t="s">
        <v>144</v>
      </c>
      <c r="AA95" s="10"/>
      <c r="AB95">
        <f t="shared" si="42"/>
        <v>0</v>
      </c>
      <c r="AC95">
        <f t="shared" si="43"/>
        <v>0</v>
      </c>
      <c r="AD95">
        <f t="shared" si="44"/>
        <v>0</v>
      </c>
      <c r="AE95">
        <f t="shared" si="45"/>
        <v>0</v>
      </c>
      <c r="AF95">
        <f t="shared" ca="1" si="46"/>
        <v>-1</v>
      </c>
      <c r="AG95">
        <f t="shared" si="47"/>
        <v>0</v>
      </c>
      <c r="AH95">
        <f t="shared" ca="1" si="48"/>
        <v>0</v>
      </c>
    </row>
    <row r="96" spans="1:34" s="12" customFormat="1" x14ac:dyDescent="0.25">
      <c r="A96" s="37">
        <v>95</v>
      </c>
      <c r="B96" s="38"/>
      <c r="C96" s="39"/>
      <c r="D96" s="65"/>
      <c r="E96" s="65"/>
      <c r="F96" s="39"/>
      <c r="G96" s="2"/>
      <c r="H96" s="39"/>
      <c r="I96" s="39"/>
      <c r="J96" s="50" t="str">
        <f t="shared" si="33"/>
        <v/>
      </c>
      <c r="K96" s="37" t="str">
        <f>IF(I96="","",IF($AM$3=1,IFERROR(IF(J96=FALSE,"",VLOOKUP(J96,$AJ$1:$AK$18,2,1)),""),IFERROR(IF(J96 = "FALSE","",VLOOKUP(J96,#REF!,2,TRUE)),"")))</f>
        <v/>
      </c>
      <c r="L96" s="37"/>
      <c r="M96" s="37"/>
      <c r="N96" s="37"/>
      <c r="O96" s="41" t="str">
        <f t="shared" si="34"/>
        <v/>
      </c>
      <c r="P96" s="51" t="str">
        <f>IFERROR(IF(C96="","",IF(AND(Census!C96="E",Census!J96&gt;=18,Census!J96&lt;=65),"Yes","No")),"ERROR")</f>
        <v/>
      </c>
      <c r="Q96" s="52" t="str">
        <f>IFERROR(IF(C96="","",IF(AND(Census!C96="E",Census!J96&gt;=18,Census!J96&lt;=64),"Yes","No")),"ERROR")</f>
        <v/>
      </c>
      <c r="R96" s="53">
        <f t="shared" ca="1" si="35"/>
        <v>-1</v>
      </c>
      <c r="S96" s="54">
        <f t="shared" si="36"/>
        <v>0</v>
      </c>
      <c r="T96" s="55">
        <f t="shared" si="37"/>
        <v>0</v>
      </c>
      <c r="U96" s="55">
        <f t="shared" si="38"/>
        <v>0</v>
      </c>
      <c r="V96" s="55">
        <f t="shared" si="39"/>
        <v>0</v>
      </c>
      <c r="W96" s="55">
        <f t="shared" ca="1" si="40"/>
        <v>-1</v>
      </c>
      <c r="X96" s="56">
        <f t="shared" si="41"/>
        <v>0</v>
      </c>
      <c r="Y96" s="10"/>
      <c r="Z96" s="64" t="s">
        <v>145</v>
      </c>
      <c r="AA96" s="10"/>
      <c r="AB96">
        <f t="shared" si="42"/>
        <v>0</v>
      </c>
      <c r="AC96">
        <f t="shared" si="43"/>
        <v>0</v>
      </c>
      <c r="AD96">
        <f t="shared" si="44"/>
        <v>0</v>
      </c>
      <c r="AE96">
        <f t="shared" si="45"/>
        <v>0</v>
      </c>
      <c r="AF96">
        <f t="shared" ca="1" si="46"/>
        <v>-1</v>
      </c>
      <c r="AG96">
        <f t="shared" si="47"/>
        <v>0</v>
      </c>
      <c r="AH96">
        <f t="shared" ca="1" si="48"/>
        <v>0</v>
      </c>
    </row>
    <row r="97" spans="1:34" s="12" customFormat="1" x14ac:dyDescent="0.25">
      <c r="A97" s="42"/>
      <c r="B97" s="43"/>
      <c r="C97" s="44"/>
      <c r="D97" s="17"/>
      <c r="E97" s="17"/>
      <c r="F97" s="39"/>
      <c r="G97" s="3"/>
      <c r="H97" s="44"/>
      <c r="I97" s="44"/>
      <c r="J97" s="42" t="str">
        <f t="shared" si="33"/>
        <v/>
      </c>
      <c r="K97" s="42" t="str">
        <f>IF(I97="","",IF($AM$3=1,IFERROR(IF(J97=FALSE,"",VLOOKUP(J97,$AJ$1:$AK$18,2,1)),""),IFERROR(IF(J97 = "FALSE","",VLOOKUP(J97,#REF!,2,TRUE)),"")))</f>
        <v/>
      </c>
      <c r="L97" s="42"/>
      <c r="M97" s="42"/>
      <c r="N97" s="42"/>
      <c r="O97" s="46" t="str">
        <f t="shared" si="34"/>
        <v/>
      </c>
      <c r="P97" s="57" t="str">
        <f>IFERROR(IF(C97="","",IF(AND(Census!C97="E",Census!J97&gt;=18,Census!J97&lt;=65),"Yes","No")),"ERROR")</f>
        <v/>
      </c>
      <c r="Q97" s="58" t="str">
        <f>IFERROR(IF(C97="","",IF(AND(Census!C97="E",Census!J97&gt;=18,Census!J97&lt;=64),"Yes","No")),"ERROR")</f>
        <v/>
      </c>
      <c r="R97" s="59">
        <f t="shared" ca="1" si="35"/>
        <v>-1</v>
      </c>
      <c r="S97" s="60">
        <f t="shared" si="36"/>
        <v>0</v>
      </c>
      <c r="T97" s="61">
        <f t="shared" si="37"/>
        <v>0</v>
      </c>
      <c r="U97" s="61">
        <f t="shared" si="38"/>
        <v>0</v>
      </c>
      <c r="V97" s="61">
        <f t="shared" si="39"/>
        <v>0</v>
      </c>
      <c r="W97" s="61">
        <f t="shared" ca="1" si="40"/>
        <v>-1</v>
      </c>
      <c r="X97" s="62">
        <f t="shared" si="41"/>
        <v>0</v>
      </c>
      <c r="Y97" s="10"/>
      <c r="Z97" s="64" t="s">
        <v>250</v>
      </c>
      <c r="AA97" s="10"/>
      <c r="AB97">
        <f t="shared" si="42"/>
        <v>0</v>
      </c>
      <c r="AC97">
        <f t="shared" si="43"/>
        <v>0</v>
      </c>
      <c r="AD97">
        <f t="shared" si="44"/>
        <v>0</v>
      </c>
      <c r="AE97">
        <f t="shared" si="45"/>
        <v>0</v>
      </c>
      <c r="AF97">
        <f t="shared" ca="1" si="46"/>
        <v>-1</v>
      </c>
      <c r="AG97">
        <f t="shared" si="47"/>
        <v>0</v>
      </c>
      <c r="AH97">
        <f t="shared" ca="1" si="48"/>
        <v>0</v>
      </c>
    </row>
    <row r="98" spans="1:34" s="12" customFormat="1" x14ac:dyDescent="0.25">
      <c r="A98" s="37">
        <v>97</v>
      </c>
      <c r="B98" s="38"/>
      <c r="C98" s="39"/>
      <c r="D98" s="40"/>
      <c r="E98" s="40"/>
      <c r="F98" s="39"/>
      <c r="G98" s="2"/>
      <c r="H98" s="2"/>
      <c r="I98" s="39"/>
      <c r="J98" s="50" t="str">
        <f t="shared" ref="J98:J129" si="49">IFERROR(IF(G98="","",ROUNDDOWN(IF($G98="","",(inception_date-$G98)/365.25),0)),0)</f>
        <v/>
      </c>
      <c r="K98" s="37" t="str">
        <f>IF(I98="","",IF($AM$3=1,IFERROR(IF(J98=FALSE,"",VLOOKUP(J98,$AJ$1:$AK$18,2,1)),""),IFERROR(IF(J98 = "FALSE","",VLOOKUP(J98,#REF!,2,TRUE)),"")))</f>
        <v/>
      </c>
      <c r="L98" s="37"/>
      <c r="M98" s="37"/>
      <c r="N98" s="37"/>
      <c r="O98" s="41" t="str">
        <f t="shared" ref="O98:O129" si="50">IF(C98="","",IF(R98=1,"Yes","No"))</f>
        <v/>
      </c>
      <c r="P98" s="51" t="str">
        <f>IFERROR(IF(C98="","",IF(AND(Census!C98="E",Census!J98&gt;=18,Census!J98&lt;=65),"Yes","No")),"ERROR")</f>
        <v/>
      </c>
      <c r="Q98" s="52" t="str">
        <f>IFERROR(IF(C98="","",IF(AND(Census!C98="E",Census!J98&gt;=18,Census!J98&lt;=64),"Yes","No")),"ERROR")</f>
        <v/>
      </c>
      <c r="R98" s="53">
        <f t="shared" ref="R98:R129" ca="1" si="51">IF(OR(AB98&lt;&gt;1,AC98&lt;&gt;1,AD98&lt;&gt;1,AF98&lt;&gt;1,AE98&lt;&gt;1,AG98&lt;&gt;1),-1,1)</f>
        <v>-1</v>
      </c>
      <c r="S98" s="54">
        <f t="shared" ref="S98:S129" si="52">AB98</f>
        <v>0</v>
      </c>
      <c r="T98" s="55">
        <f t="shared" ref="T98:T129" si="53">AC98</f>
        <v>0</v>
      </c>
      <c r="U98" s="55">
        <f t="shared" ref="U98:U129" si="54">AD98</f>
        <v>0</v>
      </c>
      <c r="V98" s="55">
        <f t="shared" ref="V98:V129" si="55">AE98</f>
        <v>0</v>
      </c>
      <c r="W98" s="55">
        <f t="shared" ref="W98:W129" ca="1" si="56">AF98</f>
        <v>-1</v>
      </c>
      <c r="X98" s="56">
        <f t="shared" ref="X98:X129" si="57">AG98</f>
        <v>0</v>
      </c>
      <c r="Y98" s="10"/>
      <c r="Z98" s="64" t="s">
        <v>251</v>
      </c>
      <c r="AA98" s="10"/>
      <c r="AB98">
        <f t="shared" ref="AB98:AB129" si="58">IFERROR(IF(OR(B98=0,B98=""),0,1),0)</f>
        <v>0</v>
      </c>
      <c r="AC98">
        <f t="shared" ref="AC98:AC129" si="59">IFERROR(IF(OR(C98="S",C98="D"),IF(AND(C98="D",D98="F"),1,IF(AND(C98="S",D98="M"),1,0)),IF(OR(C98="W",C98="H"),IF(OR(AND(C98="W",D98="F"),AND(C98="H",D98="M")),1,),IF(OR(D98="M",D98="F"),1,0))),0)</f>
        <v>0</v>
      </c>
      <c r="AD98">
        <f t="shared" ref="AD98:AD129" si="60">IFERROR(IF(OR(C98="E",C98="W",C98="H"),1,IF(C98 = "S",IF(D98="M",1,0),IF(D98 = "F",1,0))),0)</f>
        <v>0</v>
      </c>
      <c r="AE98">
        <f t="shared" ref="AE98:AE129" si="61">IFERROR(IF(OR(E98="M",E98="S"),IF(E98="M",IF(OR(C98="S",C98 = "D"),0,1),IF(OR(C98="W",C98="H"),0,1)),0),0)</f>
        <v>0</v>
      </c>
      <c r="AF98">
        <f t="shared" ref="AF98:AF129" ca="1" si="62">IF(G98="",-1,IF(AND(G98&lt;=TODAY(),ISNUMBER(DATE(YEAR(G98),MONTH(G98),DAY(G98)))),IF(AND(OR(C98="S",C98="D"),J98&gt;24),-1,1),-1))</f>
        <v>-1</v>
      </c>
      <c r="AG98">
        <f t="shared" ref="AG98:AG129" si="63">IF(OR(I98="CAT 1",I98="CAT 2",I98="CAT 3",I98="CAT 4"),1,0)</f>
        <v>0</v>
      </c>
      <c r="AH98">
        <f t="shared" ref="AH98:AH129" ca="1" si="64">PRODUCT(AF98:AG98)*AE98</f>
        <v>0</v>
      </c>
    </row>
    <row r="99" spans="1:34" s="12" customFormat="1" x14ac:dyDescent="0.25">
      <c r="A99" s="42">
        <v>98</v>
      </c>
      <c r="B99" s="43"/>
      <c r="C99" s="44"/>
      <c r="D99" s="45"/>
      <c r="E99" s="45"/>
      <c r="F99" s="39"/>
      <c r="G99" s="3"/>
      <c r="H99" s="3"/>
      <c r="I99" s="44"/>
      <c r="J99" s="42" t="str">
        <f t="shared" si="49"/>
        <v/>
      </c>
      <c r="K99" s="42" t="str">
        <f>IF(I99="","",IF($AM$3=1,IFERROR(IF(J99=FALSE,"",VLOOKUP(J99,$AJ$1:$AK$18,2,1)),""),IFERROR(IF(J99 = "FALSE","",VLOOKUP(J99,#REF!,2,TRUE)),"")))</f>
        <v/>
      </c>
      <c r="L99" s="42"/>
      <c r="M99" s="42"/>
      <c r="N99" s="42"/>
      <c r="O99" s="46" t="str">
        <f t="shared" si="50"/>
        <v/>
      </c>
      <c r="P99" s="57" t="str">
        <f>IFERROR(IF(C99="","",IF(AND(Census!C99="E",Census!J99&gt;=18,Census!J99&lt;=65),"Yes","No")),"ERROR")</f>
        <v/>
      </c>
      <c r="Q99" s="58" t="str">
        <f>IFERROR(IF(C99="","",IF(AND(Census!C99="E",Census!J99&gt;=18,Census!J99&lt;=64),"Yes","No")),"ERROR")</f>
        <v/>
      </c>
      <c r="R99" s="59">
        <f t="shared" ca="1" si="51"/>
        <v>-1</v>
      </c>
      <c r="S99" s="60">
        <f t="shared" si="52"/>
        <v>0</v>
      </c>
      <c r="T99" s="61">
        <f t="shared" si="53"/>
        <v>0</v>
      </c>
      <c r="U99" s="61">
        <f t="shared" si="54"/>
        <v>0</v>
      </c>
      <c r="V99" s="61">
        <f t="shared" si="55"/>
        <v>0</v>
      </c>
      <c r="W99" s="61">
        <f t="shared" ca="1" si="56"/>
        <v>-1</v>
      </c>
      <c r="X99" s="62">
        <f t="shared" si="57"/>
        <v>0</v>
      </c>
      <c r="Y99" s="10"/>
      <c r="Z99" s="64" t="s">
        <v>111</v>
      </c>
      <c r="AA99" s="10"/>
      <c r="AB99">
        <f t="shared" si="58"/>
        <v>0</v>
      </c>
      <c r="AC99">
        <f t="shared" si="59"/>
        <v>0</v>
      </c>
      <c r="AD99">
        <f t="shared" si="60"/>
        <v>0</v>
      </c>
      <c r="AE99">
        <f t="shared" si="61"/>
        <v>0</v>
      </c>
      <c r="AF99">
        <f t="shared" ca="1" si="62"/>
        <v>-1</v>
      </c>
      <c r="AG99">
        <f t="shared" si="63"/>
        <v>0</v>
      </c>
      <c r="AH99">
        <f t="shared" ca="1" si="64"/>
        <v>0</v>
      </c>
    </row>
    <row r="100" spans="1:34" s="12" customFormat="1" x14ac:dyDescent="0.25">
      <c r="A100" s="37">
        <v>99</v>
      </c>
      <c r="B100" s="38"/>
      <c r="C100" s="39"/>
      <c r="D100" s="40"/>
      <c r="E100" s="40"/>
      <c r="F100" s="39"/>
      <c r="G100" s="2"/>
      <c r="H100" s="2"/>
      <c r="I100" s="39"/>
      <c r="J100" s="50" t="str">
        <f t="shared" si="49"/>
        <v/>
      </c>
      <c r="K100" s="37" t="str">
        <f>IF(I100="","",IF($AM$3=1,IFERROR(IF(J100=FALSE,"",VLOOKUP(J100,$AJ$1:$AK$18,2,1)),""),IFERROR(IF(J100 = "FALSE","",VLOOKUP(J100,#REF!,2,TRUE)),"")))</f>
        <v/>
      </c>
      <c r="L100" s="37"/>
      <c r="M100" s="37"/>
      <c r="N100" s="37"/>
      <c r="O100" s="41" t="str">
        <f t="shared" si="50"/>
        <v/>
      </c>
      <c r="P100" s="51" t="str">
        <f>IFERROR(IF(C100="","",IF(AND(Census!C100="E",Census!J100&gt;=18,Census!J100&lt;=65),"Yes","No")),"ERROR")</f>
        <v/>
      </c>
      <c r="Q100" s="52" t="str">
        <f>IFERROR(IF(C100="","",IF(AND(Census!C100="E",Census!J100&gt;=18,Census!J100&lt;=64),"Yes","No")),"ERROR")</f>
        <v/>
      </c>
      <c r="R100" s="53">
        <f t="shared" ca="1" si="51"/>
        <v>-1</v>
      </c>
      <c r="S100" s="54">
        <f t="shared" si="52"/>
        <v>0</v>
      </c>
      <c r="T100" s="55">
        <f t="shared" si="53"/>
        <v>0</v>
      </c>
      <c r="U100" s="55">
        <f t="shared" si="54"/>
        <v>0</v>
      </c>
      <c r="V100" s="55">
        <f t="shared" si="55"/>
        <v>0</v>
      </c>
      <c r="W100" s="55">
        <f t="shared" ca="1" si="56"/>
        <v>-1</v>
      </c>
      <c r="X100" s="56">
        <f t="shared" si="57"/>
        <v>0</v>
      </c>
      <c r="Y100" s="10"/>
      <c r="Z100" s="64" t="s">
        <v>139</v>
      </c>
      <c r="AA100" s="10"/>
      <c r="AB100">
        <f t="shared" si="58"/>
        <v>0</v>
      </c>
      <c r="AC100">
        <f t="shared" si="59"/>
        <v>0</v>
      </c>
      <c r="AD100">
        <f t="shared" si="60"/>
        <v>0</v>
      </c>
      <c r="AE100">
        <f t="shared" si="61"/>
        <v>0</v>
      </c>
      <c r="AF100">
        <f t="shared" ca="1" si="62"/>
        <v>-1</v>
      </c>
      <c r="AG100">
        <f t="shared" si="63"/>
        <v>0</v>
      </c>
      <c r="AH100">
        <f t="shared" ca="1" si="64"/>
        <v>0</v>
      </c>
    </row>
    <row r="101" spans="1:34" s="12" customFormat="1" x14ac:dyDescent="0.25">
      <c r="A101" s="42">
        <v>100</v>
      </c>
      <c r="B101" s="43"/>
      <c r="C101" s="44"/>
      <c r="D101" s="45"/>
      <c r="E101" s="45"/>
      <c r="F101" s="39"/>
      <c r="G101" s="3"/>
      <c r="H101" s="3"/>
      <c r="I101" s="44"/>
      <c r="J101" s="42" t="str">
        <f t="shared" si="49"/>
        <v/>
      </c>
      <c r="K101" s="42" t="str">
        <f>IF(I101="","",IF($AM$3=1,IFERROR(IF(J101=FALSE,"",VLOOKUP(J101,$AJ$1:$AK$18,2,1)),""),IFERROR(IF(J101 = "FALSE","",VLOOKUP(J101,#REF!,2,TRUE)),"")))</f>
        <v/>
      </c>
      <c r="L101" s="42"/>
      <c r="M101" s="42"/>
      <c r="N101" s="42"/>
      <c r="O101" s="46" t="str">
        <f t="shared" si="50"/>
        <v/>
      </c>
      <c r="P101" s="57" t="str">
        <f>IFERROR(IF(C101="","",IF(AND(Census!C101="E",Census!J101&gt;=18,Census!J101&lt;=65),"Yes","No")),"ERROR")</f>
        <v/>
      </c>
      <c r="Q101" s="58" t="str">
        <f>IFERROR(IF(C101="","",IF(AND(Census!C101="E",Census!J101&gt;=18,Census!J101&lt;=64),"Yes","No")),"ERROR")</f>
        <v/>
      </c>
      <c r="R101" s="59">
        <f t="shared" ca="1" si="51"/>
        <v>-1</v>
      </c>
      <c r="S101" s="60">
        <f t="shared" si="52"/>
        <v>0</v>
      </c>
      <c r="T101" s="61">
        <f t="shared" si="53"/>
        <v>0</v>
      </c>
      <c r="U101" s="61">
        <f t="shared" si="54"/>
        <v>0</v>
      </c>
      <c r="V101" s="61">
        <f t="shared" si="55"/>
        <v>0</v>
      </c>
      <c r="W101" s="61">
        <f t="shared" ca="1" si="56"/>
        <v>-1</v>
      </c>
      <c r="X101" s="62">
        <f t="shared" si="57"/>
        <v>0</v>
      </c>
      <c r="Y101" s="10"/>
      <c r="Z101" s="64" t="s">
        <v>112</v>
      </c>
      <c r="AA101" s="10"/>
      <c r="AB101">
        <f t="shared" si="58"/>
        <v>0</v>
      </c>
      <c r="AC101">
        <f t="shared" si="59"/>
        <v>0</v>
      </c>
      <c r="AD101">
        <f t="shared" si="60"/>
        <v>0</v>
      </c>
      <c r="AE101">
        <f t="shared" si="61"/>
        <v>0</v>
      </c>
      <c r="AF101">
        <f t="shared" ca="1" si="62"/>
        <v>-1</v>
      </c>
      <c r="AG101">
        <f t="shared" si="63"/>
        <v>0</v>
      </c>
      <c r="AH101">
        <f t="shared" ca="1" si="64"/>
        <v>0</v>
      </c>
    </row>
    <row r="102" spans="1:34" s="12" customFormat="1" x14ac:dyDescent="0.25">
      <c r="A102" s="37">
        <v>101</v>
      </c>
      <c r="B102" s="38"/>
      <c r="C102" s="39"/>
      <c r="D102" s="40"/>
      <c r="E102" s="40"/>
      <c r="F102" s="39"/>
      <c r="G102" s="2"/>
      <c r="H102" s="2"/>
      <c r="I102" s="39"/>
      <c r="J102" s="50" t="str">
        <f t="shared" si="49"/>
        <v/>
      </c>
      <c r="K102" s="37" t="str">
        <f>IF(I102="","",IF($AM$3=1,IFERROR(IF(J102=FALSE,"",VLOOKUP(J102,$AJ$1:$AK$18,2,1)),""),IFERROR(IF(J102 = "FALSE","",VLOOKUP(J102,#REF!,2,TRUE)),"")))</f>
        <v/>
      </c>
      <c r="L102" s="37"/>
      <c r="M102" s="37"/>
      <c r="N102" s="37"/>
      <c r="O102" s="41" t="str">
        <f t="shared" si="50"/>
        <v/>
      </c>
      <c r="P102" s="51" t="str">
        <f>IFERROR(IF(C102="","",IF(AND(Census!C102="E",Census!J102&gt;=18,Census!J102&lt;=65),"Yes","No")),"ERROR")</f>
        <v/>
      </c>
      <c r="Q102" s="52" t="str">
        <f>IFERROR(IF(C102="","",IF(AND(Census!C102="E",Census!J102&gt;=18,Census!J102&lt;=64),"Yes","No")),"ERROR")</f>
        <v/>
      </c>
      <c r="R102" s="53">
        <f t="shared" ca="1" si="51"/>
        <v>-1</v>
      </c>
      <c r="S102" s="54">
        <f t="shared" si="52"/>
        <v>0</v>
      </c>
      <c r="T102" s="55">
        <f t="shared" si="53"/>
        <v>0</v>
      </c>
      <c r="U102" s="55">
        <f t="shared" si="54"/>
        <v>0</v>
      </c>
      <c r="V102" s="55">
        <f t="shared" si="55"/>
        <v>0</v>
      </c>
      <c r="W102" s="55">
        <f t="shared" ca="1" si="56"/>
        <v>-1</v>
      </c>
      <c r="X102" s="56">
        <f t="shared" si="57"/>
        <v>0</v>
      </c>
      <c r="Y102" s="10"/>
      <c r="Z102" s="64" t="s">
        <v>252</v>
      </c>
      <c r="AA102" s="10"/>
      <c r="AB102">
        <f t="shared" si="58"/>
        <v>0</v>
      </c>
      <c r="AC102">
        <f t="shared" si="59"/>
        <v>0</v>
      </c>
      <c r="AD102">
        <f t="shared" si="60"/>
        <v>0</v>
      </c>
      <c r="AE102">
        <f t="shared" si="61"/>
        <v>0</v>
      </c>
      <c r="AF102">
        <f t="shared" ca="1" si="62"/>
        <v>-1</v>
      </c>
      <c r="AG102">
        <f t="shared" si="63"/>
        <v>0</v>
      </c>
      <c r="AH102">
        <f t="shared" ca="1" si="64"/>
        <v>0</v>
      </c>
    </row>
    <row r="103" spans="1:34" s="12" customFormat="1" x14ac:dyDescent="0.25">
      <c r="A103" s="42">
        <v>102</v>
      </c>
      <c r="B103" s="43"/>
      <c r="C103" s="44"/>
      <c r="D103" s="45"/>
      <c r="E103" s="45"/>
      <c r="F103" s="39"/>
      <c r="G103" s="3"/>
      <c r="H103" s="3"/>
      <c r="I103" s="44"/>
      <c r="J103" s="42" t="str">
        <f t="shared" si="49"/>
        <v/>
      </c>
      <c r="K103" s="42" t="str">
        <f>IF(I103="","",IF($AM$3=1,IFERROR(IF(J103=FALSE,"",VLOOKUP(J103,$AJ$1:$AK$18,2,1)),""),IFERROR(IF(J103 = "FALSE","",VLOOKUP(J103,#REF!,2,TRUE)),"")))</f>
        <v/>
      </c>
      <c r="L103" s="42"/>
      <c r="M103" s="42"/>
      <c r="N103" s="42"/>
      <c r="O103" s="46" t="str">
        <f t="shared" si="50"/>
        <v/>
      </c>
      <c r="P103" s="57" t="str">
        <f>IFERROR(IF(C103="","",IF(AND(Census!C103="E",Census!J103&gt;=18,Census!J103&lt;=65),"Yes","No")),"ERROR")</f>
        <v/>
      </c>
      <c r="Q103" s="58" t="str">
        <f>IFERROR(IF(C103="","",IF(AND(Census!C103="E",Census!J103&gt;=18,Census!J103&lt;=64),"Yes","No")),"ERROR")</f>
        <v/>
      </c>
      <c r="R103" s="59">
        <f t="shared" ca="1" si="51"/>
        <v>-1</v>
      </c>
      <c r="S103" s="60">
        <f t="shared" si="52"/>
        <v>0</v>
      </c>
      <c r="T103" s="61">
        <f t="shared" si="53"/>
        <v>0</v>
      </c>
      <c r="U103" s="61">
        <f t="shared" si="54"/>
        <v>0</v>
      </c>
      <c r="V103" s="61">
        <f t="shared" si="55"/>
        <v>0</v>
      </c>
      <c r="W103" s="61">
        <f t="shared" ca="1" si="56"/>
        <v>-1</v>
      </c>
      <c r="X103" s="62">
        <f t="shared" si="57"/>
        <v>0</v>
      </c>
      <c r="Y103" s="10"/>
      <c r="Z103" s="64" t="s">
        <v>253</v>
      </c>
      <c r="AA103" s="10"/>
      <c r="AB103">
        <f t="shared" si="58"/>
        <v>0</v>
      </c>
      <c r="AC103">
        <f t="shared" si="59"/>
        <v>0</v>
      </c>
      <c r="AD103">
        <f t="shared" si="60"/>
        <v>0</v>
      </c>
      <c r="AE103">
        <f t="shared" si="61"/>
        <v>0</v>
      </c>
      <c r="AF103">
        <f t="shared" ca="1" si="62"/>
        <v>-1</v>
      </c>
      <c r="AG103">
        <f t="shared" si="63"/>
        <v>0</v>
      </c>
      <c r="AH103">
        <f t="shared" ca="1" si="64"/>
        <v>0</v>
      </c>
    </row>
    <row r="104" spans="1:34" s="12" customFormat="1" x14ac:dyDescent="0.25">
      <c r="A104" s="37">
        <v>103</v>
      </c>
      <c r="B104" s="38"/>
      <c r="C104" s="39"/>
      <c r="D104" s="40"/>
      <c r="E104" s="40"/>
      <c r="F104" s="39"/>
      <c r="G104" s="2"/>
      <c r="H104" s="2"/>
      <c r="I104" s="39"/>
      <c r="J104" s="50" t="str">
        <f t="shared" si="49"/>
        <v/>
      </c>
      <c r="K104" s="37" t="str">
        <f>IF(I104="","",IF($AM$3=1,IFERROR(IF(J104=FALSE,"",VLOOKUP(J104,$AJ$1:$AK$18,2,1)),""),IFERROR(IF(J104 = "FALSE","",VLOOKUP(J104,#REF!,2,TRUE)),"")))</f>
        <v/>
      </c>
      <c r="L104" s="37"/>
      <c r="M104" s="37"/>
      <c r="N104" s="37"/>
      <c r="O104" s="41" t="str">
        <f t="shared" si="50"/>
        <v/>
      </c>
      <c r="P104" s="51" t="str">
        <f>IFERROR(IF(C104="","",IF(AND(Census!C104="E",Census!J104&gt;=18,Census!J104&lt;=65),"Yes","No")),"ERROR")</f>
        <v/>
      </c>
      <c r="Q104" s="52" t="str">
        <f>IFERROR(IF(C104="","",IF(AND(Census!C104="E",Census!J104&gt;=18,Census!J104&lt;=64),"Yes","No")),"ERROR")</f>
        <v/>
      </c>
      <c r="R104" s="53">
        <f t="shared" ca="1" si="51"/>
        <v>-1</v>
      </c>
      <c r="S104" s="54">
        <f t="shared" si="52"/>
        <v>0</v>
      </c>
      <c r="T104" s="55">
        <f t="shared" si="53"/>
        <v>0</v>
      </c>
      <c r="U104" s="55">
        <f t="shared" si="54"/>
        <v>0</v>
      </c>
      <c r="V104" s="55">
        <f t="shared" si="55"/>
        <v>0</v>
      </c>
      <c r="W104" s="55">
        <f t="shared" ca="1" si="56"/>
        <v>-1</v>
      </c>
      <c r="X104" s="56">
        <f t="shared" si="57"/>
        <v>0</v>
      </c>
      <c r="Y104" s="10"/>
      <c r="Z104" s="64" t="s">
        <v>254</v>
      </c>
      <c r="AA104" s="10"/>
      <c r="AB104">
        <f t="shared" si="58"/>
        <v>0</v>
      </c>
      <c r="AC104">
        <f t="shared" si="59"/>
        <v>0</v>
      </c>
      <c r="AD104">
        <f t="shared" si="60"/>
        <v>0</v>
      </c>
      <c r="AE104">
        <f t="shared" si="61"/>
        <v>0</v>
      </c>
      <c r="AF104">
        <f t="shared" ca="1" si="62"/>
        <v>-1</v>
      </c>
      <c r="AG104">
        <f t="shared" si="63"/>
        <v>0</v>
      </c>
      <c r="AH104">
        <f t="shared" ca="1" si="64"/>
        <v>0</v>
      </c>
    </row>
    <row r="105" spans="1:34" s="12" customFormat="1" x14ac:dyDescent="0.25">
      <c r="A105" s="42">
        <v>104</v>
      </c>
      <c r="B105" s="43"/>
      <c r="C105" s="44"/>
      <c r="D105" s="45"/>
      <c r="E105" s="45"/>
      <c r="F105" s="39"/>
      <c r="G105" s="3"/>
      <c r="H105" s="3"/>
      <c r="I105" s="44"/>
      <c r="J105" s="42" t="str">
        <f t="shared" si="49"/>
        <v/>
      </c>
      <c r="K105" s="42" t="str">
        <f>IF(I105="","",IF($AM$3=1,IFERROR(IF(J105=FALSE,"",VLOOKUP(J105,$AJ$1:$AK$18,2,1)),""),IFERROR(IF(J105 = "FALSE","",VLOOKUP(J105,#REF!,2,TRUE)),"")))</f>
        <v/>
      </c>
      <c r="L105" s="42"/>
      <c r="M105" s="42"/>
      <c r="N105" s="42"/>
      <c r="O105" s="46" t="str">
        <f t="shared" si="50"/>
        <v/>
      </c>
      <c r="P105" s="57" t="str">
        <f>IFERROR(IF(C105="","",IF(AND(Census!C105="E",Census!J105&gt;=18,Census!J105&lt;=65),"Yes","No")),"ERROR")</f>
        <v/>
      </c>
      <c r="Q105" s="58" t="str">
        <f>IFERROR(IF(C105="","",IF(AND(Census!C105="E",Census!J105&gt;=18,Census!J105&lt;=64),"Yes","No")),"ERROR")</f>
        <v/>
      </c>
      <c r="R105" s="59">
        <f t="shared" ca="1" si="51"/>
        <v>-1</v>
      </c>
      <c r="S105" s="60">
        <f t="shared" si="52"/>
        <v>0</v>
      </c>
      <c r="T105" s="61">
        <f t="shared" si="53"/>
        <v>0</v>
      </c>
      <c r="U105" s="61">
        <f t="shared" si="54"/>
        <v>0</v>
      </c>
      <c r="V105" s="61">
        <f t="shared" si="55"/>
        <v>0</v>
      </c>
      <c r="W105" s="61">
        <f t="shared" ca="1" si="56"/>
        <v>-1</v>
      </c>
      <c r="X105" s="62">
        <f t="shared" si="57"/>
        <v>0</v>
      </c>
      <c r="Y105" s="10"/>
      <c r="Z105" s="64" t="s">
        <v>110</v>
      </c>
      <c r="AA105" s="10"/>
      <c r="AB105">
        <f t="shared" si="58"/>
        <v>0</v>
      </c>
      <c r="AC105">
        <f t="shared" si="59"/>
        <v>0</v>
      </c>
      <c r="AD105">
        <f t="shared" si="60"/>
        <v>0</v>
      </c>
      <c r="AE105">
        <f t="shared" si="61"/>
        <v>0</v>
      </c>
      <c r="AF105">
        <f t="shared" ca="1" si="62"/>
        <v>-1</v>
      </c>
      <c r="AG105">
        <f t="shared" si="63"/>
        <v>0</v>
      </c>
      <c r="AH105">
        <f t="shared" ca="1" si="64"/>
        <v>0</v>
      </c>
    </row>
    <row r="106" spans="1:34" s="12" customFormat="1" x14ac:dyDescent="0.25">
      <c r="A106" s="37">
        <v>105</v>
      </c>
      <c r="B106" s="38"/>
      <c r="C106" s="39"/>
      <c r="D106" s="40"/>
      <c r="E106" s="40"/>
      <c r="F106" s="39"/>
      <c r="G106" s="2"/>
      <c r="H106" s="2"/>
      <c r="I106" s="39"/>
      <c r="J106" s="50" t="str">
        <f t="shared" si="49"/>
        <v/>
      </c>
      <c r="K106" s="37" t="str">
        <f>IF(I106="","",IF($AM$3=1,IFERROR(IF(J106=FALSE,"",VLOOKUP(J106,$AJ$1:$AK$18,2,1)),""),IFERROR(IF(J106 = "FALSE","",VLOOKUP(J106,#REF!,2,TRUE)),"")))</f>
        <v/>
      </c>
      <c r="L106" s="37"/>
      <c r="M106" s="37"/>
      <c r="N106" s="37"/>
      <c r="O106" s="41" t="str">
        <f t="shared" si="50"/>
        <v/>
      </c>
      <c r="P106" s="51" t="str">
        <f>IFERROR(IF(C106="","",IF(AND(Census!C106="E",Census!J106&gt;=18,Census!J106&lt;=65),"Yes","No")),"ERROR")</f>
        <v/>
      </c>
      <c r="Q106" s="52" t="str">
        <f>IFERROR(IF(C106="","",IF(AND(Census!C106="E",Census!J106&gt;=18,Census!J106&lt;=64),"Yes","No")),"ERROR")</f>
        <v/>
      </c>
      <c r="R106" s="53">
        <f t="shared" ca="1" si="51"/>
        <v>-1</v>
      </c>
      <c r="S106" s="54">
        <f t="shared" si="52"/>
        <v>0</v>
      </c>
      <c r="T106" s="55">
        <f t="shared" si="53"/>
        <v>0</v>
      </c>
      <c r="U106" s="55">
        <f t="shared" si="54"/>
        <v>0</v>
      </c>
      <c r="V106" s="55">
        <f t="shared" si="55"/>
        <v>0</v>
      </c>
      <c r="W106" s="55">
        <f t="shared" ca="1" si="56"/>
        <v>-1</v>
      </c>
      <c r="X106" s="56">
        <f t="shared" si="57"/>
        <v>0</v>
      </c>
      <c r="Y106" s="10"/>
      <c r="Z106" s="64" t="s">
        <v>198</v>
      </c>
      <c r="AA106" s="10"/>
      <c r="AB106">
        <f t="shared" si="58"/>
        <v>0</v>
      </c>
      <c r="AC106">
        <f t="shared" si="59"/>
        <v>0</v>
      </c>
      <c r="AD106">
        <f t="shared" si="60"/>
        <v>0</v>
      </c>
      <c r="AE106">
        <f t="shared" si="61"/>
        <v>0</v>
      </c>
      <c r="AF106">
        <f t="shared" ca="1" si="62"/>
        <v>-1</v>
      </c>
      <c r="AG106">
        <f t="shared" si="63"/>
        <v>0</v>
      </c>
      <c r="AH106">
        <f t="shared" ca="1" si="64"/>
        <v>0</v>
      </c>
    </row>
    <row r="107" spans="1:34" s="12" customFormat="1" x14ac:dyDescent="0.25">
      <c r="A107" s="42">
        <v>106</v>
      </c>
      <c r="B107" s="43"/>
      <c r="C107" s="44"/>
      <c r="D107" s="45"/>
      <c r="E107" s="45"/>
      <c r="F107" s="39"/>
      <c r="G107" s="3"/>
      <c r="H107" s="3"/>
      <c r="I107" s="44"/>
      <c r="J107" s="42" t="str">
        <f t="shared" si="49"/>
        <v/>
      </c>
      <c r="K107" s="42" t="str">
        <f>IF(I107="","",IF($AM$3=1,IFERROR(IF(J107=FALSE,"",VLOOKUP(J107,$AJ$1:$AK$18,2,1)),""),IFERROR(IF(J107 = "FALSE","",VLOOKUP(J107,#REF!,2,TRUE)),"")))</f>
        <v/>
      </c>
      <c r="L107" s="42"/>
      <c r="M107" s="42"/>
      <c r="N107" s="42"/>
      <c r="O107" s="46" t="str">
        <f t="shared" si="50"/>
        <v/>
      </c>
      <c r="P107" s="57" t="str">
        <f>IFERROR(IF(C107="","",IF(AND(Census!C107="E",Census!J107&gt;=18,Census!J107&lt;=65),"Yes","No")),"ERROR")</f>
        <v/>
      </c>
      <c r="Q107" s="58" t="str">
        <f>IFERROR(IF(C107="","",IF(AND(Census!C107="E",Census!J107&gt;=18,Census!J107&lt;=64),"Yes","No")),"ERROR")</f>
        <v/>
      </c>
      <c r="R107" s="59">
        <f t="shared" ca="1" si="51"/>
        <v>-1</v>
      </c>
      <c r="S107" s="60">
        <f t="shared" si="52"/>
        <v>0</v>
      </c>
      <c r="T107" s="61">
        <f t="shared" si="53"/>
        <v>0</v>
      </c>
      <c r="U107" s="61">
        <f t="shared" si="54"/>
        <v>0</v>
      </c>
      <c r="V107" s="61">
        <f t="shared" si="55"/>
        <v>0</v>
      </c>
      <c r="W107" s="61">
        <f t="shared" ca="1" si="56"/>
        <v>-1</v>
      </c>
      <c r="X107" s="62">
        <f t="shared" si="57"/>
        <v>0</v>
      </c>
      <c r="Y107" s="10"/>
      <c r="Z107" s="64" t="s">
        <v>181</v>
      </c>
      <c r="AA107" s="10"/>
      <c r="AB107">
        <f t="shared" si="58"/>
        <v>0</v>
      </c>
      <c r="AC107">
        <f t="shared" si="59"/>
        <v>0</v>
      </c>
      <c r="AD107">
        <f t="shared" si="60"/>
        <v>0</v>
      </c>
      <c r="AE107">
        <f t="shared" si="61"/>
        <v>0</v>
      </c>
      <c r="AF107">
        <f t="shared" ca="1" si="62"/>
        <v>-1</v>
      </c>
      <c r="AG107">
        <f t="shared" si="63"/>
        <v>0</v>
      </c>
      <c r="AH107">
        <f t="shared" ca="1" si="64"/>
        <v>0</v>
      </c>
    </row>
    <row r="108" spans="1:34" s="12" customFormat="1" x14ac:dyDescent="0.25">
      <c r="A108" s="37">
        <v>107</v>
      </c>
      <c r="B108" s="38"/>
      <c r="C108" s="39"/>
      <c r="D108" s="40"/>
      <c r="E108" s="40"/>
      <c r="F108" s="39"/>
      <c r="G108" s="2"/>
      <c r="H108" s="2"/>
      <c r="I108" s="39"/>
      <c r="J108" s="50" t="str">
        <f t="shared" si="49"/>
        <v/>
      </c>
      <c r="K108" s="37" t="str">
        <f>IF(I108="","",IF($AM$3=1,IFERROR(IF(J108=FALSE,"",VLOOKUP(J108,$AJ$1:$AK$18,2,1)),""),IFERROR(IF(J108 = "FALSE","",VLOOKUP(J108,#REF!,2,TRUE)),"")))</f>
        <v/>
      </c>
      <c r="L108" s="37"/>
      <c r="M108" s="37"/>
      <c r="N108" s="37"/>
      <c r="O108" s="41" t="str">
        <f t="shared" si="50"/>
        <v/>
      </c>
      <c r="P108" s="51" t="str">
        <f>IFERROR(IF(C108="","",IF(AND(Census!C108="E",Census!J108&gt;=18,Census!J108&lt;=65),"Yes","No")),"ERROR")</f>
        <v/>
      </c>
      <c r="Q108" s="52" t="str">
        <f>IFERROR(IF(C108="","",IF(AND(Census!C108="E",Census!J108&gt;=18,Census!J108&lt;=64),"Yes","No")),"ERROR")</f>
        <v/>
      </c>
      <c r="R108" s="53">
        <f t="shared" ca="1" si="51"/>
        <v>-1</v>
      </c>
      <c r="S108" s="54">
        <f t="shared" si="52"/>
        <v>0</v>
      </c>
      <c r="T108" s="55">
        <f t="shared" si="53"/>
        <v>0</v>
      </c>
      <c r="U108" s="55">
        <f t="shared" si="54"/>
        <v>0</v>
      </c>
      <c r="V108" s="55">
        <f t="shared" si="55"/>
        <v>0</v>
      </c>
      <c r="W108" s="55">
        <f t="shared" ca="1" si="56"/>
        <v>-1</v>
      </c>
      <c r="X108" s="56">
        <f t="shared" si="57"/>
        <v>0</v>
      </c>
      <c r="Y108" s="10"/>
      <c r="Z108" s="64" t="s">
        <v>255</v>
      </c>
      <c r="AA108" s="10"/>
      <c r="AB108">
        <f t="shared" si="58"/>
        <v>0</v>
      </c>
      <c r="AC108">
        <f t="shared" si="59"/>
        <v>0</v>
      </c>
      <c r="AD108">
        <f t="shared" si="60"/>
        <v>0</v>
      </c>
      <c r="AE108">
        <f t="shared" si="61"/>
        <v>0</v>
      </c>
      <c r="AF108">
        <f t="shared" ca="1" si="62"/>
        <v>-1</v>
      </c>
      <c r="AG108">
        <f t="shared" si="63"/>
        <v>0</v>
      </c>
      <c r="AH108">
        <f t="shared" ca="1" si="64"/>
        <v>0</v>
      </c>
    </row>
    <row r="109" spans="1:34" s="12" customFormat="1" x14ac:dyDescent="0.25">
      <c r="A109" s="42">
        <v>108</v>
      </c>
      <c r="B109" s="43"/>
      <c r="C109" s="44"/>
      <c r="D109" s="45"/>
      <c r="E109" s="45"/>
      <c r="F109" s="39"/>
      <c r="G109" s="3"/>
      <c r="H109" s="3"/>
      <c r="I109" s="44"/>
      <c r="J109" s="42" t="str">
        <f t="shared" si="49"/>
        <v/>
      </c>
      <c r="K109" s="42" t="str">
        <f>IF(I109="","",IF($AM$3=1,IFERROR(IF(J109=FALSE,"",VLOOKUP(J109,$AJ$1:$AK$18,2,1)),""),IFERROR(IF(J109 = "FALSE","",VLOOKUP(J109,#REF!,2,TRUE)),"")))</f>
        <v/>
      </c>
      <c r="L109" s="42"/>
      <c r="M109" s="42"/>
      <c r="N109" s="42"/>
      <c r="O109" s="46" t="str">
        <f t="shared" si="50"/>
        <v/>
      </c>
      <c r="P109" s="57" t="str">
        <f>IFERROR(IF(C109="","",IF(AND(Census!C109="E",Census!J109&gt;=18,Census!J109&lt;=65),"Yes","No")),"ERROR")</f>
        <v/>
      </c>
      <c r="Q109" s="58" t="str">
        <f>IFERROR(IF(C109="","",IF(AND(Census!C109="E",Census!J109&gt;=18,Census!J109&lt;=64),"Yes","No")),"ERROR")</f>
        <v/>
      </c>
      <c r="R109" s="59">
        <f t="shared" ca="1" si="51"/>
        <v>-1</v>
      </c>
      <c r="S109" s="60">
        <f t="shared" si="52"/>
        <v>0</v>
      </c>
      <c r="T109" s="61">
        <f t="shared" si="53"/>
        <v>0</v>
      </c>
      <c r="U109" s="61">
        <f t="shared" si="54"/>
        <v>0</v>
      </c>
      <c r="V109" s="61">
        <f t="shared" si="55"/>
        <v>0</v>
      </c>
      <c r="W109" s="61">
        <f t="shared" ca="1" si="56"/>
        <v>-1</v>
      </c>
      <c r="X109" s="62">
        <f t="shared" si="57"/>
        <v>0</v>
      </c>
      <c r="Y109" s="10"/>
      <c r="Z109" s="64" t="s">
        <v>256</v>
      </c>
      <c r="AA109" s="10"/>
      <c r="AB109">
        <f t="shared" si="58"/>
        <v>0</v>
      </c>
      <c r="AC109">
        <f t="shared" si="59"/>
        <v>0</v>
      </c>
      <c r="AD109">
        <f t="shared" si="60"/>
        <v>0</v>
      </c>
      <c r="AE109">
        <f t="shared" si="61"/>
        <v>0</v>
      </c>
      <c r="AF109">
        <f t="shared" ca="1" si="62"/>
        <v>-1</v>
      </c>
      <c r="AG109">
        <f t="shared" si="63"/>
        <v>0</v>
      </c>
      <c r="AH109">
        <f t="shared" ca="1" si="64"/>
        <v>0</v>
      </c>
    </row>
    <row r="110" spans="1:34" s="12" customFormat="1" x14ac:dyDescent="0.25">
      <c r="A110" s="37">
        <v>109</v>
      </c>
      <c r="B110" s="38"/>
      <c r="C110" s="39"/>
      <c r="D110" s="40"/>
      <c r="E110" s="40"/>
      <c r="F110" s="39"/>
      <c r="G110" s="2"/>
      <c r="H110" s="2"/>
      <c r="I110" s="39"/>
      <c r="J110" s="50" t="str">
        <f t="shared" si="49"/>
        <v/>
      </c>
      <c r="K110" s="37" t="str">
        <f>IF(I110="","",IF($AM$3=1,IFERROR(IF(J110=FALSE,"",VLOOKUP(J110,$AJ$1:$AK$18,2,1)),""),IFERROR(IF(J110 = "FALSE","",VLOOKUP(J110,#REF!,2,TRUE)),"")))</f>
        <v/>
      </c>
      <c r="L110" s="37"/>
      <c r="M110" s="37"/>
      <c r="N110" s="37"/>
      <c r="O110" s="41" t="str">
        <f t="shared" si="50"/>
        <v/>
      </c>
      <c r="P110" s="51" t="str">
        <f>IFERROR(IF(C110="","",IF(AND(Census!C110="E",Census!J110&gt;=18,Census!J110&lt;=65),"Yes","No")),"ERROR")</f>
        <v/>
      </c>
      <c r="Q110" s="52" t="str">
        <f>IFERROR(IF(C110="","",IF(AND(Census!C110="E",Census!J110&gt;=18,Census!J110&lt;=64),"Yes","No")),"ERROR")</f>
        <v/>
      </c>
      <c r="R110" s="53">
        <f t="shared" ca="1" si="51"/>
        <v>-1</v>
      </c>
      <c r="S110" s="54">
        <f t="shared" si="52"/>
        <v>0</v>
      </c>
      <c r="T110" s="55">
        <f t="shared" si="53"/>
        <v>0</v>
      </c>
      <c r="U110" s="55">
        <f t="shared" si="54"/>
        <v>0</v>
      </c>
      <c r="V110" s="55">
        <f t="shared" si="55"/>
        <v>0</v>
      </c>
      <c r="W110" s="55">
        <f t="shared" ca="1" si="56"/>
        <v>-1</v>
      </c>
      <c r="X110" s="56">
        <f t="shared" si="57"/>
        <v>0</v>
      </c>
      <c r="Y110" s="10"/>
      <c r="Z110" s="64" t="s">
        <v>257</v>
      </c>
      <c r="AA110" s="10"/>
      <c r="AB110">
        <f t="shared" si="58"/>
        <v>0</v>
      </c>
      <c r="AC110">
        <f t="shared" si="59"/>
        <v>0</v>
      </c>
      <c r="AD110">
        <f t="shared" si="60"/>
        <v>0</v>
      </c>
      <c r="AE110">
        <f t="shared" si="61"/>
        <v>0</v>
      </c>
      <c r="AF110">
        <f t="shared" ca="1" si="62"/>
        <v>-1</v>
      </c>
      <c r="AG110">
        <f t="shared" si="63"/>
        <v>0</v>
      </c>
      <c r="AH110">
        <f t="shared" ca="1" si="64"/>
        <v>0</v>
      </c>
    </row>
    <row r="111" spans="1:34" s="12" customFormat="1" x14ac:dyDescent="0.25">
      <c r="A111" s="42">
        <v>110</v>
      </c>
      <c r="B111" s="43"/>
      <c r="C111" s="44"/>
      <c r="D111" s="45"/>
      <c r="E111" s="45"/>
      <c r="F111" s="39"/>
      <c r="G111" s="3"/>
      <c r="H111" s="3"/>
      <c r="I111" s="44"/>
      <c r="J111" s="42" t="str">
        <f t="shared" si="49"/>
        <v/>
      </c>
      <c r="K111" s="42" t="str">
        <f>IF(I111="","",IF($AM$3=1,IFERROR(IF(J111=FALSE,"",VLOOKUP(J111,$AJ$1:$AK$18,2,1)),""),IFERROR(IF(J111 = "FALSE","",VLOOKUP(J111,#REF!,2,TRUE)),"")))</f>
        <v/>
      </c>
      <c r="L111" s="42"/>
      <c r="M111" s="42"/>
      <c r="N111" s="42"/>
      <c r="O111" s="46" t="str">
        <f t="shared" si="50"/>
        <v/>
      </c>
      <c r="P111" s="57" t="str">
        <f>IFERROR(IF(C111="","",IF(AND(Census!C111="E",Census!J111&gt;=18,Census!J111&lt;=65),"Yes","No")),"ERROR")</f>
        <v/>
      </c>
      <c r="Q111" s="58" t="str">
        <f>IFERROR(IF(C111="","",IF(AND(Census!C111="E",Census!J111&gt;=18,Census!J111&lt;=64),"Yes","No")),"ERROR")</f>
        <v/>
      </c>
      <c r="R111" s="59">
        <f t="shared" ca="1" si="51"/>
        <v>-1</v>
      </c>
      <c r="S111" s="60">
        <f t="shared" si="52"/>
        <v>0</v>
      </c>
      <c r="T111" s="61">
        <f t="shared" si="53"/>
        <v>0</v>
      </c>
      <c r="U111" s="61">
        <f t="shared" si="54"/>
        <v>0</v>
      </c>
      <c r="V111" s="61">
        <f t="shared" si="55"/>
        <v>0</v>
      </c>
      <c r="W111" s="61">
        <f t="shared" ca="1" si="56"/>
        <v>-1</v>
      </c>
      <c r="X111" s="62">
        <f t="shared" si="57"/>
        <v>0</v>
      </c>
      <c r="Y111" s="10"/>
      <c r="Z111" s="64" t="s">
        <v>129</v>
      </c>
      <c r="AA111" s="10"/>
      <c r="AB111">
        <f t="shared" si="58"/>
        <v>0</v>
      </c>
      <c r="AC111">
        <f t="shared" si="59"/>
        <v>0</v>
      </c>
      <c r="AD111">
        <f t="shared" si="60"/>
        <v>0</v>
      </c>
      <c r="AE111">
        <f t="shared" si="61"/>
        <v>0</v>
      </c>
      <c r="AF111">
        <f t="shared" ca="1" si="62"/>
        <v>-1</v>
      </c>
      <c r="AG111">
        <f t="shared" si="63"/>
        <v>0</v>
      </c>
      <c r="AH111">
        <f t="shared" ca="1" si="64"/>
        <v>0</v>
      </c>
    </row>
    <row r="112" spans="1:34" s="12" customFormat="1" x14ac:dyDescent="0.25">
      <c r="A112" s="37">
        <v>111</v>
      </c>
      <c r="B112" s="38"/>
      <c r="C112" s="39"/>
      <c r="D112" s="40"/>
      <c r="E112" s="40"/>
      <c r="F112" s="39"/>
      <c r="G112" s="2"/>
      <c r="H112" s="2"/>
      <c r="I112" s="39"/>
      <c r="J112" s="50" t="str">
        <f t="shared" si="49"/>
        <v/>
      </c>
      <c r="K112" s="37" t="str">
        <f>IF(I112="","",IF($AM$3=1,IFERROR(IF(J112=FALSE,"",VLOOKUP(J112,$AJ$1:$AK$18,2,1)),""),IFERROR(IF(J112 = "FALSE","",VLOOKUP(J112,#REF!,2,TRUE)),"")))</f>
        <v/>
      </c>
      <c r="L112" s="37"/>
      <c r="M112" s="37"/>
      <c r="N112" s="37"/>
      <c r="O112" s="41" t="str">
        <f t="shared" si="50"/>
        <v/>
      </c>
      <c r="P112" s="51" t="str">
        <f>IFERROR(IF(C112="","",IF(AND(Census!C112="E",Census!J112&gt;=18,Census!J112&lt;=65),"Yes","No")),"ERROR")</f>
        <v/>
      </c>
      <c r="Q112" s="52" t="str">
        <f>IFERROR(IF(C112="","",IF(AND(Census!C112="E",Census!J112&gt;=18,Census!J112&lt;=64),"Yes","No")),"ERROR")</f>
        <v/>
      </c>
      <c r="R112" s="53">
        <f t="shared" ca="1" si="51"/>
        <v>-1</v>
      </c>
      <c r="S112" s="54">
        <f t="shared" si="52"/>
        <v>0</v>
      </c>
      <c r="T112" s="55">
        <f t="shared" si="53"/>
        <v>0</v>
      </c>
      <c r="U112" s="55">
        <f t="shared" si="54"/>
        <v>0</v>
      </c>
      <c r="V112" s="55">
        <f t="shared" si="55"/>
        <v>0</v>
      </c>
      <c r="W112" s="55">
        <f t="shared" ca="1" si="56"/>
        <v>-1</v>
      </c>
      <c r="X112" s="56">
        <f t="shared" si="57"/>
        <v>0</v>
      </c>
      <c r="Y112" s="10"/>
      <c r="Z112" s="64" t="s">
        <v>213</v>
      </c>
      <c r="AA112" s="10"/>
      <c r="AB112">
        <f t="shared" si="58"/>
        <v>0</v>
      </c>
      <c r="AC112">
        <f t="shared" si="59"/>
        <v>0</v>
      </c>
      <c r="AD112">
        <f t="shared" si="60"/>
        <v>0</v>
      </c>
      <c r="AE112">
        <f t="shared" si="61"/>
        <v>0</v>
      </c>
      <c r="AF112">
        <f t="shared" ca="1" si="62"/>
        <v>-1</v>
      </c>
      <c r="AG112">
        <f t="shared" si="63"/>
        <v>0</v>
      </c>
      <c r="AH112">
        <f t="shared" ca="1" si="64"/>
        <v>0</v>
      </c>
    </row>
    <row r="113" spans="1:34" s="12" customFormat="1" x14ac:dyDescent="0.25">
      <c r="A113" s="42">
        <v>112</v>
      </c>
      <c r="B113" s="43"/>
      <c r="C113" s="44"/>
      <c r="D113" s="45"/>
      <c r="E113" s="45"/>
      <c r="F113" s="39"/>
      <c r="G113" s="3"/>
      <c r="H113" s="3"/>
      <c r="I113" s="44"/>
      <c r="J113" s="42" t="str">
        <f t="shared" si="49"/>
        <v/>
      </c>
      <c r="K113" s="42" t="str">
        <f>IF(I113="","",IF($AM$3=1,IFERROR(IF(J113=FALSE,"",VLOOKUP(J113,$AJ$1:$AK$18,2,1)),""),IFERROR(IF(J113 = "FALSE","",VLOOKUP(J113,#REF!,2,TRUE)),"")))</f>
        <v/>
      </c>
      <c r="L113" s="42"/>
      <c r="M113" s="42"/>
      <c r="N113" s="42"/>
      <c r="O113" s="46" t="str">
        <f t="shared" si="50"/>
        <v/>
      </c>
      <c r="P113" s="57" t="str">
        <f>IFERROR(IF(C113="","",IF(AND(Census!C113="E",Census!J113&gt;=18,Census!J113&lt;=65),"Yes","No")),"ERROR")</f>
        <v/>
      </c>
      <c r="Q113" s="58" t="str">
        <f>IFERROR(IF(C113="","",IF(AND(Census!C113="E",Census!J113&gt;=18,Census!J113&lt;=64),"Yes","No")),"ERROR")</f>
        <v/>
      </c>
      <c r="R113" s="59">
        <f t="shared" ca="1" si="51"/>
        <v>-1</v>
      </c>
      <c r="S113" s="60">
        <f t="shared" si="52"/>
        <v>0</v>
      </c>
      <c r="T113" s="61">
        <f t="shared" si="53"/>
        <v>0</v>
      </c>
      <c r="U113" s="61">
        <f t="shared" si="54"/>
        <v>0</v>
      </c>
      <c r="V113" s="61">
        <f t="shared" si="55"/>
        <v>0</v>
      </c>
      <c r="W113" s="61">
        <f t="shared" ca="1" si="56"/>
        <v>-1</v>
      </c>
      <c r="X113" s="62">
        <f t="shared" si="57"/>
        <v>0</v>
      </c>
      <c r="Y113" s="10"/>
      <c r="Z113" s="64" t="s">
        <v>258</v>
      </c>
      <c r="AA113" s="10"/>
      <c r="AB113">
        <f t="shared" si="58"/>
        <v>0</v>
      </c>
      <c r="AC113">
        <f t="shared" si="59"/>
        <v>0</v>
      </c>
      <c r="AD113">
        <f t="shared" si="60"/>
        <v>0</v>
      </c>
      <c r="AE113">
        <f t="shared" si="61"/>
        <v>0</v>
      </c>
      <c r="AF113">
        <f t="shared" ca="1" si="62"/>
        <v>-1</v>
      </c>
      <c r="AG113">
        <f t="shared" si="63"/>
        <v>0</v>
      </c>
      <c r="AH113">
        <f t="shared" ca="1" si="64"/>
        <v>0</v>
      </c>
    </row>
    <row r="114" spans="1:34" s="12" customFormat="1" x14ac:dyDescent="0.25">
      <c r="A114" s="37">
        <v>113</v>
      </c>
      <c r="B114" s="38"/>
      <c r="C114" s="39"/>
      <c r="D114" s="40"/>
      <c r="E114" s="40"/>
      <c r="F114" s="39"/>
      <c r="G114" s="2"/>
      <c r="H114" s="2"/>
      <c r="I114" s="39"/>
      <c r="J114" s="50" t="str">
        <f t="shared" si="49"/>
        <v/>
      </c>
      <c r="K114" s="37" t="str">
        <f>IF(I114="","",IF($AM$3=1,IFERROR(IF(J114=FALSE,"",VLOOKUP(J114,$AJ$1:$AK$18,2,1)),""),IFERROR(IF(J114 = "FALSE","",VLOOKUP(J114,#REF!,2,TRUE)),"")))</f>
        <v/>
      </c>
      <c r="L114" s="37"/>
      <c r="M114" s="37"/>
      <c r="N114" s="37"/>
      <c r="O114" s="41" t="str">
        <f t="shared" si="50"/>
        <v/>
      </c>
      <c r="P114" s="51" t="str">
        <f>IFERROR(IF(C114="","",IF(AND(Census!C114="E",Census!J114&gt;=18,Census!J114&lt;=65),"Yes","No")),"ERROR")</f>
        <v/>
      </c>
      <c r="Q114" s="52" t="str">
        <f>IFERROR(IF(C114="","",IF(AND(Census!C114="E",Census!J114&gt;=18,Census!J114&lt;=64),"Yes","No")),"ERROR")</f>
        <v/>
      </c>
      <c r="R114" s="53">
        <f t="shared" ca="1" si="51"/>
        <v>-1</v>
      </c>
      <c r="S114" s="54">
        <f t="shared" si="52"/>
        <v>0</v>
      </c>
      <c r="T114" s="55">
        <f t="shared" si="53"/>
        <v>0</v>
      </c>
      <c r="U114" s="55">
        <f t="shared" si="54"/>
        <v>0</v>
      </c>
      <c r="V114" s="55">
        <f t="shared" si="55"/>
        <v>0</v>
      </c>
      <c r="W114" s="55">
        <f t="shared" ca="1" si="56"/>
        <v>-1</v>
      </c>
      <c r="X114" s="56">
        <f t="shared" si="57"/>
        <v>0</v>
      </c>
      <c r="Y114" s="10"/>
      <c r="Z114" s="64" t="s">
        <v>132</v>
      </c>
      <c r="AA114" s="10"/>
      <c r="AB114">
        <f t="shared" si="58"/>
        <v>0</v>
      </c>
      <c r="AC114">
        <f t="shared" si="59"/>
        <v>0</v>
      </c>
      <c r="AD114">
        <f t="shared" si="60"/>
        <v>0</v>
      </c>
      <c r="AE114">
        <f t="shared" si="61"/>
        <v>0</v>
      </c>
      <c r="AF114">
        <f t="shared" ca="1" si="62"/>
        <v>-1</v>
      </c>
      <c r="AG114">
        <f t="shared" si="63"/>
        <v>0</v>
      </c>
      <c r="AH114">
        <f t="shared" ca="1" si="64"/>
        <v>0</v>
      </c>
    </row>
    <row r="115" spans="1:34" s="12" customFormat="1" x14ac:dyDescent="0.25">
      <c r="A115" s="42">
        <v>114</v>
      </c>
      <c r="B115" s="43"/>
      <c r="C115" s="44"/>
      <c r="D115" s="45"/>
      <c r="E115" s="45"/>
      <c r="F115" s="39"/>
      <c r="G115" s="3"/>
      <c r="H115" s="3"/>
      <c r="I115" s="44"/>
      <c r="J115" s="42" t="str">
        <f t="shared" si="49"/>
        <v/>
      </c>
      <c r="K115" s="42" t="str">
        <f>IF(I115="","",IF($AM$3=1,IFERROR(IF(J115=FALSE,"",VLOOKUP(J115,$AJ$1:$AK$18,2,1)),""),IFERROR(IF(J115 = "FALSE","",VLOOKUP(J115,#REF!,2,TRUE)),"")))</f>
        <v/>
      </c>
      <c r="L115" s="42"/>
      <c r="M115" s="42"/>
      <c r="N115" s="42"/>
      <c r="O115" s="46" t="str">
        <f t="shared" si="50"/>
        <v/>
      </c>
      <c r="P115" s="57" t="str">
        <f>IFERROR(IF(C115="","",IF(AND(Census!C115="E",Census!J115&gt;=18,Census!J115&lt;=65),"Yes","No")),"ERROR")</f>
        <v/>
      </c>
      <c r="Q115" s="58" t="str">
        <f>IFERROR(IF(C115="","",IF(AND(Census!C115="E",Census!J115&gt;=18,Census!J115&lt;=64),"Yes","No")),"ERROR")</f>
        <v/>
      </c>
      <c r="R115" s="59">
        <f t="shared" ca="1" si="51"/>
        <v>-1</v>
      </c>
      <c r="S115" s="60">
        <f t="shared" si="52"/>
        <v>0</v>
      </c>
      <c r="T115" s="61">
        <f t="shared" si="53"/>
        <v>0</v>
      </c>
      <c r="U115" s="61">
        <f t="shared" si="54"/>
        <v>0</v>
      </c>
      <c r="V115" s="61">
        <f t="shared" si="55"/>
        <v>0</v>
      </c>
      <c r="W115" s="61">
        <f t="shared" ca="1" si="56"/>
        <v>-1</v>
      </c>
      <c r="X115" s="62">
        <f t="shared" si="57"/>
        <v>0</v>
      </c>
      <c r="Y115" s="10"/>
      <c r="Z115" s="64" t="s">
        <v>259</v>
      </c>
      <c r="AA115" s="10"/>
      <c r="AB115">
        <f t="shared" si="58"/>
        <v>0</v>
      </c>
      <c r="AC115">
        <f t="shared" si="59"/>
        <v>0</v>
      </c>
      <c r="AD115">
        <f t="shared" si="60"/>
        <v>0</v>
      </c>
      <c r="AE115">
        <f t="shared" si="61"/>
        <v>0</v>
      </c>
      <c r="AF115">
        <f t="shared" ca="1" si="62"/>
        <v>-1</v>
      </c>
      <c r="AG115">
        <f t="shared" si="63"/>
        <v>0</v>
      </c>
      <c r="AH115">
        <f t="shared" ca="1" si="64"/>
        <v>0</v>
      </c>
    </row>
    <row r="116" spans="1:34" s="12" customFormat="1" x14ac:dyDescent="0.25">
      <c r="A116" s="37">
        <v>115</v>
      </c>
      <c r="B116" s="38"/>
      <c r="C116" s="39"/>
      <c r="D116" s="40"/>
      <c r="E116" s="40"/>
      <c r="F116" s="39"/>
      <c r="G116" s="2"/>
      <c r="H116" s="2"/>
      <c r="I116" s="39"/>
      <c r="J116" s="50" t="str">
        <f t="shared" si="49"/>
        <v/>
      </c>
      <c r="K116" s="37" t="str">
        <f>IF(I116="","",IF($AM$3=1,IFERROR(IF(J116=FALSE,"",VLOOKUP(J116,$AJ$1:$AK$18,2,1)),""),IFERROR(IF(J116 = "FALSE","",VLOOKUP(J116,#REF!,2,TRUE)),"")))</f>
        <v/>
      </c>
      <c r="L116" s="37"/>
      <c r="M116" s="37"/>
      <c r="N116" s="37"/>
      <c r="O116" s="41" t="str">
        <f t="shared" si="50"/>
        <v/>
      </c>
      <c r="P116" s="51" t="str">
        <f>IFERROR(IF(C116="","",IF(AND(Census!C116="E",Census!J116&gt;=18,Census!J116&lt;=65),"Yes","No")),"ERROR")</f>
        <v/>
      </c>
      <c r="Q116" s="52" t="str">
        <f>IFERROR(IF(C116="","",IF(AND(Census!C116="E",Census!J116&gt;=18,Census!J116&lt;=64),"Yes","No")),"ERROR")</f>
        <v/>
      </c>
      <c r="R116" s="53">
        <f t="shared" ca="1" si="51"/>
        <v>-1</v>
      </c>
      <c r="S116" s="54">
        <f t="shared" si="52"/>
        <v>0</v>
      </c>
      <c r="T116" s="55">
        <f t="shared" si="53"/>
        <v>0</v>
      </c>
      <c r="U116" s="55">
        <f t="shared" si="54"/>
        <v>0</v>
      </c>
      <c r="V116" s="55">
        <f t="shared" si="55"/>
        <v>0</v>
      </c>
      <c r="W116" s="55">
        <f t="shared" ca="1" si="56"/>
        <v>-1</v>
      </c>
      <c r="X116" s="56">
        <f t="shared" si="57"/>
        <v>0</v>
      </c>
      <c r="Y116" s="10"/>
      <c r="Z116" s="64" t="s">
        <v>182</v>
      </c>
      <c r="AA116" s="10"/>
      <c r="AB116">
        <f t="shared" si="58"/>
        <v>0</v>
      </c>
      <c r="AC116">
        <f t="shared" si="59"/>
        <v>0</v>
      </c>
      <c r="AD116">
        <f t="shared" si="60"/>
        <v>0</v>
      </c>
      <c r="AE116">
        <f t="shared" si="61"/>
        <v>0</v>
      </c>
      <c r="AF116">
        <f t="shared" ca="1" si="62"/>
        <v>-1</v>
      </c>
      <c r="AG116">
        <f t="shared" si="63"/>
        <v>0</v>
      </c>
      <c r="AH116">
        <f t="shared" ca="1" si="64"/>
        <v>0</v>
      </c>
    </row>
    <row r="117" spans="1:34" s="12" customFormat="1" x14ac:dyDescent="0.25">
      <c r="A117" s="42">
        <v>116</v>
      </c>
      <c r="B117" s="43"/>
      <c r="C117" s="44"/>
      <c r="D117" s="45"/>
      <c r="E117" s="45"/>
      <c r="F117" s="39"/>
      <c r="G117" s="3"/>
      <c r="H117" s="3"/>
      <c r="I117" s="44"/>
      <c r="J117" s="42" t="str">
        <f t="shared" si="49"/>
        <v/>
      </c>
      <c r="K117" s="42" t="str">
        <f>IF(I117="","",IF($AM$3=1,IFERROR(IF(J117=FALSE,"",VLOOKUP(J117,$AJ$1:$AK$18,2,1)),""),IFERROR(IF(J117 = "FALSE","",VLOOKUP(J117,#REF!,2,TRUE)),"")))</f>
        <v/>
      </c>
      <c r="L117" s="42"/>
      <c r="M117" s="42"/>
      <c r="N117" s="42"/>
      <c r="O117" s="46" t="str">
        <f t="shared" si="50"/>
        <v/>
      </c>
      <c r="P117" s="57" t="str">
        <f>IFERROR(IF(C117="","",IF(AND(Census!C117="E",Census!J117&gt;=18,Census!J117&lt;=65),"Yes","No")),"ERROR")</f>
        <v/>
      </c>
      <c r="Q117" s="58" t="str">
        <f>IFERROR(IF(C117="","",IF(AND(Census!C117="E",Census!J117&gt;=18,Census!J117&lt;=64),"Yes","No")),"ERROR")</f>
        <v/>
      </c>
      <c r="R117" s="59">
        <f t="shared" ca="1" si="51"/>
        <v>-1</v>
      </c>
      <c r="S117" s="60">
        <f t="shared" si="52"/>
        <v>0</v>
      </c>
      <c r="T117" s="61">
        <f t="shared" si="53"/>
        <v>0</v>
      </c>
      <c r="U117" s="61">
        <f t="shared" si="54"/>
        <v>0</v>
      </c>
      <c r="V117" s="61">
        <f t="shared" si="55"/>
        <v>0</v>
      </c>
      <c r="W117" s="61">
        <f t="shared" ca="1" si="56"/>
        <v>-1</v>
      </c>
      <c r="X117" s="62">
        <f t="shared" si="57"/>
        <v>0</v>
      </c>
      <c r="Y117" s="10"/>
      <c r="Z117" s="64" t="s">
        <v>260</v>
      </c>
      <c r="AA117" s="10"/>
      <c r="AB117">
        <f t="shared" si="58"/>
        <v>0</v>
      </c>
      <c r="AC117">
        <f t="shared" si="59"/>
        <v>0</v>
      </c>
      <c r="AD117">
        <f t="shared" si="60"/>
        <v>0</v>
      </c>
      <c r="AE117">
        <f t="shared" si="61"/>
        <v>0</v>
      </c>
      <c r="AF117">
        <f t="shared" ca="1" si="62"/>
        <v>-1</v>
      </c>
      <c r="AG117">
        <f t="shared" si="63"/>
        <v>0</v>
      </c>
      <c r="AH117">
        <f t="shared" ca="1" si="64"/>
        <v>0</v>
      </c>
    </row>
    <row r="118" spans="1:34" s="12" customFormat="1" x14ac:dyDescent="0.25">
      <c r="A118" s="37">
        <v>117</v>
      </c>
      <c r="B118" s="38"/>
      <c r="C118" s="39"/>
      <c r="D118" s="40"/>
      <c r="E118" s="40"/>
      <c r="F118" s="39"/>
      <c r="G118" s="2"/>
      <c r="H118" s="2"/>
      <c r="I118" s="39"/>
      <c r="J118" s="50" t="str">
        <f t="shared" si="49"/>
        <v/>
      </c>
      <c r="K118" s="37" t="str">
        <f>IF(I118="","",IF($AM$3=1,IFERROR(IF(J118=FALSE,"",VLOOKUP(J118,$AJ$1:$AK$18,2,1)),""),IFERROR(IF(J118 = "FALSE","",VLOOKUP(J118,#REF!,2,TRUE)),"")))</f>
        <v/>
      </c>
      <c r="L118" s="37"/>
      <c r="M118" s="37"/>
      <c r="N118" s="37"/>
      <c r="O118" s="41" t="str">
        <f t="shared" si="50"/>
        <v/>
      </c>
      <c r="P118" s="51" t="str">
        <f>IFERROR(IF(C118="","",IF(AND(Census!C118="E",Census!J118&gt;=18,Census!J118&lt;=65),"Yes","No")),"ERROR")</f>
        <v/>
      </c>
      <c r="Q118" s="52" t="str">
        <f>IFERROR(IF(C118="","",IF(AND(Census!C118="E",Census!J118&gt;=18,Census!J118&lt;=64),"Yes","No")),"ERROR")</f>
        <v/>
      </c>
      <c r="R118" s="53">
        <f t="shared" ca="1" si="51"/>
        <v>-1</v>
      </c>
      <c r="S118" s="54">
        <f t="shared" si="52"/>
        <v>0</v>
      </c>
      <c r="T118" s="55">
        <f t="shared" si="53"/>
        <v>0</v>
      </c>
      <c r="U118" s="55">
        <f t="shared" si="54"/>
        <v>0</v>
      </c>
      <c r="V118" s="55">
        <f t="shared" si="55"/>
        <v>0</v>
      </c>
      <c r="W118" s="55">
        <f t="shared" ca="1" si="56"/>
        <v>-1</v>
      </c>
      <c r="X118" s="56">
        <f t="shared" si="57"/>
        <v>0</v>
      </c>
      <c r="Y118" s="10"/>
      <c r="Z118" s="64" t="s">
        <v>217</v>
      </c>
      <c r="AA118" s="10"/>
      <c r="AB118">
        <f t="shared" si="58"/>
        <v>0</v>
      </c>
      <c r="AC118">
        <f t="shared" si="59"/>
        <v>0</v>
      </c>
      <c r="AD118">
        <f t="shared" si="60"/>
        <v>0</v>
      </c>
      <c r="AE118">
        <f t="shared" si="61"/>
        <v>0</v>
      </c>
      <c r="AF118">
        <f t="shared" ca="1" si="62"/>
        <v>-1</v>
      </c>
      <c r="AG118">
        <f t="shared" si="63"/>
        <v>0</v>
      </c>
      <c r="AH118">
        <f t="shared" ca="1" si="64"/>
        <v>0</v>
      </c>
    </row>
    <row r="119" spans="1:34" s="12" customFormat="1" x14ac:dyDescent="0.25">
      <c r="A119" s="42">
        <v>118</v>
      </c>
      <c r="B119" s="43"/>
      <c r="C119" s="44"/>
      <c r="D119" s="45"/>
      <c r="E119" s="45"/>
      <c r="F119" s="39"/>
      <c r="G119" s="3"/>
      <c r="H119" s="3"/>
      <c r="I119" s="44"/>
      <c r="J119" s="42" t="str">
        <f t="shared" si="49"/>
        <v/>
      </c>
      <c r="K119" s="42" t="str">
        <f>IF(I119="","",IF($AM$3=1,IFERROR(IF(J119=FALSE,"",VLOOKUP(J119,$AJ$1:$AK$18,2,1)),""),IFERROR(IF(J119 = "FALSE","",VLOOKUP(J119,#REF!,2,TRUE)),"")))</f>
        <v/>
      </c>
      <c r="L119" s="42"/>
      <c r="M119" s="42"/>
      <c r="N119" s="42"/>
      <c r="O119" s="46" t="str">
        <f t="shared" si="50"/>
        <v/>
      </c>
      <c r="P119" s="57" t="str">
        <f>IFERROR(IF(C119="","",IF(AND(Census!C119="E",Census!J119&gt;=18,Census!J119&lt;=65),"Yes","No")),"ERROR")</f>
        <v/>
      </c>
      <c r="Q119" s="58" t="str">
        <f>IFERROR(IF(C119="","",IF(AND(Census!C119="E",Census!J119&gt;=18,Census!J119&lt;=64),"Yes","No")),"ERROR")</f>
        <v/>
      </c>
      <c r="R119" s="59">
        <f t="shared" ca="1" si="51"/>
        <v>-1</v>
      </c>
      <c r="S119" s="60">
        <f t="shared" si="52"/>
        <v>0</v>
      </c>
      <c r="T119" s="61">
        <f t="shared" si="53"/>
        <v>0</v>
      </c>
      <c r="U119" s="61">
        <f t="shared" si="54"/>
        <v>0</v>
      </c>
      <c r="V119" s="61">
        <f t="shared" si="55"/>
        <v>0</v>
      </c>
      <c r="W119" s="61">
        <f t="shared" ca="1" si="56"/>
        <v>-1</v>
      </c>
      <c r="X119" s="62">
        <f t="shared" si="57"/>
        <v>0</v>
      </c>
      <c r="Y119" s="10"/>
      <c r="Z119" s="64" t="s">
        <v>261</v>
      </c>
      <c r="AA119" s="10"/>
      <c r="AB119">
        <f t="shared" si="58"/>
        <v>0</v>
      </c>
      <c r="AC119">
        <f t="shared" si="59"/>
        <v>0</v>
      </c>
      <c r="AD119">
        <f t="shared" si="60"/>
        <v>0</v>
      </c>
      <c r="AE119">
        <f t="shared" si="61"/>
        <v>0</v>
      </c>
      <c r="AF119">
        <f t="shared" ca="1" si="62"/>
        <v>-1</v>
      </c>
      <c r="AG119">
        <f t="shared" si="63"/>
        <v>0</v>
      </c>
      <c r="AH119">
        <f t="shared" ca="1" si="64"/>
        <v>0</v>
      </c>
    </row>
    <row r="120" spans="1:34" s="12" customFormat="1" x14ac:dyDescent="0.25">
      <c r="A120" s="37">
        <v>119</v>
      </c>
      <c r="B120" s="38"/>
      <c r="C120" s="39"/>
      <c r="D120" s="40"/>
      <c r="E120" s="40"/>
      <c r="F120" s="39"/>
      <c r="G120" s="2"/>
      <c r="H120" s="2"/>
      <c r="I120" s="39"/>
      <c r="J120" s="50" t="str">
        <f t="shared" si="49"/>
        <v/>
      </c>
      <c r="K120" s="37" t="str">
        <f>IF(I120="","",IF($AM$3=1,IFERROR(IF(J120=FALSE,"",VLOOKUP(J120,$AJ$1:$AK$18,2,1)),""),IFERROR(IF(J120 = "FALSE","",VLOOKUP(J120,#REF!,2,TRUE)),"")))</f>
        <v/>
      </c>
      <c r="L120" s="37"/>
      <c r="M120" s="37"/>
      <c r="N120" s="37"/>
      <c r="O120" s="41" t="str">
        <f t="shared" si="50"/>
        <v/>
      </c>
      <c r="P120" s="51" t="str">
        <f>IFERROR(IF(C120="","",IF(AND(Census!C120="E",Census!J120&gt;=18,Census!J120&lt;=65),"Yes","No")),"ERROR")</f>
        <v/>
      </c>
      <c r="Q120" s="52" t="str">
        <f>IFERROR(IF(C120="","",IF(AND(Census!C120="E",Census!J120&gt;=18,Census!J120&lt;=64),"Yes","No")),"ERROR")</f>
        <v/>
      </c>
      <c r="R120" s="53">
        <f t="shared" ca="1" si="51"/>
        <v>-1</v>
      </c>
      <c r="S120" s="54">
        <f t="shared" si="52"/>
        <v>0</v>
      </c>
      <c r="T120" s="55">
        <f t="shared" si="53"/>
        <v>0</v>
      </c>
      <c r="U120" s="55">
        <f t="shared" si="54"/>
        <v>0</v>
      </c>
      <c r="V120" s="55">
        <f t="shared" si="55"/>
        <v>0</v>
      </c>
      <c r="W120" s="55">
        <f t="shared" ca="1" si="56"/>
        <v>-1</v>
      </c>
      <c r="X120" s="56">
        <f t="shared" si="57"/>
        <v>0</v>
      </c>
      <c r="Y120" s="10"/>
      <c r="Z120" s="64" t="s">
        <v>262</v>
      </c>
      <c r="AA120" s="10"/>
      <c r="AB120">
        <f t="shared" si="58"/>
        <v>0</v>
      </c>
      <c r="AC120">
        <f t="shared" si="59"/>
        <v>0</v>
      </c>
      <c r="AD120">
        <f t="shared" si="60"/>
        <v>0</v>
      </c>
      <c r="AE120">
        <f t="shared" si="61"/>
        <v>0</v>
      </c>
      <c r="AF120">
        <f t="shared" ca="1" si="62"/>
        <v>-1</v>
      </c>
      <c r="AG120">
        <f t="shared" si="63"/>
        <v>0</v>
      </c>
      <c r="AH120">
        <f t="shared" ca="1" si="64"/>
        <v>0</v>
      </c>
    </row>
    <row r="121" spans="1:34" s="12" customFormat="1" x14ac:dyDescent="0.25">
      <c r="A121" s="42">
        <v>120</v>
      </c>
      <c r="B121" s="43"/>
      <c r="C121" s="44"/>
      <c r="D121" s="45"/>
      <c r="E121" s="45"/>
      <c r="F121" s="39"/>
      <c r="G121" s="3"/>
      <c r="H121" s="3"/>
      <c r="I121" s="44"/>
      <c r="J121" s="42" t="str">
        <f t="shared" si="49"/>
        <v/>
      </c>
      <c r="K121" s="42" t="str">
        <f>IF(I121="","",IF($AM$3=1,IFERROR(IF(J121=FALSE,"",VLOOKUP(J121,$AJ$1:$AK$18,2,1)),""),IFERROR(IF(J121 = "FALSE","",VLOOKUP(J121,#REF!,2,TRUE)),"")))</f>
        <v/>
      </c>
      <c r="L121" s="42"/>
      <c r="M121" s="42"/>
      <c r="N121" s="42"/>
      <c r="O121" s="46" t="str">
        <f t="shared" si="50"/>
        <v/>
      </c>
      <c r="P121" s="57" t="str">
        <f>IFERROR(IF(C121="","",IF(AND(Census!C121="E",Census!J121&gt;=18,Census!J121&lt;=65),"Yes","No")),"ERROR")</f>
        <v/>
      </c>
      <c r="Q121" s="58" t="str">
        <f>IFERROR(IF(C121="","",IF(AND(Census!C121="E",Census!J121&gt;=18,Census!J121&lt;=64),"Yes","No")),"ERROR")</f>
        <v/>
      </c>
      <c r="R121" s="59">
        <f t="shared" ca="1" si="51"/>
        <v>-1</v>
      </c>
      <c r="S121" s="60">
        <f t="shared" si="52"/>
        <v>0</v>
      </c>
      <c r="T121" s="61">
        <f t="shared" si="53"/>
        <v>0</v>
      </c>
      <c r="U121" s="61">
        <f t="shared" si="54"/>
        <v>0</v>
      </c>
      <c r="V121" s="61">
        <f t="shared" si="55"/>
        <v>0</v>
      </c>
      <c r="W121" s="61">
        <f t="shared" ca="1" si="56"/>
        <v>-1</v>
      </c>
      <c r="X121" s="62">
        <f t="shared" si="57"/>
        <v>0</v>
      </c>
      <c r="Y121" s="10"/>
      <c r="Z121" s="64" t="s">
        <v>138</v>
      </c>
      <c r="AA121" s="10"/>
      <c r="AB121">
        <f t="shared" si="58"/>
        <v>0</v>
      </c>
      <c r="AC121">
        <f t="shared" si="59"/>
        <v>0</v>
      </c>
      <c r="AD121">
        <f t="shared" si="60"/>
        <v>0</v>
      </c>
      <c r="AE121">
        <f t="shared" si="61"/>
        <v>0</v>
      </c>
      <c r="AF121">
        <f t="shared" ca="1" si="62"/>
        <v>-1</v>
      </c>
      <c r="AG121">
        <f t="shared" si="63"/>
        <v>0</v>
      </c>
      <c r="AH121">
        <f t="shared" ca="1" si="64"/>
        <v>0</v>
      </c>
    </row>
    <row r="122" spans="1:34" s="12" customFormat="1" x14ac:dyDescent="0.25">
      <c r="A122" s="37">
        <v>121</v>
      </c>
      <c r="B122" s="38"/>
      <c r="C122" s="39"/>
      <c r="D122" s="40"/>
      <c r="E122" s="40"/>
      <c r="F122" s="39"/>
      <c r="G122" s="2"/>
      <c r="H122" s="2"/>
      <c r="I122" s="39"/>
      <c r="J122" s="50" t="str">
        <f t="shared" si="49"/>
        <v/>
      </c>
      <c r="K122" s="37" t="str">
        <f>IF(I122="","",IF($AM$3=1,IFERROR(IF(J122=FALSE,"",VLOOKUP(J122,$AJ$1:$AK$18,2,1)),""),IFERROR(IF(J122 = "FALSE","",VLOOKUP(J122,#REF!,2,TRUE)),"")))</f>
        <v/>
      </c>
      <c r="L122" s="37"/>
      <c r="M122" s="37"/>
      <c r="N122" s="37"/>
      <c r="O122" s="41" t="str">
        <f t="shared" si="50"/>
        <v/>
      </c>
      <c r="P122" s="51" t="str">
        <f>IFERROR(IF(C122="","",IF(AND(Census!C122="E",Census!J122&gt;=18,Census!J122&lt;=65),"Yes","No")),"ERROR")</f>
        <v/>
      </c>
      <c r="Q122" s="52" t="str">
        <f>IFERROR(IF(C122="","",IF(AND(Census!C122="E",Census!J122&gt;=18,Census!J122&lt;=64),"Yes","No")),"ERROR")</f>
        <v/>
      </c>
      <c r="R122" s="53">
        <f t="shared" ca="1" si="51"/>
        <v>-1</v>
      </c>
      <c r="S122" s="54">
        <f t="shared" si="52"/>
        <v>0</v>
      </c>
      <c r="T122" s="55">
        <f t="shared" si="53"/>
        <v>0</v>
      </c>
      <c r="U122" s="55">
        <f t="shared" si="54"/>
        <v>0</v>
      </c>
      <c r="V122" s="55">
        <f t="shared" si="55"/>
        <v>0</v>
      </c>
      <c r="W122" s="55">
        <f t="shared" ca="1" si="56"/>
        <v>-1</v>
      </c>
      <c r="X122" s="56">
        <f t="shared" si="57"/>
        <v>0</v>
      </c>
      <c r="Y122" s="10"/>
      <c r="Z122" s="64" t="s">
        <v>263</v>
      </c>
      <c r="AA122" s="10"/>
      <c r="AB122">
        <f t="shared" si="58"/>
        <v>0</v>
      </c>
      <c r="AC122">
        <f t="shared" si="59"/>
        <v>0</v>
      </c>
      <c r="AD122">
        <f t="shared" si="60"/>
        <v>0</v>
      </c>
      <c r="AE122">
        <f t="shared" si="61"/>
        <v>0</v>
      </c>
      <c r="AF122">
        <f t="shared" ca="1" si="62"/>
        <v>-1</v>
      </c>
      <c r="AG122">
        <f t="shared" si="63"/>
        <v>0</v>
      </c>
      <c r="AH122">
        <f t="shared" ca="1" si="64"/>
        <v>0</v>
      </c>
    </row>
    <row r="123" spans="1:34" s="12" customFormat="1" x14ac:dyDescent="0.25">
      <c r="A123" s="42">
        <v>122</v>
      </c>
      <c r="B123" s="43"/>
      <c r="C123" s="44"/>
      <c r="D123" s="45"/>
      <c r="E123" s="45"/>
      <c r="F123" s="39"/>
      <c r="G123" s="3"/>
      <c r="H123" s="3"/>
      <c r="I123" s="44"/>
      <c r="J123" s="42" t="str">
        <f t="shared" si="49"/>
        <v/>
      </c>
      <c r="K123" s="42" t="str">
        <f>IF(I123="","",IF($AM$3=1,IFERROR(IF(J123=FALSE,"",VLOOKUP(J123,$AJ$1:$AK$18,2,1)),""),IFERROR(IF(J123 = "FALSE","",VLOOKUP(J123,#REF!,2,TRUE)),"")))</f>
        <v/>
      </c>
      <c r="L123" s="42"/>
      <c r="M123" s="42"/>
      <c r="N123" s="42"/>
      <c r="O123" s="46" t="str">
        <f t="shared" si="50"/>
        <v/>
      </c>
      <c r="P123" s="57" t="str">
        <f>IFERROR(IF(C123="","",IF(AND(Census!C123="E",Census!J123&gt;=18,Census!J123&lt;=65),"Yes","No")),"ERROR")</f>
        <v/>
      </c>
      <c r="Q123" s="58" t="str">
        <f>IFERROR(IF(C123="","",IF(AND(Census!C123="E",Census!J123&gt;=18,Census!J123&lt;=64),"Yes","No")),"ERROR")</f>
        <v/>
      </c>
      <c r="R123" s="59">
        <f t="shared" ca="1" si="51"/>
        <v>-1</v>
      </c>
      <c r="S123" s="60">
        <f t="shared" si="52"/>
        <v>0</v>
      </c>
      <c r="T123" s="61">
        <f t="shared" si="53"/>
        <v>0</v>
      </c>
      <c r="U123" s="61">
        <f t="shared" si="54"/>
        <v>0</v>
      </c>
      <c r="V123" s="61">
        <f t="shared" si="55"/>
        <v>0</v>
      </c>
      <c r="W123" s="61">
        <f t="shared" ca="1" si="56"/>
        <v>-1</v>
      </c>
      <c r="X123" s="62">
        <f t="shared" si="57"/>
        <v>0</v>
      </c>
      <c r="Y123" s="10"/>
      <c r="Z123" s="64" t="s">
        <v>84</v>
      </c>
      <c r="AA123" s="10"/>
      <c r="AB123">
        <f t="shared" si="58"/>
        <v>0</v>
      </c>
      <c r="AC123">
        <f t="shared" si="59"/>
        <v>0</v>
      </c>
      <c r="AD123">
        <f t="shared" si="60"/>
        <v>0</v>
      </c>
      <c r="AE123">
        <f t="shared" si="61"/>
        <v>0</v>
      </c>
      <c r="AF123">
        <f t="shared" ca="1" si="62"/>
        <v>-1</v>
      </c>
      <c r="AG123">
        <f t="shared" si="63"/>
        <v>0</v>
      </c>
      <c r="AH123">
        <f t="shared" ca="1" si="64"/>
        <v>0</v>
      </c>
    </row>
    <row r="124" spans="1:34" s="12" customFormat="1" x14ac:dyDescent="0.25">
      <c r="A124" s="37">
        <v>123</v>
      </c>
      <c r="B124" s="38"/>
      <c r="C124" s="39"/>
      <c r="D124" s="40"/>
      <c r="E124" s="40"/>
      <c r="F124" s="39"/>
      <c r="G124" s="2"/>
      <c r="H124" s="2"/>
      <c r="I124" s="39"/>
      <c r="J124" s="50" t="str">
        <f t="shared" si="49"/>
        <v/>
      </c>
      <c r="K124" s="37" t="str">
        <f>IF(I124="","",IF($AM$3=1,IFERROR(IF(J124=FALSE,"",VLOOKUP(J124,$AJ$1:$AK$18,2,1)),""),IFERROR(IF(J124 = "FALSE","",VLOOKUP(J124,#REF!,2,TRUE)),"")))</f>
        <v/>
      </c>
      <c r="L124" s="37"/>
      <c r="M124" s="37"/>
      <c r="N124" s="37"/>
      <c r="O124" s="41" t="str">
        <f t="shared" si="50"/>
        <v/>
      </c>
      <c r="P124" s="51" t="str">
        <f>IFERROR(IF(C124="","",IF(AND(Census!C124="E",Census!J124&gt;=18,Census!J124&lt;=65),"Yes","No")),"ERROR")</f>
        <v/>
      </c>
      <c r="Q124" s="52" t="str">
        <f>IFERROR(IF(C124="","",IF(AND(Census!C124="E",Census!J124&gt;=18,Census!J124&lt;=64),"Yes","No")),"ERROR")</f>
        <v/>
      </c>
      <c r="R124" s="53">
        <f t="shared" ca="1" si="51"/>
        <v>-1</v>
      </c>
      <c r="S124" s="54">
        <f t="shared" si="52"/>
        <v>0</v>
      </c>
      <c r="T124" s="55">
        <f t="shared" si="53"/>
        <v>0</v>
      </c>
      <c r="U124" s="55">
        <f t="shared" si="54"/>
        <v>0</v>
      </c>
      <c r="V124" s="55">
        <f t="shared" si="55"/>
        <v>0</v>
      </c>
      <c r="W124" s="55">
        <f t="shared" ca="1" si="56"/>
        <v>-1</v>
      </c>
      <c r="X124" s="56">
        <f t="shared" si="57"/>
        <v>0</v>
      </c>
      <c r="Y124" s="10"/>
      <c r="Z124" s="64" t="s">
        <v>264</v>
      </c>
      <c r="AA124" s="10"/>
      <c r="AB124">
        <f t="shared" si="58"/>
        <v>0</v>
      </c>
      <c r="AC124">
        <f t="shared" si="59"/>
        <v>0</v>
      </c>
      <c r="AD124">
        <f t="shared" si="60"/>
        <v>0</v>
      </c>
      <c r="AE124">
        <f t="shared" si="61"/>
        <v>0</v>
      </c>
      <c r="AF124">
        <f t="shared" ca="1" si="62"/>
        <v>-1</v>
      </c>
      <c r="AG124">
        <f t="shared" si="63"/>
        <v>0</v>
      </c>
      <c r="AH124">
        <f t="shared" ca="1" si="64"/>
        <v>0</v>
      </c>
    </row>
    <row r="125" spans="1:34" s="12" customFormat="1" x14ac:dyDescent="0.25">
      <c r="A125" s="42">
        <v>124</v>
      </c>
      <c r="B125" s="43"/>
      <c r="C125" s="44"/>
      <c r="D125" s="45"/>
      <c r="E125" s="45"/>
      <c r="F125" s="39"/>
      <c r="G125" s="3"/>
      <c r="H125" s="3"/>
      <c r="I125" s="44"/>
      <c r="J125" s="42" t="str">
        <f t="shared" si="49"/>
        <v/>
      </c>
      <c r="K125" s="42" t="str">
        <f>IF(I125="","",IF($AM$3=1,IFERROR(IF(J125=FALSE,"",VLOOKUP(J125,$AJ$1:$AK$18,2,1)),""),IFERROR(IF(J125 = "FALSE","",VLOOKUP(J125,#REF!,2,TRUE)),"")))</f>
        <v/>
      </c>
      <c r="L125" s="42"/>
      <c r="M125" s="42"/>
      <c r="N125" s="42"/>
      <c r="O125" s="46" t="str">
        <f t="shared" si="50"/>
        <v/>
      </c>
      <c r="P125" s="57" t="str">
        <f>IFERROR(IF(C125="","",IF(AND(Census!C125="E",Census!J125&gt;=18,Census!J125&lt;=65),"Yes","No")),"ERROR")</f>
        <v/>
      </c>
      <c r="Q125" s="58" t="str">
        <f>IFERROR(IF(C125="","",IF(AND(Census!C125="E",Census!J125&gt;=18,Census!J125&lt;=64),"Yes","No")),"ERROR")</f>
        <v/>
      </c>
      <c r="R125" s="59">
        <f t="shared" ca="1" si="51"/>
        <v>-1</v>
      </c>
      <c r="S125" s="60">
        <f t="shared" si="52"/>
        <v>0</v>
      </c>
      <c r="T125" s="61">
        <f t="shared" si="53"/>
        <v>0</v>
      </c>
      <c r="U125" s="61">
        <f t="shared" si="54"/>
        <v>0</v>
      </c>
      <c r="V125" s="61">
        <f t="shared" si="55"/>
        <v>0</v>
      </c>
      <c r="W125" s="61">
        <f t="shared" ca="1" si="56"/>
        <v>-1</v>
      </c>
      <c r="X125" s="62">
        <f t="shared" si="57"/>
        <v>0</v>
      </c>
      <c r="Y125" s="10"/>
      <c r="Z125" s="64" t="s">
        <v>265</v>
      </c>
      <c r="AA125" s="10"/>
      <c r="AB125">
        <f t="shared" si="58"/>
        <v>0</v>
      </c>
      <c r="AC125">
        <f t="shared" si="59"/>
        <v>0</v>
      </c>
      <c r="AD125">
        <f t="shared" si="60"/>
        <v>0</v>
      </c>
      <c r="AE125">
        <f t="shared" si="61"/>
        <v>0</v>
      </c>
      <c r="AF125">
        <f t="shared" ca="1" si="62"/>
        <v>-1</v>
      </c>
      <c r="AG125">
        <f t="shared" si="63"/>
        <v>0</v>
      </c>
      <c r="AH125">
        <f t="shared" ca="1" si="64"/>
        <v>0</v>
      </c>
    </row>
    <row r="126" spans="1:34" s="12" customFormat="1" x14ac:dyDescent="0.25">
      <c r="A126" s="37">
        <v>125</v>
      </c>
      <c r="B126" s="38"/>
      <c r="C126" s="39"/>
      <c r="D126" s="40"/>
      <c r="E126" s="40"/>
      <c r="F126" s="39"/>
      <c r="G126" s="2"/>
      <c r="H126" s="2"/>
      <c r="I126" s="39"/>
      <c r="J126" s="50" t="str">
        <f t="shared" si="49"/>
        <v/>
      </c>
      <c r="K126" s="37" t="str">
        <f>IF(I126="","",IF($AM$3=1,IFERROR(IF(J126=FALSE,"",VLOOKUP(J126,$AJ$1:$AK$18,2,1)),""),IFERROR(IF(J126 = "FALSE","",VLOOKUP(J126,#REF!,2,TRUE)),"")))</f>
        <v/>
      </c>
      <c r="L126" s="37"/>
      <c r="M126" s="37"/>
      <c r="N126" s="37"/>
      <c r="O126" s="41" t="str">
        <f t="shared" si="50"/>
        <v/>
      </c>
      <c r="P126" s="51" t="str">
        <f>IFERROR(IF(C126="","",IF(AND(Census!C126="E",Census!J126&gt;=18,Census!J126&lt;=65),"Yes","No")),"ERROR")</f>
        <v/>
      </c>
      <c r="Q126" s="52" t="str">
        <f>IFERROR(IF(C126="","",IF(AND(Census!C126="E",Census!J126&gt;=18,Census!J126&lt;=64),"Yes","No")),"ERROR")</f>
        <v/>
      </c>
      <c r="R126" s="53">
        <f t="shared" ca="1" si="51"/>
        <v>-1</v>
      </c>
      <c r="S126" s="54">
        <f t="shared" si="52"/>
        <v>0</v>
      </c>
      <c r="T126" s="55">
        <f t="shared" si="53"/>
        <v>0</v>
      </c>
      <c r="U126" s="55">
        <f t="shared" si="54"/>
        <v>0</v>
      </c>
      <c r="V126" s="55">
        <f t="shared" si="55"/>
        <v>0</v>
      </c>
      <c r="W126" s="55">
        <f t="shared" ca="1" si="56"/>
        <v>-1</v>
      </c>
      <c r="X126" s="56">
        <f t="shared" si="57"/>
        <v>0</v>
      </c>
      <c r="Y126" s="10"/>
      <c r="Z126" s="64" t="s">
        <v>266</v>
      </c>
      <c r="AA126" s="10"/>
      <c r="AB126">
        <f t="shared" si="58"/>
        <v>0</v>
      </c>
      <c r="AC126">
        <f t="shared" si="59"/>
        <v>0</v>
      </c>
      <c r="AD126">
        <f t="shared" si="60"/>
        <v>0</v>
      </c>
      <c r="AE126">
        <f t="shared" si="61"/>
        <v>0</v>
      </c>
      <c r="AF126">
        <f t="shared" ca="1" si="62"/>
        <v>-1</v>
      </c>
      <c r="AG126">
        <f t="shared" si="63"/>
        <v>0</v>
      </c>
      <c r="AH126">
        <f t="shared" ca="1" si="64"/>
        <v>0</v>
      </c>
    </row>
    <row r="127" spans="1:34" s="12" customFormat="1" x14ac:dyDescent="0.25">
      <c r="A127" s="42">
        <v>126</v>
      </c>
      <c r="B127" s="43"/>
      <c r="C127" s="44"/>
      <c r="D127" s="45"/>
      <c r="E127" s="45"/>
      <c r="F127" s="39"/>
      <c r="G127" s="3"/>
      <c r="H127" s="3"/>
      <c r="I127" s="44"/>
      <c r="J127" s="42" t="str">
        <f t="shared" si="49"/>
        <v/>
      </c>
      <c r="K127" s="42" t="str">
        <f>IF(I127="","",IF($AM$3=1,IFERROR(IF(J127=FALSE,"",VLOOKUP(J127,$AJ$1:$AK$18,2,1)),""),IFERROR(IF(J127 = "FALSE","",VLOOKUP(J127,#REF!,2,TRUE)),"")))</f>
        <v/>
      </c>
      <c r="L127" s="42"/>
      <c r="M127" s="42"/>
      <c r="N127" s="42"/>
      <c r="O127" s="46" t="str">
        <f t="shared" si="50"/>
        <v/>
      </c>
      <c r="P127" s="57" t="str">
        <f>IFERROR(IF(C127="","",IF(AND(Census!C127="E",Census!J127&gt;=18,Census!J127&lt;=65),"Yes","No")),"ERROR")</f>
        <v/>
      </c>
      <c r="Q127" s="58" t="str">
        <f>IFERROR(IF(C127="","",IF(AND(Census!C127="E",Census!J127&gt;=18,Census!J127&lt;=64),"Yes","No")),"ERROR")</f>
        <v/>
      </c>
      <c r="R127" s="59">
        <f t="shared" ca="1" si="51"/>
        <v>-1</v>
      </c>
      <c r="S127" s="60">
        <f t="shared" si="52"/>
        <v>0</v>
      </c>
      <c r="T127" s="61">
        <f t="shared" si="53"/>
        <v>0</v>
      </c>
      <c r="U127" s="61">
        <f t="shared" si="54"/>
        <v>0</v>
      </c>
      <c r="V127" s="61">
        <f t="shared" si="55"/>
        <v>0</v>
      </c>
      <c r="W127" s="61">
        <f t="shared" ca="1" si="56"/>
        <v>-1</v>
      </c>
      <c r="X127" s="62">
        <f t="shared" si="57"/>
        <v>0</v>
      </c>
      <c r="Y127" s="10"/>
      <c r="Z127" s="64" t="s">
        <v>136</v>
      </c>
      <c r="AA127" s="10"/>
      <c r="AB127">
        <f t="shared" si="58"/>
        <v>0</v>
      </c>
      <c r="AC127">
        <f t="shared" si="59"/>
        <v>0</v>
      </c>
      <c r="AD127">
        <f t="shared" si="60"/>
        <v>0</v>
      </c>
      <c r="AE127">
        <f t="shared" si="61"/>
        <v>0</v>
      </c>
      <c r="AF127">
        <f t="shared" ca="1" si="62"/>
        <v>-1</v>
      </c>
      <c r="AG127">
        <f t="shared" si="63"/>
        <v>0</v>
      </c>
      <c r="AH127">
        <f t="shared" ca="1" si="64"/>
        <v>0</v>
      </c>
    </row>
    <row r="128" spans="1:34" s="12" customFormat="1" x14ac:dyDescent="0.25">
      <c r="A128" s="37">
        <v>127</v>
      </c>
      <c r="B128" s="38"/>
      <c r="C128" s="39"/>
      <c r="D128" s="40"/>
      <c r="E128" s="40"/>
      <c r="F128" s="39"/>
      <c r="G128" s="2"/>
      <c r="H128" s="2"/>
      <c r="I128" s="39"/>
      <c r="J128" s="50" t="str">
        <f t="shared" si="49"/>
        <v/>
      </c>
      <c r="K128" s="37" t="str">
        <f>IF(I128="","",IF($AM$3=1,IFERROR(IF(J128=FALSE,"",VLOOKUP(J128,$AJ$1:$AK$18,2,1)),""),IFERROR(IF(J128 = "FALSE","",VLOOKUP(J128,#REF!,2,TRUE)),"")))</f>
        <v/>
      </c>
      <c r="L128" s="37"/>
      <c r="M128" s="37"/>
      <c r="N128" s="37"/>
      <c r="O128" s="41" t="str">
        <f t="shared" si="50"/>
        <v/>
      </c>
      <c r="P128" s="51" t="str">
        <f>IFERROR(IF(C128="","",IF(AND(Census!C128="E",Census!J128&gt;=18,Census!J128&lt;=65),"Yes","No")),"ERROR")</f>
        <v/>
      </c>
      <c r="Q128" s="52" t="str">
        <f>IFERROR(IF(C128="","",IF(AND(Census!C128="E",Census!J128&gt;=18,Census!J128&lt;=64),"Yes","No")),"ERROR")</f>
        <v/>
      </c>
      <c r="R128" s="53">
        <f t="shared" ca="1" si="51"/>
        <v>-1</v>
      </c>
      <c r="S128" s="54">
        <f t="shared" si="52"/>
        <v>0</v>
      </c>
      <c r="T128" s="55">
        <f t="shared" si="53"/>
        <v>0</v>
      </c>
      <c r="U128" s="55">
        <f t="shared" si="54"/>
        <v>0</v>
      </c>
      <c r="V128" s="55">
        <f t="shared" si="55"/>
        <v>0</v>
      </c>
      <c r="W128" s="55">
        <f t="shared" ca="1" si="56"/>
        <v>-1</v>
      </c>
      <c r="X128" s="56">
        <f t="shared" si="57"/>
        <v>0</v>
      </c>
      <c r="Y128" s="10"/>
      <c r="Z128" s="64" t="s">
        <v>183</v>
      </c>
      <c r="AA128" s="10"/>
      <c r="AB128">
        <f t="shared" si="58"/>
        <v>0</v>
      </c>
      <c r="AC128">
        <f t="shared" si="59"/>
        <v>0</v>
      </c>
      <c r="AD128">
        <f t="shared" si="60"/>
        <v>0</v>
      </c>
      <c r="AE128">
        <f t="shared" si="61"/>
        <v>0</v>
      </c>
      <c r="AF128">
        <f t="shared" ca="1" si="62"/>
        <v>-1</v>
      </c>
      <c r="AG128">
        <f t="shared" si="63"/>
        <v>0</v>
      </c>
      <c r="AH128">
        <f t="shared" ca="1" si="64"/>
        <v>0</v>
      </c>
    </row>
    <row r="129" spans="1:34" s="12" customFormat="1" x14ac:dyDescent="0.25">
      <c r="A129" s="42">
        <v>128</v>
      </c>
      <c r="B129" s="43"/>
      <c r="C129" s="44"/>
      <c r="D129" s="45"/>
      <c r="E129" s="45"/>
      <c r="F129" s="39"/>
      <c r="G129" s="3"/>
      <c r="H129" s="3"/>
      <c r="I129" s="44"/>
      <c r="J129" s="42" t="str">
        <f t="shared" si="49"/>
        <v/>
      </c>
      <c r="K129" s="42" t="str">
        <f>IF(I129="","",IF($AM$3=1,IFERROR(IF(J129=FALSE,"",VLOOKUP(J129,$AJ$1:$AK$18,2,1)),""),IFERROR(IF(J129 = "FALSE","",VLOOKUP(J129,#REF!,2,TRUE)),"")))</f>
        <v/>
      </c>
      <c r="L129" s="42"/>
      <c r="M129" s="42"/>
      <c r="N129" s="42"/>
      <c r="O129" s="46" t="str">
        <f t="shared" si="50"/>
        <v/>
      </c>
      <c r="P129" s="57" t="str">
        <f>IFERROR(IF(C129="","",IF(AND(Census!C129="E",Census!J129&gt;=18,Census!J129&lt;=65),"Yes","No")),"ERROR")</f>
        <v/>
      </c>
      <c r="Q129" s="58" t="str">
        <f>IFERROR(IF(C129="","",IF(AND(Census!C129="E",Census!J129&gt;=18,Census!J129&lt;=64),"Yes","No")),"ERROR")</f>
        <v/>
      </c>
      <c r="R129" s="59">
        <f t="shared" ca="1" si="51"/>
        <v>-1</v>
      </c>
      <c r="S129" s="60">
        <f t="shared" si="52"/>
        <v>0</v>
      </c>
      <c r="T129" s="61">
        <f t="shared" si="53"/>
        <v>0</v>
      </c>
      <c r="U129" s="61">
        <f t="shared" si="54"/>
        <v>0</v>
      </c>
      <c r="V129" s="61">
        <f t="shared" si="55"/>
        <v>0</v>
      </c>
      <c r="W129" s="61">
        <f t="shared" ca="1" si="56"/>
        <v>-1</v>
      </c>
      <c r="X129" s="62">
        <f t="shared" si="57"/>
        <v>0</v>
      </c>
      <c r="Y129" s="10"/>
      <c r="Z129" s="64" t="s">
        <v>208</v>
      </c>
      <c r="AA129" s="10"/>
      <c r="AB129">
        <f t="shared" si="58"/>
        <v>0</v>
      </c>
      <c r="AC129">
        <f t="shared" si="59"/>
        <v>0</v>
      </c>
      <c r="AD129">
        <f t="shared" si="60"/>
        <v>0</v>
      </c>
      <c r="AE129">
        <f t="shared" si="61"/>
        <v>0</v>
      </c>
      <c r="AF129">
        <f t="shared" ca="1" si="62"/>
        <v>-1</v>
      </c>
      <c r="AG129">
        <f t="shared" si="63"/>
        <v>0</v>
      </c>
      <c r="AH129">
        <f t="shared" ca="1" si="64"/>
        <v>0</v>
      </c>
    </row>
    <row r="130" spans="1:34" s="12" customFormat="1" x14ac:dyDescent="0.25">
      <c r="A130" s="37">
        <v>129</v>
      </c>
      <c r="B130" s="38"/>
      <c r="C130" s="39"/>
      <c r="D130" s="40"/>
      <c r="E130" s="40"/>
      <c r="F130" s="39"/>
      <c r="G130" s="2"/>
      <c r="H130" s="2"/>
      <c r="I130" s="39"/>
      <c r="J130" s="50" t="str">
        <f t="shared" ref="J130:J161" si="65">IFERROR(IF(G130="","",ROUNDDOWN(IF($G130="","",(inception_date-$G130)/365.25),0)),0)</f>
        <v/>
      </c>
      <c r="K130" s="37" t="str">
        <f>IF(I130="","",IF($AM$3=1,IFERROR(IF(J130=FALSE,"",VLOOKUP(J130,$AJ$1:$AK$18,2,1)),""),IFERROR(IF(J130 = "FALSE","",VLOOKUP(J130,#REF!,2,TRUE)),"")))</f>
        <v/>
      </c>
      <c r="L130" s="37"/>
      <c r="M130" s="37"/>
      <c r="N130" s="37"/>
      <c r="O130" s="41" t="str">
        <f t="shared" ref="O130:O161" si="66">IF(C130="","",IF(R130=1,"Yes","No"))</f>
        <v/>
      </c>
      <c r="P130" s="51" t="str">
        <f>IFERROR(IF(C130="","",IF(AND(Census!C130="E",Census!J130&gt;=18,Census!J130&lt;=65),"Yes","No")),"ERROR")</f>
        <v/>
      </c>
      <c r="Q130" s="52" t="str">
        <f>IFERROR(IF(C130="","",IF(AND(Census!C130="E",Census!J130&gt;=18,Census!J130&lt;=64),"Yes","No")),"ERROR")</f>
        <v/>
      </c>
      <c r="R130" s="53">
        <f t="shared" ref="R130:R161" ca="1" si="67">IF(OR(AB130&lt;&gt;1,AC130&lt;&gt;1,AD130&lt;&gt;1,AF130&lt;&gt;1,AE130&lt;&gt;1,AG130&lt;&gt;1),-1,1)</f>
        <v>-1</v>
      </c>
      <c r="S130" s="54">
        <f t="shared" ref="S130:S161" si="68">AB130</f>
        <v>0</v>
      </c>
      <c r="T130" s="55">
        <f t="shared" ref="T130:T161" si="69">AC130</f>
        <v>0</v>
      </c>
      <c r="U130" s="55">
        <f t="shared" ref="U130:U161" si="70">AD130</f>
        <v>0</v>
      </c>
      <c r="V130" s="55">
        <f t="shared" ref="V130:V161" si="71">AE130</f>
        <v>0</v>
      </c>
      <c r="W130" s="55">
        <f t="shared" ref="W130:W161" ca="1" si="72">AF130</f>
        <v>-1</v>
      </c>
      <c r="X130" s="56">
        <f t="shared" ref="X130:X161" si="73">AG130</f>
        <v>0</v>
      </c>
      <c r="Y130" s="10"/>
      <c r="Z130" s="64" t="s">
        <v>267</v>
      </c>
      <c r="AA130" s="10"/>
      <c r="AB130">
        <f t="shared" ref="AB130:AB161" si="74">IFERROR(IF(OR(B130=0,B130=""),0,1),0)</f>
        <v>0</v>
      </c>
      <c r="AC130">
        <f t="shared" ref="AC130:AC161" si="75">IFERROR(IF(OR(C130="S",C130="D"),IF(AND(C130="D",D130="F"),1,IF(AND(C130="S",D130="M"),1,0)),IF(OR(C130="W",C130="H"),IF(OR(AND(C130="W",D130="F"),AND(C130="H",D130="M")),1,),IF(OR(D130="M",D130="F"),1,0))),0)</f>
        <v>0</v>
      </c>
      <c r="AD130">
        <f t="shared" ref="AD130:AD161" si="76">IFERROR(IF(OR(C130="E",C130="W",C130="H"),1,IF(C130 = "S",IF(D130="M",1,0),IF(D130 = "F",1,0))),0)</f>
        <v>0</v>
      </c>
      <c r="AE130">
        <f t="shared" ref="AE130:AE161" si="77">IFERROR(IF(OR(E130="M",E130="S"),IF(E130="M",IF(OR(C130="S",C130 = "D"),0,1),IF(OR(C130="W",C130="H"),0,1)),0),0)</f>
        <v>0</v>
      </c>
      <c r="AF130">
        <f t="shared" ref="AF130:AF161" ca="1" si="78">IF(G130="",-1,IF(AND(G130&lt;=TODAY(),ISNUMBER(DATE(YEAR(G130),MONTH(G130),DAY(G130)))),IF(AND(OR(C130="S",C130="D"),J130&gt;24),-1,1),-1))</f>
        <v>-1</v>
      </c>
      <c r="AG130">
        <f t="shared" ref="AG130:AG161" si="79">IF(OR(I130="CAT 1",I130="CAT 2",I130="CAT 3",I130="CAT 4"),1,0)</f>
        <v>0</v>
      </c>
      <c r="AH130">
        <f t="shared" ref="AH130:AH161" ca="1" si="80">PRODUCT(AF130:AG130)*AE130</f>
        <v>0</v>
      </c>
    </row>
    <row r="131" spans="1:34" s="12" customFormat="1" ht="20.25" customHeight="1" x14ac:dyDescent="0.25">
      <c r="A131" s="42">
        <v>130</v>
      </c>
      <c r="B131" s="43"/>
      <c r="C131" s="44"/>
      <c r="D131" s="45"/>
      <c r="E131" s="45"/>
      <c r="F131" s="39"/>
      <c r="G131" s="3"/>
      <c r="H131" s="3"/>
      <c r="I131" s="44"/>
      <c r="J131" s="42" t="str">
        <f t="shared" si="65"/>
        <v/>
      </c>
      <c r="K131" s="42" t="str">
        <f>IF(I131="","",IF($AM$3=1,IFERROR(IF(J131=FALSE,"",VLOOKUP(J131,$AJ$1:$AK$18,2,1)),""),IFERROR(IF(J131 = "FALSE","",VLOOKUP(J131,#REF!,2,TRUE)),"")))</f>
        <v/>
      </c>
      <c r="L131" s="42"/>
      <c r="M131" s="42"/>
      <c r="N131" s="42"/>
      <c r="O131" s="46" t="str">
        <f t="shared" si="66"/>
        <v/>
      </c>
      <c r="P131" s="57" t="str">
        <f>IFERROR(IF(C131="","",IF(AND(Census!C131="E",Census!J131&gt;=18,Census!J131&lt;=65),"Yes","No")),"ERROR")</f>
        <v/>
      </c>
      <c r="Q131" s="58" t="str">
        <f>IFERROR(IF(C131="","",IF(AND(Census!C131="E",Census!J131&gt;=18,Census!J131&lt;=64),"Yes","No")),"ERROR")</f>
        <v/>
      </c>
      <c r="R131" s="59">
        <f t="shared" ca="1" si="67"/>
        <v>-1</v>
      </c>
      <c r="S131" s="60">
        <f t="shared" si="68"/>
        <v>0</v>
      </c>
      <c r="T131" s="61">
        <f t="shared" si="69"/>
        <v>0</v>
      </c>
      <c r="U131" s="61">
        <f t="shared" si="70"/>
        <v>0</v>
      </c>
      <c r="V131" s="61">
        <f t="shared" si="71"/>
        <v>0</v>
      </c>
      <c r="W131" s="61">
        <f t="shared" ca="1" si="72"/>
        <v>-1</v>
      </c>
      <c r="X131" s="62">
        <f t="shared" si="73"/>
        <v>0</v>
      </c>
      <c r="Y131" s="10"/>
      <c r="Z131" s="64" t="s">
        <v>95</v>
      </c>
      <c r="AA131" s="10"/>
      <c r="AB131">
        <f t="shared" si="74"/>
        <v>0</v>
      </c>
      <c r="AC131">
        <f t="shared" si="75"/>
        <v>0</v>
      </c>
      <c r="AD131">
        <f t="shared" si="76"/>
        <v>0</v>
      </c>
      <c r="AE131">
        <f t="shared" si="77"/>
        <v>0</v>
      </c>
      <c r="AF131">
        <f t="shared" ca="1" si="78"/>
        <v>-1</v>
      </c>
      <c r="AG131">
        <f t="shared" si="79"/>
        <v>0</v>
      </c>
      <c r="AH131">
        <f t="shared" ca="1" si="80"/>
        <v>0</v>
      </c>
    </row>
    <row r="132" spans="1:34" s="12" customFormat="1" x14ac:dyDescent="0.25">
      <c r="A132" s="37">
        <v>131</v>
      </c>
      <c r="B132" s="38"/>
      <c r="C132" s="39"/>
      <c r="D132" s="40"/>
      <c r="E132" s="40"/>
      <c r="F132" s="39"/>
      <c r="G132" s="2"/>
      <c r="H132" s="2"/>
      <c r="I132" s="39"/>
      <c r="J132" s="50" t="str">
        <f t="shared" si="65"/>
        <v/>
      </c>
      <c r="K132" s="37" t="str">
        <f>IF(I132="","",IF($AM$3=1,IFERROR(IF(J132=FALSE,"",VLOOKUP(J132,$AJ$1:$AK$18,2,1)),""),IFERROR(IF(J132 = "FALSE","",VLOOKUP(J132,#REF!,2,TRUE)),"")))</f>
        <v/>
      </c>
      <c r="L132" s="37"/>
      <c r="M132" s="37"/>
      <c r="N132" s="37"/>
      <c r="O132" s="41" t="str">
        <f t="shared" si="66"/>
        <v/>
      </c>
      <c r="P132" s="51" t="str">
        <f>IFERROR(IF(C132="","",IF(AND(Census!C132="E",Census!J132&gt;=18,Census!J132&lt;=65),"Yes","No")),"ERROR")</f>
        <v/>
      </c>
      <c r="Q132" s="52" t="str">
        <f>IFERROR(IF(C132="","",IF(AND(Census!C132="E",Census!J132&gt;=18,Census!J132&lt;=64),"Yes","No")),"ERROR")</f>
        <v/>
      </c>
      <c r="R132" s="53">
        <f t="shared" ca="1" si="67"/>
        <v>-1</v>
      </c>
      <c r="S132" s="54">
        <f t="shared" si="68"/>
        <v>0</v>
      </c>
      <c r="T132" s="55">
        <f t="shared" si="69"/>
        <v>0</v>
      </c>
      <c r="U132" s="55">
        <f t="shared" si="70"/>
        <v>0</v>
      </c>
      <c r="V132" s="55">
        <f t="shared" si="71"/>
        <v>0</v>
      </c>
      <c r="W132" s="55">
        <f t="shared" ca="1" si="72"/>
        <v>-1</v>
      </c>
      <c r="X132" s="56">
        <f t="shared" si="73"/>
        <v>0</v>
      </c>
      <c r="Y132" s="10"/>
      <c r="Z132" s="64" t="s">
        <v>101</v>
      </c>
      <c r="AA132" s="10"/>
      <c r="AB132">
        <f t="shared" si="74"/>
        <v>0</v>
      </c>
      <c r="AC132">
        <f t="shared" si="75"/>
        <v>0</v>
      </c>
      <c r="AD132">
        <f t="shared" si="76"/>
        <v>0</v>
      </c>
      <c r="AE132">
        <f t="shared" si="77"/>
        <v>0</v>
      </c>
      <c r="AF132">
        <f t="shared" ca="1" si="78"/>
        <v>-1</v>
      </c>
      <c r="AG132">
        <f t="shared" si="79"/>
        <v>0</v>
      </c>
      <c r="AH132">
        <f t="shared" ca="1" si="80"/>
        <v>0</v>
      </c>
    </row>
    <row r="133" spans="1:34" s="12" customFormat="1" x14ac:dyDescent="0.25">
      <c r="A133" s="42">
        <v>132</v>
      </c>
      <c r="B133" s="43"/>
      <c r="C133" s="44"/>
      <c r="D133" s="45"/>
      <c r="E133" s="45"/>
      <c r="F133" s="39"/>
      <c r="G133" s="3"/>
      <c r="H133" s="3"/>
      <c r="I133" s="44"/>
      <c r="J133" s="42" t="str">
        <f t="shared" si="65"/>
        <v/>
      </c>
      <c r="K133" s="42" t="str">
        <f>IF(I133="","",IF($AM$3=1,IFERROR(IF(J133=FALSE,"",VLOOKUP(J133,$AJ$1:$AK$18,2,1)),""),IFERROR(IF(J133 = "FALSE","",VLOOKUP(J133,#REF!,2,TRUE)),"")))</f>
        <v/>
      </c>
      <c r="L133" s="42"/>
      <c r="M133" s="42"/>
      <c r="N133" s="42"/>
      <c r="O133" s="46" t="str">
        <f t="shared" si="66"/>
        <v/>
      </c>
      <c r="P133" s="57" t="str">
        <f>IFERROR(IF(C133="","",IF(AND(Census!C133="E",Census!J133&gt;=18,Census!J133&lt;=65),"Yes","No")),"ERROR")</f>
        <v/>
      </c>
      <c r="Q133" s="58" t="str">
        <f>IFERROR(IF(C133="","",IF(AND(Census!C133="E",Census!J133&gt;=18,Census!J133&lt;=64),"Yes","No")),"ERROR")</f>
        <v/>
      </c>
      <c r="R133" s="59">
        <f t="shared" ca="1" si="67"/>
        <v>-1</v>
      </c>
      <c r="S133" s="60">
        <f t="shared" si="68"/>
        <v>0</v>
      </c>
      <c r="T133" s="61">
        <f t="shared" si="69"/>
        <v>0</v>
      </c>
      <c r="U133" s="61">
        <f t="shared" si="70"/>
        <v>0</v>
      </c>
      <c r="V133" s="61">
        <f t="shared" si="71"/>
        <v>0</v>
      </c>
      <c r="W133" s="61">
        <f t="shared" ca="1" si="72"/>
        <v>-1</v>
      </c>
      <c r="X133" s="62">
        <f t="shared" si="73"/>
        <v>0</v>
      </c>
      <c r="Y133" s="10"/>
      <c r="Z133" s="64" t="s">
        <v>146</v>
      </c>
      <c r="AA133" s="10"/>
      <c r="AB133">
        <f t="shared" si="74"/>
        <v>0</v>
      </c>
      <c r="AC133">
        <f t="shared" si="75"/>
        <v>0</v>
      </c>
      <c r="AD133">
        <f t="shared" si="76"/>
        <v>0</v>
      </c>
      <c r="AE133">
        <f t="shared" si="77"/>
        <v>0</v>
      </c>
      <c r="AF133">
        <f t="shared" ca="1" si="78"/>
        <v>-1</v>
      </c>
      <c r="AG133">
        <f t="shared" si="79"/>
        <v>0</v>
      </c>
      <c r="AH133">
        <f t="shared" ca="1" si="80"/>
        <v>0</v>
      </c>
    </row>
    <row r="134" spans="1:34" s="12" customFormat="1" x14ac:dyDescent="0.25">
      <c r="A134" s="37">
        <v>133</v>
      </c>
      <c r="B134" s="38"/>
      <c r="C134" s="39"/>
      <c r="D134" s="40"/>
      <c r="E134" s="40"/>
      <c r="F134" s="39"/>
      <c r="G134" s="2"/>
      <c r="H134" s="2"/>
      <c r="I134" s="39"/>
      <c r="J134" s="50" t="str">
        <f t="shared" si="65"/>
        <v/>
      </c>
      <c r="K134" s="37" t="str">
        <f>IF(I134="","",IF($AM$3=1,IFERROR(IF(J134=FALSE,"",VLOOKUP(J134,$AJ$1:$AK$18,2,1)),""),IFERROR(IF(J134 = "FALSE","",VLOOKUP(J134,#REF!,2,TRUE)),"")))</f>
        <v/>
      </c>
      <c r="L134" s="37"/>
      <c r="M134" s="37"/>
      <c r="N134" s="37"/>
      <c r="O134" s="41" t="str">
        <f t="shared" si="66"/>
        <v/>
      </c>
      <c r="P134" s="51" t="str">
        <f>IFERROR(IF(C134="","",IF(AND(Census!C134="E",Census!J134&gt;=18,Census!J134&lt;=65),"Yes","No")),"ERROR")</f>
        <v/>
      </c>
      <c r="Q134" s="52" t="str">
        <f>IFERROR(IF(C134="","",IF(AND(Census!C134="E",Census!J134&gt;=18,Census!J134&lt;=64),"Yes","No")),"ERROR")</f>
        <v/>
      </c>
      <c r="R134" s="53">
        <f t="shared" ca="1" si="67"/>
        <v>-1</v>
      </c>
      <c r="S134" s="54">
        <f t="shared" si="68"/>
        <v>0</v>
      </c>
      <c r="T134" s="55">
        <f t="shared" si="69"/>
        <v>0</v>
      </c>
      <c r="U134" s="55">
        <f t="shared" si="70"/>
        <v>0</v>
      </c>
      <c r="V134" s="55">
        <f t="shared" si="71"/>
        <v>0</v>
      </c>
      <c r="W134" s="55">
        <f t="shared" ca="1" si="72"/>
        <v>-1</v>
      </c>
      <c r="X134" s="56">
        <f t="shared" si="73"/>
        <v>0</v>
      </c>
      <c r="Y134" s="10"/>
      <c r="Z134" s="64" t="s">
        <v>147</v>
      </c>
      <c r="AA134" s="10"/>
      <c r="AB134">
        <f t="shared" si="74"/>
        <v>0</v>
      </c>
      <c r="AC134">
        <f t="shared" si="75"/>
        <v>0</v>
      </c>
      <c r="AD134">
        <f t="shared" si="76"/>
        <v>0</v>
      </c>
      <c r="AE134">
        <f t="shared" si="77"/>
        <v>0</v>
      </c>
      <c r="AF134">
        <f t="shared" ca="1" si="78"/>
        <v>-1</v>
      </c>
      <c r="AG134">
        <f t="shared" si="79"/>
        <v>0</v>
      </c>
      <c r="AH134">
        <f t="shared" ca="1" si="80"/>
        <v>0</v>
      </c>
    </row>
    <row r="135" spans="1:34" s="12" customFormat="1" x14ac:dyDescent="0.25">
      <c r="A135" s="42">
        <v>134</v>
      </c>
      <c r="B135" s="43"/>
      <c r="C135" s="44"/>
      <c r="D135" s="45"/>
      <c r="E135" s="45"/>
      <c r="F135" s="39"/>
      <c r="G135" s="3"/>
      <c r="H135" s="3"/>
      <c r="I135" s="44"/>
      <c r="J135" s="42" t="str">
        <f t="shared" si="65"/>
        <v/>
      </c>
      <c r="K135" s="42" t="str">
        <f>IF(I135="","",IF($AM$3=1,IFERROR(IF(J135=FALSE,"",VLOOKUP(J135,$AJ$1:$AK$18,2,1)),""),IFERROR(IF(J135 = "FALSE","",VLOOKUP(J135,#REF!,2,TRUE)),"")))</f>
        <v/>
      </c>
      <c r="L135" s="42"/>
      <c r="M135" s="42"/>
      <c r="N135" s="42"/>
      <c r="O135" s="46" t="str">
        <f t="shared" si="66"/>
        <v/>
      </c>
      <c r="P135" s="57" t="str">
        <f>IFERROR(IF(C135="","",IF(AND(Census!C135="E",Census!J135&gt;=18,Census!J135&lt;=65),"Yes","No")),"ERROR")</f>
        <v/>
      </c>
      <c r="Q135" s="58" t="str">
        <f>IFERROR(IF(C135="","",IF(AND(Census!C135="E",Census!J135&gt;=18,Census!J135&lt;=64),"Yes","No")),"ERROR")</f>
        <v/>
      </c>
      <c r="R135" s="59">
        <f t="shared" ca="1" si="67"/>
        <v>-1</v>
      </c>
      <c r="S135" s="60">
        <f t="shared" si="68"/>
        <v>0</v>
      </c>
      <c r="T135" s="61">
        <f t="shared" si="69"/>
        <v>0</v>
      </c>
      <c r="U135" s="61">
        <f t="shared" si="70"/>
        <v>0</v>
      </c>
      <c r="V135" s="61">
        <f t="shared" si="71"/>
        <v>0</v>
      </c>
      <c r="W135" s="61">
        <f t="shared" ca="1" si="72"/>
        <v>-1</v>
      </c>
      <c r="X135" s="62">
        <f t="shared" si="73"/>
        <v>0</v>
      </c>
      <c r="Y135" s="10"/>
      <c r="Z135" s="64" t="s">
        <v>184</v>
      </c>
      <c r="AA135" s="10"/>
      <c r="AB135">
        <f t="shared" si="74"/>
        <v>0</v>
      </c>
      <c r="AC135">
        <f t="shared" si="75"/>
        <v>0</v>
      </c>
      <c r="AD135">
        <f t="shared" si="76"/>
        <v>0</v>
      </c>
      <c r="AE135">
        <f t="shared" si="77"/>
        <v>0</v>
      </c>
      <c r="AF135">
        <f t="shared" ca="1" si="78"/>
        <v>-1</v>
      </c>
      <c r="AG135">
        <f t="shared" si="79"/>
        <v>0</v>
      </c>
      <c r="AH135">
        <f t="shared" ca="1" si="80"/>
        <v>0</v>
      </c>
    </row>
    <row r="136" spans="1:34" s="12" customFormat="1" x14ac:dyDescent="0.25">
      <c r="A136" s="37">
        <v>135</v>
      </c>
      <c r="B136" s="38"/>
      <c r="C136" s="39"/>
      <c r="D136" s="40"/>
      <c r="E136" s="40"/>
      <c r="F136" s="39"/>
      <c r="G136" s="2"/>
      <c r="H136" s="2"/>
      <c r="I136" s="39"/>
      <c r="J136" s="50" t="str">
        <f t="shared" si="65"/>
        <v/>
      </c>
      <c r="K136" s="37" t="str">
        <f>IF(I136="","",IF($AM$3=1,IFERROR(IF(J136=FALSE,"",VLOOKUP(J136,$AJ$1:$AK$18,2,1)),""),IFERROR(IF(J136 = "FALSE","",VLOOKUP(J136,#REF!,2,TRUE)),"")))</f>
        <v/>
      </c>
      <c r="L136" s="37"/>
      <c r="M136" s="37"/>
      <c r="N136" s="37"/>
      <c r="O136" s="41" t="str">
        <f t="shared" si="66"/>
        <v/>
      </c>
      <c r="P136" s="51" t="str">
        <f>IFERROR(IF(C136="","",IF(AND(Census!C136="E",Census!J136&gt;=18,Census!J136&lt;=65),"Yes","No")),"ERROR")</f>
        <v/>
      </c>
      <c r="Q136" s="52" t="str">
        <f>IFERROR(IF(C136="","",IF(AND(Census!C136="E",Census!J136&gt;=18,Census!J136&lt;=64),"Yes","No")),"ERROR")</f>
        <v/>
      </c>
      <c r="R136" s="53">
        <f t="shared" ca="1" si="67"/>
        <v>-1</v>
      </c>
      <c r="S136" s="54">
        <f t="shared" si="68"/>
        <v>0</v>
      </c>
      <c r="T136" s="55">
        <f t="shared" si="69"/>
        <v>0</v>
      </c>
      <c r="U136" s="55">
        <f t="shared" si="70"/>
        <v>0</v>
      </c>
      <c r="V136" s="55">
        <f t="shared" si="71"/>
        <v>0</v>
      </c>
      <c r="W136" s="55">
        <f t="shared" ca="1" si="72"/>
        <v>-1</v>
      </c>
      <c r="X136" s="56">
        <f t="shared" si="73"/>
        <v>0</v>
      </c>
      <c r="Y136" s="10"/>
      <c r="Z136" s="64" t="s">
        <v>268</v>
      </c>
      <c r="AA136" s="10"/>
      <c r="AB136">
        <f t="shared" si="74"/>
        <v>0</v>
      </c>
      <c r="AC136">
        <f t="shared" si="75"/>
        <v>0</v>
      </c>
      <c r="AD136">
        <f t="shared" si="76"/>
        <v>0</v>
      </c>
      <c r="AE136">
        <f t="shared" si="77"/>
        <v>0</v>
      </c>
      <c r="AF136">
        <f t="shared" ca="1" si="78"/>
        <v>-1</v>
      </c>
      <c r="AG136">
        <f t="shared" si="79"/>
        <v>0</v>
      </c>
      <c r="AH136">
        <f t="shared" ca="1" si="80"/>
        <v>0</v>
      </c>
    </row>
    <row r="137" spans="1:34" s="12" customFormat="1" x14ac:dyDescent="0.25">
      <c r="A137" s="42">
        <v>136</v>
      </c>
      <c r="B137" s="43"/>
      <c r="C137" s="44"/>
      <c r="D137" s="45"/>
      <c r="E137" s="45"/>
      <c r="F137" s="39"/>
      <c r="G137" s="3"/>
      <c r="H137" s="3"/>
      <c r="I137" s="44"/>
      <c r="J137" s="42" t="str">
        <f t="shared" si="65"/>
        <v/>
      </c>
      <c r="K137" s="42" t="str">
        <f>IF(I137="","",IF($AM$3=1,IFERROR(IF(J137=FALSE,"",VLOOKUP(J137,$AJ$1:$AK$18,2,1)),""),IFERROR(IF(J137 = "FALSE","",VLOOKUP(J137,#REF!,2,TRUE)),"")))</f>
        <v/>
      </c>
      <c r="L137" s="42"/>
      <c r="M137" s="42"/>
      <c r="N137" s="42"/>
      <c r="O137" s="46" t="str">
        <f t="shared" si="66"/>
        <v/>
      </c>
      <c r="P137" s="57" t="str">
        <f>IFERROR(IF(C137="","",IF(AND(Census!C137="E",Census!J137&gt;=18,Census!J137&lt;=65),"Yes","No")),"ERROR")</f>
        <v/>
      </c>
      <c r="Q137" s="58" t="str">
        <f>IFERROR(IF(C137="","",IF(AND(Census!C137="E",Census!J137&gt;=18,Census!J137&lt;=64),"Yes","No")),"ERROR")</f>
        <v/>
      </c>
      <c r="R137" s="59">
        <f t="shared" ca="1" si="67"/>
        <v>-1</v>
      </c>
      <c r="S137" s="60">
        <f t="shared" si="68"/>
        <v>0</v>
      </c>
      <c r="T137" s="61">
        <f t="shared" si="69"/>
        <v>0</v>
      </c>
      <c r="U137" s="61">
        <f t="shared" si="70"/>
        <v>0</v>
      </c>
      <c r="V137" s="61">
        <f t="shared" si="71"/>
        <v>0</v>
      </c>
      <c r="W137" s="61">
        <f t="shared" ca="1" si="72"/>
        <v>-1</v>
      </c>
      <c r="X137" s="62">
        <f t="shared" si="73"/>
        <v>0</v>
      </c>
      <c r="Y137" s="10"/>
      <c r="Z137" s="64" t="s">
        <v>269</v>
      </c>
      <c r="AA137" s="10"/>
      <c r="AB137">
        <f t="shared" si="74"/>
        <v>0</v>
      </c>
      <c r="AC137">
        <f t="shared" si="75"/>
        <v>0</v>
      </c>
      <c r="AD137">
        <f t="shared" si="76"/>
        <v>0</v>
      </c>
      <c r="AE137">
        <f t="shared" si="77"/>
        <v>0</v>
      </c>
      <c r="AF137">
        <f t="shared" ca="1" si="78"/>
        <v>-1</v>
      </c>
      <c r="AG137">
        <f t="shared" si="79"/>
        <v>0</v>
      </c>
      <c r="AH137">
        <f t="shared" ca="1" si="80"/>
        <v>0</v>
      </c>
    </row>
    <row r="138" spans="1:34" s="12" customFormat="1" x14ac:dyDescent="0.25">
      <c r="A138" s="37">
        <v>137</v>
      </c>
      <c r="B138" s="38"/>
      <c r="C138" s="39"/>
      <c r="D138" s="40"/>
      <c r="E138" s="40"/>
      <c r="F138" s="39"/>
      <c r="G138" s="2"/>
      <c r="H138" s="2"/>
      <c r="I138" s="39"/>
      <c r="J138" s="50" t="str">
        <f t="shared" si="65"/>
        <v/>
      </c>
      <c r="K138" s="37" t="str">
        <f>IF(I138="","",IF($AM$3=1,IFERROR(IF(J138=FALSE,"",VLOOKUP(J138,$AJ$1:$AK$18,2,1)),""),IFERROR(IF(J138 = "FALSE","",VLOOKUP(J138,#REF!,2,TRUE)),"")))</f>
        <v/>
      </c>
      <c r="L138" s="37"/>
      <c r="M138" s="37"/>
      <c r="N138" s="37"/>
      <c r="O138" s="41" t="str">
        <f t="shared" si="66"/>
        <v/>
      </c>
      <c r="P138" s="51" t="str">
        <f>IFERROR(IF(C138="","",IF(AND(Census!C138="E",Census!J138&gt;=18,Census!J138&lt;=65),"Yes","No")),"ERROR")</f>
        <v/>
      </c>
      <c r="Q138" s="52" t="str">
        <f>IFERROR(IF(C138="","",IF(AND(Census!C138="E",Census!J138&gt;=18,Census!J138&lt;=64),"Yes","No")),"ERROR")</f>
        <v/>
      </c>
      <c r="R138" s="53">
        <f t="shared" ca="1" si="67"/>
        <v>-1</v>
      </c>
      <c r="S138" s="54">
        <f t="shared" si="68"/>
        <v>0</v>
      </c>
      <c r="T138" s="55">
        <f t="shared" si="69"/>
        <v>0</v>
      </c>
      <c r="U138" s="55">
        <f t="shared" si="70"/>
        <v>0</v>
      </c>
      <c r="V138" s="55">
        <f t="shared" si="71"/>
        <v>0</v>
      </c>
      <c r="W138" s="55">
        <f t="shared" ca="1" si="72"/>
        <v>-1</v>
      </c>
      <c r="X138" s="56">
        <f t="shared" si="73"/>
        <v>0</v>
      </c>
      <c r="Y138" s="10"/>
      <c r="Z138" s="64" t="s">
        <v>185</v>
      </c>
      <c r="AA138" s="10"/>
      <c r="AB138">
        <f t="shared" si="74"/>
        <v>0</v>
      </c>
      <c r="AC138">
        <f t="shared" si="75"/>
        <v>0</v>
      </c>
      <c r="AD138">
        <f t="shared" si="76"/>
        <v>0</v>
      </c>
      <c r="AE138">
        <f t="shared" si="77"/>
        <v>0</v>
      </c>
      <c r="AF138">
        <f t="shared" ca="1" si="78"/>
        <v>-1</v>
      </c>
      <c r="AG138">
        <f t="shared" si="79"/>
        <v>0</v>
      </c>
      <c r="AH138">
        <f t="shared" ca="1" si="80"/>
        <v>0</v>
      </c>
    </row>
    <row r="139" spans="1:34" s="12" customFormat="1" x14ac:dyDescent="0.25">
      <c r="A139" s="42">
        <v>138</v>
      </c>
      <c r="B139" s="43"/>
      <c r="C139" s="44"/>
      <c r="D139" s="45"/>
      <c r="E139" s="45"/>
      <c r="F139" s="39"/>
      <c r="G139" s="3"/>
      <c r="H139" s="3"/>
      <c r="I139" s="44"/>
      <c r="J139" s="42" t="str">
        <f t="shared" si="65"/>
        <v/>
      </c>
      <c r="K139" s="42" t="str">
        <f>IF(I139="","",IF($AM$3=1,IFERROR(IF(J139=FALSE,"",VLOOKUP(J139,$AJ$1:$AK$18,2,1)),""),IFERROR(IF(J139 = "FALSE","",VLOOKUP(J139,#REF!,2,TRUE)),"")))</f>
        <v/>
      </c>
      <c r="L139" s="42"/>
      <c r="M139" s="42"/>
      <c r="N139" s="42"/>
      <c r="O139" s="46" t="str">
        <f t="shared" si="66"/>
        <v/>
      </c>
      <c r="P139" s="57" t="str">
        <f>IFERROR(IF(C139="","",IF(AND(Census!C139="E",Census!J139&gt;=18,Census!J139&lt;=65),"Yes","No")),"ERROR")</f>
        <v/>
      </c>
      <c r="Q139" s="58" t="str">
        <f>IFERROR(IF(C139="","",IF(AND(Census!C139="E",Census!J139&gt;=18,Census!J139&lt;=64),"Yes","No")),"ERROR")</f>
        <v/>
      </c>
      <c r="R139" s="59">
        <f t="shared" ca="1" si="67"/>
        <v>-1</v>
      </c>
      <c r="S139" s="60">
        <f t="shared" si="68"/>
        <v>0</v>
      </c>
      <c r="T139" s="61">
        <f t="shared" si="69"/>
        <v>0</v>
      </c>
      <c r="U139" s="61">
        <f t="shared" si="70"/>
        <v>0</v>
      </c>
      <c r="V139" s="61">
        <f t="shared" si="71"/>
        <v>0</v>
      </c>
      <c r="W139" s="61">
        <f t="shared" ca="1" si="72"/>
        <v>-1</v>
      </c>
      <c r="X139" s="62">
        <f t="shared" si="73"/>
        <v>0</v>
      </c>
      <c r="Y139" s="10"/>
      <c r="Z139" s="64" t="s">
        <v>141</v>
      </c>
      <c r="AA139" s="10"/>
      <c r="AB139">
        <f t="shared" si="74"/>
        <v>0</v>
      </c>
      <c r="AC139">
        <f t="shared" si="75"/>
        <v>0</v>
      </c>
      <c r="AD139">
        <f t="shared" si="76"/>
        <v>0</v>
      </c>
      <c r="AE139">
        <f t="shared" si="77"/>
        <v>0</v>
      </c>
      <c r="AF139">
        <f t="shared" ca="1" si="78"/>
        <v>-1</v>
      </c>
      <c r="AG139">
        <f t="shared" si="79"/>
        <v>0</v>
      </c>
      <c r="AH139">
        <f t="shared" ca="1" si="80"/>
        <v>0</v>
      </c>
    </row>
    <row r="140" spans="1:34" s="12" customFormat="1" x14ac:dyDescent="0.25">
      <c r="A140" s="37">
        <v>139</v>
      </c>
      <c r="B140" s="38"/>
      <c r="C140" s="39"/>
      <c r="D140" s="40"/>
      <c r="E140" s="40"/>
      <c r="F140" s="39"/>
      <c r="G140" s="2"/>
      <c r="H140" s="2"/>
      <c r="I140" s="39"/>
      <c r="J140" s="50" t="str">
        <f t="shared" si="65"/>
        <v/>
      </c>
      <c r="K140" s="37" t="str">
        <f>IF(I140="","",IF($AM$3=1,IFERROR(IF(J140=FALSE,"",VLOOKUP(J140,$AJ$1:$AK$18,2,1)),""),IFERROR(IF(J140 = "FALSE","",VLOOKUP(J140,#REF!,2,TRUE)),"")))</f>
        <v/>
      </c>
      <c r="L140" s="37"/>
      <c r="M140" s="37"/>
      <c r="N140" s="37"/>
      <c r="O140" s="41" t="str">
        <f t="shared" si="66"/>
        <v/>
      </c>
      <c r="P140" s="51" t="str">
        <f>IFERROR(IF(C140="","",IF(AND(Census!C140="E",Census!J140&gt;=18,Census!J140&lt;=65),"Yes","No")),"ERROR")</f>
        <v/>
      </c>
      <c r="Q140" s="52" t="str">
        <f>IFERROR(IF(C140="","",IF(AND(Census!C140="E",Census!J140&gt;=18,Census!J140&lt;=64),"Yes","No")),"ERROR")</f>
        <v/>
      </c>
      <c r="R140" s="53">
        <f t="shared" ca="1" si="67"/>
        <v>-1</v>
      </c>
      <c r="S140" s="54">
        <f t="shared" si="68"/>
        <v>0</v>
      </c>
      <c r="T140" s="55">
        <f t="shared" si="69"/>
        <v>0</v>
      </c>
      <c r="U140" s="55">
        <f t="shared" si="70"/>
        <v>0</v>
      </c>
      <c r="V140" s="55">
        <f t="shared" si="71"/>
        <v>0</v>
      </c>
      <c r="W140" s="55">
        <f t="shared" ca="1" si="72"/>
        <v>-1</v>
      </c>
      <c r="X140" s="56">
        <f t="shared" si="73"/>
        <v>0</v>
      </c>
      <c r="Y140" s="10"/>
      <c r="Z140" s="64" t="s">
        <v>126</v>
      </c>
      <c r="AA140" s="10"/>
      <c r="AB140">
        <f t="shared" si="74"/>
        <v>0</v>
      </c>
      <c r="AC140">
        <f t="shared" si="75"/>
        <v>0</v>
      </c>
      <c r="AD140">
        <f t="shared" si="76"/>
        <v>0</v>
      </c>
      <c r="AE140">
        <f t="shared" si="77"/>
        <v>0</v>
      </c>
      <c r="AF140">
        <f t="shared" ca="1" si="78"/>
        <v>-1</v>
      </c>
      <c r="AG140">
        <f t="shared" si="79"/>
        <v>0</v>
      </c>
      <c r="AH140">
        <f t="shared" ca="1" si="80"/>
        <v>0</v>
      </c>
    </row>
    <row r="141" spans="1:34" s="12" customFormat="1" x14ac:dyDescent="0.25">
      <c r="A141" s="42">
        <v>140</v>
      </c>
      <c r="B141" s="43"/>
      <c r="C141" s="44"/>
      <c r="D141" s="45"/>
      <c r="E141" s="45"/>
      <c r="F141" s="39"/>
      <c r="G141" s="3"/>
      <c r="H141" s="3"/>
      <c r="I141" s="44"/>
      <c r="J141" s="42" t="str">
        <f t="shared" si="65"/>
        <v/>
      </c>
      <c r="K141" s="42" t="str">
        <f>IF(I141="","",IF($AM$3=1,IFERROR(IF(J141=FALSE,"",VLOOKUP(J141,$AJ$1:$AK$18,2,1)),""),IFERROR(IF(J141 = "FALSE","",VLOOKUP(J141,#REF!,2,TRUE)),"")))</f>
        <v/>
      </c>
      <c r="L141" s="42"/>
      <c r="M141" s="42"/>
      <c r="N141" s="42"/>
      <c r="O141" s="46" t="str">
        <f t="shared" si="66"/>
        <v/>
      </c>
      <c r="P141" s="57" t="str">
        <f>IFERROR(IF(C141="","",IF(AND(Census!C141="E",Census!J141&gt;=18,Census!J141&lt;=65),"Yes","No")),"ERROR")</f>
        <v/>
      </c>
      <c r="Q141" s="58" t="str">
        <f>IFERROR(IF(C141="","",IF(AND(Census!C141="E",Census!J141&gt;=18,Census!J141&lt;=64),"Yes","No")),"ERROR")</f>
        <v/>
      </c>
      <c r="R141" s="59">
        <f t="shared" ca="1" si="67"/>
        <v>-1</v>
      </c>
      <c r="S141" s="60">
        <f t="shared" si="68"/>
        <v>0</v>
      </c>
      <c r="T141" s="61">
        <f t="shared" si="69"/>
        <v>0</v>
      </c>
      <c r="U141" s="61">
        <f t="shared" si="70"/>
        <v>0</v>
      </c>
      <c r="V141" s="61">
        <f t="shared" si="71"/>
        <v>0</v>
      </c>
      <c r="W141" s="61">
        <f t="shared" ca="1" si="72"/>
        <v>-1</v>
      </c>
      <c r="X141" s="62">
        <f t="shared" si="73"/>
        <v>0</v>
      </c>
      <c r="Y141" s="10"/>
      <c r="Z141" s="64" t="s">
        <v>102</v>
      </c>
      <c r="AA141" s="10"/>
      <c r="AB141">
        <f t="shared" si="74"/>
        <v>0</v>
      </c>
      <c r="AC141">
        <f t="shared" si="75"/>
        <v>0</v>
      </c>
      <c r="AD141">
        <f t="shared" si="76"/>
        <v>0</v>
      </c>
      <c r="AE141">
        <f t="shared" si="77"/>
        <v>0</v>
      </c>
      <c r="AF141">
        <f t="shared" ca="1" si="78"/>
        <v>-1</v>
      </c>
      <c r="AG141">
        <f t="shared" si="79"/>
        <v>0</v>
      </c>
      <c r="AH141">
        <f t="shared" ca="1" si="80"/>
        <v>0</v>
      </c>
    </row>
    <row r="142" spans="1:34" s="12" customFormat="1" x14ac:dyDescent="0.25">
      <c r="A142" s="37">
        <v>141</v>
      </c>
      <c r="B142" s="38"/>
      <c r="C142" s="39"/>
      <c r="D142" s="40"/>
      <c r="E142" s="40"/>
      <c r="F142" s="39"/>
      <c r="G142" s="2"/>
      <c r="H142" s="2"/>
      <c r="I142" s="39"/>
      <c r="J142" s="50" t="str">
        <f t="shared" si="65"/>
        <v/>
      </c>
      <c r="K142" s="37" t="str">
        <f>IF(I142="","",IF($AM$3=1,IFERROR(IF(J142=FALSE,"",VLOOKUP(J142,$AJ$1:$AK$18,2,1)),""),IFERROR(IF(J142 = "FALSE","",VLOOKUP(J142,#REF!,2,TRUE)),"")))</f>
        <v/>
      </c>
      <c r="L142" s="37"/>
      <c r="M142" s="37"/>
      <c r="N142" s="37"/>
      <c r="O142" s="41" t="str">
        <f t="shared" si="66"/>
        <v/>
      </c>
      <c r="P142" s="51" t="str">
        <f>IFERROR(IF(C142="","",IF(AND(Census!C142="E",Census!J142&gt;=18,Census!J142&lt;=65),"Yes","No")),"ERROR")</f>
        <v/>
      </c>
      <c r="Q142" s="52" t="str">
        <f>IFERROR(IF(C142="","",IF(AND(Census!C142="E",Census!J142&gt;=18,Census!J142&lt;=64),"Yes","No")),"ERROR")</f>
        <v/>
      </c>
      <c r="R142" s="53">
        <f t="shared" ca="1" si="67"/>
        <v>-1</v>
      </c>
      <c r="S142" s="54">
        <f t="shared" si="68"/>
        <v>0</v>
      </c>
      <c r="T142" s="55">
        <f t="shared" si="69"/>
        <v>0</v>
      </c>
      <c r="U142" s="55">
        <f t="shared" si="70"/>
        <v>0</v>
      </c>
      <c r="V142" s="55">
        <f t="shared" si="71"/>
        <v>0</v>
      </c>
      <c r="W142" s="55">
        <f t="shared" ca="1" si="72"/>
        <v>-1</v>
      </c>
      <c r="X142" s="56">
        <f t="shared" si="73"/>
        <v>0</v>
      </c>
      <c r="Y142" s="10"/>
      <c r="Z142" s="64" t="s">
        <v>148</v>
      </c>
      <c r="AA142" s="10"/>
      <c r="AB142">
        <f t="shared" si="74"/>
        <v>0</v>
      </c>
      <c r="AC142">
        <f t="shared" si="75"/>
        <v>0</v>
      </c>
      <c r="AD142">
        <f t="shared" si="76"/>
        <v>0</v>
      </c>
      <c r="AE142">
        <f t="shared" si="77"/>
        <v>0</v>
      </c>
      <c r="AF142">
        <f t="shared" ca="1" si="78"/>
        <v>-1</v>
      </c>
      <c r="AG142">
        <f t="shared" si="79"/>
        <v>0</v>
      </c>
      <c r="AH142">
        <f t="shared" ca="1" si="80"/>
        <v>0</v>
      </c>
    </row>
    <row r="143" spans="1:34" s="12" customFormat="1" x14ac:dyDescent="0.25">
      <c r="A143" s="42">
        <v>142</v>
      </c>
      <c r="B143" s="43"/>
      <c r="C143" s="44"/>
      <c r="D143" s="45"/>
      <c r="E143" s="45"/>
      <c r="F143" s="39"/>
      <c r="G143" s="3"/>
      <c r="H143" s="3"/>
      <c r="I143" s="44"/>
      <c r="J143" s="42" t="str">
        <f t="shared" si="65"/>
        <v/>
      </c>
      <c r="K143" s="42" t="str">
        <f>IF(I143="","",IF($AM$3=1,IFERROR(IF(J143=FALSE,"",VLOOKUP(J143,$AJ$1:$AK$18,2,1)),""),IFERROR(IF(J143 = "FALSE","",VLOOKUP(J143,#REF!,2,TRUE)),"")))</f>
        <v/>
      </c>
      <c r="L143" s="42"/>
      <c r="M143" s="42"/>
      <c r="N143" s="42"/>
      <c r="O143" s="46" t="str">
        <f t="shared" si="66"/>
        <v/>
      </c>
      <c r="P143" s="57" t="str">
        <f>IFERROR(IF(C143="","",IF(AND(Census!C143="E",Census!J143&gt;=18,Census!J143&lt;=65),"Yes","No")),"ERROR")</f>
        <v/>
      </c>
      <c r="Q143" s="58" t="str">
        <f>IFERROR(IF(C143="","",IF(AND(Census!C143="E",Census!J143&gt;=18,Census!J143&lt;=64),"Yes","No")),"ERROR")</f>
        <v/>
      </c>
      <c r="R143" s="59">
        <f t="shared" ca="1" si="67"/>
        <v>-1</v>
      </c>
      <c r="S143" s="60">
        <f t="shared" si="68"/>
        <v>0</v>
      </c>
      <c r="T143" s="61">
        <f t="shared" si="69"/>
        <v>0</v>
      </c>
      <c r="U143" s="61">
        <f t="shared" si="70"/>
        <v>0</v>
      </c>
      <c r="V143" s="61">
        <f t="shared" si="71"/>
        <v>0</v>
      </c>
      <c r="W143" s="61">
        <f t="shared" ca="1" si="72"/>
        <v>-1</v>
      </c>
      <c r="X143" s="62">
        <f t="shared" si="73"/>
        <v>0</v>
      </c>
      <c r="Y143" s="10"/>
      <c r="Z143" s="64" t="s">
        <v>186</v>
      </c>
      <c r="AA143" s="10"/>
      <c r="AB143">
        <f t="shared" si="74"/>
        <v>0</v>
      </c>
      <c r="AC143">
        <f t="shared" si="75"/>
        <v>0</v>
      </c>
      <c r="AD143">
        <f t="shared" si="76"/>
        <v>0</v>
      </c>
      <c r="AE143">
        <f t="shared" si="77"/>
        <v>0</v>
      </c>
      <c r="AF143">
        <f t="shared" ca="1" si="78"/>
        <v>-1</v>
      </c>
      <c r="AG143">
        <f t="shared" si="79"/>
        <v>0</v>
      </c>
      <c r="AH143">
        <f t="shared" ca="1" si="80"/>
        <v>0</v>
      </c>
    </row>
    <row r="144" spans="1:34" s="12" customFormat="1" x14ac:dyDescent="0.25">
      <c r="A144" s="37">
        <v>143</v>
      </c>
      <c r="B144" s="38"/>
      <c r="C144" s="39"/>
      <c r="D144" s="40"/>
      <c r="E144" s="40"/>
      <c r="F144" s="39"/>
      <c r="G144" s="2"/>
      <c r="H144" s="2"/>
      <c r="I144" s="39"/>
      <c r="J144" s="50" t="str">
        <f t="shared" si="65"/>
        <v/>
      </c>
      <c r="K144" s="37" t="str">
        <f>IF(I144="","",IF($AM$3=1,IFERROR(IF(J144=FALSE,"",VLOOKUP(J144,$AJ$1:$AK$18,2,1)),""),IFERROR(IF(J144 = "FALSE","",VLOOKUP(J144,#REF!,2,TRUE)),"")))</f>
        <v/>
      </c>
      <c r="L144" s="37"/>
      <c r="M144" s="37"/>
      <c r="N144" s="37"/>
      <c r="O144" s="41" t="str">
        <f t="shared" si="66"/>
        <v/>
      </c>
      <c r="P144" s="51" t="str">
        <f>IFERROR(IF(C144="","",IF(AND(Census!C144="E",Census!J144&gt;=18,Census!J144&lt;=65),"Yes","No")),"ERROR")</f>
        <v/>
      </c>
      <c r="Q144" s="52" t="str">
        <f>IFERROR(IF(C144="","",IF(AND(Census!C144="E",Census!J144&gt;=18,Census!J144&lt;=64),"Yes","No")),"ERROR")</f>
        <v/>
      </c>
      <c r="R144" s="53">
        <f t="shared" ca="1" si="67"/>
        <v>-1</v>
      </c>
      <c r="S144" s="54">
        <f t="shared" si="68"/>
        <v>0</v>
      </c>
      <c r="T144" s="55">
        <f t="shared" si="69"/>
        <v>0</v>
      </c>
      <c r="U144" s="55">
        <f t="shared" si="70"/>
        <v>0</v>
      </c>
      <c r="V144" s="55">
        <f t="shared" si="71"/>
        <v>0</v>
      </c>
      <c r="W144" s="55">
        <f t="shared" ca="1" si="72"/>
        <v>-1</v>
      </c>
      <c r="X144" s="56">
        <f t="shared" si="73"/>
        <v>0</v>
      </c>
      <c r="Y144" s="10"/>
      <c r="Z144" s="64" t="s">
        <v>113</v>
      </c>
      <c r="AA144" s="10"/>
      <c r="AB144">
        <f t="shared" si="74"/>
        <v>0</v>
      </c>
      <c r="AC144">
        <f t="shared" si="75"/>
        <v>0</v>
      </c>
      <c r="AD144">
        <f t="shared" si="76"/>
        <v>0</v>
      </c>
      <c r="AE144">
        <f t="shared" si="77"/>
        <v>0</v>
      </c>
      <c r="AF144">
        <f t="shared" ca="1" si="78"/>
        <v>-1</v>
      </c>
      <c r="AG144">
        <f t="shared" si="79"/>
        <v>0</v>
      </c>
      <c r="AH144">
        <f t="shared" ca="1" si="80"/>
        <v>0</v>
      </c>
    </row>
    <row r="145" spans="1:34" s="12" customFormat="1" x14ac:dyDescent="0.25">
      <c r="A145" s="42">
        <v>144</v>
      </c>
      <c r="B145" s="43"/>
      <c r="C145" s="44"/>
      <c r="D145" s="45"/>
      <c r="E145" s="45"/>
      <c r="F145" s="39"/>
      <c r="G145" s="3"/>
      <c r="H145" s="3"/>
      <c r="I145" s="44"/>
      <c r="J145" s="42" t="str">
        <f t="shared" si="65"/>
        <v/>
      </c>
      <c r="K145" s="42" t="str">
        <f>IF(I145="","",IF($AM$3=1,IFERROR(IF(J145=FALSE,"",VLOOKUP(J145,$AJ$1:$AK$18,2,1)),""),IFERROR(IF(J145 = "FALSE","",VLOOKUP(J145,#REF!,2,TRUE)),"")))</f>
        <v/>
      </c>
      <c r="L145" s="42"/>
      <c r="M145" s="42"/>
      <c r="N145" s="42"/>
      <c r="O145" s="46" t="str">
        <f t="shared" si="66"/>
        <v/>
      </c>
      <c r="P145" s="57" t="str">
        <f>IFERROR(IF(C145="","",IF(AND(Census!C145="E",Census!J145&gt;=18,Census!J145&lt;=65),"Yes","No")),"ERROR")</f>
        <v/>
      </c>
      <c r="Q145" s="58" t="str">
        <f>IFERROR(IF(C145="","",IF(AND(Census!C145="E",Census!J145&gt;=18,Census!J145&lt;=64),"Yes","No")),"ERROR")</f>
        <v/>
      </c>
      <c r="R145" s="59">
        <f t="shared" ca="1" si="67"/>
        <v>-1</v>
      </c>
      <c r="S145" s="60">
        <f t="shared" si="68"/>
        <v>0</v>
      </c>
      <c r="T145" s="61">
        <f t="shared" si="69"/>
        <v>0</v>
      </c>
      <c r="U145" s="61">
        <f t="shared" si="70"/>
        <v>0</v>
      </c>
      <c r="V145" s="61">
        <f t="shared" si="71"/>
        <v>0</v>
      </c>
      <c r="W145" s="61">
        <f t="shared" ca="1" si="72"/>
        <v>-1</v>
      </c>
      <c r="X145" s="62">
        <f t="shared" si="73"/>
        <v>0</v>
      </c>
      <c r="Y145" s="10"/>
      <c r="Z145" s="64" t="s">
        <v>114</v>
      </c>
      <c r="AA145" s="10"/>
      <c r="AB145">
        <f t="shared" si="74"/>
        <v>0</v>
      </c>
      <c r="AC145">
        <f t="shared" si="75"/>
        <v>0</v>
      </c>
      <c r="AD145">
        <f t="shared" si="76"/>
        <v>0</v>
      </c>
      <c r="AE145">
        <f t="shared" si="77"/>
        <v>0</v>
      </c>
      <c r="AF145">
        <f t="shared" ca="1" si="78"/>
        <v>-1</v>
      </c>
      <c r="AG145">
        <f t="shared" si="79"/>
        <v>0</v>
      </c>
      <c r="AH145">
        <f t="shared" ca="1" si="80"/>
        <v>0</v>
      </c>
    </row>
    <row r="146" spans="1:34" s="12" customFormat="1" x14ac:dyDescent="0.25">
      <c r="A146" s="37">
        <v>145</v>
      </c>
      <c r="B146" s="38"/>
      <c r="C146" s="39"/>
      <c r="D146" s="40"/>
      <c r="E146" s="40"/>
      <c r="F146" s="39"/>
      <c r="G146" s="2"/>
      <c r="H146" s="2"/>
      <c r="I146" s="39"/>
      <c r="J146" s="50" t="str">
        <f t="shared" si="65"/>
        <v/>
      </c>
      <c r="K146" s="37" t="str">
        <f>IF(I146="","",IF($AM$3=1,IFERROR(IF(J146=FALSE,"",VLOOKUP(J146,$AJ$1:$AK$18,2,1)),""),IFERROR(IF(J146 = "FALSE","",VLOOKUP(J146,#REF!,2,TRUE)),"")))</f>
        <v/>
      </c>
      <c r="L146" s="37"/>
      <c r="M146" s="37"/>
      <c r="N146" s="37"/>
      <c r="O146" s="41" t="str">
        <f t="shared" si="66"/>
        <v/>
      </c>
      <c r="P146" s="51" t="str">
        <f>IFERROR(IF(C146="","",IF(AND(Census!C146="E",Census!J146&gt;=18,Census!J146&lt;=65),"Yes","No")),"ERROR")</f>
        <v/>
      </c>
      <c r="Q146" s="52" t="str">
        <f>IFERROR(IF(C146="","",IF(AND(Census!C146="E",Census!J146&gt;=18,Census!J146&lt;=64),"Yes","No")),"ERROR")</f>
        <v/>
      </c>
      <c r="R146" s="53">
        <f t="shared" ca="1" si="67"/>
        <v>-1</v>
      </c>
      <c r="S146" s="54">
        <f t="shared" si="68"/>
        <v>0</v>
      </c>
      <c r="T146" s="55">
        <f t="shared" si="69"/>
        <v>0</v>
      </c>
      <c r="U146" s="55">
        <f t="shared" si="70"/>
        <v>0</v>
      </c>
      <c r="V146" s="55">
        <f t="shared" si="71"/>
        <v>0</v>
      </c>
      <c r="W146" s="55">
        <f t="shared" ca="1" si="72"/>
        <v>-1</v>
      </c>
      <c r="X146" s="56">
        <f t="shared" si="73"/>
        <v>0</v>
      </c>
      <c r="Y146" s="10"/>
      <c r="Z146" s="64" t="s">
        <v>103</v>
      </c>
      <c r="AA146" s="10"/>
      <c r="AB146">
        <f t="shared" si="74"/>
        <v>0</v>
      </c>
      <c r="AC146">
        <f t="shared" si="75"/>
        <v>0</v>
      </c>
      <c r="AD146">
        <f t="shared" si="76"/>
        <v>0</v>
      </c>
      <c r="AE146">
        <f t="shared" si="77"/>
        <v>0</v>
      </c>
      <c r="AF146">
        <f t="shared" ca="1" si="78"/>
        <v>-1</v>
      </c>
      <c r="AG146">
        <f t="shared" si="79"/>
        <v>0</v>
      </c>
      <c r="AH146">
        <f t="shared" ca="1" si="80"/>
        <v>0</v>
      </c>
    </row>
    <row r="147" spans="1:34" s="12" customFormat="1" x14ac:dyDescent="0.25">
      <c r="A147" s="42">
        <v>146</v>
      </c>
      <c r="B147" s="43"/>
      <c r="C147" s="44"/>
      <c r="D147" s="45"/>
      <c r="E147" s="45"/>
      <c r="F147" s="39"/>
      <c r="G147" s="3"/>
      <c r="H147" s="3"/>
      <c r="I147" s="44"/>
      <c r="J147" s="42" t="str">
        <f t="shared" si="65"/>
        <v/>
      </c>
      <c r="K147" s="42" t="str">
        <f>IF(I147="","",IF($AM$3=1,IFERROR(IF(J147=FALSE,"",VLOOKUP(J147,$AJ$1:$AK$18,2,1)),""),IFERROR(IF(J147 = "FALSE","",VLOOKUP(J147,#REF!,2,TRUE)),"")))</f>
        <v/>
      </c>
      <c r="L147" s="42"/>
      <c r="M147" s="42"/>
      <c r="N147" s="42"/>
      <c r="O147" s="46" t="str">
        <f t="shared" si="66"/>
        <v/>
      </c>
      <c r="P147" s="57" t="str">
        <f>IFERROR(IF(C147="","",IF(AND(Census!C147="E",Census!J147&gt;=18,Census!J147&lt;=65),"Yes","No")),"ERROR")</f>
        <v/>
      </c>
      <c r="Q147" s="58" t="str">
        <f>IFERROR(IF(C147="","",IF(AND(Census!C147="E",Census!J147&gt;=18,Census!J147&lt;=64),"Yes","No")),"ERROR")</f>
        <v/>
      </c>
      <c r="R147" s="59">
        <f t="shared" ca="1" si="67"/>
        <v>-1</v>
      </c>
      <c r="S147" s="60">
        <f t="shared" si="68"/>
        <v>0</v>
      </c>
      <c r="T147" s="61">
        <f t="shared" si="69"/>
        <v>0</v>
      </c>
      <c r="U147" s="61">
        <f t="shared" si="70"/>
        <v>0</v>
      </c>
      <c r="V147" s="61">
        <f t="shared" si="71"/>
        <v>0</v>
      </c>
      <c r="W147" s="61">
        <f t="shared" ca="1" si="72"/>
        <v>-1</v>
      </c>
      <c r="X147" s="62">
        <f t="shared" si="73"/>
        <v>0</v>
      </c>
      <c r="Y147" s="10"/>
      <c r="Z147" s="64" t="s">
        <v>160</v>
      </c>
      <c r="AA147" s="10"/>
      <c r="AB147">
        <f t="shared" si="74"/>
        <v>0</v>
      </c>
      <c r="AC147">
        <f t="shared" si="75"/>
        <v>0</v>
      </c>
      <c r="AD147">
        <f t="shared" si="76"/>
        <v>0</v>
      </c>
      <c r="AE147">
        <f t="shared" si="77"/>
        <v>0</v>
      </c>
      <c r="AF147">
        <f t="shared" ca="1" si="78"/>
        <v>-1</v>
      </c>
      <c r="AG147">
        <f t="shared" si="79"/>
        <v>0</v>
      </c>
      <c r="AH147">
        <f t="shared" ca="1" si="80"/>
        <v>0</v>
      </c>
    </row>
    <row r="148" spans="1:34" s="12" customFormat="1" x14ac:dyDescent="0.25">
      <c r="A148" s="37">
        <v>147</v>
      </c>
      <c r="B148" s="38"/>
      <c r="C148" s="39"/>
      <c r="D148" s="40"/>
      <c r="E148" s="40"/>
      <c r="F148" s="39"/>
      <c r="G148" s="2"/>
      <c r="H148" s="2"/>
      <c r="I148" s="39"/>
      <c r="J148" s="50" t="str">
        <f t="shared" si="65"/>
        <v/>
      </c>
      <c r="K148" s="37" t="str">
        <f>IF(I148="","",IF($AM$3=1,IFERROR(IF(J148=FALSE,"",VLOOKUP(J148,$AJ$1:$AK$18,2,1)),""),IFERROR(IF(J148 = "FALSE","",VLOOKUP(J148,#REF!,2,TRUE)),"")))</f>
        <v/>
      </c>
      <c r="L148" s="37"/>
      <c r="M148" s="37"/>
      <c r="N148" s="37"/>
      <c r="O148" s="41" t="str">
        <f t="shared" si="66"/>
        <v/>
      </c>
      <c r="P148" s="51" t="str">
        <f>IFERROR(IF(C148="","",IF(AND(Census!C148="E",Census!J148&gt;=18,Census!J148&lt;=65),"Yes","No")),"ERROR")</f>
        <v/>
      </c>
      <c r="Q148" s="52" t="str">
        <f>IFERROR(IF(C148="","",IF(AND(Census!C148="E",Census!J148&gt;=18,Census!J148&lt;=64),"Yes","No")),"ERROR")</f>
        <v/>
      </c>
      <c r="R148" s="53">
        <f t="shared" ca="1" si="67"/>
        <v>-1</v>
      </c>
      <c r="S148" s="54">
        <f t="shared" si="68"/>
        <v>0</v>
      </c>
      <c r="T148" s="55">
        <f t="shared" si="69"/>
        <v>0</v>
      </c>
      <c r="U148" s="55">
        <f t="shared" si="70"/>
        <v>0</v>
      </c>
      <c r="V148" s="55">
        <f t="shared" si="71"/>
        <v>0</v>
      </c>
      <c r="W148" s="55">
        <f t="shared" ca="1" si="72"/>
        <v>-1</v>
      </c>
      <c r="X148" s="56">
        <f t="shared" si="73"/>
        <v>0</v>
      </c>
      <c r="Y148" s="10"/>
      <c r="Z148" s="64" t="s">
        <v>203</v>
      </c>
      <c r="AA148" s="10"/>
      <c r="AB148">
        <f t="shared" si="74"/>
        <v>0</v>
      </c>
      <c r="AC148">
        <f t="shared" si="75"/>
        <v>0</v>
      </c>
      <c r="AD148">
        <f t="shared" si="76"/>
        <v>0</v>
      </c>
      <c r="AE148">
        <f t="shared" si="77"/>
        <v>0</v>
      </c>
      <c r="AF148">
        <f t="shared" ca="1" si="78"/>
        <v>-1</v>
      </c>
      <c r="AG148">
        <f t="shared" si="79"/>
        <v>0</v>
      </c>
      <c r="AH148">
        <f t="shared" ca="1" si="80"/>
        <v>0</v>
      </c>
    </row>
    <row r="149" spans="1:34" s="12" customFormat="1" x14ac:dyDescent="0.25">
      <c r="A149" s="42">
        <v>148</v>
      </c>
      <c r="B149" s="43"/>
      <c r="C149" s="44"/>
      <c r="D149" s="45"/>
      <c r="E149" s="45"/>
      <c r="F149" s="39"/>
      <c r="G149" s="3"/>
      <c r="H149" s="3"/>
      <c r="I149" s="44"/>
      <c r="J149" s="42" t="str">
        <f t="shared" si="65"/>
        <v/>
      </c>
      <c r="K149" s="42" t="str">
        <f>IF(I149="","",IF($AM$3=1,IFERROR(IF(J149=FALSE,"",VLOOKUP(J149,$AJ$1:$AK$18,2,1)),""),IFERROR(IF(J149 = "FALSE","",VLOOKUP(J149,#REF!,2,TRUE)),"")))</f>
        <v/>
      </c>
      <c r="L149" s="42"/>
      <c r="M149" s="42"/>
      <c r="N149" s="42"/>
      <c r="O149" s="46" t="str">
        <f t="shared" si="66"/>
        <v/>
      </c>
      <c r="P149" s="57" t="str">
        <f>IFERROR(IF(C149="","",IF(AND(Census!C149="E",Census!J149&gt;=18,Census!J149&lt;=65),"Yes","No")),"ERROR")</f>
        <v/>
      </c>
      <c r="Q149" s="58" t="str">
        <f>IFERROR(IF(C149="","",IF(AND(Census!C149="E",Census!J149&gt;=18,Census!J149&lt;=64),"Yes","No")),"ERROR")</f>
        <v/>
      </c>
      <c r="R149" s="59">
        <f t="shared" ca="1" si="67"/>
        <v>-1</v>
      </c>
      <c r="S149" s="60">
        <f t="shared" si="68"/>
        <v>0</v>
      </c>
      <c r="T149" s="61">
        <f t="shared" si="69"/>
        <v>0</v>
      </c>
      <c r="U149" s="61">
        <f t="shared" si="70"/>
        <v>0</v>
      </c>
      <c r="V149" s="61">
        <f t="shared" si="71"/>
        <v>0</v>
      </c>
      <c r="W149" s="61">
        <f t="shared" ca="1" si="72"/>
        <v>-1</v>
      </c>
      <c r="X149" s="62">
        <f t="shared" si="73"/>
        <v>0</v>
      </c>
      <c r="Y149" s="10"/>
      <c r="Z149" s="64" t="s">
        <v>270</v>
      </c>
      <c r="AA149" s="10"/>
      <c r="AB149">
        <f t="shared" si="74"/>
        <v>0</v>
      </c>
      <c r="AC149">
        <f t="shared" si="75"/>
        <v>0</v>
      </c>
      <c r="AD149">
        <f t="shared" si="76"/>
        <v>0</v>
      </c>
      <c r="AE149">
        <f t="shared" si="77"/>
        <v>0</v>
      </c>
      <c r="AF149">
        <f t="shared" ca="1" si="78"/>
        <v>-1</v>
      </c>
      <c r="AG149">
        <f t="shared" si="79"/>
        <v>0</v>
      </c>
      <c r="AH149">
        <f t="shared" ca="1" si="80"/>
        <v>0</v>
      </c>
    </row>
    <row r="150" spans="1:34" s="12" customFormat="1" x14ac:dyDescent="0.25">
      <c r="A150" s="37">
        <v>149</v>
      </c>
      <c r="B150" s="38"/>
      <c r="C150" s="39"/>
      <c r="D150" s="40"/>
      <c r="E150" s="40"/>
      <c r="F150" s="39"/>
      <c r="G150" s="2"/>
      <c r="H150" s="2"/>
      <c r="I150" s="39"/>
      <c r="J150" s="50" t="str">
        <f t="shared" si="65"/>
        <v/>
      </c>
      <c r="K150" s="37" t="str">
        <f>IF(I150="","",IF($AM$3=1,IFERROR(IF(J150=FALSE,"",VLOOKUP(J150,$AJ$1:$AK$18,2,1)),""),IFERROR(IF(J150 = "FALSE","",VLOOKUP(J150,#REF!,2,TRUE)),"")))</f>
        <v/>
      </c>
      <c r="L150" s="37"/>
      <c r="M150" s="37"/>
      <c r="N150" s="37"/>
      <c r="O150" s="41" t="str">
        <f t="shared" si="66"/>
        <v/>
      </c>
      <c r="P150" s="51" t="str">
        <f>IFERROR(IF(C150="","",IF(AND(Census!C150="E",Census!J150&gt;=18,Census!J150&lt;=65),"Yes","No")),"ERROR")</f>
        <v/>
      </c>
      <c r="Q150" s="52" t="str">
        <f>IFERROR(IF(C150="","",IF(AND(Census!C150="E",Census!J150&gt;=18,Census!J150&lt;=64),"Yes","No")),"ERROR")</f>
        <v/>
      </c>
      <c r="R150" s="53">
        <f t="shared" ca="1" si="67"/>
        <v>-1</v>
      </c>
      <c r="S150" s="54">
        <f t="shared" si="68"/>
        <v>0</v>
      </c>
      <c r="T150" s="55">
        <f t="shared" si="69"/>
        <v>0</v>
      </c>
      <c r="U150" s="55">
        <f t="shared" si="70"/>
        <v>0</v>
      </c>
      <c r="V150" s="55">
        <f t="shared" si="71"/>
        <v>0</v>
      </c>
      <c r="W150" s="55">
        <f t="shared" ca="1" si="72"/>
        <v>-1</v>
      </c>
      <c r="X150" s="56">
        <f t="shared" si="73"/>
        <v>0</v>
      </c>
      <c r="Y150" s="10"/>
      <c r="Z150" s="64" t="s">
        <v>215</v>
      </c>
      <c r="AA150" s="10"/>
      <c r="AB150">
        <f t="shared" si="74"/>
        <v>0</v>
      </c>
      <c r="AC150">
        <f t="shared" si="75"/>
        <v>0</v>
      </c>
      <c r="AD150">
        <f t="shared" si="76"/>
        <v>0</v>
      </c>
      <c r="AE150">
        <f t="shared" si="77"/>
        <v>0</v>
      </c>
      <c r="AF150">
        <f t="shared" ca="1" si="78"/>
        <v>-1</v>
      </c>
      <c r="AG150">
        <f t="shared" si="79"/>
        <v>0</v>
      </c>
      <c r="AH150">
        <f t="shared" ca="1" si="80"/>
        <v>0</v>
      </c>
    </row>
    <row r="151" spans="1:34" s="12" customFormat="1" x14ac:dyDescent="0.25">
      <c r="A151" s="42">
        <v>150</v>
      </c>
      <c r="B151" s="43"/>
      <c r="C151" s="44"/>
      <c r="D151" s="45"/>
      <c r="E151" s="45"/>
      <c r="F151" s="39"/>
      <c r="G151" s="3"/>
      <c r="H151" s="3"/>
      <c r="I151" s="44"/>
      <c r="J151" s="42" t="str">
        <f t="shared" si="65"/>
        <v/>
      </c>
      <c r="K151" s="42" t="str">
        <f>IF(I151="","",IF($AM$3=1,IFERROR(IF(J151=FALSE,"",VLOOKUP(J151,$AJ$1:$AK$18,2,1)),""),IFERROR(IF(J151 = "FALSE","",VLOOKUP(J151,#REF!,2,TRUE)),"")))</f>
        <v/>
      </c>
      <c r="L151" s="42"/>
      <c r="M151" s="42"/>
      <c r="N151" s="42"/>
      <c r="O151" s="46" t="str">
        <f t="shared" si="66"/>
        <v/>
      </c>
      <c r="P151" s="57" t="str">
        <f>IFERROR(IF(C151="","",IF(AND(Census!C151="E",Census!J151&gt;=18,Census!J151&lt;=65),"Yes","No")),"ERROR")</f>
        <v/>
      </c>
      <c r="Q151" s="58" t="str">
        <f>IFERROR(IF(C151="","",IF(AND(Census!C151="E",Census!J151&gt;=18,Census!J151&lt;=64),"Yes","No")),"ERROR")</f>
        <v/>
      </c>
      <c r="R151" s="59">
        <f t="shared" ca="1" si="67"/>
        <v>-1</v>
      </c>
      <c r="S151" s="60">
        <f t="shared" si="68"/>
        <v>0</v>
      </c>
      <c r="T151" s="61">
        <f t="shared" si="69"/>
        <v>0</v>
      </c>
      <c r="U151" s="61">
        <f t="shared" si="70"/>
        <v>0</v>
      </c>
      <c r="V151" s="61">
        <f t="shared" si="71"/>
        <v>0</v>
      </c>
      <c r="W151" s="61">
        <f t="shared" ca="1" si="72"/>
        <v>-1</v>
      </c>
      <c r="X151" s="62">
        <f t="shared" si="73"/>
        <v>0</v>
      </c>
      <c r="Y151" s="10"/>
      <c r="Z151" s="64" t="s">
        <v>149</v>
      </c>
      <c r="AA151" s="10"/>
      <c r="AB151">
        <f t="shared" si="74"/>
        <v>0</v>
      </c>
      <c r="AC151">
        <f t="shared" si="75"/>
        <v>0</v>
      </c>
      <c r="AD151">
        <f t="shared" si="76"/>
        <v>0</v>
      </c>
      <c r="AE151">
        <f t="shared" si="77"/>
        <v>0</v>
      </c>
      <c r="AF151">
        <f t="shared" ca="1" si="78"/>
        <v>-1</v>
      </c>
      <c r="AG151">
        <f t="shared" si="79"/>
        <v>0</v>
      </c>
      <c r="AH151">
        <f t="shared" ca="1" si="80"/>
        <v>0</v>
      </c>
    </row>
    <row r="152" spans="1:34" s="12" customFormat="1" x14ac:dyDescent="0.25">
      <c r="A152" s="37">
        <v>151</v>
      </c>
      <c r="B152" s="38"/>
      <c r="C152" s="39"/>
      <c r="D152" s="40"/>
      <c r="E152" s="40"/>
      <c r="F152" s="39"/>
      <c r="G152" s="2"/>
      <c r="H152" s="2"/>
      <c r="I152" s="39"/>
      <c r="J152" s="50" t="str">
        <f t="shared" si="65"/>
        <v/>
      </c>
      <c r="K152" s="37" t="str">
        <f>IF(I152="","",IF($AM$3=1,IFERROR(IF(J152=FALSE,"",VLOOKUP(J152,$AJ$1:$AK$18,2,1)),""),IFERROR(IF(J152 = "FALSE","",VLOOKUP(J152,#REF!,2,TRUE)),"")))</f>
        <v/>
      </c>
      <c r="L152" s="37"/>
      <c r="M152" s="37"/>
      <c r="N152" s="37"/>
      <c r="O152" s="41" t="str">
        <f t="shared" si="66"/>
        <v/>
      </c>
      <c r="P152" s="51" t="str">
        <f>IFERROR(IF(C152="","",IF(AND(Census!C152="E",Census!J152&gt;=18,Census!J152&lt;=65),"Yes","No")),"ERROR")</f>
        <v/>
      </c>
      <c r="Q152" s="52" t="str">
        <f>IFERROR(IF(C152="","",IF(AND(Census!C152="E",Census!J152&gt;=18,Census!J152&lt;=64),"Yes","No")),"ERROR")</f>
        <v/>
      </c>
      <c r="R152" s="53">
        <f t="shared" ca="1" si="67"/>
        <v>-1</v>
      </c>
      <c r="S152" s="54">
        <f t="shared" si="68"/>
        <v>0</v>
      </c>
      <c r="T152" s="55">
        <f t="shared" si="69"/>
        <v>0</v>
      </c>
      <c r="U152" s="55">
        <f t="shared" si="70"/>
        <v>0</v>
      </c>
      <c r="V152" s="55">
        <f t="shared" si="71"/>
        <v>0</v>
      </c>
      <c r="W152" s="55">
        <f t="shared" ca="1" si="72"/>
        <v>-1</v>
      </c>
      <c r="X152" s="56">
        <f t="shared" si="73"/>
        <v>0</v>
      </c>
      <c r="Y152" s="10"/>
      <c r="Z152" s="64" t="s">
        <v>271</v>
      </c>
      <c r="AA152" s="10"/>
      <c r="AB152">
        <f t="shared" si="74"/>
        <v>0</v>
      </c>
      <c r="AC152">
        <f t="shared" si="75"/>
        <v>0</v>
      </c>
      <c r="AD152">
        <f t="shared" si="76"/>
        <v>0</v>
      </c>
      <c r="AE152">
        <f t="shared" si="77"/>
        <v>0</v>
      </c>
      <c r="AF152">
        <f t="shared" ca="1" si="78"/>
        <v>-1</v>
      </c>
      <c r="AG152">
        <f t="shared" si="79"/>
        <v>0</v>
      </c>
      <c r="AH152">
        <f t="shared" ca="1" si="80"/>
        <v>0</v>
      </c>
    </row>
    <row r="153" spans="1:34" s="12" customFormat="1" x14ac:dyDescent="0.25">
      <c r="A153" s="42">
        <v>152</v>
      </c>
      <c r="B153" s="43"/>
      <c r="C153" s="44"/>
      <c r="D153" s="45"/>
      <c r="E153" s="45"/>
      <c r="F153" s="39"/>
      <c r="G153" s="3"/>
      <c r="H153" s="3"/>
      <c r="I153" s="44"/>
      <c r="J153" s="42" t="str">
        <f t="shared" si="65"/>
        <v/>
      </c>
      <c r="K153" s="42" t="str">
        <f>IF(I153="","",IF($AM$3=1,IFERROR(IF(J153=FALSE,"",VLOOKUP(J153,$AJ$1:$AK$18,2,1)),""),IFERROR(IF(J153 = "FALSE","",VLOOKUP(J153,#REF!,2,TRUE)),"")))</f>
        <v/>
      </c>
      <c r="L153" s="42"/>
      <c r="M153" s="42"/>
      <c r="N153" s="42"/>
      <c r="O153" s="46" t="str">
        <f t="shared" si="66"/>
        <v/>
      </c>
      <c r="P153" s="57" t="str">
        <f>IFERROR(IF(C153="","",IF(AND(Census!C153="E",Census!J153&gt;=18,Census!J153&lt;=65),"Yes","No")),"ERROR")</f>
        <v/>
      </c>
      <c r="Q153" s="58" t="str">
        <f>IFERROR(IF(C153="","",IF(AND(Census!C153="E",Census!J153&gt;=18,Census!J153&lt;=64),"Yes","No")),"ERROR")</f>
        <v/>
      </c>
      <c r="R153" s="59">
        <f t="shared" ca="1" si="67"/>
        <v>-1</v>
      </c>
      <c r="S153" s="60">
        <f t="shared" si="68"/>
        <v>0</v>
      </c>
      <c r="T153" s="61">
        <f t="shared" si="69"/>
        <v>0</v>
      </c>
      <c r="U153" s="61">
        <f t="shared" si="70"/>
        <v>0</v>
      </c>
      <c r="V153" s="61">
        <f t="shared" si="71"/>
        <v>0</v>
      </c>
      <c r="W153" s="61">
        <f t="shared" ca="1" si="72"/>
        <v>-1</v>
      </c>
      <c r="X153" s="62">
        <f t="shared" si="73"/>
        <v>0</v>
      </c>
      <c r="Y153" s="10"/>
      <c r="Z153" s="64" t="s">
        <v>163</v>
      </c>
      <c r="AA153" s="10"/>
      <c r="AB153">
        <f t="shared" si="74"/>
        <v>0</v>
      </c>
      <c r="AC153">
        <f t="shared" si="75"/>
        <v>0</v>
      </c>
      <c r="AD153">
        <f t="shared" si="76"/>
        <v>0</v>
      </c>
      <c r="AE153">
        <f t="shared" si="77"/>
        <v>0</v>
      </c>
      <c r="AF153">
        <f t="shared" ca="1" si="78"/>
        <v>-1</v>
      </c>
      <c r="AG153">
        <f t="shared" si="79"/>
        <v>0</v>
      </c>
      <c r="AH153">
        <f t="shared" ca="1" si="80"/>
        <v>0</v>
      </c>
    </row>
    <row r="154" spans="1:34" s="12" customFormat="1" x14ac:dyDescent="0.25">
      <c r="A154" s="37">
        <v>153</v>
      </c>
      <c r="B154" s="38"/>
      <c r="C154" s="39"/>
      <c r="D154" s="40"/>
      <c r="E154" s="40"/>
      <c r="F154" s="39"/>
      <c r="G154" s="2"/>
      <c r="H154" s="2"/>
      <c r="I154" s="39"/>
      <c r="J154" s="50" t="str">
        <f t="shared" si="65"/>
        <v/>
      </c>
      <c r="K154" s="37" t="str">
        <f>IF(I154="","",IF($AM$3=1,IFERROR(IF(J154=FALSE,"",VLOOKUP(J154,$AJ$1:$AK$18,2,1)),""),IFERROR(IF(J154 = "FALSE","",VLOOKUP(J154,#REF!,2,TRUE)),"")))</f>
        <v/>
      </c>
      <c r="L154" s="37"/>
      <c r="M154" s="37"/>
      <c r="N154" s="37"/>
      <c r="O154" s="41" t="str">
        <f t="shared" si="66"/>
        <v/>
      </c>
      <c r="P154" s="51" t="str">
        <f>IFERROR(IF(C154="","",IF(AND(Census!C154="E",Census!J154&gt;=18,Census!J154&lt;=65),"Yes","No")),"ERROR")</f>
        <v/>
      </c>
      <c r="Q154" s="52" t="str">
        <f>IFERROR(IF(C154="","",IF(AND(Census!C154="E",Census!J154&gt;=18,Census!J154&lt;=64),"Yes","No")),"ERROR")</f>
        <v/>
      </c>
      <c r="R154" s="53">
        <f t="shared" ca="1" si="67"/>
        <v>-1</v>
      </c>
      <c r="S154" s="54">
        <f t="shared" si="68"/>
        <v>0</v>
      </c>
      <c r="T154" s="55">
        <f t="shared" si="69"/>
        <v>0</v>
      </c>
      <c r="U154" s="55">
        <f t="shared" si="70"/>
        <v>0</v>
      </c>
      <c r="V154" s="55">
        <f t="shared" si="71"/>
        <v>0</v>
      </c>
      <c r="W154" s="55">
        <f t="shared" ca="1" si="72"/>
        <v>-1</v>
      </c>
      <c r="X154" s="56">
        <f t="shared" si="73"/>
        <v>0</v>
      </c>
      <c r="Y154" s="10"/>
      <c r="Z154" s="64" t="s">
        <v>272</v>
      </c>
      <c r="AA154" s="10"/>
      <c r="AB154">
        <f t="shared" si="74"/>
        <v>0</v>
      </c>
      <c r="AC154">
        <f t="shared" si="75"/>
        <v>0</v>
      </c>
      <c r="AD154">
        <f t="shared" si="76"/>
        <v>0</v>
      </c>
      <c r="AE154">
        <f t="shared" si="77"/>
        <v>0</v>
      </c>
      <c r="AF154">
        <f t="shared" ca="1" si="78"/>
        <v>-1</v>
      </c>
      <c r="AG154">
        <f t="shared" si="79"/>
        <v>0</v>
      </c>
      <c r="AH154">
        <f t="shared" ca="1" si="80"/>
        <v>0</v>
      </c>
    </row>
    <row r="155" spans="1:34" s="12" customFormat="1" x14ac:dyDescent="0.25">
      <c r="A155" s="42">
        <v>154</v>
      </c>
      <c r="B155" s="43"/>
      <c r="C155" s="44"/>
      <c r="D155" s="45"/>
      <c r="E155" s="45"/>
      <c r="F155" s="39"/>
      <c r="G155" s="3"/>
      <c r="H155" s="3"/>
      <c r="I155" s="44"/>
      <c r="J155" s="42" t="str">
        <f t="shared" si="65"/>
        <v/>
      </c>
      <c r="K155" s="42" t="str">
        <f>IF(I155="","",IF($AM$3=1,IFERROR(IF(J155=FALSE,"",VLOOKUP(J155,$AJ$1:$AK$18,2,1)),""),IFERROR(IF(J155 = "FALSE","",VLOOKUP(J155,#REF!,2,TRUE)),"")))</f>
        <v/>
      </c>
      <c r="L155" s="42"/>
      <c r="M155" s="42"/>
      <c r="N155" s="42"/>
      <c r="O155" s="46" t="str">
        <f t="shared" si="66"/>
        <v/>
      </c>
      <c r="P155" s="57" t="str">
        <f>IFERROR(IF(C155="","",IF(AND(Census!C155="E",Census!J155&gt;=18,Census!J155&lt;=65),"Yes","No")),"ERROR")</f>
        <v/>
      </c>
      <c r="Q155" s="58" t="str">
        <f>IFERROR(IF(C155="","",IF(AND(Census!C155="E",Census!J155&gt;=18,Census!J155&lt;=64),"Yes","No")),"ERROR")</f>
        <v/>
      </c>
      <c r="R155" s="59">
        <f t="shared" ca="1" si="67"/>
        <v>-1</v>
      </c>
      <c r="S155" s="60">
        <f t="shared" si="68"/>
        <v>0</v>
      </c>
      <c r="T155" s="61">
        <f t="shared" si="69"/>
        <v>0</v>
      </c>
      <c r="U155" s="61">
        <f t="shared" si="70"/>
        <v>0</v>
      </c>
      <c r="V155" s="61">
        <f t="shared" si="71"/>
        <v>0</v>
      </c>
      <c r="W155" s="61">
        <f t="shared" ca="1" si="72"/>
        <v>-1</v>
      </c>
      <c r="X155" s="62">
        <f t="shared" si="73"/>
        <v>0</v>
      </c>
      <c r="Y155" s="10"/>
      <c r="Z155" s="64" t="s">
        <v>212</v>
      </c>
      <c r="AA155" s="10"/>
      <c r="AB155">
        <f t="shared" si="74"/>
        <v>0</v>
      </c>
      <c r="AC155">
        <f t="shared" si="75"/>
        <v>0</v>
      </c>
      <c r="AD155">
        <f t="shared" si="76"/>
        <v>0</v>
      </c>
      <c r="AE155">
        <f t="shared" si="77"/>
        <v>0</v>
      </c>
      <c r="AF155">
        <f t="shared" ca="1" si="78"/>
        <v>-1</v>
      </c>
      <c r="AG155">
        <f t="shared" si="79"/>
        <v>0</v>
      </c>
      <c r="AH155">
        <f t="shared" ca="1" si="80"/>
        <v>0</v>
      </c>
    </row>
    <row r="156" spans="1:34" s="12" customFormat="1" x14ac:dyDescent="0.25">
      <c r="A156" s="37">
        <v>155</v>
      </c>
      <c r="B156" s="38"/>
      <c r="C156" s="39"/>
      <c r="D156" s="40"/>
      <c r="E156" s="40"/>
      <c r="F156" s="39"/>
      <c r="G156" s="2"/>
      <c r="H156" s="2"/>
      <c r="I156" s="39"/>
      <c r="J156" s="50" t="str">
        <f t="shared" si="65"/>
        <v/>
      </c>
      <c r="K156" s="37" t="str">
        <f>IF(I156="","",IF($AM$3=1,IFERROR(IF(J156=FALSE,"",VLOOKUP(J156,$AJ$1:$AK$18,2,1)),""),IFERROR(IF(J156 = "FALSE","",VLOOKUP(J156,#REF!,2,TRUE)),"")))</f>
        <v/>
      </c>
      <c r="L156" s="37"/>
      <c r="M156" s="37"/>
      <c r="N156" s="37"/>
      <c r="O156" s="41" t="str">
        <f t="shared" si="66"/>
        <v/>
      </c>
      <c r="P156" s="51" t="str">
        <f>IFERROR(IF(C156="","",IF(AND(Census!C156="E",Census!J156&gt;=18,Census!J156&lt;=65),"Yes","No")),"ERROR")</f>
        <v/>
      </c>
      <c r="Q156" s="52" t="str">
        <f>IFERROR(IF(C156="","",IF(AND(Census!C156="E",Census!J156&gt;=18,Census!J156&lt;=64),"Yes","No")),"ERROR")</f>
        <v/>
      </c>
      <c r="R156" s="53">
        <f t="shared" ca="1" si="67"/>
        <v>-1</v>
      </c>
      <c r="S156" s="54">
        <f t="shared" si="68"/>
        <v>0</v>
      </c>
      <c r="T156" s="55">
        <f t="shared" si="69"/>
        <v>0</v>
      </c>
      <c r="U156" s="55">
        <f t="shared" si="70"/>
        <v>0</v>
      </c>
      <c r="V156" s="55">
        <f t="shared" si="71"/>
        <v>0</v>
      </c>
      <c r="W156" s="55">
        <f t="shared" ca="1" si="72"/>
        <v>-1</v>
      </c>
      <c r="X156" s="56">
        <f t="shared" si="73"/>
        <v>0</v>
      </c>
      <c r="Y156" s="10"/>
      <c r="Z156" s="64" t="s">
        <v>222</v>
      </c>
      <c r="AA156" s="10"/>
      <c r="AB156">
        <f t="shared" si="74"/>
        <v>0</v>
      </c>
      <c r="AC156">
        <f t="shared" si="75"/>
        <v>0</v>
      </c>
      <c r="AD156">
        <f t="shared" si="76"/>
        <v>0</v>
      </c>
      <c r="AE156">
        <f t="shared" si="77"/>
        <v>0</v>
      </c>
      <c r="AF156">
        <f t="shared" ca="1" si="78"/>
        <v>-1</v>
      </c>
      <c r="AG156">
        <f t="shared" si="79"/>
        <v>0</v>
      </c>
      <c r="AH156">
        <f t="shared" ca="1" si="80"/>
        <v>0</v>
      </c>
    </row>
    <row r="157" spans="1:34" s="12" customFormat="1" x14ac:dyDescent="0.25">
      <c r="A157" s="42">
        <v>156</v>
      </c>
      <c r="B157" s="43"/>
      <c r="C157" s="44"/>
      <c r="D157" s="45"/>
      <c r="E157" s="45"/>
      <c r="F157" s="39"/>
      <c r="G157" s="3"/>
      <c r="H157" s="3"/>
      <c r="I157" s="44"/>
      <c r="J157" s="42" t="str">
        <f t="shared" si="65"/>
        <v/>
      </c>
      <c r="K157" s="42" t="str">
        <f>IF(I157="","",IF($AM$3=1,IFERROR(IF(J157=FALSE,"",VLOOKUP(J157,$AJ$1:$AK$18,2,1)),""),IFERROR(IF(J157 = "FALSE","",VLOOKUP(J157,#REF!,2,TRUE)),"")))</f>
        <v/>
      </c>
      <c r="L157" s="42"/>
      <c r="M157" s="42"/>
      <c r="N157" s="42"/>
      <c r="O157" s="46" t="str">
        <f t="shared" si="66"/>
        <v/>
      </c>
      <c r="P157" s="57" t="str">
        <f>IFERROR(IF(C157="","",IF(AND(Census!C157="E",Census!J157&gt;=18,Census!J157&lt;=65),"Yes","No")),"ERROR")</f>
        <v/>
      </c>
      <c r="Q157" s="58" t="str">
        <f>IFERROR(IF(C157="","",IF(AND(Census!C157="E",Census!J157&gt;=18,Census!J157&lt;=64),"Yes","No")),"ERROR")</f>
        <v/>
      </c>
      <c r="R157" s="59">
        <f t="shared" ca="1" si="67"/>
        <v>-1</v>
      </c>
      <c r="S157" s="60">
        <f t="shared" si="68"/>
        <v>0</v>
      </c>
      <c r="T157" s="61">
        <f t="shared" si="69"/>
        <v>0</v>
      </c>
      <c r="U157" s="61">
        <f t="shared" si="70"/>
        <v>0</v>
      </c>
      <c r="V157" s="61">
        <f t="shared" si="71"/>
        <v>0</v>
      </c>
      <c r="W157" s="61">
        <f t="shared" ca="1" si="72"/>
        <v>-1</v>
      </c>
      <c r="X157" s="62">
        <f t="shared" si="73"/>
        <v>0</v>
      </c>
      <c r="Y157" s="10"/>
      <c r="Z157" s="64" t="s">
        <v>201</v>
      </c>
      <c r="AA157" s="10"/>
      <c r="AB157">
        <f t="shared" si="74"/>
        <v>0</v>
      </c>
      <c r="AC157">
        <f t="shared" si="75"/>
        <v>0</v>
      </c>
      <c r="AD157">
        <f t="shared" si="76"/>
        <v>0</v>
      </c>
      <c r="AE157">
        <f t="shared" si="77"/>
        <v>0</v>
      </c>
      <c r="AF157">
        <f t="shared" ca="1" si="78"/>
        <v>-1</v>
      </c>
      <c r="AG157">
        <f t="shared" si="79"/>
        <v>0</v>
      </c>
      <c r="AH157">
        <f t="shared" ca="1" si="80"/>
        <v>0</v>
      </c>
    </row>
    <row r="158" spans="1:34" s="12" customFormat="1" x14ac:dyDescent="0.25">
      <c r="A158" s="37">
        <v>157</v>
      </c>
      <c r="B158" s="38"/>
      <c r="C158" s="39"/>
      <c r="D158" s="40"/>
      <c r="E158" s="40"/>
      <c r="F158" s="39"/>
      <c r="G158" s="2"/>
      <c r="H158" s="2"/>
      <c r="I158" s="39"/>
      <c r="J158" s="50" t="str">
        <f t="shared" si="65"/>
        <v/>
      </c>
      <c r="K158" s="37" t="str">
        <f>IF(I158="","",IF($AM$3=1,IFERROR(IF(J158=FALSE,"",VLOOKUP(J158,$AJ$1:$AK$18,2,1)),""),IFERROR(IF(J158 = "FALSE","",VLOOKUP(J158,#REF!,2,TRUE)),"")))</f>
        <v/>
      </c>
      <c r="L158" s="37"/>
      <c r="M158" s="37"/>
      <c r="N158" s="37"/>
      <c r="O158" s="41" t="str">
        <f t="shared" si="66"/>
        <v/>
      </c>
      <c r="P158" s="51" t="str">
        <f>IFERROR(IF(C158="","",IF(AND(Census!C158="E",Census!J158&gt;=18,Census!J158&lt;=65),"Yes","No")),"ERROR")</f>
        <v/>
      </c>
      <c r="Q158" s="52" t="str">
        <f>IFERROR(IF(C158="","",IF(AND(Census!C158="E",Census!J158&gt;=18,Census!J158&lt;=64),"Yes","No")),"ERROR")</f>
        <v/>
      </c>
      <c r="R158" s="53">
        <f t="shared" ca="1" si="67"/>
        <v>-1</v>
      </c>
      <c r="S158" s="54">
        <f t="shared" si="68"/>
        <v>0</v>
      </c>
      <c r="T158" s="55">
        <f t="shared" si="69"/>
        <v>0</v>
      </c>
      <c r="U158" s="55">
        <f t="shared" si="70"/>
        <v>0</v>
      </c>
      <c r="V158" s="55">
        <f t="shared" si="71"/>
        <v>0</v>
      </c>
      <c r="W158" s="55">
        <f t="shared" ca="1" si="72"/>
        <v>-1</v>
      </c>
      <c r="X158" s="56">
        <f t="shared" si="73"/>
        <v>0</v>
      </c>
      <c r="Y158" s="10"/>
      <c r="Z158" s="64" t="s">
        <v>273</v>
      </c>
      <c r="AA158" s="10"/>
      <c r="AB158">
        <f t="shared" si="74"/>
        <v>0</v>
      </c>
      <c r="AC158">
        <f t="shared" si="75"/>
        <v>0</v>
      </c>
      <c r="AD158">
        <f t="shared" si="76"/>
        <v>0</v>
      </c>
      <c r="AE158">
        <f t="shared" si="77"/>
        <v>0</v>
      </c>
      <c r="AF158">
        <f t="shared" ca="1" si="78"/>
        <v>-1</v>
      </c>
      <c r="AG158">
        <f t="shared" si="79"/>
        <v>0</v>
      </c>
      <c r="AH158">
        <f t="shared" ca="1" si="80"/>
        <v>0</v>
      </c>
    </row>
    <row r="159" spans="1:34" s="12" customFormat="1" x14ac:dyDescent="0.25">
      <c r="A159" s="42">
        <v>158</v>
      </c>
      <c r="B159" s="43"/>
      <c r="C159" s="44"/>
      <c r="D159" s="45"/>
      <c r="E159" s="45"/>
      <c r="F159" s="39"/>
      <c r="G159" s="3"/>
      <c r="H159" s="3"/>
      <c r="I159" s="44"/>
      <c r="J159" s="42" t="str">
        <f t="shared" si="65"/>
        <v/>
      </c>
      <c r="K159" s="42" t="str">
        <f>IF(I159="","",IF($AM$3=1,IFERROR(IF(J159=FALSE,"",VLOOKUP(J159,$AJ$1:$AK$18,2,1)),""),IFERROR(IF(J159 = "FALSE","",VLOOKUP(J159,#REF!,2,TRUE)),"")))</f>
        <v/>
      </c>
      <c r="L159" s="42"/>
      <c r="M159" s="42"/>
      <c r="N159" s="42"/>
      <c r="O159" s="46" t="str">
        <f t="shared" si="66"/>
        <v/>
      </c>
      <c r="P159" s="57" t="str">
        <f>IFERROR(IF(C159="","",IF(AND(Census!C159="E",Census!J159&gt;=18,Census!J159&lt;=65),"Yes","No")),"ERROR")</f>
        <v/>
      </c>
      <c r="Q159" s="58" t="str">
        <f>IFERROR(IF(C159="","",IF(AND(Census!C159="E",Census!J159&gt;=18,Census!J159&lt;=64),"Yes","No")),"ERROR")</f>
        <v/>
      </c>
      <c r="R159" s="59">
        <f t="shared" ca="1" si="67"/>
        <v>-1</v>
      </c>
      <c r="S159" s="60">
        <f t="shared" si="68"/>
        <v>0</v>
      </c>
      <c r="T159" s="61">
        <f t="shared" si="69"/>
        <v>0</v>
      </c>
      <c r="U159" s="61">
        <f t="shared" si="70"/>
        <v>0</v>
      </c>
      <c r="V159" s="61">
        <f t="shared" si="71"/>
        <v>0</v>
      </c>
      <c r="W159" s="61">
        <f t="shared" ca="1" si="72"/>
        <v>-1</v>
      </c>
      <c r="X159" s="62">
        <f t="shared" si="73"/>
        <v>0</v>
      </c>
      <c r="Y159" s="10"/>
      <c r="Z159" s="64" t="s">
        <v>98</v>
      </c>
      <c r="AA159" s="10"/>
      <c r="AB159">
        <f t="shared" si="74"/>
        <v>0</v>
      </c>
      <c r="AC159">
        <f t="shared" si="75"/>
        <v>0</v>
      </c>
      <c r="AD159">
        <f t="shared" si="76"/>
        <v>0</v>
      </c>
      <c r="AE159">
        <f t="shared" si="77"/>
        <v>0</v>
      </c>
      <c r="AF159">
        <f t="shared" ca="1" si="78"/>
        <v>-1</v>
      </c>
      <c r="AG159">
        <f t="shared" si="79"/>
        <v>0</v>
      </c>
      <c r="AH159">
        <f t="shared" ca="1" si="80"/>
        <v>0</v>
      </c>
    </row>
    <row r="160" spans="1:34" s="12" customFormat="1" x14ac:dyDescent="0.25">
      <c r="A160" s="37">
        <v>159</v>
      </c>
      <c r="B160" s="38"/>
      <c r="C160" s="39"/>
      <c r="D160" s="40"/>
      <c r="E160" s="40"/>
      <c r="F160" s="39"/>
      <c r="G160" s="2"/>
      <c r="H160" s="2"/>
      <c r="I160" s="39"/>
      <c r="J160" s="50" t="str">
        <f t="shared" si="65"/>
        <v/>
      </c>
      <c r="K160" s="37" t="str">
        <f>IF(I160="","",IF($AM$3=1,IFERROR(IF(J160=FALSE,"",VLOOKUP(J160,$AJ$1:$AK$18,2,1)),""),IFERROR(IF(J160 = "FALSE","",VLOOKUP(J160,#REF!,2,TRUE)),"")))</f>
        <v/>
      </c>
      <c r="L160" s="37"/>
      <c r="M160" s="37"/>
      <c r="N160" s="37"/>
      <c r="O160" s="41" t="str">
        <f t="shared" si="66"/>
        <v/>
      </c>
      <c r="P160" s="51" t="str">
        <f>IFERROR(IF(C160="","",IF(AND(Census!C160="E",Census!J160&gt;=18,Census!J160&lt;=65),"Yes","No")),"ERROR")</f>
        <v/>
      </c>
      <c r="Q160" s="52" t="str">
        <f>IFERROR(IF(C160="","",IF(AND(Census!C160="E",Census!J160&gt;=18,Census!J160&lt;=64),"Yes","No")),"ERROR")</f>
        <v/>
      </c>
      <c r="R160" s="53">
        <f t="shared" ca="1" si="67"/>
        <v>-1</v>
      </c>
      <c r="S160" s="54">
        <f t="shared" si="68"/>
        <v>0</v>
      </c>
      <c r="T160" s="55">
        <f t="shared" si="69"/>
        <v>0</v>
      </c>
      <c r="U160" s="55">
        <f t="shared" si="70"/>
        <v>0</v>
      </c>
      <c r="V160" s="55">
        <f t="shared" si="71"/>
        <v>0</v>
      </c>
      <c r="W160" s="55">
        <f t="shared" ca="1" si="72"/>
        <v>-1</v>
      </c>
      <c r="X160" s="56">
        <f t="shared" si="73"/>
        <v>0</v>
      </c>
      <c r="Y160" s="10"/>
      <c r="Z160" s="64" t="s">
        <v>274</v>
      </c>
      <c r="AA160" s="10"/>
      <c r="AB160">
        <f t="shared" si="74"/>
        <v>0</v>
      </c>
      <c r="AC160">
        <f t="shared" si="75"/>
        <v>0</v>
      </c>
      <c r="AD160">
        <f t="shared" si="76"/>
        <v>0</v>
      </c>
      <c r="AE160">
        <f t="shared" si="77"/>
        <v>0</v>
      </c>
      <c r="AF160">
        <f t="shared" ca="1" si="78"/>
        <v>-1</v>
      </c>
      <c r="AG160">
        <f t="shared" si="79"/>
        <v>0</v>
      </c>
      <c r="AH160">
        <f t="shared" ca="1" si="80"/>
        <v>0</v>
      </c>
    </row>
    <row r="161" spans="1:34" s="12" customFormat="1" x14ac:dyDescent="0.25">
      <c r="A161" s="42">
        <v>160</v>
      </c>
      <c r="B161" s="43"/>
      <c r="C161" s="44"/>
      <c r="D161" s="45"/>
      <c r="E161" s="45"/>
      <c r="F161" s="39"/>
      <c r="G161" s="3"/>
      <c r="H161" s="3"/>
      <c r="I161" s="44"/>
      <c r="J161" s="42" t="str">
        <f t="shared" si="65"/>
        <v/>
      </c>
      <c r="K161" s="42" t="str">
        <f>IF(I161="","",IF($AM$3=1,IFERROR(IF(J161=FALSE,"",VLOOKUP(J161,$AJ$1:$AK$18,2,1)),""),IFERROR(IF(J161 = "FALSE","",VLOOKUP(J161,#REF!,2,TRUE)),"")))</f>
        <v/>
      </c>
      <c r="L161" s="42"/>
      <c r="M161" s="42"/>
      <c r="N161" s="42"/>
      <c r="O161" s="46" t="str">
        <f t="shared" si="66"/>
        <v/>
      </c>
      <c r="P161" s="57" t="str">
        <f>IFERROR(IF(C161="","",IF(AND(Census!C161="E",Census!J161&gt;=18,Census!J161&lt;=65),"Yes","No")),"ERROR")</f>
        <v/>
      </c>
      <c r="Q161" s="58" t="str">
        <f>IFERROR(IF(C161="","",IF(AND(Census!C161="E",Census!J161&gt;=18,Census!J161&lt;=64),"Yes","No")),"ERROR")</f>
        <v/>
      </c>
      <c r="R161" s="59">
        <f t="shared" ca="1" si="67"/>
        <v>-1</v>
      </c>
      <c r="S161" s="60">
        <f t="shared" si="68"/>
        <v>0</v>
      </c>
      <c r="T161" s="61">
        <f t="shared" si="69"/>
        <v>0</v>
      </c>
      <c r="U161" s="61">
        <f t="shared" si="70"/>
        <v>0</v>
      </c>
      <c r="V161" s="61">
        <f t="shared" si="71"/>
        <v>0</v>
      </c>
      <c r="W161" s="61">
        <f t="shared" ca="1" si="72"/>
        <v>-1</v>
      </c>
      <c r="X161" s="62">
        <f t="shared" si="73"/>
        <v>0</v>
      </c>
      <c r="Y161" s="10"/>
      <c r="Z161" s="64" t="s">
        <v>104</v>
      </c>
      <c r="AA161" s="10"/>
      <c r="AB161">
        <f t="shared" si="74"/>
        <v>0</v>
      </c>
      <c r="AC161">
        <f t="shared" si="75"/>
        <v>0</v>
      </c>
      <c r="AD161">
        <f t="shared" si="76"/>
        <v>0</v>
      </c>
      <c r="AE161">
        <f t="shared" si="77"/>
        <v>0</v>
      </c>
      <c r="AF161">
        <f t="shared" ca="1" si="78"/>
        <v>-1</v>
      </c>
      <c r="AG161">
        <f t="shared" si="79"/>
        <v>0</v>
      </c>
      <c r="AH161">
        <f t="shared" ca="1" si="80"/>
        <v>0</v>
      </c>
    </row>
    <row r="162" spans="1:34" s="12" customFormat="1" x14ac:dyDescent="0.25">
      <c r="A162" s="37">
        <v>161</v>
      </c>
      <c r="B162" s="38"/>
      <c r="C162" s="39"/>
      <c r="D162" s="40"/>
      <c r="E162" s="40"/>
      <c r="F162" s="39"/>
      <c r="G162" s="2"/>
      <c r="H162" s="2"/>
      <c r="I162" s="39"/>
      <c r="J162" s="50" t="str">
        <f t="shared" ref="J162:J187" si="81">IFERROR(IF(G162="","",ROUNDDOWN(IF($G162="","",(inception_date-$G162)/365.25),0)),0)</f>
        <v/>
      </c>
      <c r="K162" s="37" t="str">
        <f>IF(I162="","",IF($AM$3=1,IFERROR(IF(J162=FALSE,"",VLOOKUP(J162,$AJ$1:$AK$18,2,1)),""),IFERROR(IF(J162 = "FALSE","",VLOOKUP(J162,#REF!,2,TRUE)),"")))</f>
        <v/>
      </c>
      <c r="L162" s="37"/>
      <c r="M162" s="37"/>
      <c r="N162" s="37"/>
      <c r="O162" s="41" t="str">
        <f t="shared" ref="O162:O193" si="82">IF(C162="","",IF(R162=1,"Yes","No"))</f>
        <v/>
      </c>
      <c r="P162" s="51" t="str">
        <f>IFERROR(IF(C162="","",IF(AND(Census!C162="E",Census!J162&gt;=18,Census!J162&lt;=65),"Yes","No")),"ERROR")</f>
        <v/>
      </c>
      <c r="Q162" s="52" t="str">
        <f>IFERROR(IF(C162="","",IF(AND(Census!C162="E",Census!J162&gt;=18,Census!J162&lt;=64),"Yes","No")),"ERROR")</f>
        <v/>
      </c>
      <c r="R162" s="53">
        <f t="shared" ref="R162:R193" ca="1" si="83">IF(OR(AB162&lt;&gt;1,AC162&lt;&gt;1,AD162&lt;&gt;1,AF162&lt;&gt;1,AE162&lt;&gt;1,AG162&lt;&gt;1),-1,1)</f>
        <v>-1</v>
      </c>
      <c r="S162" s="54">
        <f t="shared" ref="S162:S193" si="84">AB162</f>
        <v>0</v>
      </c>
      <c r="T162" s="55">
        <f t="shared" ref="T162:T193" si="85">AC162</f>
        <v>0</v>
      </c>
      <c r="U162" s="55">
        <f t="shared" ref="U162:U193" si="86">AD162</f>
        <v>0</v>
      </c>
      <c r="V162" s="55">
        <f t="shared" ref="V162:V193" si="87">AE162</f>
        <v>0</v>
      </c>
      <c r="W162" s="55">
        <f t="shared" ref="W162:W193" ca="1" si="88">AF162</f>
        <v>-1</v>
      </c>
      <c r="X162" s="56">
        <f t="shared" ref="X162:X193" si="89">AG162</f>
        <v>0</v>
      </c>
      <c r="Y162" s="10"/>
      <c r="Z162" s="64" t="s">
        <v>275</v>
      </c>
      <c r="AA162" s="10"/>
      <c r="AB162">
        <f t="shared" ref="AB162:AB193" si="90">IFERROR(IF(OR(B162=0,B162=""),0,1),0)</f>
        <v>0</v>
      </c>
      <c r="AC162">
        <f t="shared" ref="AC162:AC193" si="91">IFERROR(IF(OR(C162="S",C162="D"),IF(AND(C162="D",D162="F"),1,IF(AND(C162="S",D162="M"),1,0)),IF(OR(C162="W",C162="H"),IF(OR(AND(C162="W",D162="F"),AND(C162="H",D162="M")),1,),IF(OR(D162="M",D162="F"),1,0))),0)</f>
        <v>0</v>
      </c>
      <c r="AD162">
        <f t="shared" ref="AD162:AD193" si="92">IFERROR(IF(OR(C162="E",C162="W",C162="H"),1,IF(C162 = "S",IF(D162="M",1,0),IF(D162 = "F",1,0))),0)</f>
        <v>0</v>
      </c>
      <c r="AE162">
        <f t="shared" ref="AE162:AE193" si="93">IFERROR(IF(OR(E162="M",E162="S"),IF(E162="M",IF(OR(C162="S",C162 = "D"),0,1),IF(OR(C162="W",C162="H"),0,1)),0),0)</f>
        <v>0</v>
      </c>
      <c r="AF162">
        <f t="shared" ref="AF162:AF193" ca="1" si="94">IF(G162="",-1,IF(AND(G162&lt;=TODAY(),ISNUMBER(DATE(YEAR(G162),MONTH(G162),DAY(G162)))),IF(AND(OR(C162="S",C162="D"),J162&gt;24),-1,1),-1))</f>
        <v>-1</v>
      </c>
      <c r="AG162">
        <f t="shared" ref="AG162:AG193" si="95">IF(OR(I162="CAT 1",I162="CAT 2",I162="CAT 3",I162="CAT 4"),1,0)</f>
        <v>0</v>
      </c>
      <c r="AH162">
        <f t="shared" ref="AH162:AH193" ca="1" si="96">PRODUCT(AF162:AG162)*AE162</f>
        <v>0</v>
      </c>
    </row>
    <row r="163" spans="1:34" s="12" customFormat="1" x14ac:dyDescent="0.25">
      <c r="A163" s="42">
        <v>162</v>
      </c>
      <c r="B163" s="43"/>
      <c r="C163" s="44"/>
      <c r="D163" s="45"/>
      <c r="E163" s="45"/>
      <c r="F163" s="39"/>
      <c r="G163" s="3"/>
      <c r="H163" s="3"/>
      <c r="I163" s="44"/>
      <c r="J163" s="42" t="str">
        <f t="shared" si="81"/>
        <v/>
      </c>
      <c r="K163" s="42" t="str">
        <f>IF(I163="","",IF($AM$3=1,IFERROR(IF(J163=FALSE,"",VLOOKUP(J163,$AJ$1:$AK$18,2,1)),""),IFERROR(IF(J163 = "FALSE","",VLOOKUP(J163,#REF!,2,TRUE)),"")))</f>
        <v/>
      </c>
      <c r="L163" s="42"/>
      <c r="M163" s="42"/>
      <c r="N163" s="42"/>
      <c r="O163" s="46" t="str">
        <f t="shared" si="82"/>
        <v/>
      </c>
      <c r="P163" s="57" t="str">
        <f>IFERROR(IF(C163="","",IF(AND(Census!C163="E",Census!J163&gt;=18,Census!J163&lt;=65),"Yes","No")),"ERROR")</f>
        <v/>
      </c>
      <c r="Q163" s="58" t="str">
        <f>IFERROR(IF(C163="","",IF(AND(Census!C163="E",Census!J163&gt;=18,Census!J163&lt;=64),"Yes","No")),"ERROR")</f>
        <v/>
      </c>
      <c r="R163" s="59">
        <f t="shared" ca="1" si="83"/>
        <v>-1</v>
      </c>
      <c r="S163" s="60">
        <f t="shared" si="84"/>
        <v>0</v>
      </c>
      <c r="T163" s="61">
        <f t="shared" si="85"/>
        <v>0</v>
      </c>
      <c r="U163" s="61">
        <f t="shared" si="86"/>
        <v>0</v>
      </c>
      <c r="V163" s="61">
        <f t="shared" si="87"/>
        <v>0</v>
      </c>
      <c r="W163" s="61">
        <f t="shared" ca="1" si="88"/>
        <v>-1</v>
      </c>
      <c r="X163" s="62">
        <f t="shared" si="89"/>
        <v>0</v>
      </c>
      <c r="Y163" s="10"/>
      <c r="Z163" s="64" t="s">
        <v>276</v>
      </c>
      <c r="AA163" s="10"/>
      <c r="AB163">
        <f t="shared" si="90"/>
        <v>0</v>
      </c>
      <c r="AC163">
        <f t="shared" si="91"/>
        <v>0</v>
      </c>
      <c r="AD163">
        <f t="shared" si="92"/>
        <v>0</v>
      </c>
      <c r="AE163">
        <f t="shared" si="93"/>
        <v>0</v>
      </c>
      <c r="AF163">
        <f t="shared" ca="1" si="94"/>
        <v>-1</v>
      </c>
      <c r="AG163">
        <f t="shared" si="95"/>
        <v>0</v>
      </c>
      <c r="AH163">
        <f t="shared" ca="1" si="96"/>
        <v>0</v>
      </c>
    </row>
    <row r="164" spans="1:34" s="12" customFormat="1" x14ac:dyDescent="0.25">
      <c r="A164" s="37">
        <v>163</v>
      </c>
      <c r="B164" s="38"/>
      <c r="C164" s="39"/>
      <c r="D164" s="40"/>
      <c r="E164" s="40"/>
      <c r="F164" s="39"/>
      <c r="G164" s="2"/>
      <c r="H164" s="2"/>
      <c r="I164" s="39"/>
      <c r="J164" s="50" t="str">
        <f t="shared" si="81"/>
        <v/>
      </c>
      <c r="K164" s="37" t="str">
        <f>IF(I164="","",IF($AM$3=1,IFERROR(IF(J164=FALSE,"",VLOOKUP(J164,$AJ$1:$AK$18,2,1)),""),IFERROR(IF(J164 = "FALSE","",VLOOKUP(J164,#REF!,2,TRUE)),"")))</f>
        <v/>
      </c>
      <c r="L164" s="37"/>
      <c r="M164" s="37"/>
      <c r="N164" s="37"/>
      <c r="O164" s="41" t="str">
        <f t="shared" si="82"/>
        <v/>
      </c>
      <c r="P164" s="51" t="str">
        <f>IFERROR(IF(C164="","",IF(AND(Census!C164="E",Census!J164&gt;=18,Census!J164&lt;=65),"Yes","No")),"ERROR")</f>
        <v/>
      </c>
      <c r="Q164" s="52" t="str">
        <f>IFERROR(IF(C164="","",IF(AND(Census!C164="E",Census!J164&gt;=18,Census!J164&lt;=64),"Yes","No")),"ERROR")</f>
        <v/>
      </c>
      <c r="R164" s="53">
        <f t="shared" ca="1" si="83"/>
        <v>-1</v>
      </c>
      <c r="S164" s="54">
        <f t="shared" si="84"/>
        <v>0</v>
      </c>
      <c r="T164" s="55">
        <f t="shared" si="85"/>
        <v>0</v>
      </c>
      <c r="U164" s="55">
        <f t="shared" si="86"/>
        <v>0</v>
      </c>
      <c r="V164" s="55">
        <f t="shared" si="87"/>
        <v>0</v>
      </c>
      <c r="W164" s="55">
        <f t="shared" ca="1" si="88"/>
        <v>-1</v>
      </c>
      <c r="X164" s="56">
        <f t="shared" si="89"/>
        <v>0</v>
      </c>
      <c r="Y164" s="10"/>
      <c r="Z164" s="64" t="s">
        <v>277</v>
      </c>
      <c r="AA164" s="10"/>
      <c r="AB164">
        <f t="shared" si="90"/>
        <v>0</v>
      </c>
      <c r="AC164">
        <f t="shared" si="91"/>
        <v>0</v>
      </c>
      <c r="AD164">
        <f t="shared" si="92"/>
        <v>0</v>
      </c>
      <c r="AE164">
        <f t="shared" si="93"/>
        <v>0</v>
      </c>
      <c r="AF164">
        <f t="shared" ca="1" si="94"/>
        <v>-1</v>
      </c>
      <c r="AG164">
        <f t="shared" si="95"/>
        <v>0</v>
      </c>
      <c r="AH164">
        <f t="shared" ca="1" si="96"/>
        <v>0</v>
      </c>
    </row>
    <row r="165" spans="1:34" s="12" customFormat="1" x14ac:dyDescent="0.25">
      <c r="A165" s="42">
        <v>164</v>
      </c>
      <c r="B165" s="43"/>
      <c r="C165" s="44"/>
      <c r="D165" s="45"/>
      <c r="E165" s="45"/>
      <c r="F165" s="39"/>
      <c r="G165" s="3"/>
      <c r="H165" s="3"/>
      <c r="I165" s="44"/>
      <c r="J165" s="42" t="str">
        <f t="shared" si="81"/>
        <v/>
      </c>
      <c r="K165" s="42" t="str">
        <f>IF(I165="","",IF($AM$3=1,IFERROR(IF(J165=FALSE,"",VLOOKUP(J165,$AJ$1:$AK$18,2,1)),""),IFERROR(IF(J165 = "FALSE","",VLOOKUP(J165,#REF!,2,TRUE)),"")))</f>
        <v/>
      </c>
      <c r="L165" s="42"/>
      <c r="M165" s="42"/>
      <c r="N165" s="42"/>
      <c r="O165" s="46" t="str">
        <f t="shared" si="82"/>
        <v/>
      </c>
      <c r="P165" s="57" t="str">
        <f>IFERROR(IF(C165="","",IF(AND(Census!C165="E",Census!J165&gt;=18,Census!J165&lt;=65),"Yes","No")),"ERROR")</f>
        <v/>
      </c>
      <c r="Q165" s="58" t="str">
        <f>IFERROR(IF(C165="","",IF(AND(Census!C165="E",Census!J165&gt;=18,Census!J165&lt;=64),"Yes","No")),"ERROR")</f>
        <v/>
      </c>
      <c r="R165" s="59">
        <f t="shared" ca="1" si="83"/>
        <v>-1</v>
      </c>
      <c r="S165" s="60">
        <f t="shared" si="84"/>
        <v>0</v>
      </c>
      <c r="T165" s="61">
        <f t="shared" si="85"/>
        <v>0</v>
      </c>
      <c r="U165" s="61">
        <f t="shared" si="86"/>
        <v>0</v>
      </c>
      <c r="V165" s="61">
        <f t="shared" si="87"/>
        <v>0</v>
      </c>
      <c r="W165" s="61">
        <f t="shared" ca="1" si="88"/>
        <v>-1</v>
      </c>
      <c r="X165" s="62">
        <f t="shared" si="89"/>
        <v>0</v>
      </c>
      <c r="Y165" s="10"/>
      <c r="Z165" s="64" t="s">
        <v>202</v>
      </c>
      <c r="AA165" s="10"/>
      <c r="AB165">
        <f t="shared" si="90"/>
        <v>0</v>
      </c>
      <c r="AC165">
        <f t="shared" si="91"/>
        <v>0</v>
      </c>
      <c r="AD165">
        <f t="shared" si="92"/>
        <v>0</v>
      </c>
      <c r="AE165">
        <f t="shared" si="93"/>
        <v>0</v>
      </c>
      <c r="AF165">
        <f t="shared" ca="1" si="94"/>
        <v>-1</v>
      </c>
      <c r="AG165">
        <f t="shared" si="95"/>
        <v>0</v>
      </c>
      <c r="AH165">
        <f t="shared" ca="1" si="96"/>
        <v>0</v>
      </c>
    </row>
    <row r="166" spans="1:34" s="12" customFormat="1" x14ac:dyDescent="0.25">
      <c r="A166" s="37">
        <v>165</v>
      </c>
      <c r="B166" s="38"/>
      <c r="C166" s="39"/>
      <c r="D166" s="40"/>
      <c r="E166" s="40"/>
      <c r="F166" s="39"/>
      <c r="G166" s="2"/>
      <c r="H166" s="2"/>
      <c r="I166" s="39"/>
      <c r="J166" s="50" t="str">
        <f t="shared" si="81"/>
        <v/>
      </c>
      <c r="K166" s="37" t="str">
        <f>IF(I166="","",IF($AM$3=1,IFERROR(IF(J166=FALSE,"",VLOOKUP(J166,$AJ$1:$AK$18,2,1)),""),IFERROR(IF(J166 = "FALSE","",VLOOKUP(J166,#REF!,2,TRUE)),"")))</f>
        <v/>
      </c>
      <c r="L166" s="37"/>
      <c r="M166" s="37"/>
      <c r="N166" s="37"/>
      <c r="O166" s="41" t="str">
        <f t="shared" si="82"/>
        <v/>
      </c>
      <c r="P166" s="51" t="str">
        <f>IFERROR(IF(C166="","",IF(AND(Census!C166="E",Census!J166&gt;=18,Census!J166&lt;=65),"Yes","No")),"ERROR")</f>
        <v/>
      </c>
      <c r="Q166" s="52" t="str">
        <f>IFERROR(IF(C166="","",IF(AND(Census!C166="E",Census!J166&gt;=18,Census!J166&lt;=64),"Yes","No")),"ERROR")</f>
        <v/>
      </c>
      <c r="R166" s="53">
        <f t="shared" ca="1" si="83"/>
        <v>-1</v>
      </c>
      <c r="S166" s="54">
        <f t="shared" si="84"/>
        <v>0</v>
      </c>
      <c r="T166" s="55">
        <f t="shared" si="85"/>
        <v>0</v>
      </c>
      <c r="U166" s="55">
        <f t="shared" si="86"/>
        <v>0</v>
      </c>
      <c r="V166" s="55">
        <f t="shared" si="87"/>
        <v>0</v>
      </c>
      <c r="W166" s="55">
        <f t="shared" ca="1" si="88"/>
        <v>-1</v>
      </c>
      <c r="X166" s="56">
        <f t="shared" si="89"/>
        <v>0</v>
      </c>
      <c r="Y166" s="10"/>
      <c r="Z166" s="64" t="s">
        <v>278</v>
      </c>
      <c r="AA166" s="10"/>
      <c r="AB166">
        <f t="shared" si="90"/>
        <v>0</v>
      </c>
      <c r="AC166">
        <f t="shared" si="91"/>
        <v>0</v>
      </c>
      <c r="AD166">
        <f t="shared" si="92"/>
        <v>0</v>
      </c>
      <c r="AE166">
        <f t="shared" si="93"/>
        <v>0</v>
      </c>
      <c r="AF166">
        <f t="shared" ca="1" si="94"/>
        <v>-1</v>
      </c>
      <c r="AG166">
        <f t="shared" si="95"/>
        <v>0</v>
      </c>
      <c r="AH166">
        <f t="shared" ca="1" si="96"/>
        <v>0</v>
      </c>
    </row>
    <row r="167" spans="1:34" s="12" customFormat="1" x14ac:dyDescent="0.25">
      <c r="A167" s="42">
        <v>166</v>
      </c>
      <c r="B167" s="43"/>
      <c r="C167" s="44"/>
      <c r="D167" s="45"/>
      <c r="E167" s="45"/>
      <c r="F167" s="39"/>
      <c r="G167" s="3"/>
      <c r="H167" s="3"/>
      <c r="I167" s="44"/>
      <c r="J167" s="42" t="str">
        <f t="shared" si="81"/>
        <v/>
      </c>
      <c r="K167" s="42" t="str">
        <f>IF(I167="","",IF($AM$3=1,IFERROR(IF(J167=FALSE,"",VLOOKUP(J167,$AJ$1:$AK$18,2,1)),""),IFERROR(IF(J167 = "FALSE","",VLOOKUP(J167,#REF!,2,TRUE)),"")))</f>
        <v/>
      </c>
      <c r="L167" s="42"/>
      <c r="M167" s="42"/>
      <c r="N167" s="42"/>
      <c r="O167" s="46" t="str">
        <f t="shared" si="82"/>
        <v/>
      </c>
      <c r="P167" s="57" t="str">
        <f>IFERROR(IF(C167="","",IF(AND(Census!C167="E",Census!J167&gt;=18,Census!J167&lt;=65),"Yes","No")),"ERROR")</f>
        <v/>
      </c>
      <c r="Q167" s="58" t="str">
        <f>IFERROR(IF(C167="","",IF(AND(Census!C167="E",Census!J167&gt;=18,Census!J167&lt;=64),"Yes","No")),"ERROR")</f>
        <v/>
      </c>
      <c r="R167" s="59">
        <f t="shared" ca="1" si="83"/>
        <v>-1</v>
      </c>
      <c r="S167" s="60">
        <f t="shared" si="84"/>
        <v>0</v>
      </c>
      <c r="T167" s="61">
        <f t="shared" si="85"/>
        <v>0</v>
      </c>
      <c r="U167" s="61">
        <f t="shared" si="86"/>
        <v>0</v>
      </c>
      <c r="V167" s="61">
        <f t="shared" si="87"/>
        <v>0</v>
      </c>
      <c r="W167" s="61">
        <f t="shared" ca="1" si="88"/>
        <v>-1</v>
      </c>
      <c r="X167" s="62">
        <f t="shared" si="89"/>
        <v>0</v>
      </c>
      <c r="Y167" s="10"/>
      <c r="Z167" s="64" t="s">
        <v>121</v>
      </c>
      <c r="AA167" s="10"/>
      <c r="AB167">
        <f t="shared" si="90"/>
        <v>0</v>
      </c>
      <c r="AC167">
        <f t="shared" si="91"/>
        <v>0</v>
      </c>
      <c r="AD167">
        <f t="shared" si="92"/>
        <v>0</v>
      </c>
      <c r="AE167">
        <f t="shared" si="93"/>
        <v>0</v>
      </c>
      <c r="AF167">
        <f t="shared" ca="1" si="94"/>
        <v>-1</v>
      </c>
      <c r="AG167">
        <f t="shared" si="95"/>
        <v>0</v>
      </c>
      <c r="AH167">
        <f t="shared" ca="1" si="96"/>
        <v>0</v>
      </c>
    </row>
    <row r="168" spans="1:34" s="12" customFormat="1" x14ac:dyDescent="0.25">
      <c r="A168" s="37">
        <v>167</v>
      </c>
      <c r="B168" s="38"/>
      <c r="C168" s="39"/>
      <c r="D168" s="40"/>
      <c r="E168" s="40"/>
      <c r="F168" s="39"/>
      <c r="G168" s="2"/>
      <c r="H168" s="2"/>
      <c r="I168" s="39"/>
      <c r="J168" s="50" t="str">
        <f t="shared" si="81"/>
        <v/>
      </c>
      <c r="K168" s="37" t="str">
        <f>IF(I168="","",IF($AM$3=1,IFERROR(IF(J168=FALSE,"",VLOOKUP(J168,$AJ$1:$AK$18,2,1)),""),IFERROR(IF(J168 = "FALSE","",VLOOKUP(J168,#REF!,2,TRUE)),"")))</f>
        <v/>
      </c>
      <c r="L168" s="37"/>
      <c r="M168" s="37"/>
      <c r="N168" s="37"/>
      <c r="O168" s="41" t="str">
        <f t="shared" si="82"/>
        <v/>
      </c>
      <c r="P168" s="51" t="str">
        <f>IFERROR(IF(C168="","",IF(AND(Census!C168="E",Census!J168&gt;=18,Census!J168&lt;=65),"Yes","No")),"ERROR")</f>
        <v/>
      </c>
      <c r="Q168" s="52" t="str">
        <f>IFERROR(IF(C168="","",IF(AND(Census!C168="E",Census!J168&gt;=18,Census!J168&lt;=64),"Yes","No")),"ERROR")</f>
        <v/>
      </c>
      <c r="R168" s="53">
        <f t="shared" ca="1" si="83"/>
        <v>-1</v>
      </c>
      <c r="S168" s="54">
        <f t="shared" si="84"/>
        <v>0</v>
      </c>
      <c r="T168" s="55">
        <f t="shared" si="85"/>
        <v>0</v>
      </c>
      <c r="U168" s="55">
        <f t="shared" si="86"/>
        <v>0</v>
      </c>
      <c r="V168" s="55">
        <f t="shared" si="87"/>
        <v>0</v>
      </c>
      <c r="W168" s="55">
        <f t="shared" ca="1" si="88"/>
        <v>-1</v>
      </c>
      <c r="X168" s="56">
        <f t="shared" si="89"/>
        <v>0</v>
      </c>
      <c r="Y168" s="10"/>
      <c r="Z168" s="64" t="s">
        <v>131</v>
      </c>
      <c r="AA168" s="10"/>
      <c r="AB168">
        <f t="shared" si="90"/>
        <v>0</v>
      </c>
      <c r="AC168">
        <f t="shared" si="91"/>
        <v>0</v>
      </c>
      <c r="AD168">
        <f t="shared" si="92"/>
        <v>0</v>
      </c>
      <c r="AE168">
        <f t="shared" si="93"/>
        <v>0</v>
      </c>
      <c r="AF168">
        <f t="shared" ca="1" si="94"/>
        <v>-1</v>
      </c>
      <c r="AG168">
        <f t="shared" si="95"/>
        <v>0</v>
      </c>
      <c r="AH168">
        <f t="shared" ca="1" si="96"/>
        <v>0</v>
      </c>
    </row>
    <row r="169" spans="1:34" s="12" customFormat="1" x14ac:dyDescent="0.25">
      <c r="A169" s="42">
        <v>168</v>
      </c>
      <c r="B169" s="43"/>
      <c r="C169" s="44"/>
      <c r="D169" s="45"/>
      <c r="E169" s="45"/>
      <c r="F169" s="39"/>
      <c r="G169" s="3"/>
      <c r="H169" s="3"/>
      <c r="I169" s="44"/>
      <c r="J169" s="42" t="str">
        <f t="shared" si="81"/>
        <v/>
      </c>
      <c r="K169" s="42" t="str">
        <f>IF(I169="","",IF($AM$3=1,IFERROR(IF(J169=FALSE,"",VLOOKUP(J169,$AJ$1:$AK$18,2,1)),""),IFERROR(IF(J169 = "FALSE","",VLOOKUP(J169,#REF!,2,TRUE)),"")))</f>
        <v/>
      </c>
      <c r="L169" s="42"/>
      <c r="M169" s="42"/>
      <c r="N169" s="42"/>
      <c r="O169" s="46" t="str">
        <f t="shared" si="82"/>
        <v/>
      </c>
      <c r="P169" s="57" t="str">
        <f>IFERROR(IF(C169="","",IF(AND(Census!C169="E",Census!J169&gt;=18,Census!J169&lt;=65),"Yes","No")),"ERROR")</f>
        <v/>
      </c>
      <c r="Q169" s="58" t="str">
        <f>IFERROR(IF(C169="","",IF(AND(Census!C169="E",Census!J169&gt;=18,Census!J169&lt;=64),"Yes","No")),"ERROR")</f>
        <v/>
      </c>
      <c r="R169" s="59">
        <f t="shared" ca="1" si="83"/>
        <v>-1</v>
      </c>
      <c r="S169" s="60">
        <f t="shared" si="84"/>
        <v>0</v>
      </c>
      <c r="T169" s="61">
        <f t="shared" si="85"/>
        <v>0</v>
      </c>
      <c r="U169" s="61">
        <f t="shared" si="86"/>
        <v>0</v>
      </c>
      <c r="V169" s="61">
        <f t="shared" si="87"/>
        <v>0</v>
      </c>
      <c r="W169" s="61">
        <f t="shared" ca="1" si="88"/>
        <v>-1</v>
      </c>
      <c r="X169" s="62">
        <f t="shared" si="89"/>
        <v>0</v>
      </c>
      <c r="Y169" s="10"/>
      <c r="Z169" s="64" t="s">
        <v>221</v>
      </c>
      <c r="AA169" s="10"/>
      <c r="AB169">
        <f t="shared" si="90"/>
        <v>0</v>
      </c>
      <c r="AC169">
        <f t="shared" si="91"/>
        <v>0</v>
      </c>
      <c r="AD169">
        <f t="shared" si="92"/>
        <v>0</v>
      </c>
      <c r="AE169">
        <f t="shared" si="93"/>
        <v>0</v>
      </c>
      <c r="AF169">
        <f t="shared" ca="1" si="94"/>
        <v>-1</v>
      </c>
      <c r="AG169">
        <f t="shared" si="95"/>
        <v>0</v>
      </c>
      <c r="AH169">
        <f t="shared" ca="1" si="96"/>
        <v>0</v>
      </c>
    </row>
    <row r="170" spans="1:34" s="12" customFormat="1" x14ac:dyDescent="0.25">
      <c r="A170" s="37">
        <v>169</v>
      </c>
      <c r="B170" s="38"/>
      <c r="C170" s="39"/>
      <c r="D170" s="40"/>
      <c r="E170" s="40"/>
      <c r="F170" s="39"/>
      <c r="G170" s="2"/>
      <c r="H170" s="2"/>
      <c r="I170" s="39"/>
      <c r="J170" s="50" t="str">
        <f t="shared" si="81"/>
        <v/>
      </c>
      <c r="K170" s="37" t="str">
        <f>IF(I170="","",IF($AM$3=1,IFERROR(IF(J170=FALSE,"",VLOOKUP(J170,$AJ$1:$AK$18,2,1)),""),IFERROR(IF(J170 = "FALSE","",VLOOKUP(J170,#REF!,2,TRUE)),"")))</f>
        <v/>
      </c>
      <c r="L170" s="37"/>
      <c r="M170" s="37"/>
      <c r="N170" s="37"/>
      <c r="O170" s="41" t="str">
        <f t="shared" si="82"/>
        <v/>
      </c>
      <c r="P170" s="51" t="str">
        <f>IFERROR(IF(C170="","",IF(AND(Census!C170="E",Census!J170&gt;=18,Census!J170&lt;=65),"Yes","No")),"ERROR")</f>
        <v/>
      </c>
      <c r="Q170" s="52" t="str">
        <f>IFERROR(IF(C170="","",IF(AND(Census!C170="E",Census!J170&gt;=18,Census!J170&lt;=64),"Yes","No")),"ERROR")</f>
        <v/>
      </c>
      <c r="R170" s="53">
        <f t="shared" ca="1" si="83"/>
        <v>-1</v>
      </c>
      <c r="S170" s="54">
        <f t="shared" si="84"/>
        <v>0</v>
      </c>
      <c r="T170" s="55">
        <f t="shared" si="85"/>
        <v>0</v>
      </c>
      <c r="U170" s="55">
        <f t="shared" si="86"/>
        <v>0</v>
      </c>
      <c r="V170" s="55">
        <f t="shared" si="87"/>
        <v>0</v>
      </c>
      <c r="W170" s="55">
        <f t="shared" ca="1" si="88"/>
        <v>-1</v>
      </c>
      <c r="X170" s="56">
        <f t="shared" si="89"/>
        <v>0</v>
      </c>
      <c r="Y170" s="10"/>
      <c r="Z170" s="64" t="s">
        <v>279</v>
      </c>
      <c r="AA170" s="10"/>
      <c r="AB170">
        <f t="shared" si="90"/>
        <v>0</v>
      </c>
      <c r="AC170">
        <f t="shared" si="91"/>
        <v>0</v>
      </c>
      <c r="AD170">
        <f t="shared" si="92"/>
        <v>0</v>
      </c>
      <c r="AE170">
        <f t="shared" si="93"/>
        <v>0</v>
      </c>
      <c r="AF170">
        <f t="shared" ca="1" si="94"/>
        <v>-1</v>
      </c>
      <c r="AG170">
        <f t="shared" si="95"/>
        <v>0</v>
      </c>
      <c r="AH170">
        <f t="shared" ca="1" si="96"/>
        <v>0</v>
      </c>
    </row>
    <row r="171" spans="1:34" s="12" customFormat="1" x14ac:dyDescent="0.25">
      <c r="A171" s="42">
        <v>170</v>
      </c>
      <c r="B171" s="43"/>
      <c r="C171" s="44"/>
      <c r="D171" s="45"/>
      <c r="E171" s="45"/>
      <c r="F171" s="39"/>
      <c r="G171" s="3"/>
      <c r="H171" s="3"/>
      <c r="I171" s="44"/>
      <c r="J171" s="42" t="str">
        <f t="shared" si="81"/>
        <v/>
      </c>
      <c r="K171" s="42" t="str">
        <f>IF(I171="","",IF($AM$3=1,IFERROR(IF(J171=FALSE,"",VLOOKUP(J171,$AJ$1:$AK$18,2,1)),""),IFERROR(IF(J171 = "FALSE","",VLOOKUP(J171,#REF!,2,TRUE)),"")))</f>
        <v/>
      </c>
      <c r="L171" s="42"/>
      <c r="M171" s="42"/>
      <c r="N171" s="42"/>
      <c r="O171" s="46" t="str">
        <f t="shared" si="82"/>
        <v/>
      </c>
      <c r="P171" s="57" t="str">
        <f>IFERROR(IF(C171="","",IF(AND(Census!C171="E",Census!J171&gt;=18,Census!J171&lt;=65),"Yes","No")),"ERROR")</f>
        <v/>
      </c>
      <c r="Q171" s="58" t="str">
        <f>IFERROR(IF(C171="","",IF(AND(Census!C171="E",Census!J171&gt;=18,Census!J171&lt;=64),"Yes","No")),"ERROR")</f>
        <v/>
      </c>
      <c r="R171" s="59">
        <f t="shared" ca="1" si="83"/>
        <v>-1</v>
      </c>
      <c r="S171" s="60">
        <f t="shared" si="84"/>
        <v>0</v>
      </c>
      <c r="T171" s="61">
        <f t="shared" si="85"/>
        <v>0</v>
      </c>
      <c r="U171" s="61">
        <f t="shared" si="86"/>
        <v>0</v>
      </c>
      <c r="V171" s="61">
        <f t="shared" si="87"/>
        <v>0</v>
      </c>
      <c r="W171" s="61">
        <f t="shared" ca="1" si="88"/>
        <v>-1</v>
      </c>
      <c r="X171" s="62">
        <f t="shared" si="89"/>
        <v>0</v>
      </c>
      <c r="Y171" s="10"/>
      <c r="Z171" s="64" t="s">
        <v>115</v>
      </c>
      <c r="AA171" s="10"/>
      <c r="AB171">
        <f t="shared" si="90"/>
        <v>0</v>
      </c>
      <c r="AC171">
        <f t="shared" si="91"/>
        <v>0</v>
      </c>
      <c r="AD171">
        <f t="shared" si="92"/>
        <v>0</v>
      </c>
      <c r="AE171">
        <f t="shared" si="93"/>
        <v>0</v>
      </c>
      <c r="AF171">
        <f t="shared" ca="1" si="94"/>
        <v>-1</v>
      </c>
      <c r="AG171">
        <f t="shared" si="95"/>
        <v>0</v>
      </c>
      <c r="AH171">
        <f t="shared" ca="1" si="96"/>
        <v>0</v>
      </c>
    </row>
    <row r="172" spans="1:34" s="12" customFormat="1" x14ac:dyDescent="0.25">
      <c r="A172" s="37">
        <v>171</v>
      </c>
      <c r="B172" s="38"/>
      <c r="C172" s="39"/>
      <c r="D172" s="40"/>
      <c r="E172" s="40"/>
      <c r="F172" s="39"/>
      <c r="G172" s="2"/>
      <c r="H172" s="2"/>
      <c r="I172" s="39"/>
      <c r="J172" s="50" t="str">
        <f t="shared" si="81"/>
        <v/>
      </c>
      <c r="K172" s="37" t="str">
        <f>IF(I172="","",IF($AM$3=1,IFERROR(IF(J172=FALSE,"",VLOOKUP(J172,$AJ$1:$AK$18,2,1)),""),IFERROR(IF(J172 = "FALSE","",VLOOKUP(J172,#REF!,2,TRUE)),"")))</f>
        <v/>
      </c>
      <c r="L172" s="37"/>
      <c r="M172" s="37"/>
      <c r="N172" s="37"/>
      <c r="O172" s="41" t="str">
        <f t="shared" si="82"/>
        <v/>
      </c>
      <c r="P172" s="51" t="str">
        <f>IFERROR(IF(C172="","",IF(AND(Census!C172="E",Census!J172&gt;=18,Census!J172&lt;=65),"Yes","No")),"ERROR")</f>
        <v/>
      </c>
      <c r="Q172" s="52" t="str">
        <f>IFERROR(IF(C172="","",IF(AND(Census!C172="E",Census!J172&gt;=18,Census!J172&lt;=64),"Yes","No")),"ERROR")</f>
        <v/>
      </c>
      <c r="R172" s="53">
        <f t="shared" ca="1" si="83"/>
        <v>-1</v>
      </c>
      <c r="S172" s="54">
        <f t="shared" si="84"/>
        <v>0</v>
      </c>
      <c r="T172" s="55">
        <f t="shared" si="85"/>
        <v>0</v>
      </c>
      <c r="U172" s="55">
        <f t="shared" si="86"/>
        <v>0</v>
      </c>
      <c r="V172" s="55">
        <f t="shared" si="87"/>
        <v>0</v>
      </c>
      <c r="W172" s="55">
        <f t="shared" ca="1" si="88"/>
        <v>-1</v>
      </c>
      <c r="X172" s="56">
        <f t="shared" si="89"/>
        <v>0</v>
      </c>
      <c r="Y172" s="10"/>
      <c r="Z172" s="64" t="s">
        <v>134</v>
      </c>
      <c r="AA172" s="10"/>
      <c r="AB172">
        <f t="shared" si="90"/>
        <v>0</v>
      </c>
      <c r="AC172">
        <f t="shared" si="91"/>
        <v>0</v>
      </c>
      <c r="AD172">
        <f t="shared" si="92"/>
        <v>0</v>
      </c>
      <c r="AE172">
        <f t="shared" si="93"/>
        <v>0</v>
      </c>
      <c r="AF172">
        <f t="shared" ca="1" si="94"/>
        <v>-1</v>
      </c>
      <c r="AG172">
        <f t="shared" si="95"/>
        <v>0</v>
      </c>
      <c r="AH172">
        <f t="shared" ca="1" si="96"/>
        <v>0</v>
      </c>
    </row>
    <row r="173" spans="1:34" s="12" customFormat="1" x14ac:dyDescent="0.25">
      <c r="A173" s="42">
        <v>172</v>
      </c>
      <c r="B173" s="43"/>
      <c r="C173" s="44"/>
      <c r="D173" s="45"/>
      <c r="E173" s="45"/>
      <c r="F173" s="39"/>
      <c r="G173" s="3"/>
      <c r="H173" s="3"/>
      <c r="I173" s="44"/>
      <c r="J173" s="42" t="str">
        <f t="shared" si="81"/>
        <v/>
      </c>
      <c r="K173" s="42" t="str">
        <f>IF(I173="","",IF($AM$3=1,IFERROR(IF(J173=FALSE,"",VLOOKUP(J173,$AJ$1:$AK$18,2,1)),""),IFERROR(IF(J173 = "FALSE","",VLOOKUP(J173,#REF!,2,TRUE)),"")))</f>
        <v/>
      </c>
      <c r="L173" s="42"/>
      <c r="M173" s="42"/>
      <c r="N173" s="42"/>
      <c r="O173" s="46" t="str">
        <f t="shared" si="82"/>
        <v/>
      </c>
      <c r="P173" s="57" t="str">
        <f>IFERROR(IF(C173="","",IF(AND(Census!C173="E",Census!J173&gt;=18,Census!J173&lt;=65),"Yes","No")),"ERROR")</f>
        <v/>
      </c>
      <c r="Q173" s="58" t="str">
        <f>IFERROR(IF(C173="","",IF(AND(Census!C173="E",Census!J173&gt;=18,Census!J173&lt;=64),"Yes","No")),"ERROR")</f>
        <v/>
      </c>
      <c r="R173" s="59">
        <f t="shared" ca="1" si="83"/>
        <v>-1</v>
      </c>
      <c r="S173" s="60">
        <f t="shared" si="84"/>
        <v>0</v>
      </c>
      <c r="T173" s="61">
        <f t="shared" si="85"/>
        <v>0</v>
      </c>
      <c r="U173" s="61">
        <f t="shared" si="86"/>
        <v>0</v>
      </c>
      <c r="V173" s="61">
        <f t="shared" si="87"/>
        <v>0</v>
      </c>
      <c r="W173" s="61">
        <f t="shared" ca="1" si="88"/>
        <v>-1</v>
      </c>
      <c r="X173" s="62">
        <f t="shared" si="89"/>
        <v>0</v>
      </c>
      <c r="Y173" s="10"/>
      <c r="Z173" s="64" t="s">
        <v>137</v>
      </c>
      <c r="AA173" s="10"/>
      <c r="AB173">
        <f t="shared" si="90"/>
        <v>0</v>
      </c>
      <c r="AC173">
        <f t="shared" si="91"/>
        <v>0</v>
      </c>
      <c r="AD173">
        <f t="shared" si="92"/>
        <v>0</v>
      </c>
      <c r="AE173">
        <f t="shared" si="93"/>
        <v>0</v>
      </c>
      <c r="AF173">
        <f t="shared" ca="1" si="94"/>
        <v>-1</v>
      </c>
      <c r="AG173">
        <f t="shared" si="95"/>
        <v>0</v>
      </c>
      <c r="AH173">
        <f t="shared" ca="1" si="96"/>
        <v>0</v>
      </c>
    </row>
    <row r="174" spans="1:34" s="12" customFormat="1" x14ac:dyDescent="0.25">
      <c r="A174" s="37">
        <v>173</v>
      </c>
      <c r="B174" s="38"/>
      <c r="C174" s="39"/>
      <c r="D174" s="40"/>
      <c r="E174" s="40"/>
      <c r="F174" s="39"/>
      <c r="G174" s="2"/>
      <c r="H174" s="2"/>
      <c r="I174" s="39"/>
      <c r="J174" s="50" t="str">
        <f t="shared" si="81"/>
        <v/>
      </c>
      <c r="K174" s="37" t="str">
        <f>IF(I174="","",IF($AM$3=1,IFERROR(IF(J174=FALSE,"",VLOOKUP(J174,$AJ$1:$AK$18,2,1)),""),IFERROR(IF(J174 = "FALSE","",VLOOKUP(J174,#REF!,2,TRUE)),"")))</f>
        <v/>
      </c>
      <c r="L174" s="37"/>
      <c r="M174" s="37"/>
      <c r="N174" s="37"/>
      <c r="O174" s="41" t="str">
        <f t="shared" si="82"/>
        <v/>
      </c>
      <c r="P174" s="51" t="str">
        <f>IFERROR(IF(C174="","",IF(AND(Census!C174="E",Census!J174&gt;=18,Census!J174&lt;=65),"Yes","No")),"ERROR")</f>
        <v/>
      </c>
      <c r="Q174" s="52" t="str">
        <f>IFERROR(IF(C174="","",IF(AND(Census!C174="E",Census!J174&gt;=18,Census!J174&lt;=64),"Yes","No")),"ERROR")</f>
        <v/>
      </c>
      <c r="R174" s="53">
        <f t="shared" ca="1" si="83"/>
        <v>-1</v>
      </c>
      <c r="S174" s="54">
        <f t="shared" si="84"/>
        <v>0</v>
      </c>
      <c r="T174" s="55">
        <f t="shared" si="85"/>
        <v>0</v>
      </c>
      <c r="U174" s="55">
        <f t="shared" si="86"/>
        <v>0</v>
      </c>
      <c r="V174" s="55">
        <f t="shared" si="87"/>
        <v>0</v>
      </c>
      <c r="W174" s="55">
        <f t="shared" ca="1" si="88"/>
        <v>-1</v>
      </c>
      <c r="X174" s="56">
        <f t="shared" si="89"/>
        <v>0</v>
      </c>
      <c r="Y174" s="10"/>
      <c r="Z174" s="64" t="s">
        <v>207</v>
      </c>
      <c r="AA174" s="10"/>
      <c r="AB174">
        <f t="shared" si="90"/>
        <v>0</v>
      </c>
      <c r="AC174">
        <f t="shared" si="91"/>
        <v>0</v>
      </c>
      <c r="AD174">
        <f t="shared" si="92"/>
        <v>0</v>
      </c>
      <c r="AE174">
        <f t="shared" si="93"/>
        <v>0</v>
      </c>
      <c r="AF174">
        <f t="shared" ca="1" si="94"/>
        <v>-1</v>
      </c>
      <c r="AG174">
        <f t="shared" si="95"/>
        <v>0</v>
      </c>
      <c r="AH174">
        <f t="shared" ca="1" si="96"/>
        <v>0</v>
      </c>
    </row>
    <row r="175" spans="1:34" s="12" customFormat="1" x14ac:dyDescent="0.25">
      <c r="A175" s="42">
        <v>174</v>
      </c>
      <c r="B175" s="43"/>
      <c r="C175" s="44"/>
      <c r="D175" s="45"/>
      <c r="E175" s="45"/>
      <c r="F175" s="39"/>
      <c r="G175" s="3"/>
      <c r="H175" s="3"/>
      <c r="I175" s="44"/>
      <c r="J175" s="42" t="str">
        <f t="shared" si="81"/>
        <v/>
      </c>
      <c r="K175" s="42" t="str">
        <f>IF(I175="","",IF($AM$3=1,IFERROR(IF(J175=FALSE,"",VLOOKUP(J175,$AJ$1:$AK$18,2,1)),""),IFERROR(IF(J175 = "FALSE","",VLOOKUP(J175,#REF!,2,TRUE)),"")))</f>
        <v/>
      </c>
      <c r="L175" s="42"/>
      <c r="M175" s="42"/>
      <c r="N175" s="42"/>
      <c r="O175" s="46" t="str">
        <f t="shared" si="82"/>
        <v/>
      </c>
      <c r="P175" s="57" t="str">
        <f>IFERROR(IF(C175="","",IF(AND(Census!C175="E",Census!J175&gt;=18,Census!J175&lt;=65),"Yes","No")),"ERROR")</f>
        <v/>
      </c>
      <c r="Q175" s="58" t="str">
        <f>IFERROR(IF(C175="","",IF(AND(Census!C175="E",Census!J175&gt;=18,Census!J175&lt;=64),"Yes","No")),"ERROR")</f>
        <v/>
      </c>
      <c r="R175" s="59">
        <f t="shared" ca="1" si="83"/>
        <v>-1</v>
      </c>
      <c r="S175" s="60">
        <f t="shared" si="84"/>
        <v>0</v>
      </c>
      <c r="T175" s="61">
        <f t="shared" si="85"/>
        <v>0</v>
      </c>
      <c r="U175" s="61">
        <f t="shared" si="86"/>
        <v>0</v>
      </c>
      <c r="V175" s="61">
        <f t="shared" si="87"/>
        <v>0</v>
      </c>
      <c r="W175" s="61">
        <f t="shared" ca="1" si="88"/>
        <v>-1</v>
      </c>
      <c r="X175" s="62">
        <f t="shared" si="89"/>
        <v>0</v>
      </c>
      <c r="Y175" s="10"/>
      <c r="Z175" s="64" t="s">
        <v>280</v>
      </c>
      <c r="AA175" s="10"/>
      <c r="AB175">
        <f t="shared" si="90"/>
        <v>0</v>
      </c>
      <c r="AC175">
        <f t="shared" si="91"/>
        <v>0</v>
      </c>
      <c r="AD175">
        <f t="shared" si="92"/>
        <v>0</v>
      </c>
      <c r="AE175">
        <f t="shared" si="93"/>
        <v>0</v>
      </c>
      <c r="AF175">
        <f t="shared" ca="1" si="94"/>
        <v>-1</v>
      </c>
      <c r="AG175">
        <f t="shared" si="95"/>
        <v>0</v>
      </c>
      <c r="AH175">
        <f t="shared" ca="1" si="96"/>
        <v>0</v>
      </c>
    </row>
    <row r="176" spans="1:34" s="12" customFormat="1" x14ac:dyDescent="0.25">
      <c r="A176" s="37">
        <v>175</v>
      </c>
      <c r="B176" s="38"/>
      <c r="C176" s="39"/>
      <c r="D176" s="40"/>
      <c r="E176" s="40"/>
      <c r="F176" s="39"/>
      <c r="G176" s="2"/>
      <c r="H176" s="2"/>
      <c r="I176" s="39"/>
      <c r="J176" s="50" t="str">
        <f t="shared" si="81"/>
        <v/>
      </c>
      <c r="K176" s="37" t="str">
        <f>IF(I176="","",IF($AM$3=1,IFERROR(IF(J176=FALSE,"",VLOOKUP(J176,$AJ$1:$AK$18,2,1)),""),IFERROR(IF(J176 = "FALSE","",VLOOKUP(J176,#REF!,2,TRUE)),"")))</f>
        <v/>
      </c>
      <c r="L176" s="37"/>
      <c r="M176" s="37"/>
      <c r="N176" s="37"/>
      <c r="O176" s="41" t="str">
        <f t="shared" si="82"/>
        <v/>
      </c>
      <c r="P176" s="51" t="str">
        <f>IFERROR(IF(C176="","",IF(AND(Census!C176="E",Census!J176&gt;=18,Census!J176&lt;=65),"Yes","No")),"ERROR")</f>
        <v/>
      </c>
      <c r="Q176" s="52" t="str">
        <f>IFERROR(IF(C176="","",IF(AND(Census!C176="E",Census!J176&gt;=18,Census!J176&lt;=64),"Yes","No")),"ERROR")</f>
        <v/>
      </c>
      <c r="R176" s="53">
        <f t="shared" ca="1" si="83"/>
        <v>-1</v>
      </c>
      <c r="S176" s="54">
        <f t="shared" si="84"/>
        <v>0</v>
      </c>
      <c r="T176" s="55">
        <f t="shared" si="85"/>
        <v>0</v>
      </c>
      <c r="U176" s="55">
        <f t="shared" si="86"/>
        <v>0</v>
      </c>
      <c r="V176" s="55">
        <f t="shared" si="87"/>
        <v>0</v>
      </c>
      <c r="W176" s="55">
        <f t="shared" ca="1" si="88"/>
        <v>-1</v>
      </c>
      <c r="X176" s="56">
        <f t="shared" si="89"/>
        <v>0</v>
      </c>
      <c r="Y176" s="10"/>
      <c r="Z176" s="64" t="s">
        <v>150</v>
      </c>
      <c r="AA176" s="10"/>
      <c r="AB176">
        <f t="shared" si="90"/>
        <v>0</v>
      </c>
      <c r="AC176">
        <f t="shared" si="91"/>
        <v>0</v>
      </c>
      <c r="AD176">
        <f t="shared" si="92"/>
        <v>0</v>
      </c>
      <c r="AE176">
        <f t="shared" si="93"/>
        <v>0</v>
      </c>
      <c r="AF176">
        <f t="shared" ca="1" si="94"/>
        <v>-1</v>
      </c>
      <c r="AG176">
        <f t="shared" si="95"/>
        <v>0</v>
      </c>
      <c r="AH176">
        <f t="shared" ca="1" si="96"/>
        <v>0</v>
      </c>
    </row>
    <row r="177" spans="1:34" s="12" customFormat="1" x14ac:dyDescent="0.25">
      <c r="A177" s="42">
        <v>176</v>
      </c>
      <c r="B177" s="43"/>
      <c r="C177" s="44"/>
      <c r="D177" s="45"/>
      <c r="E177" s="45"/>
      <c r="F177" s="39"/>
      <c r="G177" s="3"/>
      <c r="H177" s="3"/>
      <c r="I177" s="44"/>
      <c r="J177" s="42" t="str">
        <f t="shared" si="81"/>
        <v/>
      </c>
      <c r="K177" s="42" t="str">
        <f>IF(I177="","",IF($AM$3=1,IFERROR(IF(J177=FALSE,"",VLOOKUP(J177,$AJ$1:$AK$18,2,1)),""),IFERROR(IF(J177 = "FALSE","",VLOOKUP(J177,#REF!,2,TRUE)),"")))</f>
        <v/>
      </c>
      <c r="L177" s="42"/>
      <c r="M177" s="42"/>
      <c r="N177" s="42"/>
      <c r="O177" s="46" t="str">
        <f t="shared" si="82"/>
        <v/>
      </c>
      <c r="P177" s="57" t="str">
        <f>IFERROR(IF(C177="","",IF(AND(Census!C177="E",Census!J177&gt;=18,Census!J177&lt;=65),"Yes","No")),"ERROR")</f>
        <v/>
      </c>
      <c r="Q177" s="58" t="str">
        <f>IFERROR(IF(C177="","",IF(AND(Census!C177="E",Census!J177&gt;=18,Census!J177&lt;=64),"Yes","No")),"ERROR")</f>
        <v/>
      </c>
      <c r="R177" s="59">
        <f t="shared" ca="1" si="83"/>
        <v>-1</v>
      </c>
      <c r="S177" s="60">
        <f t="shared" si="84"/>
        <v>0</v>
      </c>
      <c r="T177" s="61">
        <f t="shared" si="85"/>
        <v>0</v>
      </c>
      <c r="U177" s="61">
        <f t="shared" si="86"/>
        <v>0</v>
      </c>
      <c r="V177" s="61">
        <f t="shared" si="87"/>
        <v>0</v>
      </c>
      <c r="W177" s="61">
        <f t="shared" ca="1" si="88"/>
        <v>-1</v>
      </c>
      <c r="X177" s="62">
        <f t="shared" si="89"/>
        <v>0</v>
      </c>
      <c r="Y177" s="10"/>
      <c r="Z177" s="64" t="s">
        <v>281</v>
      </c>
      <c r="AA177" s="10"/>
      <c r="AB177">
        <f t="shared" si="90"/>
        <v>0</v>
      </c>
      <c r="AC177">
        <f t="shared" si="91"/>
        <v>0</v>
      </c>
      <c r="AD177">
        <f t="shared" si="92"/>
        <v>0</v>
      </c>
      <c r="AE177">
        <f t="shared" si="93"/>
        <v>0</v>
      </c>
      <c r="AF177">
        <f t="shared" ca="1" si="94"/>
        <v>-1</v>
      </c>
      <c r="AG177">
        <f t="shared" si="95"/>
        <v>0</v>
      </c>
      <c r="AH177">
        <f t="shared" ca="1" si="96"/>
        <v>0</v>
      </c>
    </row>
    <row r="178" spans="1:34" s="12" customFormat="1" x14ac:dyDescent="0.25">
      <c r="A178" s="37">
        <v>177</v>
      </c>
      <c r="B178" s="38"/>
      <c r="C178" s="39"/>
      <c r="D178" s="40"/>
      <c r="E178" s="40"/>
      <c r="F178" s="39"/>
      <c r="G178" s="2"/>
      <c r="H178" s="2"/>
      <c r="I178" s="39"/>
      <c r="J178" s="50" t="str">
        <f t="shared" si="81"/>
        <v/>
      </c>
      <c r="K178" s="37" t="str">
        <f>IF(I178="","",IF($AM$3=1,IFERROR(IF(J178=FALSE,"",VLOOKUP(J178,$AJ$1:$AK$18,2,1)),""),IFERROR(IF(J178 = "FALSE","",VLOOKUP(J178,#REF!,2,TRUE)),"")))</f>
        <v/>
      </c>
      <c r="L178" s="37"/>
      <c r="M178" s="37"/>
      <c r="N178" s="37"/>
      <c r="O178" s="41" t="str">
        <f t="shared" si="82"/>
        <v/>
      </c>
      <c r="P178" s="51" t="str">
        <f>IFERROR(IF(C178="","",IF(AND(Census!C178="E",Census!J178&gt;=18,Census!J178&lt;=65),"Yes","No")),"ERROR")</f>
        <v/>
      </c>
      <c r="Q178" s="52" t="str">
        <f>IFERROR(IF(C178="","",IF(AND(Census!C178="E",Census!J178&gt;=18,Census!J178&lt;=64),"Yes","No")),"ERROR")</f>
        <v/>
      </c>
      <c r="R178" s="53">
        <f t="shared" ca="1" si="83"/>
        <v>-1</v>
      </c>
      <c r="S178" s="54">
        <f t="shared" si="84"/>
        <v>0</v>
      </c>
      <c r="T178" s="55">
        <f t="shared" si="85"/>
        <v>0</v>
      </c>
      <c r="U178" s="55">
        <f t="shared" si="86"/>
        <v>0</v>
      </c>
      <c r="V178" s="55">
        <f t="shared" si="87"/>
        <v>0</v>
      </c>
      <c r="W178" s="55">
        <f t="shared" ca="1" si="88"/>
        <v>-1</v>
      </c>
      <c r="X178" s="56">
        <f t="shared" si="89"/>
        <v>0</v>
      </c>
      <c r="Y178" s="10"/>
      <c r="Z178" s="64" t="s">
        <v>282</v>
      </c>
      <c r="AA178" s="10"/>
      <c r="AB178">
        <f t="shared" si="90"/>
        <v>0</v>
      </c>
      <c r="AC178">
        <f t="shared" si="91"/>
        <v>0</v>
      </c>
      <c r="AD178">
        <f t="shared" si="92"/>
        <v>0</v>
      </c>
      <c r="AE178">
        <f t="shared" si="93"/>
        <v>0</v>
      </c>
      <c r="AF178">
        <f t="shared" ca="1" si="94"/>
        <v>-1</v>
      </c>
      <c r="AG178">
        <f t="shared" si="95"/>
        <v>0</v>
      </c>
      <c r="AH178">
        <f t="shared" ca="1" si="96"/>
        <v>0</v>
      </c>
    </row>
    <row r="179" spans="1:34" s="12" customFormat="1" x14ac:dyDescent="0.25">
      <c r="A179" s="42">
        <v>178</v>
      </c>
      <c r="B179" s="43"/>
      <c r="C179" s="44"/>
      <c r="D179" s="45"/>
      <c r="E179" s="45"/>
      <c r="F179" s="39"/>
      <c r="G179" s="3"/>
      <c r="H179" s="3"/>
      <c r="I179" s="44"/>
      <c r="J179" s="42" t="str">
        <f t="shared" si="81"/>
        <v/>
      </c>
      <c r="K179" s="42" t="str">
        <f>IF(I179="","",IF($AM$3=1,IFERROR(IF(J179=FALSE,"",VLOOKUP(J179,$AJ$1:$AK$18,2,1)),""),IFERROR(IF(J179 = "FALSE","",VLOOKUP(J179,#REF!,2,TRUE)),"")))</f>
        <v/>
      </c>
      <c r="L179" s="42"/>
      <c r="M179" s="42"/>
      <c r="N179" s="42"/>
      <c r="O179" s="46" t="str">
        <f t="shared" si="82"/>
        <v/>
      </c>
      <c r="P179" s="57" t="str">
        <f>IFERROR(IF(C179="","",IF(AND(Census!C179="E",Census!J179&gt;=18,Census!J179&lt;=65),"Yes","No")),"ERROR")</f>
        <v/>
      </c>
      <c r="Q179" s="58" t="str">
        <f>IFERROR(IF(C179="","",IF(AND(Census!C179="E",Census!J179&gt;=18,Census!J179&lt;=64),"Yes","No")),"ERROR")</f>
        <v/>
      </c>
      <c r="R179" s="59">
        <f t="shared" ca="1" si="83"/>
        <v>-1</v>
      </c>
      <c r="S179" s="60">
        <f t="shared" si="84"/>
        <v>0</v>
      </c>
      <c r="T179" s="61">
        <f t="shared" si="85"/>
        <v>0</v>
      </c>
      <c r="U179" s="61">
        <f t="shared" si="86"/>
        <v>0</v>
      </c>
      <c r="V179" s="61">
        <f t="shared" si="87"/>
        <v>0</v>
      </c>
      <c r="W179" s="61">
        <f t="shared" ca="1" si="88"/>
        <v>-1</v>
      </c>
      <c r="X179" s="62">
        <f t="shared" si="89"/>
        <v>0</v>
      </c>
      <c r="Y179" s="10"/>
      <c r="Z179" s="64" t="s">
        <v>107</v>
      </c>
      <c r="AA179" s="10"/>
      <c r="AB179">
        <f t="shared" si="90"/>
        <v>0</v>
      </c>
      <c r="AC179">
        <f t="shared" si="91"/>
        <v>0</v>
      </c>
      <c r="AD179">
        <f t="shared" si="92"/>
        <v>0</v>
      </c>
      <c r="AE179">
        <f t="shared" si="93"/>
        <v>0</v>
      </c>
      <c r="AF179">
        <f t="shared" ca="1" si="94"/>
        <v>-1</v>
      </c>
      <c r="AG179">
        <f t="shared" si="95"/>
        <v>0</v>
      </c>
      <c r="AH179">
        <f t="shared" ca="1" si="96"/>
        <v>0</v>
      </c>
    </row>
    <row r="180" spans="1:34" s="12" customFormat="1" x14ac:dyDescent="0.25">
      <c r="A180" s="37">
        <v>179</v>
      </c>
      <c r="B180" s="38"/>
      <c r="C180" s="39"/>
      <c r="D180" s="40"/>
      <c r="E180" s="40"/>
      <c r="F180" s="39"/>
      <c r="G180" s="2"/>
      <c r="H180" s="2"/>
      <c r="I180" s="39"/>
      <c r="J180" s="50" t="str">
        <f t="shared" si="81"/>
        <v/>
      </c>
      <c r="K180" s="37" t="str">
        <f>IF(I180="","",IF($AM$3=1,IFERROR(IF(J180=FALSE,"",VLOOKUP(J180,$AJ$1:$AK$18,2,1)),""),IFERROR(IF(J180 = "FALSE","",VLOOKUP(J180,#REF!,2,TRUE)),"")))</f>
        <v/>
      </c>
      <c r="L180" s="37"/>
      <c r="M180" s="37"/>
      <c r="N180" s="37"/>
      <c r="O180" s="41" t="str">
        <f t="shared" si="82"/>
        <v/>
      </c>
      <c r="P180" s="51" t="str">
        <f>IFERROR(IF(C180="","",IF(AND(Census!C180="E",Census!J180&gt;=18,Census!J180&lt;=65),"Yes","No")),"ERROR")</f>
        <v/>
      </c>
      <c r="Q180" s="52" t="str">
        <f>IFERROR(IF(C180="","",IF(AND(Census!C180="E",Census!J180&gt;=18,Census!J180&lt;=64),"Yes","No")),"ERROR")</f>
        <v/>
      </c>
      <c r="R180" s="53">
        <f t="shared" ca="1" si="83"/>
        <v>-1</v>
      </c>
      <c r="S180" s="54">
        <f t="shared" si="84"/>
        <v>0</v>
      </c>
      <c r="T180" s="55">
        <f t="shared" si="85"/>
        <v>0</v>
      </c>
      <c r="U180" s="55">
        <f t="shared" si="86"/>
        <v>0</v>
      </c>
      <c r="V180" s="55">
        <f t="shared" si="87"/>
        <v>0</v>
      </c>
      <c r="W180" s="55">
        <f t="shared" ca="1" si="88"/>
        <v>-1</v>
      </c>
      <c r="X180" s="56">
        <f t="shared" si="89"/>
        <v>0</v>
      </c>
      <c r="Y180" s="10"/>
      <c r="Z180" s="64" t="s">
        <v>133</v>
      </c>
      <c r="AA180" s="10"/>
      <c r="AB180">
        <f t="shared" si="90"/>
        <v>0</v>
      </c>
      <c r="AC180">
        <f t="shared" si="91"/>
        <v>0</v>
      </c>
      <c r="AD180">
        <f t="shared" si="92"/>
        <v>0</v>
      </c>
      <c r="AE180">
        <f t="shared" si="93"/>
        <v>0</v>
      </c>
      <c r="AF180">
        <f t="shared" ca="1" si="94"/>
        <v>-1</v>
      </c>
      <c r="AG180">
        <f t="shared" si="95"/>
        <v>0</v>
      </c>
      <c r="AH180">
        <f t="shared" ca="1" si="96"/>
        <v>0</v>
      </c>
    </row>
    <row r="181" spans="1:34" s="12" customFormat="1" x14ac:dyDescent="0.25">
      <c r="A181" s="42">
        <v>180</v>
      </c>
      <c r="B181" s="43"/>
      <c r="C181" s="44"/>
      <c r="D181" s="45"/>
      <c r="E181" s="45"/>
      <c r="F181" s="39"/>
      <c r="G181" s="3"/>
      <c r="H181" s="3"/>
      <c r="I181" s="44"/>
      <c r="J181" s="42" t="str">
        <f t="shared" si="81"/>
        <v/>
      </c>
      <c r="K181" s="42" t="str">
        <f>IF(I181="","",IF($AM$3=1,IFERROR(IF(J181=FALSE,"",VLOOKUP(J181,$AJ$1:$AK$18,2,1)),""),IFERROR(IF(J181 = "FALSE","",VLOOKUP(J181,#REF!,2,TRUE)),"")))</f>
        <v/>
      </c>
      <c r="L181" s="42"/>
      <c r="M181" s="42"/>
      <c r="N181" s="42"/>
      <c r="O181" s="46" t="str">
        <f t="shared" si="82"/>
        <v/>
      </c>
      <c r="P181" s="57" t="str">
        <f>IFERROR(IF(C181="","",IF(AND(Census!C181="E",Census!J181&gt;=18,Census!J181&lt;=65),"Yes","No")),"ERROR")</f>
        <v/>
      </c>
      <c r="Q181" s="58" t="str">
        <f>IFERROR(IF(C181="","",IF(AND(Census!C181="E",Census!J181&gt;=18,Census!J181&lt;=64),"Yes","No")),"ERROR")</f>
        <v/>
      </c>
      <c r="R181" s="59">
        <f t="shared" ca="1" si="83"/>
        <v>-1</v>
      </c>
      <c r="S181" s="60">
        <f t="shared" si="84"/>
        <v>0</v>
      </c>
      <c r="T181" s="61">
        <f t="shared" si="85"/>
        <v>0</v>
      </c>
      <c r="U181" s="61">
        <f t="shared" si="86"/>
        <v>0</v>
      </c>
      <c r="V181" s="61">
        <f t="shared" si="87"/>
        <v>0</v>
      </c>
      <c r="W181" s="61">
        <f t="shared" ca="1" si="88"/>
        <v>-1</v>
      </c>
      <c r="X181" s="62">
        <f t="shared" si="89"/>
        <v>0</v>
      </c>
      <c r="Y181" s="10"/>
      <c r="Z181" s="64" t="s">
        <v>283</v>
      </c>
      <c r="AA181" s="10"/>
      <c r="AB181">
        <f t="shared" si="90"/>
        <v>0</v>
      </c>
      <c r="AC181">
        <f t="shared" si="91"/>
        <v>0</v>
      </c>
      <c r="AD181">
        <f t="shared" si="92"/>
        <v>0</v>
      </c>
      <c r="AE181">
        <f t="shared" si="93"/>
        <v>0</v>
      </c>
      <c r="AF181">
        <f t="shared" ca="1" si="94"/>
        <v>-1</v>
      </c>
      <c r="AG181">
        <f t="shared" si="95"/>
        <v>0</v>
      </c>
      <c r="AH181">
        <f t="shared" ca="1" si="96"/>
        <v>0</v>
      </c>
    </row>
    <row r="182" spans="1:34" s="12" customFormat="1" x14ac:dyDescent="0.25">
      <c r="A182" s="37">
        <v>181</v>
      </c>
      <c r="B182" s="38"/>
      <c r="C182" s="39"/>
      <c r="D182" s="40"/>
      <c r="E182" s="40"/>
      <c r="F182" s="39"/>
      <c r="G182" s="2"/>
      <c r="H182" s="2"/>
      <c r="I182" s="39"/>
      <c r="J182" s="50" t="str">
        <f t="shared" si="81"/>
        <v/>
      </c>
      <c r="K182" s="37" t="str">
        <f>IF(I182="","",IF($AM$3=1,IFERROR(IF(J182=FALSE,"",VLOOKUP(J182,$AJ$1:$AK$18,2,1)),""),IFERROR(IF(J182 = "FALSE","",VLOOKUP(J182,#REF!,2,TRUE)),"")))</f>
        <v/>
      </c>
      <c r="L182" s="37"/>
      <c r="M182" s="37"/>
      <c r="N182" s="37"/>
      <c r="O182" s="41" t="str">
        <f t="shared" si="82"/>
        <v/>
      </c>
      <c r="P182" s="51" t="str">
        <f>IFERROR(IF(C182="","",IF(AND(Census!C182="E",Census!J182&gt;=18,Census!J182&lt;=65),"Yes","No")),"ERROR")</f>
        <v/>
      </c>
      <c r="Q182" s="52" t="str">
        <f>IFERROR(IF(C182="","",IF(AND(Census!C182="E",Census!J182&gt;=18,Census!J182&lt;=64),"Yes","No")),"ERROR")</f>
        <v/>
      </c>
      <c r="R182" s="53">
        <f t="shared" ca="1" si="83"/>
        <v>-1</v>
      </c>
      <c r="S182" s="54">
        <f t="shared" si="84"/>
        <v>0</v>
      </c>
      <c r="T182" s="55">
        <f t="shared" si="85"/>
        <v>0</v>
      </c>
      <c r="U182" s="55">
        <f t="shared" si="86"/>
        <v>0</v>
      </c>
      <c r="V182" s="55">
        <f t="shared" si="87"/>
        <v>0</v>
      </c>
      <c r="W182" s="55">
        <f t="shared" ca="1" si="88"/>
        <v>-1</v>
      </c>
      <c r="X182" s="56">
        <f t="shared" si="89"/>
        <v>0</v>
      </c>
      <c r="Y182" s="10"/>
      <c r="Z182" s="64" t="s">
        <v>96</v>
      </c>
      <c r="AA182" s="10"/>
      <c r="AB182">
        <f t="shared" si="90"/>
        <v>0</v>
      </c>
      <c r="AC182">
        <f t="shared" si="91"/>
        <v>0</v>
      </c>
      <c r="AD182">
        <f t="shared" si="92"/>
        <v>0</v>
      </c>
      <c r="AE182">
        <f t="shared" si="93"/>
        <v>0</v>
      </c>
      <c r="AF182">
        <f t="shared" ca="1" si="94"/>
        <v>-1</v>
      </c>
      <c r="AG182">
        <f t="shared" si="95"/>
        <v>0</v>
      </c>
      <c r="AH182">
        <f t="shared" ca="1" si="96"/>
        <v>0</v>
      </c>
    </row>
    <row r="183" spans="1:34" s="12" customFormat="1" x14ac:dyDescent="0.25">
      <c r="A183" s="42">
        <v>182</v>
      </c>
      <c r="B183" s="43"/>
      <c r="C183" s="44"/>
      <c r="D183" s="45"/>
      <c r="E183" s="45"/>
      <c r="F183" s="39"/>
      <c r="G183" s="3"/>
      <c r="H183" s="3"/>
      <c r="I183" s="44"/>
      <c r="J183" s="42" t="str">
        <f t="shared" si="81"/>
        <v/>
      </c>
      <c r="K183" s="42" t="str">
        <f>IF(I183="","",IF($AM$3=1,IFERROR(IF(J183=FALSE,"",VLOOKUP(J183,$AJ$1:$AK$18,2,1)),""),IFERROR(IF(J183 = "FALSE","",VLOOKUP(J183,#REF!,2,TRUE)),"")))</f>
        <v/>
      </c>
      <c r="L183" s="42"/>
      <c r="M183" s="42"/>
      <c r="N183" s="42"/>
      <c r="O183" s="46" t="str">
        <f t="shared" si="82"/>
        <v/>
      </c>
      <c r="P183" s="57" t="str">
        <f>IFERROR(IF(C183="","",IF(AND(Census!C183="E",Census!J183&gt;=18,Census!J183&lt;=65),"Yes","No")),"ERROR")</f>
        <v/>
      </c>
      <c r="Q183" s="58" t="str">
        <f>IFERROR(IF(C183="","",IF(AND(Census!C183="E",Census!J183&gt;=18,Census!J183&lt;=64),"Yes","No")),"ERROR")</f>
        <v/>
      </c>
      <c r="R183" s="59">
        <f t="shared" ca="1" si="83"/>
        <v>-1</v>
      </c>
      <c r="S183" s="60">
        <f t="shared" si="84"/>
        <v>0</v>
      </c>
      <c r="T183" s="61">
        <f t="shared" si="85"/>
        <v>0</v>
      </c>
      <c r="U183" s="61">
        <f t="shared" si="86"/>
        <v>0</v>
      </c>
      <c r="V183" s="61">
        <f t="shared" si="87"/>
        <v>0</v>
      </c>
      <c r="W183" s="61">
        <f t="shared" ca="1" si="88"/>
        <v>-1</v>
      </c>
      <c r="X183" s="62">
        <f t="shared" si="89"/>
        <v>0</v>
      </c>
      <c r="Y183" s="10"/>
      <c r="Z183" s="64" t="s">
        <v>284</v>
      </c>
      <c r="AA183" s="10"/>
      <c r="AB183">
        <f t="shared" si="90"/>
        <v>0</v>
      </c>
      <c r="AC183">
        <f t="shared" si="91"/>
        <v>0</v>
      </c>
      <c r="AD183">
        <f t="shared" si="92"/>
        <v>0</v>
      </c>
      <c r="AE183">
        <f t="shared" si="93"/>
        <v>0</v>
      </c>
      <c r="AF183">
        <f t="shared" ca="1" si="94"/>
        <v>-1</v>
      </c>
      <c r="AG183">
        <f t="shared" si="95"/>
        <v>0</v>
      </c>
      <c r="AH183">
        <f t="shared" ca="1" si="96"/>
        <v>0</v>
      </c>
    </row>
    <row r="184" spans="1:34" s="12" customFormat="1" x14ac:dyDescent="0.25">
      <c r="A184" s="37">
        <v>183</v>
      </c>
      <c r="B184" s="38"/>
      <c r="C184" s="39"/>
      <c r="D184" s="40"/>
      <c r="E184" s="40"/>
      <c r="F184" s="39"/>
      <c r="G184" s="2"/>
      <c r="H184" s="2"/>
      <c r="I184" s="39"/>
      <c r="J184" s="50" t="str">
        <f t="shared" si="81"/>
        <v/>
      </c>
      <c r="K184" s="37" t="str">
        <f>IF(I184="","",IF($AM$3=1,IFERROR(IF(J184=FALSE,"",VLOOKUP(J184,$AJ$1:$AK$18,2,1)),""),IFERROR(IF(J184 = "FALSE","",VLOOKUP(J184,#REF!,2,TRUE)),"")))</f>
        <v/>
      </c>
      <c r="L184" s="37"/>
      <c r="M184" s="37"/>
      <c r="N184" s="37"/>
      <c r="O184" s="41" t="str">
        <f t="shared" si="82"/>
        <v/>
      </c>
      <c r="P184" s="51" t="str">
        <f>IFERROR(IF(C184="","",IF(AND(Census!C184="E",Census!J184&gt;=18,Census!J184&lt;=65),"Yes","No")),"ERROR")</f>
        <v/>
      </c>
      <c r="Q184" s="52" t="str">
        <f>IFERROR(IF(C184="","",IF(AND(Census!C184="E",Census!J184&gt;=18,Census!J184&lt;=64),"Yes","No")),"ERROR")</f>
        <v/>
      </c>
      <c r="R184" s="53">
        <f t="shared" ca="1" si="83"/>
        <v>-1</v>
      </c>
      <c r="S184" s="54">
        <f t="shared" si="84"/>
        <v>0</v>
      </c>
      <c r="T184" s="55">
        <f t="shared" si="85"/>
        <v>0</v>
      </c>
      <c r="U184" s="55">
        <f t="shared" si="86"/>
        <v>0</v>
      </c>
      <c r="V184" s="55">
        <f t="shared" si="87"/>
        <v>0</v>
      </c>
      <c r="W184" s="55">
        <f t="shared" ca="1" si="88"/>
        <v>-1</v>
      </c>
      <c r="X184" s="56">
        <f t="shared" si="89"/>
        <v>0</v>
      </c>
      <c r="Y184" s="10"/>
      <c r="Z184" s="64" t="s">
        <v>285</v>
      </c>
      <c r="AA184" s="10"/>
      <c r="AB184">
        <f t="shared" si="90"/>
        <v>0</v>
      </c>
      <c r="AC184">
        <f t="shared" si="91"/>
        <v>0</v>
      </c>
      <c r="AD184">
        <f t="shared" si="92"/>
        <v>0</v>
      </c>
      <c r="AE184">
        <f t="shared" si="93"/>
        <v>0</v>
      </c>
      <c r="AF184">
        <f t="shared" ca="1" si="94"/>
        <v>-1</v>
      </c>
      <c r="AG184">
        <f t="shared" si="95"/>
        <v>0</v>
      </c>
      <c r="AH184">
        <f t="shared" ca="1" si="96"/>
        <v>0</v>
      </c>
    </row>
    <row r="185" spans="1:34" s="12" customFormat="1" x14ac:dyDescent="0.25">
      <c r="A185" s="42">
        <v>184</v>
      </c>
      <c r="B185" s="43"/>
      <c r="C185" s="44"/>
      <c r="D185" s="45"/>
      <c r="E185" s="45"/>
      <c r="F185" s="39"/>
      <c r="G185" s="3"/>
      <c r="H185" s="3"/>
      <c r="I185" s="44"/>
      <c r="J185" s="42" t="str">
        <f t="shared" si="81"/>
        <v/>
      </c>
      <c r="K185" s="42" t="str">
        <f>IF(I185="","",IF($AM$3=1,IFERROR(IF(J185=FALSE,"",VLOOKUP(J185,$AJ$1:$AK$18,2,1)),""),IFERROR(IF(J185 = "FALSE","",VLOOKUP(J185,#REF!,2,TRUE)),"")))</f>
        <v/>
      </c>
      <c r="L185" s="42"/>
      <c r="M185" s="42"/>
      <c r="N185" s="42"/>
      <c r="O185" s="46" t="str">
        <f t="shared" si="82"/>
        <v/>
      </c>
      <c r="P185" s="57" t="str">
        <f>IFERROR(IF(C185="","",IF(AND(Census!C185="E",Census!J185&gt;=18,Census!J185&lt;=65),"Yes","No")),"ERROR")</f>
        <v/>
      </c>
      <c r="Q185" s="58" t="str">
        <f>IFERROR(IF(C185="","",IF(AND(Census!C185="E",Census!J185&gt;=18,Census!J185&lt;=64),"Yes","No")),"ERROR")</f>
        <v/>
      </c>
      <c r="R185" s="59">
        <f t="shared" ca="1" si="83"/>
        <v>-1</v>
      </c>
      <c r="S185" s="60">
        <f t="shared" si="84"/>
        <v>0</v>
      </c>
      <c r="T185" s="61">
        <f t="shared" si="85"/>
        <v>0</v>
      </c>
      <c r="U185" s="61">
        <f t="shared" si="86"/>
        <v>0</v>
      </c>
      <c r="V185" s="61">
        <f t="shared" si="87"/>
        <v>0</v>
      </c>
      <c r="W185" s="61">
        <f t="shared" ca="1" si="88"/>
        <v>-1</v>
      </c>
      <c r="X185" s="62">
        <f t="shared" si="89"/>
        <v>0</v>
      </c>
      <c r="Y185" s="10"/>
      <c r="Z185" s="64" t="s">
        <v>187</v>
      </c>
      <c r="AA185" s="10"/>
      <c r="AB185">
        <f t="shared" si="90"/>
        <v>0</v>
      </c>
      <c r="AC185">
        <f t="shared" si="91"/>
        <v>0</v>
      </c>
      <c r="AD185">
        <f t="shared" si="92"/>
        <v>0</v>
      </c>
      <c r="AE185">
        <f t="shared" si="93"/>
        <v>0</v>
      </c>
      <c r="AF185">
        <f t="shared" ca="1" si="94"/>
        <v>-1</v>
      </c>
      <c r="AG185">
        <f t="shared" si="95"/>
        <v>0</v>
      </c>
      <c r="AH185">
        <f t="shared" ca="1" si="96"/>
        <v>0</v>
      </c>
    </row>
    <row r="186" spans="1:34" s="12" customFormat="1" x14ac:dyDescent="0.25">
      <c r="A186" s="37">
        <v>185</v>
      </c>
      <c r="B186" s="38"/>
      <c r="C186" s="39"/>
      <c r="D186" s="40"/>
      <c r="E186" s="40"/>
      <c r="F186" s="39"/>
      <c r="G186" s="2"/>
      <c r="H186" s="2"/>
      <c r="I186" s="39"/>
      <c r="J186" s="50" t="str">
        <f t="shared" si="81"/>
        <v/>
      </c>
      <c r="K186" s="37" t="str">
        <f>IF(I186="","",IF($AM$3=1,IFERROR(IF(J186=FALSE,"",VLOOKUP(J186,$AJ$1:$AK$18,2,1)),""),IFERROR(IF(J186 = "FALSE","",VLOOKUP(J186,#REF!,2,TRUE)),"")))</f>
        <v/>
      </c>
      <c r="L186" s="37"/>
      <c r="M186" s="37"/>
      <c r="N186" s="37"/>
      <c r="O186" s="41" t="str">
        <f t="shared" si="82"/>
        <v/>
      </c>
      <c r="P186" s="51" t="str">
        <f>IFERROR(IF(C186="","",IF(AND(Census!C186="E",Census!J186&gt;=18,Census!J186&lt;=65),"Yes","No")),"ERROR")</f>
        <v/>
      </c>
      <c r="Q186" s="52" t="str">
        <f>IFERROR(IF(C186="","",IF(AND(Census!C186="E",Census!J186&gt;=18,Census!J186&lt;=64),"Yes","No")),"ERROR")</f>
        <v/>
      </c>
      <c r="R186" s="53">
        <f t="shared" ca="1" si="83"/>
        <v>-1</v>
      </c>
      <c r="S186" s="54">
        <f t="shared" si="84"/>
        <v>0</v>
      </c>
      <c r="T186" s="55">
        <f t="shared" si="85"/>
        <v>0</v>
      </c>
      <c r="U186" s="55">
        <f t="shared" si="86"/>
        <v>0</v>
      </c>
      <c r="V186" s="55">
        <f t="shared" si="87"/>
        <v>0</v>
      </c>
      <c r="W186" s="55">
        <f t="shared" ca="1" si="88"/>
        <v>-1</v>
      </c>
      <c r="X186" s="56">
        <f t="shared" si="89"/>
        <v>0</v>
      </c>
      <c r="Y186" s="10"/>
      <c r="Z186" s="64" t="s">
        <v>286</v>
      </c>
      <c r="AA186" s="10"/>
      <c r="AB186">
        <f t="shared" si="90"/>
        <v>0</v>
      </c>
      <c r="AC186">
        <f t="shared" si="91"/>
        <v>0</v>
      </c>
      <c r="AD186">
        <f t="shared" si="92"/>
        <v>0</v>
      </c>
      <c r="AE186">
        <f t="shared" si="93"/>
        <v>0</v>
      </c>
      <c r="AF186">
        <f t="shared" ca="1" si="94"/>
        <v>-1</v>
      </c>
      <c r="AG186">
        <f t="shared" si="95"/>
        <v>0</v>
      </c>
      <c r="AH186">
        <f t="shared" ca="1" si="96"/>
        <v>0</v>
      </c>
    </row>
    <row r="187" spans="1:34" s="12" customFormat="1" x14ac:dyDescent="0.25">
      <c r="A187" s="42">
        <v>186</v>
      </c>
      <c r="B187" s="43"/>
      <c r="C187" s="44"/>
      <c r="D187" s="45"/>
      <c r="E187" s="45"/>
      <c r="F187" s="39"/>
      <c r="G187" s="3"/>
      <c r="H187" s="3"/>
      <c r="I187" s="44"/>
      <c r="J187" s="42" t="str">
        <f t="shared" si="81"/>
        <v/>
      </c>
      <c r="K187" s="42" t="str">
        <f>IF(I187="","",IF($AM$3=1,IFERROR(IF(J187=FALSE,"",VLOOKUP(J187,$AJ$1:$AK$18,2,1)),""),IFERROR(IF(J187 = "FALSE","",VLOOKUP(J187,#REF!,2,TRUE)),"")))</f>
        <v/>
      </c>
      <c r="L187" s="42"/>
      <c r="M187" s="42"/>
      <c r="N187" s="42"/>
      <c r="O187" s="46" t="str">
        <f t="shared" si="82"/>
        <v/>
      </c>
      <c r="P187" s="57" t="str">
        <f>IFERROR(IF(C187="","",IF(AND(Census!C187="E",Census!J187&gt;=18,Census!J187&lt;=65),"Yes","No")),"ERROR")</f>
        <v/>
      </c>
      <c r="Q187" s="58" t="str">
        <f>IFERROR(IF(C187="","",IF(AND(Census!C187="E",Census!J187&gt;=18,Census!J187&lt;=64),"Yes","No")),"ERROR")</f>
        <v/>
      </c>
      <c r="R187" s="59">
        <f t="shared" ca="1" si="83"/>
        <v>-1</v>
      </c>
      <c r="S187" s="60">
        <f t="shared" si="84"/>
        <v>0</v>
      </c>
      <c r="T187" s="61">
        <f t="shared" si="85"/>
        <v>0</v>
      </c>
      <c r="U187" s="61">
        <f t="shared" si="86"/>
        <v>0</v>
      </c>
      <c r="V187" s="61">
        <f t="shared" si="87"/>
        <v>0</v>
      </c>
      <c r="W187" s="61">
        <f t="shared" ca="1" si="88"/>
        <v>-1</v>
      </c>
      <c r="X187" s="62">
        <f t="shared" si="89"/>
        <v>0</v>
      </c>
      <c r="Y187" s="10"/>
      <c r="Z187" s="64" t="s">
        <v>123</v>
      </c>
      <c r="AA187" s="10"/>
      <c r="AB187">
        <f t="shared" si="90"/>
        <v>0</v>
      </c>
      <c r="AC187">
        <f t="shared" si="91"/>
        <v>0</v>
      </c>
      <c r="AD187">
        <f t="shared" si="92"/>
        <v>0</v>
      </c>
      <c r="AE187">
        <f t="shared" si="93"/>
        <v>0</v>
      </c>
      <c r="AF187">
        <f t="shared" ca="1" si="94"/>
        <v>-1</v>
      </c>
      <c r="AG187">
        <f t="shared" si="95"/>
        <v>0</v>
      </c>
      <c r="AH187">
        <f t="shared" ca="1" si="96"/>
        <v>0</v>
      </c>
    </row>
    <row r="188" spans="1:34" s="12" customFormat="1" x14ac:dyDescent="0.25">
      <c r="A188" s="37">
        <v>187</v>
      </c>
      <c r="B188" s="38"/>
      <c r="C188" s="39"/>
      <c r="D188" s="40"/>
      <c r="E188" s="40"/>
      <c r="F188" s="39"/>
      <c r="G188" s="2"/>
      <c r="H188" s="2"/>
      <c r="I188" s="39"/>
      <c r="J188" s="50" t="str">
        <f t="shared" ref="J188:J201" si="97">IF(G188="","",ROUNDDOWN(IF($G188="","",(inception_date-$G188)/365.25),0))</f>
        <v/>
      </c>
      <c r="K188" s="37" t="str">
        <f>IF(I188="","",IF($AM$3=1,IFERROR(IF(J188=FALSE,"",VLOOKUP(J188,$AJ$1:$AK$18,2,1)),""),IFERROR(IF(J188 = "FALSE","",VLOOKUP(J188,#REF!,2,TRUE)),"")))</f>
        <v/>
      </c>
      <c r="L188" s="37"/>
      <c r="M188" s="37"/>
      <c r="N188" s="37"/>
      <c r="O188" s="41" t="str">
        <f t="shared" si="82"/>
        <v/>
      </c>
      <c r="P188" s="51" t="str">
        <f>IFERROR(IF(C188="","",IF(AND(Census!C188="E",Census!J188&gt;=18,Census!J188&lt;=65),"Yes","No")),"ERROR")</f>
        <v/>
      </c>
      <c r="Q188" s="52" t="str">
        <f>IFERROR(IF(C188="","",IF(AND(Census!C188="E",Census!J188&gt;=18,Census!J188&lt;=64),"Yes","No")),"ERROR")</f>
        <v/>
      </c>
      <c r="R188" s="53">
        <f t="shared" ca="1" si="83"/>
        <v>-1</v>
      </c>
      <c r="S188" s="54">
        <f t="shared" si="84"/>
        <v>0</v>
      </c>
      <c r="T188" s="55">
        <f t="shared" si="85"/>
        <v>0</v>
      </c>
      <c r="U188" s="55">
        <f t="shared" si="86"/>
        <v>0</v>
      </c>
      <c r="V188" s="55">
        <f t="shared" si="87"/>
        <v>0</v>
      </c>
      <c r="W188" s="55">
        <f t="shared" ca="1" si="88"/>
        <v>-1</v>
      </c>
      <c r="X188" s="56">
        <f t="shared" si="89"/>
        <v>0</v>
      </c>
      <c r="Y188" s="10"/>
      <c r="Z188" s="64" t="s">
        <v>287</v>
      </c>
      <c r="AA188" s="10"/>
      <c r="AB188">
        <f t="shared" si="90"/>
        <v>0</v>
      </c>
      <c r="AC188">
        <f t="shared" si="91"/>
        <v>0</v>
      </c>
      <c r="AD188">
        <f t="shared" si="92"/>
        <v>0</v>
      </c>
      <c r="AE188">
        <f t="shared" si="93"/>
        <v>0</v>
      </c>
      <c r="AF188">
        <f t="shared" ca="1" si="94"/>
        <v>-1</v>
      </c>
      <c r="AG188">
        <f t="shared" si="95"/>
        <v>0</v>
      </c>
      <c r="AH188">
        <f t="shared" ca="1" si="96"/>
        <v>0</v>
      </c>
    </row>
    <row r="189" spans="1:34" s="12" customFormat="1" x14ac:dyDescent="0.25">
      <c r="A189" s="42">
        <v>188</v>
      </c>
      <c r="B189" s="43"/>
      <c r="C189" s="44"/>
      <c r="D189" s="45"/>
      <c r="E189" s="45"/>
      <c r="F189" s="39"/>
      <c r="G189" s="3"/>
      <c r="H189" s="3"/>
      <c r="I189" s="44"/>
      <c r="J189" s="42" t="str">
        <f t="shared" si="97"/>
        <v/>
      </c>
      <c r="K189" s="42" t="str">
        <f>IF(I189="","",IF($AM$3=1,IFERROR(IF(J189=FALSE,"",VLOOKUP(J189,$AJ$1:$AK$18,2,1)),""),IFERROR(IF(J189 = "FALSE","",VLOOKUP(J189,#REF!,2,TRUE)),"")))</f>
        <v/>
      </c>
      <c r="L189" s="42"/>
      <c r="M189" s="42"/>
      <c r="N189" s="42"/>
      <c r="O189" s="46" t="str">
        <f t="shared" si="82"/>
        <v/>
      </c>
      <c r="P189" s="57" t="str">
        <f>IFERROR(IF(C189="","",IF(AND(Census!C189="E",Census!J189&gt;=18,Census!J189&lt;=65),"Yes","No")),"ERROR")</f>
        <v/>
      </c>
      <c r="Q189" s="58" t="str">
        <f>IFERROR(IF(C189="","",IF(AND(Census!C189="E",Census!J189&gt;=18,Census!J189&lt;=64),"Yes","No")),"ERROR")</f>
        <v/>
      </c>
      <c r="R189" s="59">
        <f t="shared" ca="1" si="83"/>
        <v>-1</v>
      </c>
      <c r="S189" s="60">
        <f t="shared" si="84"/>
        <v>0</v>
      </c>
      <c r="T189" s="61">
        <f t="shared" si="85"/>
        <v>0</v>
      </c>
      <c r="U189" s="61">
        <f t="shared" si="86"/>
        <v>0</v>
      </c>
      <c r="V189" s="61">
        <f t="shared" si="87"/>
        <v>0</v>
      </c>
      <c r="W189" s="61">
        <f t="shared" ca="1" si="88"/>
        <v>-1</v>
      </c>
      <c r="X189" s="62">
        <f t="shared" si="89"/>
        <v>0</v>
      </c>
      <c r="Y189" s="10"/>
      <c r="Z189" s="64" t="s">
        <v>288</v>
      </c>
      <c r="AA189" s="10"/>
      <c r="AB189">
        <f t="shared" si="90"/>
        <v>0</v>
      </c>
      <c r="AC189">
        <f t="shared" si="91"/>
        <v>0</v>
      </c>
      <c r="AD189">
        <f t="shared" si="92"/>
        <v>0</v>
      </c>
      <c r="AE189">
        <f t="shared" si="93"/>
        <v>0</v>
      </c>
      <c r="AF189">
        <f t="shared" ca="1" si="94"/>
        <v>-1</v>
      </c>
      <c r="AG189">
        <f t="shared" si="95"/>
        <v>0</v>
      </c>
      <c r="AH189">
        <f t="shared" ca="1" si="96"/>
        <v>0</v>
      </c>
    </row>
    <row r="190" spans="1:34" s="12" customFormat="1" x14ac:dyDescent="0.25">
      <c r="A190" s="37">
        <v>189</v>
      </c>
      <c r="B190" s="38"/>
      <c r="C190" s="39"/>
      <c r="D190" s="40"/>
      <c r="E190" s="40"/>
      <c r="F190" s="39"/>
      <c r="G190" s="2"/>
      <c r="H190" s="2"/>
      <c r="I190" s="39"/>
      <c r="J190" s="50" t="str">
        <f t="shared" si="97"/>
        <v/>
      </c>
      <c r="K190" s="37" t="str">
        <f>IF(I190="","",IF($AM$3=1,IFERROR(IF(J190=FALSE,"",VLOOKUP(J190,$AJ$1:$AK$18,2,1)),""),IFERROR(IF(J190 = "FALSE","",VLOOKUP(J190,#REF!,2,TRUE)),"")))</f>
        <v/>
      </c>
      <c r="L190" s="37"/>
      <c r="M190" s="37"/>
      <c r="N190" s="37"/>
      <c r="O190" s="41" t="str">
        <f t="shared" si="82"/>
        <v/>
      </c>
      <c r="P190" s="51" t="str">
        <f>IFERROR(IF(C190="","",IF(AND(Census!C190="E",Census!J190&gt;=18,Census!J190&lt;=65),"Yes","No")),"ERROR")</f>
        <v/>
      </c>
      <c r="Q190" s="52" t="str">
        <f>IFERROR(IF(C190="","",IF(AND(Census!C190="E",Census!J190&gt;=18,Census!J190&lt;=64),"Yes","No")),"ERROR")</f>
        <v/>
      </c>
      <c r="R190" s="53">
        <f t="shared" ca="1" si="83"/>
        <v>-1</v>
      </c>
      <c r="S190" s="54">
        <f t="shared" si="84"/>
        <v>0</v>
      </c>
      <c r="T190" s="55">
        <f t="shared" si="85"/>
        <v>0</v>
      </c>
      <c r="U190" s="55">
        <f t="shared" si="86"/>
        <v>0</v>
      </c>
      <c r="V190" s="55">
        <f t="shared" si="87"/>
        <v>0</v>
      </c>
      <c r="W190" s="55">
        <f t="shared" ca="1" si="88"/>
        <v>-1</v>
      </c>
      <c r="X190" s="56">
        <f t="shared" si="89"/>
        <v>0</v>
      </c>
      <c r="Y190" s="10"/>
      <c r="Z190" s="64" t="s">
        <v>289</v>
      </c>
      <c r="AA190" s="10"/>
      <c r="AB190">
        <f t="shared" si="90"/>
        <v>0</v>
      </c>
      <c r="AC190">
        <f t="shared" si="91"/>
        <v>0</v>
      </c>
      <c r="AD190">
        <f t="shared" si="92"/>
        <v>0</v>
      </c>
      <c r="AE190">
        <f t="shared" si="93"/>
        <v>0</v>
      </c>
      <c r="AF190">
        <f t="shared" ca="1" si="94"/>
        <v>-1</v>
      </c>
      <c r="AG190">
        <f t="shared" si="95"/>
        <v>0</v>
      </c>
      <c r="AH190">
        <f t="shared" ca="1" si="96"/>
        <v>0</v>
      </c>
    </row>
    <row r="191" spans="1:34" s="12" customFormat="1" x14ac:dyDescent="0.25">
      <c r="A191" s="42">
        <v>190</v>
      </c>
      <c r="B191" s="43"/>
      <c r="C191" s="44"/>
      <c r="D191" s="45"/>
      <c r="E191" s="45"/>
      <c r="F191" s="39"/>
      <c r="G191" s="3"/>
      <c r="H191" s="3"/>
      <c r="I191" s="44"/>
      <c r="J191" s="42" t="str">
        <f t="shared" si="97"/>
        <v/>
      </c>
      <c r="K191" s="42" t="str">
        <f>IF(I191="","",IF($AM$3=1,IFERROR(IF(J191=FALSE,"",VLOOKUP(J191,$AJ$1:$AK$18,2,1)),""),IFERROR(IF(J191 = "FALSE","",VLOOKUP(J191,#REF!,2,TRUE)),"")))</f>
        <v/>
      </c>
      <c r="L191" s="42"/>
      <c r="M191" s="42"/>
      <c r="N191" s="42"/>
      <c r="O191" s="46" t="str">
        <f t="shared" si="82"/>
        <v/>
      </c>
      <c r="P191" s="57" t="str">
        <f>IFERROR(IF(C191="","",IF(AND(Census!C191="E",Census!J191&gt;=18,Census!J191&lt;=65),"Yes","No")),"ERROR")</f>
        <v/>
      </c>
      <c r="Q191" s="58" t="str">
        <f>IFERROR(IF(C191="","",IF(AND(Census!C191="E",Census!J191&gt;=18,Census!J191&lt;=64),"Yes","No")),"ERROR")</f>
        <v/>
      </c>
      <c r="R191" s="59">
        <f t="shared" ca="1" si="83"/>
        <v>-1</v>
      </c>
      <c r="S191" s="60">
        <f t="shared" si="84"/>
        <v>0</v>
      </c>
      <c r="T191" s="61">
        <f t="shared" si="85"/>
        <v>0</v>
      </c>
      <c r="U191" s="61">
        <f t="shared" si="86"/>
        <v>0</v>
      </c>
      <c r="V191" s="61">
        <f t="shared" si="87"/>
        <v>0</v>
      </c>
      <c r="W191" s="61">
        <f t="shared" ca="1" si="88"/>
        <v>-1</v>
      </c>
      <c r="X191" s="62">
        <f t="shared" si="89"/>
        <v>0</v>
      </c>
      <c r="Y191" s="10"/>
      <c r="Z191" s="64" t="s">
        <v>290</v>
      </c>
      <c r="AA191" s="10"/>
      <c r="AB191">
        <f t="shared" si="90"/>
        <v>0</v>
      </c>
      <c r="AC191">
        <f t="shared" si="91"/>
        <v>0</v>
      </c>
      <c r="AD191">
        <f t="shared" si="92"/>
        <v>0</v>
      </c>
      <c r="AE191">
        <f t="shared" si="93"/>
        <v>0</v>
      </c>
      <c r="AF191">
        <f t="shared" ca="1" si="94"/>
        <v>-1</v>
      </c>
      <c r="AG191">
        <f t="shared" si="95"/>
        <v>0</v>
      </c>
      <c r="AH191">
        <f t="shared" ca="1" si="96"/>
        <v>0</v>
      </c>
    </row>
    <row r="192" spans="1:34" s="12" customFormat="1" x14ac:dyDescent="0.25">
      <c r="A192" s="37">
        <v>191</v>
      </c>
      <c r="B192" s="38"/>
      <c r="C192" s="39"/>
      <c r="D192" s="40"/>
      <c r="E192" s="40"/>
      <c r="F192" s="39"/>
      <c r="G192" s="2"/>
      <c r="H192" s="2"/>
      <c r="I192" s="39"/>
      <c r="J192" s="50" t="str">
        <f t="shared" si="97"/>
        <v/>
      </c>
      <c r="K192" s="37" t="str">
        <f>IF(I192="","",IF($AM$3=1,IFERROR(IF(J192=FALSE,"",VLOOKUP(J192,$AJ$1:$AK$18,2,1)),""),IFERROR(IF(J192 = "FALSE","",VLOOKUP(J192,#REF!,2,TRUE)),"")))</f>
        <v/>
      </c>
      <c r="L192" s="37"/>
      <c r="M192" s="37"/>
      <c r="N192" s="37"/>
      <c r="O192" s="41" t="str">
        <f t="shared" si="82"/>
        <v/>
      </c>
      <c r="P192" s="51" t="str">
        <f>IFERROR(IF(C192="","",IF(AND(Census!C192="E",Census!J192&gt;=18,Census!J192&lt;=65),"Yes","No")),"ERROR")</f>
        <v/>
      </c>
      <c r="Q192" s="52" t="str">
        <f>IFERROR(IF(C192="","",IF(AND(Census!C192="E",Census!J192&gt;=18,Census!J192&lt;=64),"Yes","No")),"ERROR")</f>
        <v/>
      </c>
      <c r="R192" s="53">
        <f t="shared" ca="1" si="83"/>
        <v>-1</v>
      </c>
      <c r="S192" s="54">
        <f t="shared" si="84"/>
        <v>0</v>
      </c>
      <c r="T192" s="55">
        <f t="shared" si="85"/>
        <v>0</v>
      </c>
      <c r="U192" s="55">
        <f t="shared" si="86"/>
        <v>0</v>
      </c>
      <c r="V192" s="55">
        <f t="shared" si="87"/>
        <v>0</v>
      </c>
      <c r="W192" s="55">
        <f t="shared" ca="1" si="88"/>
        <v>-1</v>
      </c>
      <c r="X192" s="56">
        <f t="shared" si="89"/>
        <v>0</v>
      </c>
      <c r="Y192" s="10"/>
      <c r="Z192" s="64" t="s">
        <v>291</v>
      </c>
      <c r="AA192" s="10"/>
      <c r="AB192">
        <f t="shared" si="90"/>
        <v>0</v>
      </c>
      <c r="AC192">
        <f t="shared" si="91"/>
        <v>0</v>
      </c>
      <c r="AD192">
        <f t="shared" si="92"/>
        <v>0</v>
      </c>
      <c r="AE192">
        <f t="shared" si="93"/>
        <v>0</v>
      </c>
      <c r="AF192">
        <f t="shared" ca="1" si="94"/>
        <v>-1</v>
      </c>
      <c r="AG192">
        <f t="shared" si="95"/>
        <v>0</v>
      </c>
      <c r="AH192">
        <f t="shared" ca="1" si="96"/>
        <v>0</v>
      </c>
    </row>
    <row r="193" spans="1:34" s="12" customFormat="1" x14ac:dyDescent="0.25">
      <c r="A193" s="42">
        <v>192</v>
      </c>
      <c r="B193" s="43"/>
      <c r="C193" s="44"/>
      <c r="D193" s="45"/>
      <c r="E193" s="45"/>
      <c r="F193" s="39"/>
      <c r="G193" s="3"/>
      <c r="H193" s="3"/>
      <c r="I193" s="44"/>
      <c r="J193" s="42" t="str">
        <f t="shared" si="97"/>
        <v/>
      </c>
      <c r="K193" s="42" t="str">
        <f>IF(I193="","",IF($AM$3=1,IFERROR(IF(J193=FALSE,"",VLOOKUP(J193,$AJ$1:$AK$18,2,1)),""),IFERROR(IF(J193 = "FALSE","",VLOOKUP(J193,#REF!,2,TRUE)),"")))</f>
        <v/>
      </c>
      <c r="L193" s="42"/>
      <c r="M193" s="42"/>
      <c r="N193" s="42"/>
      <c r="O193" s="46" t="str">
        <f t="shared" si="82"/>
        <v/>
      </c>
      <c r="P193" s="57" t="str">
        <f>IFERROR(IF(C193="","",IF(AND(Census!C193="E",Census!J193&gt;=18,Census!J193&lt;=65),"Yes","No")),"ERROR")</f>
        <v/>
      </c>
      <c r="Q193" s="58" t="str">
        <f>IFERROR(IF(C193="","",IF(AND(Census!C193="E",Census!J193&gt;=18,Census!J193&lt;=64),"Yes","No")),"ERROR")</f>
        <v/>
      </c>
      <c r="R193" s="59">
        <f t="shared" ca="1" si="83"/>
        <v>-1</v>
      </c>
      <c r="S193" s="60">
        <f t="shared" si="84"/>
        <v>0</v>
      </c>
      <c r="T193" s="61">
        <f t="shared" si="85"/>
        <v>0</v>
      </c>
      <c r="U193" s="61">
        <f t="shared" si="86"/>
        <v>0</v>
      </c>
      <c r="V193" s="61">
        <f t="shared" si="87"/>
        <v>0</v>
      </c>
      <c r="W193" s="61">
        <f t="shared" ca="1" si="88"/>
        <v>-1</v>
      </c>
      <c r="X193" s="62">
        <f t="shared" si="89"/>
        <v>0</v>
      </c>
      <c r="Y193" s="10"/>
      <c r="Z193" s="64" t="s">
        <v>205</v>
      </c>
      <c r="AA193" s="10"/>
      <c r="AB193">
        <f t="shared" si="90"/>
        <v>0</v>
      </c>
      <c r="AC193">
        <f t="shared" si="91"/>
        <v>0</v>
      </c>
      <c r="AD193">
        <f t="shared" si="92"/>
        <v>0</v>
      </c>
      <c r="AE193">
        <f t="shared" si="93"/>
        <v>0</v>
      </c>
      <c r="AF193">
        <f t="shared" ca="1" si="94"/>
        <v>-1</v>
      </c>
      <c r="AG193">
        <f t="shared" si="95"/>
        <v>0</v>
      </c>
      <c r="AH193">
        <f t="shared" ca="1" si="96"/>
        <v>0</v>
      </c>
    </row>
    <row r="194" spans="1:34" s="12" customFormat="1" x14ac:dyDescent="0.25">
      <c r="A194" s="37">
        <v>193</v>
      </c>
      <c r="B194" s="38"/>
      <c r="C194" s="39"/>
      <c r="D194" s="40"/>
      <c r="E194" s="40"/>
      <c r="F194" s="39"/>
      <c r="G194" s="2"/>
      <c r="H194" s="2"/>
      <c r="I194" s="39"/>
      <c r="J194" s="50" t="str">
        <f t="shared" si="97"/>
        <v/>
      </c>
      <c r="K194" s="37" t="str">
        <f>IF(I194="","",IF($AM$3=1,IFERROR(IF(J194=FALSE,"",VLOOKUP(J194,$AJ$1:$AK$18,2,1)),""),IFERROR(IF(J194 = "FALSE","",VLOOKUP(J194,#REF!,2,TRUE)),"")))</f>
        <v/>
      </c>
      <c r="L194" s="37"/>
      <c r="M194" s="37"/>
      <c r="N194" s="37"/>
      <c r="O194" s="41" t="str">
        <f t="shared" ref="O194:O201" si="98">IF(C194="","",IF(R194=1,"Yes","No"))</f>
        <v/>
      </c>
      <c r="P194" s="51" t="str">
        <f>IFERROR(IF(C194="","",IF(AND(Census!C194="E",Census!J194&gt;=18,Census!J194&lt;=65),"Yes","No")),"ERROR")</f>
        <v/>
      </c>
      <c r="Q194" s="52" t="str">
        <f>IFERROR(IF(C194="","",IF(AND(Census!C194="E",Census!J194&gt;=18,Census!J194&lt;=64),"Yes","No")),"ERROR")</f>
        <v/>
      </c>
      <c r="R194" s="53">
        <f t="shared" ref="R194:R201" ca="1" si="99">IF(OR(AB194&lt;&gt;1,AC194&lt;&gt;1,AD194&lt;&gt;1,AF194&lt;&gt;1,AE194&lt;&gt;1,AG194&lt;&gt;1),-1,1)</f>
        <v>-1</v>
      </c>
      <c r="S194" s="54">
        <f t="shared" ref="S194:S201" si="100">AB194</f>
        <v>0</v>
      </c>
      <c r="T194" s="55">
        <f t="shared" ref="T194:T201" si="101">AC194</f>
        <v>0</v>
      </c>
      <c r="U194" s="55">
        <f t="shared" ref="U194:U201" si="102">AD194</f>
        <v>0</v>
      </c>
      <c r="V194" s="55">
        <f t="shared" ref="V194:V201" si="103">AE194</f>
        <v>0</v>
      </c>
      <c r="W194" s="55">
        <f t="shared" ref="W194:W201" ca="1" si="104">AF194</f>
        <v>-1</v>
      </c>
      <c r="X194" s="56">
        <f t="shared" ref="X194:X201" si="105">AG194</f>
        <v>0</v>
      </c>
      <c r="Y194" s="10"/>
      <c r="Z194" s="64" t="s">
        <v>151</v>
      </c>
      <c r="AA194" s="10"/>
      <c r="AB194">
        <f t="shared" ref="AB194:AB201" si="106">IFERROR(IF(OR(B194=0,B194=""),0,1),0)</f>
        <v>0</v>
      </c>
      <c r="AC194">
        <f t="shared" ref="AC194:AC201" si="107">IFERROR(IF(OR(C194="S",C194="D"),IF(AND(C194="D",D194="F"),1,IF(AND(C194="S",D194="M"),1,0)),IF(OR(C194="W",C194="H"),IF(OR(AND(C194="W",D194="F"),AND(C194="H",D194="M")),1,),IF(OR(D194="M",D194="F"),1,0))),0)</f>
        <v>0</v>
      </c>
      <c r="AD194">
        <f t="shared" ref="AD194:AD201" si="108">IFERROR(IF(OR(C194="E",C194="W",C194="H"),1,IF(C194 = "S",IF(D194="M",1,0),IF(D194 = "F",1,0))),0)</f>
        <v>0</v>
      </c>
      <c r="AE194">
        <f t="shared" ref="AE194:AE201" si="109">IFERROR(IF(OR(E194="M",E194="S"),IF(E194="M",IF(OR(C194="S",C194 = "D"),0,1),IF(OR(C194="W",C194="H"),0,1)),0),0)</f>
        <v>0</v>
      </c>
      <c r="AF194">
        <f t="shared" ref="AF194:AF201" ca="1" si="110">IF(G194="",-1,IF(AND(G194&lt;=TODAY(),ISNUMBER(DATE(YEAR(G194),MONTH(G194),DAY(G194)))),IF(AND(OR(C194="S",C194="D"),J194&gt;24),-1,1),-1))</f>
        <v>-1</v>
      </c>
      <c r="AG194">
        <f t="shared" ref="AG194:AG201" si="111">IF(OR(I194="CAT 1",I194="CAT 2",I194="CAT 3",I194="CAT 4"),1,0)</f>
        <v>0</v>
      </c>
      <c r="AH194">
        <f t="shared" ref="AH194:AH201" ca="1" si="112">PRODUCT(AF194:AG194)*AE194</f>
        <v>0</v>
      </c>
    </row>
    <row r="195" spans="1:34" s="12" customFormat="1" x14ac:dyDescent="0.25">
      <c r="A195" s="42">
        <v>194</v>
      </c>
      <c r="B195" s="43"/>
      <c r="C195" s="44"/>
      <c r="D195" s="45"/>
      <c r="E195" s="45"/>
      <c r="F195" s="39"/>
      <c r="G195" s="3"/>
      <c r="H195" s="3"/>
      <c r="I195" s="44"/>
      <c r="J195" s="42" t="str">
        <f t="shared" si="97"/>
        <v/>
      </c>
      <c r="K195" s="42" t="str">
        <f>IF(I195="","",IF($AM$3=1,IFERROR(IF(J195=FALSE,"",VLOOKUP(J195,$AJ$1:$AK$18,2,1)),""),IFERROR(IF(J195 = "FALSE","",VLOOKUP(J195,#REF!,2,TRUE)),"")))</f>
        <v/>
      </c>
      <c r="L195" s="42"/>
      <c r="M195" s="42"/>
      <c r="N195" s="42"/>
      <c r="O195" s="46" t="str">
        <f t="shared" si="98"/>
        <v/>
      </c>
      <c r="P195" s="57" t="str">
        <f>IFERROR(IF(C195="","",IF(AND(Census!C195="E",Census!J195&gt;=18,Census!J195&lt;=65),"Yes","No")),"ERROR")</f>
        <v/>
      </c>
      <c r="Q195" s="58" t="str">
        <f>IFERROR(IF(C195="","",IF(AND(Census!C195="E",Census!J195&gt;=18,Census!J195&lt;=64),"Yes","No")),"ERROR")</f>
        <v/>
      </c>
      <c r="R195" s="59">
        <f t="shared" ca="1" si="99"/>
        <v>-1</v>
      </c>
      <c r="S195" s="60">
        <f t="shared" si="100"/>
        <v>0</v>
      </c>
      <c r="T195" s="61">
        <f t="shared" si="101"/>
        <v>0</v>
      </c>
      <c r="U195" s="61">
        <f t="shared" si="102"/>
        <v>0</v>
      </c>
      <c r="V195" s="61">
        <f t="shared" si="103"/>
        <v>0</v>
      </c>
      <c r="W195" s="61">
        <f t="shared" ca="1" si="104"/>
        <v>-1</v>
      </c>
      <c r="X195" s="62">
        <f t="shared" si="105"/>
        <v>0</v>
      </c>
      <c r="Y195" s="10"/>
      <c r="Z195" s="64" t="s">
        <v>90</v>
      </c>
      <c r="AA195" s="10"/>
      <c r="AB195">
        <f t="shared" si="106"/>
        <v>0</v>
      </c>
      <c r="AC195">
        <f t="shared" si="107"/>
        <v>0</v>
      </c>
      <c r="AD195">
        <f t="shared" si="108"/>
        <v>0</v>
      </c>
      <c r="AE195">
        <f t="shared" si="109"/>
        <v>0</v>
      </c>
      <c r="AF195">
        <f t="shared" ca="1" si="110"/>
        <v>-1</v>
      </c>
      <c r="AG195">
        <f t="shared" si="111"/>
        <v>0</v>
      </c>
      <c r="AH195">
        <f t="shared" ca="1" si="112"/>
        <v>0</v>
      </c>
    </row>
    <row r="196" spans="1:34" s="12" customFormat="1" x14ac:dyDescent="0.25">
      <c r="A196" s="37">
        <v>195</v>
      </c>
      <c r="B196" s="38"/>
      <c r="C196" s="39"/>
      <c r="D196" s="40"/>
      <c r="E196" s="40"/>
      <c r="F196" s="39"/>
      <c r="G196" s="2"/>
      <c r="H196" s="2"/>
      <c r="I196" s="39"/>
      <c r="J196" s="50" t="str">
        <f t="shared" si="97"/>
        <v/>
      </c>
      <c r="K196" s="37" t="str">
        <f>IF(I196="","",IF($AM$3=1,IFERROR(IF(J196=FALSE,"",VLOOKUP(J196,$AJ$1:$AK$18,2,1)),""),IFERROR(IF(J196 = "FALSE","",VLOOKUP(J196,#REF!,2,TRUE)),"")))</f>
        <v/>
      </c>
      <c r="L196" s="37"/>
      <c r="M196" s="37"/>
      <c r="N196" s="37"/>
      <c r="O196" s="41" t="str">
        <f t="shared" si="98"/>
        <v/>
      </c>
      <c r="P196" s="51" t="str">
        <f>IFERROR(IF(C196="","",IF(AND(Census!C196="E",Census!J196&gt;=18,Census!J196&lt;=65),"Yes","No")),"ERROR")</f>
        <v/>
      </c>
      <c r="Q196" s="52" t="str">
        <f>IFERROR(IF(C196="","",IF(AND(Census!C196="E",Census!J196&gt;=18,Census!J196&lt;=64),"Yes","No")),"ERROR")</f>
        <v/>
      </c>
      <c r="R196" s="53">
        <f t="shared" ca="1" si="99"/>
        <v>-1</v>
      </c>
      <c r="S196" s="54">
        <f t="shared" si="100"/>
        <v>0</v>
      </c>
      <c r="T196" s="55">
        <f t="shared" si="101"/>
        <v>0</v>
      </c>
      <c r="U196" s="55">
        <f t="shared" si="102"/>
        <v>0</v>
      </c>
      <c r="V196" s="55">
        <f t="shared" si="103"/>
        <v>0</v>
      </c>
      <c r="W196" s="55">
        <f t="shared" ca="1" si="104"/>
        <v>-1</v>
      </c>
      <c r="X196" s="56">
        <f t="shared" si="105"/>
        <v>0</v>
      </c>
      <c r="Y196" s="10"/>
      <c r="Z196" s="64" t="s">
        <v>292</v>
      </c>
      <c r="AA196" s="10"/>
      <c r="AB196">
        <f t="shared" si="106"/>
        <v>0</v>
      </c>
      <c r="AC196">
        <f t="shared" si="107"/>
        <v>0</v>
      </c>
      <c r="AD196">
        <f t="shared" si="108"/>
        <v>0</v>
      </c>
      <c r="AE196">
        <f t="shared" si="109"/>
        <v>0</v>
      </c>
      <c r="AF196">
        <f t="shared" ca="1" si="110"/>
        <v>-1</v>
      </c>
      <c r="AG196">
        <f t="shared" si="111"/>
        <v>0</v>
      </c>
      <c r="AH196">
        <f t="shared" ca="1" si="112"/>
        <v>0</v>
      </c>
    </row>
    <row r="197" spans="1:34" s="12" customFormat="1" x14ac:dyDescent="0.25">
      <c r="A197" s="42">
        <v>196</v>
      </c>
      <c r="B197" s="43"/>
      <c r="C197" s="44"/>
      <c r="D197" s="45"/>
      <c r="E197" s="45"/>
      <c r="F197" s="39"/>
      <c r="G197" s="3"/>
      <c r="H197" s="3"/>
      <c r="I197" s="44"/>
      <c r="J197" s="42" t="str">
        <f t="shared" si="97"/>
        <v/>
      </c>
      <c r="K197" s="42" t="str">
        <f>IF(I197="","",IF($AM$3=1,IFERROR(IF(J197=FALSE,"",VLOOKUP(J197,$AJ$1:$AK$18,2,1)),""),IFERROR(IF(J197 = "FALSE","",VLOOKUP(J197,#REF!,2,TRUE)),"")))</f>
        <v/>
      </c>
      <c r="L197" s="42"/>
      <c r="M197" s="42"/>
      <c r="N197" s="42"/>
      <c r="O197" s="46" t="str">
        <f t="shared" si="98"/>
        <v/>
      </c>
      <c r="P197" s="57" t="str">
        <f>IFERROR(IF(C197="","",IF(AND(Census!C197="E",Census!J197&gt;=18,Census!J197&lt;=65),"Yes","No")),"ERROR")</f>
        <v/>
      </c>
      <c r="Q197" s="58" t="str">
        <f>IFERROR(IF(C197="","",IF(AND(Census!C197="E",Census!J197&gt;=18,Census!J197&lt;=64),"Yes","No")),"ERROR")</f>
        <v/>
      </c>
      <c r="R197" s="59">
        <f t="shared" ca="1" si="99"/>
        <v>-1</v>
      </c>
      <c r="S197" s="60">
        <f t="shared" si="100"/>
        <v>0</v>
      </c>
      <c r="T197" s="61">
        <f t="shared" si="101"/>
        <v>0</v>
      </c>
      <c r="U197" s="61">
        <f t="shared" si="102"/>
        <v>0</v>
      </c>
      <c r="V197" s="61">
        <f t="shared" si="103"/>
        <v>0</v>
      </c>
      <c r="W197" s="61">
        <f t="shared" ca="1" si="104"/>
        <v>-1</v>
      </c>
      <c r="X197" s="62">
        <f t="shared" si="105"/>
        <v>0</v>
      </c>
      <c r="Y197" s="10"/>
      <c r="Z197" s="64" t="s">
        <v>152</v>
      </c>
      <c r="AA197" s="10"/>
      <c r="AB197">
        <f t="shared" si="106"/>
        <v>0</v>
      </c>
      <c r="AC197">
        <f t="shared" si="107"/>
        <v>0</v>
      </c>
      <c r="AD197">
        <f t="shared" si="108"/>
        <v>0</v>
      </c>
      <c r="AE197">
        <f t="shared" si="109"/>
        <v>0</v>
      </c>
      <c r="AF197">
        <f t="shared" ca="1" si="110"/>
        <v>-1</v>
      </c>
      <c r="AG197">
        <f t="shared" si="111"/>
        <v>0</v>
      </c>
      <c r="AH197">
        <f t="shared" ca="1" si="112"/>
        <v>0</v>
      </c>
    </row>
    <row r="198" spans="1:34" s="12" customFormat="1" x14ac:dyDescent="0.25">
      <c r="A198" s="37">
        <v>197</v>
      </c>
      <c r="B198" s="38"/>
      <c r="C198" s="39"/>
      <c r="D198" s="40"/>
      <c r="E198" s="40"/>
      <c r="F198" s="39"/>
      <c r="G198" s="2"/>
      <c r="H198" s="2"/>
      <c r="I198" s="39"/>
      <c r="J198" s="50" t="str">
        <f t="shared" si="97"/>
        <v/>
      </c>
      <c r="K198" s="37" t="str">
        <f>IF(I198="","",IF($AM$3=1,IFERROR(IF(J198=FALSE,"",VLOOKUP(J198,$AJ$1:$AK$18,2,1)),""),IFERROR(IF(J198 = "FALSE","",VLOOKUP(J198,#REF!,2,TRUE)),"")))</f>
        <v/>
      </c>
      <c r="L198" s="37"/>
      <c r="M198" s="37"/>
      <c r="N198" s="37"/>
      <c r="O198" s="41" t="str">
        <f t="shared" si="98"/>
        <v/>
      </c>
      <c r="P198" s="51" t="str">
        <f>IFERROR(IF(C198="","",IF(AND(Census!C198="E",Census!J198&gt;=18,Census!J198&lt;=65),"Yes","No")),"ERROR")</f>
        <v/>
      </c>
      <c r="Q198" s="52" t="str">
        <f>IFERROR(IF(C198="","",IF(AND(Census!C198="E",Census!J198&gt;=18,Census!J198&lt;=64),"Yes","No")),"ERROR")</f>
        <v/>
      </c>
      <c r="R198" s="53">
        <f t="shared" ca="1" si="99"/>
        <v>-1</v>
      </c>
      <c r="S198" s="54">
        <f t="shared" si="100"/>
        <v>0</v>
      </c>
      <c r="T198" s="55">
        <f t="shared" si="101"/>
        <v>0</v>
      </c>
      <c r="U198" s="55">
        <f t="shared" si="102"/>
        <v>0</v>
      </c>
      <c r="V198" s="55">
        <f t="shared" si="103"/>
        <v>0</v>
      </c>
      <c r="W198" s="55">
        <f t="shared" ca="1" si="104"/>
        <v>-1</v>
      </c>
      <c r="X198" s="56">
        <f t="shared" si="105"/>
        <v>0</v>
      </c>
      <c r="Y198" s="10"/>
      <c r="Z198" s="64" t="s">
        <v>293</v>
      </c>
      <c r="AA198" s="10"/>
      <c r="AB198">
        <f t="shared" si="106"/>
        <v>0</v>
      </c>
      <c r="AC198">
        <f t="shared" si="107"/>
        <v>0</v>
      </c>
      <c r="AD198">
        <f t="shared" si="108"/>
        <v>0</v>
      </c>
      <c r="AE198">
        <f t="shared" si="109"/>
        <v>0</v>
      </c>
      <c r="AF198">
        <f t="shared" ca="1" si="110"/>
        <v>-1</v>
      </c>
      <c r="AG198">
        <f t="shared" si="111"/>
        <v>0</v>
      </c>
      <c r="AH198">
        <f t="shared" ca="1" si="112"/>
        <v>0</v>
      </c>
    </row>
    <row r="199" spans="1:34" s="12" customFormat="1" x14ac:dyDescent="0.25">
      <c r="A199" s="42">
        <v>198</v>
      </c>
      <c r="B199" s="43"/>
      <c r="C199" s="44"/>
      <c r="D199" s="45"/>
      <c r="E199" s="45"/>
      <c r="F199" s="39"/>
      <c r="G199" s="3"/>
      <c r="H199" s="3"/>
      <c r="I199" s="44"/>
      <c r="J199" s="42" t="str">
        <f t="shared" si="97"/>
        <v/>
      </c>
      <c r="K199" s="42" t="str">
        <f>IF(I199="","",IF($AM$3=1,IFERROR(IF(J199=FALSE,"",VLOOKUP(J199,$AJ$1:$AK$18,2,1)),""),IFERROR(IF(J199 = "FALSE","",VLOOKUP(J199,#REF!,2,TRUE)),"")))</f>
        <v/>
      </c>
      <c r="L199" s="42"/>
      <c r="M199" s="42"/>
      <c r="N199" s="42"/>
      <c r="O199" s="46" t="str">
        <f t="shared" si="98"/>
        <v/>
      </c>
      <c r="P199" s="57" t="str">
        <f>IFERROR(IF(C199="","",IF(AND(Census!C199="E",Census!J199&gt;=18,Census!J199&lt;=65),"Yes","No")),"ERROR")</f>
        <v/>
      </c>
      <c r="Q199" s="58" t="str">
        <f>IFERROR(IF(C199="","",IF(AND(Census!C199="E",Census!J199&gt;=18,Census!J199&lt;=64),"Yes","No")),"ERROR")</f>
        <v/>
      </c>
      <c r="R199" s="59">
        <f t="shared" ca="1" si="99"/>
        <v>-1</v>
      </c>
      <c r="S199" s="60">
        <f t="shared" si="100"/>
        <v>0</v>
      </c>
      <c r="T199" s="61">
        <f t="shared" si="101"/>
        <v>0</v>
      </c>
      <c r="U199" s="61">
        <f t="shared" si="102"/>
        <v>0</v>
      </c>
      <c r="V199" s="61">
        <f t="shared" si="103"/>
        <v>0</v>
      </c>
      <c r="W199" s="61">
        <f t="shared" ca="1" si="104"/>
        <v>-1</v>
      </c>
      <c r="X199" s="62">
        <f t="shared" si="105"/>
        <v>0</v>
      </c>
      <c r="Y199" s="10"/>
      <c r="Z199" s="64" t="s">
        <v>83</v>
      </c>
      <c r="AA199" s="10"/>
      <c r="AB199">
        <f t="shared" si="106"/>
        <v>0</v>
      </c>
      <c r="AC199">
        <f t="shared" si="107"/>
        <v>0</v>
      </c>
      <c r="AD199">
        <f t="shared" si="108"/>
        <v>0</v>
      </c>
      <c r="AE199">
        <f t="shared" si="109"/>
        <v>0</v>
      </c>
      <c r="AF199">
        <f t="shared" ca="1" si="110"/>
        <v>-1</v>
      </c>
      <c r="AG199">
        <f t="shared" si="111"/>
        <v>0</v>
      </c>
      <c r="AH199">
        <f t="shared" ca="1" si="112"/>
        <v>0</v>
      </c>
    </row>
    <row r="200" spans="1:34" s="12" customFormat="1" x14ac:dyDescent="0.25">
      <c r="A200" s="37">
        <v>199</v>
      </c>
      <c r="B200" s="38"/>
      <c r="C200" s="39"/>
      <c r="D200" s="40"/>
      <c r="E200" s="40"/>
      <c r="F200" s="39"/>
      <c r="G200" s="2"/>
      <c r="H200" s="2"/>
      <c r="I200" s="39"/>
      <c r="J200" s="50" t="str">
        <f t="shared" si="97"/>
        <v/>
      </c>
      <c r="K200" s="37" t="str">
        <f>IF(I200="","",IF($AM$3=1,IFERROR(IF(J200=FALSE,"",VLOOKUP(J200,$AJ$1:$AK$18,2,1)),""),IFERROR(IF(J200 = "FALSE","",VLOOKUP(J200,#REF!,2,TRUE)),"")))</f>
        <v/>
      </c>
      <c r="L200" s="37"/>
      <c r="M200" s="37"/>
      <c r="N200" s="37"/>
      <c r="O200" s="41" t="str">
        <f t="shared" si="98"/>
        <v/>
      </c>
      <c r="P200" s="51" t="str">
        <f>IFERROR(IF(C200="","",IF(AND(Census!C200="E",Census!J200&gt;=18,Census!J200&lt;=65),"Yes","No")),"ERROR")</f>
        <v/>
      </c>
      <c r="Q200" s="52" t="str">
        <f>IFERROR(IF(C200="","",IF(AND(Census!C200="E",Census!J200&gt;=18,Census!J200&lt;=64),"Yes","No")),"ERROR")</f>
        <v/>
      </c>
      <c r="R200" s="53">
        <f t="shared" ca="1" si="99"/>
        <v>-1</v>
      </c>
      <c r="S200" s="54">
        <f t="shared" si="100"/>
        <v>0</v>
      </c>
      <c r="T200" s="55">
        <f t="shared" si="101"/>
        <v>0</v>
      </c>
      <c r="U200" s="55">
        <f t="shared" si="102"/>
        <v>0</v>
      </c>
      <c r="V200" s="55">
        <f t="shared" si="103"/>
        <v>0</v>
      </c>
      <c r="W200" s="55">
        <f t="shared" ca="1" si="104"/>
        <v>-1</v>
      </c>
      <c r="X200" s="56">
        <f t="shared" si="105"/>
        <v>0</v>
      </c>
      <c r="Y200" s="10"/>
      <c r="Z200" s="64" t="s">
        <v>85</v>
      </c>
      <c r="AA200" s="10"/>
      <c r="AB200">
        <f t="shared" si="106"/>
        <v>0</v>
      </c>
      <c r="AC200">
        <f t="shared" si="107"/>
        <v>0</v>
      </c>
      <c r="AD200">
        <f t="shared" si="108"/>
        <v>0</v>
      </c>
      <c r="AE200">
        <f t="shared" si="109"/>
        <v>0</v>
      </c>
      <c r="AF200">
        <f t="shared" ca="1" si="110"/>
        <v>-1</v>
      </c>
      <c r="AG200">
        <f t="shared" si="111"/>
        <v>0</v>
      </c>
      <c r="AH200">
        <f t="shared" ca="1" si="112"/>
        <v>0</v>
      </c>
    </row>
    <row r="201" spans="1:34" s="12" customFormat="1" x14ac:dyDescent="0.25">
      <c r="A201" s="42">
        <v>200</v>
      </c>
      <c r="B201" s="43"/>
      <c r="C201" s="44"/>
      <c r="D201" s="45"/>
      <c r="E201" s="45"/>
      <c r="F201" s="39"/>
      <c r="G201" s="3"/>
      <c r="H201" s="3"/>
      <c r="I201" s="44"/>
      <c r="J201" s="42" t="str">
        <f t="shared" si="97"/>
        <v/>
      </c>
      <c r="K201" s="42" t="str">
        <f>IF(I201="","",IF($AM$3=1,IFERROR(IF(J201=FALSE,"",VLOOKUP(J201,$AJ$1:$AK$18,2,1)),""),IFERROR(IF(J201 = "FALSE","",VLOOKUP(J201,#REF!,2,TRUE)),"")))</f>
        <v/>
      </c>
      <c r="L201" s="42"/>
      <c r="M201" s="42"/>
      <c r="N201" s="42"/>
      <c r="O201" s="46" t="str">
        <f t="shared" si="98"/>
        <v/>
      </c>
      <c r="P201" s="57" t="str">
        <f>IFERROR(IF(C201="","",IF(AND(Census!C201="E",Census!J201&gt;=18,Census!J201&lt;=65),"Yes","No")),"ERROR")</f>
        <v/>
      </c>
      <c r="Q201" s="58" t="str">
        <f>IFERROR(IF(C201="","",IF(AND(Census!C201="E",Census!J201&gt;=18,Census!J201&lt;=64),"Yes","No")),"ERROR")</f>
        <v/>
      </c>
      <c r="R201" s="59">
        <f t="shared" ca="1" si="99"/>
        <v>-1</v>
      </c>
      <c r="S201" s="60">
        <f t="shared" si="100"/>
        <v>0</v>
      </c>
      <c r="T201" s="61">
        <f t="shared" si="101"/>
        <v>0</v>
      </c>
      <c r="U201" s="61">
        <f t="shared" si="102"/>
        <v>0</v>
      </c>
      <c r="V201" s="61">
        <f t="shared" si="103"/>
        <v>0</v>
      </c>
      <c r="W201" s="61">
        <f t="shared" ca="1" si="104"/>
        <v>-1</v>
      </c>
      <c r="X201" s="62">
        <f t="shared" si="105"/>
        <v>0</v>
      </c>
      <c r="Y201" s="10"/>
      <c r="Z201" s="64" t="s">
        <v>220</v>
      </c>
      <c r="AA201" s="10"/>
      <c r="AB201">
        <f t="shared" si="106"/>
        <v>0</v>
      </c>
      <c r="AC201">
        <f t="shared" si="107"/>
        <v>0</v>
      </c>
      <c r="AD201">
        <f t="shared" si="108"/>
        <v>0</v>
      </c>
      <c r="AE201">
        <f t="shared" si="109"/>
        <v>0</v>
      </c>
      <c r="AF201">
        <f t="shared" ca="1" si="110"/>
        <v>-1</v>
      </c>
      <c r="AG201">
        <f t="shared" si="111"/>
        <v>0</v>
      </c>
      <c r="AH201">
        <f t="shared" ca="1" si="112"/>
        <v>0</v>
      </c>
    </row>
    <row r="202" spans="1:34" s="12" customFormat="1" x14ac:dyDescent="0.25">
      <c r="A202" s="9"/>
      <c r="B202" s="38"/>
      <c r="C202" s="39"/>
      <c r="D202" s="40"/>
      <c r="E202" s="40"/>
      <c r="F202" s="39"/>
      <c r="G202" s="2"/>
      <c r="H202" s="2"/>
      <c r="I202" s="39"/>
      <c r="J202" s="50"/>
      <c r="K202" s="37"/>
      <c r="L202" s="37"/>
      <c r="M202" s="37"/>
      <c r="N202" s="37"/>
      <c r="O202" s="41"/>
      <c r="P202" s="51"/>
      <c r="Q202" s="52"/>
      <c r="R202" s="53"/>
      <c r="S202" s="54"/>
      <c r="T202" s="55"/>
      <c r="U202" s="55"/>
      <c r="V202" s="55"/>
      <c r="W202" s="55"/>
      <c r="X202" s="56"/>
      <c r="Y202" s="10"/>
      <c r="Z202" s="64" t="s">
        <v>105</v>
      </c>
      <c r="AA202" s="10"/>
    </row>
    <row r="203" spans="1:34" s="12" customFormat="1" ht="15" hidden="1" customHeight="1" thickBot="1" x14ac:dyDescent="0.3">
      <c r="A203" s="14"/>
      <c r="B203" s="15"/>
      <c r="C203" s="16"/>
      <c r="D203" s="17"/>
      <c r="E203" s="17"/>
      <c r="F203" s="17"/>
      <c r="G203" s="3"/>
      <c r="H203" s="16"/>
      <c r="I203" s="16"/>
      <c r="J203" s="24"/>
      <c r="K203" s="24"/>
      <c r="L203" s="24"/>
      <c r="M203" s="24"/>
      <c r="N203" s="24"/>
      <c r="O203" s="28"/>
      <c r="P203" s="18"/>
      <c r="Q203" s="19"/>
      <c r="R203" s="20"/>
      <c r="S203" s="25"/>
      <c r="T203" s="26"/>
      <c r="U203" s="26"/>
      <c r="V203" s="26"/>
      <c r="W203" s="26"/>
      <c r="X203" s="27"/>
      <c r="Y203" s="10"/>
      <c r="Z203" s="64" t="s">
        <v>294</v>
      </c>
      <c r="AA203" s="10"/>
    </row>
    <row r="204" spans="1:34" ht="14.45" hidden="1" customHeight="1" x14ac:dyDescent="0.25">
      <c r="A204" s="29"/>
      <c r="B204" s="30"/>
      <c r="C204" s="30"/>
      <c r="D204" s="30"/>
      <c r="E204" s="30"/>
      <c r="F204" s="30"/>
      <c r="G204" s="71"/>
      <c r="H204" s="30"/>
      <c r="I204" s="30"/>
      <c r="J204" s="30"/>
      <c r="K204" s="30"/>
      <c r="L204" s="30"/>
      <c r="M204" s="30"/>
      <c r="N204" s="30"/>
      <c r="O204" s="30"/>
      <c r="P204" s="30"/>
      <c r="Q204" s="30"/>
      <c r="R204" s="30"/>
      <c r="S204" s="30"/>
      <c r="T204" s="30"/>
      <c r="U204" s="30"/>
      <c r="V204" s="30"/>
      <c r="W204" s="30"/>
      <c r="X204" s="30"/>
      <c r="Y204" s="30"/>
      <c r="Z204" s="64" t="s">
        <v>188</v>
      </c>
      <c r="AA204" s="30"/>
    </row>
    <row r="205" spans="1:34" ht="14.45" hidden="1" customHeight="1" x14ac:dyDescent="0.25">
      <c r="A205" s="29"/>
      <c r="B205" s="30"/>
      <c r="C205" s="30"/>
      <c r="D205" s="30"/>
      <c r="E205" s="30"/>
      <c r="F205" s="30"/>
      <c r="G205" s="71"/>
      <c r="H205" s="30"/>
      <c r="I205" s="30"/>
      <c r="J205" s="30"/>
      <c r="K205" s="30"/>
      <c r="L205" s="30"/>
      <c r="M205" s="30"/>
      <c r="N205" s="30"/>
      <c r="O205" s="30"/>
      <c r="P205" s="30"/>
      <c r="Q205" s="30"/>
      <c r="R205" s="30"/>
      <c r="S205" s="30"/>
      <c r="T205" s="30"/>
      <c r="U205" s="30"/>
      <c r="V205" s="30"/>
      <c r="W205" s="30"/>
      <c r="X205" s="30"/>
      <c r="Y205" s="30"/>
      <c r="Z205" s="64" t="s">
        <v>189</v>
      </c>
      <c r="AA205" s="30"/>
    </row>
    <row r="206" spans="1:34" ht="14.45" hidden="1" customHeight="1" x14ac:dyDescent="0.25">
      <c r="B206" s="22">
        <f>COUNTA(B2:B201)</f>
        <v>0</v>
      </c>
      <c r="C206" s="22">
        <f>COUNTA(C2:C201)</f>
        <v>0</v>
      </c>
      <c r="D206" s="22">
        <f>COUNTA(D2:D201)</f>
        <v>0</v>
      </c>
      <c r="E206" s="22">
        <f>COUNTA(E2:E201)</f>
        <v>0</v>
      </c>
      <c r="G206" s="72">
        <f>COUNTA(G2:G201)</f>
        <v>0</v>
      </c>
      <c r="I206" s="22">
        <f>COUNTA(I2:I201)</f>
        <v>0</v>
      </c>
      <c r="Z206" s="64" t="s">
        <v>295</v>
      </c>
    </row>
    <row r="207" spans="1:34" ht="14.45" hidden="1" customHeight="1" x14ac:dyDescent="0.25">
      <c r="B207" s="22" t="s">
        <v>41</v>
      </c>
      <c r="I207" s="32">
        <f>IF(AND(B206=C206,C206=D206,D206=E206,E206=G206,G206=I206),1,0)</f>
        <v>1</v>
      </c>
      <c r="Z207" s="64" t="s">
        <v>161</v>
      </c>
    </row>
    <row r="208" spans="1:34" ht="14.45" hidden="1" customHeight="1" x14ac:dyDescent="0.25">
      <c r="B208" s="22" t="s">
        <v>42</v>
      </c>
      <c r="C208" s="22">
        <f>COUNTIFS(Census!$C$2:$C$201,"=E",Census!$Q$2:$Q$201,"=Yes")</f>
        <v>0</v>
      </c>
      <c r="I208" s="32"/>
      <c r="K208" s="4" t="s">
        <v>6</v>
      </c>
      <c r="L208" s="4"/>
      <c r="M208" s="4"/>
      <c r="N208" s="4"/>
      <c r="O208" s="4" t="s">
        <v>7</v>
      </c>
      <c r="P208" s="4" t="s">
        <v>8</v>
      </c>
      <c r="Q208" s="12"/>
      <c r="R208" s="4" t="s">
        <v>3</v>
      </c>
      <c r="Z208" s="64" t="s">
        <v>190</v>
      </c>
    </row>
    <row r="209" spans="2:26" s="22" customFormat="1" ht="14.45" hidden="1" customHeight="1" x14ac:dyDescent="0.25">
      <c r="G209" s="72"/>
      <c r="K209" s="12" t="s">
        <v>23</v>
      </c>
      <c r="L209" s="12"/>
      <c r="M209" s="12"/>
      <c r="N209" s="12"/>
      <c r="O209" s="12" t="s">
        <v>54</v>
      </c>
      <c r="P209" s="12" t="s">
        <v>24</v>
      </c>
      <c r="Q209" s="12" t="str">
        <f t="shared" ref="Q209:Q216" si="113">K209 &amp;O209 &amp;P209</f>
        <v>EFM</v>
      </c>
      <c r="R209" s="12" t="s">
        <v>61</v>
      </c>
      <c r="V209" s="12"/>
      <c r="Z209" s="64" t="s">
        <v>191</v>
      </c>
    </row>
    <row r="210" spans="2:26" s="22" customFormat="1" ht="14.45" hidden="1" customHeight="1" x14ac:dyDescent="0.25">
      <c r="B210" s="33" t="s">
        <v>43</v>
      </c>
      <c r="C210" s="34" t="s">
        <v>44</v>
      </c>
      <c r="G210" s="73" t="s">
        <v>45</v>
      </c>
      <c r="H210" s="33"/>
      <c r="K210" s="12" t="s">
        <v>23</v>
      </c>
      <c r="L210" s="12"/>
      <c r="M210" s="12"/>
      <c r="N210" s="12"/>
      <c r="O210" s="12" t="s">
        <v>54</v>
      </c>
      <c r="P210" s="12" t="s">
        <v>55</v>
      </c>
      <c r="Q210" s="12" t="str">
        <f t="shared" si="113"/>
        <v>EFS</v>
      </c>
      <c r="R210" s="12" t="s">
        <v>60</v>
      </c>
      <c r="V210" s="12"/>
      <c r="Z210" s="64" t="s">
        <v>296</v>
      </c>
    </row>
    <row r="211" spans="2:26" s="22" customFormat="1" ht="14.45" hidden="1" customHeight="1" x14ac:dyDescent="0.25">
      <c r="B211" s="33" t="s">
        <v>46</v>
      </c>
      <c r="C211" s="34" t="s">
        <v>47</v>
      </c>
      <c r="G211" s="73" t="s">
        <v>48</v>
      </c>
      <c r="H211" s="33"/>
      <c r="K211" s="12" t="s">
        <v>23</v>
      </c>
      <c r="L211" s="12"/>
      <c r="M211" s="12"/>
      <c r="N211" s="12"/>
      <c r="O211" s="12" t="s">
        <v>24</v>
      </c>
      <c r="P211" s="12" t="s">
        <v>24</v>
      </c>
      <c r="Q211" s="12" t="str">
        <f t="shared" si="113"/>
        <v>EMM</v>
      </c>
      <c r="R211" s="12" t="s">
        <v>59</v>
      </c>
      <c r="Z211" s="64" t="s">
        <v>297</v>
      </c>
    </row>
    <row r="212" spans="2:26" s="22" customFormat="1" ht="14.45" hidden="1" customHeight="1" x14ac:dyDescent="0.25">
      <c r="G212" s="72"/>
      <c r="K212" s="12" t="s">
        <v>23</v>
      </c>
      <c r="L212" s="12"/>
      <c r="M212" s="12"/>
      <c r="N212" s="12"/>
      <c r="O212" s="12" t="s">
        <v>24</v>
      </c>
      <c r="P212" s="12" t="s">
        <v>55</v>
      </c>
      <c r="Q212" s="12" t="str">
        <f t="shared" si="113"/>
        <v>EMS</v>
      </c>
      <c r="R212" s="12" t="s">
        <v>58</v>
      </c>
      <c r="Z212" s="64" t="s">
        <v>89</v>
      </c>
    </row>
    <row r="213" spans="2:26" s="22" customFormat="1" ht="14.45" hidden="1" customHeight="1" x14ac:dyDescent="0.25">
      <c r="C213" s="22" t="s">
        <v>49</v>
      </c>
      <c r="D213" s="22" t="s">
        <v>50</v>
      </c>
      <c r="E213" s="22" t="s">
        <v>8</v>
      </c>
      <c r="G213" s="72" t="s">
        <v>51</v>
      </c>
      <c r="I213" s="22" t="s">
        <v>52</v>
      </c>
      <c r="K213" s="12" t="s">
        <v>53</v>
      </c>
      <c r="L213" s="12"/>
      <c r="M213" s="12"/>
      <c r="N213" s="12"/>
      <c r="O213" s="12" t="s">
        <v>54</v>
      </c>
      <c r="P213" s="12" t="s">
        <v>24</v>
      </c>
      <c r="Q213" s="12" t="str">
        <f t="shared" si="113"/>
        <v>WFM</v>
      </c>
      <c r="R213" s="12" t="s">
        <v>63</v>
      </c>
      <c r="T213" s="12"/>
      <c r="Z213" s="64" t="s">
        <v>298</v>
      </c>
    </row>
    <row r="214" spans="2:26" s="22" customFormat="1" ht="14.45" hidden="1" customHeight="1" x14ac:dyDescent="0.25">
      <c r="C214" s="22" t="s">
        <v>23</v>
      </c>
      <c r="D214" s="22" t="s">
        <v>24</v>
      </c>
      <c r="E214" s="22" t="s">
        <v>24</v>
      </c>
      <c r="G214" s="72" t="s">
        <v>21</v>
      </c>
      <c r="I214" s="22">
        <v>1</v>
      </c>
      <c r="K214" s="12" t="s">
        <v>56</v>
      </c>
      <c r="L214" s="12"/>
      <c r="M214" s="12"/>
      <c r="N214" s="12"/>
      <c r="O214" s="12" t="s">
        <v>24</v>
      </c>
      <c r="P214" s="12" t="s">
        <v>24</v>
      </c>
      <c r="Q214" s="12" t="str">
        <f t="shared" si="113"/>
        <v>HMM</v>
      </c>
      <c r="R214" s="12" t="s">
        <v>62</v>
      </c>
      <c r="Z214" s="64" t="s">
        <v>79</v>
      </c>
    </row>
    <row r="215" spans="2:26" s="22" customFormat="1" ht="14.45" hidden="1" customHeight="1" x14ac:dyDescent="0.25">
      <c r="C215" s="22" t="s">
        <v>53</v>
      </c>
      <c r="D215" s="22" t="s">
        <v>54</v>
      </c>
      <c r="E215" s="22" t="s">
        <v>55</v>
      </c>
      <c r="G215" s="72" t="s">
        <v>22</v>
      </c>
      <c r="I215" s="22">
        <v>1</v>
      </c>
      <c r="K215" s="12" t="s">
        <v>57</v>
      </c>
      <c r="L215" s="12"/>
      <c r="M215" s="12"/>
      <c r="N215" s="12"/>
      <c r="O215" s="12" t="s">
        <v>54</v>
      </c>
      <c r="P215" s="12" t="s">
        <v>55</v>
      </c>
      <c r="Q215" s="12" t="str">
        <f t="shared" si="113"/>
        <v>DFS</v>
      </c>
      <c r="R215" s="12" t="s">
        <v>65</v>
      </c>
      <c r="T215" s="12"/>
      <c r="Z215" s="64" t="s">
        <v>87</v>
      </c>
    </row>
    <row r="216" spans="2:26" s="22" customFormat="1" ht="14.45" hidden="1" customHeight="1" x14ac:dyDescent="0.25">
      <c r="C216" s="22" t="s">
        <v>56</v>
      </c>
      <c r="G216" s="72" t="s">
        <v>66</v>
      </c>
      <c r="I216" s="22">
        <v>1</v>
      </c>
      <c r="K216" s="12" t="s">
        <v>55</v>
      </c>
      <c r="L216" s="12"/>
      <c r="M216" s="12"/>
      <c r="N216" s="12"/>
      <c r="O216" s="12" t="s">
        <v>24</v>
      </c>
      <c r="P216" s="12" t="s">
        <v>55</v>
      </c>
      <c r="Q216" s="12" t="str">
        <f t="shared" si="113"/>
        <v>SMS</v>
      </c>
      <c r="R216" s="12" t="s">
        <v>64</v>
      </c>
      <c r="Z216" s="64" t="s">
        <v>299</v>
      </c>
    </row>
    <row r="217" spans="2:26" s="22" customFormat="1" ht="14.45" hidden="1" customHeight="1" x14ac:dyDescent="0.25">
      <c r="C217" s="22" t="s">
        <v>55</v>
      </c>
      <c r="G217" s="72" t="s">
        <v>67</v>
      </c>
      <c r="I217" s="22">
        <v>1</v>
      </c>
      <c r="Z217" s="64" t="s">
        <v>300</v>
      </c>
    </row>
    <row r="218" spans="2:26" s="22" customFormat="1" ht="14.45" hidden="1" customHeight="1" x14ac:dyDescent="0.25">
      <c r="C218" s="22" t="s">
        <v>57</v>
      </c>
      <c r="G218" s="72"/>
      <c r="I218" s="22">
        <v>1</v>
      </c>
      <c r="Z218" s="64" t="s">
        <v>153</v>
      </c>
    </row>
    <row r="219" spans="2:26" ht="14.45" hidden="1" customHeight="1" x14ac:dyDescent="0.25">
      <c r="Z219" s="64" t="s">
        <v>122</v>
      </c>
    </row>
    <row r="220" spans="2:26" ht="14.45" hidden="1" customHeight="1" x14ac:dyDescent="0.25">
      <c r="Z220" s="64" t="s">
        <v>192</v>
      </c>
    </row>
    <row r="221" spans="2:26" ht="14.45" hidden="1" customHeight="1" x14ac:dyDescent="0.25">
      <c r="Z221" s="64" t="s">
        <v>216</v>
      </c>
    </row>
    <row r="222" spans="2:26" ht="14.45" hidden="1" customHeight="1" x14ac:dyDescent="0.25">
      <c r="Z222" s="64" t="s">
        <v>130</v>
      </c>
    </row>
    <row r="223" spans="2:26" ht="14.45" hidden="1" customHeight="1" x14ac:dyDescent="0.25">
      <c r="Z223" s="64" t="s">
        <v>106</v>
      </c>
    </row>
    <row r="224" spans="2:26" ht="14.45" hidden="1" customHeight="1" x14ac:dyDescent="0.25">
      <c r="Z224" s="64" t="s">
        <v>210</v>
      </c>
    </row>
    <row r="225" spans="26:26" ht="14.45" hidden="1" customHeight="1" x14ac:dyDescent="0.25">
      <c r="Z225" s="64" t="s">
        <v>224</v>
      </c>
    </row>
    <row r="226" spans="26:26" ht="14.45" hidden="1" customHeight="1" x14ac:dyDescent="0.25">
      <c r="Z226" s="64" t="s">
        <v>301</v>
      </c>
    </row>
    <row r="227" spans="26:26" ht="14.45" hidden="1" customHeight="1" x14ac:dyDescent="0.25">
      <c r="Z227" s="64" t="s">
        <v>116</v>
      </c>
    </row>
    <row r="228" spans="26:26" ht="14.45" hidden="1" customHeight="1" x14ac:dyDescent="0.25">
      <c r="Z228" s="64" t="s">
        <v>117</v>
      </c>
    </row>
    <row r="229" spans="26:26" ht="14.45" hidden="1" customHeight="1" x14ac:dyDescent="0.25">
      <c r="Z229" s="64" t="s">
        <v>302</v>
      </c>
    </row>
    <row r="230" spans="26:26" ht="14.45" hidden="1" customHeight="1" x14ac:dyDescent="0.25">
      <c r="Z230" s="64" t="s">
        <v>193</v>
      </c>
    </row>
    <row r="231" spans="26:26" ht="14.45" hidden="1" customHeight="1" x14ac:dyDescent="0.25">
      <c r="Z231" s="64" t="s">
        <v>97</v>
      </c>
    </row>
    <row r="232" spans="26:26" ht="14.45" hidden="1" customHeight="1" x14ac:dyDescent="0.25">
      <c r="Z232" s="64" t="s">
        <v>154</v>
      </c>
    </row>
    <row r="233" spans="26:26" ht="14.45" hidden="1" customHeight="1" x14ac:dyDescent="0.25">
      <c r="Z233" s="64" t="s">
        <v>82</v>
      </c>
    </row>
    <row r="234" spans="26:26" ht="14.45" hidden="1" customHeight="1" x14ac:dyDescent="0.25">
      <c r="Z234" s="64" t="s">
        <v>303</v>
      </c>
    </row>
    <row r="235" spans="26:26" ht="14.45" hidden="1" customHeight="1" x14ac:dyDescent="0.25">
      <c r="Z235" s="64" t="s">
        <v>194</v>
      </c>
    </row>
    <row r="236" spans="26:26" ht="14.45" hidden="1" customHeight="1" x14ac:dyDescent="0.25">
      <c r="Z236" s="64" t="s">
        <v>195</v>
      </c>
    </row>
    <row r="237" spans="26:26" ht="14.45" hidden="1" customHeight="1" x14ac:dyDescent="0.25">
      <c r="Z237" s="64" t="s">
        <v>200</v>
      </c>
    </row>
    <row r="238" spans="26:26" ht="14.45" hidden="1" customHeight="1" x14ac:dyDescent="0.25">
      <c r="Z238" s="64" t="s">
        <v>155</v>
      </c>
    </row>
    <row r="239" spans="26:26" ht="14.45" hidden="1" customHeight="1" x14ac:dyDescent="0.25">
      <c r="Z239" s="64" t="s">
        <v>218</v>
      </c>
    </row>
    <row r="240" spans="26:26" ht="14.45" hidden="1" customHeight="1" x14ac:dyDescent="0.25">
      <c r="Z240" s="64" t="s">
        <v>118</v>
      </c>
    </row>
    <row r="241" spans="26:26" ht="14.45" hidden="1" customHeight="1" x14ac:dyDescent="0.25">
      <c r="Z241" s="64" t="s">
        <v>108</v>
      </c>
    </row>
    <row r="242" spans="26:26" ht="14.45" hidden="1" customHeight="1" x14ac:dyDescent="0.25">
      <c r="Z242" s="64" t="s">
        <v>304</v>
      </c>
    </row>
    <row r="243" spans="26:26" ht="14.45" hidden="1" customHeight="1" x14ac:dyDescent="0.25">
      <c r="Z243" s="64" t="s">
        <v>81</v>
      </c>
    </row>
    <row r="244" spans="26:26" ht="14.45" hidden="1" customHeight="1" x14ac:dyDescent="0.25">
      <c r="Z244" s="64" t="s">
        <v>305</v>
      </c>
    </row>
    <row r="245" spans="26:26" ht="14.45" hidden="1" customHeight="1" x14ac:dyDescent="0.25">
      <c r="Z245" s="64" t="s">
        <v>306</v>
      </c>
    </row>
    <row r="246" spans="26:26" ht="14.45" hidden="1" customHeight="1" x14ac:dyDescent="0.25">
      <c r="Z246" s="64" t="s">
        <v>125</v>
      </c>
    </row>
    <row r="247" spans="26:26" ht="14.45" hidden="1" customHeight="1" x14ac:dyDescent="0.25">
      <c r="Z247" s="64" t="s">
        <v>159</v>
      </c>
    </row>
    <row r="248" spans="26:26" ht="14.45" hidden="1" customHeight="1" x14ac:dyDescent="0.25">
      <c r="Z248" s="64" t="s">
        <v>156</v>
      </c>
    </row>
    <row r="249" spans="26:26" ht="14.45" hidden="1" customHeight="1" x14ac:dyDescent="0.25">
      <c r="Z249" s="64" t="s">
        <v>157</v>
      </c>
    </row>
    <row r="250" spans="26:26" ht="14.45" hidden="1" customHeight="1" x14ac:dyDescent="0.25">
      <c r="Z250" s="64" t="s">
        <v>307</v>
      </c>
    </row>
    <row r="251" spans="26:26" ht="14.45" hidden="1" customHeight="1" x14ac:dyDescent="0.25">
      <c r="Z251" s="64" t="s">
        <v>308</v>
      </c>
    </row>
    <row r="252" spans="26:26" ht="14.45" hidden="1" customHeight="1" x14ac:dyDescent="0.25">
      <c r="Z252" s="64" t="s">
        <v>127</v>
      </c>
    </row>
    <row r="253" spans="26:26" ht="14.45" hidden="1" customHeight="1" x14ac:dyDescent="0.25">
      <c r="Z253" s="64" t="s">
        <v>196</v>
      </c>
    </row>
    <row r="254" spans="26:26" ht="14.45" hidden="1" customHeight="1" x14ac:dyDescent="0.25">
      <c r="Z254" s="64" t="s">
        <v>309</v>
      </c>
    </row>
    <row r="255" spans="26:26" ht="14.45" hidden="1" customHeight="1" x14ac:dyDescent="0.25">
      <c r="Z255" s="64" t="s">
        <v>135</v>
      </c>
    </row>
    <row r="256" spans="26:26" ht="14.45" hidden="1" customHeight="1" x14ac:dyDescent="0.25">
      <c r="Z256" s="64" t="s">
        <v>197</v>
      </c>
    </row>
    <row r="257" spans="26:26" ht="14.45" hidden="1" customHeight="1" x14ac:dyDescent="0.25">
      <c r="Z257" s="64" t="s">
        <v>199</v>
      </c>
    </row>
    <row r="258" spans="26:26" ht="14.45" hidden="1" customHeight="1" x14ac:dyDescent="0.25">
      <c r="Z258" s="64" t="s">
        <v>109</v>
      </c>
    </row>
    <row r="259" spans="26:26" ht="14.45" hidden="1" customHeight="1" x14ac:dyDescent="0.25">
      <c r="Z259" s="64" t="s">
        <v>310</v>
      </c>
    </row>
    <row r="260" spans="26:26" ht="14.45" hidden="1" customHeight="1" x14ac:dyDescent="0.25">
      <c r="Z260" s="64" t="s">
        <v>311</v>
      </c>
    </row>
    <row r="261" spans="26:26" ht="14.45" hidden="1" customHeight="1" x14ac:dyDescent="0.25">
      <c r="Z261" s="64" t="s">
        <v>312</v>
      </c>
    </row>
    <row r="262" spans="26:26" ht="14.45" hidden="1" customHeight="1" x14ac:dyDescent="0.25">
      <c r="Z262" s="64" t="s">
        <v>158</v>
      </c>
    </row>
    <row r="263" spans="26:26" ht="14.45" hidden="1" customHeight="1" x14ac:dyDescent="0.25">
      <c r="Z263" s="64" t="s">
        <v>120</v>
      </c>
    </row>
    <row r="264" spans="26:26" ht="14.45" hidden="1" customHeight="1" x14ac:dyDescent="0.25">
      <c r="Z264" s="64" t="s">
        <v>124</v>
      </c>
    </row>
  </sheetData>
  <mergeCells count="2">
    <mergeCell ref="O1:Q1"/>
    <mergeCell ref="S1:X1"/>
  </mergeCells>
  <conditionalFormatting sqref="O2:Q203">
    <cfRule type="containsText" dxfId="2" priority="11" operator="containsText" text="No">
      <formula>NOT(ISERROR(SEARCH("No",O2)))</formula>
    </cfRule>
  </conditionalFormatting>
  <conditionalFormatting sqref="R2:R202">
    <cfRule type="iconSet" priority="17">
      <iconSet iconSet="3Symbols2" showValue="0">
        <cfvo type="percent" val="0"/>
        <cfvo type="num" val="0"/>
        <cfvo type="num" val="1"/>
      </iconSet>
    </cfRule>
  </conditionalFormatting>
  <conditionalFormatting sqref="R2:R203">
    <cfRule type="containsText" dxfId="1" priority="18" operator="containsText" text="OK">
      <formula>NOT(ISERROR(SEARCH("OK",R2)))</formula>
    </cfRule>
    <cfRule type="containsText" dxfId="0" priority="19" operator="containsText" text="CHECK">
      <formula>NOT(ISERROR(SEARCH("CHECK",R2)))</formula>
    </cfRule>
  </conditionalFormatting>
  <conditionalFormatting sqref="R3 R5 R7 R9 R11 R13 R15 R17 R19 R21 R23 R25 R27 R29 R31 R33 R35 R37 R39 R41 R43 R45 R47 R49 R51 R53 R55 R57 R59 R61 R63 R65 R67 R69 R71 R73 R75 R77 R79 R81 R83 R85 R87 R89 R91 R93 R95 R97 R99 R101 R103 R105 R107 R109 R111 R113 R115 R117 R119 R121 R123 R125 R127 R129 R131 R133 R135 R137 R139 R141 R143 R145 R147 R149 R151 R153 R155 R157 R159 R161 R163 R165 R167 R169 R171 R173 R175 R177 R179 R181 R183 R185 R187 R189 R191 R193 R195 R197 R199 R201">
    <cfRule type="iconSet" priority="16">
      <iconSet iconSet="3Symbols2" showValue="0">
        <cfvo type="percent" val="0"/>
        <cfvo type="formula" val="0.5"/>
        <cfvo type="num" val="1"/>
      </iconSet>
    </cfRule>
  </conditionalFormatting>
  <conditionalFormatting sqref="R3:R201">
    <cfRule type="iconSet" priority="15">
      <iconSet iconSet="3Symbols2" showValue="0">
        <cfvo type="percent" val="0"/>
        <cfvo type="formula" val="0.5"/>
        <cfvo type="num" val="1"/>
      </iconSet>
    </cfRule>
  </conditionalFormatting>
  <conditionalFormatting sqref="R4 R6 R8 R10 R12 R14 R16 R18 R20 R22 R24 R26 R28 R30 R32 R34 R36 R38 R40 R42 R44 R46 R48 R50 R52 R54 R56 R58 R60 R62 R64 R66 R68 R70 R72 R74 R76 R78 R80 R82 R84 R86 R88 R90 R92 R94 R96 R98 R100 R102 R104 R106 R108 R110 R112 R114 R116 R118 R120 R122 R124 R126 R128 R130 R132 R134 R136 R138 R140 R142 R144 R146 R148 R150 R152 R154 R156 R158 R160 R162 R164 R166 R168 R170 R172 R174 R176 R178 R180 R182 R184 R186 R188 R190 R192 R194 R196 R198 R200">
    <cfRule type="iconSet" priority="14">
      <iconSet iconSet="3Symbols2" showValue="0">
        <cfvo type="percent" val="0"/>
        <cfvo type="formula" val="0.5"/>
        <cfvo type="num" val="1"/>
      </iconSet>
    </cfRule>
  </conditionalFormatting>
  <conditionalFormatting sqref="R5 R7 R9 R11 R13 R15 R17 R19 R21 R23 R25 R27 R29 R31 R33 R35 R37 R39 R41 R43 R45 R47 R49 R51 R53 R55 R57 R59 R61 R63 R65 R67 R69 R71 R73 R75 R77 R79 R81 R83 R85 R87 R89 R91 R93 R95 R97 R99 R101 R103 R105 R107 R109 R111 R113 R115 R117 R119 R121 R123 R125 R127 R129 R131 R133 R135 R137 R139 R141 R143 R145 R147 R149 R151 R153 R155 R157 R159 R161 R163 R165 R167 R169 R171 R173 R175 R177 R179 R181 R183 R185 R187 R189 R191 R193 R195 R197 R199 R201">
    <cfRule type="iconSet" priority="13">
      <iconSet iconSet="3Symbols2" showValue="0">
        <cfvo type="percent" val="0"/>
        <cfvo type="formula" val="0.5"/>
        <cfvo type="num" val="1"/>
      </iconSet>
    </cfRule>
  </conditionalFormatting>
  <conditionalFormatting sqref="R5">
    <cfRule type="iconSet" priority="12">
      <iconSet iconSet="3Symbols2" showValue="0">
        <cfvo type="percent" val="0"/>
        <cfvo type="formula" val="0.5"/>
        <cfvo type="num" val="1"/>
      </iconSet>
    </cfRule>
  </conditionalFormatting>
  <conditionalFormatting sqref="R202">
    <cfRule type="iconSet" priority="2">
      <iconSet iconSet="3Symbols2" showValue="0">
        <cfvo type="percent" val="0"/>
        <cfvo type="formula" val="0.5"/>
        <cfvo type="num" val="1"/>
      </iconSet>
    </cfRule>
  </conditionalFormatting>
  <conditionalFormatting sqref="R202:R203">
    <cfRule type="iconSet" priority="3">
      <iconSet iconSet="3Symbols2" showValue="0">
        <cfvo type="percent" val="0"/>
        <cfvo type="formula" val="0.5"/>
        <cfvo type="num" val="1"/>
      </iconSet>
    </cfRule>
    <cfRule type="iconSet" priority="4">
      <iconSet iconSet="3Symbols2" showValue="0">
        <cfvo type="percent" val="0"/>
        <cfvo type="num" val="0"/>
        <cfvo type="num" val="1"/>
      </iconSet>
    </cfRule>
  </conditionalFormatting>
  <conditionalFormatting sqref="R203">
    <cfRule type="iconSet" priority="1">
      <iconSet iconSet="3Symbols2" showValue="0">
        <cfvo type="percent" val="0"/>
        <cfvo type="formula" val="0.5"/>
        <cfvo type="num" val="1"/>
      </iconSet>
    </cfRule>
  </conditionalFormatting>
  <conditionalFormatting sqref="S2:S202">
    <cfRule type="iconSet" priority="25">
      <iconSet showValue="0">
        <cfvo type="percent" val="0"/>
        <cfvo type="num" val="0.5"/>
        <cfvo type="num" val="1"/>
      </iconSet>
    </cfRule>
  </conditionalFormatting>
  <conditionalFormatting sqref="S202:S203">
    <cfRule type="iconSet" priority="10">
      <iconSet showValue="0">
        <cfvo type="percent" val="0"/>
        <cfvo type="num" val="0.5"/>
        <cfvo type="num" val="1"/>
      </iconSet>
    </cfRule>
  </conditionalFormatting>
  <conditionalFormatting sqref="T2:V202">
    <cfRule type="iconSet" priority="22">
      <iconSet showValue="0">
        <cfvo type="percent" val="0"/>
        <cfvo type="num" val="0.5"/>
        <cfvo type="num" val="1"/>
      </iconSet>
    </cfRule>
    <cfRule type="iconSet" priority="24">
      <iconSet showValue="0">
        <cfvo type="percent" val="0"/>
        <cfvo type="num" val="0"/>
        <cfvo type="num" val="1"/>
      </iconSet>
    </cfRule>
  </conditionalFormatting>
  <conditionalFormatting sqref="T202:V203">
    <cfRule type="iconSet" priority="7">
      <iconSet showValue="0">
        <cfvo type="percent" val="0"/>
        <cfvo type="num" val="0.5"/>
        <cfvo type="num" val="1"/>
      </iconSet>
    </cfRule>
    <cfRule type="iconSet" priority="9">
      <iconSet showValue="0">
        <cfvo type="percent" val="0"/>
        <cfvo type="num" val="0"/>
        <cfvo type="num" val="1"/>
      </iconSet>
    </cfRule>
  </conditionalFormatting>
  <conditionalFormatting sqref="W2:W202">
    <cfRule type="iconSet" priority="23">
      <iconSet showValue="0">
        <cfvo type="percent" val="0"/>
        <cfvo type="num" val="1"/>
        <cfvo type="num" val="1"/>
      </iconSet>
    </cfRule>
  </conditionalFormatting>
  <conditionalFormatting sqref="W202:W203">
    <cfRule type="iconSet" priority="8">
      <iconSet showValue="0">
        <cfvo type="percent" val="0"/>
        <cfvo type="num" val="2.5"/>
        <cfvo type="num" val="3"/>
      </iconSet>
    </cfRule>
  </conditionalFormatting>
  <conditionalFormatting sqref="X2:X202">
    <cfRule type="iconSet" priority="20">
      <iconSet showValue="0">
        <cfvo type="percent" val="0"/>
        <cfvo type="num" val="0.5"/>
        <cfvo type="num" val="1"/>
      </iconSet>
    </cfRule>
    <cfRule type="iconSet" priority="21">
      <iconSet showValue="0">
        <cfvo type="percent" val="0"/>
        <cfvo type="num" val="2.5"/>
        <cfvo type="num" val="3"/>
      </iconSet>
    </cfRule>
  </conditionalFormatting>
  <conditionalFormatting sqref="X202:X203">
    <cfRule type="iconSet" priority="5">
      <iconSet showValue="0">
        <cfvo type="percent" val="0"/>
        <cfvo type="num" val="0.5"/>
        <cfvo type="num" val="1"/>
      </iconSet>
    </cfRule>
    <cfRule type="iconSet" priority="6">
      <iconSet showValue="0">
        <cfvo type="percent" val="0"/>
        <cfvo type="num" val="2.5"/>
        <cfvo type="num" val="3"/>
      </iconSet>
    </cfRule>
  </conditionalFormatting>
  <dataValidations count="7">
    <dataValidation type="list" allowBlank="1" showInputMessage="1" showErrorMessage="1" sqref="D2:D201" xr:uid="{00000000-0002-0000-0000-000000000000}">
      <formula1>$D$214:$D$215</formula1>
    </dataValidation>
    <dataValidation type="list" allowBlank="1" showInputMessage="1" showErrorMessage="1" sqref="C2:C201" xr:uid="{00000000-0002-0000-0000-000001000000}">
      <formula1>$C$214:$C$218</formula1>
    </dataValidation>
    <dataValidation type="list" allowBlank="1" showInputMessage="1" showErrorMessage="1" sqref="E2:E201" xr:uid="{00000000-0002-0000-0000-000002000000}">
      <formula1>$E$214:$E$215</formula1>
    </dataValidation>
    <dataValidation type="list" allowBlank="1" showInputMessage="1" showErrorMessage="1" sqref="I2:I202" xr:uid="{00000000-0002-0000-0000-000003000000}">
      <formula1>$G$214:$G$217</formula1>
    </dataValidation>
    <dataValidation type="date" allowBlank="1" showInputMessage="1" showErrorMessage="1" sqref="G2:G202" xr:uid="{00000000-0002-0000-0000-000004000000}">
      <formula1>$AN$6</formula1>
      <formula2>$AN$7</formula2>
    </dataValidation>
    <dataValidation type="list" allowBlank="1" showInputMessage="1" showErrorMessage="1" sqref="H203:H1048576" xr:uid="{00000000-0002-0000-0000-000005000000}">
      <formula1>$Z$31:$Z$188</formula1>
    </dataValidation>
    <dataValidation type="list" allowBlank="1" showInputMessage="1" showErrorMessage="1" sqref="H2:H202" xr:uid="{00000000-0002-0000-0000-000006000000}">
      <formula1>$Z$30:$Z$264</formula1>
    </dataValidation>
  </dataValidations>
  <printOptions horizontalCentered="1"/>
  <pageMargins left="0.2" right="0.2" top="1" bottom="0.3" header="0.2" footer="0.2"/>
  <pageSetup paperSize="9" scale="22" fitToHeight="0" orientation="portrait"/>
  <headerFooter>
    <oddHeader>&amp;L&amp;G&amp;C&amp;"Calibri"&amp;10&amp;K000000INTERNAL&amp;1#_x000D_&amp;"Calibri"&amp;11&amp;K000000Indicative Terms</oddHeader>
    <oddFooter>&amp;L&amp;"Calibri"&amp;11&amp;K000000&amp;"Calibri"&amp;11&amp;K000000&amp;"Calibri"&amp;11&amp;K000000&amp;"Calibri"&amp;11&amp;K000000&amp;"Calibri"&amp;11&amp;K000000VERSION-&amp;F&amp;C&amp;P of &amp;N&amp;RQUOTATION VALID FOR 30 DAYS FROM ITS ISSUE DATE</oddFooter>
  </headerFooter>
  <ignoredErrors>
    <ignoredError sqref="J2:K201" unlockedFormula="1"/>
  </ignoredErrors>
  <legacyDrawingHF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Census</vt:lpstr>
      <vt:lpstr>inception_date</vt:lpstr>
    </vt:vector>
  </TitlesOfParts>
  <Company>AXA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MULLER Bruno</dc:creator>
  <cp:lastModifiedBy>Sandali Fernando</cp:lastModifiedBy>
  <dcterms:created xsi:type="dcterms:W3CDTF">2017-04-14T13:02:03Z</dcterms:created>
  <dcterms:modified xsi:type="dcterms:W3CDTF">2025-02-24T23:58:52Z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bfbbd0f-0666-461a-9212-afe773a25324_Enabled">
    <vt:lpwstr>true</vt:lpwstr>
  </property>
  <property fmtid="{D5CDD505-2E9C-101B-9397-08002B2CF9AE}" pid="3" name="MSIP_Label_bbfbbd0f-0666-461a-9212-afe773a25324_SetDate">
    <vt:lpwstr>2022-09-29T16:17:37Z</vt:lpwstr>
  </property>
  <property fmtid="{D5CDD505-2E9C-101B-9397-08002B2CF9AE}" pid="4" name="MSIP_Label_bbfbbd0f-0666-461a-9212-afe773a25324_Method">
    <vt:lpwstr>Standard</vt:lpwstr>
  </property>
  <property fmtid="{D5CDD505-2E9C-101B-9397-08002B2CF9AE}" pid="5" name="MSIP_Label_bbfbbd0f-0666-461a-9212-afe773a25324_Name">
    <vt:lpwstr>AFA Confidentiel</vt:lpwstr>
  </property>
  <property fmtid="{D5CDD505-2E9C-101B-9397-08002B2CF9AE}" pid="6" name="MSIP_Label_bbfbbd0f-0666-461a-9212-afe773a25324_SiteId">
    <vt:lpwstr>396b38cc-aa65-492b-bb0e-3d94ed25a97b</vt:lpwstr>
  </property>
  <property fmtid="{D5CDD505-2E9C-101B-9397-08002B2CF9AE}" pid="7" name="MSIP_Label_bbfbbd0f-0666-461a-9212-afe773a25324_ActionId">
    <vt:lpwstr>08349a70-5864-4c67-81c7-b219b2b39e9b</vt:lpwstr>
  </property>
  <property fmtid="{D5CDD505-2E9C-101B-9397-08002B2CF9AE}" pid="8" name="MSIP_Label_bbfbbd0f-0666-461a-9212-afe773a25324_ContentBits">
    <vt:lpwstr>3</vt:lpwstr>
  </property>
  <property fmtid="{D5CDD505-2E9C-101B-9397-08002B2CF9AE}" pid="9" name="MSIP_Label_29c414be-3782-43dc-860e-079606eeac77_Enabled">
    <vt:lpwstr>true</vt:lpwstr>
  </property>
  <property fmtid="{D5CDD505-2E9C-101B-9397-08002B2CF9AE}" pid="10" name="MSIP_Label_29c414be-3782-43dc-860e-079606eeac77_SetDate">
    <vt:lpwstr>2023-02-28T11:26:44Z</vt:lpwstr>
  </property>
  <property fmtid="{D5CDD505-2E9C-101B-9397-08002B2CF9AE}" pid="11" name="MSIP_Label_29c414be-3782-43dc-860e-079606eeac77_Method">
    <vt:lpwstr>Privileged</vt:lpwstr>
  </property>
  <property fmtid="{D5CDD505-2E9C-101B-9397-08002B2CF9AE}" pid="12" name="MSIP_Label_29c414be-3782-43dc-860e-079606eeac77_Name">
    <vt:lpwstr>INTERNAL</vt:lpwstr>
  </property>
  <property fmtid="{D5CDD505-2E9C-101B-9397-08002B2CF9AE}" pid="13" name="MSIP_Label_29c414be-3782-43dc-860e-079606eeac77_SiteId">
    <vt:lpwstr>0bde82a0-0f4c-4762-ab20-92996d99ed61</vt:lpwstr>
  </property>
  <property fmtid="{D5CDD505-2E9C-101B-9397-08002B2CF9AE}" pid="14" name="MSIP_Label_29c414be-3782-43dc-860e-079606eeac77_ActionId">
    <vt:lpwstr>9f3f0ff7-a5b3-42ff-a104-20350ddd9a21</vt:lpwstr>
  </property>
  <property fmtid="{D5CDD505-2E9C-101B-9397-08002B2CF9AE}" pid="15" name="MSIP_Label_29c414be-3782-43dc-860e-079606eeac77_ContentBits">
    <vt:lpwstr>1</vt:lpwstr>
  </property>
</Properties>
</file>