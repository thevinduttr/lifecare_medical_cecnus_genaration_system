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showInkAnnotation="0" updateLinks="never" codeName="ThisWorkbook" hidePivotFieldList="1" defaultThemeVersion="124226"/>
  <mc:AlternateContent xmlns:mc="http://schemas.openxmlformats.org/markup-compatibility/2006">
    <mc:Choice Requires="x15">
      <x15ac:absPath xmlns:x15ac="http://schemas.microsoft.com/office/spreadsheetml/2010/11/ac" url="C:\Users\RPA-Dev\Desktop\Algospring\Lifecare_RPA_v2\company_data\orientexcel\excel_tool\"/>
    </mc:Choice>
  </mc:AlternateContent>
  <xr:revisionPtr revIDLastSave="0" documentId="13_ncr:1_{72125AEE-E500-4967-80DF-44510D2EB029}" xr6:coauthVersionLast="47" xr6:coauthVersionMax="47" xr10:uidLastSave="{00000000-0000-0000-0000-000000000000}"/>
  <workbookProtection workbookAlgorithmName="SHA-512" workbookHashValue="wbquEwrReH4AxFCQJm6WG+fBy/0Nmz0x5tyR+CqmEwKRQNMoeSc+zBbzaLCDkWTV613p5StFq8hAmTIbvwWpvg==" workbookSaltValue="ScVELr1WlichA9Ox0viGQQ==" workbookSpinCount="100000" lockStructure="1"/>
  <bookViews>
    <workbookView minimized="1" xWindow="1905" yWindow="1905" windowWidth="10245" windowHeight="5250" tabRatio="810" xr2:uid="{00000000-000D-0000-FFFF-FFFF00000000}"/>
  </bookViews>
  <sheets>
    <sheet name="Guidelines" sheetId="33" r:id="rId1"/>
    <sheet name="Inputs" sheetId="31" r:id="rId2"/>
    <sheet name="Loadings" sheetId="26" state="hidden" r:id="rId3"/>
    <sheet name="Loading" sheetId="34" state="hidden" r:id="rId4"/>
    <sheet name="Census Data" sheetId="8" r:id="rId5"/>
    <sheet name="Inputs Mapping" sheetId="23" state="hidden" r:id="rId6"/>
    <sheet name="input for formula" sheetId="10" state="hidden" r:id="rId7"/>
    <sheet name="Computation" sheetId="12" state="hidden" r:id="rId8"/>
    <sheet name="Deviation" sheetId="5" state="hidden" r:id="rId9"/>
    <sheet name="Rates" sheetId="25" state="hidden" r:id="rId10"/>
    <sheet name="Quotation for Dubai Plans" sheetId="11" state="hidden" r:id="rId11"/>
    <sheet name="Quotation for Abu Dhabi Plans" sheetId="19" state="hidden" r:id="rId12"/>
    <sheet name="Selected TOB DXB" sheetId="13" r:id="rId13"/>
    <sheet name="Selected TOB AUH" sheetId="14" r:id="rId14"/>
    <sheet name="Plans -Dubai &amp; Other Emirates" sheetId="2" r:id="rId15"/>
    <sheet name="Plans-Abudhabi &amp; Al Ain Emirate" sheetId="1" r:id="rId16"/>
    <sheet name="Protection" sheetId="15" state="hidden" r:id="rId17"/>
    <sheet name="GAF" sheetId="27" state="hidden" r:id="rId18"/>
    <sheet name="Additions" sheetId="32" state="hidden" r:id="rId19"/>
  </sheets>
  <externalReferences>
    <externalReference r:id="rId20"/>
    <externalReference r:id="rId21"/>
    <externalReference r:id="rId22"/>
    <externalReference r:id="rId23"/>
    <externalReference r:id="rId24"/>
    <externalReference r:id="rId25"/>
  </externalReferences>
  <definedNames>
    <definedName name="_xlnm._FilterDatabase" localSheetId="18" hidden="1">Additions!$A$5:$AN$125</definedName>
    <definedName name="_xlnm._FilterDatabase" localSheetId="4" hidden="1">'Census Data'!$A$5:$BS$310</definedName>
    <definedName name="AUH_CAT_A_above69_Dependent">'Census Data'!$BQ$6</definedName>
    <definedName name="AUH_CAT_A_above69_Employee">'Census Data'!$BP$6</definedName>
    <definedName name="AUH_CAT_A_above69_Maternity">'Census Data'!$BR$6</definedName>
    <definedName name="AUH_CAT_B_above69_Dependent">'Census Data'!$BQ$7</definedName>
    <definedName name="AUH_CAT_B_above69_Employee">'Census Data'!$BP$7</definedName>
    <definedName name="AUH_CAT_B_above69_Maternity">'Census Data'!$BR$7</definedName>
    <definedName name="AUH_CAT_C_above69_Dependent">'Census Data'!$BQ$8</definedName>
    <definedName name="AUH_CAT_C_above69_Employee">'Census Data'!$BP$8</definedName>
    <definedName name="AUH_CAT_C_above69_Maternity">'Census Data'!$BR$8</definedName>
    <definedName name="AUH_Plan1">'Inputs Mapping'!$B$12:$B$13</definedName>
    <definedName name="AUH_Plan2">'Inputs Mapping'!$C$12:$C$13</definedName>
    <definedName name="AUH_Plan3">'Inputs Mapping'!$D$12:$D$13</definedName>
    <definedName name="AUHPharm1">'Inputs Mapping'!$O$19:$O$20</definedName>
    <definedName name="AUHPharm2">'Inputs Mapping'!$P$19:$P$20</definedName>
    <definedName name="AUHPharm3">'Inputs Mapping'!$Q$19:$Q$20</definedName>
    <definedName name="AUHPlan1">'Inputs Mapping'!$N$5:$N$7</definedName>
    <definedName name="AUHPlan2">'Inputs Mapping'!$O$5:$O$7</definedName>
    <definedName name="AUHPlan3">'Inputs Mapping'!$P$5:$P$6</definedName>
    <definedName name="BASMAH_FEE" localSheetId="3">'[1]input for formula'!$B$44</definedName>
    <definedName name="BASMAH_FEE">'input for formula'!$B$44</definedName>
    <definedName name="Broker_Commissions">Inputs!$H$17</definedName>
    <definedName name="check_min_per_cat">'Census Data'!$N$2</definedName>
    <definedName name="complete_plan_input">Inputs!$T$34</definedName>
    <definedName name="data_check">'Census Data'!$F$1</definedName>
    <definedName name="DHA_Report_Claims_Experience">Inputs!$C$7</definedName>
    <definedName name="DXB_CAT_A_above69">'Census Data'!$BO$6</definedName>
    <definedName name="DXB_CAT_B_above69">'Census Data'!$BO$7</definedName>
    <definedName name="DXB_CAT_C_above69">'Census Data'!$BO$8</definedName>
    <definedName name="DXBPharm1">'Inputs Mapping'!$J$19:$J$20</definedName>
    <definedName name="DXBPharm2">'Inputs Mapping'!$K$19:$K$20</definedName>
    <definedName name="DXBPharm3">'Inputs Mapping'!$L$19:$L$20</definedName>
    <definedName name="DXBPharm4">'Inputs Mapping'!$M$19:$M$20</definedName>
    <definedName name="DXBPharm5">'Inputs Mapping'!$N$19:$N$20</definedName>
    <definedName name="DXBPlan1">'Inputs Mapping'!$I$5:$I$8</definedName>
    <definedName name="DXBPlan2">'Inputs Mapping'!$J$5:$J$8</definedName>
    <definedName name="DXBPlan3">'Inputs Mapping'!$K$5:$K$6</definedName>
    <definedName name="DXBPlan4">'Inputs Mapping'!$L$5:$L$6</definedName>
    <definedName name="DXBPlan5">'Inputs Mapping'!$M$5:$M$6</definedName>
    <definedName name="eff_date" localSheetId="1">Inputs!$C$17</definedName>
    <definedName name="eff_date" localSheetId="3">[1]Inputs!$C$17</definedName>
    <definedName name="eff_date" localSheetId="2">Inputs!$C$17</definedName>
    <definedName name="eff_date">Inputs!$C$17</definedName>
    <definedName name="end_date" localSheetId="1">Inputs!$C$18</definedName>
    <definedName name="end_date" localSheetId="3">[1]Inputs!$C$18</definedName>
    <definedName name="end_date" localSheetId="2">Inputs!$C$18</definedName>
    <definedName name="end_date">Inputs!$C$18</definedName>
    <definedName name="General_Expenses">Inputs!$H$15</definedName>
    <definedName name="Group_Size" localSheetId="3">[1]Inputs!$C$19</definedName>
    <definedName name="Group_Size">Inputs!$C$19</definedName>
    <definedName name="ICP_FEE" localSheetId="3">'[1]input for formula'!$B$45</definedName>
    <definedName name="ICP_FEE">'input for formula'!$B$45</definedName>
    <definedName name="Loadings" localSheetId="3">[1]Loadings!$D$10</definedName>
    <definedName name="Loadings">Loadings!$D$10</definedName>
    <definedName name="Minimum_Employees">'Census Data'!$N$3</definedName>
    <definedName name="Nationality" localSheetId="3">'[1]Inputs Mapping'!$AF$5:$AF$199</definedName>
    <definedName name="Nationality">'Inputs Mapping'!$AF$5:$AF$199</definedName>
    <definedName name="Number_Of_CAT_AUH" localSheetId="3">'[1]Census Data'!$Y$1</definedName>
    <definedName name="Number_Of_CAT_AUH">'Census Data'!$Y$1</definedName>
    <definedName name="Number_Of_CAT_DXB" localSheetId="3">'[1]Census Data'!$X$1</definedName>
    <definedName name="Number_Of_CAT_DXB">'Census Data'!$X$1</definedName>
    <definedName name="Number_Of_Schemes_AUH" localSheetId="3">[1]Inputs!$C$21</definedName>
    <definedName name="Number_Of_Schemes_AUH">Inputs!$C$21</definedName>
    <definedName name="Number_Of_Schemes_Checking_AUH">Inputs!$V$34</definedName>
    <definedName name="Number_Of_Schemes_Checking_DXB">Inputs!$U$34</definedName>
    <definedName name="Number_Of_Schemes_DXB" localSheetId="3">[1]Inputs!$C$20</definedName>
    <definedName name="Number_Of_Schemes_DXB">Inputs!$C$20</definedName>
    <definedName name="Other_Broker_Checking">Inputs!$H$10</definedName>
    <definedName name="Picture_Place1">Inputs!$G$1</definedName>
    <definedName name="Picture_Place2">'Census Data'!$I$1</definedName>
    <definedName name="Picture_Place3">'Selected TOB DXB'!$B$1</definedName>
    <definedName name="Picture_Place4">'Selected TOB AUH'!$B$1</definedName>
    <definedName name="Picture_Place5">'Quotation for Dubai Plans'!$M$2</definedName>
    <definedName name="Picture_Place6">'Quotation for Abu Dhabi Plans'!$M$2</definedName>
    <definedName name="Plan1">'Inputs Mapping'!$B$4:$B$8</definedName>
    <definedName name="Plan2">'Inputs Mapping'!$C$4:$C$8</definedName>
    <definedName name="Plan3">'Inputs Mapping'!$D$6:$D$7</definedName>
    <definedName name="Plan4">'Inputs Mapping'!$E$7</definedName>
    <definedName name="Plan5">'Inputs Mapping'!$F$6:$F$8</definedName>
    <definedName name="Plan6">'Inputs Mapping'!$F$5:$F$8</definedName>
    <definedName name="Plans_AUH" localSheetId="17">input for [2]formula!$I$108:$I$110</definedName>
    <definedName name="Plans_AUH" localSheetId="1">'Inputs Mapping'!$A$12:$A$14</definedName>
    <definedName name="Plans_AUH" localSheetId="2">input for [2]formula!$I$108:$I$110</definedName>
    <definedName name="Plans_AUH">'Inputs Mapping'!$A$12:$A$14</definedName>
    <definedName name="Plans_DXB">'Inputs Mapping'!$A$4:$A$7</definedName>
    <definedName name="plans_dxb_new" localSheetId="17">input for [2]formula!$I$100:$I$104</definedName>
    <definedName name="plans_dxb_new" localSheetId="1">Inputs [3]Mapping!$A$4:$A$8</definedName>
    <definedName name="plans_dxb_new" localSheetId="2">input for [2]formula!$I$100:$I$104</definedName>
    <definedName name="plans_dxb_new">'Inputs Mapping'!$A$4:$A$8</definedName>
    <definedName name="_xlnm.Print_Area" localSheetId="17">GAF!$A$1:$N$84</definedName>
    <definedName name="_xlnm.Print_Area" localSheetId="14">'Plans -Dubai &amp; Other Emirates'!$A$1:$G$59</definedName>
    <definedName name="_xlnm.Print_Area" localSheetId="15">'Plans-Abudhabi &amp; Al Ain Emirate'!$A$1:$E$50</definedName>
    <definedName name="_xlnm.Print_Area" localSheetId="11">'Quotation for Abu Dhabi Plans'!$A$1:$U$75</definedName>
    <definedName name="_xlnm.Print_Area" localSheetId="10">'Quotation for Dubai Plans'!$A$1:$O$82</definedName>
    <definedName name="_xlnm.Print_Area" localSheetId="9">Rates!$A$1:$W$58</definedName>
    <definedName name="_xlnm.Print_Area" localSheetId="13">'Selected TOB AUH'!$B$1:$G$55</definedName>
    <definedName name="_xlnm.Print_Area" localSheetId="12">'Selected TOB DXB'!$B$1:$G$65</definedName>
    <definedName name="_xlnm.Print_Titles" localSheetId="14">'Plans -Dubai &amp; Other Emirates'!$1:$3</definedName>
    <definedName name="_xlnm.Print_Titles" localSheetId="15">'Plans-Abudhabi &amp; Al Ain Emirate'!$1:$3</definedName>
    <definedName name="_xlnm.Print_Titles" localSheetId="13">'Selected TOB AUH'!$B:$B,'Selected TOB AUH'!$8:$9</definedName>
    <definedName name="_xlnm.Print_Titles" localSheetId="12">'Selected TOB DXB'!$B:$B,'Selected TOB DXB'!$8:$9</definedName>
    <definedName name="RI_Margin" localSheetId="3">[1]Loadings!$D$19</definedName>
    <definedName name="RI_Margin">Loadings!$D$19</definedName>
    <definedName name="VAT" localSheetId="3">[1]Inputs!$H$21</definedName>
    <definedName name="VAT">Inputs!$H$21</definedName>
    <definedName name="Visa_Emirate" localSheetId="3">'[1]Inputs Mapping'!$AG$5:$AG$11</definedName>
    <definedName name="Visa_Emirate">'Inputs Mapping'!$AG$5:$AG$11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3" i="25" l="1"/>
  <c r="D64" i="25" s="1"/>
  <c r="D65" i="25" s="1"/>
  <c r="R56" i="25"/>
  <c r="B56" i="25"/>
  <c r="U55" i="25"/>
  <c r="T55" i="25"/>
  <c r="T56" i="25" s="1"/>
  <c r="E55" i="25"/>
  <c r="D55" i="25"/>
  <c r="B52" i="25"/>
  <c r="R50" i="25"/>
  <c r="B50" i="25"/>
  <c r="B51" i="25" s="1"/>
  <c r="R49" i="25"/>
  <c r="B49" i="25"/>
  <c r="R48" i="25"/>
  <c r="B48" i="25"/>
  <c r="T45" i="25"/>
  <c r="R45" i="25"/>
  <c r="D45" i="25"/>
  <c r="C45" i="25"/>
  <c r="S45" i="25" s="1"/>
  <c r="R44" i="25"/>
  <c r="D44" i="25"/>
  <c r="T44" i="25" s="1"/>
  <c r="C44" i="25"/>
  <c r="S44" i="25" s="1"/>
  <c r="V41" i="25"/>
  <c r="E41" i="25"/>
  <c r="T40" i="25"/>
  <c r="D40" i="25"/>
  <c r="S39" i="25"/>
  <c r="C39" i="25"/>
  <c r="T34" i="25" l="1"/>
  <c r="E30" i="25"/>
  <c r="C13" i="25"/>
  <c r="D10" i="25"/>
  <c r="S34" i="25"/>
  <c r="D30" i="25"/>
  <c r="B13" i="25"/>
  <c r="C10" i="25"/>
  <c r="R34" i="25"/>
  <c r="C30" i="25"/>
  <c r="F12" i="25"/>
  <c r="B10" i="25"/>
  <c r="N34" i="25"/>
  <c r="B30" i="25"/>
  <c r="E12" i="25"/>
  <c r="T9" i="25"/>
  <c r="D12" i="25"/>
  <c r="S9" i="25"/>
  <c r="L34" i="25"/>
  <c r="S29" i="25"/>
  <c r="C12" i="25"/>
  <c r="R9" i="25"/>
  <c r="K34" i="25"/>
  <c r="R29" i="25"/>
  <c r="F9" i="25"/>
  <c r="J34" i="25"/>
  <c r="F29" i="25"/>
  <c r="T11" i="25"/>
  <c r="E9" i="25"/>
  <c r="E29" i="25"/>
  <c r="D9" i="25"/>
  <c r="H34" i="25"/>
  <c r="R11" i="25"/>
  <c r="C9" i="25"/>
  <c r="G34" i="25"/>
  <c r="C29" i="25"/>
  <c r="F11" i="25"/>
  <c r="B9" i="25"/>
  <c r="F34" i="25"/>
  <c r="B29" i="25"/>
  <c r="E11" i="25"/>
  <c r="T8" i="25"/>
  <c r="E34" i="25"/>
  <c r="D11" i="25"/>
  <c r="S8" i="25"/>
  <c r="D34" i="25"/>
  <c r="C11" i="25"/>
  <c r="B11" i="25"/>
  <c r="Y34" i="25"/>
  <c r="B34" i="25"/>
  <c r="T10" i="25"/>
  <c r="S10" i="25"/>
  <c r="R10" i="25"/>
  <c r="V34" i="25"/>
  <c r="R30" i="25"/>
  <c r="E13" i="25"/>
  <c r="F10" i="25"/>
  <c r="B8" i="25"/>
  <c r="E10" i="25"/>
  <c r="T29" i="25"/>
  <c r="M34" i="25"/>
  <c r="B12" i="25"/>
  <c r="I34" i="25"/>
  <c r="S11" i="25"/>
  <c r="D29" i="25"/>
  <c r="F14" i="25"/>
  <c r="E14" i="25"/>
  <c r="R8" i="25"/>
  <c r="Z34" i="25"/>
  <c r="C34" i="25"/>
  <c r="D14" i="25"/>
  <c r="F8" i="25"/>
  <c r="C14" i="25"/>
  <c r="E8" i="25"/>
  <c r="X34" i="25"/>
  <c r="T30" i="25"/>
  <c r="B14" i="25"/>
  <c r="D8" i="25"/>
  <c r="W34" i="25"/>
  <c r="S30" i="25"/>
  <c r="F13" i="25"/>
  <c r="C8" i="25"/>
  <c r="U34" i="25"/>
  <c r="F30" i="25"/>
  <c r="D13" i="25"/>
  <c r="I63" i="2"/>
  <c r="I62" i="2"/>
  <c r="G23" i="10"/>
  <c r="F23" i="10"/>
  <c r="E23" i="10"/>
  <c r="D23" i="10"/>
  <c r="C23" i="10"/>
  <c r="B23" i="10"/>
  <c r="F19" i="31" l="1"/>
  <c r="D5" i="34" l="1"/>
  <c r="D8" i="26" s="1"/>
  <c r="D3" i="34"/>
  <c r="D6" i="26" s="1"/>
  <c r="D4" i="34"/>
  <c r="D7" i="26" s="1"/>
  <c r="D7" i="34" l="1"/>
  <c r="C47" i="1" l="1"/>
  <c r="B47" i="1"/>
  <c r="C57" i="2"/>
  <c r="B57" i="2"/>
  <c r="A21" i="33" l="1"/>
  <c r="D19" i="26" l="1"/>
  <c r="B45" i="10" l="1"/>
  <c r="Z16" i="23" l="1"/>
  <c r="Z14" i="23"/>
  <c r="Z12" i="23"/>
  <c r="Z9" i="23"/>
  <c r="C29" i="10" l="1"/>
  <c r="C30" i="10"/>
  <c r="C31" i="10"/>
  <c r="C32" i="10"/>
  <c r="C33" i="10"/>
  <c r="C34" i="10"/>
  <c r="C35" i="10"/>
  <c r="C36" i="10"/>
  <c r="C37" i="10"/>
  <c r="C38" i="10"/>
  <c r="C39" i="10"/>
  <c r="C40" i="10"/>
  <c r="C41" i="10"/>
  <c r="C28" i="10"/>
  <c r="B29" i="10"/>
  <c r="B30" i="10"/>
  <c r="B31" i="10"/>
  <c r="B32" i="10"/>
  <c r="B33" i="10"/>
  <c r="B34" i="10"/>
  <c r="B35" i="10"/>
  <c r="B36" i="10"/>
  <c r="B37" i="10"/>
  <c r="B38" i="10"/>
  <c r="B39" i="10"/>
  <c r="B40" i="10"/>
  <c r="B41" i="10"/>
  <c r="B28" i="10"/>
  <c r="I20" i="10"/>
  <c r="H20" i="10"/>
  <c r="G20" i="10"/>
  <c r="I19" i="10"/>
  <c r="H19" i="10"/>
  <c r="G19" i="10"/>
  <c r="I18" i="10"/>
  <c r="H18" i="10"/>
  <c r="G18" i="10"/>
  <c r="F20" i="10"/>
  <c r="E20" i="10"/>
  <c r="D20" i="10"/>
  <c r="C20" i="10"/>
  <c r="B20" i="10"/>
  <c r="F19" i="10"/>
  <c r="E19" i="10"/>
  <c r="D19" i="10"/>
  <c r="C19" i="10"/>
  <c r="B19" i="10"/>
  <c r="F18" i="10"/>
  <c r="E18" i="10"/>
  <c r="D18" i="10"/>
  <c r="C18" i="10"/>
  <c r="B18" i="10"/>
  <c r="K7" i="10"/>
  <c r="O7" i="10" s="1"/>
  <c r="J7" i="10"/>
  <c r="N7" i="10" s="1"/>
  <c r="I7" i="10"/>
  <c r="M7" i="10" s="1"/>
  <c r="K6" i="10"/>
  <c r="O6" i="10" s="1"/>
  <c r="J6" i="10"/>
  <c r="N6" i="10" s="1"/>
  <c r="I6" i="10"/>
  <c r="M6" i="10" s="1"/>
  <c r="K5" i="10"/>
  <c r="O5" i="10" s="1"/>
  <c r="J5" i="10"/>
  <c r="N5" i="10" s="1"/>
  <c r="I5" i="10"/>
  <c r="M5" i="10" s="1"/>
  <c r="K4" i="10"/>
  <c r="O4" i="10" s="1"/>
  <c r="J4" i="10"/>
  <c r="N4" i="10" s="1"/>
  <c r="I4" i="10"/>
  <c r="M4" i="10" s="1"/>
  <c r="F10" i="10"/>
  <c r="E10" i="10"/>
  <c r="D10" i="10"/>
  <c r="C10" i="10"/>
  <c r="B10" i="10"/>
  <c r="F9" i="10"/>
  <c r="E9" i="10"/>
  <c r="D9" i="10"/>
  <c r="C9" i="10"/>
  <c r="B9" i="10"/>
  <c r="F8" i="10"/>
  <c r="E8" i="10"/>
  <c r="D8" i="10"/>
  <c r="C8" i="10"/>
  <c r="B8" i="10"/>
  <c r="F7" i="10"/>
  <c r="E7" i="10"/>
  <c r="D7" i="10"/>
  <c r="C7" i="10"/>
  <c r="B7" i="10"/>
  <c r="F6" i="10"/>
  <c r="E6" i="10"/>
  <c r="D6" i="10"/>
  <c r="C6" i="10"/>
  <c r="B6" i="10"/>
  <c r="F5" i="10"/>
  <c r="E5" i="10"/>
  <c r="D5" i="10"/>
  <c r="C5" i="10"/>
  <c r="B5" i="10"/>
  <c r="F4" i="10"/>
  <c r="E4" i="10"/>
  <c r="D4" i="10"/>
  <c r="C4" i="10"/>
  <c r="B4" i="10"/>
  <c r="AE7" i="8" l="1"/>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6" i="8"/>
  <c r="D73" i="5"/>
  <c r="D74" i="5"/>
  <c r="C76" i="5"/>
  <c r="E79" i="5"/>
  <c r="E78" i="5"/>
  <c r="E77" i="5"/>
  <c r="E76" i="5"/>
  <c r="E75" i="5"/>
  <c r="E74" i="5"/>
  <c r="E73" i="5"/>
  <c r="D79" i="5"/>
  <c r="D78" i="5"/>
  <c r="D77" i="5"/>
  <c r="D76" i="5"/>
  <c r="D75" i="5"/>
  <c r="C79" i="5"/>
  <c r="C78" i="5"/>
  <c r="C77" i="5"/>
  <c r="C75" i="5"/>
  <c r="C74" i="5"/>
  <c r="C73" i="5"/>
  <c r="F36" i="10"/>
  <c r="AA310" i="8" l="1"/>
  <c r="AA309" i="8"/>
  <c r="AA308" i="8"/>
  <c r="AA307" i="8"/>
  <c r="AA306" i="8"/>
  <c r="AA305" i="8"/>
  <c r="AA304" i="8"/>
  <c r="AA303" i="8"/>
  <c r="AA302" i="8"/>
  <c r="AA301" i="8"/>
  <c r="AA300" i="8"/>
  <c r="AA299" i="8"/>
  <c r="AA298" i="8"/>
  <c r="AA297" i="8"/>
  <c r="AA296" i="8"/>
  <c r="AA295" i="8"/>
  <c r="AA294" i="8"/>
  <c r="AA293" i="8"/>
  <c r="AA292" i="8"/>
  <c r="AA291" i="8"/>
  <c r="AA290" i="8"/>
  <c r="AA289" i="8"/>
  <c r="AA288" i="8"/>
  <c r="AA287" i="8"/>
  <c r="AA286" i="8"/>
  <c r="AA285" i="8"/>
  <c r="AA284" i="8"/>
  <c r="AA283" i="8"/>
  <c r="AA282" i="8"/>
  <c r="AA281" i="8"/>
  <c r="AA280" i="8"/>
  <c r="AA279" i="8"/>
  <c r="AA278" i="8"/>
  <c r="AA277" i="8"/>
  <c r="AA276" i="8"/>
  <c r="AA275" i="8"/>
  <c r="AA274" i="8"/>
  <c r="AA273" i="8"/>
  <c r="AA272" i="8"/>
  <c r="AA271" i="8"/>
  <c r="AA270" i="8"/>
  <c r="AA269" i="8"/>
  <c r="AA268" i="8"/>
  <c r="AA267" i="8"/>
  <c r="AA266" i="8"/>
  <c r="AA265" i="8"/>
  <c r="AA264" i="8"/>
  <c r="AA263" i="8"/>
  <c r="AA262" i="8"/>
  <c r="AA261" i="8"/>
  <c r="AA260" i="8"/>
  <c r="AA259" i="8"/>
  <c r="AA258" i="8"/>
  <c r="AA257" i="8"/>
  <c r="AA256" i="8"/>
  <c r="AA255" i="8"/>
  <c r="AA254" i="8"/>
  <c r="AA253" i="8"/>
  <c r="AA252" i="8"/>
  <c r="AA251" i="8"/>
  <c r="AA250" i="8"/>
  <c r="AA249" i="8"/>
  <c r="AA248" i="8"/>
  <c r="AA247" i="8"/>
  <c r="AA246" i="8"/>
  <c r="AA245" i="8"/>
  <c r="AA244" i="8"/>
  <c r="AA243" i="8"/>
  <c r="AA242" i="8"/>
  <c r="AA241" i="8"/>
  <c r="AA240" i="8"/>
  <c r="AA239" i="8"/>
  <c r="AA238" i="8"/>
  <c r="AA237" i="8"/>
  <c r="AA236" i="8"/>
  <c r="AA235" i="8"/>
  <c r="AA234" i="8"/>
  <c r="AA233" i="8"/>
  <c r="AA232" i="8"/>
  <c r="AA231" i="8"/>
  <c r="AA230" i="8"/>
  <c r="AA229" i="8"/>
  <c r="AA228" i="8"/>
  <c r="AA227" i="8"/>
  <c r="AA226" i="8"/>
  <c r="AA225" i="8"/>
  <c r="AA224" i="8"/>
  <c r="AA223" i="8"/>
  <c r="AA222" i="8"/>
  <c r="AA221" i="8"/>
  <c r="AA220" i="8"/>
  <c r="AA219" i="8"/>
  <c r="AA218" i="8"/>
  <c r="AA217" i="8"/>
  <c r="AA216" i="8"/>
  <c r="AA215" i="8"/>
  <c r="AA214" i="8"/>
  <c r="AA213" i="8"/>
  <c r="AA212" i="8"/>
  <c r="AA211" i="8"/>
  <c r="AA210" i="8"/>
  <c r="AA209" i="8"/>
  <c r="AA208" i="8"/>
  <c r="AA207" i="8"/>
  <c r="AA206" i="8"/>
  <c r="AA205" i="8"/>
  <c r="AA204" i="8"/>
  <c r="AA203" i="8"/>
  <c r="AA202" i="8"/>
  <c r="AA201" i="8"/>
  <c r="AA200" i="8"/>
  <c r="AA199" i="8"/>
  <c r="AA198" i="8"/>
  <c r="AA197" i="8"/>
  <c r="AA196" i="8"/>
  <c r="AA195" i="8"/>
  <c r="AA194" i="8"/>
  <c r="AA193" i="8"/>
  <c r="AA192" i="8"/>
  <c r="AA191" i="8"/>
  <c r="AA190" i="8"/>
  <c r="AA189" i="8"/>
  <c r="AA188" i="8"/>
  <c r="AA187" i="8"/>
  <c r="AA186" i="8"/>
  <c r="AA185" i="8"/>
  <c r="AA184" i="8"/>
  <c r="AA183" i="8"/>
  <c r="AA182" i="8"/>
  <c r="AA181" i="8"/>
  <c r="AA180" i="8"/>
  <c r="AA179" i="8"/>
  <c r="AA178" i="8"/>
  <c r="AA177" i="8"/>
  <c r="AA176" i="8"/>
  <c r="AA175" i="8"/>
  <c r="AA174" i="8"/>
  <c r="AA173" i="8"/>
  <c r="AA172" i="8"/>
  <c r="AA171" i="8"/>
  <c r="AA170" i="8"/>
  <c r="AA169" i="8"/>
  <c r="AA168" i="8"/>
  <c r="AA167" i="8"/>
  <c r="AA166" i="8"/>
  <c r="AA165" i="8"/>
  <c r="AA164" i="8"/>
  <c r="AA163" i="8"/>
  <c r="AA162" i="8"/>
  <c r="AA161" i="8"/>
  <c r="AA160" i="8"/>
  <c r="AA159" i="8"/>
  <c r="AA158" i="8"/>
  <c r="AA157" i="8"/>
  <c r="AA156" i="8"/>
  <c r="AA155" i="8"/>
  <c r="AA154" i="8"/>
  <c r="AA153" i="8"/>
  <c r="AA152" i="8"/>
  <c r="AA151" i="8"/>
  <c r="AA150" i="8"/>
  <c r="AA149" i="8"/>
  <c r="AA148" i="8"/>
  <c r="AA147" i="8"/>
  <c r="AA146" i="8"/>
  <c r="AA145" i="8"/>
  <c r="AA144" i="8"/>
  <c r="AA143" i="8"/>
  <c r="AA142" i="8"/>
  <c r="AA141" i="8"/>
  <c r="AA140" i="8"/>
  <c r="AA139" i="8"/>
  <c r="AA138" i="8"/>
  <c r="AA137" i="8"/>
  <c r="AA136" i="8"/>
  <c r="AA135" i="8"/>
  <c r="AA134" i="8"/>
  <c r="AA133" i="8"/>
  <c r="AA132" i="8"/>
  <c r="AA131" i="8"/>
  <c r="AA130" i="8"/>
  <c r="AA129" i="8"/>
  <c r="AA128" i="8"/>
  <c r="AA127" i="8"/>
  <c r="AA126" i="8"/>
  <c r="AA125" i="8"/>
  <c r="AA124" i="8"/>
  <c r="AA123" i="8"/>
  <c r="AA122" i="8"/>
  <c r="AA121" i="8"/>
  <c r="AA120" i="8"/>
  <c r="AA119" i="8"/>
  <c r="AA118" i="8"/>
  <c r="AA117" i="8"/>
  <c r="AA116" i="8"/>
  <c r="AA115" i="8"/>
  <c r="AA114" i="8"/>
  <c r="AA113" i="8"/>
  <c r="AA112" i="8"/>
  <c r="AA111" i="8"/>
  <c r="AA110" i="8"/>
  <c r="AA109" i="8"/>
  <c r="AA108" i="8"/>
  <c r="AA107" i="8"/>
  <c r="AA106" i="8"/>
  <c r="AA105" i="8"/>
  <c r="AA104" i="8"/>
  <c r="AA103" i="8"/>
  <c r="AA102" i="8"/>
  <c r="AA101" i="8"/>
  <c r="AA100" i="8"/>
  <c r="AA99" i="8"/>
  <c r="AA98" i="8"/>
  <c r="AA97" i="8"/>
  <c r="AA96" i="8"/>
  <c r="AA95" i="8"/>
  <c r="AA94" i="8"/>
  <c r="AA93" i="8"/>
  <c r="AA92" i="8"/>
  <c r="AA91" i="8"/>
  <c r="AA90" i="8"/>
  <c r="AA89" i="8"/>
  <c r="AA88" i="8"/>
  <c r="AA87" i="8"/>
  <c r="AA86" i="8"/>
  <c r="AA85" i="8"/>
  <c r="AA84" i="8"/>
  <c r="AA83" i="8"/>
  <c r="AA82" i="8"/>
  <c r="AA81" i="8"/>
  <c r="AA80" i="8"/>
  <c r="AA79" i="8"/>
  <c r="AA78" i="8"/>
  <c r="AA77" i="8"/>
  <c r="AA76" i="8"/>
  <c r="AA75" i="8"/>
  <c r="AA74" i="8"/>
  <c r="AA73" i="8"/>
  <c r="AA72" i="8"/>
  <c r="AA71" i="8"/>
  <c r="AA70" i="8"/>
  <c r="AA69" i="8"/>
  <c r="AA68" i="8"/>
  <c r="AA67" i="8"/>
  <c r="AA66" i="8"/>
  <c r="AA65" i="8"/>
  <c r="AA64" i="8"/>
  <c r="AA63" i="8"/>
  <c r="AA62" i="8"/>
  <c r="AA61" i="8"/>
  <c r="AA60" i="8"/>
  <c r="AA59" i="8"/>
  <c r="AA58" i="8"/>
  <c r="AA57" i="8"/>
  <c r="AA56" i="8"/>
  <c r="AA55" i="8"/>
  <c r="AA54" i="8"/>
  <c r="AA53" i="8"/>
  <c r="AA52" i="8"/>
  <c r="AA51" i="8"/>
  <c r="AA50" i="8"/>
  <c r="AA49" i="8"/>
  <c r="AA48" i="8"/>
  <c r="AA47" i="8"/>
  <c r="AA46" i="8"/>
  <c r="AA45" i="8"/>
  <c r="AA44" i="8"/>
  <c r="AA43" i="8"/>
  <c r="AA42" i="8"/>
  <c r="AA41" i="8"/>
  <c r="AA40" i="8"/>
  <c r="AA39" i="8"/>
  <c r="AA38" i="8"/>
  <c r="AA37" i="8"/>
  <c r="AA36" i="8"/>
  <c r="AA35" i="8"/>
  <c r="AA34" i="8"/>
  <c r="AA33" i="8"/>
  <c r="AA32" i="8"/>
  <c r="AA31" i="8"/>
  <c r="AA30" i="8"/>
  <c r="AA29" i="8"/>
  <c r="AA28" i="8"/>
  <c r="AA27" i="8"/>
  <c r="AA26" i="8"/>
  <c r="AA25" i="8"/>
  <c r="AA24" i="8"/>
  <c r="AA23" i="8"/>
  <c r="AA22" i="8"/>
  <c r="AA21" i="8"/>
  <c r="AA20" i="8"/>
  <c r="AA19" i="8"/>
  <c r="AA18" i="8"/>
  <c r="AA17" i="8"/>
  <c r="AA16" i="8"/>
  <c r="AA15" i="8"/>
  <c r="AA14" i="8"/>
  <c r="AA13" i="8"/>
  <c r="AA12" i="8"/>
  <c r="AA11" i="8"/>
  <c r="AA10" i="8"/>
  <c r="AA9" i="8"/>
  <c r="AA8" i="8"/>
  <c r="AA7" i="8"/>
  <c r="AA6" i="8"/>
  <c r="D8" i="5" l="1"/>
  <c r="B44" i="10"/>
  <c r="O13" i="11" s="1"/>
  <c r="J8" i="8"/>
  <c r="AC8" i="8" s="1"/>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C205" i="8"/>
  <c r="BC204" i="8"/>
  <c r="BC203" i="8"/>
  <c r="BC202" i="8"/>
  <c r="BC201" i="8"/>
  <c r="BC200" i="8"/>
  <c r="BC199" i="8"/>
  <c r="BC198" i="8"/>
  <c r="BC197" i="8"/>
  <c r="BC196" i="8"/>
  <c r="BC195" i="8"/>
  <c r="BC194" i="8"/>
  <c r="BC193" i="8"/>
  <c r="BC192" i="8"/>
  <c r="BC191" i="8"/>
  <c r="BC190" i="8"/>
  <c r="BC189" i="8"/>
  <c r="BC188" i="8"/>
  <c r="BC187" i="8"/>
  <c r="BC186" i="8"/>
  <c r="BC185" i="8"/>
  <c r="BC184" i="8"/>
  <c r="BC183" i="8"/>
  <c r="BC182" i="8"/>
  <c r="BC181" i="8"/>
  <c r="BC180" i="8"/>
  <c r="BC179" i="8"/>
  <c r="BC178" i="8"/>
  <c r="BC177" i="8"/>
  <c r="BC176" i="8"/>
  <c r="BC175" i="8"/>
  <c r="BC174" i="8"/>
  <c r="BC173" i="8"/>
  <c r="BC172" i="8"/>
  <c r="BC171" i="8"/>
  <c r="BC170" i="8"/>
  <c r="BC169" i="8"/>
  <c r="BC168" i="8"/>
  <c r="BC167" i="8"/>
  <c r="BC166" i="8"/>
  <c r="BC165" i="8"/>
  <c r="BC164" i="8"/>
  <c r="BC163" i="8"/>
  <c r="BC162" i="8"/>
  <c r="BC161" i="8"/>
  <c r="BC160" i="8"/>
  <c r="BC159" i="8"/>
  <c r="BC158" i="8"/>
  <c r="BC157" i="8"/>
  <c r="BC156" i="8"/>
  <c r="BC155" i="8"/>
  <c r="BC154" i="8"/>
  <c r="BC153" i="8"/>
  <c r="BC152" i="8"/>
  <c r="BC151" i="8"/>
  <c r="BC150" i="8"/>
  <c r="BC149" i="8"/>
  <c r="BC148" i="8"/>
  <c r="BC147" i="8"/>
  <c r="BC146" i="8"/>
  <c r="BC145" i="8"/>
  <c r="BC144" i="8"/>
  <c r="BC143" i="8"/>
  <c r="BC142" i="8"/>
  <c r="BC141" i="8"/>
  <c r="BC140" i="8"/>
  <c r="BC139" i="8"/>
  <c r="BC138" i="8"/>
  <c r="BC137" i="8"/>
  <c r="BC136" i="8"/>
  <c r="BC135" i="8"/>
  <c r="BC134" i="8"/>
  <c r="BC133" i="8"/>
  <c r="BC132" i="8"/>
  <c r="BC131" i="8"/>
  <c r="BC130" i="8"/>
  <c r="BC129" i="8"/>
  <c r="BC128" i="8"/>
  <c r="BC127" i="8"/>
  <c r="BC126" i="8"/>
  <c r="BC125" i="8"/>
  <c r="BC124" i="8"/>
  <c r="BC123" i="8"/>
  <c r="BC122" i="8"/>
  <c r="BC121" i="8"/>
  <c r="BC120" i="8"/>
  <c r="BC119" i="8"/>
  <c r="BC118" i="8"/>
  <c r="BC117" i="8"/>
  <c r="BC116" i="8"/>
  <c r="BC115" i="8"/>
  <c r="BC114" i="8"/>
  <c r="BC113" i="8"/>
  <c r="BC112" i="8"/>
  <c r="BC111" i="8"/>
  <c r="BC110" i="8"/>
  <c r="BC109" i="8"/>
  <c r="BC108" i="8"/>
  <c r="BC107" i="8"/>
  <c r="BC106" i="8"/>
  <c r="BC105" i="8"/>
  <c r="BC104" i="8"/>
  <c r="BC103" i="8"/>
  <c r="BC102" i="8"/>
  <c r="BC101" i="8"/>
  <c r="BC100" i="8"/>
  <c r="BC99" i="8"/>
  <c r="BC98" i="8"/>
  <c r="BC97" i="8"/>
  <c r="BC96" i="8"/>
  <c r="BC95" i="8"/>
  <c r="BC94" i="8"/>
  <c r="BC93" i="8"/>
  <c r="BC92" i="8"/>
  <c r="BC91" i="8"/>
  <c r="BC90" i="8"/>
  <c r="BC89" i="8"/>
  <c r="BC88" i="8"/>
  <c r="BC87" i="8"/>
  <c r="BC86" i="8"/>
  <c r="BC85" i="8"/>
  <c r="BC84" i="8"/>
  <c r="BC83" i="8"/>
  <c r="BC82" i="8"/>
  <c r="BC81"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A205" i="8"/>
  <c r="BA204" i="8"/>
  <c r="BA203" i="8"/>
  <c r="BA202" i="8"/>
  <c r="BA201" i="8"/>
  <c r="BA200" i="8"/>
  <c r="BA199" i="8"/>
  <c r="BA198" i="8"/>
  <c r="BA197" i="8"/>
  <c r="BA196" i="8"/>
  <c r="BA195" i="8"/>
  <c r="BA194" i="8"/>
  <c r="BA193" i="8"/>
  <c r="BA192" i="8"/>
  <c r="BA191" i="8"/>
  <c r="BA190" i="8"/>
  <c r="BA189" i="8"/>
  <c r="BA188" i="8"/>
  <c r="BA187" i="8"/>
  <c r="BA186" i="8"/>
  <c r="BA185" i="8"/>
  <c r="BA184" i="8"/>
  <c r="BA183" i="8"/>
  <c r="BA182" i="8"/>
  <c r="BA181" i="8"/>
  <c r="BA180" i="8"/>
  <c r="BA179" i="8"/>
  <c r="BA178" i="8"/>
  <c r="BA177" i="8"/>
  <c r="BA176" i="8"/>
  <c r="BA175" i="8"/>
  <c r="BA174" i="8"/>
  <c r="BA173" i="8"/>
  <c r="BA172" i="8"/>
  <c r="BA171" i="8"/>
  <c r="BA170" i="8"/>
  <c r="BA169" i="8"/>
  <c r="BA168" i="8"/>
  <c r="BA167" i="8"/>
  <c r="BA166" i="8"/>
  <c r="BA165" i="8"/>
  <c r="BA164" i="8"/>
  <c r="BA163" i="8"/>
  <c r="BA162" i="8"/>
  <c r="BA161" i="8"/>
  <c r="BA160" i="8"/>
  <c r="BA159" i="8"/>
  <c r="BA158" i="8"/>
  <c r="BA157" i="8"/>
  <c r="BA156" i="8"/>
  <c r="BA155" i="8"/>
  <c r="BA154" i="8"/>
  <c r="BA153" i="8"/>
  <c r="BA152" i="8"/>
  <c r="BA151" i="8"/>
  <c r="BA150" i="8"/>
  <c r="BA149" i="8"/>
  <c r="BA148" i="8"/>
  <c r="BA147" i="8"/>
  <c r="BA146" i="8"/>
  <c r="BA145" i="8"/>
  <c r="BA144" i="8"/>
  <c r="BA143" i="8"/>
  <c r="BA142" i="8"/>
  <c r="BA141" i="8"/>
  <c r="BA140" i="8"/>
  <c r="BA139" i="8"/>
  <c r="BA138" i="8"/>
  <c r="BA137" i="8"/>
  <c r="BA136" i="8"/>
  <c r="BA135" i="8"/>
  <c r="BA134" i="8"/>
  <c r="BA133" i="8"/>
  <c r="BA132" i="8"/>
  <c r="BA131" i="8"/>
  <c r="BA130" i="8"/>
  <c r="BA129" i="8"/>
  <c r="BA128" i="8"/>
  <c r="BA127" i="8"/>
  <c r="BA126" i="8"/>
  <c r="BA125" i="8"/>
  <c r="BA124" i="8"/>
  <c r="BA123" i="8"/>
  <c r="BA122" i="8"/>
  <c r="BA121" i="8"/>
  <c r="BA120" i="8"/>
  <c r="BA119" i="8"/>
  <c r="BA118" i="8"/>
  <c r="BA117" i="8"/>
  <c r="BA116" i="8"/>
  <c r="BA115" i="8"/>
  <c r="BA114" i="8"/>
  <c r="BA113" i="8"/>
  <c r="BA112" i="8"/>
  <c r="BA111" i="8"/>
  <c r="BA110" i="8"/>
  <c r="BA109" i="8"/>
  <c r="BA108" i="8"/>
  <c r="BA107" i="8"/>
  <c r="BA106" i="8"/>
  <c r="BA105" i="8"/>
  <c r="BA104" i="8"/>
  <c r="BA103" i="8"/>
  <c r="BA102" i="8"/>
  <c r="BA101" i="8"/>
  <c r="BA100" i="8"/>
  <c r="BA99" i="8"/>
  <c r="BA98" i="8"/>
  <c r="BA97" i="8"/>
  <c r="BA96" i="8"/>
  <c r="BA95" i="8"/>
  <c r="BA94" i="8"/>
  <c r="BA93" i="8"/>
  <c r="BA92" i="8"/>
  <c r="BA91" i="8"/>
  <c r="BA90" i="8"/>
  <c r="BA89" i="8"/>
  <c r="BA88" i="8"/>
  <c r="BA87" i="8"/>
  <c r="BA86" i="8"/>
  <c r="BA85" i="8"/>
  <c r="BA84" i="8"/>
  <c r="BA83" i="8"/>
  <c r="BA82" i="8"/>
  <c r="BA81"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M205" i="8"/>
  <c r="AM204" i="8"/>
  <c r="AM203" i="8"/>
  <c r="AM202" i="8"/>
  <c r="AM201" i="8"/>
  <c r="AM200" i="8"/>
  <c r="AM199" i="8"/>
  <c r="AM198" i="8"/>
  <c r="AM197" i="8"/>
  <c r="AM196" i="8"/>
  <c r="AM195" i="8"/>
  <c r="AM194" i="8"/>
  <c r="AM193" i="8"/>
  <c r="AM192" i="8"/>
  <c r="AM191" i="8"/>
  <c r="AM190" i="8"/>
  <c r="AM189" i="8"/>
  <c r="AM188" i="8"/>
  <c r="AM187" i="8"/>
  <c r="AM186" i="8"/>
  <c r="AM185" i="8"/>
  <c r="AM184" i="8"/>
  <c r="AM183" i="8"/>
  <c r="AM182" i="8"/>
  <c r="AM181" i="8"/>
  <c r="AM180" i="8"/>
  <c r="AM179" i="8"/>
  <c r="AM178" i="8"/>
  <c r="AM177" i="8"/>
  <c r="AM176" i="8"/>
  <c r="AM175" i="8"/>
  <c r="AM174" i="8"/>
  <c r="AM173" i="8"/>
  <c r="AM172" i="8"/>
  <c r="AM171" i="8"/>
  <c r="AM170" i="8"/>
  <c r="AM169" i="8"/>
  <c r="AM168" i="8"/>
  <c r="AM167" i="8"/>
  <c r="AM166" i="8"/>
  <c r="AM165" i="8"/>
  <c r="AM164" i="8"/>
  <c r="AM163" i="8"/>
  <c r="AM162" i="8"/>
  <c r="AM161" i="8"/>
  <c r="AM160" i="8"/>
  <c r="AM159" i="8"/>
  <c r="AM158" i="8"/>
  <c r="AM157" i="8"/>
  <c r="AM156" i="8"/>
  <c r="AM155" i="8"/>
  <c r="AM154" i="8"/>
  <c r="AM153" i="8"/>
  <c r="AM152" i="8"/>
  <c r="AM151" i="8"/>
  <c r="AM150" i="8"/>
  <c r="AM149" i="8"/>
  <c r="AM148" i="8"/>
  <c r="AM147" i="8"/>
  <c r="AM146" i="8"/>
  <c r="AM145" i="8"/>
  <c r="AM144" i="8"/>
  <c r="AM143" i="8"/>
  <c r="AM142" i="8"/>
  <c r="AM141" i="8"/>
  <c r="AM140" i="8"/>
  <c r="AM139" i="8"/>
  <c r="AM138" i="8"/>
  <c r="AM137" i="8"/>
  <c r="AM136" i="8"/>
  <c r="AM135" i="8"/>
  <c r="AM134" i="8"/>
  <c r="AM133" i="8"/>
  <c r="AM132" i="8"/>
  <c r="AM131" i="8"/>
  <c r="AM130" i="8"/>
  <c r="AM129" i="8"/>
  <c r="AM128" i="8"/>
  <c r="AM127" i="8"/>
  <c r="AM126" i="8"/>
  <c r="AM125" i="8"/>
  <c r="AM124" i="8"/>
  <c r="AM123" i="8"/>
  <c r="AM122" i="8"/>
  <c r="AM121" i="8"/>
  <c r="AM120" i="8"/>
  <c r="AM119" i="8"/>
  <c r="AM118" i="8"/>
  <c r="AM117" i="8"/>
  <c r="AM116" i="8"/>
  <c r="AM115" i="8"/>
  <c r="AM114" i="8"/>
  <c r="AM113" i="8"/>
  <c r="AM112" i="8"/>
  <c r="AM111" i="8"/>
  <c r="AM110" i="8"/>
  <c r="AM109" i="8"/>
  <c r="AM108" i="8"/>
  <c r="AM107" i="8"/>
  <c r="AM106" i="8"/>
  <c r="AM105" i="8"/>
  <c r="AM104" i="8"/>
  <c r="AM103" i="8"/>
  <c r="AM102" i="8"/>
  <c r="AM101" i="8"/>
  <c r="AM100" i="8"/>
  <c r="AM99" i="8"/>
  <c r="AM98" i="8"/>
  <c r="AM97" i="8"/>
  <c r="AM96" i="8"/>
  <c r="AM95" i="8"/>
  <c r="AM94" i="8"/>
  <c r="AM93" i="8"/>
  <c r="AM92" i="8"/>
  <c r="AM91" i="8"/>
  <c r="AM90" i="8"/>
  <c r="AM89" i="8"/>
  <c r="AM88" i="8"/>
  <c r="AM87" i="8"/>
  <c r="AM86" i="8"/>
  <c r="AM85" i="8"/>
  <c r="AM84" i="8"/>
  <c r="AM83" i="8"/>
  <c r="AM82" i="8"/>
  <c r="AM81" i="8"/>
  <c r="K205" i="8"/>
  <c r="R205" i="8" s="1"/>
  <c r="K204" i="8"/>
  <c r="R204" i="8" s="1"/>
  <c r="K203" i="8"/>
  <c r="R203" i="8" s="1"/>
  <c r="K202" i="8"/>
  <c r="R202" i="8" s="1"/>
  <c r="K201" i="8"/>
  <c r="R201" i="8" s="1"/>
  <c r="K200" i="8"/>
  <c r="R200" i="8" s="1"/>
  <c r="K199" i="8"/>
  <c r="R199" i="8" s="1"/>
  <c r="K198" i="8"/>
  <c r="R198" i="8" s="1"/>
  <c r="K197" i="8"/>
  <c r="R197" i="8" s="1"/>
  <c r="K196" i="8"/>
  <c r="R196" i="8" s="1"/>
  <c r="K195" i="8"/>
  <c r="R195" i="8" s="1"/>
  <c r="K194" i="8"/>
  <c r="R194" i="8" s="1"/>
  <c r="K193" i="8"/>
  <c r="R193" i="8" s="1"/>
  <c r="K192" i="8"/>
  <c r="R192" i="8" s="1"/>
  <c r="K191" i="8"/>
  <c r="R191" i="8" s="1"/>
  <c r="K190" i="8"/>
  <c r="R190" i="8" s="1"/>
  <c r="K189" i="8"/>
  <c r="R189" i="8" s="1"/>
  <c r="K188" i="8"/>
  <c r="R188" i="8" s="1"/>
  <c r="K187" i="8"/>
  <c r="R187" i="8" s="1"/>
  <c r="K186" i="8"/>
  <c r="R186" i="8" s="1"/>
  <c r="K185" i="8"/>
  <c r="R185" i="8" s="1"/>
  <c r="K184" i="8"/>
  <c r="R184" i="8" s="1"/>
  <c r="K183" i="8"/>
  <c r="R183" i="8" s="1"/>
  <c r="K182" i="8"/>
  <c r="R182" i="8" s="1"/>
  <c r="K181" i="8"/>
  <c r="R181" i="8" s="1"/>
  <c r="K180" i="8"/>
  <c r="R180" i="8" s="1"/>
  <c r="K179" i="8"/>
  <c r="R179" i="8" s="1"/>
  <c r="K178" i="8"/>
  <c r="R178" i="8" s="1"/>
  <c r="K177" i="8"/>
  <c r="R177" i="8" s="1"/>
  <c r="K176" i="8"/>
  <c r="R176" i="8" s="1"/>
  <c r="K175" i="8"/>
  <c r="R175" i="8" s="1"/>
  <c r="K174" i="8"/>
  <c r="R174" i="8" s="1"/>
  <c r="K173" i="8"/>
  <c r="R173" i="8" s="1"/>
  <c r="K172" i="8"/>
  <c r="R172" i="8" s="1"/>
  <c r="K171" i="8"/>
  <c r="R171" i="8" s="1"/>
  <c r="K170" i="8"/>
  <c r="R170" i="8" s="1"/>
  <c r="K169" i="8"/>
  <c r="R169" i="8" s="1"/>
  <c r="K168" i="8"/>
  <c r="R168" i="8" s="1"/>
  <c r="K167" i="8"/>
  <c r="R167" i="8" s="1"/>
  <c r="K166" i="8"/>
  <c r="R166" i="8" s="1"/>
  <c r="K165" i="8"/>
  <c r="R165" i="8" s="1"/>
  <c r="K164" i="8"/>
  <c r="R164" i="8" s="1"/>
  <c r="K163" i="8"/>
  <c r="R163" i="8" s="1"/>
  <c r="K162" i="8"/>
  <c r="R162" i="8" s="1"/>
  <c r="K161" i="8"/>
  <c r="R161" i="8" s="1"/>
  <c r="K160" i="8"/>
  <c r="R160" i="8" s="1"/>
  <c r="K159" i="8"/>
  <c r="R159" i="8" s="1"/>
  <c r="K158" i="8"/>
  <c r="R158" i="8" s="1"/>
  <c r="K157" i="8"/>
  <c r="R157" i="8" s="1"/>
  <c r="K156" i="8"/>
  <c r="R156" i="8" s="1"/>
  <c r="K155" i="8"/>
  <c r="R155" i="8" s="1"/>
  <c r="K154" i="8"/>
  <c r="R154" i="8" s="1"/>
  <c r="K153" i="8"/>
  <c r="R153" i="8" s="1"/>
  <c r="K152" i="8"/>
  <c r="R152" i="8" s="1"/>
  <c r="K151" i="8"/>
  <c r="R151" i="8" s="1"/>
  <c r="K150" i="8"/>
  <c r="R150" i="8" s="1"/>
  <c r="K149" i="8"/>
  <c r="R149" i="8" s="1"/>
  <c r="K148" i="8"/>
  <c r="R148" i="8" s="1"/>
  <c r="K147" i="8"/>
  <c r="R147" i="8" s="1"/>
  <c r="K146" i="8"/>
  <c r="R146" i="8" s="1"/>
  <c r="K145" i="8"/>
  <c r="R145" i="8" s="1"/>
  <c r="K144" i="8"/>
  <c r="R144" i="8" s="1"/>
  <c r="K143" i="8"/>
  <c r="R143" i="8" s="1"/>
  <c r="K142" i="8"/>
  <c r="R142" i="8" s="1"/>
  <c r="K141" i="8"/>
  <c r="R141" i="8" s="1"/>
  <c r="K140" i="8"/>
  <c r="R140" i="8" s="1"/>
  <c r="K139" i="8"/>
  <c r="R139" i="8" s="1"/>
  <c r="K138" i="8"/>
  <c r="R138" i="8" s="1"/>
  <c r="K137" i="8"/>
  <c r="R137" i="8" s="1"/>
  <c r="K136" i="8"/>
  <c r="R136" i="8" s="1"/>
  <c r="K135" i="8"/>
  <c r="R135" i="8" s="1"/>
  <c r="K134" i="8"/>
  <c r="R134" i="8" s="1"/>
  <c r="K133" i="8"/>
  <c r="R133" i="8" s="1"/>
  <c r="K132" i="8"/>
  <c r="R132" i="8" s="1"/>
  <c r="K131" i="8"/>
  <c r="R131" i="8" s="1"/>
  <c r="K130" i="8"/>
  <c r="R130" i="8" s="1"/>
  <c r="K129" i="8"/>
  <c r="R129" i="8" s="1"/>
  <c r="K128" i="8"/>
  <c r="R128" i="8" s="1"/>
  <c r="K127" i="8"/>
  <c r="R127" i="8" s="1"/>
  <c r="K126" i="8"/>
  <c r="R126" i="8" s="1"/>
  <c r="K125" i="8"/>
  <c r="R125" i="8" s="1"/>
  <c r="K124" i="8"/>
  <c r="R124" i="8" s="1"/>
  <c r="K123" i="8"/>
  <c r="R123" i="8" s="1"/>
  <c r="K122" i="8"/>
  <c r="R122" i="8" s="1"/>
  <c r="K121" i="8"/>
  <c r="R121" i="8" s="1"/>
  <c r="K120" i="8"/>
  <c r="R120" i="8" s="1"/>
  <c r="K119" i="8"/>
  <c r="R119" i="8" s="1"/>
  <c r="K118" i="8"/>
  <c r="R118" i="8" s="1"/>
  <c r="K117" i="8"/>
  <c r="R117" i="8" s="1"/>
  <c r="K116" i="8"/>
  <c r="R116" i="8" s="1"/>
  <c r="K115" i="8"/>
  <c r="R115" i="8" s="1"/>
  <c r="K114" i="8"/>
  <c r="R114" i="8" s="1"/>
  <c r="K113" i="8"/>
  <c r="R113" i="8" s="1"/>
  <c r="K112" i="8"/>
  <c r="R112" i="8" s="1"/>
  <c r="K111" i="8"/>
  <c r="R111" i="8" s="1"/>
  <c r="K110" i="8"/>
  <c r="R110" i="8" s="1"/>
  <c r="K109" i="8"/>
  <c r="R109" i="8" s="1"/>
  <c r="K108" i="8"/>
  <c r="R108" i="8" s="1"/>
  <c r="K107" i="8"/>
  <c r="R107" i="8" s="1"/>
  <c r="K106" i="8"/>
  <c r="R106" i="8" s="1"/>
  <c r="K105" i="8"/>
  <c r="R105" i="8" s="1"/>
  <c r="K104" i="8"/>
  <c r="R104" i="8" s="1"/>
  <c r="K103" i="8"/>
  <c r="R103" i="8" s="1"/>
  <c r="K102" i="8"/>
  <c r="R102" i="8" s="1"/>
  <c r="K101" i="8"/>
  <c r="R101" i="8" s="1"/>
  <c r="K100" i="8"/>
  <c r="R100" i="8" s="1"/>
  <c r="K99" i="8"/>
  <c r="R99" i="8" s="1"/>
  <c r="K98" i="8"/>
  <c r="R98" i="8" s="1"/>
  <c r="K97" i="8"/>
  <c r="R97" i="8" s="1"/>
  <c r="K96" i="8"/>
  <c r="R96" i="8" s="1"/>
  <c r="K95" i="8"/>
  <c r="R95" i="8" s="1"/>
  <c r="K94" i="8"/>
  <c r="R94" i="8" s="1"/>
  <c r="K93" i="8"/>
  <c r="R93" i="8" s="1"/>
  <c r="K92" i="8"/>
  <c r="R92" i="8" s="1"/>
  <c r="K91" i="8"/>
  <c r="R91" i="8" s="1"/>
  <c r="K90" i="8"/>
  <c r="R90" i="8" s="1"/>
  <c r="K89" i="8"/>
  <c r="R89" i="8" s="1"/>
  <c r="K88" i="8"/>
  <c r="R88" i="8" s="1"/>
  <c r="K87" i="8"/>
  <c r="R87" i="8" s="1"/>
  <c r="K86" i="8"/>
  <c r="R86" i="8" s="1"/>
  <c r="K85" i="8"/>
  <c r="R85" i="8" s="1"/>
  <c r="K84" i="8"/>
  <c r="R84" i="8" s="1"/>
  <c r="K83" i="8"/>
  <c r="R83" i="8" s="1"/>
  <c r="K82" i="8"/>
  <c r="R82" i="8" s="1"/>
  <c r="K81" i="8"/>
  <c r="R81" i="8" s="1"/>
  <c r="BD9" i="8"/>
  <c r="BD10" i="8"/>
  <c r="AM11" i="8"/>
  <c r="BJ11" i="8" s="1"/>
  <c r="AM12" i="8"/>
  <c r="BJ12" i="8" s="1"/>
  <c r="AH13" i="8"/>
  <c r="BB14" i="8"/>
  <c r="AH15" i="8"/>
  <c r="AM16" i="8"/>
  <c r="BJ16" i="8" s="1"/>
  <c r="AM17" i="8"/>
  <c r="BJ17" i="8" s="1"/>
  <c r="AH19" i="8"/>
  <c r="BD21" i="8"/>
  <c r="BD22" i="8"/>
  <c r="AM23" i="8"/>
  <c r="BJ23" i="8" s="1"/>
  <c r="AM24" i="8"/>
  <c r="BJ24" i="8" s="1"/>
  <c r="BC25" i="8"/>
  <c r="AM26" i="8"/>
  <c r="BJ26" i="8" s="1"/>
  <c r="AH27" i="8"/>
  <c r="K28" i="8"/>
  <c r="R28" i="8" s="1"/>
  <c r="BD29" i="8"/>
  <c r="AH30" i="8"/>
  <c r="AM31" i="8"/>
  <c r="BJ31" i="8" s="1"/>
  <c r="BB32" i="8"/>
  <c r="BD33" i="8"/>
  <c r="BD34" i="8"/>
  <c r="AM35" i="8"/>
  <c r="BJ35" i="8" s="1"/>
  <c r="AH36" i="8"/>
  <c r="AH37" i="8"/>
  <c r="AH38" i="8"/>
  <c r="AH39" i="8"/>
  <c r="BC40" i="8"/>
  <c r="AM41" i="8"/>
  <c r="BJ41" i="8" s="1"/>
  <c r="AH43" i="8"/>
  <c r="AH44" i="8"/>
  <c r="AH45" i="8"/>
  <c r="AH46" i="8"/>
  <c r="AH47" i="8"/>
  <c r="AH48" i="8"/>
  <c r="AH49" i="8"/>
  <c r="AH50" i="8"/>
  <c r="AH51" i="8"/>
  <c r="BC52" i="8"/>
  <c r="AH54" i="8"/>
  <c r="AH56" i="8"/>
  <c r="AH57" i="8"/>
  <c r="AH58" i="8"/>
  <c r="AH59" i="8"/>
  <c r="AH60" i="8"/>
  <c r="AH61" i="8"/>
  <c r="AH62" i="8"/>
  <c r="AH63" i="8"/>
  <c r="BC64" i="8"/>
  <c r="BC65" i="8"/>
  <c r="AH66" i="8"/>
  <c r="AM67" i="8"/>
  <c r="BJ67" i="8" s="1"/>
  <c r="AH68" i="8"/>
  <c r="AH69" i="8"/>
  <c r="AH70" i="8"/>
  <c r="AH71" i="8"/>
  <c r="AH72" i="8"/>
  <c r="AM73" i="8"/>
  <c r="BJ73" i="8" s="1"/>
  <c r="AH74" i="8"/>
  <c r="AH75" i="8"/>
  <c r="K76" i="8"/>
  <c r="R76" i="8" s="1"/>
  <c r="AM77" i="8"/>
  <c r="BJ77" i="8" s="1"/>
  <c r="AM78" i="8"/>
  <c r="BJ78" i="8" s="1"/>
  <c r="K79" i="8"/>
  <c r="R79" i="8" s="1"/>
  <c r="AH80" i="8"/>
  <c r="AH81" i="8"/>
  <c r="AH82" i="8"/>
  <c r="AH83" i="8"/>
  <c r="AH84" i="8"/>
  <c r="AH85" i="8"/>
  <c r="AH86" i="8"/>
  <c r="AH87" i="8"/>
  <c r="AH90" i="8"/>
  <c r="AH91" i="8"/>
  <c r="AH92" i="8"/>
  <c r="AH93" i="8"/>
  <c r="AH94" i="8"/>
  <c r="AH95" i="8"/>
  <c r="AH96" i="8"/>
  <c r="AH97" i="8"/>
  <c r="AH98" i="8"/>
  <c r="AH99" i="8"/>
  <c r="AH102" i="8"/>
  <c r="AH103" i="8"/>
  <c r="AH104" i="8"/>
  <c r="AH105" i="8"/>
  <c r="AH106" i="8"/>
  <c r="AH107" i="8"/>
  <c r="AH108" i="8"/>
  <c r="AH109" i="8"/>
  <c r="AH110" i="8"/>
  <c r="AH111" i="8"/>
  <c r="AH114" i="8"/>
  <c r="AH115" i="8"/>
  <c r="AH116" i="8"/>
  <c r="AH117" i="8"/>
  <c r="AH118" i="8"/>
  <c r="AH119" i="8"/>
  <c r="AH120" i="8"/>
  <c r="AH121" i="8"/>
  <c r="AH122" i="8"/>
  <c r="AH123" i="8"/>
  <c r="AH128" i="8"/>
  <c r="AH129" i="8"/>
  <c r="AH130" i="8"/>
  <c r="AH131" i="8"/>
  <c r="AH132" i="8"/>
  <c r="AH133" i="8"/>
  <c r="AH134" i="8"/>
  <c r="AH135" i="8"/>
  <c r="AH140" i="8"/>
  <c r="AH141" i="8"/>
  <c r="AH142" i="8"/>
  <c r="AH143" i="8"/>
  <c r="AH144" i="8"/>
  <c r="AH145" i="8"/>
  <c r="AH146" i="8"/>
  <c r="AH147" i="8"/>
  <c r="AH150" i="8"/>
  <c r="AH151" i="8"/>
  <c r="AH152" i="8"/>
  <c r="AH153" i="8"/>
  <c r="AH154" i="8"/>
  <c r="AH155" i="8"/>
  <c r="AH156" i="8"/>
  <c r="AH158" i="8"/>
  <c r="AH159" i="8"/>
  <c r="AH162" i="8"/>
  <c r="AH163" i="8"/>
  <c r="AH164" i="8"/>
  <c r="AH165" i="8"/>
  <c r="AH166" i="8"/>
  <c r="AH167" i="8"/>
  <c r="AH168" i="8"/>
  <c r="AH169" i="8"/>
  <c r="AH170" i="8"/>
  <c r="AH171" i="8"/>
  <c r="AH174" i="8"/>
  <c r="AH175" i="8"/>
  <c r="AH176" i="8"/>
  <c r="AH177" i="8"/>
  <c r="AH178" i="8"/>
  <c r="AH179" i="8"/>
  <c r="AH180" i="8"/>
  <c r="AH181" i="8"/>
  <c r="AH182" i="8"/>
  <c r="AH183" i="8"/>
  <c r="AH188" i="8"/>
  <c r="AH189" i="8"/>
  <c r="AH190" i="8"/>
  <c r="AH191" i="8"/>
  <c r="AH192" i="8"/>
  <c r="AH193" i="8"/>
  <c r="AH194" i="8"/>
  <c r="AH195" i="8"/>
  <c r="AH198" i="8"/>
  <c r="AH200" i="8"/>
  <c r="AH201" i="8"/>
  <c r="AH202" i="8"/>
  <c r="AH203" i="8"/>
  <c r="AH204" i="8"/>
  <c r="AH205" i="8"/>
  <c r="BA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P12" i="19" l="1"/>
  <c r="O12" i="11"/>
  <c r="AM80" i="8"/>
  <c r="BJ80" i="8" s="1"/>
  <c r="BJ92" i="8"/>
  <c r="BJ104" i="8"/>
  <c r="BJ116" i="8"/>
  <c r="BJ128" i="8"/>
  <c r="BC63" i="8"/>
  <c r="K67" i="8"/>
  <c r="R67" i="8" s="1"/>
  <c r="K77" i="8"/>
  <c r="R77" i="8" s="1"/>
  <c r="BJ86" i="8"/>
  <c r="BJ98" i="8"/>
  <c r="BJ110" i="8"/>
  <c r="BJ122" i="8"/>
  <c r="BJ134" i="8"/>
  <c r="BJ146" i="8"/>
  <c r="BJ158" i="8"/>
  <c r="BJ170" i="8"/>
  <c r="BJ182" i="8"/>
  <c r="BJ194" i="8"/>
  <c r="BJ140" i="8"/>
  <c r="BJ152" i="8"/>
  <c r="BJ164" i="8"/>
  <c r="BJ176" i="8"/>
  <c r="BJ188" i="8"/>
  <c r="K78" i="8"/>
  <c r="R78" i="8" s="1"/>
  <c r="BA65" i="8"/>
  <c r="BA72" i="8"/>
  <c r="BJ85" i="8"/>
  <c r="BJ97" i="8"/>
  <c r="BJ109" i="8"/>
  <c r="BJ121" i="8"/>
  <c r="BJ133" i="8"/>
  <c r="BJ145" i="8"/>
  <c r="BJ157" i="8"/>
  <c r="BJ169" i="8"/>
  <c r="BJ181" i="8"/>
  <c r="BJ193" i="8"/>
  <c r="BJ205" i="8"/>
  <c r="BC48" i="8"/>
  <c r="BJ87" i="8"/>
  <c r="BJ99" i="8"/>
  <c r="BJ111" i="8"/>
  <c r="BJ123" i="8"/>
  <c r="BJ135" i="8"/>
  <c r="BJ147" i="8"/>
  <c r="BJ159" i="8"/>
  <c r="BJ171" i="8"/>
  <c r="BJ183" i="8"/>
  <c r="BJ195" i="8"/>
  <c r="BC78" i="8"/>
  <c r="AM52" i="8"/>
  <c r="BJ52" i="8" s="1"/>
  <c r="BB52" i="8"/>
  <c r="AM66" i="8"/>
  <c r="BJ66" i="8" s="1"/>
  <c r="BB66" i="8"/>
  <c r="K66" i="8"/>
  <c r="R66" i="8" s="1"/>
  <c r="BB72" i="8"/>
  <c r="BJ200" i="8"/>
  <c r="AM68" i="8"/>
  <c r="BJ68" i="8" s="1"/>
  <c r="BJ88" i="8"/>
  <c r="BJ100" i="8"/>
  <c r="BJ112" i="8"/>
  <c r="BJ124" i="8"/>
  <c r="BJ136" i="8"/>
  <c r="BJ148" i="8"/>
  <c r="BJ160" i="8"/>
  <c r="BJ172" i="8"/>
  <c r="BJ184" i="8"/>
  <c r="BJ196" i="8"/>
  <c r="BA76" i="8"/>
  <c r="BB75" i="8"/>
  <c r="BC66" i="8"/>
  <c r="K80" i="8"/>
  <c r="R80" i="8" s="1"/>
  <c r="AM69" i="8"/>
  <c r="BJ69" i="8" s="1"/>
  <c r="BJ89" i="8"/>
  <c r="BJ101" i="8"/>
  <c r="BJ113" i="8"/>
  <c r="BJ125" i="8"/>
  <c r="BJ137" i="8"/>
  <c r="BJ149" i="8"/>
  <c r="BJ161" i="8"/>
  <c r="BJ173" i="8"/>
  <c r="BJ185" i="8"/>
  <c r="BJ197" i="8"/>
  <c r="BA77" i="8"/>
  <c r="BB77" i="8"/>
  <c r="BC72" i="8"/>
  <c r="Q1" i="8"/>
  <c r="K40" i="8"/>
  <c r="R40" i="8" s="1"/>
  <c r="AM70" i="8"/>
  <c r="BJ70" i="8" s="1"/>
  <c r="BJ90" i="8"/>
  <c r="BJ102" i="8"/>
  <c r="BJ114" i="8"/>
  <c r="BJ126" i="8"/>
  <c r="BJ138" i="8"/>
  <c r="BJ150" i="8"/>
  <c r="BJ162" i="8"/>
  <c r="BJ174" i="8"/>
  <c r="BJ186" i="8"/>
  <c r="BJ198" i="8"/>
  <c r="BB78" i="8"/>
  <c r="BC75" i="8"/>
  <c r="T1" i="8"/>
  <c r="K46" i="8"/>
  <c r="R46" i="8" s="1"/>
  <c r="AM79" i="8"/>
  <c r="BJ79" i="8" s="1"/>
  <c r="BJ91" i="8"/>
  <c r="BJ103" i="8"/>
  <c r="BJ115" i="8"/>
  <c r="BJ127" i="8"/>
  <c r="BJ139" i="8"/>
  <c r="BJ151" i="8"/>
  <c r="BJ163" i="8"/>
  <c r="BJ175" i="8"/>
  <c r="BJ187" i="8"/>
  <c r="BJ199" i="8"/>
  <c r="BC77" i="8"/>
  <c r="K71" i="8"/>
  <c r="R71" i="8" s="1"/>
  <c r="K64" i="8"/>
  <c r="R64" i="8" s="1"/>
  <c r="K65" i="8"/>
  <c r="R65" i="8" s="1"/>
  <c r="BJ81" i="8"/>
  <c r="BJ93" i="8"/>
  <c r="BJ105" i="8"/>
  <c r="BJ117" i="8"/>
  <c r="BJ129" i="8"/>
  <c r="BJ141" i="8"/>
  <c r="BJ153" i="8"/>
  <c r="BJ165" i="8"/>
  <c r="BJ177" i="8"/>
  <c r="BJ189" i="8"/>
  <c r="BJ201" i="8"/>
  <c r="BA71" i="8"/>
  <c r="BJ82" i="8"/>
  <c r="BJ94" i="8"/>
  <c r="BJ106" i="8"/>
  <c r="BJ118" i="8"/>
  <c r="BJ130" i="8"/>
  <c r="BJ142" i="8"/>
  <c r="BJ154" i="8"/>
  <c r="BJ166" i="8"/>
  <c r="BJ178" i="8"/>
  <c r="BJ190" i="8"/>
  <c r="BJ202" i="8"/>
  <c r="BA40" i="8"/>
  <c r="BJ83" i="8"/>
  <c r="BJ95" i="8"/>
  <c r="BJ107" i="8"/>
  <c r="BJ119" i="8"/>
  <c r="BJ131" i="8"/>
  <c r="BJ143" i="8"/>
  <c r="BJ155" i="8"/>
  <c r="BJ167" i="8"/>
  <c r="BJ179" i="8"/>
  <c r="BJ191" i="8"/>
  <c r="BJ203" i="8"/>
  <c r="BA41" i="8"/>
  <c r="BB43" i="8"/>
  <c r="K68" i="8"/>
  <c r="R68" i="8" s="1"/>
  <c r="AM51" i="8"/>
  <c r="BJ51" i="8" s="1"/>
  <c r="BJ84" i="8"/>
  <c r="BJ96" i="8"/>
  <c r="BJ108" i="8"/>
  <c r="BJ120" i="8"/>
  <c r="BJ132" i="8"/>
  <c r="BJ144" i="8"/>
  <c r="BJ156" i="8"/>
  <c r="BJ168" i="8"/>
  <c r="BJ180" i="8"/>
  <c r="BJ192" i="8"/>
  <c r="BJ204" i="8"/>
  <c r="BA46" i="8"/>
  <c r="BB51" i="8"/>
  <c r="BC39" i="8"/>
  <c r="BA73" i="8"/>
  <c r="BB74" i="8"/>
  <c r="BC74" i="8"/>
  <c r="K69" i="8"/>
  <c r="R69" i="8" s="1"/>
  <c r="BA74" i="8"/>
  <c r="K70" i="8"/>
  <c r="R70" i="8" s="1"/>
  <c r="AM71" i="8"/>
  <c r="BJ71" i="8" s="1"/>
  <c r="BA75" i="8"/>
  <c r="BB76" i="8"/>
  <c r="BC76" i="8"/>
  <c r="K73" i="8"/>
  <c r="R73" i="8" s="1"/>
  <c r="AM74" i="8"/>
  <c r="BJ74" i="8" s="1"/>
  <c r="BA66" i="8"/>
  <c r="BA78" i="8"/>
  <c r="BB67" i="8"/>
  <c r="BB79" i="8"/>
  <c r="BC67" i="8"/>
  <c r="BC79" i="8"/>
  <c r="K74" i="8"/>
  <c r="R74" i="8" s="1"/>
  <c r="AM75" i="8"/>
  <c r="BJ75" i="8" s="1"/>
  <c r="BA67" i="8"/>
  <c r="BA79" i="8"/>
  <c r="BB68" i="8"/>
  <c r="BB80" i="8"/>
  <c r="BC68" i="8"/>
  <c r="BC80" i="8"/>
  <c r="BB73" i="8"/>
  <c r="BC73" i="8"/>
  <c r="K72" i="8"/>
  <c r="R72" i="8" s="1"/>
  <c r="K75" i="8"/>
  <c r="R75" i="8" s="1"/>
  <c r="AM76" i="8"/>
  <c r="BJ76" i="8" s="1"/>
  <c r="BA68" i="8"/>
  <c r="BA80" i="8"/>
  <c r="BB69" i="8"/>
  <c r="BC69" i="8"/>
  <c r="BA69" i="8"/>
  <c r="BB70" i="8"/>
  <c r="BC70" i="8"/>
  <c r="AM72" i="8"/>
  <c r="BJ72" i="8" s="1"/>
  <c r="BA70" i="8"/>
  <c r="BB71" i="8"/>
  <c r="BC71" i="8"/>
  <c r="AM43" i="8"/>
  <c r="BJ43" i="8" s="1"/>
  <c r="BA42" i="8"/>
  <c r="BB53" i="8"/>
  <c r="AM53" i="8"/>
  <c r="BJ53" i="8" s="1"/>
  <c r="BA43" i="8"/>
  <c r="K43" i="8"/>
  <c r="R43" i="8" s="1"/>
  <c r="AM55" i="8"/>
  <c r="BJ55" i="8" s="1"/>
  <c r="BB63" i="8"/>
  <c r="AM63" i="8"/>
  <c r="BJ63" i="8" s="1"/>
  <c r="BA52" i="8"/>
  <c r="BB64" i="8"/>
  <c r="BC42" i="8"/>
  <c r="K52" i="8"/>
  <c r="R52" i="8" s="1"/>
  <c r="AM64" i="8"/>
  <c r="BJ64" i="8" s="1"/>
  <c r="K53" i="8"/>
  <c r="R53" i="8" s="1"/>
  <c r="AM65" i="8"/>
  <c r="BJ65" i="8" s="1"/>
  <c r="BA54" i="8"/>
  <c r="BC51" i="8"/>
  <c r="K54" i="8"/>
  <c r="R54" i="8" s="1"/>
  <c r="BA55" i="8"/>
  <c r="BB39" i="8"/>
  <c r="BC53" i="8"/>
  <c r="K41" i="8"/>
  <c r="R41" i="8" s="1"/>
  <c r="K42" i="8"/>
  <c r="R42" i="8" s="1"/>
  <c r="BB55" i="8"/>
  <c r="BC41" i="8"/>
  <c r="BA53" i="8"/>
  <c r="BB65" i="8"/>
  <c r="K55" i="8"/>
  <c r="R55" i="8" s="1"/>
  <c r="AM39" i="8"/>
  <c r="BJ39" i="8" s="1"/>
  <c r="BA58" i="8"/>
  <c r="BB40" i="8"/>
  <c r="BC54" i="8"/>
  <c r="K58" i="8"/>
  <c r="R58" i="8" s="1"/>
  <c r="AM40" i="8"/>
  <c r="BJ40" i="8" s="1"/>
  <c r="BA64" i="8"/>
  <c r="BB41" i="8"/>
  <c r="BC60" i="8"/>
  <c r="BC36" i="8"/>
  <c r="BC38" i="8"/>
  <c r="BC62" i="8"/>
  <c r="K44" i="8"/>
  <c r="R44" i="8" s="1"/>
  <c r="K56" i="8"/>
  <c r="R56" i="8" s="1"/>
  <c r="AM42" i="8"/>
  <c r="BJ42" i="8" s="1"/>
  <c r="AM54" i="8"/>
  <c r="BJ54" i="8" s="1"/>
  <c r="BA44" i="8"/>
  <c r="BA56" i="8"/>
  <c r="BB42" i="8"/>
  <c r="BB54" i="8"/>
  <c r="AM38" i="8"/>
  <c r="BJ38" i="8" s="1"/>
  <c r="BB38" i="8"/>
  <c r="BC37" i="8"/>
  <c r="BC49" i="8"/>
  <c r="BC50" i="8"/>
  <c r="K47" i="8"/>
  <c r="R47" i="8" s="1"/>
  <c r="K59" i="8"/>
  <c r="R59" i="8" s="1"/>
  <c r="AM45" i="8"/>
  <c r="BJ45" i="8" s="1"/>
  <c r="AM57" i="8"/>
  <c r="BJ57" i="8" s="1"/>
  <c r="BA47" i="8"/>
  <c r="BA59" i="8"/>
  <c r="BB45" i="8"/>
  <c r="BB57" i="8"/>
  <c r="BC43" i="8"/>
  <c r="BC55" i="8"/>
  <c r="AM44" i="8"/>
  <c r="BJ44" i="8" s="1"/>
  <c r="K36" i="8"/>
  <c r="R36" i="8" s="1"/>
  <c r="K48" i="8"/>
  <c r="R48" i="8" s="1"/>
  <c r="K60" i="8"/>
  <c r="R60" i="8" s="1"/>
  <c r="AM46" i="8"/>
  <c r="BJ46" i="8" s="1"/>
  <c r="AM58" i="8"/>
  <c r="BJ58" i="8" s="1"/>
  <c r="BA36" i="8"/>
  <c r="BA48" i="8"/>
  <c r="BA60" i="8"/>
  <c r="BB46" i="8"/>
  <c r="BB58" i="8"/>
  <c r="BC44" i="8"/>
  <c r="BC56" i="8"/>
  <c r="AM50" i="8"/>
  <c r="BJ50" i="8" s="1"/>
  <c r="BB44" i="8"/>
  <c r="K37" i="8"/>
  <c r="R37" i="8" s="1"/>
  <c r="K49" i="8"/>
  <c r="R49" i="8" s="1"/>
  <c r="K61" i="8"/>
  <c r="R61" i="8" s="1"/>
  <c r="AM47" i="8"/>
  <c r="BJ47" i="8" s="1"/>
  <c r="AM59" i="8"/>
  <c r="BJ59" i="8" s="1"/>
  <c r="BA37" i="8"/>
  <c r="BA49" i="8"/>
  <c r="BA61" i="8"/>
  <c r="BB47" i="8"/>
  <c r="BB59" i="8"/>
  <c r="BC45" i="8"/>
  <c r="BC57" i="8"/>
  <c r="BB62" i="8"/>
  <c r="K45" i="8"/>
  <c r="R45" i="8" s="1"/>
  <c r="K57" i="8"/>
  <c r="R57" i="8" s="1"/>
  <c r="K38" i="8"/>
  <c r="R38" i="8" s="1"/>
  <c r="K50" i="8"/>
  <c r="R50" i="8" s="1"/>
  <c r="K62" i="8"/>
  <c r="R62" i="8" s="1"/>
  <c r="AM36" i="8"/>
  <c r="BJ36" i="8" s="1"/>
  <c r="AM48" i="8"/>
  <c r="BJ48" i="8" s="1"/>
  <c r="AM60" i="8"/>
  <c r="BJ60" i="8" s="1"/>
  <c r="BA38" i="8"/>
  <c r="BA50" i="8"/>
  <c r="BA62" i="8"/>
  <c r="BB36" i="8"/>
  <c r="BB48" i="8"/>
  <c r="BB60" i="8"/>
  <c r="BC46" i="8"/>
  <c r="BC58" i="8"/>
  <c r="AM62" i="8"/>
  <c r="BJ62" i="8" s="1"/>
  <c r="BB50" i="8"/>
  <c r="BC61" i="8"/>
  <c r="BA45" i="8"/>
  <c r="BA57" i="8"/>
  <c r="AM56" i="8"/>
  <c r="BJ56" i="8" s="1"/>
  <c r="BB56" i="8"/>
  <c r="K39" i="8"/>
  <c r="R39" i="8" s="1"/>
  <c r="K51" i="8"/>
  <c r="R51" i="8" s="1"/>
  <c r="K63" i="8"/>
  <c r="R63" i="8" s="1"/>
  <c r="AM37" i="8"/>
  <c r="BJ37" i="8" s="1"/>
  <c r="AM49" i="8"/>
  <c r="BJ49" i="8" s="1"/>
  <c r="AM61" i="8"/>
  <c r="BJ61" i="8" s="1"/>
  <c r="BA39" i="8"/>
  <c r="BA51" i="8"/>
  <c r="BA63" i="8"/>
  <c r="BB37" i="8"/>
  <c r="BB49" i="8"/>
  <c r="BB61" i="8"/>
  <c r="BC47" i="8"/>
  <c r="BC59" i="8"/>
  <c r="AH302" i="8"/>
  <c r="AH290" i="8"/>
  <c r="AH278" i="8"/>
  <c r="AH254" i="8"/>
  <c r="AH242" i="8"/>
  <c r="AH230" i="8"/>
  <c r="AH206" i="8"/>
  <c r="AH289" i="8"/>
  <c r="AH265" i="8"/>
  <c r="AH241" i="8"/>
  <c r="AH217" i="8"/>
  <c r="AH288" i="8"/>
  <c r="AH252" i="8"/>
  <c r="AH216" i="8"/>
  <c r="AH299" i="8"/>
  <c r="AH287" i="8"/>
  <c r="AH275" i="8"/>
  <c r="AH263" i="8"/>
  <c r="AH251" i="8"/>
  <c r="AH239" i="8"/>
  <c r="AH227" i="8"/>
  <c r="AH215" i="8"/>
  <c r="AH310" i="8"/>
  <c r="AH298" i="8"/>
  <c r="AH286" i="8"/>
  <c r="AH274" i="8"/>
  <c r="AH262" i="8"/>
  <c r="AH250" i="8"/>
  <c r="AH238" i="8"/>
  <c r="AH226" i="8"/>
  <c r="AH214" i="8"/>
  <c r="AH309" i="8"/>
  <c r="AH297" i="8"/>
  <c r="AH285" i="8"/>
  <c r="AH273" i="8"/>
  <c r="AH261" i="8"/>
  <c r="AH249" i="8"/>
  <c r="AH237" i="8"/>
  <c r="AH225" i="8"/>
  <c r="AH213" i="8"/>
  <c r="AH308" i="8"/>
  <c r="AH296" i="8"/>
  <c r="AH272" i="8"/>
  <c r="AH260" i="8"/>
  <c r="AH248" i="8"/>
  <c r="AH236" i="8"/>
  <c r="AH224" i="8"/>
  <c r="AH212" i="8"/>
  <c r="AH307" i="8"/>
  <c r="AH295" i="8"/>
  <c r="AH283" i="8"/>
  <c r="AH271" i="8"/>
  <c r="AH259" i="8"/>
  <c r="AH247" i="8"/>
  <c r="AH235" i="8"/>
  <c r="AH223" i="8"/>
  <c r="AH211" i="8"/>
  <c r="AH306" i="8"/>
  <c r="AH294" i="8"/>
  <c r="AH282" i="8"/>
  <c r="AH270" i="8"/>
  <c r="AH258" i="8"/>
  <c r="AH246" i="8"/>
  <c r="AH234" i="8"/>
  <c r="AH222" i="8"/>
  <c r="AH210" i="8"/>
  <c r="AH276" i="8"/>
  <c r="AH305" i="8"/>
  <c r="AH293" i="8"/>
  <c r="AH281" i="8"/>
  <c r="AH269" i="8"/>
  <c r="AH257" i="8"/>
  <c r="AH245" i="8"/>
  <c r="AH233" i="8"/>
  <c r="AH221" i="8"/>
  <c r="AH209" i="8"/>
  <c r="AH300" i="8"/>
  <c r="AH304" i="8"/>
  <c r="AH292" i="8"/>
  <c r="AH280" i="8"/>
  <c r="AH268" i="8"/>
  <c r="AH256" i="8"/>
  <c r="AH244" i="8"/>
  <c r="AH232" i="8"/>
  <c r="AH220" i="8"/>
  <c r="AH208" i="8"/>
  <c r="AH266" i="8"/>
  <c r="AH218" i="8"/>
  <c r="AH301" i="8"/>
  <c r="AH277" i="8"/>
  <c r="AH253" i="8"/>
  <c r="AH229" i="8"/>
  <c r="AH264" i="8"/>
  <c r="AH240" i="8"/>
  <c r="AH228" i="8"/>
  <c r="AH303" i="8"/>
  <c r="AH291" i="8"/>
  <c r="AH279" i="8"/>
  <c r="AH267" i="8"/>
  <c r="AH255" i="8"/>
  <c r="AH243" i="8"/>
  <c r="AH231" i="8"/>
  <c r="AH219" i="8"/>
  <c r="AH207" i="8"/>
  <c r="AH284" i="8"/>
  <c r="BD15" i="8"/>
  <c r="BA22" i="8"/>
  <c r="BA23" i="8"/>
  <c r="AH31" i="8"/>
  <c r="BD23" i="8"/>
  <c r="AM14" i="8"/>
  <c r="BJ14" i="8" s="1"/>
  <c r="BB26" i="8"/>
  <c r="BB21" i="8"/>
  <c r="AH25" i="8"/>
  <c r="K13" i="8"/>
  <c r="R13" i="8" s="1"/>
  <c r="K14" i="8"/>
  <c r="R14" i="8" s="1"/>
  <c r="BC13" i="8"/>
  <c r="K29" i="8"/>
  <c r="R29" i="8" s="1"/>
  <c r="BC21" i="8"/>
  <c r="AH12" i="8"/>
  <c r="BA11" i="8"/>
  <c r="BD35" i="8"/>
  <c r="AH11" i="8"/>
  <c r="BA12" i="8"/>
  <c r="BC6" i="8"/>
  <c r="AH35" i="8"/>
  <c r="AH10" i="8"/>
  <c r="BA13" i="8"/>
  <c r="BB9" i="8"/>
  <c r="BC9" i="8"/>
  <c r="BD6" i="8"/>
  <c r="AH6" i="8"/>
  <c r="AH34" i="8"/>
  <c r="AH9" i="8"/>
  <c r="AM6" i="8"/>
  <c r="BJ6" i="8" s="1"/>
  <c r="BA15" i="8"/>
  <c r="BC10" i="8"/>
  <c r="BD11" i="8"/>
  <c r="AH33" i="8"/>
  <c r="K6" i="8"/>
  <c r="R6" i="8" s="1"/>
  <c r="AM13" i="8"/>
  <c r="BJ13" i="8" s="1"/>
  <c r="BA21" i="8"/>
  <c r="BB15" i="8"/>
  <c r="BC11" i="8"/>
  <c r="BD12" i="8"/>
  <c r="K15" i="8"/>
  <c r="R15" i="8" s="1"/>
  <c r="BA24" i="8"/>
  <c r="BB27" i="8"/>
  <c r="BC22" i="8"/>
  <c r="BD24" i="8"/>
  <c r="AH24" i="8"/>
  <c r="K25" i="8"/>
  <c r="R25" i="8" s="1"/>
  <c r="BA27" i="8"/>
  <c r="BB28" i="8"/>
  <c r="BC23" i="8"/>
  <c r="BD25" i="8"/>
  <c r="AH23" i="8"/>
  <c r="K26" i="8"/>
  <c r="R26" i="8" s="1"/>
  <c r="AM27" i="8"/>
  <c r="BJ27" i="8" s="1"/>
  <c r="BA33" i="8"/>
  <c r="BB29" i="8"/>
  <c r="BC33" i="8"/>
  <c r="BD26" i="8"/>
  <c r="AM15" i="8"/>
  <c r="BJ15" i="8" s="1"/>
  <c r="AH22" i="8"/>
  <c r="K27" i="8"/>
  <c r="R27" i="8" s="1"/>
  <c r="AM28" i="8"/>
  <c r="BJ28" i="8" s="1"/>
  <c r="BA9" i="8"/>
  <c r="BA34" i="8"/>
  <c r="BB33" i="8"/>
  <c r="BC34" i="8"/>
  <c r="BD27" i="8"/>
  <c r="AH21" i="8"/>
  <c r="BA10" i="8"/>
  <c r="BA35" i="8"/>
  <c r="BC35" i="8"/>
  <c r="AH8" i="8"/>
  <c r="BA8" i="8"/>
  <c r="BD8" i="8"/>
  <c r="BA31" i="8"/>
  <c r="BD31" i="8"/>
  <c r="BB31" i="8"/>
  <c r="AH67" i="8"/>
  <c r="BC18" i="8"/>
  <c r="BA18" i="8"/>
  <c r="BD18" i="8"/>
  <c r="AM18" i="8"/>
  <c r="BJ18" i="8" s="1"/>
  <c r="K18" i="8"/>
  <c r="R18" i="8" s="1"/>
  <c r="AH197" i="8"/>
  <c r="AH89" i="8"/>
  <c r="AM19" i="8"/>
  <c r="BJ19" i="8" s="1"/>
  <c r="BA32" i="8"/>
  <c r="BD32" i="8"/>
  <c r="AM32" i="8"/>
  <c r="BJ32" i="8" s="1"/>
  <c r="K32" i="8"/>
  <c r="R32" i="8" s="1"/>
  <c r="AH32" i="8"/>
  <c r="AM7" i="8"/>
  <c r="BJ7" i="8" s="1"/>
  <c r="BA7" i="8"/>
  <c r="S1" i="8"/>
  <c r="BD7" i="8"/>
  <c r="AH7" i="8"/>
  <c r="P1" i="8"/>
  <c r="BC19" i="8"/>
  <c r="K31" i="8"/>
  <c r="R31" i="8" s="1"/>
  <c r="AH185" i="8"/>
  <c r="AH173" i="8"/>
  <c r="AH161" i="8"/>
  <c r="AH137" i="8"/>
  <c r="AH125" i="8"/>
  <c r="AH113" i="8"/>
  <c r="AH101" i="8"/>
  <c r="AH77" i="8"/>
  <c r="AH65" i="8"/>
  <c r="AH53" i="8"/>
  <c r="AH41" i="8"/>
  <c r="BC29" i="8"/>
  <c r="BA29" i="8"/>
  <c r="AH29" i="8"/>
  <c r="BC17" i="8"/>
  <c r="BA17" i="8"/>
  <c r="AH17" i="8"/>
  <c r="AH187" i="8"/>
  <c r="AH126" i="8"/>
  <c r="AH196" i="8"/>
  <c r="AH184" i="8"/>
  <c r="AH172" i="8"/>
  <c r="AH160" i="8"/>
  <c r="AH148" i="8"/>
  <c r="AH136" i="8"/>
  <c r="AH124" i="8"/>
  <c r="AH112" i="8"/>
  <c r="AH100" i="8"/>
  <c r="AH88" i="8"/>
  <c r="AH76" i="8"/>
  <c r="AH64" i="8"/>
  <c r="AH52" i="8"/>
  <c r="AH40" i="8"/>
  <c r="BC28" i="8"/>
  <c r="AH28" i="8"/>
  <c r="BA28" i="8"/>
  <c r="BD28" i="8"/>
  <c r="BC16" i="8"/>
  <c r="AH16" i="8"/>
  <c r="BA16" i="8"/>
  <c r="BD16" i="8"/>
  <c r="AH186" i="8"/>
  <c r="AH42" i="8"/>
  <c r="AM25" i="8"/>
  <c r="BJ25" i="8" s="1"/>
  <c r="BA20" i="8"/>
  <c r="BD20" i="8"/>
  <c r="AM20" i="8"/>
  <c r="BJ20" i="8" s="1"/>
  <c r="AH20" i="8"/>
  <c r="AH127" i="8"/>
  <c r="AH149" i="8"/>
  <c r="K16" i="8"/>
  <c r="R16" i="8" s="1"/>
  <c r="BB16" i="8"/>
  <c r="BD13" i="8"/>
  <c r="BC30" i="8"/>
  <c r="BD30" i="8"/>
  <c r="BA30" i="8"/>
  <c r="AM30" i="8"/>
  <c r="BJ30" i="8" s="1"/>
  <c r="K30" i="8"/>
  <c r="R30" i="8" s="1"/>
  <c r="BB30" i="8"/>
  <c r="BC20" i="8"/>
  <c r="AH26" i="8"/>
  <c r="BC26" i="8"/>
  <c r="BA26" i="8"/>
  <c r="AH14" i="8"/>
  <c r="BC14" i="8"/>
  <c r="BA14" i="8"/>
  <c r="AH79" i="8"/>
  <c r="AH18" i="8"/>
  <c r="K17" i="8"/>
  <c r="R17" i="8" s="1"/>
  <c r="BA25" i="8"/>
  <c r="BB17" i="8"/>
  <c r="BD14" i="8"/>
  <c r="BA19" i="8"/>
  <c r="BD19" i="8"/>
  <c r="BB19" i="8"/>
  <c r="BB7" i="8"/>
  <c r="BB25" i="8"/>
  <c r="BB18" i="8"/>
  <c r="BC31" i="8"/>
  <c r="K7" i="8"/>
  <c r="R7" i="8" s="1"/>
  <c r="BB13" i="8"/>
  <c r="AH157" i="8"/>
  <c r="AH139" i="8"/>
  <c r="AH78" i="8"/>
  <c r="K19" i="8"/>
  <c r="R19" i="8" s="1"/>
  <c r="AH199" i="8"/>
  <c r="AH138" i="8"/>
  <c r="AH73" i="8"/>
  <c r="AH55" i="8"/>
  <c r="K20" i="8"/>
  <c r="R20" i="8" s="1"/>
  <c r="AM29" i="8"/>
  <c r="BJ29" i="8" s="1"/>
  <c r="BB20" i="8"/>
  <c r="BC7" i="8"/>
  <c r="BC32" i="8"/>
  <c r="BD17" i="8"/>
  <c r="R1" i="8"/>
  <c r="BB6" i="8"/>
  <c r="BC12" i="8"/>
  <c r="BC24" i="8"/>
  <c r="K9" i="8"/>
  <c r="R9" i="8" s="1"/>
  <c r="K21" i="8"/>
  <c r="R21" i="8" s="1"/>
  <c r="K33" i="8"/>
  <c r="R33" i="8" s="1"/>
  <c r="AM9" i="8"/>
  <c r="BJ9" i="8" s="1"/>
  <c r="AM21" i="8"/>
  <c r="BJ21" i="8" s="1"/>
  <c r="AM33" i="8"/>
  <c r="BJ33" i="8" s="1"/>
  <c r="BB10" i="8"/>
  <c r="BB22" i="8"/>
  <c r="BB34" i="8"/>
  <c r="BC15" i="8"/>
  <c r="BC27" i="8"/>
  <c r="K10" i="8"/>
  <c r="R10" i="8" s="1"/>
  <c r="K22" i="8"/>
  <c r="R22" i="8" s="1"/>
  <c r="K34" i="8"/>
  <c r="R34" i="8" s="1"/>
  <c r="AM10" i="8"/>
  <c r="BJ10" i="8" s="1"/>
  <c r="AM22" i="8"/>
  <c r="BJ22" i="8" s="1"/>
  <c r="AM34" i="8"/>
  <c r="BJ34" i="8" s="1"/>
  <c r="BB11" i="8"/>
  <c r="BB23" i="8"/>
  <c r="BB35" i="8"/>
  <c r="K11" i="8"/>
  <c r="R11" i="8" s="1"/>
  <c r="K23" i="8"/>
  <c r="R23" i="8" s="1"/>
  <c r="K35" i="8"/>
  <c r="R35" i="8" s="1"/>
  <c r="BB12" i="8"/>
  <c r="BB24" i="8"/>
  <c r="K12" i="8"/>
  <c r="R12" i="8" s="1"/>
  <c r="K24" i="8"/>
  <c r="R24" i="8" s="1"/>
  <c r="K8" i="8"/>
  <c r="R8" i="8" s="1"/>
  <c r="BC8" i="8"/>
  <c r="AM8" i="8"/>
  <c r="BJ8" i="8" s="1"/>
  <c r="BB8" i="8"/>
  <c r="O1" i="8"/>
  <c r="J205" i="8" l="1"/>
  <c r="AC205" i="8" l="1"/>
  <c r="AK205" i="8"/>
  <c r="BK204" i="8" l="1"/>
  <c r="AD204" i="8"/>
  <c r="AB204" i="8"/>
  <c r="V204" i="8" s="1"/>
  <c r="U204" i="8"/>
  <c r="W204" i="8"/>
  <c r="S204" i="8"/>
  <c r="Q204" i="8"/>
  <c r="P204" i="8"/>
  <c r="O204" i="8"/>
  <c r="N204" i="8"/>
  <c r="AL204" i="8"/>
  <c r="J204" i="8"/>
  <c r="BK203" i="8"/>
  <c r="AD203" i="8"/>
  <c r="AB203" i="8"/>
  <c r="V203" i="8" s="1"/>
  <c r="U203" i="8"/>
  <c r="W203" i="8"/>
  <c r="S203" i="8"/>
  <c r="Q203" i="8"/>
  <c r="P203" i="8"/>
  <c r="O203" i="8"/>
  <c r="N203" i="8"/>
  <c r="AL203" i="8"/>
  <c r="J203" i="8"/>
  <c r="BK202" i="8"/>
  <c r="AD202" i="8"/>
  <c r="AB202" i="8"/>
  <c r="V202" i="8" s="1"/>
  <c r="U202" i="8"/>
  <c r="W202" i="8"/>
  <c r="S202" i="8"/>
  <c r="Q202" i="8"/>
  <c r="P202" i="8"/>
  <c r="O202" i="8"/>
  <c r="N202" i="8"/>
  <c r="AL202" i="8"/>
  <c r="J202" i="8"/>
  <c r="BK201" i="8"/>
  <c r="AD201" i="8"/>
  <c r="AB201" i="8"/>
  <c r="V201" i="8" s="1"/>
  <c r="U201" i="8"/>
  <c r="W201" i="8"/>
  <c r="S201" i="8"/>
  <c r="Q201" i="8"/>
  <c r="P201" i="8"/>
  <c r="O201" i="8"/>
  <c r="N201" i="8"/>
  <c r="AL201" i="8"/>
  <c r="J201" i="8"/>
  <c r="BK200" i="8"/>
  <c r="AD200" i="8"/>
  <c r="AB200" i="8"/>
  <c r="V200" i="8" s="1"/>
  <c r="U200" i="8"/>
  <c r="W200" i="8"/>
  <c r="S200" i="8"/>
  <c r="Q200" i="8"/>
  <c r="P200" i="8"/>
  <c r="O200" i="8"/>
  <c r="N200" i="8"/>
  <c r="AL200" i="8"/>
  <c r="J200" i="8"/>
  <c r="BK199" i="8"/>
  <c r="AD199" i="8"/>
  <c r="AB199" i="8"/>
  <c r="V199" i="8" s="1"/>
  <c r="U199" i="8"/>
  <c r="W199" i="8"/>
  <c r="S199" i="8"/>
  <c r="Q199" i="8"/>
  <c r="P199" i="8"/>
  <c r="O199" i="8"/>
  <c r="N199" i="8"/>
  <c r="AL199" i="8"/>
  <c r="J199" i="8"/>
  <c r="BK198" i="8"/>
  <c r="AD198" i="8"/>
  <c r="AB198" i="8"/>
  <c r="V198" i="8" s="1"/>
  <c r="U198" i="8"/>
  <c r="W198" i="8"/>
  <c r="S198" i="8"/>
  <c r="Q198" i="8"/>
  <c r="P198" i="8"/>
  <c r="O198" i="8"/>
  <c r="N198" i="8"/>
  <c r="AL198" i="8"/>
  <c r="J198" i="8"/>
  <c r="BK197" i="8"/>
  <c r="AD197" i="8"/>
  <c r="AB197" i="8"/>
  <c r="V197" i="8" s="1"/>
  <c r="U197" i="8"/>
  <c r="W197" i="8"/>
  <c r="S197" i="8"/>
  <c r="Q197" i="8"/>
  <c r="P197" i="8"/>
  <c r="O197" i="8"/>
  <c r="N197" i="8"/>
  <c r="AL197" i="8"/>
  <c r="J197" i="8"/>
  <c r="BK196" i="8"/>
  <c r="AD196" i="8"/>
  <c r="AB196" i="8"/>
  <c r="V196" i="8" s="1"/>
  <c r="U196" i="8"/>
  <c r="W196" i="8"/>
  <c r="S196" i="8"/>
  <c r="Q196" i="8"/>
  <c r="P196" i="8"/>
  <c r="O196" i="8"/>
  <c r="N196" i="8"/>
  <c r="AL196" i="8"/>
  <c r="J196" i="8"/>
  <c r="BK195" i="8"/>
  <c r="AD195" i="8"/>
  <c r="AB195" i="8"/>
  <c r="V195" i="8" s="1"/>
  <c r="U195" i="8"/>
  <c r="W195" i="8"/>
  <c r="S195" i="8"/>
  <c r="Q195" i="8"/>
  <c r="P195" i="8"/>
  <c r="O195" i="8"/>
  <c r="N195" i="8"/>
  <c r="AL195" i="8"/>
  <c r="J195" i="8"/>
  <c r="BK194" i="8"/>
  <c r="AD194" i="8"/>
  <c r="AB194" i="8"/>
  <c r="V194" i="8" s="1"/>
  <c r="U194" i="8"/>
  <c r="W194" i="8"/>
  <c r="S194" i="8"/>
  <c r="Q194" i="8"/>
  <c r="P194" i="8"/>
  <c r="O194" i="8"/>
  <c r="N194" i="8"/>
  <c r="AL194" i="8"/>
  <c r="J194" i="8"/>
  <c r="BK193" i="8"/>
  <c r="AD193" i="8"/>
  <c r="AB193" i="8"/>
  <c r="V193" i="8" s="1"/>
  <c r="U193" i="8"/>
  <c r="W193" i="8"/>
  <c r="S193" i="8"/>
  <c r="Q193" i="8"/>
  <c r="P193" i="8"/>
  <c r="O193" i="8"/>
  <c r="N193" i="8"/>
  <c r="AL193" i="8"/>
  <c r="J193" i="8"/>
  <c r="BK192" i="8"/>
  <c r="AD192" i="8"/>
  <c r="AB192" i="8"/>
  <c r="V192" i="8" s="1"/>
  <c r="U192" i="8"/>
  <c r="W192" i="8"/>
  <c r="S192" i="8"/>
  <c r="Q192" i="8"/>
  <c r="P192" i="8"/>
  <c r="O192" i="8"/>
  <c r="N192" i="8"/>
  <c r="AL192" i="8"/>
  <c r="J192" i="8"/>
  <c r="BK191" i="8"/>
  <c r="AD191" i="8"/>
  <c r="AB191" i="8"/>
  <c r="V191" i="8" s="1"/>
  <c r="U191" i="8"/>
  <c r="W191" i="8"/>
  <c r="S191" i="8"/>
  <c r="Q191" i="8"/>
  <c r="P191" i="8"/>
  <c r="O191" i="8"/>
  <c r="N191" i="8"/>
  <c r="AL191" i="8"/>
  <c r="J191" i="8"/>
  <c r="BK190" i="8"/>
  <c r="AD190" i="8"/>
  <c r="AB190" i="8"/>
  <c r="V190" i="8" s="1"/>
  <c r="U190" i="8"/>
  <c r="W190" i="8"/>
  <c r="S190" i="8"/>
  <c r="Q190" i="8"/>
  <c r="P190" i="8"/>
  <c r="O190" i="8"/>
  <c r="N190" i="8"/>
  <c r="AL190" i="8"/>
  <c r="J190" i="8"/>
  <c r="BK189" i="8"/>
  <c r="AD189" i="8"/>
  <c r="AB189" i="8"/>
  <c r="V189" i="8" s="1"/>
  <c r="U189" i="8"/>
  <c r="W189" i="8"/>
  <c r="S189" i="8"/>
  <c r="Q189" i="8"/>
  <c r="P189" i="8"/>
  <c r="O189" i="8"/>
  <c r="N189" i="8"/>
  <c r="AL189" i="8"/>
  <c r="J189" i="8"/>
  <c r="J155" i="8"/>
  <c r="AL155" i="8"/>
  <c r="N155" i="8"/>
  <c r="O155" i="8"/>
  <c r="P155" i="8"/>
  <c r="Q155" i="8"/>
  <c r="S155" i="8"/>
  <c r="W155" i="8"/>
  <c r="U155" i="8"/>
  <c r="AB155" i="8"/>
  <c r="V155" i="8" s="1"/>
  <c r="AD155" i="8"/>
  <c r="BK155" i="8"/>
  <c r="J156" i="8"/>
  <c r="AL156" i="8"/>
  <c r="N156" i="8"/>
  <c r="O156" i="8"/>
  <c r="P156" i="8"/>
  <c r="Q156" i="8"/>
  <c r="S156" i="8"/>
  <c r="W156" i="8"/>
  <c r="U156" i="8"/>
  <c r="AB156" i="8"/>
  <c r="V156" i="8" s="1"/>
  <c r="AD156" i="8"/>
  <c r="BK156" i="8"/>
  <c r="J157" i="8"/>
  <c r="AL157" i="8"/>
  <c r="N157" i="8"/>
  <c r="O157" i="8"/>
  <c r="P157" i="8"/>
  <c r="Q157" i="8"/>
  <c r="S157" i="8"/>
  <c r="W157" i="8"/>
  <c r="U157" i="8"/>
  <c r="AB157" i="8"/>
  <c r="V157" i="8" s="1"/>
  <c r="AD157" i="8"/>
  <c r="BK157" i="8"/>
  <c r="J158" i="8"/>
  <c r="AL158" i="8"/>
  <c r="N158" i="8"/>
  <c r="O158" i="8"/>
  <c r="P158" i="8"/>
  <c r="Q158" i="8"/>
  <c r="S158" i="8"/>
  <c r="W158" i="8"/>
  <c r="U158" i="8"/>
  <c r="AB158" i="8"/>
  <c r="V158" i="8" s="1"/>
  <c r="AD158" i="8"/>
  <c r="BK158" i="8"/>
  <c r="J159" i="8"/>
  <c r="AL159" i="8"/>
  <c r="N159" i="8"/>
  <c r="O159" i="8"/>
  <c r="P159" i="8"/>
  <c r="Q159" i="8"/>
  <c r="S159" i="8"/>
  <c r="W159" i="8"/>
  <c r="U159" i="8"/>
  <c r="AB159" i="8"/>
  <c r="V159" i="8" s="1"/>
  <c r="AD159" i="8"/>
  <c r="BK159" i="8"/>
  <c r="J160" i="8"/>
  <c r="AL160" i="8"/>
  <c r="N160" i="8"/>
  <c r="O160" i="8"/>
  <c r="P160" i="8"/>
  <c r="Q160" i="8"/>
  <c r="S160" i="8"/>
  <c r="W160" i="8"/>
  <c r="U160" i="8"/>
  <c r="AB160" i="8"/>
  <c r="V160" i="8" s="1"/>
  <c r="AD160" i="8"/>
  <c r="BK160" i="8"/>
  <c r="J161" i="8"/>
  <c r="AL161" i="8"/>
  <c r="N161" i="8"/>
  <c r="O161" i="8"/>
  <c r="P161" i="8"/>
  <c r="Q161" i="8"/>
  <c r="S161" i="8"/>
  <c r="W161" i="8"/>
  <c r="U161" i="8"/>
  <c r="AB161" i="8"/>
  <c r="V161" i="8" s="1"/>
  <c r="AD161" i="8"/>
  <c r="BK161" i="8"/>
  <c r="J162" i="8"/>
  <c r="AL162" i="8"/>
  <c r="N162" i="8"/>
  <c r="O162" i="8"/>
  <c r="P162" i="8"/>
  <c r="Q162" i="8"/>
  <c r="S162" i="8"/>
  <c r="W162" i="8"/>
  <c r="U162" i="8"/>
  <c r="AB162" i="8"/>
  <c r="V162" i="8" s="1"/>
  <c r="AD162" i="8"/>
  <c r="BK162" i="8"/>
  <c r="J163" i="8"/>
  <c r="AL163" i="8"/>
  <c r="N163" i="8"/>
  <c r="O163" i="8"/>
  <c r="P163" i="8"/>
  <c r="Q163" i="8"/>
  <c r="S163" i="8"/>
  <c r="W163" i="8"/>
  <c r="U163" i="8"/>
  <c r="AB163" i="8"/>
  <c r="V163" i="8" s="1"/>
  <c r="AD163" i="8"/>
  <c r="BK163" i="8"/>
  <c r="J164" i="8"/>
  <c r="AL164" i="8"/>
  <c r="N164" i="8"/>
  <c r="O164" i="8"/>
  <c r="P164" i="8"/>
  <c r="Q164" i="8"/>
  <c r="S164" i="8"/>
  <c r="W164" i="8"/>
  <c r="U164" i="8"/>
  <c r="AB164" i="8"/>
  <c r="V164" i="8" s="1"/>
  <c r="AD164" i="8"/>
  <c r="BK164" i="8"/>
  <c r="J165" i="8"/>
  <c r="AL165" i="8"/>
  <c r="N165" i="8"/>
  <c r="O165" i="8"/>
  <c r="P165" i="8"/>
  <c r="Q165" i="8"/>
  <c r="S165" i="8"/>
  <c r="W165" i="8"/>
  <c r="U165" i="8"/>
  <c r="AB165" i="8"/>
  <c r="V165" i="8" s="1"/>
  <c r="AD165" i="8"/>
  <c r="BK165" i="8"/>
  <c r="J166" i="8"/>
  <c r="AL166" i="8"/>
  <c r="N166" i="8"/>
  <c r="O166" i="8"/>
  <c r="P166" i="8"/>
  <c r="Q166" i="8"/>
  <c r="S166" i="8"/>
  <c r="W166" i="8"/>
  <c r="U166" i="8"/>
  <c r="AB166" i="8"/>
  <c r="V166" i="8" s="1"/>
  <c r="AD166" i="8"/>
  <c r="BK166" i="8"/>
  <c r="J167" i="8"/>
  <c r="AL167" i="8"/>
  <c r="N167" i="8"/>
  <c r="O167" i="8"/>
  <c r="P167" i="8"/>
  <c r="Q167" i="8"/>
  <c r="S167" i="8"/>
  <c r="W167" i="8"/>
  <c r="U167" i="8"/>
  <c r="AB167" i="8"/>
  <c r="V167" i="8" s="1"/>
  <c r="AD167" i="8"/>
  <c r="BK167" i="8"/>
  <c r="J168" i="8"/>
  <c r="AL168" i="8"/>
  <c r="N168" i="8"/>
  <c r="O168" i="8"/>
  <c r="P168" i="8"/>
  <c r="Q168" i="8"/>
  <c r="S168" i="8"/>
  <c r="W168" i="8"/>
  <c r="U168" i="8"/>
  <c r="AB168" i="8"/>
  <c r="V168" i="8" s="1"/>
  <c r="AD168" i="8"/>
  <c r="BK168" i="8"/>
  <c r="J169" i="8"/>
  <c r="AL169" i="8"/>
  <c r="N169" i="8"/>
  <c r="O169" i="8"/>
  <c r="P169" i="8"/>
  <c r="Q169" i="8"/>
  <c r="S169" i="8"/>
  <c r="W169" i="8"/>
  <c r="U169" i="8"/>
  <c r="AB169" i="8"/>
  <c r="V169" i="8" s="1"/>
  <c r="AD169" i="8"/>
  <c r="BK169" i="8"/>
  <c r="J170" i="8"/>
  <c r="AL170" i="8"/>
  <c r="N170" i="8"/>
  <c r="O170" i="8"/>
  <c r="P170" i="8"/>
  <c r="Q170" i="8"/>
  <c r="S170" i="8"/>
  <c r="W170" i="8"/>
  <c r="U170" i="8"/>
  <c r="AB170" i="8"/>
  <c r="V170" i="8" s="1"/>
  <c r="AD170" i="8"/>
  <c r="BK170" i="8"/>
  <c r="J171" i="8"/>
  <c r="AL171" i="8"/>
  <c r="N171" i="8"/>
  <c r="O171" i="8"/>
  <c r="P171" i="8"/>
  <c r="Q171" i="8"/>
  <c r="S171" i="8"/>
  <c r="W171" i="8"/>
  <c r="U171" i="8"/>
  <c r="AB171" i="8"/>
  <c r="V171" i="8" s="1"/>
  <c r="AD171" i="8"/>
  <c r="BK171" i="8"/>
  <c r="J172" i="8"/>
  <c r="AL172" i="8"/>
  <c r="N172" i="8"/>
  <c r="O172" i="8"/>
  <c r="P172" i="8"/>
  <c r="Q172" i="8"/>
  <c r="S172" i="8"/>
  <c r="W172" i="8"/>
  <c r="U172" i="8"/>
  <c r="AB172" i="8"/>
  <c r="V172" i="8" s="1"/>
  <c r="AD172" i="8"/>
  <c r="BK172" i="8"/>
  <c r="J173" i="8"/>
  <c r="AL173" i="8"/>
  <c r="N173" i="8"/>
  <c r="O173" i="8"/>
  <c r="P173" i="8"/>
  <c r="Q173" i="8"/>
  <c r="S173" i="8"/>
  <c r="W173" i="8"/>
  <c r="U173" i="8"/>
  <c r="AB173" i="8"/>
  <c r="V173" i="8" s="1"/>
  <c r="AD173" i="8"/>
  <c r="BK173" i="8"/>
  <c r="J174" i="8"/>
  <c r="AL174" i="8"/>
  <c r="N174" i="8"/>
  <c r="O174" i="8"/>
  <c r="P174" i="8"/>
  <c r="Q174" i="8"/>
  <c r="S174" i="8"/>
  <c r="W174" i="8"/>
  <c r="U174" i="8"/>
  <c r="AB174" i="8"/>
  <c r="V174" i="8" s="1"/>
  <c r="AD174" i="8"/>
  <c r="BK174" i="8"/>
  <c r="J175" i="8"/>
  <c r="AL175" i="8"/>
  <c r="N175" i="8"/>
  <c r="O175" i="8"/>
  <c r="P175" i="8"/>
  <c r="Q175" i="8"/>
  <c r="S175" i="8"/>
  <c r="W175" i="8"/>
  <c r="U175" i="8"/>
  <c r="AB175" i="8"/>
  <c r="V175" i="8" s="1"/>
  <c r="AD175" i="8"/>
  <c r="BK175" i="8"/>
  <c r="J176" i="8"/>
  <c r="AL176" i="8"/>
  <c r="N176" i="8"/>
  <c r="O176" i="8"/>
  <c r="P176" i="8"/>
  <c r="Q176" i="8"/>
  <c r="S176" i="8"/>
  <c r="W176" i="8"/>
  <c r="U176" i="8"/>
  <c r="AB176" i="8"/>
  <c r="V176" i="8" s="1"/>
  <c r="AD176" i="8"/>
  <c r="BK176" i="8"/>
  <c r="J177" i="8"/>
  <c r="AL177" i="8"/>
  <c r="N177" i="8"/>
  <c r="O177" i="8"/>
  <c r="P177" i="8"/>
  <c r="Q177" i="8"/>
  <c r="S177" i="8"/>
  <c r="W177" i="8"/>
  <c r="U177" i="8"/>
  <c r="AB177" i="8"/>
  <c r="V177" i="8" s="1"/>
  <c r="AD177" i="8"/>
  <c r="BK177" i="8"/>
  <c r="J178" i="8"/>
  <c r="AL178" i="8"/>
  <c r="N178" i="8"/>
  <c r="O178" i="8"/>
  <c r="P178" i="8"/>
  <c r="Q178" i="8"/>
  <c r="S178" i="8"/>
  <c r="W178" i="8"/>
  <c r="U178" i="8"/>
  <c r="AB178" i="8"/>
  <c r="V178" i="8" s="1"/>
  <c r="AD178" i="8"/>
  <c r="BK178" i="8"/>
  <c r="J179" i="8"/>
  <c r="AL179" i="8"/>
  <c r="N179" i="8"/>
  <c r="O179" i="8"/>
  <c r="P179" i="8"/>
  <c r="Q179" i="8"/>
  <c r="S179" i="8"/>
  <c r="W179" i="8"/>
  <c r="U179" i="8"/>
  <c r="AB179" i="8"/>
  <c r="V179" i="8" s="1"/>
  <c r="AD179" i="8"/>
  <c r="BK179" i="8"/>
  <c r="J180" i="8"/>
  <c r="AL180" i="8"/>
  <c r="N180" i="8"/>
  <c r="O180" i="8"/>
  <c r="P180" i="8"/>
  <c r="Q180" i="8"/>
  <c r="S180" i="8"/>
  <c r="W180" i="8"/>
  <c r="U180" i="8"/>
  <c r="AB180" i="8"/>
  <c r="V180" i="8" s="1"/>
  <c r="AD180" i="8"/>
  <c r="BK180" i="8"/>
  <c r="J181" i="8"/>
  <c r="AL181" i="8"/>
  <c r="N181" i="8"/>
  <c r="O181" i="8"/>
  <c r="P181" i="8"/>
  <c r="Q181" i="8"/>
  <c r="S181" i="8"/>
  <c r="W181" i="8"/>
  <c r="U181" i="8"/>
  <c r="AB181" i="8"/>
  <c r="V181" i="8" s="1"/>
  <c r="AD181" i="8"/>
  <c r="BK181" i="8"/>
  <c r="J182" i="8"/>
  <c r="AL182" i="8"/>
  <c r="N182" i="8"/>
  <c r="O182" i="8"/>
  <c r="P182" i="8"/>
  <c r="Q182" i="8"/>
  <c r="S182" i="8"/>
  <c r="W182" i="8"/>
  <c r="U182" i="8"/>
  <c r="AB182" i="8"/>
  <c r="V182" i="8" s="1"/>
  <c r="AD182" i="8"/>
  <c r="BK182" i="8"/>
  <c r="J183" i="8"/>
  <c r="AL183" i="8"/>
  <c r="N183" i="8"/>
  <c r="O183" i="8"/>
  <c r="P183" i="8"/>
  <c r="Q183" i="8"/>
  <c r="S183" i="8"/>
  <c r="W183" i="8"/>
  <c r="U183" i="8"/>
  <c r="AB183" i="8"/>
  <c r="V183" i="8" s="1"/>
  <c r="AD183" i="8"/>
  <c r="BK183" i="8"/>
  <c r="J184" i="8"/>
  <c r="AL184" i="8"/>
  <c r="N184" i="8"/>
  <c r="O184" i="8"/>
  <c r="P184" i="8"/>
  <c r="Q184" i="8"/>
  <c r="S184" i="8"/>
  <c r="W184" i="8"/>
  <c r="U184" i="8"/>
  <c r="AB184" i="8"/>
  <c r="V184" i="8" s="1"/>
  <c r="AD184" i="8"/>
  <c r="BK184" i="8"/>
  <c r="J185" i="8"/>
  <c r="AL185" i="8"/>
  <c r="N185" i="8"/>
  <c r="O185" i="8"/>
  <c r="P185" i="8"/>
  <c r="Q185" i="8"/>
  <c r="S185" i="8"/>
  <c r="W185" i="8"/>
  <c r="U185" i="8"/>
  <c r="AB185" i="8"/>
  <c r="V185" i="8" s="1"/>
  <c r="AD185" i="8"/>
  <c r="BK185" i="8"/>
  <c r="J186" i="8"/>
  <c r="AL186" i="8"/>
  <c r="N186" i="8"/>
  <c r="O186" i="8"/>
  <c r="P186" i="8"/>
  <c r="Q186" i="8"/>
  <c r="S186" i="8"/>
  <c r="W186" i="8"/>
  <c r="U186" i="8"/>
  <c r="AB186" i="8"/>
  <c r="V186" i="8" s="1"/>
  <c r="AD186" i="8"/>
  <c r="BK186" i="8"/>
  <c r="J187" i="8"/>
  <c r="AL187" i="8"/>
  <c r="N187" i="8"/>
  <c r="O187" i="8"/>
  <c r="P187" i="8"/>
  <c r="Q187" i="8"/>
  <c r="S187" i="8"/>
  <c r="W187" i="8"/>
  <c r="U187" i="8"/>
  <c r="AB187" i="8"/>
  <c r="V187" i="8" s="1"/>
  <c r="AD187" i="8"/>
  <c r="BK187" i="8"/>
  <c r="J188" i="8"/>
  <c r="AL188" i="8"/>
  <c r="N188" i="8"/>
  <c r="O188" i="8"/>
  <c r="P188" i="8"/>
  <c r="Q188" i="8"/>
  <c r="S188" i="8"/>
  <c r="W188" i="8"/>
  <c r="U188" i="8"/>
  <c r="AB188" i="8"/>
  <c r="V188" i="8" s="1"/>
  <c r="AD188" i="8"/>
  <c r="BK188" i="8"/>
  <c r="AY203" i="8" l="1"/>
  <c r="BU203" i="8"/>
  <c r="AY190" i="8"/>
  <c r="BU190" i="8"/>
  <c r="AY202" i="8"/>
  <c r="BU202" i="8"/>
  <c r="AY181" i="8"/>
  <c r="BU181" i="8"/>
  <c r="BU175" i="8"/>
  <c r="AY175" i="8"/>
  <c r="AY172" i="8"/>
  <c r="BU172" i="8"/>
  <c r="AY170" i="8"/>
  <c r="BU170" i="8"/>
  <c r="AY168" i="8"/>
  <c r="BU168" i="8"/>
  <c r="AY167" i="8"/>
  <c r="BU167" i="8"/>
  <c r="BU165" i="8"/>
  <c r="AY165" i="8"/>
  <c r="BU164" i="8"/>
  <c r="AY164" i="8"/>
  <c r="BU163" i="8"/>
  <c r="AY163" i="8"/>
  <c r="BU162" i="8"/>
  <c r="AY162" i="8"/>
  <c r="BU161" i="8"/>
  <c r="AY161" i="8"/>
  <c r="BU160" i="8"/>
  <c r="AY160" i="8"/>
  <c r="BU159" i="8"/>
  <c r="AY159" i="8"/>
  <c r="BU158" i="8"/>
  <c r="AY158" i="8"/>
  <c r="AY157" i="8"/>
  <c r="BU157" i="8"/>
  <c r="AY156" i="8"/>
  <c r="BU156" i="8"/>
  <c r="AY155" i="8"/>
  <c r="BU155" i="8"/>
  <c r="BU189" i="8"/>
  <c r="AY189" i="8"/>
  <c r="AY191" i="8"/>
  <c r="BU191" i="8"/>
  <c r="AY192" i="8"/>
  <c r="BU192" i="8"/>
  <c r="AY193" i="8"/>
  <c r="BU193" i="8"/>
  <c r="BU194" i="8"/>
  <c r="AY194" i="8"/>
  <c r="BU195" i="8"/>
  <c r="AY195" i="8"/>
  <c r="BU196" i="8"/>
  <c r="AY196" i="8"/>
  <c r="AY197" i="8"/>
  <c r="BU197" i="8"/>
  <c r="AY198" i="8"/>
  <c r="BU198" i="8"/>
  <c r="AY199" i="8"/>
  <c r="BU199" i="8"/>
  <c r="BU200" i="8"/>
  <c r="AY200" i="8"/>
  <c r="BU201" i="8"/>
  <c r="AY201" i="8"/>
  <c r="AY204" i="8"/>
  <c r="BU204" i="8"/>
  <c r="BU188" i="8"/>
  <c r="AY188" i="8"/>
  <c r="AY187" i="8"/>
  <c r="BU187" i="8"/>
  <c r="AY186" i="8"/>
  <c r="BU186" i="8"/>
  <c r="AY185" i="8"/>
  <c r="BU185" i="8"/>
  <c r="AY184" i="8"/>
  <c r="BU184" i="8"/>
  <c r="AY183" i="8"/>
  <c r="BU183" i="8"/>
  <c r="BU182" i="8"/>
  <c r="AY182" i="8"/>
  <c r="AY180" i="8"/>
  <c r="BU180" i="8"/>
  <c r="AY179" i="8"/>
  <c r="BU179" i="8"/>
  <c r="BU178" i="8"/>
  <c r="AY178" i="8"/>
  <c r="BU177" i="8"/>
  <c r="AY177" i="8"/>
  <c r="BU176" i="8"/>
  <c r="AY176" i="8"/>
  <c r="BU174" i="8"/>
  <c r="AY174" i="8"/>
  <c r="BU173" i="8"/>
  <c r="AY173" i="8"/>
  <c r="AY171" i="8"/>
  <c r="BU171" i="8"/>
  <c r="AY169" i="8"/>
  <c r="BU169" i="8"/>
  <c r="BU166" i="8"/>
  <c r="AY166" i="8"/>
  <c r="Y186" i="8"/>
  <c r="AC186" i="8"/>
  <c r="AK186" i="8"/>
  <c r="AW186" i="8" s="1"/>
  <c r="X174" i="8"/>
  <c r="AC174" i="8"/>
  <c r="AK174" i="8"/>
  <c r="AW174" i="8" s="1"/>
  <c r="Z185" i="8"/>
  <c r="AC185" i="8"/>
  <c r="AK185" i="8"/>
  <c r="AC173" i="8"/>
  <c r="AK173" i="8"/>
  <c r="AW173" i="8" s="1"/>
  <c r="AC184" i="8"/>
  <c r="AK184" i="8"/>
  <c r="Z159" i="8"/>
  <c r="AK159" i="8"/>
  <c r="AW159" i="8" s="1"/>
  <c r="AC159" i="8"/>
  <c r="X170" i="8"/>
  <c r="AC170" i="8"/>
  <c r="AK170" i="8"/>
  <c r="AC158" i="8"/>
  <c r="AK158" i="8"/>
  <c r="AW158" i="8" s="1"/>
  <c r="AC157" i="8"/>
  <c r="AK157" i="8"/>
  <c r="AW157" i="8" s="1"/>
  <c r="Z198" i="8"/>
  <c r="AC198" i="8"/>
  <c r="AK198" i="8"/>
  <c r="AW198" i="8" s="1"/>
  <c r="AK180" i="8"/>
  <c r="AW180" i="8" s="1"/>
  <c r="AC180" i="8"/>
  <c r="AC168" i="8"/>
  <c r="AK168" i="8"/>
  <c r="AW168" i="8" s="1"/>
  <c r="Z156" i="8"/>
  <c r="AK156" i="8"/>
  <c r="AW156" i="8" s="1"/>
  <c r="AC156" i="8"/>
  <c r="AC199" i="8"/>
  <c r="AK199" i="8"/>
  <c r="AC193" i="8"/>
  <c r="AK193" i="8"/>
  <c r="AW193" i="8" s="1"/>
  <c r="AC160" i="8"/>
  <c r="AK160" i="8"/>
  <c r="AW160" i="8" s="1"/>
  <c r="AC171" i="8"/>
  <c r="AK171" i="8"/>
  <c r="X179" i="8"/>
  <c r="AK179" i="8"/>
  <c r="AW179" i="8" s="1"/>
  <c r="AC179" i="8"/>
  <c r="Y167" i="8"/>
  <c r="AK167" i="8"/>
  <c r="AW167" i="8" s="1"/>
  <c r="AC167" i="8"/>
  <c r="AK155" i="8"/>
  <c r="AW155" i="8" s="1"/>
  <c r="AC155" i="8"/>
  <c r="AC200" i="8"/>
  <c r="AK200" i="8"/>
  <c r="X178" i="8"/>
  <c r="AC178" i="8"/>
  <c r="AK178" i="8"/>
  <c r="X166" i="8"/>
  <c r="AC166" i="8"/>
  <c r="AK166" i="8"/>
  <c r="AC189" i="8"/>
  <c r="AK189" i="8"/>
  <c r="AC201" i="8"/>
  <c r="AK201" i="8"/>
  <c r="AW201" i="8" s="1"/>
  <c r="AC182" i="8"/>
  <c r="AK182" i="8"/>
  <c r="AW182" i="8" s="1"/>
  <c r="Y177" i="8"/>
  <c r="AK177" i="8"/>
  <c r="AC177" i="8"/>
  <c r="AC165" i="8"/>
  <c r="AK165" i="8"/>
  <c r="AC190" i="8"/>
  <c r="AK190" i="8"/>
  <c r="AC202" i="8"/>
  <c r="AK202" i="8"/>
  <c r="AC162" i="8"/>
  <c r="AK162" i="8"/>
  <c r="AW162" i="8" s="1"/>
  <c r="AC161" i="8"/>
  <c r="AK161" i="8"/>
  <c r="AW161" i="8" s="1"/>
  <c r="AC176" i="8"/>
  <c r="AK176" i="8"/>
  <c r="AW176" i="8" s="1"/>
  <c r="Z164" i="8"/>
  <c r="AC164" i="8"/>
  <c r="AK164" i="8"/>
  <c r="AK191" i="8"/>
  <c r="AW191" i="8" s="1"/>
  <c r="AC191" i="8"/>
  <c r="AC203" i="8"/>
  <c r="AK203" i="8"/>
  <c r="AW203" i="8" s="1"/>
  <c r="X194" i="8"/>
  <c r="AC194" i="8"/>
  <c r="AK194" i="8"/>
  <c r="AW194" i="8" s="1"/>
  <c r="AC172" i="8"/>
  <c r="AK172" i="8"/>
  <c r="AC195" i="8"/>
  <c r="AK195" i="8"/>
  <c r="AW195" i="8" s="1"/>
  <c r="AC183" i="8"/>
  <c r="AK183" i="8"/>
  <c r="AW183" i="8" s="1"/>
  <c r="Z196" i="8"/>
  <c r="AC196" i="8"/>
  <c r="AK196" i="8"/>
  <c r="AW196" i="8" s="1"/>
  <c r="Y197" i="8"/>
  <c r="AC197" i="8"/>
  <c r="AK197" i="8"/>
  <c r="AW197" i="8" s="1"/>
  <c r="AC181" i="8"/>
  <c r="AK181" i="8"/>
  <c r="AW181" i="8" s="1"/>
  <c r="AC169" i="8"/>
  <c r="AK169" i="8"/>
  <c r="AW169" i="8" s="1"/>
  <c r="AK188" i="8"/>
  <c r="AC188" i="8"/>
  <c r="Y187" i="8"/>
  <c r="AC187" i="8"/>
  <c r="AK187" i="8"/>
  <c r="AC175" i="8"/>
  <c r="AK175" i="8"/>
  <c r="AC163" i="8"/>
  <c r="AK163" i="8"/>
  <c r="AK192" i="8"/>
  <c r="AW192" i="8" s="1"/>
  <c r="AC192" i="8"/>
  <c r="AK204" i="8"/>
  <c r="AW204" i="8" s="1"/>
  <c r="AC204" i="8"/>
  <c r="BH185" i="8"/>
  <c r="BF185" i="8"/>
  <c r="BH192" i="8"/>
  <c r="BF192" i="8"/>
  <c r="BF184" i="8"/>
  <c r="BH184" i="8"/>
  <c r="BH172" i="8"/>
  <c r="BF172" i="8"/>
  <c r="BF160" i="8"/>
  <c r="BH160" i="8"/>
  <c r="BH193" i="8"/>
  <c r="BF193" i="8"/>
  <c r="BH173" i="8"/>
  <c r="BF173" i="8"/>
  <c r="BH183" i="8"/>
  <c r="BF183" i="8"/>
  <c r="BH171" i="8"/>
  <c r="BF171" i="8"/>
  <c r="BH159" i="8"/>
  <c r="BF159" i="8"/>
  <c r="BH194" i="8"/>
  <c r="BF194" i="8"/>
  <c r="BH204" i="8"/>
  <c r="BF204" i="8"/>
  <c r="BH182" i="8"/>
  <c r="BF182" i="8"/>
  <c r="BH170" i="8"/>
  <c r="BF170" i="8"/>
  <c r="BH158" i="8"/>
  <c r="BF158" i="8"/>
  <c r="BH195" i="8"/>
  <c r="BF195" i="8"/>
  <c r="BH180" i="8"/>
  <c r="BF180" i="8"/>
  <c r="BH161" i="8"/>
  <c r="BF161" i="8"/>
  <c r="BF181" i="8"/>
  <c r="BH181" i="8"/>
  <c r="BF169" i="8"/>
  <c r="BH169" i="8"/>
  <c r="BF157" i="8"/>
  <c r="BH157" i="8"/>
  <c r="BH196" i="8"/>
  <c r="BF196" i="8"/>
  <c r="BH168" i="8"/>
  <c r="BF168" i="8"/>
  <c r="BH197" i="8"/>
  <c r="BF197" i="8"/>
  <c r="BH167" i="8"/>
  <c r="BF167" i="8"/>
  <c r="BH198" i="8"/>
  <c r="BF198" i="8"/>
  <c r="BH178" i="8"/>
  <c r="BF178" i="8"/>
  <c r="BF199" i="8"/>
  <c r="BH199" i="8"/>
  <c r="BH177" i="8"/>
  <c r="BF177" i="8"/>
  <c r="BH165" i="8"/>
  <c r="BF165" i="8"/>
  <c r="BH200" i="8"/>
  <c r="BF200" i="8"/>
  <c r="BH188" i="8"/>
  <c r="BF188" i="8"/>
  <c r="BH176" i="8"/>
  <c r="BF176" i="8"/>
  <c r="BH164" i="8"/>
  <c r="BF164" i="8"/>
  <c r="BH189" i="8"/>
  <c r="BF189" i="8"/>
  <c r="BH201" i="8"/>
  <c r="BF201" i="8"/>
  <c r="BH156" i="8"/>
  <c r="BF156" i="8"/>
  <c r="BH179" i="8"/>
  <c r="BF179" i="8"/>
  <c r="BH155" i="8"/>
  <c r="BF155" i="8"/>
  <c r="BH166" i="8"/>
  <c r="BF166" i="8"/>
  <c r="BF187" i="8"/>
  <c r="BH187" i="8"/>
  <c r="BH175" i="8"/>
  <c r="BF175" i="8"/>
  <c r="BF163" i="8"/>
  <c r="BH163" i="8"/>
  <c r="BH190" i="8"/>
  <c r="BF190" i="8"/>
  <c r="BH202" i="8"/>
  <c r="BF202" i="8"/>
  <c r="BH186" i="8"/>
  <c r="BF186" i="8"/>
  <c r="BH174" i="8"/>
  <c r="BF174" i="8"/>
  <c r="BH162" i="8"/>
  <c r="BF162" i="8"/>
  <c r="BH191" i="8"/>
  <c r="BF191" i="8"/>
  <c r="BH203" i="8"/>
  <c r="BF203" i="8"/>
  <c r="X162" i="8"/>
  <c r="Y155" i="8"/>
  <c r="X177" i="8"/>
  <c r="Z171" i="8"/>
  <c r="X181" i="8"/>
  <c r="Y158" i="8"/>
  <c r="Y164" i="8"/>
  <c r="Z179" i="8"/>
  <c r="Y178" i="8"/>
  <c r="Y189" i="8"/>
  <c r="Z189" i="8"/>
  <c r="Y176" i="8"/>
  <c r="Z186" i="8"/>
  <c r="X171" i="8"/>
  <c r="Z187" i="8"/>
  <c r="X167" i="8"/>
  <c r="Z161" i="8"/>
  <c r="AV178" i="8"/>
  <c r="Z162" i="8"/>
  <c r="Z183" i="8"/>
  <c r="Z177" i="8"/>
  <c r="Y162" i="8"/>
  <c r="BG194" i="8"/>
  <c r="X203" i="8"/>
  <c r="Y185" i="8"/>
  <c r="BI204" i="8"/>
  <c r="Z170" i="8"/>
  <c r="X185" i="8"/>
  <c r="X180" i="8"/>
  <c r="Z166" i="8"/>
  <c r="Y161" i="8"/>
  <c r="X160" i="8"/>
  <c r="BI203" i="8"/>
  <c r="Y170" i="8"/>
  <c r="AV166" i="8"/>
  <c r="X161" i="8"/>
  <c r="X190" i="8"/>
  <c r="X196" i="8"/>
  <c r="Z174" i="8"/>
  <c r="X195" i="8"/>
  <c r="Y171" i="8"/>
  <c r="Y200" i="8"/>
  <c r="Y179" i="8"/>
  <c r="X172" i="8"/>
  <c r="Z165" i="8"/>
  <c r="X173" i="8"/>
  <c r="X186" i="8"/>
  <c r="Z173" i="8"/>
  <c r="Y166" i="8"/>
  <c r="Y163" i="8"/>
  <c r="X165" i="8"/>
  <c r="X163" i="8"/>
  <c r="X155" i="8"/>
  <c r="Z178" i="8"/>
  <c r="X157" i="8"/>
  <c r="Z197" i="8"/>
  <c r="X202" i="8"/>
  <c r="Z168" i="8"/>
  <c r="Y159" i="8"/>
  <c r="Y182" i="8"/>
  <c r="Y174" i="8"/>
  <c r="Z158" i="8"/>
  <c r="X200" i="8"/>
  <c r="Y173" i="8"/>
  <c r="Y175" i="8"/>
  <c r="Y183" i="8"/>
  <c r="Z182" i="8"/>
  <c r="X175" i="8"/>
  <c r="X182" i="8"/>
  <c r="X191" i="8"/>
  <c r="Y199" i="8"/>
  <c r="Z175" i="8"/>
  <c r="Z180" i="8"/>
  <c r="X158" i="8"/>
  <c r="X198" i="8"/>
  <c r="Z199" i="8"/>
  <c r="AV181" i="8"/>
  <c r="AV169" i="8"/>
  <c r="AV185" i="8"/>
  <c r="AV173" i="8"/>
  <c r="AV182" i="8"/>
  <c r="AV188" i="8"/>
  <c r="AV170" i="8"/>
  <c r="AV157" i="8"/>
  <c r="BG199" i="8"/>
  <c r="AV161" i="8"/>
  <c r="AV158" i="8"/>
  <c r="X183" i="8"/>
  <c r="X159" i="8"/>
  <c r="Z195" i="8"/>
  <c r="AV155" i="8"/>
  <c r="Z191" i="8"/>
  <c r="Y196" i="8"/>
  <c r="Z200" i="8"/>
  <c r="AV186" i="8"/>
  <c r="Y180" i="8"/>
  <c r="AV174" i="8"/>
  <c r="Y168" i="8"/>
  <c r="Z163" i="8"/>
  <c r="AV162" i="8"/>
  <c r="Y156" i="8"/>
  <c r="X197" i="8"/>
  <c r="X201" i="8"/>
  <c r="AV184" i="8"/>
  <c r="Z190" i="8"/>
  <c r="AV179" i="8"/>
  <c r="X168" i="8"/>
  <c r="AV164" i="8"/>
  <c r="Y192" i="8"/>
  <c r="BI201" i="8"/>
  <c r="Z201" i="8"/>
  <c r="Y202" i="8"/>
  <c r="X176" i="8"/>
  <c r="AV165" i="8"/>
  <c r="Z194" i="8"/>
  <c r="Y188" i="8"/>
  <c r="AV167" i="8"/>
  <c r="X187" i="8"/>
  <c r="AV176" i="8"/>
  <c r="Z184" i="8"/>
  <c r="AV183" i="8"/>
  <c r="Z172" i="8"/>
  <c r="AV171" i="8"/>
  <c r="Y165" i="8"/>
  <c r="Z160" i="8"/>
  <c r="AV159" i="8"/>
  <c r="Z192" i="8"/>
  <c r="BG202" i="8"/>
  <c r="Z202" i="8"/>
  <c r="Y203" i="8"/>
  <c r="Y194" i="8"/>
  <c r="AV172" i="8"/>
  <c r="X192" i="8"/>
  <c r="Y201" i="8"/>
  <c r="Y184" i="8"/>
  <c r="Y172" i="8"/>
  <c r="Z167" i="8"/>
  <c r="Y160" i="8"/>
  <c r="Z155" i="8"/>
  <c r="X193" i="8"/>
  <c r="Y198" i="8"/>
  <c r="Z203" i="8"/>
  <c r="X204" i="8"/>
  <c r="AV177" i="8"/>
  <c r="X164" i="8"/>
  <c r="Y195" i="8"/>
  <c r="Y191" i="8"/>
  <c r="X188" i="8"/>
  <c r="BI167" i="8"/>
  <c r="Y193" i="8"/>
  <c r="Y204" i="8"/>
  <c r="X169" i="8"/>
  <c r="Y190" i="8"/>
  <c r="X156" i="8"/>
  <c r="Z169" i="8"/>
  <c r="AV168" i="8"/>
  <c r="Z157" i="8"/>
  <c r="AV156" i="8"/>
  <c r="Z193" i="8"/>
  <c r="Z204" i="8"/>
  <c r="Z188" i="8"/>
  <c r="AV160" i="8"/>
  <c r="X184" i="8"/>
  <c r="Z181" i="8"/>
  <c r="AV180" i="8"/>
  <c r="AV187" i="8"/>
  <c r="Y181" i="8"/>
  <c r="Z176" i="8"/>
  <c r="AV175" i="8"/>
  <c r="Y169" i="8"/>
  <c r="AV163" i="8"/>
  <c r="Y157" i="8"/>
  <c r="X189" i="8"/>
  <c r="X199" i="8"/>
  <c r="AV202" i="8"/>
  <c r="AV203" i="8"/>
  <c r="AV201" i="8"/>
  <c r="AZ201" i="8"/>
  <c r="AZ202" i="8"/>
  <c r="AZ203" i="8"/>
  <c r="AZ204" i="8"/>
  <c r="BG201" i="8"/>
  <c r="BG204" i="8"/>
  <c r="BG203" i="8"/>
  <c r="BI202" i="8"/>
  <c r="AV204" i="8"/>
  <c r="AZ193" i="8"/>
  <c r="BG193" i="8"/>
  <c r="AZ199" i="8"/>
  <c r="BI191" i="8"/>
  <c r="AZ191" i="8"/>
  <c r="BG191" i="8"/>
  <c r="BI196" i="8"/>
  <c r="AZ196" i="8"/>
  <c r="BG196" i="8"/>
  <c r="BI195" i="8"/>
  <c r="BG195" i="8"/>
  <c r="AZ195" i="8"/>
  <c r="BI198" i="8"/>
  <c r="AZ198" i="8"/>
  <c r="BG198" i="8"/>
  <c r="BI189" i="8"/>
  <c r="AZ189" i="8"/>
  <c r="BG189" i="8"/>
  <c r="BI190" i="8"/>
  <c r="BG190" i="8"/>
  <c r="AZ190" i="8"/>
  <c r="BI200" i="8"/>
  <c r="BG200" i="8"/>
  <c r="AZ200" i="8"/>
  <c r="AV189" i="8"/>
  <c r="BI197" i="8"/>
  <c r="AZ197" i="8"/>
  <c r="AV199" i="8"/>
  <c r="AV192" i="8"/>
  <c r="AV197" i="8"/>
  <c r="AV195" i="8"/>
  <c r="BI194" i="8"/>
  <c r="AZ194" i="8"/>
  <c r="BI199" i="8"/>
  <c r="BI192" i="8"/>
  <c r="AZ192" i="8"/>
  <c r="AV193" i="8"/>
  <c r="BG197" i="8"/>
  <c r="AV196" i="8"/>
  <c r="AV194" i="8"/>
  <c r="BI193" i="8"/>
  <c r="BG192" i="8"/>
  <c r="AV198" i="8"/>
  <c r="AV190" i="8"/>
  <c r="AV200" i="8"/>
  <c r="AV191" i="8"/>
  <c r="BI156" i="8"/>
  <c r="BG182" i="8"/>
  <c r="BI182" i="8"/>
  <c r="BI183" i="8"/>
  <c r="BG176" i="8"/>
  <c r="BI176" i="8"/>
  <c r="BG174" i="8"/>
  <c r="BI174" i="8"/>
  <c r="BI169" i="8"/>
  <c r="BG173" i="8"/>
  <c r="BI158" i="8"/>
  <c r="BG158" i="8"/>
  <c r="BI171" i="8"/>
  <c r="BG171" i="8"/>
  <c r="BI187" i="8"/>
  <c r="BG185" i="8"/>
  <c r="BI160" i="8"/>
  <c r="BG161" i="8"/>
  <c r="BI161" i="8"/>
  <c r="BG165" i="8"/>
  <c r="BG164" i="8"/>
  <c r="BI164" i="8"/>
  <c r="BG179" i="8"/>
  <c r="BI179" i="8"/>
  <c r="BI175" i="8"/>
  <c r="BG178" i="8"/>
  <c r="BI178" i="8"/>
  <c r="BG188" i="8"/>
  <c r="BI188" i="8"/>
  <c r="BG168" i="8"/>
  <c r="BI168" i="8"/>
  <c r="BI185" i="8"/>
  <c r="BG183" i="8"/>
  <c r="BI165" i="8"/>
  <c r="BG159" i="8"/>
  <c r="BI159" i="8"/>
  <c r="BG163" i="8"/>
  <c r="BI163" i="8"/>
  <c r="BG175" i="8"/>
  <c r="BG162" i="8"/>
  <c r="BG186" i="8"/>
  <c r="BI186" i="8"/>
  <c r="BG177" i="8"/>
  <c r="BI177" i="8"/>
  <c r="BG180" i="8"/>
  <c r="BG160" i="8"/>
  <c r="BI184" i="8"/>
  <c r="BI181" i="8"/>
  <c r="BG181" i="8"/>
  <c r="BI180" i="8"/>
  <c r="BI170" i="8"/>
  <c r="BG170" i="8"/>
  <c r="BG167" i="8"/>
  <c r="BG166" i="8"/>
  <c r="BI166" i="8"/>
  <c r="BG155" i="8"/>
  <c r="BI155" i="8"/>
  <c r="BG157" i="8"/>
  <c r="BI157" i="8"/>
  <c r="BI162" i="8"/>
  <c r="BG172" i="8"/>
  <c r="BI172" i="8"/>
  <c r="BG187" i="8"/>
  <c r="BG184" i="8"/>
  <c r="BG169" i="8"/>
  <c r="BG156" i="8"/>
  <c r="BI173"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T30" i="23"/>
  <c r="M173" i="8" l="1"/>
  <c r="M177" i="8"/>
  <c r="M170" i="8"/>
  <c r="M184" i="8"/>
  <c r="M191" i="8"/>
  <c r="M161" i="8"/>
  <c r="M162" i="8"/>
  <c r="M171" i="8"/>
  <c r="M179" i="8"/>
  <c r="M186" i="8"/>
  <c r="AW166" i="8"/>
  <c r="AW185" i="8"/>
  <c r="M158" i="8"/>
  <c r="AW199" i="8"/>
  <c r="AW188" i="8"/>
  <c r="AW190" i="8"/>
  <c r="AW178" i="8"/>
  <c r="M176" i="8"/>
  <c r="AW202" i="8"/>
  <c r="AW163" i="8"/>
  <c r="AW172" i="8"/>
  <c r="AW164" i="8"/>
  <c r="AW184" i="8"/>
  <c r="AW200" i="8"/>
  <c r="AW165" i="8"/>
  <c r="AW171" i="8"/>
  <c r="M189" i="8"/>
  <c r="AW187" i="8"/>
  <c r="AW189" i="8"/>
  <c r="AW177" i="8"/>
  <c r="AW170" i="8"/>
  <c r="AW175" i="8"/>
  <c r="AX203" i="8"/>
  <c r="AX169" i="8"/>
  <c r="AX196" i="8"/>
  <c r="M190" i="8"/>
  <c r="M167" i="8"/>
  <c r="AX202" i="8"/>
  <c r="AX195" i="8"/>
  <c r="M172" i="8"/>
  <c r="AX172" i="8"/>
  <c r="M159" i="8"/>
  <c r="M182" i="8"/>
  <c r="M157" i="8"/>
  <c r="M183" i="8"/>
  <c r="M175" i="8"/>
  <c r="M155" i="8"/>
  <c r="M192" i="8"/>
  <c r="AX156" i="8"/>
  <c r="AX158" i="8"/>
  <c r="AX179" i="8"/>
  <c r="AX173" i="8"/>
  <c r="AX174" i="8"/>
  <c r="M178" i="8"/>
  <c r="M199" i="8"/>
  <c r="M163" i="8"/>
  <c r="M200" i="8"/>
  <c r="M174" i="8"/>
  <c r="AX168" i="8"/>
  <c r="M185" i="8"/>
  <c r="AX176" i="8"/>
  <c r="AX190" i="8"/>
  <c r="AX198" i="8"/>
  <c r="AX204" i="8"/>
  <c r="AX163" i="8"/>
  <c r="M169" i="8"/>
  <c r="AX167" i="8"/>
  <c r="AX185" i="8"/>
  <c r="AX157" i="8"/>
  <c r="M165" i="8"/>
  <c r="AX184" i="8"/>
  <c r="AX159" i="8"/>
  <c r="AX193" i="8"/>
  <c r="M201" i="8"/>
  <c r="M180" i="8"/>
  <c r="M160" i="8"/>
  <c r="M202" i="8"/>
  <c r="M197" i="8"/>
  <c r="M168" i="8"/>
  <c r="M181" i="8"/>
  <c r="M203" i="8"/>
  <c r="M166" i="8"/>
  <c r="AX178" i="8"/>
  <c r="M196" i="8"/>
  <c r="AX189" i="8"/>
  <c r="AX170" i="8"/>
  <c r="AX191" i="8"/>
  <c r="AX200" i="8"/>
  <c r="M204" i="8"/>
  <c r="AX160" i="8"/>
  <c r="AX181" i="8"/>
  <c r="AX180" i="8"/>
  <c r="M198" i="8"/>
  <c r="M187" i="8"/>
  <c r="M195" i="8"/>
  <c r="AX164" i="8"/>
  <c r="AX197" i="8"/>
  <c r="AX171" i="8"/>
  <c r="AX183" i="8"/>
  <c r="M193" i="8"/>
  <c r="AX161" i="8"/>
  <c r="M164" i="8"/>
  <c r="AX201" i="8"/>
  <c r="AX186" i="8"/>
  <c r="M156" i="8"/>
  <c r="AX175" i="8"/>
  <c r="AX188" i="8"/>
  <c r="AX165" i="8"/>
  <c r="AX199" i="8"/>
  <c r="AX187" i="8"/>
  <c r="AX166" i="8"/>
  <c r="AX155" i="8"/>
  <c r="AX162" i="8"/>
  <c r="AX182" i="8"/>
  <c r="AX177" i="8"/>
  <c r="AX192" i="8"/>
  <c r="AX194" i="8"/>
  <c r="M188" i="8"/>
  <c r="M194" i="8"/>
  <c r="N2" i="8"/>
  <c r="N3" i="8" l="1"/>
  <c r="S29" i="31" l="1"/>
  <c r="S28" i="31"/>
  <c r="S26" i="31"/>
  <c r="D10" i="26" l="1"/>
  <c r="AP190" i="8" l="1"/>
  <c r="AP175" i="8"/>
  <c r="AP184" i="8"/>
  <c r="AP155" i="8"/>
  <c r="AP177" i="8"/>
  <c r="AP186" i="8"/>
  <c r="AP200" i="8"/>
  <c r="AP201" i="8"/>
  <c r="AP169" i="8"/>
  <c r="AP166" i="8"/>
  <c r="AP182" i="8"/>
  <c r="AP170" i="8"/>
  <c r="AP168" i="8"/>
  <c r="AP202" i="8"/>
  <c r="AP191" i="8"/>
  <c r="AP195" i="8"/>
  <c r="AP188" i="8"/>
  <c r="AP167" i="8"/>
  <c r="AP181" i="8"/>
  <c r="AP193" i="8"/>
  <c r="AP203" i="8"/>
  <c r="AP187" i="8"/>
  <c r="AP164" i="8"/>
  <c r="AP178" i="8"/>
  <c r="AP185" i="8"/>
  <c r="AP162" i="8"/>
  <c r="AP183" i="8"/>
  <c r="AP165" i="8"/>
  <c r="AP194" i="8"/>
  <c r="AP176" i="8"/>
  <c r="AP159" i="8"/>
  <c r="AP204" i="8"/>
  <c r="AP192" i="8"/>
  <c r="AP172" i="8"/>
  <c r="AP160" i="8"/>
  <c r="AP189" i="8"/>
  <c r="AP173" i="8"/>
  <c r="AP171" i="8"/>
  <c r="AP198" i="8"/>
  <c r="AP196" i="8"/>
  <c r="AP199" i="8"/>
  <c r="AP180" i="8"/>
  <c r="AP158" i="8"/>
  <c r="AP163" i="8"/>
  <c r="AP179" i="8"/>
  <c r="AP157" i="8"/>
  <c r="AP161" i="8"/>
  <c r="AP197" i="8"/>
  <c r="AP156" i="8"/>
  <c r="AP174" i="8"/>
  <c r="AT158" i="8"/>
  <c r="AT182" i="8"/>
  <c r="AT191" i="8"/>
  <c r="AT169" i="8"/>
  <c r="AT194" i="8"/>
  <c r="AT193" i="8"/>
  <c r="AT197" i="8"/>
  <c r="AT200" i="8"/>
  <c r="AT176" i="8"/>
  <c r="AT160" i="8"/>
  <c r="AT175" i="8"/>
  <c r="AT178" i="8"/>
  <c r="AT166" i="8"/>
  <c r="AT203" i="8"/>
  <c r="AT195" i="8"/>
  <c r="AT171" i="8"/>
  <c r="AT167" i="8"/>
  <c r="AT163" i="8"/>
  <c r="AT159" i="8"/>
  <c r="AT156" i="8"/>
  <c r="AT188" i="8"/>
  <c r="AT185" i="8"/>
  <c r="AT177" i="8"/>
  <c r="AT170" i="8"/>
  <c r="AT181" i="8"/>
  <c r="AT162" i="8"/>
  <c r="AT161" i="8"/>
  <c r="AT180" i="8"/>
  <c r="AT179" i="8"/>
  <c r="AT172" i="8"/>
  <c r="AT202" i="8"/>
  <c r="AT192" i="8"/>
  <c r="AT173" i="8"/>
  <c r="AT157" i="8"/>
  <c r="AT183" i="8"/>
  <c r="AT204" i="8"/>
  <c r="AT164" i="8"/>
  <c r="AT190" i="8"/>
  <c r="AT199" i="8"/>
  <c r="AT198" i="8"/>
  <c r="AT168" i="8"/>
  <c r="AT155" i="8"/>
  <c r="AT174" i="8"/>
  <c r="AT186" i="8"/>
  <c r="AT165" i="8"/>
  <c r="AT184" i="8"/>
  <c r="AT201" i="8"/>
  <c r="AT189" i="8"/>
  <c r="AT196" i="8"/>
  <c r="AT187" i="8"/>
  <c r="AR193" i="8"/>
  <c r="AR174" i="8"/>
  <c r="AR165" i="8"/>
  <c r="AR163" i="8"/>
  <c r="AR155" i="8"/>
  <c r="AR201" i="8"/>
  <c r="AR199" i="8"/>
  <c r="AR195" i="8"/>
  <c r="AR192" i="8"/>
  <c r="AR198" i="8"/>
  <c r="AR182" i="8"/>
  <c r="AR184" i="8"/>
  <c r="AR189" i="8"/>
  <c r="AR158" i="8"/>
  <c r="AR188" i="8"/>
  <c r="AR202" i="8"/>
  <c r="AR191" i="8"/>
  <c r="AR177" i="8"/>
  <c r="AR203" i="8"/>
  <c r="AR161" i="8"/>
  <c r="AR164" i="8"/>
  <c r="AR159" i="8"/>
  <c r="AR180" i="8"/>
  <c r="AR156" i="8"/>
  <c r="AR200" i="8"/>
  <c r="AR169" i="8"/>
  <c r="AR173" i="8"/>
  <c r="AR183" i="8"/>
  <c r="AR172" i="8"/>
  <c r="AR204" i="8"/>
  <c r="AR190" i="8"/>
  <c r="AR197" i="8"/>
  <c r="AR176" i="8"/>
  <c r="AR178" i="8"/>
  <c r="AR168" i="8"/>
  <c r="AR179" i="8"/>
  <c r="AR196" i="8"/>
  <c r="AR166" i="8"/>
  <c r="AR170" i="8"/>
  <c r="AR175" i="8"/>
  <c r="AR185" i="8"/>
  <c r="AR194" i="8"/>
  <c r="AR171" i="8"/>
  <c r="AR162" i="8"/>
  <c r="AR160" i="8"/>
  <c r="AR181" i="8"/>
  <c r="AR167" i="8"/>
  <c r="AR157" i="8"/>
  <c r="AR187" i="8"/>
  <c r="AR186" i="8"/>
  <c r="BK273" i="8"/>
  <c r="BD273" i="8"/>
  <c r="BC273" i="8"/>
  <c r="BB273" i="8"/>
  <c r="BA273" i="8"/>
  <c r="AN273" i="8"/>
  <c r="AM273" i="8"/>
  <c r="BJ273" i="8" s="1"/>
  <c r="AD273" i="8"/>
  <c r="AC273" i="8"/>
  <c r="AB273" i="8"/>
  <c r="V273" i="8" s="1"/>
  <c r="Z273" i="8"/>
  <c r="Y273" i="8"/>
  <c r="X273" i="8"/>
  <c r="W273" i="8"/>
  <c r="T273" i="8"/>
  <c r="S273" i="8"/>
  <c r="R273" i="8"/>
  <c r="Q273" i="8"/>
  <c r="P273" i="8"/>
  <c r="O273" i="8"/>
  <c r="N273" i="8"/>
  <c r="K273" i="8"/>
  <c r="AL273" i="8" s="1"/>
  <c r="BK272" i="8"/>
  <c r="BD272" i="8"/>
  <c r="BC272" i="8"/>
  <c r="BB272" i="8"/>
  <c r="BA272" i="8"/>
  <c r="AN272" i="8"/>
  <c r="AM272" i="8"/>
  <c r="BJ272" i="8" s="1"/>
  <c r="AD272" i="8"/>
  <c r="AC272" i="8"/>
  <c r="AB272" i="8"/>
  <c r="V272" i="8" s="1"/>
  <c r="Z272" i="8"/>
  <c r="Y272" i="8"/>
  <c r="X272" i="8"/>
  <c r="W272" i="8"/>
  <c r="T272" i="8"/>
  <c r="S272" i="8"/>
  <c r="R272" i="8"/>
  <c r="Q272" i="8"/>
  <c r="P272" i="8"/>
  <c r="O272" i="8"/>
  <c r="N272" i="8"/>
  <c r="K272" i="8"/>
  <c r="AL272" i="8" s="1"/>
  <c r="BK271" i="8"/>
  <c r="BD271" i="8"/>
  <c r="BC271" i="8"/>
  <c r="BB271" i="8"/>
  <c r="BA271" i="8"/>
  <c r="AN271" i="8"/>
  <c r="AM271" i="8"/>
  <c r="BJ271" i="8" s="1"/>
  <c r="AD271" i="8"/>
  <c r="AC271" i="8"/>
  <c r="AB271" i="8"/>
  <c r="V271" i="8" s="1"/>
  <c r="Z271" i="8"/>
  <c r="Y271" i="8"/>
  <c r="X271" i="8"/>
  <c r="W271" i="8"/>
  <c r="T271" i="8"/>
  <c r="S271" i="8"/>
  <c r="R271" i="8"/>
  <c r="Q271" i="8"/>
  <c r="P271" i="8"/>
  <c r="O271" i="8"/>
  <c r="N271" i="8"/>
  <c r="K271" i="8"/>
  <c r="AL271" i="8" s="1"/>
  <c r="BK266" i="8"/>
  <c r="BD266" i="8"/>
  <c r="BC266" i="8"/>
  <c r="BB266" i="8"/>
  <c r="BA266" i="8"/>
  <c r="AN266" i="8"/>
  <c r="AM266" i="8"/>
  <c r="BJ266" i="8" s="1"/>
  <c r="AD266" i="8"/>
  <c r="AC266" i="8"/>
  <c r="AB266" i="8"/>
  <c r="V266" i="8" s="1"/>
  <c r="Z266" i="8"/>
  <c r="Y266" i="8"/>
  <c r="X266" i="8"/>
  <c r="W266" i="8"/>
  <c r="T266" i="8"/>
  <c r="S266" i="8"/>
  <c r="R266" i="8"/>
  <c r="Q266" i="8"/>
  <c r="P266" i="8"/>
  <c r="O266" i="8"/>
  <c r="N266" i="8"/>
  <c r="K266" i="8"/>
  <c r="AL266" i="8" s="1"/>
  <c r="BK265" i="8"/>
  <c r="BD265" i="8"/>
  <c r="BC265" i="8"/>
  <c r="BB265" i="8"/>
  <c r="BA265" i="8"/>
  <c r="AN265" i="8"/>
  <c r="AM265" i="8"/>
  <c r="BJ265" i="8" s="1"/>
  <c r="AD265" i="8"/>
  <c r="AC265" i="8"/>
  <c r="AB265" i="8"/>
  <c r="V265" i="8" s="1"/>
  <c r="Z265" i="8"/>
  <c r="Y265" i="8"/>
  <c r="X265" i="8"/>
  <c r="W265" i="8"/>
  <c r="T265" i="8"/>
  <c r="S265" i="8"/>
  <c r="R265" i="8"/>
  <c r="Q265" i="8"/>
  <c r="P265" i="8"/>
  <c r="O265" i="8"/>
  <c r="N265" i="8"/>
  <c r="K265" i="8"/>
  <c r="AL265" i="8" s="1"/>
  <c r="BK264" i="8"/>
  <c r="BD264" i="8"/>
  <c r="BC264" i="8"/>
  <c r="BB264" i="8"/>
  <c r="BA264" i="8"/>
  <c r="AN264" i="8"/>
  <c r="AM264" i="8"/>
  <c r="BJ264" i="8" s="1"/>
  <c r="AD264" i="8"/>
  <c r="AC264" i="8"/>
  <c r="AB264" i="8"/>
  <c r="V264" i="8" s="1"/>
  <c r="Z264" i="8"/>
  <c r="Y264" i="8"/>
  <c r="X264" i="8"/>
  <c r="W264" i="8"/>
  <c r="T264" i="8"/>
  <c r="S264" i="8"/>
  <c r="R264" i="8"/>
  <c r="Q264" i="8"/>
  <c r="P264" i="8"/>
  <c r="O264" i="8"/>
  <c r="N264" i="8"/>
  <c r="K264" i="8"/>
  <c r="AL264" i="8" s="1"/>
  <c r="BK259" i="8"/>
  <c r="BD259" i="8"/>
  <c r="BC259" i="8"/>
  <c r="BB259" i="8"/>
  <c r="BA259" i="8"/>
  <c r="AN259" i="8"/>
  <c r="AM259" i="8"/>
  <c r="BJ259" i="8" s="1"/>
  <c r="AD259" i="8"/>
  <c r="AC259" i="8"/>
  <c r="AB259" i="8"/>
  <c r="V259" i="8" s="1"/>
  <c r="Z259" i="8"/>
  <c r="Y259" i="8"/>
  <c r="X259" i="8"/>
  <c r="W259" i="8"/>
  <c r="T259" i="8"/>
  <c r="S259" i="8"/>
  <c r="R259" i="8"/>
  <c r="Q259" i="8"/>
  <c r="P259" i="8"/>
  <c r="O259" i="8"/>
  <c r="N259" i="8"/>
  <c r="BK258" i="8"/>
  <c r="BD258" i="8"/>
  <c r="BC258" i="8"/>
  <c r="BB258" i="8"/>
  <c r="BA258" i="8"/>
  <c r="AN258" i="8"/>
  <c r="AM258" i="8"/>
  <c r="BJ258" i="8" s="1"/>
  <c r="AD258" i="8"/>
  <c r="AC258" i="8"/>
  <c r="AB258" i="8"/>
  <c r="V258" i="8" s="1"/>
  <c r="Z258" i="8"/>
  <c r="Y258" i="8"/>
  <c r="X258" i="8"/>
  <c r="W258" i="8"/>
  <c r="T258" i="8"/>
  <c r="S258" i="8"/>
  <c r="R258" i="8"/>
  <c r="Q258" i="8"/>
  <c r="P258" i="8"/>
  <c r="O258" i="8"/>
  <c r="N258" i="8"/>
  <c r="BK257" i="8"/>
  <c r="BD257" i="8"/>
  <c r="BC257" i="8"/>
  <c r="BB257" i="8"/>
  <c r="BA257" i="8"/>
  <c r="AN257" i="8"/>
  <c r="AM257" i="8"/>
  <c r="BJ257" i="8" s="1"/>
  <c r="AD257" i="8"/>
  <c r="AC257" i="8"/>
  <c r="AB257" i="8"/>
  <c r="V257" i="8" s="1"/>
  <c r="Z257" i="8"/>
  <c r="Y257" i="8"/>
  <c r="X257" i="8"/>
  <c r="W257" i="8"/>
  <c r="T257" i="8"/>
  <c r="S257" i="8"/>
  <c r="R257" i="8"/>
  <c r="Q257" i="8"/>
  <c r="P257" i="8"/>
  <c r="O257" i="8"/>
  <c r="N257" i="8"/>
  <c r="K259" i="8"/>
  <c r="AL259" i="8" s="1"/>
  <c r="K258" i="8"/>
  <c r="AL258" i="8" s="1"/>
  <c r="K257" i="8"/>
  <c r="AL257" i="8" s="1"/>
  <c r="U259" i="8" l="1"/>
  <c r="U264" i="8"/>
  <c r="U258" i="8"/>
  <c r="M258" i="8" s="1"/>
  <c r="U265" i="8"/>
  <c r="M265" i="8" s="1"/>
  <c r="BH258" i="8"/>
  <c r="BF258" i="8"/>
  <c r="BH273" i="8"/>
  <c r="BF273" i="8"/>
  <c r="BH264" i="8"/>
  <c r="BF264" i="8"/>
  <c r="BH272" i="8"/>
  <c r="BF272" i="8"/>
  <c r="BF259" i="8"/>
  <c r="BH259" i="8"/>
  <c r="BH271" i="8"/>
  <c r="BF271" i="8"/>
  <c r="BH266" i="8"/>
  <c r="BF266" i="8"/>
  <c r="BH257" i="8"/>
  <c r="BF257" i="8"/>
  <c r="BF265" i="8"/>
  <c r="BH265" i="8"/>
  <c r="BI257" i="8"/>
  <c r="BI266" i="8"/>
  <c r="AK266" i="8"/>
  <c r="AW266" i="8" s="1"/>
  <c r="AK271" i="8"/>
  <c r="AK272" i="8"/>
  <c r="AK259" i="8"/>
  <c r="U272" i="8"/>
  <c r="M272" i="8" s="1"/>
  <c r="BI273" i="8"/>
  <c r="BI258" i="8"/>
  <c r="AZ258" i="8"/>
  <c r="AZ264" i="8"/>
  <c r="BI264" i="8"/>
  <c r="AZ259" i="8"/>
  <c r="BI259" i="8"/>
  <c r="AK257" i="8"/>
  <c r="U271" i="8"/>
  <c r="M271" i="8" s="1"/>
  <c r="M259" i="8"/>
  <c r="M264" i="8"/>
  <c r="AK273" i="8"/>
  <c r="BG271" i="8"/>
  <c r="BI271" i="8"/>
  <c r="AZ271" i="8"/>
  <c r="BI272" i="8"/>
  <c r="AZ272" i="8"/>
  <c r="BG272" i="8"/>
  <c r="U273" i="8"/>
  <c r="M273" i="8" s="1"/>
  <c r="BG273" i="8"/>
  <c r="AZ273" i="8"/>
  <c r="BI265" i="8"/>
  <c r="AZ265" i="8"/>
  <c r="BG265" i="8"/>
  <c r="AK265" i="8"/>
  <c r="AW265" i="8" s="1"/>
  <c r="AK264" i="8"/>
  <c r="AW264" i="8" s="1"/>
  <c r="U266" i="8"/>
  <c r="M266" i="8" s="1"/>
  <c r="BG266" i="8"/>
  <c r="BG264" i="8"/>
  <c r="AZ266" i="8"/>
  <c r="BG259" i="8"/>
  <c r="AK258" i="8"/>
  <c r="AW258" i="8" s="1"/>
  <c r="BG258" i="8"/>
  <c r="U257" i="8"/>
  <c r="M257" i="8" s="1"/>
  <c r="BG257" i="8"/>
  <c r="AZ257" i="8"/>
  <c r="AW271" i="8" l="1"/>
  <c r="AW273" i="8"/>
  <c r="AW257" i="8"/>
  <c r="AW272" i="8"/>
  <c r="AW259" i="8"/>
  <c r="AX258" i="8"/>
  <c r="AX259" i="8"/>
  <c r="AX273" i="8"/>
  <c r="AX266" i="8"/>
  <c r="AX265" i="8"/>
  <c r="AX257" i="8"/>
  <c r="AX272" i="8"/>
  <c r="AX264" i="8"/>
  <c r="AX271" i="8"/>
  <c r="J6" i="8"/>
  <c r="J7" i="8"/>
  <c r="AC7" i="8" s="1"/>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U60" i="11" l="1"/>
  <c r="AC148" i="8"/>
  <c r="AC136" i="8"/>
  <c r="AC100" i="8"/>
  <c r="AC76" i="8"/>
  <c r="AC52" i="8"/>
  <c r="AC40" i="8"/>
  <c r="AC135" i="8"/>
  <c r="AK135" i="8"/>
  <c r="AC75" i="8"/>
  <c r="AC146" i="8"/>
  <c r="AC110" i="8"/>
  <c r="AC86" i="8"/>
  <c r="AC62" i="8"/>
  <c r="AC50" i="8"/>
  <c r="AC97" i="8"/>
  <c r="AK144" i="8"/>
  <c r="AC144" i="8"/>
  <c r="AC96" i="8"/>
  <c r="AC24" i="8"/>
  <c r="AC131" i="8"/>
  <c r="AC71" i="8"/>
  <c r="AC154" i="8"/>
  <c r="AC142" i="8"/>
  <c r="AC130" i="8"/>
  <c r="AC118" i="8"/>
  <c r="AC106" i="8"/>
  <c r="AC94" i="8"/>
  <c r="AC82" i="8"/>
  <c r="AC70" i="8"/>
  <c r="AC58" i="8"/>
  <c r="AC46" i="8"/>
  <c r="AC34" i="8"/>
  <c r="AC22" i="8"/>
  <c r="AC10" i="8"/>
  <c r="AC16" i="8"/>
  <c r="AC123" i="8"/>
  <c r="AC14" i="8"/>
  <c r="AC121" i="8"/>
  <c r="AC61" i="8"/>
  <c r="AC37" i="8"/>
  <c r="AK108" i="8"/>
  <c r="AC108" i="8"/>
  <c r="AC60" i="8"/>
  <c r="AC36" i="8"/>
  <c r="AC143" i="8"/>
  <c r="AC95" i="8"/>
  <c r="AC59" i="8"/>
  <c r="AC153" i="8"/>
  <c r="AC129" i="8"/>
  <c r="AC117" i="8"/>
  <c r="AC105" i="8"/>
  <c r="AC93" i="8"/>
  <c r="AC81" i="8"/>
  <c r="AC69" i="8"/>
  <c r="AC57" i="8"/>
  <c r="AC45" i="8"/>
  <c r="AC33" i="8"/>
  <c r="AC21" i="8"/>
  <c r="AC9" i="8"/>
  <c r="AC112" i="8"/>
  <c r="AC88" i="8"/>
  <c r="AC27" i="8"/>
  <c r="AC122" i="8"/>
  <c r="AC74" i="8"/>
  <c r="AC38" i="8"/>
  <c r="AC85" i="8"/>
  <c r="AC49" i="8"/>
  <c r="AC120" i="8"/>
  <c r="AC48" i="8"/>
  <c r="AC23" i="8"/>
  <c r="AC92" i="8"/>
  <c r="AC68" i="8"/>
  <c r="AC56" i="8"/>
  <c r="AC44" i="8"/>
  <c r="AC32" i="8"/>
  <c r="AC20" i="8"/>
  <c r="AC124" i="8"/>
  <c r="AC64" i="8"/>
  <c r="AC15" i="8"/>
  <c r="AC98" i="8"/>
  <c r="AC25" i="8"/>
  <c r="AC84" i="8"/>
  <c r="AC35" i="8"/>
  <c r="AC152" i="8"/>
  <c r="AC104" i="8"/>
  <c r="AC115" i="8"/>
  <c r="AC79" i="8"/>
  <c r="AC67" i="8"/>
  <c r="AC43" i="8"/>
  <c r="AC31" i="8"/>
  <c r="AC19" i="8"/>
  <c r="BP6" i="8"/>
  <c r="W1" i="8"/>
  <c r="V1" i="8"/>
  <c r="BO6" i="8"/>
  <c r="AC6" i="8"/>
  <c r="BR8" i="8"/>
  <c r="BQ8" i="8"/>
  <c r="BR6" i="8"/>
  <c r="BQ6" i="8"/>
  <c r="BP8" i="8"/>
  <c r="BO8" i="8"/>
  <c r="BP7" i="8"/>
  <c r="BO7" i="8"/>
  <c r="BQ7" i="8"/>
  <c r="BR7" i="8"/>
  <c r="AC28" i="8"/>
  <c r="AC99" i="8"/>
  <c r="AC26" i="8"/>
  <c r="AC133" i="8"/>
  <c r="AC119" i="8"/>
  <c r="AC83" i="8"/>
  <c r="AC47" i="8"/>
  <c r="AC140" i="8"/>
  <c r="AC80" i="8"/>
  <c r="AC139" i="8"/>
  <c r="AC66" i="8"/>
  <c r="AC18" i="8"/>
  <c r="AC147" i="8"/>
  <c r="AC111" i="8"/>
  <c r="AC87" i="8"/>
  <c r="AC63" i="8"/>
  <c r="AC51" i="8"/>
  <c r="AC39" i="8"/>
  <c r="AC134" i="8"/>
  <c r="AC145" i="8"/>
  <c r="AC109" i="8"/>
  <c r="AC73" i="8"/>
  <c r="AC13" i="8"/>
  <c r="AC132" i="8"/>
  <c r="AC72" i="8"/>
  <c r="AC12" i="8"/>
  <c r="AC107" i="8"/>
  <c r="AC11" i="8"/>
  <c r="AC141" i="8"/>
  <c r="AC128" i="8"/>
  <c r="AK116" i="8"/>
  <c r="AC116" i="8"/>
  <c r="AC151" i="8"/>
  <c r="AC127" i="8"/>
  <c r="AC103" i="8"/>
  <c r="AC91" i="8"/>
  <c r="AC55" i="8"/>
  <c r="AC150" i="8"/>
  <c r="AK150" i="8"/>
  <c r="AC138" i="8"/>
  <c r="AC126" i="8"/>
  <c r="AC114" i="8"/>
  <c r="AC102" i="8"/>
  <c r="AC90" i="8"/>
  <c r="AC78" i="8"/>
  <c r="AC54" i="8"/>
  <c r="AC42" i="8"/>
  <c r="AC30" i="8"/>
  <c r="AC149" i="8"/>
  <c r="AC137" i="8"/>
  <c r="AC125" i="8"/>
  <c r="AC113" i="8"/>
  <c r="AC101" i="8"/>
  <c r="AK101" i="8"/>
  <c r="AC89" i="8"/>
  <c r="AC77" i="8"/>
  <c r="AC65" i="8"/>
  <c r="AC53" i="8"/>
  <c r="AC41" i="8"/>
  <c r="AC29" i="8"/>
  <c r="AC17" i="8"/>
  <c r="BK310" i="8"/>
  <c r="BK309" i="8"/>
  <c r="BK308" i="8"/>
  <c r="BK307" i="8"/>
  <c r="BK306" i="8"/>
  <c r="BK305" i="8"/>
  <c r="BK304" i="8"/>
  <c r="BK303" i="8"/>
  <c r="BK302" i="8"/>
  <c r="BK301" i="8"/>
  <c r="BK300" i="8"/>
  <c r="BK299" i="8"/>
  <c r="BK298" i="8"/>
  <c r="BK297" i="8"/>
  <c r="BK296" i="8"/>
  <c r="BK295" i="8"/>
  <c r="BK294" i="8"/>
  <c r="BK293" i="8"/>
  <c r="BK292" i="8"/>
  <c r="BK291" i="8"/>
  <c r="BK290" i="8"/>
  <c r="BK289" i="8"/>
  <c r="BK288" i="8"/>
  <c r="BK287" i="8"/>
  <c r="BK286" i="8"/>
  <c r="BK285" i="8"/>
  <c r="BK284" i="8"/>
  <c r="BK283" i="8"/>
  <c r="BK282" i="8"/>
  <c r="BK281" i="8"/>
  <c r="BK280" i="8"/>
  <c r="BK279" i="8"/>
  <c r="BK278" i="8"/>
  <c r="BK277" i="8"/>
  <c r="BK276" i="8"/>
  <c r="BK275" i="8"/>
  <c r="BK274" i="8"/>
  <c r="BK270" i="8"/>
  <c r="BK269" i="8"/>
  <c r="BK268" i="8"/>
  <c r="BK267" i="8"/>
  <c r="BK263" i="8"/>
  <c r="BK262" i="8"/>
  <c r="BK261" i="8"/>
  <c r="BK260" i="8"/>
  <c r="BK256" i="8"/>
  <c r="BK255" i="8"/>
  <c r="BK254" i="8"/>
  <c r="BK253" i="8"/>
  <c r="BK252" i="8"/>
  <c r="BK251" i="8"/>
  <c r="BK250" i="8"/>
  <c r="BK249" i="8"/>
  <c r="BK248" i="8"/>
  <c r="BK247" i="8"/>
  <c r="BK246" i="8"/>
  <c r="BK245" i="8"/>
  <c r="BK244" i="8"/>
  <c r="BK243" i="8"/>
  <c r="BK242" i="8"/>
  <c r="BK241" i="8"/>
  <c r="BK240" i="8"/>
  <c r="BK239" i="8"/>
  <c r="BK238" i="8"/>
  <c r="BK237" i="8"/>
  <c r="BK236" i="8"/>
  <c r="BK235" i="8"/>
  <c r="BK234" i="8"/>
  <c r="BK233" i="8"/>
  <c r="BK232" i="8"/>
  <c r="BK231" i="8"/>
  <c r="BK230" i="8"/>
  <c r="BK229" i="8"/>
  <c r="BK228" i="8"/>
  <c r="BK227" i="8"/>
  <c r="BK226" i="8"/>
  <c r="BK225" i="8"/>
  <c r="BK224" i="8"/>
  <c r="BK223" i="8"/>
  <c r="BK222" i="8"/>
  <c r="BK221" i="8"/>
  <c r="BK220" i="8"/>
  <c r="BK219" i="8"/>
  <c r="BK218" i="8"/>
  <c r="BK217" i="8"/>
  <c r="BK216" i="8"/>
  <c r="BK215" i="8"/>
  <c r="BK214" i="8"/>
  <c r="BK213" i="8"/>
  <c r="BK212" i="8"/>
  <c r="BK211" i="8"/>
  <c r="BK210" i="8"/>
  <c r="BK209" i="8"/>
  <c r="BK208" i="8"/>
  <c r="BK207" i="8"/>
  <c r="BK206" i="8"/>
  <c r="BK205" i="8"/>
  <c r="BK154" i="8"/>
  <c r="BK153" i="8"/>
  <c r="BK152" i="8"/>
  <c r="BK151" i="8"/>
  <c r="BK150" i="8"/>
  <c r="BK149" i="8"/>
  <c r="BK148" i="8"/>
  <c r="BK147" i="8"/>
  <c r="BK146" i="8"/>
  <c r="BK145" i="8"/>
  <c r="BK144" i="8"/>
  <c r="BK143" i="8"/>
  <c r="BK142" i="8"/>
  <c r="BK141" i="8"/>
  <c r="BK140" i="8"/>
  <c r="BK139" i="8"/>
  <c r="BK138" i="8"/>
  <c r="BK137" i="8"/>
  <c r="BK136" i="8"/>
  <c r="BK135" i="8"/>
  <c r="BK134" i="8"/>
  <c r="BK133" i="8"/>
  <c r="BK132" i="8"/>
  <c r="BK131" i="8"/>
  <c r="BK130" i="8"/>
  <c r="BK129" i="8"/>
  <c r="BK128" i="8"/>
  <c r="BK127" i="8"/>
  <c r="BK126" i="8"/>
  <c r="BK125" i="8"/>
  <c r="BK124" i="8"/>
  <c r="BK123" i="8"/>
  <c r="BK122" i="8"/>
  <c r="BK121" i="8"/>
  <c r="BK120" i="8"/>
  <c r="BK119" i="8"/>
  <c r="BK118" i="8"/>
  <c r="BK117" i="8"/>
  <c r="BK116" i="8"/>
  <c r="BK115" i="8"/>
  <c r="BK114" i="8"/>
  <c r="BK113" i="8"/>
  <c r="BK112" i="8"/>
  <c r="BK111" i="8"/>
  <c r="BK110" i="8"/>
  <c r="BK109" i="8"/>
  <c r="BK108" i="8"/>
  <c r="BK107" i="8"/>
  <c r="BK106" i="8"/>
  <c r="BK105" i="8"/>
  <c r="BK104" i="8"/>
  <c r="BK103" i="8"/>
  <c r="BK102" i="8"/>
  <c r="BK101" i="8"/>
  <c r="BK100" i="8"/>
  <c r="BK99" i="8"/>
  <c r="BK98" i="8"/>
  <c r="BK97" i="8"/>
  <c r="BK96" i="8"/>
  <c r="BK95" i="8"/>
  <c r="BK94" i="8"/>
  <c r="BK93" i="8"/>
  <c r="BK92" i="8"/>
  <c r="BK91" i="8"/>
  <c r="BK90" i="8"/>
  <c r="BK89" i="8"/>
  <c r="BK88" i="8"/>
  <c r="BK87" i="8"/>
  <c r="BK86" i="8"/>
  <c r="BK85" i="8"/>
  <c r="BK84" i="8"/>
  <c r="BK83" i="8"/>
  <c r="BK82" i="8"/>
  <c r="BK81" i="8"/>
  <c r="BK80" i="8"/>
  <c r="BK79" i="8"/>
  <c r="BK78" i="8"/>
  <c r="BK77" i="8"/>
  <c r="BK76" i="8"/>
  <c r="BK75" i="8"/>
  <c r="BK74" i="8"/>
  <c r="BK73" i="8"/>
  <c r="BK72" i="8"/>
  <c r="BK71" i="8"/>
  <c r="BK70" i="8"/>
  <c r="BK69" i="8"/>
  <c r="BK68" i="8"/>
  <c r="BK67" i="8"/>
  <c r="BK66" i="8"/>
  <c r="BK65" i="8"/>
  <c r="BK64" i="8"/>
  <c r="BK63" i="8"/>
  <c r="BK62" i="8"/>
  <c r="BK61" i="8"/>
  <c r="BK60" i="8"/>
  <c r="BK59" i="8"/>
  <c r="BK58" i="8"/>
  <c r="BK57" i="8"/>
  <c r="BK56" i="8"/>
  <c r="BK55" i="8"/>
  <c r="BK54" i="8"/>
  <c r="BK53" i="8"/>
  <c r="BK52" i="8"/>
  <c r="BK51" i="8"/>
  <c r="BK50" i="8"/>
  <c r="BK49" i="8"/>
  <c r="BK48" i="8"/>
  <c r="BK47" i="8"/>
  <c r="BK46" i="8"/>
  <c r="BK45" i="8"/>
  <c r="BK44" i="8"/>
  <c r="BK43" i="8"/>
  <c r="BK42" i="8"/>
  <c r="BK41" i="8"/>
  <c r="BK40" i="8"/>
  <c r="BK39" i="8"/>
  <c r="BK38" i="8"/>
  <c r="BK37" i="8"/>
  <c r="BK36" i="8"/>
  <c r="BK35" i="8"/>
  <c r="BK34" i="8"/>
  <c r="BK33" i="8"/>
  <c r="BK32" i="8"/>
  <c r="BK31" i="8"/>
  <c r="BK30" i="8"/>
  <c r="BK29" i="8"/>
  <c r="BK28" i="8"/>
  <c r="BK27" i="8"/>
  <c r="BK26" i="8"/>
  <c r="BK25" i="8"/>
  <c r="BK24" i="8"/>
  <c r="BK23" i="8"/>
  <c r="BK22" i="8"/>
  <c r="BK21" i="8"/>
  <c r="BK20" i="8"/>
  <c r="BK19" i="8"/>
  <c r="BK18" i="8"/>
  <c r="BK17" i="8"/>
  <c r="BK16" i="8"/>
  <c r="BK15" i="8"/>
  <c r="BK14" i="8"/>
  <c r="BK13" i="8"/>
  <c r="BK12" i="8"/>
  <c r="BK11" i="8"/>
  <c r="BK10" i="8"/>
  <c r="BK9" i="8"/>
  <c r="BK8" i="8"/>
  <c r="BK7" i="8"/>
  <c r="BK6" i="8"/>
  <c r="AB310" i="8"/>
  <c r="AB309" i="8"/>
  <c r="AB308" i="8"/>
  <c r="AB307"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0" i="8"/>
  <c r="AB269" i="8"/>
  <c r="AB268" i="8"/>
  <c r="AB267" i="8"/>
  <c r="AB263" i="8"/>
  <c r="AB262" i="8"/>
  <c r="AB261" i="8"/>
  <c r="AB260"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154" i="8"/>
  <c r="AK154" i="8" s="1"/>
  <c r="AB153" i="8"/>
  <c r="AK153" i="8" s="1"/>
  <c r="AB152" i="8"/>
  <c r="AK152" i="8" s="1"/>
  <c r="AB151" i="8"/>
  <c r="AK151" i="8" s="1"/>
  <c r="AB150" i="8"/>
  <c r="AB149" i="8"/>
  <c r="AK149" i="8" s="1"/>
  <c r="AB148" i="8"/>
  <c r="AK148" i="8" s="1"/>
  <c r="AB147" i="8"/>
  <c r="AK147" i="8" s="1"/>
  <c r="AB146" i="8"/>
  <c r="AK146" i="8" s="1"/>
  <c r="AB145" i="8"/>
  <c r="AK145" i="8" s="1"/>
  <c r="AB144" i="8"/>
  <c r="AB143" i="8"/>
  <c r="AK143" i="8" s="1"/>
  <c r="AB142" i="8"/>
  <c r="AK142" i="8" s="1"/>
  <c r="AB141" i="8"/>
  <c r="AK141" i="8" s="1"/>
  <c r="AB140" i="8"/>
  <c r="AK140" i="8" s="1"/>
  <c r="AB139" i="8"/>
  <c r="AK139" i="8" s="1"/>
  <c r="AB138" i="8"/>
  <c r="AK138" i="8" s="1"/>
  <c r="AB137" i="8"/>
  <c r="AK137" i="8" s="1"/>
  <c r="AB136" i="8"/>
  <c r="AK136" i="8" s="1"/>
  <c r="AB135" i="8"/>
  <c r="AB134" i="8"/>
  <c r="AK134" i="8" s="1"/>
  <c r="AB133" i="8"/>
  <c r="AK133" i="8" s="1"/>
  <c r="AB132" i="8"/>
  <c r="AK132" i="8" s="1"/>
  <c r="AB131" i="8"/>
  <c r="AK131" i="8" s="1"/>
  <c r="AB130" i="8"/>
  <c r="AK130" i="8" s="1"/>
  <c r="AB129" i="8"/>
  <c r="AK129" i="8" s="1"/>
  <c r="AB128" i="8"/>
  <c r="AK128" i="8" s="1"/>
  <c r="AB127" i="8"/>
  <c r="AK127" i="8" s="1"/>
  <c r="AB126" i="8"/>
  <c r="AK126" i="8" s="1"/>
  <c r="AB125" i="8"/>
  <c r="AK125" i="8" s="1"/>
  <c r="AB124" i="8"/>
  <c r="AK124" i="8" s="1"/>
  <c r="AB123" i="8"/>
  <c r="AK123" i="8" s="1"/>
  <c r="AB122" i="8"/>
  <c r="AK122" i="8" s="1"/>
  <c r="AB121" i="8"/>
  <c r="AK121" i="8" s="1"/>
  <c r="AB120" i="8"/>
  <c r="AK120" i="8" s="1"/>
  <c r="AB119" i="8"/>
  <c r="AK119" i="8" s="1"/>
  <c r="AB118" i="8"/>
  <c r="AK118" i="8" s="1"/>
  <c r="AB117" i="8"/>
  <c r="AK117" i="8" s="1"/>
  <c r="AB116" i="8"/>
  <c r="AB115" i="8"/>
  <c r="AK115" i="8" s="1"/>
  <c r="AB114" i="8"/>
  <c r="AK114" i="8" s="1"/>
  <c r="AB113" i="8"/>
  <c r="AK113" i="8" s="1"/>
  <c r="AB112" i="8"/>
  <c r="AK112" i="8" s="1"/>
  <c r="AB111" i="8"/>
  <c r="AK111" i="8" s="1"/>
  <c r="AB110" i="8"/>
  <c r="AK110" i="8" s="1"/>
  <c r="AB109" i="8"/>
  <c r="AK109" i="8" s="1"/>
  <c r="AB108" i="8"/>
  <c r="AB107" i="8"/>
  <c r="AK107" i="8" s="1"/>
  <c r="AB106" i="8"/>
  <c r="AK106" i="8" s="1"/>
  <c r="AB105" i="8"/>
  <c r="AK105" i="8" s="1"/>
  <c r="AB104" i="8"/>
  <c r="AK104" i="8" s="1"/>
  <c r="AB103" i="8"/>
  <c r="AK103" i="8" s="1"/>
  <c r="AB102" i="8"/>
  <c r="AK102" i="8" s="1"/>
  <c r="AB101" i="8"/>
  <c r="AB100" i="8"/>
  <c r="AK100" i="8" s="1"/>
  <c r="AB99" i="8"/>
  <c r="AK99" i="8" s="1"/>
  <c r="AB98" i="8"/>
  <c r="AK98" i="8" s="1"/>
  <c r="AB97" i="8"/>
  <c r="AK97" i="8" s="1"/>
  <c r="AB96" i="8"/>
  <c r="AK96" i="8" s="1"/>
  <c r="AB95" i="8"/>
  <c r="AK95" i="8" s="1"/>
  <c r="AB94" i="8"/>
  <c r="AK94" i="8" s="1"/>
  <c r="AB93" i="8"/>
  <c r="AK93" i="8" s="1"/>
  <c r="AB92" i="8"/>
  <c r="AK92" i="8" s="1"/>
  <c r="AB91" i="8"/>
  <c r="AK91" i="8" s="1"/>
  <c r="AB90" i="8"/>
  <c r="AK90" i="8" s="1"/>
  <c r="AB89" i="8"/>
  <c r="AK89" i="8" s="1"/>
  <c r="AB88" i="8"/>
  <c r="AK88" i="8" s="1"/>
  <c r="AB87" i="8"/>
  <c r="AK87" i="8" s="1"/>
  <c r="AB86" i="8"/>
  <c r="AK86" i="8" s="1"/>
  <c r="AB85" i="8"/>
  <c r="AK85" i="8" s="1"/>
  <c r="AB84" i="8"/>
  <c r="AK84" i="8" s="1"/>
  <c r="AB83" i="8"/>
  <c r="AK83" i="8" s="1"/>
  <c r="AB82" i="8"/>
  <c r="AK82" i="8" s="1"/>
  <c r="AB81" i="8"/>
  <c r="AK81" i="8" s="1"/>
  <c r="AB80" i="8"/>
  <c r="AK80" i="8" s="1"/>
  <c r="AB79" i="8"/>
  <c r="AK79" i="8" s="1"/>
  <c r="AB78" i="8"/>
  <c r="AK78" i="8" s="1"/>
  <c r="AB77" i="8"/>
  <c r="AK77" i="8" s="1"/>
  <c r="AB76" i="8"/>
  <c r="AK76" i="8" s="1"/>
  <c r="AB75" i="8"/>
  <c r="AK75" i="8" s="1"/>
  <c r="AB74" i="8"/>
  <c r="AK74" i="8" s="1"/>
  <c r="AB73" i="8"/>
  <c r="AK73" i="8" s="1"/>
  <c r="AB72" i="8"/>
  <c r="AK72" i="8" s="1"/>
  <c r="AB71" i="8"/>
  <c r="AK71" i="8" s="1"/>
  <c r="AB70" i="8"/>
  <c r="AK70" i="8" s="1"/>
  <c r="AB69" i="8"/>
  <c r="AK69" i="8" s="1"/>
  <c r="AB68" i="8"/>
  <c r="AK68" i="8" s="1"/>
  <c r="AB67" i="8"/>
  <c r="AK67" i="8" s="1"/>
  <c r="AB66" i="8"/>
  <c r="AK66" i="8" s="1"/>
  <c r="AB65" i="8"/>
  <c r="AK65" i="8" s="1"/>
  <c r="AB64" i="8"/>
  <c r="AK64" i="8" s="1"/>
  <c r="AB63" i="8"/>
  <c r="AK63" i="8" s="1"/>
  <c r="AB62" i="8"/>
  <c r="AK62" i="8" s="1"/>
  <c r="AB61" i="8"/>
  <c r="AK61" i="8" s="1"/>
  <c r="AB60" i="8"/>
  <c r="AK60" i="8" s="1"/>
  <c r="AB59" i="8"/>
  <c r="AK59" i="8" s="1"/>
  <c r="AB58" i="8"/>
  <c r="AK58" i="8" s="1"/>
  <c r="AB57" i="8"/>
  <c r="AK57" i="8" s="1"/>
  <c r="AB56" i="8"/>
  <c r="AK56" i="8" s="1"/>
  <c r="AB55" i="8"/>
  <c r="AK55" i="8" s="1"/>
  <c r="AB54" i="8"/>
  <c r="AK54" i="8" s="1"/>
  <c r="AB53" i="8"/>
  <c r="AK53" i="8" s="1"/>
  <c r="AB52" i="8"/>
  <c r="AK52" i="8" s="1"/>
  <c r="AB51" i="8"/>
  <c r="AK51" i="8" s="1"/>
  <c r="AB50" i="8"/>
  <c r="AK50" i="8" s="1"/>
  <c r="AB49" i="8"/>
  <c r="AK49" i="8" s="1"/>
  <c r="AB48" i="8"/>
  <c r="AK48" i="8" s="1"/>
  <c r="AB47" i="8"/>
  <c r="AK47" i="8" s="1"/>
  <c r="AB46" i="8"/>
  <c r="AK46" i="8" s="1"/>
  <c r="AB45" i="8"/>
  <c r="AK45" i="8" s="1"/>
  <c r="AB44" i="8"/>
  <c r="AK44" i="8" s="1"/>
  <c r="AB43" i="8"/>
  <c r="AK43" i="8" s="1"/>
  <c r="AB42" i="8"/>
  <c r="AK42" i="8" s="1"/>
  <c r="AB41" i="8"/>
  <c r="AK41" i="8" s="1"/>
  <c r="AB40" i="8"/>
  <c r="AK40" i="8" s="1"/>
  <c r="AB39" i="8"/>
  <c r="AK39" i="8" s="1"/>
  <c r="AB38" i="8"/>
  <c r="AK38" i="8" s="1"/>
  <c r="AB37" i="8"/>
  <c r="AK37" i="8" s="1"/>
  <c r="AB36" i="8"/>
  <c r="AK36" i="8" s="1"/>
  <c r="AB35" i="8"/>
  <c r="AB34" i="8"/>
  <c r="AB33" i="8"/>
  <c r="AK33" i="8" s="1"/>
  <c r="AB32" i="8"/>
  <c r="AK32" i="8" s="1"/>
  <c r="AB31" i="8"/>
  <c r="AB30" i="8"/>
  <c r="AB29" i="8"/>
  <c r="AB28" i="8"/>
  <c r="AB27" i="8"/>
  <c r="AB26" i="8"/>
  <c r="AB25" i="8"/>
  <c r="AB24" i="8"/>
  <c r="AK24" i="8" s="1"/>
  <c r="AB23" i="8"/>
  <c r="AB22" i="8"/>
  <c r="AB21" i="8"/>
  <c r="AK21" i="8" s="1"/>
  <c r="AB20" i="8"/>
  <c r="AB19" i="8"/>
  <c r="AB18" i="8"/>
  <c r="AK18" i="8" s="1"/>
  <c r="AB17" i="8"/>
  <c r="AB16" i="8"/>
  <c r="AB15" i="8"/>
  <c r="AB14" i="8"/>
  <c r="AB13" i="8"/>
  <c r="AB12" i="8"/>
  <c r="AB11" i="8"/>
  <c r="AB10" i="8"/>
  <c r="AB9" i="8"/>
  <c r="AK9" i="8" s="1"/>
  <c r="AB8" i="8"/>
  <c r="AB7" i="8"/>
  <c r="AB6" i="8"/>
  <c r="AK10" i="8" l="1"/>
  <c r="AK34" i="8"/>
  <c r="AK22" i="8"/>
  <c r="AK15" i="8"/>
  <c r="AK27" i="8"/>
  <c r="AK35" i="8"/>
  <c r="AK17" i="8"/>
  <c r="AK23" i="8"/>
  <c r="AK11" i="8"/>
  <c r="AK12" i="8"/>
  <c r="AK30" i="8"/>
  <c r="AK26" i="8"/>
  <c r="AK16" i="8"/>
  <c r="AK28" i="8"/>
  <c r="AK29" i="8"/>
  <c r="AK7" i="8"/>
  <c r="AK31" i="8"/>
  <c r="AK13" i="8"/>
  <c r="AK25" i="8"/>
  <c r="AK19" i="8"/>
  <c r="AK20" i="8"/>
  <c r="AK14" i="8"/>
  <c r="AK6" i="8"/>
  <c r="AK8" i="8"/>
  <c r="AD310" i="8"/>
  <c r="AD309" i="8"/>
  <c r="AD308" i="8"/>
  <c r="AD307" i="8"/>
  <c r="AD306" i="8"/>
  <c r="AD305" i="8"/>
  <c r="AD304" i="8"/>
  <c r="AD303" i="8"/>
  <c r="AD302" i="8"/>
  <c r="AD301" i="8"/>
  <c r="AD300" i="8"/>
  <c r="AD299" i="8"/>
  <c r="AD298" i="8"/>
  <c r="AD297" i="8"/>
  <c r="AD296" i="8"/>
  <c r="AD295" i="8"/>
  <c r="AD294" i="8"/>
  <c r="AD293" i="8"/>
  <c r="AD292" i="8"/>
  <c r="AD291" i="8"/>
  <c r="AD290" i="8"/>
  <c r="AD289" i="8"/>
  <c r="AD288" i="8"/>
  <c r="AD287" i="8"/>
  <c r="AD286" i="8"/>
  <c r="AD285" i="8"/>
  <c r="AD284" i="8"/>
  <c r="AD283" i="8"/>
  <c r="AD282" i="8"/>
  <c r="AD281" i="8"/>
  <c r="AD280" i="8"/>
  <c r="AD279" i="8"/>
  <c r="AD278" i="8"/>
  <c r="AD277" i="8"/>
  <c r="AD276" i="8"/>
  <c r="AD275" i="8"/>
  <c r="AD274" i="8"/>
  <c r="AD270" i="8"/>
  <c r="AD269" i="8"/>
  <c r="AD268" i="8"/>
  <c r="AD267" i="8"/>
  <c r="AD263" i="8"/>
  <c r="AD262" i="8"/>
  <c r="AD261" i="8"/>
  <c r="AD260" i="8"/>
  <c r="AD256" i="8"/>
  <c r="AD255" i="8"/>
  <c r="AD254" i="8"/>
  <c r="AD25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D24" i="23" l="1"/>
  <c r="C24" i="23"/>
  <c r="N6" i="8" l="1"/>
  <c r="AP273" i="8" l="1"/>
  <c r="AP271" i="8"/>
  <c r="AP272" i="8"/>
  <c r="AR257" i="8"/>
  <c r="AR259" i="8"/>
  <c r="AR258" i="8"/>
  <c r="AR265" i="8"/>
  <c r="AR266" i="8"/>
  <c r="AR264" i="8"/>
  <c r="AP258" i="8"/>
  <c r="AP257" i="8"/>
  <c r="AP259" i="8"/>
  <c r="AV258" i="8"/>
  <c r="AV259" i="8"/>
  <c r="AV257" i="8"/>
  <c r="AT266" i="8"/>
  <c r="AT264" i="8"/>
  <c r="AT265" i="8"/>
  <c r="AT271" i="8"/>
  <c r="AT272" i="8"/>
  <c r="AT273" i="8"/>
  <c r="AR272" i="8"/>
  <c r="AR271" i="8"/>
  <c r="AR273" i="8"/>
  <c r="AP264" i="8"/>
  <c r="AP266" i="8"/>
  <c r="AP265" i="8"/>
  <c r="AT258" i="8"/>
  <c r="AT259" i="8"/>
  <c r="AT257" i="8"/>
  <c r="AV266" i="8"/>
  <c r="AV265" i="8"/>
  <c r="AV264" i="8"/>
  <c r="AV272" i="8"/>
  <c r="AV273" i="8"/>
  <c r="AV271" i="8"/>
  <c r="G33" i="2"/>
  <c r="G31" i="2"/>
  <c r="F31" i="2"/>
  <c r="E31" i="2"/>
  <c r="D31" i="2"/>
  <c r="C31" i="2"/>
  <c r="G9" i="14"/>
  <c r="E9" i="14"/>
  <c r="E54" i="14" s="1"/>
  <c r="C9" i="14"/>
  <c r="G9" i="13"/>
  <c r="E9" i="13"/>
  <c r="C9" i="13"/>
  <c r="X11" i="8"/>
  <c r="Z14" i="8"/>
  <c r="Z15" i="8"/>
  <c r="Z19" i="8"/>
  <c r="Z21" i="8"/>
  <c r="Z22" i="8"/>
  <c r="Z27" i="8"/>
  <c r="Y29" i="8"/>
  <c r="Z30" i="8"/>
  <c r="Z31" i="8"/>
  <c r="X35" i="8"/>
  <c r="Z38" i="8"/>
  <c r="Z46" i="8"/>
  <c r="Z47" i="8"/>
  <c r="X51" i="8"/>
  <c r="Z54" i="8"/>
  <c r="Z62" i="8"/>
  <c r="Z63" i="8"/>
  <c r="Y64" i="8"/>
  <c r="Z70" i="8"/>
  <c r="Z78" i="8"/>
  <c r="Z79" i="8"/>
  <c r="X83" i="8"/>
  <c r="Z86" i="8"/>
  <c r="Z94" i="8"/>
  <c r="Z95" i="8"/>
  <c r="AW99" i="8"/>
  <c r="Z102" i="8"/>
  <c r="Z110" i="8"/>
  <c r="Z111" i="8"/>
  <c r="Z118" i="8"/>
  <c r="Z126" i="8"/>
  <c r="AW131" i="8"/>
  <c r="X133" i="8"/>
  <c r="Z134" i="8"/>
  <c r="Z142" i="8"/>
  <c r="Z150" i="8"/>
  <c r="T28" i="23"/>
  <c r="T29" i="23"/>
  <c r="AI205" i="8" s="1"/>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205" i="8"/>
  <c r="U9" i="8"/>
  <c r="U10" i="8"/>
  <c r="U11" i="8"/>
  <c r="U13" i="8"/>
  <c r="U14" i="8"/>
  <c r="U18" i="8"/>
  <c r="U19" i="8"/>
  <c r="U21" i="8"/>
  <c r="U22" i="8"/>
  <c r="U25" i="8"/>
  <c r="U27" i="8"/>
  <c r="U29" i="8"/>
  <c r="U30" i="8"/>
  <c r="U33" i="8"/>
  <c r="U35" i="8"/>
  <c r="U37" i="8"/>
  <c r="U38" i="8"/>
  <c r="U41" i="8"/>
  <c r="U43" i="8"/>
  <c r="U45" i="8"/>
  <c r="U49" i="8"/>
  <c r="U50" i="8"/>
  <c r="U53" i="8"/>
  <c r="U61" i="8"/>
  <c r="U66" i="8"/>
  <c r="U67" i="8"/>
  <c r="U69" i="8"/>
  <c r="U73" i="8"/>
  <c r="U75" i="8"/>
  <c r="U77" i="8"/>
  <c r="U81" i="8"/>
  <c r="U83" i="8"/>
  <c r="U85" i="8"/>
  <c r="U86" i="8"/>
  <c r="U93" i="8"/>
  <c r="U94" i="8"/>
  <c r="U101" i="8"/>
  <c r="U102" i="8"/>
  <c r="U105" i="8"/>
  <c r="U109" i="8"/>
  <c r="U110" i="8"/>
  <c r="U113" i="8"/>
  <c r="U114" i="8"/>
  <c r="U117" i="8"/>
  <c r="U118" i="8"/>
  <c r="U122" i="8"/>
  <c r="U125" i="8"/>
  <c r="U137" i="8"/>
  <c r="U138" i="8"/>
  <c r="U142" i="8"/>
  <c r="U145" i="8"/>
  <c r="U149" i="8"/>
  <c r="U150" i="8"/>
  <c r="U154" i="8"/>
  <c r="U206" i="8"/>
  <c r="U207" i="8"/>
  <c r="U208" i="8"/>
  <c r="U209" i="8"/>
  <c r="U212" i="8"/>
  <c r="U213" i="8"/>
  <c r="U214" i="8"/>
  <c r="U215" i="8"/>
  <c r="U217" i="8"/>
  <c r="U218" i="8"/>
  <c r="U221" i="8"/>
  <c r="U223" i="8"/>
  <c r="U229" i="8"/>
  <c r="U231" i="8"/>
  <c r="U233" i="8"/>
  <c r="U234" i="8"/>
  <c r="U236" i="8"/>
  <c r="U237" i="8"/>
  <c r="U239" i="8"/>
  <c r="U241" i="8"/>
  <c r="U245" i="8"/>
  <c r="U246" i="8"/>
  <c r="U247" i="8"/>
  <c r="U249" i="8"/>
  <c r="U250" i="8"/>
  <c r="U252" i="8"/>
  <c r="U253" i="8"/>
  <c r="U254" i="8"/>
  <c r="U260" i="8"/>
  <c r="U267" i="8"/>
  <c r="U269" i="8"/>
  <c r="U270" i="8"/>
  <c r="U274" i="8"/>
  <c r="U275" i="8"/>
  <c r="U277" i="8"/>
  <c r="U278" i="8"/>
  <c r="U282" i="8"/>
  <c r="U283" i="8"/>
  <c r="U284" i="8"/>
  <c r="U286" i="8"/>
  <c r="U287" i="8"/>
  <c r="U289" i="8"/>
  <c r="U290" i="8"/>
  <c r="U292" i="8"/>
  <c r="U294" i="8"/>
  <c r="U295" i="8"/>
  <c r="U297" i="8"/>
  <c r="U298" i="8"/>
  <c r="U300" i="8"/>
  <c r="U302" i="8"/>
  <c r="U303" i="8"/>
  <c r="U304" i="8"/>
  <c r="U306" i="8"/>
  <c r="U308" i="8"/>
  <c r="U309" i="8"/>
  <c r="I4" i="1"/>
  <c r="I5" i="1" s="1"/>
  <c r="I6" i="1" s="1"/>
  <c r="I7" i="1" s="1"/>
  <c r="I8" i="1" s="1"/>
  <c r="I9" i="1" s="1"/>
  <c r="I10" i="1" s="1"/>
  <c r="I11" i="1" s="1"/>
  <c r="I12" i="1" s="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38" i="1" s="1"/>
  <c r="I39" i="1" s="1"/>
  <c r="H4" i="1"/>
  <c r="H5" i="1" s="1"/>
  <c r="H6" i="1" s="1"/>
  <c r="H7" i="1" s="1"/>
  <c r="H8" i="1" s="1"/>
  <c r="H9" i="1" s="1"/>
  <c r="H10" i="1" s="1"/>
  <c r="H11" i="1" s="1"/>
  <c r="H12" i="1" s="1"/>
  <c r="H13" i="1" s="1"/>
  <c r="H14" i="1" s="1"/>
  <c r="H15" i="1" s="1"/>
  <c r="H16" i="1" s="1"/>
  <c r="H17" i="1" s="1"/>
  <c r="H18" i="1" s="1"/>
  <c r="H19" i="1" s="1"/>
  <c r="H20" i="1" s="1"/>
  <c r="H21" i="1" s="1"/>
  <c r="H22" i="1" s="1"/>
  <c r="H23" i="1" s="1"/>
  <c r="H24" i="1" s="1"/>
  <c r="H25" i="1" s="1"/>
  <c r="H26" i="1" s="1"/>
  <c r="H27" i="1" s="1"/>
  <c r="H28" i="1" s="1"/>
  <c r="H29" i="1" s="1"/>
  <c r="H30" i="1" s="1"/>
  <c r="H31" i="1" s="1"/>
  <c r="H32" i="1" s="1"/>
  <c r="H33" i="1" s="1"/>
  <c r="H34" i="1" s="1"/>
  <c r="H35" i="1" s="1"/>
  <c r="H36" i="1" s="1"/>
  <c r="H37" i="1" s="1"/>
  <c r="H38" i="1" s="1"/>
  <c r="H39" i="1" s="1"/>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C252" i="8"/>
  <c r="AC253" i="8"/>
  <c r="AC254" i="8"/>
  <c r="AC255" i="8"/>
  <c r="AC256" i="8"/>
  <c r="AC260" i="8"/>
  <c r="AC261" i="8"/>
  <c r="AC262" i="8"/>
  <c r="AC263" i="8"/>
  <c r="AC267" i="8"/>
  <c r="AC268" i="8"/>
  <c r="AC269" i="8"/>
  <c r="AC270" i="8"/>
  <c r="AC274" i="8"/>
  <c r="AC275" i="8"/>
  <c r="AC276" i="8"/>
  <c r="AC277" i="8"/>
  <c r="AC278" i="8"/>
  <c r="AC279" i="8"/>
  <c r="AC280" i="8"/>
  <c r="AC281" i="8"/>
  <c r="AC282" i="8"/>
  <c r="AC283" i="8"/>
  <c r="AC284" i="8"/>
  <c r="AC285" i="8"/>
  <c r="AC286" i="8"/>
  <c r="AC287" i="8"/>
  <c r="AC288" i="8"/>
  <c r="AC289" i="8"/>
  <c r="AC290" i="8"/>
  <c r="AC291" i="8"/>
  <c r="AC292" i="8"/>
  <c r="AC293" i="8"/>
  <c r="AC294" i="8"/>
  <c r="AC295" i="8"/>
  <c r="AC296" i="8"/>
  <c r="AC297" i="8"/>
  <c r="AC298" i="8"/>
  <c r="AC299" i="8"/>
  <c r="AC300" i="8"/>
  <c r="AC301" i="8"/>
  <c r="AC302" i="8"/>
  <c r="AC303" i="8"/>
  <c r="AC304" i="8"/>
  <c r="AC305" i="8"/>
  <c r="AC306" i="8"/>
  <c r="AC307" i="8"/>
  <c r="AC308" i="8"/>
  <c r="AC309" i="8"/>
  <c r="AC310" i="8"/>
  <c r="Z15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60" i="8"/>
  <c r="Z261" i="8"/>
  <c r="Z262" i="8"/>
  <c r="Z263" i="8"/>
  <c r="Z267" i="8"/>
  <c r="Z268" i="8"/>
  <c r="Z269" i="8"/>
  <c r="Z270"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AD24" i="32"/>
  <c r="AD25" i="32"/>
  <c r="AD26" i="32"/>
  <c r="AD27" i="32"/>
  <c r="AD28" i="32"/>
  <c r="AD29" i="32"/>
  <c r="AD30" i="32"/>
  <c r="AD31" i="32"/>
  <c r="AD32" i="32"/>
  <c r="AD33" i="32"/>
  <c r="AD34" i="32"/>
  <c r="AD35" i="32"/>
  <c r="AD36" i="32"/>
  <c r="AD37" i="32"/>
  <c r="AD38" i="32"/>
  <c r="AD39" i="32"/>
  <c r="AD40" i="32"/>
  <c r="AD41" i="32"/>
  <c r="AD42" i="32"/>
  <c r="AD43" i="32"/>
  <c r="AD44" i="32"/>
  <c r="AD45" i="32"/>
  <c r="AD46" i="32"/>
  <c r="AD47" i="32"/>
  <c r="AD48" i="32"/>
  <c r="AD49" i="32"/>
  <c r="AD50" i="32"/>
  <c r="AD51" i="32"/>
  <c r="AD52" i="32"/>
  <c r="AD53" i="32"/>
  <c r="AD54" i="32"/>
  <c r="AD55" i="32"/>
  <c r="AD56" i="32"/>
  <c r="AD57" i="32"/>
  <c r="AD58" i="32"/>
  <c r="AD59" i="32"/>
  <c r="AD60" i="32"/>
  <c r="AD61" i="32"/>
  <c r="AD62" i="32"/>
  <c r="AD63" i="32"/>
  <c r="AD64" i="32"/>
  <c r="AD65" i="32"/>
  <c r="AD66" i="32"/>
  <c r="AD67" i="32"/>
  <c r="AD68" i="32"/>
  <c r="AD69" i="32"/>
  <c r="AD70" i="32"/>
  <c r="AD71" i="32"/>
  <c r="AD72" i="32"/>
  <c r="AD73" i="32"/>
  <c r="AD74" i="32"/>
  <c r="AD75" i="32"/>
  <c r="AD76" i="32"/>
  <c r="AD77" i="32"/>
  <c r="AD78" i="32"/>
  <c r="AD79" i="32"/>
  <c r="AD80" i="32"/>
  <c r="AD81" i="32"/>
  <c r="AD82" i="32"/>
  <c r="AD83" i="32"/>
  <c r="AD84" i="32"/>
  <c r="AD85" i="32"/>
  <c r="AD86" i="32"/>
  <c r="AD87" i="32"/>
  <c r="AD88" i="32"/>
  <c r="AD89" i="32"/>
  <c r="AD90" i="32"/>
  <c r="AD91" i="32"/>
  <c r="AD92" i="32"/>
  <c r="AD93" i="32"/>
  <c r="AD94" i="32"/>
  <c r="AD95" i="32"/>
  <c r="AD96" i="32"/>
  <c r="AD97" i="32"/>
  <c r="AD98" i="32"/>
  <c r="AD99" i="32"/>
  <c r="AD100" i="32"/>
  <c r="AD101" i="32"/>
  <c r="AD102" i="32"/>
  <c r="AD103" i="32"/>
  <c r="AD104" i="32"/>
  <c r="AD105" i="32"/>
  <c r="AD106" i="32"/>
  <c r="AD107" i="32"/>
  <c r="AD108" i="32"/>
  <c r="AD109" i="32"/>
  <c r="AD110" i="32"/>
  <c r="AD111" i="32"/>
  <c r="AD112" i="32"/>
  <c r="AD113" i="32"/>
  <c r="AD114" i="32"/>
  <c r="AD115" i="32"/>
  <c r="AD116" i="32"/>
  <c r="AD117" i="32"/>
  <c r="AD118" i="32"/>
  <c r="AD119" i="32"/>
  <c r="AD120" i="32"/>
  <c r="AD121" i="32"/>
  <c r="AD122" i="32"/>
  <c r="AD123" i="32"/>
  <c r="AD124" i="32"/>
  <c r="AD125" i="32"/>
  <c r="AD126" i="32"/>
  <c r="AD127" i="32"/>
  <c r="AD128" i="32"/>
  <c r="AD129" i="32"/>
  <c r="AD130" i="32"/>
  <c r="AD131" i="32"/>
  <c r="AD132" i="32"/>
  <c r="AD133" i="32"/>
  <c r="AD134" i="32"/>
  <c r="AD135" i="32"/>
  <c r="AD136" i="32"/>
  <c r="AD137" i="32"/>
  <c r="AD138" i="32"/>
  <c r="AD139" i="32"/>
  <c r="AD140" i="32"/>
  <c r="AD141" i="32"/>
  <c r="AD142" i="32"/>
  <c r="AD143" i="32"/>
  <c r="AD144" i="32"/>
  <c r="AD145" i="32"/>
  <c r="AD146" i="32"/>
  <c r="AD147" i="32"/>
  <c r="AD148" i="32"/>
  <c r="AD149" i="32"/>
  <c r="AD150" i="32"/>
  <c r="AD151" i="32"/>
  <c r="AD152" i="32"/>
  <c r="AD153" i="32"/>
  <c r="AD154" i="32"/>
  <c r="AD155" i="32"/>
  <c r="Z146" i="8"/>
  <c r="Z130" i="8"/>
  <c r="Z114" i="8"/>
  <c r="Z147" i="8"/>
  <c r="Z151" i="8"/>
  <c r="Z143" i="8"/>
  <c r="Z139" i="8"/>
  <c r="Z135" i="8"/>
  <c r="Z131" i="8"/>
  <c r="Z127" i="8"/>
  <c r="Z123" i="8"/>
  <c r="Z87" i="8"/>
  <c r="Z39" i="8"/>
  <c r="Z7" i="8"/>
  <c r="V51" i="19"/>
  <c r="G16" i="19"/>
  <c r="C21" i="31"/>
  <c r="C20" i="31"/>
  <c r="BD310" i="8"/>
  <c r="BC310" i="8"/>
  <c r="BB310" i="8"/>
  <c r="BA310" i="8"/>
  <c r="AN310" i="8"/>
  <c r="AM310" i="8"/>
  <c r="BJ310" i="8" s="1"/>
  <c r="Y310" i="8"/>
  <c r="X310" i="8"/>
  <c r="W310" i="8"/>
  <c r="T310" i="8"/>
  <c r="S310" i="8"/>
  <c r="R310" i="8"/>
  <c r="Q310" i="8"/>
  <c r="P310" i="8"/>
  <c r="O310" i="8"/>
  <c r="N310" i="8"/>
  <c r="K310" i="8"/>
  <c r="AL310" i="8" s="1"/>
  <c r="BD309" i="8"/>
  <c r="BC309" i="8"/>
  <c r="BB309" i="8"/>
  <c r="BA309" i="8"/>
  <c r="AN309" i="8"/>
  <c r="AM309" i="8"/>
  <c r="BJ309" i="8" s="1"/>
  <c r="Y309" i="8"/>
  <c r="X309" i="8"/>
  <c r="W309" i="8"/>
  <c r="T309" i="8"/>
  <c r="S309" i="8"/>
  <c r="R309" i="8"/>
  <c r="Q309" i="8"/>
  <c r="P309" i="8"/>
  <c r="O309" i="8"/>
  <c r="N309" i="8"/>
  <c r="K309" i="8"/>
  <c r="AL309" i="8" s="1"/>
  <c r="BD308" i="8"/>
  <c r="BC308" i="8"/>
  <c r="BB308" i="8"/>
  <c r="BA308" i="8"/>
  <c r="AN308" i="8"/>
  <c r="AM308" i="8"/>
  <c r="BJ308" i="8" s="1"/>
  <c r="Y308" i="8"/>
  <c r="X308" i="8"/>
  <c r="W308" i="8"/>
  <c r="T308" i="8"/>
  <c r="S308" i="8"/>
  <c r="R308" i="8"/>
  <c r="Q308" i="8"/>
  <c r="P308" i="8"/>
  <c r="O308" i="8"/>
  <c r="N308" i="8"/>
  <c r="K308" i="8"/>
  <c r="AL308" i="8" s="1"/>
  <c r="BD307" i="8"/>
  <c r="BC307" i="8"/>
  <c r="BB307" i="8"/>
  <c r="BA307" i="8"/>
  <c r="AN307" i="8"/>
  <c r="AM307" i="8"/>
  <c r="BJ307" i="8" s="1"/>
  <c r="Y307" i="8"/>
  <c r="X307" i="8"/>
  <c r="W307" i="8"/>
  <c r="T307" i="8"/>
  <c r="S307" i="8"/>
  <c r="R307" i="8"/>
  <c r="Q307" i="8"/>
  <c r="P307" i="8"/>
  <c r="O307" i="8"/>
  <c r="N307" i="8"/>
  <c r="K307" i="8"/>
  <c r="AL307" i="8" s="1"/>
  <c r="BD306" i="8"/>
  <c r="BC306" i="8"/>
  <c r="BB306" i="8"/>
  <c r="BA306" i="8"/>
  <c r="AN306" i="8"/>
  <c r="AM306" i="8"/>
  <c r="BJ306" i="8" s="1"/>
  <c r="Y306" i="8"/>
  <c r="X306" i="8"/>
  <c r="W306" i="8"/>
  <c r="T306" i="8"/>
  <c r="S306" i="8"/>
  <c r="R306" i="8"/>
  <c r="Q306" i="8"/>
  <c r="P306" i="8"/>
  <c r="O306" i="8"/>
  <c r="N306" i="8"/>
  <c r="K306" i="8"/>
  <c r="AL306" i="8" s="1"/>
  <c r="BD305" i="8"/>
  <c r="BC305" i="8"/>
  <c r="BB305" i="8"/>
  <c r="BA305" i="8"/>
  <c r="AN305" i="8"/>
  <c r="AM305" i="8"/>
  <c r="BJ305" i="8" s="1"/>
  <c r="V305" i="8"/>
  <c r="Y305" i="8"/>
  <c r="X305" i="8"/>
  <c r="W305" i="8"/>
  <c r="T305" i="8"/>
  <c r="S305" i="8"/>
  <c r="R305" i="8"/>
  <c r="Q305" i="8"/>
  <c r="P305" i="8"/>
  <c r="O305" i="8"/>
  <c r="N305" i="8"/>
  <c r="K305" i="8"/>
  <c r="AL305" i="8" s="1"/>
  <c r="BD304" i="8"/>
  <c r="BC304" i="8"/>
  <c r="BB304" i="8"/>
  <c r="BA304" i="8"/>
  <c r="AN304" i="8"/>
  <c r="AM304" i="8"/>
  <c r="BJ304" i="8" s="1"/>
  <c r="V304" i="8"/>
  <c r="Y304" i="8"/>
  <c r="X304" i="8"/>
  <c r="W304" i="8"/>
  <c r="T304" i="8"/>
  <c r="S304" i="8"/>
  <c r="R304" i="8"/>
  <c r="Q304" i="8"/>
  <c r="P304" i="8"/>
  <c r="O304" i="8"/>
  <c r="N304" i="8"/>
  <c r="K304" i="8"/>
  <c r="AL304" i="8" s="1"/>
  <c r="BD303" i="8"/>
  <c r="BC303" i="8"/>
  <c r="BB303" i="8"/>
  <c r="BA303" i="8"/>
  <c r="AN303" i="8"/>
  <c r="AM303" i="8"/>
  <c r="BJ303" i="8" s="1"/>
  <c r="Y303" i="8"/>
  <c r="X303" i="8"/>
  <c r="W303" i="8"/>
  <c r="T303" i="8"/>
  <c r="S303" i="8"/>
  <c r="R303" i="8"/>
  <c r="Q303" i="8"/>
  <c r="P303" i="8"/>
  <c r="O303" i="8"/>
  <c r="N303" i="8"/>
  <c r="K303" i="8"/>
  <c r="AL303" i="8" s="1"/>
  <c r="BD302" i="8"/>
  <c r="BC302" i="8"/>
  <c r="BB302" i="8"/>
  <c r="BA302" i="8"/>
  <c r="AN302" i="8"/>
  <c r="AM302" i="8"/>
  <c r="BJ302" i="8" s="1"/>
  <c r="Y302" i="8"/>
  <c r="X302" i="8"/>
  <c r="W302" i="8"/>
  <c r="T302" i="8"/>
  <c r="S302" i="8"/>
  <c r="R302" i="8"/>
  <c r="Q302" i="8"/>
  <c r="P302" i="8"/>
  <c r="O302" i="8"/>
  <c r="N302" i="8"/>
  <c r="K302" i="8"/>
  <c r="AL302" i="8" s="1"/>
  <c r="BD301" i="8"/>
  <c r="BC301" i="8"/>
  <c r="BB301" i="8"/>
  <c r="BA301" i="8"/>
  <c r="AN301" i="8"/>
  <c r="AM301" i="8"/>
  <c r="BJ301" i="8" s="1"/>
  <c r="V301" i="8"/>
  <c r="Y301" i="8"/>
  <c r="X301" i="8"/>
  <c r="W301" i="8"/>
  <c r="T301" i="8"/>
  <c r="S301" i="8"/>
  <c r="R301" i="8"/>
  <c r="Q301" i="8"/>
  <c r="P301" i="8"/>
  <c r="O301" i="8"/>
  <c r="N301" i="8"/>
  <c r="K301" i="8"/>
  <c r="AL301" i="8" s="1"/>
  <c r="BD300" i="8"/>
  <c r="BC300" i="8"/>
  <c r="BB300" i="8"/>
  <c r="BA300" i="8"/>
  <c r="AN300" i="8"/>
  <c r="AM300" i="8"/>
  <c r="BJ300" i="8" s="1"/>
  <c r="Y300" i="8"/>
  <c r="X300" i="8"/>
  <c r="W300" i="8"/>
  <c r="T300" i="8"/>
  <c r="S300" i="8"/>
  <c r="R300" i="8"/>
  <c r="Q300" i="8"/>
  <c r="P300" i="8"/>
  <c r="O300" i="8"/>
  <c r="N300" i="8"/>
  <c r="K300" i="8"/>
  <c r="AL300" i="8" s="1"/>
  <c r="BD299" i="8"/>
  <c r="BC299" i="8"/>
  <c r="BB299" i="8"/>
  <c r="BA299" i="8"/>
  <c r="AN299" i="8"/>
  <c r="AM299" i="8"/>
  <c r="BJ299" i="8" s="1"/>
  <c r="Y299" i="8"/>
  <c r="X299" i="8"/>
  <c r="W299" i="8"/>
  <c r="T299" i="8"/>
  <c r="S299" i="8"/>
  <c r="R299" i="8"/>
  <c r="Q299" i="8"/>
  <c r="P299" i="8"/>
  <c r="O299" i="8"/>
  <c r="N299" i="8"/>
  <c r="K299" i="8"/>
  <c r="AL299" i="8" s="1"/>
  <c r="BD298" i="8"/>
  <c r="BC298" i="8"/>
  <c r="BB298" i="8"/>
  <c r="BA298" i="8"/>
  <c r="AN298" i="8"/>
  <c r="AM298" i="8"/>
  <c r="BJ298" i="8" s="1"/>
  <c r="Y298" i="8"/>
  <c r="X298" i="8"/>
  <c r="W298" i="8"/>
  <c r="T298" i="8"/>
  <c r="S298" i="8"/>
  <c r="R298" i="8"/>
  <c r="Q298" i="8"/>
  <c r="P298" i="8"/>
  <c r="O298" i="8"/>
  <c r="N298" i="8"/>
  <c r="K298" i="8"/>
  <c r="AL298" i="8" s="1"/>
  <c r="BD297" i="8"/>
  <c r="BC297" i="8"/>
  <c r="BB297" i="8"/>
  <c r="BA297" i="8"/>
  <c r="AN297" i="8"/>
  <c r="AM297" i="8"/>
  <c r="BJ297" i="8" s="1"/>
  <c r="V297" i="8"/>
  <c r="Y297" i="8"/>
  <c r="X297" i="8"/>
  <c r="W297" i="8"/>
  <c r="T297" i="8"/>
  <c r="S297" i="8"/>
  <c r="R297" i="8"/>
  <c r="Q297" i="8"/>
  <c r="P297" i="8"/>
  <c r="O297" i="8"/>
  <c r="N297" i="8"/>
  <c r="K297" i="8"/>
  <c r="AL297" i="8" s="1"/>
  <c r="BD296" i="8"/>
  <c r="BC296" i="8"/>
  <c r="BB296" i="8"/>
  <c r="BA296" i="8"/>
  <c r="AN296" i="8"/>
  <c r="AM296" i="8"/>
  <c r="BJ296" i="8" s="1"/>
  <c r="V296" i="8"/>
  <c r="Y296" i="8"/>
  <c r="X296" i="8"/>
  <c r="W296" i="8"/>
  <c r="T296" i="8"/>
  <c r="S296" i="8"/>
  <c r="R296" i="8"/>
  <c r="Q296" i="8"/>
  <c r="P296" i="8"/>
  <c r="O296" i="8"/>
  <c r="N296" i="8"/>
  <c r="K296" i="8"/>
  <c r="AL296" i="8" s="1"/>
  <c r="BD295" i="8"/>
  <c r="BC295" i="8"/>
  <c r="BB295" i="8"/>
  <c r="BA295" i="8"/>
  <c r="AN295" i="8"/>
  <c r="AM295" i="8"/>
  <c r="BJ295" i="8" s="1"/>
  <c r="V295" i="8"/>
  <c r="Y295" i="8"/>
  <c r="X295" i="8"/>
  <c r="W295" i="8"/>
  <c r="T295" i="8"/>
  <c r="S295" i="8"/>
  <c r="R295" i="8"/>
  <c r="Q295" i="8"/>
  <c r="P295" i="8"/>
  <c r="O295" i="8"/>
  <c r="N295" i="8"/>
  <c r="K295" i="8"/>
  <c r="AL295" i="8" s="1"/>
  <c r="BD294" i="8"/>
  <c r="BC294" i="8"/>
  <c r="BB294" i="8"/>
  <c r="BA294" i="8"/>
  <c r="AN294" i="8"/>
  <c r="AM294" i="8"/>
  <c r="BJ294" i="8" s="1"/>
  <c r="V294" i="8"/>
  <c r="Y294" i="8"/>
  <c r="X294" i="8"/>
  <c r="W294" i="8"/>
  <c r="T294" i="8"/>
  <c r="S294" i="8"/>
  <c r="R294" i="8"/>
  <c r="Q294" i="8"/>
  <c r="P294" i="8"/>
  <c r="O294" i="8"/>
  <c r="N294" i="8"/>
  <c r="K294" i="8"/>
  <c r="AL294" i="8" s="1"/>
  <c r="BD293" i="8"/>
  <c r="BC293" i="8"/>
  <c r="BB293" i="8"/>
  <c r="BA293" i="8"/>
  <c r="AN293" i="8"/>
  <c r="AM293" i="8"/>
  <c r="BJ293" i="8" s="1"/>
  <c r="V293" i="8"/>
  <c r="Y293" i="8"/>
  <c r="X293" i="8"/>
  <c r="W293" i="8"/>
  <c r="T293" i="8"/>
  <c r="S293" i="8"/>
  <c r="R293" i="8"/>
  <c r="Q293" i="8"/>
  <c r="P293" i="8"/>
  <c r="O293" i="8"/>
  <c r="N293" i="8"/>
  <c r="K293" i="8"/>
  <c r="AL293" i="8" s="1"/>
  <c r="BD292" i="8"/>
  <c r="BC292" i="8"/>
  <c r="BB292" i="8"/>
  <c r="BA292" i="8"/>
  <c r="AN292" i="8"/>
  <c r="AM292" i="8"/>
  <c r="BJ292" i="8" s="1"/>
  <c r="V292" i="8"/>
  <c r="Y292" i="8"/>
  <c r="X292" i="8"/>
  <c r="W292" i="8"/>
  <c r="T292" i="8"/>
  <c r="S292" i="8"/>
  <c r="R292" i="8"/>
  <c r="Q292" i="8"/>
  <c r="P292" i="8"/>
  <c r="O292" i="8"/>
  <c r="N292" i="8"/>
  <c r="K292" i="8"/>
  <c r="AL292" i="8" s="1"/>
  <c r="BD291" i="8"/>
  <c r="BC291" i="8"/>
  <c r="BB291" i="8"/>
  <c r="BA291" i="8"/>
  <c r="AN291" i="8"/>
  <c r="AM291" i="8"/>
  <c r="BJ291" i="8" s="1"/>
  <c r="Y291" i="8"/>
  <c r="X291" i="8"/>
  <c r="W291" i="8"/>
  <c r="T291" i="8"/>
  <c r="S291" i="8"/>
  <c r="R291" i="8"/>
  <c r="Q291" i="8"/>
  <c r="P291" i="8"/>
  <c r="O291" i="8"/>
  <c r="N291" i="8"/>
  <c r="K291" i="8"/>
  <c r="AL291" i="8" s="1"/>
  <c r="BD290" i="8"/>
  <c r="BC290" i="8"/>
  <c r="BB290" i="8"/>
  <c r="BA290" i="8"/>
  <c r="AN290" i="8"/>
  <c r="AM290" i="8"/>
  <c r="BJ290" i="8" s="1"/>
  <c r="Y290" i="8"/>
  <c r="X290" i="8"/>
  <c r="W290" i="8"/>
  <c r="T290" i="8"/>
  <c r="S290" i="8"/>
  <c r="R290" i="8"/>
  <c r="Q290" i="8"/>
  <c r="P290" i="8"/>
  <c r="O290" i="8"/>
  <c r="N290" i="8"/>
  <c r="K290" i="8"/>
  <c r="AL290" i="8" s="1"/>
  <c r="BD289" i="8"/>
  <c r="BC289" i="8"/>
  <c r="BB289" i="8"/>
  <c r="BA289" i="8"/>
  <c r="AN289" i="8"/>
  <c r="AM289" i="8"/>
  <c r="BJ289" i="8" s="1"/>
  <c r="V289" i="8"/>
  <c r="Y289" i="8"/>
  <c r="X289" i="8"/>
  <c r="W289" i="8"/>
  <c r="T289" i="8"/>
  <c r="S289" i="8"/>
  <c r="R289" i="8"/>
  <c r="Q289" i="8"/>
  <c r="P289" i="8"/>
  <c r="O289" i="8"/>
  <c r="N289" i="8"/>
  <c r="K289" i="8"/>
  <c r="AL289" i="8" s="1"/>
  <c r="BD288" i="8"/>
  <c r="BC288" i="8"/>
  <c r="BB288" i="8"/>
  <c r="BA288" i="8"/>
  <c r="AN288" i="8"/>
  <c r="AM288" i="8"/>
  <c r="BJ288" i="8" s="1"/>
  <c r="V288" i="8"/>
  <c r="Y288" i="8"/>
  <c r="X288" i="8"/>
  <c r="W288" i="8"/>
  <c r="T288" i="8"/>
  <c r="S288" i="8"/>
  <c r="R288" i="8"/>
  <c r="Q288" i="8"/>
  <c r="P288" i="8"/>
  <c r="O288" i="8"/>
  <c r="N288" i="8"/>
  <c r="K288" i="8"/>
  <c r="AL288" i="8" s="1"/>
  <c r="BD287" i="8"/>
  <c r="BC287" i="8"/>
  <c r="BB287" i="8"/>
  <c r="BA287" i="8"/>
  <c r="AN287" i="8"/>
  <c r="AM287" i="8"/>
  <c r="BJ287" i="8" s="1"/>
  <c r="V287" i="8"/>
  <c r="Y287" i="8"/>
  <c r="X287" i="8"/>
  <c r="W287" i="8"/>
  <c r="T287" i="8"/>
  <c r="S287" i="8"/>
  <c r="R287" i="8"/>
  <c r="Q287" i="8"/>
  <c r="P287" i="8"/>
  <c r="O287" i="8"/>
  <c r="N287" i="8"/>
  <c r="K287" i="8"/>
  <c r="AL287" i="8" s="1"/>
  <c r="BD286" i="8"/>
  <c r="BC286" i="8"/>
  <c r="BB286" i="8"/>
  <c r="BA286" i="8"/>
  <c r="AN286" i="8"/>
  <c r="AM286" i="8"/>
  <c r="BJ286" i="8" s="1"/>
  <c r="AK286" i="8"/>
  <c r="Y286" i="8"/>
  <c r="X286" i="8"/>
  <c r="W286" i="8"/>
  <c r="T286" i="8"/>
  <c r="S286" i="8"/>
  <c r="R286" i="8"/>
  <c r="Q286" i="8"/>
  <c r="P286" i="8"/>
  <c r="O286" i="8"/>
  <c r="N286" i="8"/>
  <c r="K286" i="8"/>
  <c r="AL286" i="8" s="1"/>
  <c r="BD285" i="8"/>
  <c r="BC285" i="8"/>
  <c r="BB285" i="8"/>
  <c r="BA285" i="8"/>
  <c r="AN285" i="8"/>
  <c r="AM285" i="8"/>
  <c r="BJ285" i="8" s="1"/>
  <c r="V285" i="8"/>
  <c r="Y285" i="8"/>
  <c r="X285" i="8"/>
  <c r="W285" i="8"/>
  <c r="T285" i="8"/>
  <c r="S285" i="8"/>
  <c r="R285" i="8"/>
  <c r="Q285" i="8"/>
  <c r="P285" i="8"/>
  <c r="O285" i="8"/>
  <c r="N285" i="8"/>
  <c r="K285" i="8"/>
  <c r="AL285" i="8" s="1"/>
  <c r="BD284" i="8"/>
  <c r="BC284" i="8"/>
  <c r="BB284" i="8"/>
  <c r="BA284" i="8"/>
  <c r="AN284" i="8"/>
  <c r="AM284" i="8"/>
  <c r="BJ284" i="8" s="1"/>
  <c r="V284" i="8"/>
  <c r="Y284" i="8"/>
  <c r="X284" i="8"/>
  <c r="W284" i="8"/>
  <c r="T284" i="8"/>
  <c r="S284" i="8"/>
  <c r="R284" i="8"/>
  <c r="Q284" i="8"/>
  <c r="P284" i="8"/>
  <c r="O284" i="8"/>
  <c r="N284" i="8"/>
  <c r="K284" i="8"/>
  <c r="AL284" i="8" s="1"/>
  <c r="BD283" i="8"/>
  <c r="BC283" i="8"/>
  <c r="BB283" i="8"/>
  <c r="BA283" i="8"/>
  <c r="AN283" i="8"/>
  <c r="AM283" i="8"/>
  <c r="BJ283" i="8" s="1"/>
  <c r="V283" i="8"/>
  <c r="Y283" i="8"/>
  <c r="X283" i="8"/>
  <c r="W283" i="8"/>
  <c r="T283" i="8"/>
  <c r="S283" i="8"/>
  <c r="R283" i="8"/>
  <c r="Q283" i="8"/>
  <c r="P283" i="8"/>
  <c r="O283" i="8"/>
  <c r="N283" i="8"/>
  <c r="K283" i="8"/>
  <c r="AL283" i="8" s="1"/>
  <c r="BD282" i="8"/>
  <c r="BC282" i="8"/>
  <c r="BB282" i="8"/>
  <c r="BA282" i="8"/>
  <c r="AN282" i="8"/>
  <c r="AM282" i="8"/>
  <c r="BJ282" i="8" s="1"/>
  <c r="V282" i="8"/>
  <c r="Y282" i="8"/>
  <c r="X282" i="8"/>
  <c r="W282" i="8"/>
  <c r="T282" i="8"/>
  <c r="S282" i="8"/>
  <c r="R282" i="8"/>
  <c r="Q282" i="8"/>
  <c r="P282" i="8"/>
  <c r="O282" i="8"/>
  <c r="N282" i="8"/>
  <c r="K282" i="8"/>
  <c r="AL282" i="8" s="1"/>
  <c r="BD281" i="8"/>
  <c r="BC281" i="8"/>
  <c r="BB281" i="8"/>
  <c r="BA281" i="8"/>
  <c r="AN281" i="8"/>
  <c r="AM281" i="8"/>
  <c r="BJ281" i="8" s="1"/>
  <c r="V281" i="8"/>
  <c r="Y281" i="8"/>
  <c r="X281" i="8"/>
  <c r="W281" i="8"/>
  <c r="T281" i="8"/>
  <c r="S281" i="8"/>
  <c r="R281" i="8"/>
  <c r="Q281" i="8"/>
  <c r="P281" i="8"/>
  <c r="O281" i="8"/>
  <c r="N281" i="8"/>
  <c r="K281" i="8"/>
  <c r="AL281" i="8" s="1"/>
  <c r="BD280" i="8"/>
  <c r="BC280" i="8"/>
  <c r="BB280" i="8"/>
  <c r="BA280" i="8"/>
  <c r="AN280" i="8"/>
  <c r="AM280" i="8"/>
  <c r="BJ280" i="8" s="1"/>
  <c r="V280" i="8"/>
  <c r="Y280" i="8"/>
  <c r="X280" i="8"/>
  <c r="W280" i="8"/>
  <c r="T280" i="8"/>
  <c r="S280" i="8"/>
  <c r="R280" i="8"/>
  <c r="Q280" i="8"/>
  <c r="P280" i="8"/>
  <c r="O280" i="8"/>
  <c r="N280" i="8"/>
  <c r="K280" i="8"/>
  <c r="AL280" i="8" s="1"/>
  <c r="BD279" i="8"/>
  <c r="BC279" i="8"/>
  <c r="BB279" i="8"/>
  <c r="BA279" i="8"/>
  <c r="AN279" i="8"/>
  <c r="AM279" i="8"/>
  <c r="BJ279" i="8" s="1"/>
  <c r="AK279" i="8"/>
  <c r="Y279" i="8"/>
  <c r="X279" i="8"/>
  <c r="W279" i="8"/>
  <c r="T279" i="8"/>
  <c r="S279" i="8"/>
  <c r="R279" i="8"/>
  <c r="Q279" i="8"/>
  <c r="P279" i="8"/>
  <c r="O279" i="8"/>
  <c r="N279" i="8"/>
  <c r="K279" i="8"/>
  <c r="AL279" i="8" s="1"/>
  <c r="BD278" i="8"/>
  <c r="BC278" i="8"/>
  <c r="BB278" i="8"/>
  <c r="BA278" i="8"/>
  <c r="AN278" i="8"/>
  <c r="AM278" i="8"/>
  <c r="BJ278" i="8" s="1"/>
  <c r="V278" i="8"/>
  <c r="Y278" i="8"/>
  <c r="X278" i="8"/>
  <c r="W278" i="8"/>
  <c r="T278" i="8"/>
  <c r="S278" i="8"/>
  <c r="R278" i="8"/>
  <c r="Q278" i="8"/>
  <c r="P278" i="8"/>
  <c r="O278" i="8"/>
  <c r="N278" i="8"/>
  <c r="K278" i="8"/>
  <c r="AL278" i="8" s="1"/>
  <c r="BD277" i="8"/>
  <c r="BC277" i="8"/>
  <c r="BB277" i="8"/>
  <c r="BA277" i="8"/>
  <c r="AN277" i="8"/>
  <c r="AM277" i="8"/>
  <c r="BJ277" i="8" s="1"/>
  <c r="V277" i="8"/>
  <c r="Y277" i="8"/>
  <c r="X277" i="8"/>
  <c r="W277" i="8"/>
  <c r="T277" i="8"/>
  <c r="S277" i="8"/>
  <c r="R277" i="8"/>
  <c r="Q277" i="8"/>
  <c r="P277" i="8"/>
  <c r="O277" i="8"/>
  <c r="N277" i="8"/>
  <c r="K277" i="8"/>
  <c r="AL277" i="8" s="1"/>
  <c r="BD276" i="8"/>
  <c r="BC276" i="8"/>
  <c r="BB276" i="8"/>
  <c r="BA276" i="8"/>
  <c r="AN276" i="8"/>
  <c r="AM276" i="8"/>
  <c r="BJ276" i="8" s="1"/>
  <c r="AK276" i="8"/>
  <c r="AW276" i="8" s="1"/>
  <c r="Y276" i="8"/>
  <c r="X276" i="8"/>
  <c r="W276" i="8"/>
  <c r="T276" i="8"/>
  <c r="S276" i="8"/>
  <c r="R276" i="8"/>
  <c r="Q276" i="8"/>
  <c r="P276" i="8"/>
  <c r="O276" i="8"/>
  <c r="N276" i="8"/>
  <c r="K276" i="8"/>
  <c r="AL276" i="8" s="1"/>
  <c r="BD275" i="8"/>
  <c r="BC275" i="8"/>
  <c r="BB275" i="8"/>
  <c r="BA275" i="8"/>
  <c r="AN275" i="8"/>
  <c r="AM275" i="8"/>
  <c r="BJ275" i="8" s="1"/>
  <c r="V275" i="8"/>
  <c r="Y275" i="8"/>
  <c r="X275" i="8"/>
  <c r="W275" i="8"/>
  <c r="T275" i="8"/>
  <c r="S275" i="8"/>
  <c r="R275" i="8"/>
  <c r="Q275" i="8"/>
  <c r="P275" i="8"/>
  <c r="O275" i="8"/>
  <c r="N275" i="8"/>
  <c r="K275" i="8"/>
  <c r="AL275" i="8" s="1"/>
  <c r="BD274" i="8"/>
  <c r="BC274" i="8"/>
  <c r="BB274" i="8"/>
  <c r="BA274" i="8"/>
  <c r="AN274" i="8"/>
  <c r="AM274" i="8"/>
  <c r="BJ274" i="8" s="1"/>
  <c r="Y274" i="8"/>
  <c r="X274" i="8"/>
  <c r="W274" i="8"/>
  <c r="T274" i="8"/>
  <c r="S274" i="8"/>
  <c r="R274" i="8"/>
  <c r="Q274" i="8"/>
  <c r="P274" i="8"/>
  <c r="O274" i="8"/>
  <c r="N274" i="8"/>
  <c r="K274" i="8"/>
  <c r="AL274" i="8" s="1"/>
  <c r="BD270" i="8"/>
  <c r="BC270" i="8"/>
  <c r="BB270" i="8"/>
  <c r="BA270" i="8"/>
  <c r="AN270" i="8"/>
  <c r="AM270" i="8"/>
  <c r="BJ270" i="8" s="1"/>
  <c r="V270" i="8"/>
  <c r="Y270" i="8"/>
  <c r="X270" i="8"/>
  <c r="W270" i="8"/>
  <c r="T270" i="8"/>
  <c r="S270" i="8"/>
  <c r="R270" i="8"/>
  <c r="Q270" i="8"/>
  <c r="P270" i="8"/>
  <c r="O270" i="8"/>
  <c r="N270" i="8"/>
  <c r="K270" i="8"/>
  <c r="AL270" i="8" s="1"/>
  <c r="BD269" i="8"/>
  <c r="BC269" i="8"/>
  <c r="BB269" i="8"/>
  <c r="BA269" i="8"/>
  <c r="AN269" i="8"/>
  <c r="AM269" i="8"/>
  <c r="BJ269" i="8" s="1"/>
  <c r="V269" i="8"/>
  <c r="Y269" i="8"/>
  <c r="X269" i="8"/>
  <c r="W269" i="8"/>
  <c r="T269" i="8"/>
  <c r="S269" i="8"/>
  <c r="R269" i="8"/>
  <c r="Q269" i="8"/>
  <c r="P269" i="8"/>
  <c r="O269" i="8"/>
  <c r="N269" i="8"/>
  <c r="K269" i="8"/>
  <c r="AL269" i="8" s="1"/>
  <c r="BD268" i="8"/>
  <c r="BC268" i="8"/>
  <c r="BB268" i="8"/>
  <c r="BA268" i="8"/>
  <c r="AN268" i="8"/>
  <c r="AM268" i="8"/>
  <c r="BJ268" i="8" s="1"/>
  <c r="Y268" i="8"/>
  <c r="X268" i="8"/>
  <c r="W268" i="8"/>
  <c r="T268" i="8"/>
  <c r="S268" i="8"/>
  <c r="R268" i="8"/>
  <c r="Q268" i="8"/>
  <c r="P268" i="8"/>
  <c r="O268" i="8"/>
  <c r="N268" i="8"/>
  <c r="K268" i="8"/>
  <c r="AL268" i="8" s="1"/>
  <c r="BD267" i="8"/>
  <c r="BC267" i="8"/>
  <c r="BB267" i="8"/>
  <c r="BA267" i="8"/>
  <c r="AN267" i="8"/>
  <c r="AM267" i="8"/>
  <c r="BJ267" i="8" s="1"/>
  <c r="Y267" i="8"/>
  <c r="X267" i="8"/>
  <c r="W267" i="8"/>
  <c r="T267" i="8"/>
  <c r="S267" i="8"/>
  <c r="R267" i="8"/>
  <c r="Q267" i="8"/>
  <c r="P267" i="8"/>
  <c r="O267" i="8"/>
  <c r="N267" i="8"/>
  <c r="K267" i="8"/>
  <c r="AL267" i="8" s="1"/>
  <c r="BD263" i="8"/>
  <c r="BC263" i="8"/>
  <c r="BB263" i="8"/>
  <c r="BA263" i="8"/>
  <c r="AN263" i="8"/>
  <c r="AM263" i="8"/>
  <c r="BJ263" i="8" s="1"/>
  <c r="V263" i="8"/>
  <c r="Y263" i="8"/>
  <c r="X263" i="8"/>
  <c r="W263" i="8"/>
  <c r="T263" i="8"/>
  <c r="S263" i="8"/>
  <c r="R263" i="8"/>
  <c r="Q263" i="8"/>
  <c r="P263" i="8"/>
  <c r="O263" i="8"/>
  <c r="N263" i="8"/>
  <c r="K263" i="8"/>
  <c r="AL263" i="8" s="1"/>
  <c r="BD262" i="8"/>
  <c r="BC262" i="8"/>
  <c r="BB262" i="8"/>
  <c r="BA262" i="8"/>
  <c r="AN262" i="8"/>
  <c r="AM262" i="8"/>
  <c r="BJ262" i="8" s="1"/>
  <c r="V262" i="8"/>
  <c r="Y262" i="8"/>
  <c r="X262" i="8"/>
  <c r="W262" i="8"/>
  <c r="T262" i="8"/>
  <c r="S262" i="8"/>
  <c r="R262" i="8"/>
  <c r="Q262" i="8"/>
  <c r="P262" i="8"/>
  <c r="O262" i="8"/>
  <c r="N262" i="8"/>
  <c r="K262" i="8"/>
  <c r="AL262" i="8" s="1"/>
  <c r="BD261" i="8"/>
  <c r="BC261" i="8"/>
  <c r="BB261" i="8"/>
  <c r="BA261" i="8"/>
  <c r="AN261" i="8"/>
  <c r="AM261" i="8"/>
  <c r="BJ261" i="8" s="1"/>
  <c r="Y261" i="8"/>
  <c r="X261" i="8"/>
  <c r="W261" i="8"/>
  <c r="T261" i="8"/>
  <c r="S261" i="8"/>
  <c r="R261" i="8"/>
  <c r="Q261" i="8"/>
  <c r="P261" i="8"/>
  <c r="O261" i="8"/>
  <c r="N261" i="8"/>
  <c r="K261" i="8"/>
  <c r="AL261" i="8" s="1"/>
  <c r="BD260" i="8"/>
  <c r="BC260" i="8"/>
  <c r="BB260" i="8"/>
  <c r="BA260" i="8"/>
  <c r="AN260" i="8"/>
  <c r="AM260" i="8"/>
  <c r="BJ260" i="8" s="1"/>
  <c r="Y260" i="8"/>
  <c r="X260" i="8"/>
  <c r="W260" i="8"/>
  <c r="T260" i="8"/>
  <c r="S260" i="8"/>
  <c r="R260" i="8"/>
  <c r="Q260" i="8"/>
  <c r="P260" i="8"/>
  <c r="O260" i="8"/>
  <c r="N260" i="8"/>
  <c r="K260" i="8"/>
  <c r="AL260" i="8" s="1"/>
  <c r="BD256" i="8"/>
  <c r="BC256" i="8"/>
  <c r="BB256" i="8"/>
  <c r="BA256" i="8"/>
  <c r="AN256" i="8"/>
  <c r="AM256" i="8"/>
  <c r="BJ256" i="8" s="1"/>
  <c r="V256" i="8"/>
  <c r="Y256" i="8"/>
  <c r="X256" i="8"/>
  <c r="W256" i="8"/>
  <c r="T256" i="8"/>
  <c r="S256" i="8"/>
  <c r="R256" i="8"/>
  <c r="Q256" i="8"/>
  <c r="P256" i="8"/>
  <c r="O256" i="8"/>
  <c r="N256" i="8"/>
  <c r="K256" i="8"/>
  <c r="AL256" i="8" s="1"/>
  <c r="BD255" i="8"/>
  <c r="BC255" i="8"/>
  <c r="BB255" i="8"/>
  <c r="BA255" i="8"/>
  <c r="AN255" i="8"/>
  <c r="AM255" i="8"/>
  <c r="BJ255" i="8" s="1"/>
  <c r="V255" i="8"/>
  <c r="Y255" i="8"/>
  <c r="X255" i="8"/>
  <c r="W255" i="8"/>
  <c r="T255" i="8"/>
  <c r="S255" i="8"/>
  <c r="R255" i="8"/>
  <c r="Q255" i="8"/>
  <c r="P255" i="8"/>
  <c r="O255" i="8"/>
  <c r="N255" i="8"/>
  <c r="K255" i="8"/>
  <c r="AL255" i="8" s="1"/>
  <c r="BD254" i="8"/>
  <c r="BC254" i="8"/>
  <c r="BB254" i="8"/>
  <c r="BA254" i="8"/>
  <c r="AN254" i="8"/>
  <c r="AM254" i="8"/>
  <c r="BJ254" i="8" s="1"/>
  <c r="Y254" i="8"/>
  <c r="X254" i="8"/>
  <c r="W254" i="8"/>
  <c r="T254" i="8"/>
  <c r="S254" i="8"/>
  <c r="R254" i="8"/>
  <c r="Q254" i="8"/>
  <c r="P254" i="8"/>
  <c r="O254" i="8"/>
  <c r="N254" i="8"/>
  <c r="K254" i="8"/>
  <c r="AL254" i="8" s="1"/>
  <c r="U261" i="8"/>
  <c r="U276" i="8"/>
  <c r="V309" i="8"/>
  <c r="U256" i="8"/>
  <c r="U268" i="8"/>
  <c r="U279" i="8"/>
  <c r="U299" i="8"/>
  <c r="U291" i="8"/>
  <c r="U310" i="8"/>
  <c r="U307" i="8"/>
  <c r="J7" i="32"/>
  <c r="AL7" i="32" s="1"/>
  <c r="J8" i="32"/>
  <c r="S8" i="32" s="1"/>
  <c r="J9" i="32"/>
  <c r="AL9" i="32" s="1"/>
  <c r="J10" i="32"/>
  <c r="AL10" i="32" s="1"/>
  <c r="J11" i="32"/>
  <c r="AM11" i="32" s="1"/>
  <c r="AR11" i="32" s="1"/>
  <c r="J12" i="32"/>
  <c r="J13" i="32"/>
  <c r="S13" i="32" s="1"/>
  <c r="J14" i="32"/>
  <c r="AG14" i="32" s="1"/>
  <c r="J15" i="32"/>
  <c r="S15" i="32" s="1"/>
  <c r="J16" i="32"/>
  <c r="AG16" i="32" s="1"/>
  <c r="J17" i="32"/>
  <c r="AL17" i="32" s="1"/>
  <c r="J18" i="32"/>
  <c r="S18" i="32" s="1"/>
  <c r="J19" i="32"/>
  <c r="AN19" i="32" s="1"/>
  <c r="AZ19" i="32" s="1"/>
  <c r="J20" i="32"/>
  <c r="J21" i="32"/>
  <c r="AM21" i="32" s="1"/>
  <c r="AR21" i="32" s="1"/>
  <c r="J22" i="32"/>
  <c r="AN22" i="32" s="1"/>
  <c r="AZ22" i="32" s="1"/>
  <c r="J23" i="32"/>
  <c r="AN23" i="32" s="1"/>
  <c r="AZ23" i="32" s="1"/>
  <c r="J24" i="32"/>
  <c r="AN24" i="32" s="1"/>
  <c r="AZ24" i="32" s="1"/>
  <c r="J25" i="32"/>
  <c r="AN25" i="32" s="1"/>
  <c r="AZ25" i="32" s="1"/>
  <c r="J26" i="32"/>
  <c r="AG26" i="32" s="1"/>
  <c r="J27" i="32"/>
  <c r="AG27" i="32" s="1"/>
  <c r="J28" i="32"/>
  <c r="AM28" i="32" s="1"/>
  <c r="AR28" i="32" s="1"/>
  <c r="J29" i="32"/>
  <c r="AM29" i="32" s="1"/>
  <c r="AR29" i="32" s="1"/>
  <c r="J30" i="32"/>
  <c r="AN30" i="32" s="1"/>
  <c r="AZ30" i="32" s="1"/>
  <c r="J31" i="32"/>
  <c r="AL31" i="32" s="1"/>
  <c r="J32" i="32"/>
  <c r="AG32" i="32" s="1"/>
  <c r="J33" i="32"/>
  <c r="AL33" i="32" s="1"/>
  <c r="J34" i="32"/>
  <c r="AG34" i="32" s="1"/>
  <c r="J35" i="32"/>
  <c r="AG35" i="32" s="1"/>
  <c r="J36" i="32"/>
  <c r="AN36" i="32" s="1"/>
  <c r="AZ36" i="32" s="1"/>
  <c r="J37" i="32"/>
  <c r="AL37" i="32" s="1"/>
  <c r="J38" i="32"/>
  <c r="AM38" i="32" s="1"/>
  <c r="AR38" i="32" s="1"/>
  <c r="J39" i="32"/>
  <c r="AG39" i="32" s="1"/>
  <c r="J40" i="32"/>
  <c r="AG40" i="32" s="1"/>
  <c r="J41" i="32"/>
  <c r="AG41" i="32" s="1"/>
  <c r="J42" i="32"/>
  <c r="AG42" i="32" s="1"/>
  <c r="J43" i="32"/>
  <c r="AG43" i="32" s="1"/>
  <c r="J44" i="32"/>
  <c r="J45" i="32"/>
  <c r="AL45" i="32" s="1"/>
  <c r="J46" i="32"/>
  <c r="AN46" i="32" s="1"/>
  <c r="AZ46" i="32" s="1"/>
  <c r="J47" i="32"/>
  <c r="AG47" i="32" s="1"/>
  <c r="J48" i="32"/>
  <c r="AG48" i="32" s="1"/>
  <c r="J49" i="32"/>
  <c r="AM49" i="32" s="1"/>
  <c r="AR49" i="32" s="1"/>
  <c r="J50" i="32"/>
  <c r="AM50" i="32" s="1"/>
  <c r="AR50" i="32" s="1"/>
  <c r="J51" i="32"/>
  <c r="S51" i="32" s="1"/>
  <c r="J52" i="32"/>
  <c r="J53" i="32"/>
  <c r="AL53" i="32" s="1"/>
  <c r="J54" i="32"/>
  <c r="AM54" i="32" s="1"/>
  <c r="AR54" i="32" s="1"/>
  <c r="J55" i="32"/>
  <c r="AG55" i="32" s="1"/>
  <c r="J56" i="32"/>
  <c r="AM56" i="32" s="1"/>
  <c r="AR56" i="32" s="1"/>
  <c r="J57" i="32"/>
  <c r="AM57" i="32" s="1"/>
  <c r="AR57" i="32" s="1"/>
  <c r="J58" i="32"/>
  <c r="AG58" i="32" s="1"/>
  <c r="J59" i="32"/>
  <c r="AG59" i="32" s="1"/>
  <c r="J60" i="32"/>
  <c r="J61" i="32"/>
  <c r="AN61" i="32" s="1"/>
  <c r="AZ61" i="32" s="1"/>
  <c r="J62" i="32"/>
  <c r="AM62" i="32" s="1"/>
  <c r="AR62" i="32" s="1"/>
  <c r="J63" i="32"/>
  <c r="AL63" i="32" s="1"/>
  <c r="J64" i="32"/>
  <c r="AG64" i="32" s="1"/>
  <c r="J65" i="32"/>
  <c r="AL65" i="32" s="1"/>
  <c r="J66" i="32"/>
  <c r="AG66" i="32" s="1"/>
  <c r="J67" i="32"/>
  <c r="AG67" i="32" s="1"/>
  <c r="J68" i="32"/>
  <c r="J69" i="32"/>
  <c r="AL69" i="32" s="1"/>
  <c r="J70" i="32"/>
  <c r="AN70" i="32" s="1"/>
  <c r="AZ70" i="32" s="1"/>
  <c r="J71" i="32"/>
  <c r="AG71" i="32" s="1"/>
  <c r="J72" i="32"/>
  <c r="AG72" i="32" s="1"/>
  <c r="J73" i="32"/>
  <c r="AL73" i="32" s="1"/>
  <c r="J74" i="32"/>
  <c r="AG74" i="32" s="1"/>
  <c r="J75" i="32"/>
  <c r="AG75" i="32" s="1"/>
  <c r="J76" i="32"/>
  <c r="AL76" i="32" s="1"/>
  <c r="J77" i="32"/>
  <c r="AM77" i="32" s="1"/>
  <c r="AR77" i="32" s="1"/>
  <c r="J78" i="32"/>
  <c r="AN78" i="32" s="1"/>
  <c r="AZ78" i="32" s="1"/>
  <c r="J79" i="32"/>
  <c r="AG79" i="32" s="1"/>
  <c r="J80" i="32"/>
  <c r="AG80" i="32" s="1"/>
  <c r="J81" i="32"/>
  <c r="AL81" i="32" s="1"/>
  <c r="J82" i="32"/>
  <c r="AN82" i="32" s="1"/>
  <c r="AZ82" i="32" s="1"/>
  <c r="J83" i="32"/>
  <c r="S83" i="32" s="1"/>
  <c r="J84" i="32"/>
  <c r="J85" i="32"/>
  <c r="AL85" i="32" s="1"/>
  <c r="J86" i="32"/>
  <c r="AM86" i="32" s="1"/>
  <c r="AR86" i="32" s="1"/>
  <c r="J87" i="32"/>
  <c r="AG87" i="32" s="1"/>
  <c r="J88" i="32"/>
  <c r="AG88" i="32" s="1"/>
  <c r="J89" i="32"/>
  <c r="AN89" i="32" s="1"/>
  <c r="AZ89" i="32" s="1"/>
  <c r="J90" i="32"/>
  <c r="AG90" i="32" s="1"/>
  <c r="J91" i="32"/>
  <c r="AG91" i="32" s="1"/>
  <c r="J92" i="32"/>
  <c r="AN92" i="32" s="1"/>
  <c r="AZ92" i="32" s="1"/>
  <c r="J93" i="32"/>
  <c r="AM93" i="32" s="1"/>
  <c r="AR93" i="32" s="1"/>
  <c r="J94" i="32"/>
  <c r="AM94" i="32" s="1"/>
  <c r="AR94" i="32" s="1"/>
  <c r="J95" i="32"/>
  <c r="AL95" i="32" s="1"/>
  <c r="J96" i="32"/>
  <c r="AL96" i="32" s="1"/>
  <c r="J97" i="32"/>
  <c r="AM97" i="32" s="1"/>
  <c r="AR97" i="32" s="1"/>
  <c r="J98" i="32"/>
  <c r="AG98" i="32" s="1"/>
  <c r="J99" i="32"/>
  <c r="AG99" i="32" s="1"/>
  <c r="J100" i="32"/>
  <c r="AN100" i="32" s="1"/>
  <c r="AZ100" i="32" s="1"/>
  <c r="J101" i="32"/>
  <c r="AL101" i="32" s="1"/>
  <c r="J102" i="32"/>
  <c r="AL102" i="32" s="1"/>
  <c r="J103" i="32"/>
  <c r="AG103" i="32" s="1"/>
  <c r="J104" i="32"/>
  <c r="AG104" i="32" s="1"/>
  <c r="J105" i="32"/>
  <c r="AG105" i="32" s="1"/>
  <c r="J106" i="32"/>
  <c r="AG106" i="32" s="1"/>
  <c r="J107" i="32"/>
  <c r="AG107" i="32" s="1"/>
  <c r="J108" i="32"/>
  <c r="J109" i="32"/>
  <c r="AN109" i="32" s="1"/>
  <c r="AZ109" i="32" s="1"/>
  <c r="J110" i="32"/>
  <c r="AL110" i="32" s="1"/>
  <c r="J111" i="32"/>
  <c r="AN111" i="32" s="1"/>
  <c r="AZ111" i="32" s="1"/>
  <c r="J112" i="32"/>
  <c r="AG112" i="32" s="1"/>
  <c r="J113" i="32"/>
  <c r="AL113" i="32" s="1"/>
  <c r="J114" i="32"/>
  <c r="AM114" i="32" s="1"/>
  <c r="AR114" i="32" s="1"/>
  <c r="J115" i="32"/>
  <c r="S115" i="32" s="1"/>
  <c r="J116" i="32"/>
  <c r="AN116" i="32" s="1"/>
  <c r="AZ116" i="32" s="1"/>
  <c r="J117" i="32"/>
  <c r="AM117" i="32" s="1"/>
  <c r="AR117" i="32" s="1"/>
  <c r="J118" i="32"/>
  <c r="AN118" i="32" s="1"/>
  <c r="AZ118" i="32" s="1"/>
  <c r="J119" i="32"/>
  <c r="AG119" i="32" s="1"/>
  <c r="J120" i="32"/>
  <c r="AM120" i="32" s="1"/>
  <c r="AR120" i="32" s="1"/>
  <c r="J121" i="32"/>
  <c r="AN121" i="32" s="1"/>
  <c r="AZ121" i="32" s="1"/>
  <c r="J122" i="32"/>
  <c r="AG122" i="32" s="1"/>
  <c r="J123" i="32"/>
  <c r="AG123" i="32" s="1"/>
  <c r="J124" i="32"/>
  <c r="J125" i="32"/>
  <c r="AL125" i="32" s="1"/>
  <c r="J126" i="32"/>
  <c r="AM126" i="32" s="1"/>
  <c r="AR126" i="32" s="1"/>
  <c r="J127" i="32"/>
  <c r="AN127" i="32" s="1"/>
  <c r="AZ127" i="32" s="1"/>
  <c r="J128" i="32"/>
  <c r="AG128" i="32" s="1"/>
  <c r="J129" i="32"/>
  <c r="AM129" i="32" s="1"/>
  <c r="AR129" i="32" s="1"/>
  <c r="J130" i="32"/>
  <c r="AG130" i="32" s="1"/>
  <c r="J131" i="32"/>
  <c r="AG131" i="32" s="1"/>
  <c r="J132" i="32"/>
  <c r="AM132" i="32" s="1"/>
  <c r="AR132" i="32" s="1"/>
  <c r="J133" i="32"/>
  <c r="AL133" i="32" s="1"/>
  <c r="J134" i="32"/>
  <c r="AM134" i="32" s="1"/>
  <c r="AR134" i="32" s="1"/>
  <c r="J135" i="32"/>
  <c r="AN135" i="32" s="1"/>
  <c r="AZ135" i="32" s="1"/>
  <c r="J136" i="32"/>
  <c r="AG136" i="32" s="1"/>
  <c r="J137" i="32"/>
  <c r="AL137" i="32" s="1"/>
  <c r="J138" i="32"/>
  <c r="AG138" i="32" s="1"/>
  <c r="J139" i="32"/>
  <c r="AG139" i="32" s="1"/>
  <c r="J140" i="32"/>
  <c r="AL140" i="32" s="1"/>
  <c r="J141" i="32"/>
  <c r="AL141" i="32" s="1"/>
  <c r="J142" i="32"/>
  <c r="AM142" i="32" s="1"/>
  <c r="AR142" i="32" s="1"/>
  <c r="J143" i="32"/>
  <c r="AL143" i="32" s="1"/>
  <c r="J144" i="32"/>
  <c r="AG144" i="32" s="1"/>
  <c r="J145" i="32"/>
  <c r="AL145" i="32" s="1"/>
  <c r="J146" i="32"/>
  <c r="AL146" i="32" s="1"/>
  <c r="J147" i="32"/>
  <c r="S147" i="32" s="1"/>
  <c r="J148" i="32"/>
  <c r="AM148" i="32" s="1"/>
  <c r="AR148" i="32" s="1"/>
  <c r="J149" i="32"/>
  <c r="AL149" i="32" s="1"/>
  <c r="J150" i="32"/>
  <c r="AL150" i="32" s="1"/>
  <c r="J151" i="32"/>
  <c r="AG151" i="32" s="1"/>
  <c r="J152" i="32"/>
  <c r="AG152" i="32" s="1"/>
  <c r="J153" i="32"/>
  <c r="AM153" i="32" s="1"/>
  <c r="AR153" i="32" s="1"/>
  <c r="J154" i="32"/>
  <c r="AG154" i="32" s="1"/>
  <c r="J155" i="32"/>
  <c r="AG155" i="32" s="1"/>
  <c r="J6" i="32"/>
  <c r="AN6" i="32" s="1"/>
  <c r="AZ6" i="32" s="1"/>
  <c r="AD22" i="32"/>
  <c r="AD23" i="32"/>
  <c r="AD18" i="32"/>
  <c r="AD14" i="32"/>
  <c r="AD21" i="32"/>
  <c r="AD20" i="32"/>
  <c r="AD16" i="32"/>
  <c r="AD19" i="32"/>
  <c r="AD15" i="32"/>
  <c r="AD10" i="32"/>
  <c r="AD13" i="32"/>
  <c r="AD9" i="32"/>
  <c r="AD12" i="32"/>
  <c r="AD8" i="32"/>
  <c r="AD11" i="32"/>
  <c r="AD7" i="32"/>
  <c r="AD17" i="32"/>
  <c r="AE7" i="32"/>
  <c r="Y7" i="32" s="1"/>
  <c r="AE8" i="32"/>
  <c r="Y8" i="32" s="1"/>
  <c r="AE9" i="32"/>
  <c r="Y9" i="32" s="1"/>
  <c r="AE10" i="32"/>
  <c r="Y10" i="32" s="1"/>
  <c r="AE11" i="32"/>
  <c r="Y11" i="32" s="1"/>
  <c r="AE12" i="32"/>
  <c r="Y12" i="32" s="1"/>
  <c r="AE13" i="32"/>
  <c r="Y13" i="32" s="1"/>
  <c r="AE14" i="32"/>
  <c r="Y14" i="32" s="1"/>
  <c r="AE15" i="32"/>
  <c r="Y15" i="32" s="1"/>
  <c r="AE16" i="32"/>
  <c r="Y16" i="32" s="1"/>
  <c r="AE17" i="32"/>
  <c r="Y17" i="32" s="1"/>
  <c r="AE18" i="32"/>
  <c r="Y18" i="32" s="1"/>
  <c r="AE19" i="32"/>
  <c r="Y19" i="32" s="1"/>
  <c r="AE20" i="32"/>
  <c r="Y20" i="32" s="1"/>
  <c r="AE21" i="32"/>
  <c r="Y21" i="32" s="1"/>
  <c r="AE22" i="32"/>
  <c r="Y22" i="32" s="1"/>
  <c r="AE23" i="32"/>
  <c r="Y23" i="32" s="1"/>
  <c r="AE24" i="32"/>
  <c r="Y24" i="32" s="1"/>
  <c r="AE25" i="32"/>
  <c r="Y25" i="32" s="1"/>
  <c r="AE26" i="32"/>
  <c r="Y26" i="32" s="1"/>
  <c r="AE27" i="32"/>
  <c r="Y27" i="32" s="1"/>
  <c r="AE28" i="32"/>
  <c r="Y28" i="32" s="1"/>
  <c r="AE29" i="32"/>
  <c r="Y29" i="32" s="1"/>
  <c r="AE30" i="32"/>
  <c r="Y30" i="32" s="1"/>
  <c r="AE31" i="32"/>
  <c r="Y31" i="32" s="1"/>
  <c r="AE32" i="32"/>
  <c r="Y32" i="32" s="1"/>
  <c r="AE33" i="32"/>
  <c r="Y33" i="32" s="1"/>
  <c r="AE34" i="32"/>
  <c r="Y34" i="32" s="1"/>
  <c r="AE35" i="32"/>
  <c r="Y35" i="32" s="1"/>
  <c r="AE36" i="32"/>
  <c r="Y36" i="32" s="1"/>
  <c r="AE37" i="32"/>
  <c r="Y37" i="32" s="1"/>
  <c r="AE38" i="32"/>
  <c r="Y38" i="32" s="1"/>
  <c r="AE39" i="32"/>
  <c r="Y39" i="32" s="1"/>
  <c r="AE40" i="32"/>
  <c r="Y40" i="32" s="1"/>
  <c r="AE41" i="32"/>
  <c r="Y41" i="32" s="1"/>
  <c r="AE42" i="32"/>
  <c r="Y42" i="32" s="1"/>
  <c r="AE43" i="32"/>
  <c r="Y43" i="32" s="1"/>
  <c r="AE44" i="32"/>
  <c r="Y44" i="32" s="1"/>
  <c r="AE45" i="32"/>
  <c r="Y45" i="32" s="1"/>
  <c r="AE46" i="32"/>
  <c r="Y46" i="32" s="1"/>
  <c r="AE47" i="32"/>
  <c r="Y47" i="32" s="1"/>
  <c r="AE48" i="32"/>
  <c r="Y48" i="32" s="1"/>
  <c r="AE49" i="32"/>
  <c r="Y49" i="32" s="1"/>
  <c r="AE50" i="32"/>
  <c r="Y50" i="32" s="1"/>
  <c r="AE51" i="32"/>
  <c r="Y51" i="32" s="1"/>
  <c r="AE52" i="32"/>
  <c r="Y52" i="32" s="1"/>
  <c r="AE53" i="32"/>
  <c r="Y53" i="32" s="1"/>
  <c r="AE54" i="32"/>
  <c r="Y54" i="32" s="1"/>
  <c r="AE55" i="32"/>
  <c r="Y55" i="32" s="1"/>
  <c r="AE56" i="32"/>
  <c r="Y56" i="32" s="1"/>
  <c r="AE57" i="32"/>
  <c r="Y57" i="32" s="1"/>
  <c r="AE58" i="32"/>
  <c r="Y58" i="32" s="1"/>
  <c r="AE59" i="32"/>
  <c r="Y59" i="32" s="1"/>
  <c r="AE60" i="32"/>
  <c r="Y60" i="32" s="1"/>
  <c r="AE61" i="32"/>
  <c r="Y61" i="32" s="1"/>
  <c r="AE62" i="32"/>
  <c r="Y62" i="32" s="1"/>
  <c r="AE63" i="32"/>
  <c r="Y63" i="32" s="1"/>
  <c r="AE64" i="32"/>
  <c r="Y64" i="32" s="1"/>
  <c r="AE65" i="32"/>
  <c r="Y65" i="32" s="1"/>
  <c r="AE66" i="32"/>
  <c r="Y66" i="32" s="1"/>
  <c r="AE67" i="32"/>
  <c r="Y67" i="32" s="1"/>
  <c r="AE68" i="32"/>
  <c r="Y68" i="32" s="1"/>
  <c r="AE69" i="32"/>
  <c r="Y69" i="32" s="1"/>
  <c r="AE70" i="32"/>
  <c r="Y70" i="32" s="1"/>
  <c r="AE71" i="32"/>
  <c r="Y71" i="32" s="1"/>
  <c r="AE72" i="32"/>
  <c r="Y72" i="32" s="1"/>
  <c r="AE73" i="32"/>
  <c r="Y73" i="32" s="1"/>
  <c r="AE74" i="32"/>
  <c r="Y74" i="32" s="1"/>
  <c r="AE75" i="32"/>
  <c r="Y75" i="32" s="1"/>
  <c r="AE76" i="32"/>
  <c r="Y76" i="32" s="1"/>
  <c r="AE77" i="32"/>
  <c r="Y77" i="32" s="1"/>
  <c r="AE78" i="32"/>
  <c r="Y78" i="32" s="1"/>
  <c r="AE79" i="32"/>
  <c r="Y79" i="32" s="1"/>
  <c r="AE80" i="32"/>
  <c r="Y80" i="32" s="1"/>
  <c r="AE81" i="32"/>
  <c r="Y81" i="32" s="1"/>
  <c r="AE82" i="32"/>
  <c r="Y82" i="32" s="1"/>
  <c r="AE83" i="32"/>
  <c r="Y83" i="32" s="1"/>
  <c r="AE84" i="32"/>
  <c r="Y84" i="32" s="1"/>
  <c r="AE85" i="32"/>
  <c r="Y85" i="32" s="1"/>
  <c r="AE86" i="32"/>
  <c r="Y86" i="32" s="1"/>
  <c r="AE87" i="32"/>
  <c r="Y87" i="32" s="1"/>
  <c r="AE88" i="32"/>
  <c r="Y88" i="32" s="1"/>
  <c r="AE89" i="32"/>
  <c r="Y89" i="32" s="1"/>
  <c r="AE90" i="32"/>
  <c r="Y90" i="32" s="1"/>
  <c r="AE91" i="32"/>
  <c r="Y91" i="32" s="1"/>
  <c r="AE92" i="32"/>
  <c r="Y92" i="32" s="1"/>
  <c r="AE93" i="32"/>
  <c r="Y93" i="32" s="1"/>
  <c r="AE94" i="32"/>
  <c r="Y94" i="32" s="1"/>
  <c r="AE95" i="32"/>
  <c r="AE96" i="32"/>
  <c r="Y96" i="32" s="1"/>
  <c r="AE97" i="32"/>
  <c r="Y97" i="32" s="1"/>
  <c r="AE98" i="32"/>
  <c r="Y98" i="32" s="1"/>
  <c r="AE99" i="32"/>
  <c r="Y99" i="32" s="1"/>
  <c r="AE100" i="32"/>
  <c r="Y100" i="32" s="1"/>
  <c r="AE101" i="32"/>
  <c r="Y101" i="32" s="1"/>
  <c r="AE102" i="32"/>
  <c r="Y102" i="32" s="1"/>
  <c r="AE103" i="32"/>
  <c r="Y103" i="32" s="1"/>
  <c r="AE104" i="32"/>
  <c r="Y104" i="32" s="1"/>
  <c r="AE105" i="32"/>
  <c r="Y105" i="32" s="1"/>
  <c r="AE106" i="32"/>
  <c r="Y106" i="32" s="1"/>
  <c r="AE107" i="32"/>
  <c r="Y107" i="32" s="1"/>
  <c r="AE108" i="32"/>
  <c r="Y108" i="32" s="1"/>
  <c r="AE109" i="32"/>
  <c r="Y109" i="32" s="1"/>
  <c r="AE110" i="32"/>
  <c r="Y110" i="32" s="1"/>
  <c r="AE111" i="32"/>
  <c r="Y111" i="32" s="1"/>
  <c r="AE112" i="32"/>
  <c r="Y112" i="32" s="1"/>
  <c r="AE113" i="32"/>
  <c r="Y113" i="32" s="1"/>
  <c r="AE114" i="32"/>
  <c r="Y114" i="32" s="1"/>
  <c r="AE115" i="32"/>
  <c r="Y115" i="32" s="1"/>
  <c r="AE116" i="32"/>
  <c r="Y116" i="32" s="1"/>
  <c r="AE117" i="32"/>
  <c r="Y117" i="32" s="1"/>
  <c r="AE118" i="32"/>
  <c r="Y118" i="32" s="1"/>
  <c r="AE119" i="32"/>
  <c r="Y119" i="32" s="1"/>
  <c r="AE120" i="32"/>
  <c r="Y120" i="32" s="1"/>
  <c r="AE121" i="32"/>
  <c r="Y121" i="32" s="1"/>
  <c r="AE122" i="32"/>
  <c r="Y122" i="32" s="1"/>
  <c r="AE123" i="32"/>
  <c r="Y123" i="32" s="1"/>
  <c r="AE124" i="32"/>
  <c r="Y124" i="32" s="1"/>
  <c r="AE125" i="32"/>
  <c r="Y125" i="32" s="1"/>
  <c r="AE126" i="32"/>
  <c r="Y126" i="32" s="1"/>
  <c r="AE127" i="32"/>
  <c r="Y127" i="32" s="1"/>
  <c r="AE128" i="32"/>
  <c r="Y128" i="32" s="1"/>
  <c r="AE129" i="32"/>
  <c r="Y129" i="32" s="1"/>
  <c r="AE130" i="32"/>
  <c r="Y130" i="32" s="1"/>
  <c r="AE131" i="32"/>
  <c r="Y131" i="32" s="1"/>
  <c r="AE132" i="32"/>
  <c r="Y132" i="32" s="1"/>
  <c r="AE133" i="32"/>
  <c r="Y133" i="32" s="1"/>
  <c r="AE134" i="32"/>
  <c r="Y134" i="32" s="1"/>
  <c r="AE135" i="32"/>
  <c r="Y135" i="32" s="1"/>
  <c r="AE136" i="32"/>
  <c r="Y136" i="32" s="1"/>
  <c r="AE137" i="32"/>
  <c r="Y137" i="32" s="1"/>
  <c r="AE138" i="32"/>
  <c r="Y138" i="32" s="1"/>
  <c r="AE139" i="32"/>
  <c r="Y139" i="32" s="1"/>
  <c r="AE140" i="32"/>
  <c r="Y140" i="32" s="1"/>
  <c r="AE141" i="32"/>
  <c r="Y141" i="32" s="1"/>
  <c r="AE142" i="32"/>
  <c r="Y142" i="32" s="1"/>
  <c r="AE143" i="32"/>
  <c r="Y143" i="32" s="1"/>
  <c r="AE144" i="32"/>
  <c r="Y144" i="32" s="1"/>
  <c r="AE145" i="32"/>
  <c r="Y145" i="32" s="1"/>
  <c r="AE146" i="32"/>
  <c r="Y146" i="32" s="1"/>
  <c r="AE147" i="32"/>
  <c r="Y147" i="32" s="1"/>
  <c r="AE148" i="32"/>
  <c r="Y148" i="32" s="1"/>
  <c r="AE149" i="32"/>
  <c r="Y149" i="32" s="1"/>
  <c r="AE150" i="32"/>
  <c r="Y150" i="32" s="1"/>
  <c r="AE151" i="32"/>
  <c r="Y151" i="32" s="1"/>
  <c r="AE152" i="32"/>
  <c r="Y152" i="32" s="1"/>
  <c r="AE153" i="32"/>
  <c r="Y153" i="32" s="1"/>
  <c r="AE154" i="32"/>
  <c r="Y154" i="32" s="1"/>
  <c r="AE155" i="32"/>
  <c r="Y155" i="32" s="1"/>
  <c r="AE6" i="32"/>
  <c r="Y6" i="32" s="1"/>
  <c r="AF6" i="32"/>
  <c r="Z6" i="32" s="1"/>
  <c r="AF7" i="32"/>
  <c r="Z7" i="32" s="1"/>
  <c r="AF8" i="32"/>
  <c r="Z8" i="32" s="1"/>
  <c r="AF9" i="32"/>
  <c r="Z9" i="32" s="1"/>
  <c r="AF10" i="32"/>
  <c r="Z10" i="32" s="1"/>
  <c r="AF11" i="32"/>
  <c r="Z11" i="32" s="1"/>
  <c r="AF12" i="32"/>
  <c r="Z12" i="32" s="1"/>
  <c r="AF13" i="32"/>
  <c r="Z13" i="32" s="1"/>
  <c r="AF14" i="32"/>
  <c r="Z14" i="32" s="1"/>
  <c r="AF15" i="32"/>
  <c r="Z15" i="32" s="1"/>
  <c r="AF16" i="32"/>
  <c r="Z16" i="32" s="1"/>
  <c r="AF17" i="32"/>
  <c r="Z17" i="32" s="1"/>
  <c r="AF18" i="32"/>
  <c r="Z18" i="32" s="1"/>
  <c r="AF19" i="32"/>
  <c r="Z19" i="32" s="1"/>
  <c r="AF20" i="32"/>
  <c r="Z20" i="32" s="1"/>
  <c r="AF21" i="32"/>
  <c r="Z21" i="32" s="1"/>
  <c r="AF22" i="32"/>
  <c r="Z22" i="32" s="1"/>
  <c r="AF23" i="32"/>
  <c r="Z23" i="32" s="1"/>
  <c r="AF24" i="32"/>
  <c r="Z24" i="32" s="1"/>
  <c r="AF25" i="32"/>
  <c r="Z25" i="32" s="1"/>
  <c r="AF26" i="32"/>
  <c r="Z26" i="32" s="1"/>
  <c r="AF27" i="32"/>
  <c r="Z27" i="32" s="1"/>
  <c r="AF28" i="32"/>
  <c r="Z28" i="32" s="1"/>
  <c r="AF29" i="32"/>
  <c r="Z29" i="32" s="1"/>
  <c r="AF30" i="32"/>
  <c r="Z30" i="32" s="1"/>
  <c r="AF31" i="32"/>
  <c r="Z31" i="32" s="1"/>
  <c r="AF32" i="32"/>
  <c r="Z32" i="32" s="1"/>
  <c r="AF33" i="32"/>
  <c r="Z33" i="32" s="1"/>
  <c r="AF34" i="32"/>
  <c r="Z34" i="32" s="1"/>
  <c r="AF35" i="32"/>
  <c r="Z35" i="32" s="1"/>
  <c r="AF36" i="32"/>
  <c r="Z36" i="32" s="1"/>
  <c r="AF37" i="32"/>
  <c r="Z37" i="32" s="1"/>
  <c r="AF38" i="32"/>
  <c r="Z38" i="32" s="1"/>
  <c r="AF39" i="32"/>
  <c r="Z39" i="32" s="1"/>
  <c r="AF40" i="32"/>
  <c r="Z40" i="32" s="1"/>
  <c r="AF41" i="32"/>
  <c r="Z41" i="32" s="1"/>
  <c r="AF42" i="32"/>
  <c r="Z42" i="32" s="1"/>
  <c r="AF43" i="32"/>
  <c r="Z43" i="32" s="1"/>
  <c r="AF44" i="32"/>
  <c r="Z44" i="32" s="1"/>
  <c r="AF45" i="32"/>
  <c r="Z45" i="32" s="1"/>
  <c r="AF46" i="32"/>
  <c r="Z46" i="32" s="1"/>
  <c r="AF47" i="32"/>
  <c r="Z47" i="32" s="1"/>
  <c r="AF48" i="32"/>
  <c r="Z48" i="32" s="1"/>
  <c r="AF49" i="32"/>
  <c r="Z49" i="32" s="1"/>
  <c r="AF50" i="32"/>
  <c r="Z50" i="32" s="1"/>
  <c r="AF51" i="32"/>
  <c r="Z51" i="32" s="1"/>
  <c r="AF52" i="32"/>
  <c r="Z52" i="32" s="1"/>
  <c r="AF53" i="32"/>
  <c r="Z53" i="32" s="1"/>
  <c r="AF54" i="32"/>
  <c r="Z54" i="32" s="1"/>
  <c r="AF55" i="32"/>
  <c r="Z55" i="32" s="1"/>
  <c r="AF56" i="32"/>
  <c r="Z56" i="32" s="1"/>
  <c r="AF57" i="32"/>
  <c r="Z57" i="32" s="1"/>
  <c r="AF58" i="32"/>
  <c r="Z58" i="32" s="1"/>
  <c r="AF59" i="32"/>
  <c r="Z59" i="32" s="1"/>
  <c r="AF60" i="32"/>
  <c r="Z60" i="32" s="1"/>
  <c r="AF61" i="32"/>
  <c r="Z61" i="32" s="1"/>
  <c r="AF62" i="32"/>
  <c r="Z62" i="32" s="1"/>
  <c r="AF63" i="32"/>
  <c r="Z63" i="32" s="1"/>
  <c r="AF64" i="32"/>
  <c r="Z64" i="32" s="1"/>
  <c r="AF65" i="32"/>
  <c r="Z65" i="32" s="1"/>
  <c r="AF66" i="32"/>
  <c r="Z66" i="32" s="1"/>
  <c r="AF67" i="32"/>
  <c r="Z67" i="32" s="1"/>
  <c r="AF68" i="32"/>
  <c r="Z68" i="32" s="1"/>
  <c r="AF69" i="32"/>
  <c r="Z69" i="32" s="1"/>
  <c r="AF70" i="32"/>
  <c r="Z70" i="32" s="1"/>
  <c r="AF71" i="32"/>
  <c r="Z71" i="32" s="1"/>
  <c r="AF72" i="32"/>
  <c r="Z72" i="32" s="1"/>
  <c r="AF73" i="32"/>
  <c r="Z73" i="32" s="1"/>
  <c r="AF74" i="32"/>
  <c r="Z74" i="32" s="1"/>
  <c r="AF75" i="32"/>
  <c r="Z75" i="32" s="1"/>
  <c r="AF76" i="32"/>
  <c r="Z76" i="32" s="1"/>
  <c r="AF77" i="32"/>
  <c r="Z77" i="32" s="1"/>
  <c r="AF78" i="32"/>
  <c r="Z78" i="32" s="1"/>
  <c r="AF79" i="32"/>
  <c r="Z79" i="32" s="1"/>
  <c r="AF80" i="32"/>
  <c r="Z80" i="32" s="1"/>
  <c r="AF81" i="32"/>
  <c r="Z81" i="32" s="1"/>
  <c r="AF82" i="32"/>
  <c r="Z82" i="32" s="1"/>
  <c r="AF83" i="32"/>
  <c r="Z83" i="32" s="1"/>
  <c r="AF84" i="32"/>
  <c r="Z84" i="32" s="1"/>
  <c r="AF85" i="32"/>
  <c r="Z85" i="32" s="1"/>
  <c r="AF86" i="32"/>
  <c r="Z86" i="32" s="1"/>
  <c r="AF87" i="32"/>
  <c r="Z87" i="32" s="1"/>
  <c r="AF88" i="32"/>
  <c r="Z88" i="32" s="1"/>
  <c r="AF89" i="32"/>
  <c r="Z89" i="32" s="1"/>
  <c r="AF90" i="32"/>
  <c r="Z90" i="32" s="1"/>
  <c r="AF91" i="32"/>
  <c r="Z91" i="32" s="1"/>
  <c r="AF92" i="32"/>
  <c r="Z92" i="32" s="1"/>
  <c r="AF93" i="32"/>
  <c r="Z93" i="32" s="1"/>
  <c r="AF94" i="32"/>
  <c r="Z94" i="32" s="1"/>
  <c r="AF95" i="32"/>
  <c r="Z95" i="32" s="1"/>
  <c r="AF96" i="32"/>
  <c r="Z96" i="32" s="1"/>
  <c r="AF97" i="32"/>
  <c r="Z97" i="32" s="1"/>
  <c r="AF98" i="32"/>
  <c r="Z98" i="32" s="1"/>
  <c r="AF99" i="32"/>
  <c r="Z99" i="32" s="1"/>
  <c r="AF100" i="32"/>
  <c r="Z100" i="32" s="1"/>
  <c r="AF101" i="32"/>
  <c r="Z101" i="32" s="1"/>
  <c r="AF102" i="32"/>
  <c r="Z102" i="32" s="1"/>
  <c r="AF103" i="32"/>
  <c r="Z103" i="32" s="1"/>
  <c r="AF104" i="32"/>
  <c r="Z104" i="32" s="1"/>
  <c r="AF105" i="32"/>
  <c r="Z105" i="32" s="1"/>
  <c r="AF106" i="32"/>
  <c r="Z106" i="32" s="1"/>
  <c r="AF107" i="32"/>
  <c r="Z107" i="32" s="1"/>
  <c r="AF108" i="32"/>
  <c r="Z108" i="32" s="1"/>
  <c r="AF109" i="32"/>
  <c r="Z109" i="32" s="1"/>
  <c r="AF110" i="32"/>
  <c r="Z110" i="32" s="1"/>
  <c r="AF111" i="32"/>
  <c r="Z111" i="32" s="1"/>
  <c r="AF112" i="32"/>
  <c r="Z112" i="32" s="1"/>
  <c r="AF113" i="32"/>
  <c r="Z113" i="32" s="1"/>
  <c r="AF114" i="32"/>
  <c r="Z114" i="32" s="1"/>
  <c r="AF115" i="32"/>
  <c r="Z115" i="32" s="1"/>
  <c r="AF116" i="32"/>
  <c r="Z116" i="32" s="1"/>
  <c r="AF117" i="32"/>
  <c r="Z117" i="32" s="1"/>
  <c r="AF118" i="32"/>
  <c r="Z118" i="32" s="1"/>
  <c r="AF119" i="32"/>
  <c r="Z119" i="32" s="1"/>
  <c r="AF120" i="32"/>
  <c r="Z120" i="32" s="1"/>
  <c r="AF121" i="32"/>
  <c r="Z121" i="32" s="1"/>
  <c r="AF122" i="32"/>
  <c r="Z122" i="32" s="1"/>
  <c r="AF123" i="32"/>
  <c r="Z123" i="32" s="1"/>
  <c r="AF124" i="32"/>
  <c r="Z124" i="32" s="1"/>
  <c r="AF125" i="32"/>
  <c r="Z125" i="32" s="1"/>
  <c r="AF126" i="32"/>
  <c r="Z126" i="32" s="1"/>
  <c r="AF127" i="32"/>
  <c r="Z127" i="32" s="1"/>
  <c r="AF128" i="32"/>
  <c r="Z128" i="32" s="1"/>
  <c r="AF129" i="32"/>
  <c r="Z129" i="32" s="1"/>
  <c r="AF130" i="32"/>
  <c r="Z130" i="32" s="1"/>
  <c r="AF131" i="32"/>
  <c r="Z131" i="32" s="1"/>
  <c r="AF132" i="32"/>
  <c r="Z132" i="32" s="1"/>
  <c r="AF133" i="32"/>
  <c r="Z133" i="32" s="1"/>
  <c r="AF134" i="32"/>
  <c r="Z134" i="32" s="1"/>
  <c r="AF135" i="32"/>
  <c r="Z135" i="32" s="1"/>
  <c r="AF136" i="32"/>
  <c r="Z136" i="32" s="1"/>
  <c r="AF137" i="32"/>
  <c r="Z137" i="32" s="1"/>
  <c r="AF138" i="32"/>
  <c r="Z138" i="32" s="1"/>
  <c r="AF139" i="32"/>
  <c r="Z139" i="32" s="1"/>
  <c r="AF140" i="32"/>
  <c r="Z140" i="32" s="1"/>
  <c r="AF141" i="32"/>
  <c r="Z141" i="32" s="1"/>
  <c r="AF142" i="32"/>
  <c r="Z142" i="32" s="1"/>
  <c r="AF143" i="32"/>
  <c r="Z143" i="32" s="1"/>
  <c r="AF144" i="32"/>
  <c r="Z144" i="32" s="1"/>
  <c r="AF145" i="32"/>
  <c r="Z145" i="32" s="1"/>
  <c r="AF146" i="32"/>
  <c r="Z146" i="32" s="1"/>
  <c r="AF147" i="32"/>
  <c r="Z147" i="32" s="1"/>
  <c r="AF148" i="32"/>
  <c r="Z148" i="32" s="1"/>
  <c r="AF149" i="32"/>
  <c r="Z149" i="32" s="1"/>
  <c r="AF150" i="32"/>
  <c r="Z150" i="32" s="1"/>
  <c r="AF151" i="32"/>
  <c r="Z151" i="32" s="1"/>
  <c r="AF152" i="32"/>
  <c r="Z152" i="32" s="1"/>
  <c r="AF153" i="32"/>
  <c r="Z153" i="32" s="1"/>
  <c r="AF154" i="32"/>
  <c r="Z154" i="32" s="1"/>
  <c r="AF155" i="32"/>
  <c r="Z155" i="32" s="1"/>
  <c r="V7" i="8"/>
  <c r="V8" i="8"/>
  <c r="V9" i="8"/>
  <c r="V11" i="8"/>
  <c r="V12" i="8"/>
  <c r="V13" i="8"/>
  <c r="V14" i="8"/>
  <c r="V15" i="8"/>
  <c r="V17" i="8"/>
  <c r="V18" i="8"/>
  <c r="V19" i="8"/>
  <c r="V20" i="8"/>
  <c r="V21" i="8"/>
  <c r="V22" i="8"/>
  <c r="V23" i="8"/>
  <c r="V24" i="8"/>
  <c r="V25" i="8"/>
  <c r="V27" i="8"/>
  <c r="V28" i="8"/>
  <c r="V29" i="8"/>
  <c r="V30" i="8"/>
  <c r="V31" i="8"/>
  <c r="V33" i="8"/>
  <c r="V35" i="8"/>
  <c r="V36" i="8"/>
  <c r="V37" i="8"/>
  <c r="V38" i="8"/>
  <c r="V39" i="8"/>
  <c r="V41" i="8"/>
  <c r="V43" i="8"/>
  <c r="V44" i="8"/>
  <c r="V46" i="8"/>
  <c r="V47" i="8"/>
  <c r="V49" i="8"/>
  <c r="V51" i="8"/>
  <c r="V52" i="8"/>
  <c r="V54" i="8"/>
  <c r="V55" i="8"/>
  <c r="V58" i="8"/>
  <c r="V59" i="8"/>
  <c r="V60" i="8"/>
  <c r="V62" i="8"/>
  <c r="V63" i="8"/>
  <c r="V65" i="8"/>
  <c r="V66" i="8"/>
  <c r="V67" i="8"/>
  <c r="V68" i="8"/>
  <c r="V70" i="8"/>
  <c r="V71" i="8"/>
  <c r="V74" i="8"/>
  <c r="V75" i="8"/>
  <c r="V76" i="8"/>
  <c r="V78" i="8"/>
  <c r="V79" i="8"/>
  <c r="V81" i="8"/>
  <c r="V82" i="8"/>
  <c r="V83" i="8"/>
  <c r="V84" i="8"/>
  <c r="V85" i="8"/>
  <c r="V86" i="8"/>
  <c r="V87" i="8"/>
  <c r="V90" i="8"/>
  <c r="V91" i="8"/>
  <c r="V92" i="8"/>
  <c r="V94" i="8"/>
  <c r="V95" i="8"/>
  <c r="V97" i="8"/>
  <c r="V98" i="8"/>
  <c r="V99" i="8"/>
  <c r="V100" i="8"/>
  <c r="V102" i="8"/>
  <c r="V103" i="8"/>
  <c r="V106" i="8"/>
  <c r="V107" i="8"/>
  <c r="V108" i="8"/>
  <c r="V111" i="8"/>
  <c r="V113" i="8"/>
  <c r="V115" i="8"/>
  <c r="V116" i="8"/>
  <c r="V119" i="8"/>
  <c r="V123" i="8"/>
  <c r="V124" i="8"/>
  <c r="V126" i="8"/>
  <c r="V127" i="8"/>
  <c r="V129" i="8"/>
  <c r="V130" i="8"/>
  <c r="V131" i="8"/>
  <c r="V132" i="8"/>
  <c r="V134" i="8"/>
  <c r="V135" i="8"/>
  <c r="V140" i="8"/>
  <c r="V143" i="8"/>
  <c r="V145" i="8"/>
  <c r="V146" i="8"/>
  <c r="V148" i="8"/>
  <c r="V149" i="8"/>
  <c r="V150" i="8"/>
  <c r="V151" i="8"/>
  <c r="V205" i="8"/>
  <c r="V206" i="8"/>
  <c r="V207" i="8"/>
  <c r="V210" i="8"/>
  <c r="AK211" i="8"/>
  <c r="V214" i="8"/>
  <c r="V216" i="8"/>
  <c r="V218" i="8"/>
  <c r="AK219" i="8"/>
  <c r="AW219" i="8" s="1"/>
  <c r="V220" i="8"/>
  <c r="V222" i="8"/>
  <c r="V223" i="8"/>
  <c r="V224" i="8"/>
  <c r="V226" i="8"/>
  <c r="V227" i="8"/>
  <c r="V228" i="8"/>
  <c r="V230" i="8"/>
  <c r="V232" i="8"/>
  <c r="V233" i="8"/>
  <c r="V234" i="8"/>
  <c r="V235" i="8"/>
  <c r="V236" i="8"/>
  <c r="V237" i="8"/>
  <c r="V238" i="8"/>
  <c r="V239" i="8"/>
  <c r="V240" i="8"/>
  <c r="V241" i="8"/>
  <c r="V242" i="8"/>
  <c r="AK243" i="8"/>
  <c r="V244" i="8"/>
  <c r="V247" i="8"/>
  <c r="V248" i="8"/>
  <c r="V249" i="8"/>
  <c r="V250" i="8"/>
  <c r="V251" i="8"/>
  <c r="V6" i="8"/>
  <c r="C33" i="31"/>
  <c r="E33" i="31"/>
  <c r="D25" i="23"/>
  <c r="K206" i="8"/>
  <c r="AL206" i="8" s="1"/>
  <c r="N206" i="8"/>
  <c r="O206" i="8"/>
  <c r="P206" i="8"/>
  <c r="Q206" i="8"/>
  <c r="R206" i="8"/>
  <c r="S206" i="8"/>
  <c r="T206" i="8"/>
  <c r="W206" i="8"/>
  <c r="X206" i="8"/>
  <c r="Y206" i="8"/>
  <c r="AM206" i="8"/>
  <c r="BJ206" i="8" s="1"/>
  <c r="AN206" i="8"/>
  <c r="BA206" i="8"/>
  <c r="BB206" i="8"/>
  <c r="BC206" i="8"/>
  <c r="K207" i="8"/>
  <c r="AL207" i="8" s="1"/>
  <c r="N207" i="8"/>
  <c r="O207" i="8"/>
  <c r="P207" i="8"/>
  <c r="Q207" i="8"/>
  <c r="R207" i="8"/>
  <c r="S207" i="8"/>
  <c r="T207" i="8"/>
  <c r="W207" i="8"/>
  <c r="X207" i="8"/>
  <c r="Y207" i="8"/>
  <c r="AM207" i="8"/>
  <c r="BJ207" i="8" s="1"/>
  <c r="AN207" i="8"/>
  <c r="BA207" i="8"/>
  <c r="BB207" i="8"/>
  <c r="BC207" i="8"/>
  <c r="K208" i="8"/>
  <c r="AL208" i="8" s="1"/>
  <c r="N208" i="8"/>
  <c r="O208" i="8"/>
  <c r="P208" i="8"/>
  <c r="Q208" i="8"/>
  <c r="R208" i="8"/>
  <c r="S208" i="8"/>
  <c r="T208" i="8"/>
  <c r="W208" i="8"/>
  <c r="X208" i="8"/>
  <c r="Y208" i="8"/>
  <c r="AM208" i="8"/>
  <c r="BJ208" i="8" s="1"/>
  <c r="AN208" i="8"/>
  <c r="BA208" i="8"/>
  <c r="BB208" i="8"/>
  <c r="BC208" i="8"/>
  <c r="K209" i="8"/>
  <c r="AL209" i="8" s="1"/>
  <c r="N209" i="8"/>
  <c r="O209" i="8"/>
  <c r="P209" i="8"/>
  <c r="Q209" i="8"/>
  <c r="R209" i="8"/>
  <c r="S209" i="8"/>
  <c r="T209" i="8"/>
  <c r="W209" i="8"/>
  <c r="X209" i="8"/>
  <c r="Y209" i="8"/>
  <c r="AM209" i="8"/>
  <c r="BJ209" i="8" s="1"/>
  <c r="AN209" i="8"/>
  <c r="BA209" i="8"/>
  <c r="BB209" i="8"/>
  <c r="BC209" i="8"/>
  <c r="K210" i="8"/>
  <c r="AL210" i="8" s="1"/>
  <c r="N210" i="8"/>
  <c r="O210" i="8"/>
  <c r="P210" i="8"/>
  <c r="Q210" i="8"/>
  <c r="R210" i="8"/>
  <c r="S210" i="8"/>
  <c r="T210" i="8"/>
  <c r="W210" i="8"/>
  <c r="X210" i="8"/>
  <c r="Y210" i="8"/>
  <c r="AM210" i="8"/>
  <c r="BJ210" i="8" s="1"/>
  <c r="AN210" i="8"/>
  <c r="BA210" i="8"/>
  <c r="BB210" i="8"/>
  <c r="BC210" i="8"/>
  <c r="K211" i="8"/>
  <c r="AL211" i="8" s="1"/>
  <c r="N211" i="8"/>
  <c r="O211" i="8"/>
  <c r="P211" i="8"/>
  <c r="Q211" i="8"/>
  <c r="R211" i="8"/>
  <c r="S211" i="8"/>
  <c r="T211" i="8"/>
  <c r="W211" i="8"/>
  <c r="X211" i="8"/>
  <c r="Y211" i="8"/>
  <c r="U211" i="8"/>
  <c r="V211" i="8"/>
  <c r="AM211" i="8"/>
  <c r="BJ211" i="8" s="1"/>
  <c r="AN211" i="8"/>
  <c r="BA211" i="8"/>
  <c r="BB211" i="8"/>
  <c r="BC211" i="8"/>
  <c r="K212" i="8"/>
  <c r="AL212" i="8" s="1"/>
  <c r="N212" i="8"/>
  <c r="O212" i="8"/>
  <c r="P212" i="8"/>
  <c r="Q212" i="8"/>
  <c r="R212" i="8"/>
  <c r="S212" i="8"/>
  <c r="T212" i="8"/>
  <c r="W212" i="8"/>
  <c r="X212" i="8"/>
  <c r="Y212" i="8"/>
  <c r="AM212" i="8"/>
  <c r="BJ212" i="8" s="1"/>
  <c r="AN212" i="8"/>
  <c r="BA212" i="8"/>
  <c r="BB212" i="8"/>
  <c r="BC212" i="8"/>
  <c r="K213" i="8"/>
  <c r="AL213" i="8" s="1"/>
  <c r="N213" i="8"/>
  <c r="O213" i="8"/>
  <c r="P213" i="8"/>
  <c r="Q213" i="8"/>
  <c r="R213" i="8"/>
  <c r="S213" i="8"/>
  <c r="T213" i="8"/>
  <c r="W213" i="8"/>
  <c r="X213" i="8"/>
  <c r="Y213" i="8"/>
  <c r="AM213" i="8"/>
  <c r="BJ213" i="8" s="1"/>
  <c r="AN213" i="8"/>
  <c r="BA213" i="8"/>
  <c r="BB213" i="8"/>
  <c r="BC213" i="8"/>
  <c r="K214" i="8"/>
  <c r="AL214" i="8" s="1"/>
  <c r="N214" i="8"/>
  <c r="O214" i="8"/>
  <c r="P214" i="8"/>
  <c r="Q214" i="8"/>
  <c r="R214" i="8"/>
  <c r="S214" i="8"/>
  <c r="T214" i="8"/>
  <c r="W214" i="8"/>
  <c r="X214" i="8"/>
  <c r="Y214" i="8"/>
  <c r="AM214" i="8"/>
  <c r="BJ214" i="8" s="1"/>
  <c r="AN214" i="8"/>
  <c r="BA214" i="8"/>
  <c r="BB214" i="8"/>
  <c r="BC214" i="8"/>
  <c r="K215" i="8"/>
  <c r="AL215" i="8" s="1"/>
  <c r="N215" i="8"/>
  <c r="O215" i="8"/>
  <c r="P215" i="8"/>
  <c r="Q215" i="8"/>
  <c r="R215" i="8"/>
  <c r="S215" i="8"/>
  <c r="T215" i="8"/>
  <c r="W215" i="8"/>
  <c r="X215" i="8"/>
  <c r="Y215" i="8"/>
  <c r="AM215" i="8"/>
  <c r="BJ215" i="8" s="1"/>
  <c r="AN215" i="8"/>
  <c r="BA215" i="8"/>
  <c r="BB215" i="8"/>
  <c r="BC215" i="8"/>
  <c r="K216" i="8"/>
  <c r="AL216" i="8" s="1"/>
  <c r="N216" i="8"/>
  <c r="O216" i="8"/>
  <c r="P216" i="8"/>
  <c r="Q216" i="8"/>
  <c r="R216" i="8"/>
  <c r="S216" i="8"/>
  <c r="T216" i="8"/>
  <c r="W216" i="8"/>
  <c r="X216" i="8"/>
  <c r="Y216" i="8"/>
  <c r="U216" i="8"/>
  <c r="AM216" i="8"/>
  <c r="BJ216" i="8" s="1"/>
  <c r="AN216" i="8"/>
  <c r="BA216" i="8"/>
  <c r="BB216" i="8"/>
  <c r="BC216" i="8"/>
  <c r="K217" i="8"/>
  <c r="AL217" i="8" s="1"/>
  <c r="N217" i="8"/>
  <c r="O217" i="8"/>
  <c r="P217" i="8"/>
  <c r="Q217" i="8"/>
  <c r="R217" i="8"/>
  <c r="S217" i="8"/>
  <c r="T217" i="8"/>
  <c r="W217" i="8"/>
  <c r="X217" i="8"/>
  <c r="Y217" i="8"/>
  <c r="AM217" i="8"/>
  <c r="BJ217" i="8" s="1"/>
  <c r="AN217" i="8"/>
  <c r="BA217" i="8"/>
  <c r="BB217" i="8"/>
  <c r="BC217" i="8"/>
  <c r="K218" i="8"/>
  <c r="AL218" i="8" s="1"/>
  <c r="N218" i="8"/>
  <c r="O218" i="8"/>
  <c r="P218" i="8"/>
  <c r="Q218" i="8"/>
  <c r="R218" i="8"/>
  <c r="S218" i="8"/>
  <c r="T218" i="8"/>
  <c r="W218" i="8"/>
  <c r="X218" i="8"/>
  <c r="Y218" i="8"/>
  <c r="AM218" i="8"/>
  <c r="BJ218" i="8" s="1"/>
  <c r="AN218" i="8"/>
  <c r="BA218" i="8"/>
  <c r="BB218" i="8"/>
  <c r="BC218" i="8"/>
  <c r="K219" i="8"/>
  <c r="AL219" i="8" s="1"/>
  <c r="N219" i="8"/>
  <c r="O219" i="8"/>
  <c r="P219" i="8"/>
  <c r="Q219" i="8"/>
  <c r="R219" i="8"/>
  <c r="S219" i="8"/>
  <c r="T219" i="8"/>
  <c r="W219" i="8"/>
  <c r="X219" i="8"/>
  <c r="Y219" i="8"/>
  <c r="AM219" i="8"/>
  <c r="BJ219" i="8" s="1"/>
  <c r="AN219" i="8"/>
  <c r="BA219" i="8"/>
  <c r="BB219" i="8"/>
  <c r="BC219" i="8"/>
  <c r="K220" i="8"/>
  <c r="AL220" i="8" s="1"/>
  <c r="N220" i="8"/>
  <c r="O220" i="8"/>
  <c r="P220" i="8"/>
  <c r="Q220" i="8"/>
  <c r="R220" i="8"/>
  <c r="S220" i="8"/>
  <c r="T220" i="8"/>
  <c r="W220" i="8"/>
  <c r="X220" i="8"/>
  <c r="Y220" i="8"/>
  <c r="AM220" i="8"/>
  <c r="BJ220" i="8" s="1"/>
  <c r="AN220" i="8"/>
  <c r="BA220" i="8"/>
  <c r="BB220" i="8"/>
  <c r="BC220" i="8"/>
  <c r="K221" i="8"/>
  <c r="AL221" i="8" s="1"/>
  <c r="N221" i="8"/>
  <c r="O221" i="8"/>
  <c r="P221" i="8"/>
  <c r="Q221" i="8"/>
  <c r="R221" i="8"/>
  <c r="S221" i="8"/>
  <c r="T221" i="8"/>
  <c r="W221" i="8"/>
  <c r="X221" i="8"/>
  <c r="Y221" i="8"/>
  <c r="AM221" i="8"/>
  <c r="BJ221" i="8" s="1"/>
  <c r="AN221" i="8"/>
  <c r="BA221" i="8"/>
  <c r="BB221" i="8"/>
  <c r="BC221" i="8"/>
  <c r="K222" i="8"/>
  <c r="AL222" i="8" s="1"/>
  <c r="N222" i="8"/>
  <c r="O222" i="8"/>
  <c r="P222" i="8"/>
  <c r="Q222" i="8"/>
  <c r="R222" i="8"/>
  <c r="S222" i="8"/>
  <c r="T222" i="8"/>
  <c r="W222" i="8"/>
  <c r="X222" i="8"/>
  <c r="Y222" i="8"/>
  <c r="AM222" i="8"/>
  <c r="BJ222" i="8" s="1"/>
  <c r="AN222" i="8"/>
  <c r="BA222" i="8"/>
  <c r="BB222" i="8"/>
  <c r="BC222" i="8"/>
  <c r="K223" i="8"/>
  <c r="AL223" i="8" s="1"/>
  <c r="N223" i="8"/>
  <c r="O223" i="8"/>
  <c r="P223" i="8"/>
  <c r="Q223" i="8"/>
  <c r="R223" i="8"/>
  <c r="S223" i="8"/>
  <c r="T223" i="8"/>
  <c r="W223" i="8"/>
  <c r="X223" i="8"/>
  <c r="Y223" i="8"/>
  <c r="AM223" i="8"/>
  <c r="BJ223" i="8" s="1"/>
  <c r="AN223" i="8"/>
  <c r="BA223" i="8"/>
  <c r="BB223" i="8"/>
  <c r="BC223" i="8"/>
  <c r="K224" i="8"/>
  <c r="AL224" i="8" s="1"/>
  <c r="N224" i="8"/>
  <c r="O224" i="8"/>
  <c r="P224" i="8"/>
  <c r="Q224" i="8"/>
  <c r="R224" i="8"/>
  <c r="S224" i="8"/>
  <c r="T224" i="8"/>
  <c r="W224" i="8"/>
  <c r="X224" i="8"/>
  <c r="Y224" i="8"/>
  <c r="AM224" i="8"/>
  <c r="BJ224" i="8" s="1"/>
  <c r="AN224" i="8"/>
  <c r="BA224" i="8"/>
  <c r="BB224" i="8"/>
  <c r="BC224" i="8"/>
  <c r="K225" i="8"/>
  <c r="AL225" i="8" s="1"/>
  <c r="N225" i="8"/>
  <c r="O225" i="8"/>
  <c r="P225" i="8"/>
  <c r="Q225" i="8"/>
  <c r="R225" i="8"/>
  <c r="S225" i="8"/>
  <c r="T225" i="8"/>
  <c r="W225" i="8"/>
  <c r="X225" i="8"/>
  <c r="Y225" i="8"/>
  <c r="U225" i="8"/>
  <c r="AM225" i="8"/>
  <c r="BJ225" i="8" s="1"/>
  <c r="AN225" i="8"/>
  <c r="BA225" i="8"/>
  <c r="BB225" i="8"/>
  <c r="BC225" i="8"/>
  <c r="K226" i="8"/>
  <c r="AL226" i="8" s="1"/>
  <c r="N226" i="8"/>
  <c r="O226" i="8"/>
  <c r="P226" i="8"/>
  <c r="Q226" i="8"/>
  <c r="R226" i="8"/>
  <c r="S226" i="8"/>
  <c r="T226" i="8"/>
  <c r="W226" i="8"/>
  <c r="X226" i="8"/>
  <c r="Y226" i="8"/>
  <c r="AM226" i="8"/>
  <c r="BJ226" i="8" s="1"/>
  <c r="AN226" i="8"/>
  <c r="BA226" i="8"/>
  <c r="BB226" i="8"/>
  <c r="BC226" i="8"/>
  <c r="K227" i="8"/>
  <c r="AL227" i="8" s="1"/>
  <c r="N227" i="8"/>
  <c r="O227" i="8"/>
  <c r="P227" i="8"/>
  <c r="Q227" i="8"/>
  <c r="R227" i="8"/>
  <c r="S227" i="8"/>
  <c r="T227" i="8"/>
  <c r="W227" i="8"/>
  <c r="X227" i="8"/>
  <c r="Y227" i="8"/>
  <c r="AM227" i="8"/>
  <c r="BJ227" i="8" s="1"/>
  <c r="AN227" i="8"/>
  <c r="BA227" i="8"/>
  <c r="BB227" i="8"/>
  <c r="BC227" i="8"/>
  <c r="K228" i="8"/>
  <c r="AL228" i="8" s="1"/>
  <c r="N228" i="8"/>
  <c r="O228" i="8"/>
  <c r="P228" i="8"/>
  <c r="Q228" i="8"/>
  <c r="R228" i="8"/>
  <c r="S228" i="8"/>
  <c r="T228" i="8"/>
  <c r="W228" i="8"/>
  <c r="X228" i="8"/>
  <c r="Y228" i="8"/>
  <c r="AM228" i="8"/>
  <c r="BJ228" i="8" s="1"/>
  <c r="AN228" i="8"/>
  <c r="BA228" i="8"/>
  <c r="BB228" i="8"/>
  <c r="BC228" i="8"/>
  <c r="K229" i="8"/>
  <c r="AL229" i="8" s="1"/>
  <c r="N229" i="8"/>
  <c r="O229" i="8"/>
  <c r="P229" i="8"/>
  <c r="Q229" i="8"/>
  <c r="R229" i="8"/>
  <c r="S229" i="8"/>
  <c r="T229" i="8"/>
  <c r="W229" i="8"/>
  <c r="X229" i="8"/>
  <c r="Y229" i="8"/>
  <c r="AM229" i="8"/>
  <c r="BJ229" i="8" s="1"/>
  <c r="AN229" i="8"/>
  <c r="BA229" i="8"/>
  <c r="BB229" i="8"/>
  <c r="BC229" i="8"/>
  <c r="K230" i="8"/>
  <c r="AL230" i="8" s="1"/>
  <c r="N230" i="8"/>
  <c r="O230" i="8"/>
  <c r="P230" i="8"/>
  <c r="Q230" i="8"/>
  <c r="R230" i="8"/>
  <c r="S230" i="8"/>
  <c r="T230" i="8"/>
  <c r="W230" i="8"/>
  <c r="X230" i="8"/>
  <c r="Y230" i="8"/>
  <c r="AM230" i="8"/>
  <c r="BJ230" i="8" s="1"/>
  <c r="AN230" i="8"/>
  <c r="BA230" i="8"/>
  <c r="BB230" i="8"/>
  <c r="BC230" i="8"/>
  <c r="K231" i="8"/>
  <c r="AL231" i="8" s="1"/>
  <c r="N231" i="8"/>
  <c r="O231" i="8"/>
  <c r="P231" i="8"/>
  <c r="Q231" i="8"/>
  <c r="R231" i="8"/>
  <c r="S231" i="8"/>
  <c r="T231" i="8"/>
  <c r="W231" i="8"/>
  <c r="X231" i="8"/>
  <c r="Y231" i="8"/>
  <c r="AM231" i="8"/>
  <c r="BJ231" i="8" s="1"/>
  <c r="AN231" i="8"/>
  <c r="BA231" i="8"/>
  <c r="BB231" i="8"/>
  <c r="BC231" i="8"/>
  <c r="K232" i="8"/>
  <c r="AL232" i="8" s="1"/>
  <c r="N232" i="8"/>
  <c r="O232" i="8"/>
  <c r="P232" i="8"/>
  <c r="Q232" i="8"/>
  <c r="R232" i="8"/>
  <c r="S232" i="8"/>
  <c r="T232" i="8"/>
  <c r="W232" i="8"/>
  <c r="X232" i="8"/>
  <c r="Y232" i="8"/>
  <c r="AM232" i="8"/>
  <c r="BJ232" i="8" s="1"/>
  <c r="AN232" i="8"/>
  <c r="BA232" i="8"/>
  <c r="BB232" i="8"/>
  <c r="BC232" i="8"/>
  <c r="K233" i="8"/>
  <c r="AL233" i="8" s="1"/>
  <c r="N233" i="8"/>
  <c r="O233" i="8"/>
  <c r="P233" i="8"/>
  <c r="Q233" i="8"/>
  <c r="R233" i="8"/>
  <c r="S233" i="8"/>
  <c r="T233" i="8"/>
  <c r="W233" i="8"/>
  <c r="X233" i="8"/>
  <c r="Y233" i="8"/>
  <c r="AM233" i="8"/>
  <c r="BJ233" i="8" s="1"/>
  <c r="AN233" i="8"/>
  <c r="BA233" i="8"/>
  <c r="BB233" i="8"/>
  <c r="BC233" i="8"/>
  <c r="K234" i="8"/>
  <c r="AL234" i="8" s="1"/>
  <c r="N234" i="8"/>
  <c r="O234" i="8"/>
  <c r="P234" i="8"/>
  <c r="Q234" i="8"/>
  <c r="R234" i="8"/>
  <c r="S234" i="8"/>
  <c r="T234" i="8"/>
  <c r="W234" i="8"/>
  <c r="X234" i="8"/>
  <c r="Y234" i="8"/>
  <c r="AM234" i="8"/>
  <c r="BJ234" i="8" s="1"/>
  <c r="AN234" i="8"/>
  <c r="BA234" i="8"/>
  <c r="BB234" i="8"/>
  <c r="BC234" i="8"/>
  <c r="K235" i="8"/>
  <c r="AL235" i="8" s="1"/>
  <c r="N235" i="8"/>
  <c r="O235" i="8"/>
  <c r="P235" i="8"/>
  <c r="Q235" i="8"/>
  <c r="R235" i="8"/>
  <c r="S235" i="8"/>
  <c r="T235" i="8"/>
  <c r="W235" i="8"/>
  <c r="X235" i="8"/>
  <c r="Y235" i="8"/>
  <c r="AM235" i="8"/>
  <c r="BJ235" i="8" s="1"/>
  <c r="AN235" i="8"/>
  <c r="BA235" i="8"/>
  <c r="BB235" i="8"/>
  <c r="BC235" i="8"/>
  <c r="K236" i="8"/>
  <c r="AL236" i="8" s="1"/>
  <c r="N236" i="8"/>
  <c r="O236" i="8"/>
  <c r="P236" i="8"/>
  <c r="Q236" i="8"/>
  <c r="R236" i="8"/>
  <c r="S236" i="8"/>
  <c r="T236" i="8"/>
  <c r="W236" i="8"/>
  <c r="X236" i="8"/>
  <c r="Y236" i="8"/>
  <c r="AM236" i="8"/>
  <c r="BJ236" i="8" s="1"/>
  <c r="AN236" i="8"/>
  <c r="BA236" i="8"/>
  <c r="BB236" i="8"/>
  <c r="BC236" i="8"/>
  <c r="K237" i="8"/>
  <c r="AL237" i="8" s="1"/>
  <c r="N237" i="8"/>
  <c r="O237" i="8"/>
  <c r="P237" i="8"/>
  <c r="Q237" i="8"/>
  <c r="R237" i="8"/>
  <c r="S237" i="8"/>
  <c r="T237" i="8"/>
  <c r="W237" i="8"/>
  <c r="X237" i="8"/>
  <c r="Y237" i="8"/>
  <c r="AM237" i="8"/>
  <c r="BJ237" i="8" s="1"/>
  <c r="AN237" i="8"/>
  <c r="BA237" i="8"/>
  <c r="BB237" i="8"/>
  <c r="BC237" i="8"/>
  <c r="K238" i="8"/>
  <c r="AL238" i="8" s="1"/>
  <c r="N238" i="8"/>
  <c r="O238" i="8"/>
  <c r="P238" i="8"/>
  <c r="Q238" i="8"/>
  <c r="R238" i="8"/>
  <c r="S238" i="8"/>
  <c r="T238" i="8"/>
  <c r="W238" i="8"/>
  <c r="X238" i="8"/>
  <c r="Y238" i="8"/>
  <c r="AM238" i="8"/>
  <c r="BJ238" i="8" s="1"/>
  <c r="AN238" i="8"/>
  <c r="BA238" i="8"/>
  <c r="BB238" i="8"/>
  <c r="BC238" i="8"/>
  <c r="K239" i="8"/>
  <c r="AL239" i="8" s="1"/>
  <c r="N239" i="8"/>
  <c r="O239" i="8"/>
  <c r="P239" i="8"/>
  <c r="Q239" i="8"/>
  <c r="R239" i="8"/>
  <c r="S239" i="8"/>
  <c r="T239" i="8"/>
  <c r="W239" i="8"/>
  <c r="X239" i="8"/>
  <c r="Y239" i="8"/>
  <c r="AM239" i="8"/>
  <c r="BJ239" i="8" s="1"/>
  <c r="AN239" i="8"/>
  <c r="BA239" i="8"/>
  <c r="BB239" i="8"/>
  <c r="BC239" i="8"/>
  <c r="K240" i="8"/>
  <c r="AL240" i="8" s="1"/>
  <c r="N240" i="8"/>
  <c r="O240" i="8"/>
  <c r="P240" i="8"/>
  <c r="Q240" i="8"/>
  <c r="R240" i="8"/>
  <c r="S240" i="8"/>
  <c r="T240" i="8"/>
  <c r="W240" i="8"/>
  <c r="X240" i="8"/>
  <c r="Y240" i="8"/>
  <c r="AM240" i="8"/>
  <c r="BJ240" i="8" s="1"/>
  <c r="AN240" i="8"/>
  <c r="BA240" i="8"/>
  <c r="BB240" i="8"/>
  <c r="BC240" i="8"/>
  <c r="K241" i="8"/>
  <c r="AL241" i="8" s="1"/>
  <c r="N241" i="8"/>
  <c r="O241" i="8"/>
  <c r="P241" i="8"/>
  <c r="Q241" i="8"/>
  <c r="R241" i="8"/>
  <c r="S241" i="8"/>
  <c r="T241" i="8"/>
  <c r="W241" i="8"/>
  <c r="X241" i="8"/>
  <c r="Y241" i="8"/>
  <c r="AM241" i="8"/>
  <c r="BJ241" i="8" s="1"/>
  <c r="AN241" i="8"/>
  <c r="BA241" i="8"/>
  <c r="BB241" i="8"/>
  <c r="BC241" i="8"/>
  <c r="K242" i="8"/>
  <c r="AL242" i="8" s="1"/>
  <c r="N242" i="8"/>
  <c r="O242" i="8"/>
  <c r="P242" i="8"/>
  <c r="Q242" i="8"/>
  <c r="R242" i="8"/>
  <c r="S242" i="8"/>
  <c r="T242" i="8"/>
  <c r="W242" i="8"/>
  <c r="X242" i="8"/>
  <c r="Y242" i="8"/>
  <c r="AM242" i="8"/>
  <c r="BJ242" i="8" s="1"/>
  <c r="AN242" i="8"/>
  <c r="BA242" i="8"/>
  <c r="BB242" i="8"/>
  <c r="BC242" i="8"/>
  <c r="K243" i="8"/>
  <c r="AL243" i="8" s="1"/>
  <c r="N243" i="8"/>
  <c r="O243" i="8"/>
  <c r="P243" i="8"/>
  <c r="Q243" i="8"/>
  <c r="R243" i="8"/>
  <c r="S243" i="8"/>
  <c r="T243" i="8"/>
  <c r="W243" i="8"/>
  <c r="X243" i="8"/>
  <c r="Y243" i="8"/>
  <c r="V243" i="8"/>
  <c r="AM243" i="8"/>
  <c r="BJ243" i="8" s="1"/>
  <c r="AN243" i="8"/>
  <c r="BA243" i="8"/>
  <c r="BB243" i="8"/>
  <c r="BC243" i="8"/>
  <c r="K244" i="8"/>
  <c r="AL244" i="8" s="1"/>
  <c r="N244" i="8"/>
  <c r="O244" i="8"/>
  <c r="P244" i="8"/>
  <c r="Q244" i="8"/>
  <c r="R244" i="8"/>
  <c r="S244" i="8"/>
  <c r="T244" i="8"/>
  <c r="W244" i="8"/>
  <c r="X244" i="8"/>
  <c r="Y244" i="8"/>
  <c r="AM244" i="8"/>
  <c r="BJ244" i="8" s="1"/>
  <c r="AN244" i="8"/>
  <c r="BA244" i="8"/>
  <c r="BB244" i="8"/>
  <c r="BC244" i="8"/>
  <c r="K245" i="8"/>
  <c r="AL245" i="8" s="1"/>
  <c r="N245" i="8"/>
  <c r="O245" i="8"/>
  <c r="P245" i="8"/>
  <c r="Q245" i="8"/>
  <c r="R245" i="8"/>
  <c r="S245" i="8"/>
  <c r="T245" i="8"/>
  <c r="W245" i="8"/>
  <c r="X245" i="8"/>
  <c r="Y245" i="8"/>
  <c r="AM245" i="8"/>
  <c r="BJ245" i="8" s="1"/>
  <c r="AN245" i="8"/>
  <c r="BA245" i="8"/>
  <c r="BB245" i="8"/>
  <c r="BC245" i="8"/>
  <c r="K246" i="8"/>
  <c r="AL246" i="8" s="1"/>
  <c r="N246" i="8"/>
  <c r="O246" i="8"/>
  <c r="P246" i="8"/>
  <c r="Q246" i="8"/>
  <c r="R246" i="8"/>
  <c r="S246" i="8"/>
  <c r="T246" i="8"/>
  <c r="W246" i="8"/>
  <c r="X246" i="8"/>
  <c r="Y246" i="8"/>
  <c r="AM246" i="8"/>
  <c r="BJ246" i="8" s="1"/>
  <c r="AN246" i="8"/>
  <c r="BA246" i="8"/>
  <c r="BB246" i="8"/>
  <c r="BC246" i="8"/>
  <c r="K247" i="8"/>
  <c r="AL247" i="8" s="1"/>
  <c r="N247" i="8"/>
  <c r="O247" i="8"/>
  <c r="P247" i="8"/>
  <c r="Q247" i="8"/>
  <c r="R247" i="8"/>
  <c r="S247" i="8"/>
  <c r="T247" i="8"/>
  <c r="W247" i="8"/>
  <c r="X247" i="8"/>
  <c r="Y247" i="8"/>
  <c r="AM247" i="8"/>
  <c r="BJ247" i="8" s="1"/>
  <c r="AN247" i="8"/>
  <c r="BA247" i="8"/>
  <c r="BB247" i="8"/>
  <c r="BC247" i="8"/>
  <c r="K248" i="8"/>
  <c r="AL248" i="8" s="1"/>
  <c r="N248" i="8"/>
  <c r="O248" i="8"/>
  <c r="P248" i="8"/>
  <c r="Q248" i="8"/>
  <c r="R248" i="8"/>
  <c r="S248" i="8"/>
  <c r="T248" i="8"/>
  <c r="W248" i="8"/>
  <c r="X248" i="8"/>
  <c r="Y248" i="8"/>
  <c r="AM248" i="8"/>
  <c r="BJ248" i="8" s="1"/>
  <c r="AN248" i="8"/>
  <c r="BA248" i="8"/>
  <c r="BB248" i="8"/>
  <c r="BC248" i="8"/>
  <c r="K249" i="8"/>
  <c r="AL249" i="8" s="1"/>
  <c r="N249" i="8"/>
  <c r="O249" i="8"/>
  <c r="P249" i="8"/>
  <c r="Q249" i="8"/>
  <c r="R249" i="8"/>
  <c r="S249" i="8"/>
  <c r="T249" i="8"/>
  <c r="W249" i="8"/>
  <c r="X249" i="8"/>
  <c r="Y249" i="8"/>
  <c r="AM249" i="8"/>
  <c r="BJ249" i="8" s="1"/>
  <c r="AN249" i="8"/>
  <c r="BA249" i="8"/>
  <c r="BB249" i="8"/>
  <c r="BC249" i="8"/>
  <c r="K250" i="8"/>
  <c r="AL250" i="8" s="1"/>
  <c r="N250" i="8"/>
  <c r="O250" i="8"/>
  <c r="P250" i="8"/>
  <c r="Q250" i="8"/>
  <c r="R250" i="8"/>
  <c r="S250" i="8"/>
  <c r="T250" i="8"/>
  <c r="W250" i="8"/>
  <c r="X250" i="8"/>
  <c r="Y250" i="8"/>
  <c r="AM250" i="8"/>
  <c r="BJ250" i="8" s="1"/>
  <c r="AN250" i="8"/>
  <c r="BA250" i="8"/>
  <c r="BB250" i="8"/>
  <c r="BC250" i="8"/>
  <c r="K251" i="8"/>
  <c r="AL251" i="8" s="1"/>
  <c r="N251" i="8"/>
  <c r="O251" i="8"/>
  <c r="P251" i="8"/>
  <c r="Q251" i="8"/>
  <c r="R251" i="8"/>
  <c r="S251" i="8"/>
  <c r="T251" i="8"/>
  <c r="W251" i="8"/>
  <c r="X251" i="8"/>
  <c r="Y251" i="8"/>
  <c r="U251" i="8"/>
  <c r="AM251" i="8"/>
  <c r="BJ251" i="8" s="1"/>
  <c r="AN251" i="8"/>
  <c r="BA251" i="8"/>
  <c r="BB251" i="8"/>
  <c r="BC251" i="8"/>
  <c r="K252" i="8"/>
  <c r="AL252" i="8" s="1"/>
  <c r="N252" i="8"/>
  <c r="O252" i="8"/>
  <c r="P252" i="8"/>
  <c r="Q252" i="8"/>
  <c r="R252" i="8"/>
  <c r="S252" i="8"/>
  <c r="T252" i="8"/>
  <c r="W252" i="8"/>
  <c r="X252" i="8"/>
  <c r="Y252" i="8"/>
  <c r="AM252" i="8"/>
  <c r="BJ252" i="8" s="1"/>
  <c r="AN252" i="8"/>
  <c r="BA252" i="8"/>
  <c r="BB252" i="8"/>
  <c r="BC252" i="8"/>
  <c r="K253" i="8"/>
  <c r="AL253" i="8" s="1"/>
  <c r="N253" i="8"/>
  <c r="O253" i="8"/>
  <c r="P253" i="8"/>
  <c r="Q253" i="8"/>
  <c r="R253" i="8"/>
  <c r="S253" i="8"/>
  <c r="T253" i="8"/>
  <c r="W253" i="8"/>
  <c r="X253" i="8"/>
  <c r="Y253" i="8"/>
  <c r="AM253" i="8"/>
  <c r="BJ253" i="8" s="1"/>
  <c r="AN253" i="8"/>
  <c r="BA253" i="8"/>
  <c r="BB253" i="8"/>
  <c r="BC253" i="8"/>
  <c r="U227" i="8"/>
  <c r="AK251" i="8"/>
  <c r="AW251" i="8" s="1"/>
  <c r="U240" i="8"/>
  <c r="U238" i="8"/>
  <c r="U243" i="8"/>
  <c r="U235" i="8"/>
  <c r="U226" i="8"/>
  <c r="U230" i="8"/>
  <c r="U219" i="8"/>
  <c r="U210" i="8"/>
  <c r="U61" i="11"/>
  <c r="A61" i="11" s="1"/>
  <c r="AZ3" i="8"/>
  <c r="G84" i="31"/>
  <c r="F84" i="31"/>
  <c r="E84" i="31"/>
  <c r="C84" i="31"/>
  <c r="C19" i="31"/>
  <c r="K25" i="10"/>
  <c r="L25" i="10"/>
  <c r="M25" i="10"/>
  <c r="K24" i="10"/>
  <c r="L24" i="10"/>
  <c r="M24" i="10"/>
  <c r="K23" i="10"/>
  <c r="L23" i="10"/>
  <c r="M23" i="10"/>
  <c r="E25" i="10"/>
  <c r="F25" i="10"/>
  <c r="G25" i="10"/>
  <c r="E24" i="10"/>
  <c r="F24" i="10"/>
  <c r="G24" i="10"/>
  <c r="AQ305" i="8"/>
  <c r="J25" i="10"/>
  <c r="J24" i="10"/>
  <c r="AS80" i="8" s="1"/>
  <c r="J23" i="10"/>
  <c r="I25" i="10"/>
  <c r="I24" i="10"/>
  <c r="I23" i="10"/>
  <c r="H25" i="10"/>
  <c r="H24" i="10"/>
  <c r="H23" i="10"/>
  <c r="D25" i="10"/>
  <c r="D24" i="10"/>
  <c r="C25" i="10"/>
  <c r="C24" i="10"/>
  <c r="B25" i="10"/>
  <c r="B24" i="10"/>
  <c r="BG155" i="32"/>
  <c r="BF155" i="32"/>
  <c r="BE155" i="32"/>
  <c r="BD155" i="32"/>
  <c r="AQ155" i="32"/>
  <c r="AX155" i="32" s="1"/>
  <c r="AP155" i="32"/>
  <c r="AK155" i="32"/>
  <c r="AC155" i="32"/>
  <c r="AB155" i="32"/>
  <c r="AA155" i="32"/>
  <c r="X155" i="32"/>
  <c r="W155" i="32"/>
  <c r="V155" i="32"/>
  <c r="U155" i="32"/>
  <c r="T155" i="32"/>
  <c r="R155" i="32"/>
  <c r="Q155" i="32" s="1"/>
  <c r="K155" i="32"/>
  <c r="AO155" i="32" s="1"/>
  <c r="BI155" i="32" s="1"/>
  <c r="BG154" i="32"/>
  <c r="BF154" i="32"/>
  <c r="BE154" i="32"/>
  <c r="BD154" i="32"/>
  <c r="AQ154" i="32"/>
  <c r="AV154" i="32" s="1"/>
  <c r="AP154" i="32"/>
  <c r="AK154" i="32"/>
  <c r="AC154" i="32"/>
  <c r="AB154" i="32"/>
  <c r="AA154" i="32"/>
  <c r="X154" i="32"/>
  <c r="W154" i="32"/>
  <c r="V154" i="32"/>
  <c r="U154" i="32"/>
  <c r="T154" i="32"/>
  <c r="R154" i="32"/>
  <c r="Q154" i="32" s="1"/>
  <c r="K154" i="32"/>
  <c r="AO154" i="32" s="1"/>
  <c r="BJ154" i="32" s="1"/>
  <c r="BG153" i="32"/>
  <c r="BF153" i="32"/>
  <c r="BE153" i="32"/>
  <c r="BD153" i="32"/>
  <c r="AQ153" i="32"/>
  <c r="AP153" i="32"/>
  <c r="AK153" i="32"/>
  <c r="AC153" i="32"/>
  <c r="AB153" i="32"/>
  <c r="AA153" i="32"/>
  <c r="X153" i="32"/>
  <c r="W153" i="32"/>
  <c r="V153" i="32"/>
  <c r="U153" i="32"/>
  <c r="T153" i="32"/>
  <c r="R153" i="32"/>
  <c r="Q153" i="32" s="1"/>
  <c r="K153" i="32"/>
  <c r="AO153" i="32" s="1"/>
  <c r="BG152" i="32"/>
  <c r="BF152" i="32"/>
  <c r="BE152" i="32"/>
  <c r="BD152" i="32"/>
  <c r="AQ152" i="32"/>
  <c r="AV152" i="32" s="1"/>
  <c r="AP152" i="32"/>
  <c r="AK152" i="32"/>
  <c r="AC152" i="32"/>
  <c r="AB152" i="32"/>
  <c r="AA152" i="32"/>
  <c r="X152" i="32"/>
  <c r="W152" i="32"/>
  <c r="V152" i="32"/>
  <c r="U152" i="32"/>
  <c r="T152" i="32"/>
  <c r="R152" i="32"/>
  <c r="Q152" i="32" s="1"/>
  <c r="K152" i="32"/>
  <c r="AO152" i="32" s="1"/>
  <c r="BJ152" i="32" s="1"/>
  <c r="BG151" i="32"/>
  <c r="BF151" i="32"/>
  <c r="BE151" i="32"/>
  <c r="BD151" i="32"/>
  <c r="AQ151" i="32"/>
  <c r="AP151" i="32"/>
  <c r="AK151" i="32"/>
  <c r="AC151" i="32"/>
  <c r="AB151" i="32"/>
  <c r="AA151" i="32"/>
  <c r="X151" i="32"/>
  <c r="W151" i="32"/>
  <c r="V151" i="32"/>
  <c r="U151" i="32"/>
  <c r="T151" i="32"/>
  <c r="R151" i="32"/>
  <c r="Q151" i="32" s="1"/>
  <c r="K151" i="32"/>
  <c r="AO151" i="32" s="1"/>
  <c r="BI151" i="32" s="1"/>
  <c r="BG150" i="32"/>
  <c r="BF150" i="32"/>
  <c r="BE150" i="32"/>
  <c r="BD150" i="32"/>
  <c r="AQ150" i="32"/>
  <c r="AP150" i="32"/>
  <c r="AK150" i="32"/>
  <c r="AC150" i="32"/>
  <c r="AB150" i="32"/>
  <c r="AA150" i="32"/>
  <c r="X150" i="32"/>
  <c r="W150" i="32"/>
  <c r="V150" i="32"/>
  <c r="U150" i="32"/>
  <c r="T150" i="32"/>
  <c r="R150" i="32"/>
  <c r="Q150" i="32" s="1"/>
  <c r="K150" i="32"/>
  <c r="AO150" i="32" s="1"/>
  <c r="BA150" i="32" s="1"/>
  <c r="BG149" i="32"/>
  <c r="BF149" i="32"/>
  <c r="BE149" i="32"/>
  <c r="BD149" i="32"/>
  <c r="AQ149" i="32"/>
  <c r="AX149" i="32" s="1"/>
  <c r="AP149" i="32"/>
  <c r="AK149" i="32"/>
  <c r="AC149" i="32"/>
  <c r="AB149" i="32"/>
  <c r="AA149" i="32"/>
  <c r="X149" i="32"/>
  <c r="W149" i="32"/>
  <c r="V149" i="32"/>
  <c r="U149" i="32"/>
  <c r="T149" i="32"/>
  <c r="R149" i="32"/>
  <c r="Q149" i="32" s="1"/>
  <c r="K149" i="32"/>
  <c r="AO149" i="32" s="1"/>
  <c r="BL149" i="32" s="1"/>
  <c r="BG148" i="32"/>
  <c r="BF148" i="32"/>
  <c r="BE148" i="32"/>
  <c r="BD148" i="32"/>
  <c r="AQ148" i="32"/>
  <c r="AP148" i="32"/>
  <c r="AK148" i="32"/>
  <c r="AC148" i="32"/>
  <c r="AB148" i="32"/>
  <c r="AA148" i="32"/>
  <c r="X148" i="32"/>
  <c r="W148" i="32"/>
  <c r="V148" i="32"/>
  <c r="U148" i="32"/>
  <c r="T148" i="32"/>
  <c r="R148" i="32"/>
  <c r="Q148" i="32" s="1"/>
  <c r="K148" i="32"/>
  <c r="AO148" i="32" s="1"/>
  <c r="BL148" i="32" s="1"/>
  <c r="BG147" i="32"/>
  <c r="BF147" i="32"/>
  <c r="BE147" i="32"/>
  <c r="BD147" i="32"/>
  <c r="AQ147" i="32"/>
  <c r="AV147" i="32" s="1"/>
  <c r="AP147" i="32"/>
  <c r="AK147" i="32"/>
  <c r="AC147" i="32"/>
  <c r="AB147" i="32"/>
  <c r="AA147" i="32"/>
  <c r="X147" i="32"/>
  <c r="W147" i="32"/>
  <c r="V147" i="32"/>
  <c r="U147" i="32"/>
  <c r="T147" i="32"/>
  <c r="R147" i="32"/>
  <c r="Q147" i="32" s="1"/>
  <c r="K147" i="32"/>
  <c r="AO147" i="32" s="1"/>
  <c r="BJ147" i="32" s="1"/>
  <c r="BG146" i="32"/>
  <c r="BF146" i="32"/>
  <c r="BE146" i="32"/>
  <c r="BD146" i="32"/>
  <c r="AQ146" i="32"/>
  <c r="AP146" i="32"/>
  <c r="AK146" i="32"/>
  <c r="AC146" i="32"/>
  <c r="AB146" i="32"/>
  <c r="AA146" i="32"/>
  <c r="X146" i="32"/>
  <c r="W146" i="32"/>
  <c r="V146" i="32"/>
  <c r="U146" i="32"/>
  <c r="T146" i="32"/>
  <c r="R146" i="32"/>
  <c r="Q146" i="32" s="1"/>
  <c r="K146" i="32"/>
  <c r="AO146" i="32" s="1"/>
  <c r="BL146" i="32" s="1"/>
  <c r="BG145" i="32"/>
  <c r="BF145" i="32"/>
  <c r="BE145" i="32"/>
  <c r="BD145" i="32"/>
  <c r="AQ145" i="32"/>
  <c r="AT145" i="32" s="1"/>
  <c r="AP145" i="32"/>
  <c r="AK145" i="32"/>
  <c r="AC145" i="32"/>
  <c r="AB145" i="32"/>
  <c r="AA145" i="32"/>
  <c r="X145" i="32"/>
  <c r="W145" i="32"/>
  <c r="V145" i="32"/>
  <c r="U145" i="32"/>
  <c r="T145" i="32"/>
  <c r="R145" i="32"/>
  <c r="Q145" i="32" s="1"/>
  <c r="K145" i="32"/>
  <c r="AO145" i="32" s="1"/>
  <c r="BJ145" i="32" s="1"/>
  <c r="BG144" i="32"/>
  <c r="BF144" i="32"/>
  <c r="BE144" i="32"/>
  <c r="BD144" i="32"/>
  <c r="AQ144" i="32"/>
  <c r="AX144" i="32" s="1"/>
  <c r="AP144" i="32"/>
  <c r="AK144" i="32"/>
  <c r="AC144" i="32"/>
  <c r="AB144" i="32"/>
  <c r="AA144" i="32"/>
  <c r="X144" i="32"/>
  <c r="W144" i="32"/>
  <c r="V144" i="32"/>
  <c r="U144" i="32"/>
  <c r="T144" i="32"/>
  <c r="R144" i="32"/>
  <c r="Q144" i="32" s="1"/>
  <c r="K144" i="32"/>
  <c r="AO144" i="32" s="1"/>
  <c r="BI144" i="32" s="1"/>
  <c r="BG143" i="32"/>
  <c r="BF143" i="32"/>
  <c r="BE143" i="32"/>
  <c r="BD143" i="32"/>
  <c r="AQ143" i="32"/>
  <c r="AV143" i="32" s="1"/>
  <c r="AP143" i="32"/>
  <c r="AK143" i="32"/>
  <c r="AC143" i="32"/>
  <c r="AB143" i="32"/>
  <c r="AA143" i="32"/>
  <c r="X143" i="32"/>
  <c r="W143" i="32"/>
  <c r="V143" i="32"/>
  <c r="U143" i="32"/>
  <c r="T143" i="32"/>
  <c r="R143" i="32"/>
  <c r="Q143" i="32" s="1"/>
  <c r="K143" i="32"/>
  <c r="AO143" i="32" s="1"/>
  <c r="BG142" i="32"/>
  <c r="BF142" i="32"/>
  <c r="BE142" i="32"/>
  <c r="BD142" i="32"/>
  <c r="AQ142" i="32"/>
  <c r="AV142" i="32" s="1"/>
  <c r="AP142" i="32"/>
  <c r="AK142" i="32"/>
  <c r="AC142" i="32"/>
  <c r="AB142" i="32"/>
  <c r="AA142" i="32"/>
  <c r="X142" i="32"/>
  <c r="W142" i="32"/>
  <c r="V142" i="32"/>
  <c r="U142" i="32"/>
  <c r="T142" i="32"/>
  <c r="R142" i="32"/>
  <c r="Q142" i="32" s="1"/>
  <c r="K142" i="32"/>
  <c r="AO142" i="32" s="1"/>
  <c r="BC142" i="32" s="1"/>
  <c r="BG141" i="32"/>
  <c r="BF141" i="32"/>
  <c r="BE141" i="32"/>
  <c r="BD141" i="32"/>
  <c r="AQ141" i="32"/>
  <c r="AV141" i="32" s="1"/>
  <c r="AP141" i="32"/>
  <c r="AK141" i="32"/>
  <c r="AC141" i="32"/>
  <c r="AB141" i="32"/>
  <c r="AA141" i="32"/>
  <c r="X141" i="32"/>
  <c r="W141" i="32"/>
  <c r="V141" i="32"/>
  <c r="U141" i="32"/>
  <c r="T141" i="32"/>
  <c r="R141" i="32"/>
  <c r="Q141" i="32" s="1"/>
  <c r="K141" i="32"/>
  <c r="AO141" i="32" s="1"/>
  <c r="BG140" i="32"/>
  <c r="BF140" i="32"/>
  <c r="BE140" i="32"/>
  <c r="BD140" i="32"/>
  <c r="AQ140" i="32"/>
  <c r="AT140" i="32" s="1"/>
  <c r="AP140" i="32"/>
  <c r="AK140" i="32"/>
  <c r="AC140" i="32"/>
  <c r="AB140" i="32"/>
  <c r="AA140" i="32"/>
  <c r="X140" i="32"/>
  <c r="W140" i="32"/>
  <c r="V140" i="32"/>
  <c r="U140" i="32"/>
  <c r="T140" i="32"/>
  <c r="R140" i="32"/>
  <c r="Q140" i="32" s="1"/>
  <c r="K140" i="32"/>
  <c r="AO140" i="32" s="1"/>
  <c r="BJ140" i="32" s="1"/>
  <c r="BG139" i="32"/>
  <c r="BF139" i="32"/>
  <c r="BE139" i="32"/>
  <c r="BD139" i="32"/>
  <c r="AQ139" i="32"/>
  <c r="AP139" i="32"/>
  <c r="AK139" i="32"/>
  <c r="AC139" i="32"/>
  <c r="AB139" i="32"/>
  <c r="AA139" i="32"/>
  <c r="X139" i="32"/>
  <c r="W139" i="32"/>
  <c r="V139" i="32"/>
  <c r="U139" i="32"/>
  <c r="T139" i="32"/>
  <c r="R139" i="32"/>
  <c r="Q139" i="32" s="1"/>
  <c r="K139" i="32"/>
  <c r="AO139" i="32" s="1"/>
  <c r="BG138" i="32"/>
  <c r="BF138" i="32"/>
  <c r="BE138" i="32"/>
  <c r="BD138" i="32"/>
  <c r="AQ138" i="32"/>
  <c r="AT138" i="32" s="1"/>
  <c r="AP138" i="32"/>
  <c r="AK138" i="32"/>
  <c r="AC138" i="32"/>
  <c r="AB138" i="32"/>
  <c r="AA138" i="32"/>
  <c r="X138" i="32"/>
  <c r="W138" i="32"/>
  <c r="V138" i="32"/>
  <c r="U138" i="32"/>
  <c r="T138" i="32"/>
  <c r="R138" i="32"/>
  <c r="Q138" i="32" s="1"/>
  <c r="K138" i="32"/>
  <c r="AO138" i="32" s="1"/>
  <c r="BG137" i="32"/>
  <c r="BF137" i="32"/>
  <c r="BE137" i="32"/>
  <c r="BD137" i="32"/>
  <c r="AQ137" i="32"/>
  <c r="AP137" i="32"/>
  <c r="AK137" i="32"/>
  <c r="AC137" i="32"/>
  <c r="AB137" i="32"/>
  <c r="AA137" i="32"/>
  <c r="X137" i="32"/>
  <c r="W137" i="32"/>
  <c r="V137" i="32"/>
  <c r="U137" i="32"/>
  <c r="T137" i="32"/>
  <c r="R137" i="32"/>
  <c r="Q137" i="32" s="1"/>
  <c r="K137" i="32"/>
  <c r="AO137" i="32" s="1"/>
  <c r="BK137" i="32" s="1"/>
  <c r="BG136" i="32"/>
  <c r="BF136" i="32"/>
  <c r="BE136" i="32"/>
  <c r="BD136" i="32"/>
  <c r="AQ136" i="32"/>
  <c r="AT136" i="32" s="1"/>
  <c r="AP136" i="32"/>
  <c r="AK136" i="32"/>
  <c r="AC136" i="32"/>
  <c r="AB136" i="32"/>
  <c r="AA136" i="32"/>
  <c r="X136" i="32"/>
  <c r="W136" i="32"/>
  <c r="V136" i="32"/>
  <c r="U136" i="32"/>
  <c r="T136" i="32"/>
  <c r="R136" i="32"/>
  <c r="Q136" i="32" s="1"/>
  <c r="K136" i="32"/>
  <c r="AO136" i="32" s="1"/>
  <c r="BI136" i="32" s="1"/>
  <c r="BG135" i="32"/>
  <c r="BF135" i="32"/>
  <c r="BE135" i="32"/>
  <c r="BD135" i="32"/>
  <c r="AQ135" i="32"/>
  <c r="AV135" i="32" s="1"/>
  <c r="AP135" i="32"/>
  <c r="AK135" i="32"/>
  <c r="AC135" i="32"/>
  <c r="AB135" i="32"/>
  <c r="AA135" i="32"/>
  <c r="X135" i="32"/>
  <c r="W135" i="32"/>
  <c r="V135" i="32"/>
  <c r="U135" i="32"/>
  <c r="T135" i="32"/>
  <c r="R135" i="32"/>
  <c r="Q135" i="32" s="1"/>
  <c r="K135" i="32"/>
  <c r="AO135" i="32" s="1"/>
  <c r="BG134" i="32"/>
  <c r="BF134" i="32"/>
  <c r="BE134" i="32"/>
  <c r="BD134" i="32"/>
  <c r="AQ134" i="32"/>
  <c r="AT134" i="32" s="1"/>
  <c r="AP134" i="32"/>
  <c r="AK134" i="32"/>
  <c r="AC134" i="32"/>
  <c r="AB134" i="32"/>
  <c r="AA134" i="32"/>
  <c r="X134" i="32"/>
  <c r="W134" i="32"/>
  <c r="V134" i="32"/>
  <c r="U134" i="32"/>
  <c r="T134" i="32"/>
  <c r="R134" i="32"/>
  <c r="Q134" i="32" s="1"/>
  <c r="K134" i="32"/>
  <c r="AO134" i="32" s="1"/>
  <c r="BJ134" i="32" s="1"/>
  <c r="BG133" i="32"/>
  <c r="BF133" i="32"/>
  <c r="BE133" i="32"/>
  <c r="BD133" i="32"/>
  <c r="AQ133" i="32"/>
  <c r="AX133" i="32" s="1"/>
  <c r="AP133" i="32"/>
  <c r="AK133" i="32"/>
  <c r="AC133" i="32"/>
  <c r="AB133" i="32"/>
  <c r="AA133" i="32"/>
  <c r="X133" i="32"/>
  <c r="W133" i="32"/>
  <c r="V133" i="32"/>
  <c r="U133" i="32"/>
  <c r="T133" i="32"/>
  <c r="R133" i="32"/>
  <c r="Q133" i="32" s="1"/>
  <c r="K133" i="32"/>
  <c r="AO133" i="32" s="1"/>
  <c r="BA133" i="32" s="1"/>
  <c r="BG132" i="32"/>
  <c r="BF132" i="32"/>
  <c r="BE132" i="32"/>
  <c r="BD132" i="32"/>
  <c r="AQ132" i="32"/>
  <c r="AP132" i="32"/>
  <c r="AK132" i="32"/>
  <c r="AC132" i="32"/>
  <c r="AB132" i="32"/>
  <c r="AA132" i="32"/>
  <c r="X132" i="32"/>
  <c r="W132" i="32"/>
  <c r="V132" i="32"/>
  <c r="U132" i="32"/>
  <c r="T132" i="32"/>
  <c r="R132" i="32"/>
  <c r="Q132" i="32" s="1"/>
  <c r="K132" i="32"/>
  <c r="AO132" i="32" s="1"/>
  <c r="BC132" i="32" s="1"/>
  <c r="BG131" i="32"/>
  <c r="BF131" i="32"/>
  <c r="BE131" i="32"/>
  <c r="BD131" i="32"/>
  <c r="AQ131" i="32"/>
  <c r="AX131" i="32" s="1"/>
  <c r="AP131" i="32"/>
  <c r="AK131" i="32"/>
  <c r="AC131" i="32"/>
  <c r="AB131" i="32"/>
  <c r="AA131" i="32"/>
  <c r="X131" i="32"/>
  <c r="W131" i="32"/>
  <c r="V131" i="32"/>
  <c r="U131" i="32"/>
  <c r="T131" i="32"/>
  <c r="R131" i="32"/>
  <c r="Q131" i="32" s="1"/>
  <c r="K131" i="32"/>
  <c r="AO131" i="32" s="1"/>
  <c r="BI131" i="32" s="1"/>
  <c r="BG130" i="32"/>
  <c r="BF130" i="32"/>
  <c r="BE130" i="32"/>
  <c r="BD130" i="32"/>
  <c r="AQ130" i="32"/>
  <c r="AX130" i="32" s="1"/>
  <c r="AP130" i="32"/>
  <c r="AK130" i="32"/>
  <c r="AC130" i="32"/>
  <c r="AB130" i="32"/>
  <c r="AA130" i="32"/>
  <c r="X130" i="32"/>
  <c r="W130" i="32"/>
  <c r="V130" i="32"/>
  <c r="U130" i="32"/>
  <c r="T130" i="32"/>
  <c r="R130" i="32"/>
  <c r="Q130" i="32" s="1"/>
  <c r="K130" i="32"/>
  <c r="AO130" i="32" s="1"/>
  <c r="BJ130" i="32" s="1"/>
  <c r="BG129" i="32"/>
  <c r="BF129" i="32"/>
  <c r="BE129" i="32"/>
  <c r="BD129" i="32"/>
  <c r="AQ129" i="32"/>
  <c r="AP129" i="32"/>
  <c r="AK129" i="32"/>
  <c r="AC129" i="32"/>
  <c r="AB129" i="32"/>
  <c r="AA129" i="32"/>
  <c r="X129" i="32"/>
  <c r="W129" i="32"/>
  <c r="V129" i="32"/>
  <c r="U129" i="32"/>
  <c r="T129" i="32"/>
  <c r="R129" i="32"/>
  <c r="Q129" i="32" s="1"/>
  <c r="K129" i="32"/>
  <c r="AO129" i="32" s="1"/>
  <c r="BJ129" i="32" s="1"/>
  <c r="BG128" i="32"/>
  <c r="BF128" i="32"/>
  <c r="BE128" i="32"/>
  <c r="BD128" i="32"/>
  <c r="AQ128" i="32"/>
  <c r="AX128" i="32" s="1"/>
  <c r="AP128" i="32"/>
  <c r="AK128" i="32"/>
  <c r="AC128" i="32"/>
  <c r="AB128" i="32"/>
  <c r="AA128" i="32"/>
  <c r="X128" i="32"/>
  <c r="W128" i="32"/>
  <c r="V128" i="32"/>
  <c r="U128" i="32"/>
  <c r="T128" i="32"/>
  <c r="R128" i="32"/>
  <c r="Q128" i="32" s="1"/>
  <c r="K128" i="32"/>
  <c r="AO128" i="32" s="1"/>
  <c r="BG127" i="32"/>
  <c r="BF127" i="32"/>
  <c r="BE127" i="32"/>
  <c r="BD127" i="32"/>
  <c r="AQ127" i="32"/>
  <c r="AV127" i="32" s="1"/>
  <c r="AP127" i="32"/>
  <c r="AK127" i="32"/>
  <c r="AC127" i="32"/>
  <c r="AB127" i="32"/>
  <c r="AA127" i="32"/>
  <c r="X127" i="32"/>
  <c r="W127" i="32"/>
  <c r="V127" i="32"/>
  <c r="U127" i="32"/>
  <c r="T127" i="32"/>
  <c r="R127" i="32"/>
  <c r="Q127" i="32" s="1"/>
  <c r="K127" i="32"/>
  <c r="AO127" i="32" s="1"/>
  <c r="BA127" i="32" s="1"/>
  <c r="BG126" i="32"/>
  <c r="BF126" i="32"/>
  <c r="BE126" i="32"/>
  <c r="BD126" i="32"/>
  <c r="AQ126" i="32"/>
  <c r="AX126" i="32" s="1"/>
  <c r="AP126" i="32"/>
  <c r="AK126" i="32"/>
  <c r="AC126" i="32"/>
  <c r="AB126" i="32"/>
  <c r="AA126" i="32"/>
  <c r="X126" i="32"/>
  <c r="W126" i="32"/>
  <c r="V126" i="32"/>
  <c r="U126" i="32"/>
  <c r="T126" i="32"/>
  <c r="R126" i="32"/>
  <c r="Q126" i="32" s="1"/>
  <c r="K126" i="32"/>
  <c r="AO126" i="32" s="1"/>
  <c r="BI126" i="32" s="1"/>
  <c r="BG125" i="32"/>
  <c r="BF125" i="32"/>
  <c r="BE125" i="32"/>
  <c r="BD125" i="32"/>
  <c r="AQ125" i="32"/>
  <c r="AX125" i="32" s="1"/>
  <c r="AP125" i="32"/>
  <c r="AK125" i="32"/>
  <c r="AC125" i="32"/>
  <c r="AB125" i="32"/>
  <c r="AA125" i="32"/>
  <c r="X125" i="32"/>
  <c r="W125" i="32"/>
  <c r="V125" i="32"/>
  <c r="U125" i="32"/>
  <c r="T125" i="32"/>
  <c r="R125" i="32"/>
  <c r="Q125" i="32" s="1"/>
  <c r="K125" i="32"/>
  <c r="AO125" i="32" s="1"/>
  <c r="BG124" i="32"/>
  <c r="BF124" i="32"/>
  <c r="BE124" i="32"/>
  <c r="BD124" i="32"/>
  <c r="AQ124" i="32"/>
  <c r="AX124" i="32" s="1"/>
  <c r="AP124" i="32"/>
  <c r="AK124" i="32"/>
  <c r="AC124" i="32"/>
  <c r="AB124" i="32"/>
  <c r="AA124" i="32"/>
  <c r="X124" i="32"/>
  <c r="W124" i="32"/>
  <c r="V124" i="32"/>
  <c r="U124" i="32"/>
  <c r="T124" i="32"/>
  <c r="R124" i="32"/>
  <c r="Q124" i="32" s="1"/>
  <c r="K124" i="32"/>
  <c r="AO124" i="32" s="1"/>
  <c r="BL124" i="32" s="1"/>
  <c r="BG123" i="32"/>
  <c r="BF123" i="32"/>
  <c r="BE123" i="32"/>
  <c r="BD123" i="32"/>
  <c r="AQ123" i="32"/>
  <c r="AV123" i="32" s="1"/>
  <c r="AP123" i="32"/>
  <c r="AK123" i="32"/>
  <c r="AC123" i="32"/>
  <c r="AB123" i="32"/>
  <c r="AA123" i="32"/>
  <c r="X123" i="32"/>
  <c r="W123" i="32"/>
  <c r="V123" i="32"/>
  <c r="U123" i="32"/>
  <c r="T123" i="32"/>
  <c r="R123" i="32"/>
  <c r="Q123" i="32" s="1"/>
  <c r="K123" i="32"/>
  <c r="AO123" i="32" s="1"/>
  <c r="BK123" i="32" s="1"/>
  <c r="BG122" i="32"/>
  <c r="BF122" i="32"/>
  <c r="BE122" i="32"/>
  <c r="BD122" i="32"/>
  <c r="AQ122" i="32"/>
  <c r="AT122" i="32" s="1"/>
  <c r="AP122" i="32"/>
  <c r="AK122" i="32"/>
  <c r="AC122" i="32"/>
  <c r="AB122" i="32"/>
  <c r="AA122" i="32"/>
  <c r="X122" i="32"/>
  <c r="W122" i="32"/>
  <c r="V122" i="32"/>
  <c r="U122" i="32"/>
  <c r="T122" i="32"/>
  <c r="R122" i="32"/>
  <c r="Q122" i="32" s="1"/>
  <c r="K122" i="32"/>
  <c r="AO122" i="32" s="1"/>
  <c r="BI122" i="32" s="1"/>
  <c r="BG121" i="32"/>
  <c r="BF121" i="32"/>
  <c r="BE121" i="32"/>
  <c r="BD121" i="32"/>
  <c r="AQ121" i="32"/>
  <c r="AX121" i="32" s="1"/>
  <c r="AP121" i="32"/>
  <c r="AK121" i="32"/>
  <c r="AC121" i="32"/>
  <c r="AB121" i="32"/>
  <c r="AA121" i="32"/>
  <c r="X121" i="32"/>
  <c r="W121" i="32"/>
  <c r="V121" i="32"/>
  <c r="U121" i="32"/>
  <c r="T121" i="32"/>
  <c r="R121" i="32"/>
  <c r="Q121" i="32" s="1"/>
  <c r="K121" i="32"/>
  <c r="AO121" i="32" s="1"/>
  <c r="BA121" i="32" s="1"/>
  <c r="BG120" i="32"/>
  <c r="BF120" i="32"/>
  <c r="BE120" i="32"/>
  <c r="BD120" i="32"/>
  <c r="AQ120" i="32"/>
  <c r="AX120" i="32" s="1"/>
  <c r="AP120" i="32"/>
  <c r="AK120" i="32"/>
  <c r="AC120" i="32"/>
  <c r="AB120" i="32"/>
  <c r="AA120" i="32"/>
  <c r="X120" i="32"/>
  <c r="W120" i="32"/>
  <c r="V120" i="32"/>
  <c r="U120" i="32"/>
  <c r="T120" i="32"/>
  <c r="R120" i="32"/>
  <c r="Q120" i="32" s="1"/>
  <c r="K120" i="32"/>
  <c r="AO120" i="32" s="1"/>
  <c r="BG119" i="32"/>
  <c r="BF119" i="32"/>
  <c r="BE119" i="32"/>
  <c r="BD119" i="32"/>
  <c r="AQ119" i="32"/>
  <c r="AT119" i="32" s="1"/>
  <c r="AP119" i="32"/>
  <c r="AK119" i="32"/>
  <c r="AC119" i="32"/>
  <c r="AB119" i="32"/>
  <c r="AA119" i="32"/>
  <c r="X119" i="32"/>
  <c r="W119" i="32"/>
  <c r="V119" i="32"/>
  <c r="U119" i="32"/>
  <c r="T119" i="32"/>
  <c r="R119" i="32"/>
  <c r="Q119" i="32" s="1"/>
  <c r="K119" i="32"/>
  <c r="AO119" i="32" s="1"/>
  <c r="BI119" i="32" s="1"/>
  <c r="BG118" i="32"/>
  <c r="BF118" i="32"/>
  <c r="BE118" i="32"/>
  <c r="BD118" i="32"/>
  <c r="AQ118" i="32"/>
  <c r="AV118" i="32" s="1"/>
  <c r="AP118" i="32"/>
  <c r="AK118" i="32"/>
  <c r="AC118" i="32"/>
  <c r="AB118" i="32"/>
  <c r="AA118" i="32"/>
  <c r="X118" i="32"/>
  <c r="W118" i="32"/>
  <c r="V118" i="32"/>
  <c r="U118" i="32"/>
  <c r="T118" i="32"/>
  <c r="R118" i="32"/>
  <c r="Q118" i="32" s="1"/>
  <c r="K118" i="32"/>
  <c r="AO118" i="32" s="1"/>
  <c r="BL118" i="32" s="1"/>
  <c r="BG117" i="32"/>
  <c r="BF117" i="32"/>
  <c r="BE117" i="32"/>
  <c r="BD117" i="32"/>
  <c r="AQ117" i="32"/>
  <c r="AV117" i="32" s="1"/>
  <c r="AP117" i="32"/>
  <c r="AK117" i="32"/>
  <c r="AC117" i="32"/>
  <c r="AB117" i="32"/>
  <c r="AA117" i="32"/>
  <c r="X117" i="32"/>
  <c r="W117" i="32"/>
  <c r="V117" i="32"/>
  <c r="U117" i="32"/>
  <c r="T117" i="32"/>
  <c r="R117" i="32"/>
  <c r="Q117" i="32" s="1"/>
  <c r="K117" i="32"/>
  <c r="AO117" i="32" s="1"/>
  <c r="BG116" i="32"/>
  <c r="BF116" i="32"/>
  <c r="BE116" i="32"/>
  <c r="BD116" i="32"/>
  <c r="AQ116" i="32"/>
  <c r="AX116" i="32" s="1"/>
  <c r="AP116" i="32"/>
  <c r="AK116" i="32"/>
  <c r="AC116" i="32"/>
  <c r="AB116" i="32"/>
  <c r="AA116" i="32"/>
  <c r="X116" i="32"/>
  <c r="W116" i="32"/>
  <c r="V116" i="32"/>
  <c r="U116" i="32"/>
  <c r="T116" i="32"/>
  <c r="R116" i="32"/>
  <c r="Q116" i="32" s="1"/>
  <c r="K116" i="32"/>
  <c r="AO116" i="32" s="1"/>
  <c r="BK116" i="32" s="1"/>
  <c r="BG115" i="32"/>
  <c r="BF115" i="32"/>
  <c r="BE115" i="32"/>
  <c r="BD115" i="32"/>
  <c r="AQ115" i="32"/>
  <c r="AP115" i="32"/>
  <c r="AK115" i="32"/>
  <c r="AC115" i="32"/>
  <c r="AB115" i="32"/>
  <c r="AA115" i="32"/>
  <c r="X115" i="32"/>
  <c r="W115" i="32"/>
  <c r="V115" i="32"/>
  <c r="U115" i="32"/>
  <c r="T115" i="32"/>
  <c r="R115" i="32"/>
  <c r="Q115" i="32" s="1"/>
  <c r="K115" i="32"/>
  <c r="AO115" i="32" s="1"/>
  <c r="BC115" i="32" s="1"/>
  <c r="BG114" i="32"/>
  <c r="BF114" i="32"/>
  <c r="BE114" i="32"/>
  <c r="BD114" i="32"/>
  <c r="AQ114" i="32"/>
  <c r="AP114" i="32"/>
  <c r="AK114" i="32"/>
  <c r="AC114" i="32"/>
  <c r="AB114" i="32"/>
  <c r="AA114" i="32"/>
  <c r="X114" i="32"/>
  <c r="W114" i="32"/>
  <c r="V114" i="32"/>
  <c r="U114" i="32"/>
  <c r="T114" i="32"/>
  <c r="R114" i="32"/>
  <c r="Q114" i="32" s="1"/>
  <c r="K114" i="32"/>
  <c r="AO114" i="32" s="1"/>
  <c r="BA114" i="32" s="1"/>
  <c r="BG113" i="32"/>
  <c r="BF113" i="32"/>
  <c r="BE113" i="32"/>
  <c r="BD113" i="32"/>
  <c r="AQ113" i="32"/>
  <c r="AX113" i="32" s="1"/>
  <c r="AP113" i="32"/>
  <c r="AK113" i="32"/>
  <c r="AC113" i="32"/>
  <c r="AB113" i="32"/>
  <c r="AA113" i="32"/>
  <c r="X113" i="32"/>
  <c r="W113" i="32"/>
  <c r="V113" i="32"/>
  <c r="U113" i="32"/>
  <c r="T113" i="32"/>
  <c r="R113" i="32"/>
  <c r="Q113" i="32" s="1"/>
  <c r="K113" i="32"/>
  <c r="AO113" i="32" s="1"/>
  <c r="BG112" i="32"/>
  <c r="BF112" i="32"/>
  <c r="BE112" i="32"/>
  <c r="BD112" i="32"/>
  <c r="AQ112" i="32"/>
  <c r="AX112" i="32" s="1"/>
  <c r="AP112" i="32"/>
  <c r="AK112" i="32"/>
  <c r="AC112" i="32"/>
  <c r="AB112" i="32"/>
  <c r="AA112" i="32"/>
  <c r="X112" i="32"/>
  <c r="W112" i="32"/>
  <c r="V112" i="32"/>
  <c r="U112" i="32"/>
  <c r="T112" i="32"/>
  <c r="R112" i="32"/>
  <c r="Q112" i="32" s="1"/>
  <c r="K112" i="32"/>
  <c r="AO112" i="32" s="1"/>
  <c r="BG111" i="32"/>
  <c r="BF111" i="32"/>
  <c r="BE111" i="32"/>
  <c r="BD111" i="32"/>
  <c r="AQ111" i="32"/>
  <c r="AV111" i="32" s="1"/>
  <c r="AP111" i="32"/>
  <c r="AK111" i="32"/>
  <c r="AC111" i="32"/>
  <c r="AB111" i="32"/>
  <c r="AA111" i="32"/>
  <c r="X111" i="32"/>
  <c r="W111" i="32"/>
  <c r="V111" i="32"/>
  <c r="U111" i="32"/>
  <c r="T111" i="32"/>
  <c r="R111" i="32"/>
  <c r="Q111" i="32" s="1"/>
  <c r="K111" i="32"/>
  <c r="AO111" i="32" s="1"/>
  <c r="BG110" i="32"/>
  <c r="BF110" i="32"/>
  <c r="BE110" i="32"/>
  <c r="BD110" i="32"/>
  <c r="AQ110" i="32"/>
  <c r="AX110" i="32" s="1"/>
  <c r="AP110" i="32"/>
  <c r="AK110" i="32"/>
  <c r="AC110" i="32"/>
  <c r="AB110" i="32"/>
  <c r="AA110" i="32"/>
  <c r="X110" i="32"/>
  <c r="W110" i="32"/>
  <c r="V110" i="32"/>
  <c r="U110" i="32"/>
  <c r="T110" i="32"/>
  <c r="R110" i="32"/>
  <c r="Q110" i="32" s="1"/>
  <c r="K110" i="32"/>
  <c r="AO110" i="32" s="1"/>
  <c r="BI110" i="32" s="1"/>
  <c r="BG109" i="32"/>
  <c r="BF109" i="32"/>
  <c r="BE109" i="32"/>
  <c r="BD109" i="32"/>
  <c r="AQ109" i="32"/>
  <c r="AT109" i="32" s="1"/>
  <c r="AP109" i="32"/>
  <c r="AK109" i="32"/>
  <c r="AC109" i="32"/>
  <c r="AB109" i="32"/>
  <c r="AA109" i="32"/>
  <c r="X109" i="32"/>
  <c r="W109" i="32"/>
  <c r="V109" i="32"/>
  <c r="U109" i="32"/>
  <c r="T109" i="32"/>
  <c r="R109" i="32"/>
  <c r="Q109" i="32" s="1"/>
  <c r="K109" i="32"/>
  <c r="AO109" i="32" s="1"/>
  <c r="BC109" i="32" s="1"/>
  <c r="BG108" i="32"/>
  <c r="BF108" i="32"/>
  <c r="BE108" i="32"/>
  <c r="BD108" i="32"/>
  <c r="AQ108" i="32"/>
  <c r="AX108" i="32" s="1"/>
  <c r="AP108" i="32"/>
  <c r="AK108" i="32"/>
  <c r="AC108" i="32"/>
  <c r="AB108" i="32"/>
  <c r="AA108" i="32"/>
  <c r="X108" i="32"/>
  <c r="W108" i="32"/>
  <c r="V108" i="32"/>
  <c r="U108" i="32"/>
  <c r="T108" i="32"/>
  <c r="R108" i="32"/>
  <c r="Q108" i="32" s="1"/>
  <c r="K108" i="32"/>
  <c r="AO108" i="32" s="1"/>
  <c r="BC108" i="32" s="1"/>
  <c r="BG107" i="32"/>
  <c r="BF107" i="32"/>
  <c r="BE107" i="32"/>
  <c r="BD107" i="32"/>
  <c r="AQ107" i="32"/>
  <c r="AV107" i="32" s="1"/>
  <c r="AP107" i="32"/>
  <c r="AK107" i="32"/>
  <c r="AC107" i="32"/>
  <c r="AB107" i="32"/>
  <c r="AA107" i="32"/>
  <c r="X107" i="32"/>
  <c r="W107" i="32"/>
  <c r="V107" i="32"/>
  <c r="U107" i="32"/>
  <c r="T107" i="32"/>
  <c r="R107" i="32"/>
  <c r="Q107" i="32" s="1"/>
  <c r="K107" i="32"/>
  <c r="AO107" i="32" s="1"/>
  <c r="BI107" i="32" s="1"/>
  <c r="BG106" i="32"/>
  <c r="BF106" i="32"/>
  <c r="BE106" i="32"/>
  <c r="BD106" i="32"/>
  <c r="AQ106" i="32"/>
  <c r="AX106" i="32" s="1"/>
  <c r="AP106" i="32"/>
  <c r="AK106" i="32"/>
  <c r="AC106" i="32"/>
  <c r="AB106" i="32"/>
  <c r="AA106" i="32"/>
  <c r="X106" i="32"/>
  <c r="W106" i="32"/>
  <c r="V106" i="32"/>
  <c r="U106" i="32"/>
  <c r="T106" i="32"/>
  <c r="R106" i="32"/>
  <c r="Q106" i="32" s="1"/>
  <c r="K106" i="32"/>
  <c r="AO106" i="32" s="1"/>
  <c r="BI106" i="32" s="1"/>
  <c r="BG105" i="32"/>
  <c r="BF105" i="32"/>
  <c r="BE105" i="32"/>
  <c r="BD105" i="32"/>
  <c r="AQ105" i="32"/>
  <c r="AP105" i="32"/>
  <c r="AK105" i="32"/>
  <c r="AC105" i="32"/>
  <c r="AB105" i="32"/>
  <c r="AA105" i="32"/>
  <c r="X105" i="32"/>
  <c r="W105" i="32"/>
  <c r="V105" i="32"/>
  <c r="U105" i="32"/>
  <c r="T105" i="32"/>
  <c r="R105" i="32"/>
  <c r="Q105" i="32" s="1"/>
  <c r="K105" i="32"/>
  <c r="AO105" i="32" s="1"/>
  <c r="BC105" i="32" s="1"/>
  <c r="BG104" i="32"/>
  <c r="BF104" i="32"/>
  <c r="BE104" i="32"/>
  <c r="BD104" i="32"/>
  <c r="AQ104" i="32"/>
  <c r="AX104" i="32" s="1"/>
  <c r="AP104" i="32"/>
  <c r="AK104" i="32"/>
  <c r="AC104" i="32"/>
  <c r="AB104" i="32"/>
  <c r="AA104" i="32"/>
  <c r="X104" i="32"/>
  <c r="W104" i="32"/>
  <c r="V104" i="32"/>
  <c r="U104" i="32"/>
  <c r="T104" i="32"/>
  <c r="R104" i="32"/>
  <c r="Q104" i="32" s="1"/>
  <c r="K104" i="32"/>
  <c r="AO104" i="32" s="1"/>
  <c r="BA104" i="32" s="1"/>
  <c r="BG103" i="32"/>
  <c r="BF103" i="32"/>
  <c r="BE103" i="32"/>
  <c r="BD103" i="32"/>
  <c r="AQ103" i="32"/>
  <c r="AP103" i="32"/>
  <c r="AK103" i="32"/>
  <c r="AC103" i="32"/>
  <c r="AB103" i="32"/>
  <c r="AA103" i="32"/>
  <c r="X103" i="32"/>
  <c r="W103" i="32"/>
  <c r="V103" i="32"/>
  <c r="U103" i="32"/>
  <c r="T103" i="32"/>
  <c r="R103" i="32"/>
  <c r="Q103" i="32" s="1"/>
  <c r="K103" i="32"/>
  <c r="AO103" i="32" s="1"/>
  <c r="BI103" i="32" s="1"/>
  <c r="BG102" i="32"/>
  <c r="BF102" i="32"/>
  <c r="BE102" i="32"/>
  <c r="BD102" i="32"/>
  <c r="AQ102" i="32"/>
  <c r="AV102" i="32" s="1"/>
  <c r="AP102" i="32"/>
  <c r="AK102" i="32"/>
  <c r="AC102" i="32"/>
  <c r="AB102" i="32"/>
  <c r="AA102" i="32"/>
  <c r="X102" i="32"/>
  <c r="W102" i="32"/>
  <c r="V102" i="32"/>
  <c r="U102" i="32"/>
  <c r="T102" i="32"/>
  <c r="R102" i="32"/>
  <c r="Q102" i="32" s="1"/>
  <c r="K102" i="32"/>
  <c r="AO102" i="32" s="1"/>
  <c r="BK102" i="32" s="1"/>
  <c r="BG101" i="32"/>
  <c r="BF101" i="32"/>
  <c r="BE101" i="32"/>
  <c r="BD101" i="32"/>
  <c r="AQ101" i="32"/>
  <c r="AT101" i="32" s="1"/>
  <c r="AP101" i="32"/>
  <c r="AK101" i="32"/>
  <c r="AC101" i="32"/>
  <c r="AB101" i="32"/>
  <c r="AA101" i="32"/>
  <c r="X101" i="32"/>
  <c r="W101" i="32"/>
  <c r="V101" i="32"/>
  <c r="U101" i="32"/>
  <c r="T101" i="32"/>
  <c r="R101" i="32"/>
  <c r="Q101" i="32" s="1"/>
  <c r="K101" i="32"/>
  <c r="AO101" i="32" s="1"/>
  <c r="BK101" i="32" s="1"/>
  <c r="BG100" i="32"/>
  <c r="BF100" i="32"/>
  <c r="BE100" i="32"/>
  <c r="BD100" i="32"/>
  <c r="AQ100" i="32"/>
  <c r="AX100" i="32" s="1"/>
  <c r="AP100" i="32"/>
  <c r="AK100" i="32"/>
  <c r="AC100" i="32"/>
  <c r="AB100" i="32"/>
  <c r="AA100" i="32"/>
  <c r="X100" i="32"/>
  <c r="W100" i="32"/>
  <c r="V100" i="32"/>
  <c r="U100" i="32"/>
  <c r="T100" i="32"/>
  <c r="R100" i="32"/>
  <c r="Q100" i="32" s="1"/>
  <c r="K100" i="32"/>
  <c r="AO100" i="32" s="1"/>
  <c r="BC100" i="32" s="1"/>
  <c r="BG99" i="32"/>
  <c r="BF99" i="32"/>
  <c r="BE99" i="32"/>
  <c r="BD99" i="32"/>
  <c r="AQ99" i="32"/>
  <c r="AV99" i="32" s="1"/>
  <c r="AP99" i="32"/>
  <c r="AK99" i="32"/>
  <c r="AC99" i="32"/>
  <c r="AB99" i="32"/>
  <c r="AA99" i="32"/>
  <c r="X99" i="32"/>
  <c r="W99" i="32"/>
  <c r="V99" i="32"/>
  <c r="U99" i="32"/>
  <c r="T99" i="32"/>
  <c r="R99" i="32"/>
  <c r="Q99" i="32" s="1"/>
  <c r="K99" i="32"/>
  <c r="AO99" i="32" s="1"/>
  <c r="BI99" i="32" s="1"/>
  <c r="BG98" i="32"/>
  <c r="BF98" i="32"/>
  <c r="BE98" i="32"/>
  <c r="BD98" i="32"/>
  <c r="AQ98" i="32"/>
  <c r="AX98" i="32" s="1"/>
  <c r="AP98" i="32"/>
  <c r="AK98" i="32"/>
  <c r="AC98" i="32"/>
  <c r="AB98" i="32"/>
  <c r="AA98" i="32"/>
  <c r="X98" i="32"/>
  <c r="W98" i="32"/>
  <c r="V98" i="32"/>
  <c r="U98" i="32"/>
  <c r="T98" i="32"/>
  <c r="R98" i="32"/>
  <c r="Q98" i="32" s="1"/>
  <c r="K98" i="32"/>
  <c r="AO98" i="32" s="1"/>
  <c r="BL98" i="32" s="1"/>
  <c r="BG97" i="32"/>
  <c r="BF97" i="32"/>
  <c r="BE97" i="32"/>
  <c r="BD97" i="32"/>
  <c r="AQ97" i="32"/>
  <c r="AX97" i="32" s="1"/>
  <c r="AP97" i="32"/>
  <c r="AK97" i="32"/>
  <c r="AC97" i="32"/>
  <c r="AB97" i="32"/>
  <c r="AA97" i="32"/>
  <c r="X97" i="32"/>
  <c r="W97" i="32"/>
  <c r="V97" i="32"/>
  <c r="U97" i="32"/>
  <c r="T97" i="32"/>
  <c r="R97" i="32"/>
  <c r="Q97" i="32" s="1"/>
  <c r="K97" i="32"/>
  <c r="AO97" i="32" s="1"/>
  <c r="BJ97" i="32" s="1"/>
  <c r="BG96" i="32"/>
  <c r="BF96" i="32"/>
  <c r="BE96" i="32"/>
  <c r="BD96" i="32"/>
  <c r="AQ96" i="32"/>
  <c r="AP96" i="32"/>
  <c r="AK96" i="32"/>
  <c r="AC96" i="32"/>
  <c r="AB96" i="32"/>
  <c r="AA96" i="32"/>
  <c r="X96" i="32"/>
  <c r="W96" i="32"/>
  <c r="V96" i="32"/>
  <c r="U96" i="32"/>
  <c r="T96" i="32"/>
  <c r="R96" i="32"/>
  <c r="Q96" i="32" s="1"/>
  <c r="K96" i="32"/>
  <c r="AO96" i="32" s="1"/>
  <c r="BC96" i="32" s="1"/>
  <c r="BG95" i="32"/>
  <c r="BF95" i="32"/>
  <c r="BE95" i="32"/>
  <c r="BD95" i="32"/>
  <c r="AQ95" i="32"/>
  <c r="AT95" i="32" s="1"/>
  <c r="AP95" i="32"/>
  <c r="AK95" i="32"/>
  <c r="Y95" i="32"/>
  <c r="AC95" i="32"/>
  <c r="AB95" i="32"/>
  <c r="AA95" i="32"/>
  <c r="X95" i="32"/>
  <c r="W95" i="32"/>
  <c r="V95" i="32"/>
  <c r="U95" i="32"/>
  <c r="T95" i="32"/>
  <c r="R95" i="32"/>
  <c r="Q95" i="32" s="1"/>
  <c r="K95" i="32"/>
  <c r="AO95" i="32" s="1"/>
  <c r="BL95" i="32" s="1"/>
  <c r="BG94" i="32"/>
  <c r="BF94" i="32"/>
  <c r="BE94" i="32"/>
  <c r="BD94" i="32"/>
  <c r="AQ94" i="32"/>
  <c r="AX94" i="32" s="1"/>
  <c r="AP94" i="32"/>
  <c r="AK94" i="32"/>
  <c r="AC94" i="32"/>
  <c r="AB94" i="32"/>
  <c r="AA94" i="32"/>
  <c r="X94" i="32"/>
  <c r="W94" i="32"/>
  <c r="V94" i="32"/>
  <c r="U94" i="32"/>
  <c r="T94" i="32"/>
  <c r="R94" i="32"/>
  <c r="Q94" i="32" s="1"/>
  <c r="K94" i="32"/>
  <c r="AO94" i="32" s="1"/>
  <c r="BA94" i="32" s="1"/>
  <c r="BG93" i="32"/>
  <c r="BF93" i="32"/>
  <c r="BE93" i="32"/>
  <c r="BD93" i="32"/>
  <c r="AQ93" i="32"/>
  <c r="AX93" i="32" s="1"/>
  <c r="AP93" i="32"/>
  <c r="AK93" i="32"/>
  <c r="AC93" i="32"/>
  <c r="AB93" i="32"/>
  <c r="AA93" i="32"/>
  <c r="X93" i="32"/>
  <c r="W93" i="32"/>
  <c r="V93" i="32"/>
  <c r="U93" i="32"/>
  <c r="T93" i="32"/>
  <c r="R93" i="32"/>
  <c r="Q93" i="32" s="1"/>
  <c r="K93" i="32"/>
  <c r="AO93" i="32" s="1"/>
  <c r="BG92" i="32"/>
  <c r="BF92" i="32"/>
  <c r="BE92" i="32"/>
  <c r="BD92" i="32"/>
  <c r="AQ92" i="32"/>
  <c r="AP92" i="32"/>
  <c r="AK92" i="32"/>
  <c r="AC92" i="32"/>
  <c r="AB92" i="32"/>
  <c r="AA92" i="32"/>
  <c r="X92" i="32"/>
  <c r="W92" i="32"/>
  <c r="V92" i="32"/>
  <c r="U92" i="32"/>
  <c r="T92" i="32"/>
  <c r="R92" i="32"/>
  <c r="Q92" i="32" s="1"/>
  <c r="K92" i="32"/>
  <c r="AO92" i="32" s="1"/>
  <c r="BK92" i="32" s="1"/>
  <c r="BG91" i="32"/>
  <c r="BF91" i="32"/>
  <c r="BE91" i="32"/>
  <c r="BD91" i="32"/>
  <c r="AQ91" i="32"/>
  <c r="AX91" i="32" s="1"/>
  <c r="AP91" i="32"/>
  <c r="AK91" i="32"/>
  <c r="AC91" i="32"/>
  <c r="AB91" i="32"/>
  <c r="AA91" i="32"/>
  <c r="X91" i="32"/>
  <c r="W91" i="32"/>
  <c r="V91" i="32"/>
  <c r="U91" i="32"/>
  <c r="T91" i="32"/>
  <c r="R91" i="32"/>
  <c r="Q91" i="32" s="1"/>
  <c r="K91" i="32"/>
  <c r="AO91" i="32" s="1"/>
  <c r="BI91" i="32" s="1"/>
  <c r="BG90" i="32"/>
  <c r="BF90" i="32"/>
  <c r="BE90" i="32"/>
  <c r="BD90" i="32"/>
  <c r="AQ90" i="32"/>
  <c r="AP90" i="32"/>
  <c r="AK90" i="32"/>
  <c r="AC90" i="32"/>
  <c r="AB90" i="32"/>
  <c r="AA90" i="32"/>
  <c r="X90" i="32"/>
  <c r="W90" i="32"/>
  <c r="V90" i="32"/>
  <c r="U90" i="32"/>
  <c r="T90" i="32"/>
  <c r="R90" i="32"/>
  <c r="Q90" i="32" s="1"/>
  <c r="K90" i="32"/>
  <c r="AO90" i="32" s="1"/>
  <c r="BC90" i="32" s="1"/>
  <c r="BG89" i="32"/>
  <c r="BF89" i="32"/>
  <c r="BE89" i="32"/>
  <c r="BD89" i="32"/>
  <c r="AQ89" i="32"/>
  <c r="AV89" i="32" s="1"/>
  <c r="AP89" i="32"/>
  <c r="AK89" i="32"/>
  <c r="AC89" i="32"/>
  <c r="AB89" i="32"/>
  <c r="AA89" i="32"/>
  <c r="X89" i="32"/>
  <c r="W89" i="32"/>
  <c r="V89" i="32"/>
  <c r="U89" i="32"/>
  <c r="T89" i="32"/>
  <c r="R89" i="32"/>
  <c r="Q89" i="32" s="1"/>
  <c r="K89" i="32"/>
  <c r="AO89" i="32" s="1"/>
  <c r="BL89" i="32" s="1"/>
  <c r="BG88" i="32"/>
  <c r="BF88" i="32"/>
  <c r="BE88" i="32"/>
  <c r="BD88" i="32"/>
  <c r="AQ88" i="32"/>
  <c r="AT88" i="32" s="1"/>
  <c r="AP88" i="32"/>
  <c r="AK88" i="32"/>
  <c r="AC88" i="32"/>
  <c r="AB88" i="32"/>
  <c r="AA88" i="32"/>
  <c r="X88" i="32"/>
  <c r="W88" i="32"/>
  <c r="V88" i="32"/>
  <c r="U88" i="32"/>
  <c r="T88" i="32"/>
  <c r="R88" i="32"/>
  <c r="Q88" i="32" s="1"/>
  <c r="K88" i="32"/>
  <c r="AO88" i="32" s="1"/>
  <c r="BK88" i="32" s="1"/>
  <c r="BG87" i="32"/>
  <c r="BF87" i="32"/>
  <c r="BE87" i="32"/>
  <c r="BD87" i="32"/>
  <c r="AQ87" i="32"/>
  <c r="AV87" i="32" s="1"/>
  <c r="AP87" i="32"/>
  <c r="AK87" i="32"/>
  <c r="AC87" i="32"/>
  <c r="AB87" i="32"/>
  <c r="AA87" i="32"/>
  <c r="X87" i="32"/>
  <c r="W87" i="32"/>
  <c r="V87" i="32"/>
  <c r="U87" i="32"/>
  <c r="T87" i="32"/>
  <c r="R87" i="32"/>
  <c r="Q87" i="32" s="1"/>
  <c r="K87" i="32"/>
  <c r="AO87" i="32" s="1"/>
  <c r="BA87" i="32" s="1"/>
  <c r="BG86" i="32"/>
  <c r="BF86" i="32"/>
  <c r="BE86" i="32"/>
  <c r="BD86" i="32"/>
  <c r="AQ86" i="32"/>
  <c r="AX86" i="32" s="1"/>
  <c r="AP86" i="32"/>
  <c r="AK86" i="32"/>
  <c r="AC86" i="32"/>
  <c r="AB86" i="32"/>
  <c r="AA86" i="32"/>
  <c r="X86" i="32"/>
  <c r="W86" i="32"/>
  <c r="V86" i="32"/>
  <c r="U86" i="32"/>
  <c r="T86" i="32"/>
  <c r="R86" i="32"/>
  <c r="Q86" i="32" s="1"/>
  <c r="K86" i="32"/>
  <c r="AO86" i="32" s="1"/>
  <c r="BL86" i="32" s="1"/>
  <c r="BG85" i="32"/>
  <c r="BF85" i="32"/>
  <c r="BE85" i="32"/>
  <c r="BD85" i="32"/>
  <c r="AQ85" i="32"/>
  <c r="AP85" i="32"/>
  <c r="AK85" i="32"/>
  <c r="AC85" i="32"/>
  <c r="AB85" i="32"/>
  <c r="AA85" i="32"/>
  <c r="X85" i="32"/>
  <c r="W85" i="32"/>
  <c r="V85" i="32"/>
  <c r="U85" i="32"/>
  <c r="T85" i="32"/>
  <c r="R85" i="32"/>
  <c r="Q85" i="32" s="1"/>
  <c r="K85" i="32"/>
  <c r="AO85" i="32" s="1"/>
  <c r="BK85" i="32" s="1"/>
  <c r="BG84" i="32"/>
  <c r="BF84" i="32"/>
  <c r="BE84" i="32"/>
  <c r="BD84" i="32"/>
  <c r="AQ84" i="32"/>
  <c r="AX84" i="32" s="1"/>
  <c r="AP84" i="32"/>
  <c r="AK84" i="32"/>
  <c r="AC84" i="32"/>
  <c r="AB84" i="32"/>
  <c r="AA84" i="32"/>
  <c r="X84" i="32"/>
  <c r="W84" i="32"/>
  <c r="V84" i="32"/>
  <c r="U84" i="32"/>
  <c r="T84" i="32"/>
  <c r="R84" i="32"/>
  <c r="Q84" i="32" s="1"/>
  <c r="K84" i="32"/>
  <c r="AO84" i="32" s="1"/>
  <c r="BC84" i="32" s="1"/>
  <c r="BG83" i="32"/>
  <c r="BF83" i="32"/>
  <c r="BE83" i="32"/>
  <c r="BD83" i="32"/>
  <c r="AQ83" i="32"/>
  <c r="AT83" i="32" s="1"/>
  <c r="AP83" i="32"/>
  <c r="AK83" i="32"/>
  <c r="AC83" i="32"/>
  <c r="AB83" i="32"/>
  <c r="AA83" i="32"/>
  <c r="X83" i="32"/>
  <c r="W83" i="32"/>
  <c r="V83" i="32"/>
  <c r="U83" i="32"/>
  <c r="T83" i="32"/>
  <c r="R83" i="32"/>
  <c r="Q83" i="32" s="1"/>
  <c r="K83" i="32"/>
  <c r="AO83" i="32" s="1"/>
  <c r="BC83" i="32" s="1"/>
  <c r="BG82" i="32"/>
  <c r="BF82" i="32"/>
  <c r="BE82" i="32"/>
  <c r="BD82" i="32"/>
  <c r="AQ82" i="32"/>
  <c r="AT82" i="32" s="1"/>
  <c r="AP82" i="32"/>
  <c r="AK82" i="32"/>
  <c r="AC82" i="32"/>
  <c r="AB82" i="32"/>
  <c r="AA82" i="32"/>
  <c r="X82" i="32"/>
  <c r="W82" i="32"/>
  <c r="V82" i="32"/>
  <c r="U82" i="32"/>
  <c r="T82" i="32"/>
  <c r="R82" i="32"/>
  <c r="Q82" i="32" s="1"/>
  <c r="K82" i="32"/>
  <c r="AO82" i="32" s="1"/>
  <c r="BL82" i="32" s="1"/>
  <c r="BG81" i="32"/>
  <c r="BF81" i="32"/>
  <c r="BE81" i="32"/>
  <c r="BD81" i="32"/>
  <c r="AQ81" i="32"/>
  <c r="AT81" i="32" s="1"/>
  <c r="AP81" i="32"/>
  <c r="AK81" i="32"/>
  <c r="AC81" i="32"/>
  <c r="AB81" i="32"/>
  <c r="AA81" i="32"/>
  <c r="X81" i="32"/>
  <c r="W81" i="32"/>
  <c r="V81" i="32"/>
  <c r="U81" i="32"/>
  <c r="T81" i="32"/>
  <c r="R81" i="32"/>
  <c r="Q81" i="32" s="1"/>
  <c r="K81" i="32"/>
  <c r="AO81" i="32" s="1"/>
  <c r="BG80" i="32"/>
  <c r="BF80" i="32"/>
  <c r="BE80" i="32"/>
  <c r="BD80" i="32"/>
  <c r="AQ80" i="32"/>
  <c r="AP80" i="32"/>
  <c r="AK80" i="32"/>
  <c r="AC80" i="32"/>
  <c r="AB80" i="32"/>
  <c r="AA80" i="32"/>
  <c r="X80" i="32"/>
  <c r="W80" i="32"/>
  <c r="V80" i="32"/>
  <c r="U80" i="32"/>
  <c r="T80" i="32"/>
  <c r="R80" i="32"/>
  <c r="Q80" i="32" s="1"/>
  <c r="K80" i="32"/>
  <c r="AO80" i="32" s="1"/>
  <c r="BC80" i="32" s="1"/>
  <c r="BG79" i="32"/>
  <c r="BF79" i="32"/>
  <c r="BE79" i="32"/>
  <c r="BD79" i="32"/>
  <c r="AQ79" i="32"/>
  <c r="AX79" i="32" s="1"/>
  <c r="AP79" i="32"/>
  <c r="AK79" i="32"/>
  <c r="AC79" i="32"/>
  <c r="AB79" i="32"/>
  <c r="AA79" i="32"/>
  <c r="X79" i="32"/>
  <c r="W79" i="32"/>
  <c r="V79" i="32"/>
  <c r="U79" i="32"/>
  <c r="T79" i="32"/>
  <c r="R79" i="32"/>
  <c r="Q79" i="32" s="1"/>
  <c r="K79" i="32"/>
  <c r="AO79" i="32" s="1"/>
  <c r="BI79" i="32" s="1"/>
  <c r="BG78" i="32"/>
  <c r="BF78" i="32"/>
  <c r="BE78" i="32"/>
  <c r="BD78" i="32"/>
  <c r="AQ78" i="32"/>
  <c r="AX78" i="32" s="1"/>
  <c r="AP78" i="32"/>
  <c r="AK78" i="32"/>
  <c r="AC78" i="32"/>
  <c r="AB78" i="32"/>
  <c r="AA78" i="32"/>
  <c r="X78" i="32"/>
  <c r="W78" i="32"/>
  <c r="V78" i="32"/>
  <c r="U78" i="32"/>
  <c r="T78" i="32"/>
  <c r="R78" i="32"/>
  <c r="Q78" i="32" s="1"/>
  <c r="K78" i="32"/>
  <c r="AO78" i="32" s="1"/>
  <c r="BL78" i="32" s="1"/>
  <c r="BG77" i="32"/>
  <c r="BF77" i="32"/>
  <c r="BE77" i="32"/>
  <c r="BD77" i="32"/>
  <c r="AQ77" i="32"/>
  <c r="AX77" i="32" s="1"/>
  <c r="AP77" i="32"/>
  <c r="AK77" i="32"/>
  <c r="AC77" i="32"/>
  <c r="AB77" i="32"/>
  <c r="AA77" i="32"/>
  <c r="X77" i="32"/>
  <c r="W77" i="32"/>
  <c r="V77" i="32"/>
  <c r="U77" i="32"/>
  <c r="T77" i="32"/>
  <c r="R77" i="32"/>
  <c r="Q77" i="32" s="1"/>
  <c r="K77" i="32"/>
  <c r="AO77" i="32" s="1"/>
  <c r="BJ77" i="32" s="1"/>
  <c r="BG76" i="32"/>
  <c r="BF76" i="32"/>
  <c r="BE76" i="32"/>
  <c r="BD76" i="32"/>
  <c r="AQ76" i="32"/>
  <c r="AV76" i="32" s="1"/>
  <c r="AP76" i="32"/>
  <c r="AK76" i="32"/>
  <c r="AC76" i="32"/>
  <c r="AB76" i="32"/>
  <c r="AA76" i="32"/>
  <c r="X76" i="32"/>
  <c r="W76" i="32"/>
  <c r="V76" i="32"/>
  <c r="U76" i="32"/>
  <c r="T76" i="32"/>
  <c r="R76" i="32"/>
  <c r="Q76" i="32" s="1"/>
  <c r="K76" i="32"/>
  <c r="AO76" i="32" s="1"/>
  <c r="BG75" i="32"/>
  <c r="BF75" i="32"/>
  <c r="BE75" i="32"/>
  <c r="BD75" i="32"/>
  <c r="AQ75" i="32"/>
  <c r="AP75" i="32"/>
  <c r="AK75" i="32"/>
  <c r="AC75" i="32"/>
  <c r="AB75" i="32"/>
  <c r="AA75" i="32"/>
  <c r="X75" i="32"/>
  <c r="W75" i="32"/>
  <c r="V75" i="32"/>
  <c r="U75" i="32"/>
  <c r="T75" i="32"/>
  <c r="R75" i="32"/>
  <c r="Q75" i="32" s="1"/>
  <c r="K75" i="32"/>
  <c r="AO75" i="32" s="1"/>
  <c r="BA75" i="32" s="1"/>
  <c r="BG74" i="32"/>
  <c r="BF74" i="32"/>
  <c r="BE74" i="32"/>
  <c r="BD74" i="32"/>
  <c r="AQ74" i="32"/>
  <c r="AX74" i="32" s="1"/>
  <c r="AP74" i="32"/>
  <c r="AK74" i="32"/>
  <c r="AC74" i="32"/>
  <c r="AB74" i="32"/>
  <c r="AA74" i="32"/>
  <c r="X74" i="32"/>
  <c r="W74" i="32"/>
  <c r="V74" i="32"/>
  <c r="U74" i="32"/>
  <c r="T74" i="32"/>
  <c r="R74" i="32"/>
  <c r="Q74" i="32" s="1"/>
  <c r="K74" i="32"/>
  <c r="AO74" i="32" s="1"/>
  <c r="BA74" i="32" s="1"/>
  <c r="BG73" i="32"/>
  <c r="BF73" i="32"/>
  <c r="BE73" i="32"/>
  <c r="BD73" i="32"/>
  <c r="AQ73" i="32"/>
  <c r="AT73" i="32" s="1"/>
  <c r="AP73" i="32"/>
  <c r="AK73" i="32"/>
  <c r="AC73" i="32"/>
  <c r="AB73" i="32"/>
  <c r="AA73" i="32"/>
  <c r="X73" i="32"/>
  <c r="W73" i="32"/>
  <c r="V73" i="32"/>
  <c r="U73" i="32"/>
  <c r="T73" i="32"/>
  <c r="R73" i="32"/>
  <c r="Q73" i="32" s="1"/>
  <c r="K73" i="32"/>
  <c r="AO73" i="32" s="1"/>
  <c r="BG72" i="32"/>
  <c r="BF72" i="32"/>
  <c r="BE72" i="32"/>
  <c r="BD72" i="32"/>
  <c r="AQ72" i="32"/>
  <c r="AV72" i="32" s="1"/>
  <c r="AP72" i="32"/>
  <c r="AK72" i="32"/>
  <c r="AC72" i="32"/>
  <c r="AB72" i="32"/>
  <c r="AA72" i="32"/>
  <c r="X72" i="32"/>
  <c r="W72" i="32"/>
  <c r="V72" i="32"/>
  <c r="U72" i="32"/>
  <c r="T72" i="32"/>
  <c r="R72" i="32"/>
  <c r="Q72" i="32" s="1"/>
  <c r="K72" i="32"/>
  <c r="AO72" i="32" s="1"/>
  <c r="BG71" i="32"/>
  <c r="BF71" i="32"/>
  <c r="BE71" i="32"/>
  <c r="BD71" i="32"/>
  <c r="AQ71" i="32"/>
  <c r="AV71" i="32" s="1"/>
  <c r="AP71" i="32"/>
  <c r="AK71" i="32"/>
  <c r="AC71" i="32"/>
  <c r="AB71" i="32"/>
  <c r="AA71" i="32"/>
  <c r="X71" i="32"/>
  <c r="W71" i="32"/>
  <c r="V71" i="32"/>
  <c r="U71" i="32"/>
  <c r="T71" i="32"/>
  <c r="R71" i="32"/>
  <c r="Q71" i="32" s="1"/>
  <c r="K71" i="32"/>
  <c r="AO71" i="32" s="1"/>
  <c r="BC71" i="32" s="1"/>
  <c r="BG70" i="32"/>
  <c r="BF70" i="32"/>
  <c r="BE70" i="32"/>
  <c r="BD70" i="32"/>
  <c r="AQ70" i="32"/>
  <c r="AX70" i="32" s="1"/>
  <c r="AP70" i="32"/>
  <c r="AK70" i="32"/>
  <c r="AC70" i="32"/>
  <c r="AB70" i="32"/>
  <c r="AA70" i="32"/>
  <c r="X70" i="32"/>
  <c r="W70" i="32"/>
  <c r="V70" i="32"/>
  <c r="U70" i="32"/>
  <c r="T70" i="32"/>
  <c r="R70" i="32"/>
  <c r="Q70" i="32" s="1"/>
  <c r="K70" i="32"/>
  <c r="AO70" i="32" s="1"/>
  <c r="BC70" i="32" s="1"/>
  <c r="BG69" i="32"/>
  <c r="BF69" i="32"/>
  <c r="BE69" i="32"/>
  <c r="BD69" i="32"/>
  <c r="AQ69" i="32"/>
  <c r="AV69" i="32" s="1"/>
  <c r="AP69" i="32"/>
  <c r="AK69" i="32"/>
  <c r="AC69" i="32"/>
  <c r="AB69" i="32"/>
  <c r="AA69" i="32"/>
  <c r="X69" i="32"/>
  <c r="W69" i="32"/>
  <c r="V69" i="32"/>
  <c r="U69" i="32"/>
  <c r="T69" i="32"/>
  <c r="R69" i="32"/>
  <c r="Q69" i="32" s="1"/>
  <c r="K69" i="32"/>
  <c r="AO69" i="32" s="1"/>
  <c r="BA69" i="32" s="1"/>
  <c r="BG68" i="32"/>
  <c r="BF68" i="32"/>
  <c r="BE68" i="32"/>
  <c r="BD68" i="32"/>
  <c r="AQ68" i="32"/>
  <c r="AV68" i="32" s="1"/>
  <c r="AP68" i="32"/>
  <c r="AK68" i="32"/>
  <c r="AC68" i="32"/>
  <c r="AB68" i="32"/>
  <c r="AA68" i="32"/>
  <c r="X68" i="32"/>
  <c r="W68" i="32"/>
  <c r="V68" i="32"/>
  <c r="U68" i="32"/>
  <c r="T68" i="32"/>
  <c r="R68" i="32"/>
  <c r="Q68" i="32" s="1"/>
  <c r="K68" i="32"/>
  <c r="AO68" i="32" s="1"/>
  <c r="BG67" i="32"/>
  <c r="BF67" i="32"/>
  <c r="BE67" i="32"/>
  <c r="BD67" i="32"/>
  <c r="AQ67" i="32"/>
  <c r="AP67" i="32"/>
  <c r="AK67" i="32"/>
  <c r="AC67" i="32"/>
  <c r="AB67" i="32"/>
  <c r="AA67" i="32"/>
  <c r="X67" i="32"/>
  <c r="W67" i="32"/>
  <c r="V67" i="32"/>
  <c r="U67" i="32"/>
  <c r="T67" i="32"/>
  <c r="R67" i="32"/>
  <c r="Q67" i="32" s="1"/>
  <c r="K67" i="32"/>
  <c r="AO67" i="32" s="1"/>
  <c r="BI67" i="32" s="1"/>
  <c r="BG66" i="32"/>
  <c r="BF66" i="32"/>
  <c r="BE66" i="32"/>
  <c r="BD66" i="32"/>
  <c r="AQ66" i="32"/>
  <c r="AP66" i="32"/>
  <c r="AK66" i="32"/>
  <c r="AC66" i="32"/>
  <c r="AB66" i="32"/>
  <c r="AA66" i="32"/>
  <c r="X66" i="32"/>
  <c r="W66" i="32"/>
  <c r="V66" i="32"/>
  <c r="U66" i="32"/>
  <c r="T66" i="32"/>
  <c r="R66" i="32"/>
  <c r="Q66" i="32" s="1"/>
  <c r="K66" i="32"/>
  <c r="AO66" i="32" s="1"/>
  <c r="BJ66" i="32" s="1"/>
  <c r="BG65" i="32"/>
  <c r="BF65" i="32"/>
  <c r="BE65" i="32"/>
  <c r="BD65" i="32"/>
  <c r="AQ65" i="32"/>
  <c r="AP65" i="32"/>
  <c r="AK65" i="32"/>
  <c r="AC65" i="32"/>
  <c r="AB65" i="32"/>
  <c r="AA65" i="32"/>
  <c r="X65" i="32"/>
  <c r="W65" i="32"/>
  <c r="V65" i="32"/>
  <c r="U65" i="32"/>
  <c r="T65" i="32"/>
  <c r="R65" i="32"/>
  <c r="Q65" i="32" s="1"/>
  <c r="K65" i="32"/>
  <c r="AO65" i="32" s="1"/>
  <c r="BA65" i="32" s="1"/>
  <c r="BG64" i="32"/>
  <c r="BF64" i="32"/>
  <c r="BE64" i="32"/>
  <c r="BD64" i="32"/>
  <c r="AQ64" i="32"/>
  <c r="AP64" i="32"/>
  <c r="AK64" i="32"/>
  <c r="AC64" i="32"/>
  <c r="AB64" i="32"/>
  <c r="AA64" i="32"/>
  <c r="X64" i="32"/>
  <c r="W64" i="32"/>
  <c r="V64" i="32"/>
  <c r="U64" i="32"/>
  <c r="T64" i="32"/>
  <c r="R64" i="32"/>
  <c r="Q64" i="32" s="1"/>
  <c r="K64" i="32"/>
  <c r="AO64" i="32" s="1"/>
  <c r="BC64" i="32" s="1"/>
  <c r="BG63" i="32"/>
  <c r="BF63" i="32"/>
  <c r="BE63" i="32"/>
  <c r="BD63" i="32"/>
  <c r="AQ63" i="32"/>
  <c r="AX63" i="32" s="1"/>
  <c r="AP63" i="32"/>
  <c r="AK63" i="32"/>
  <c r="AC63" i="32"/>
  <c r="AB63" i="32"/>
  <c r="AA63" i="32"/>
  <c r="X63" i="32"/>
  <c r="W63" i="32"/>
  <c r="V63" i="32"/>
  <c r="U63" i="32"/>
  <c r="T63" i="32"/>
  <c r="R63" i="32"/>
  <c r="Q63" i="32" s="1"/>
  <c r="K63" i="32"/>
  <c r="AO63" i="32" s="1"/>
  <c r="BA63" i="32" s="1"/>
  <c r="BG62" i="32"/>
  <c r="BF62" i="32"/>
  <c r="BE62" i="32"/>
  <c r="BD62" i="32"/>
  <c r="AQ62" i="32"/>
  <c r="AV62" i="32" s="1"/>
  <c r="AP62" i="32"/>
  <c r="AK62" i="32"/>
  <c r="AC62" i="32"/>
  <c r="AB62" i="32"/>
  <c r="AA62" i="32"/>
  <c r="X62" i="32"/>
  <c r="W62" i="32"/>
  <c r="V62" i="32"/>
  <c r="U62" i="32"/>
  <c r="T62" i="32"/>
  <c r="R62" i="32"/>
  <c r="Q62" i="32" s="1"/>
  <c r="K62" i="32"/>
  <c r="AO62" i="32" s="1"/>
  <c r="BJ62" i="32" s="1"/>
  <c r="BG61" i="32"/>
  <c r="BF61" i="32"/>
  <c r="BE61" i="32"/>
  <c r="BD61" i="32"/>
  <c r="AQ61" i="32"/>
  <c r="AP61" i="32"/>
  <c r="AK61" i="32"/>
  <c r="AC61" i="32"/>
  <c r="AB61" i="32"/>
  <c r="AA61" i="32"/>
  <c r="X61" i="32"/>
  <c r="W61" i="32"/>
  <c r="V61" i="32"/>
  <c r="U61" i="32"/>
  <c r="T61" i="32"/>
  <c r="R61" i="32"/>
  <c r="Q61" i="32" s="1"/>
  <c r="K61" i="32"/>
  <c r="AO61" i="32" s="1"/>
  <c r="BJ61" i="32" s="1"/>
  <c r="BG60" i="32"/>
  <c r="BF60" i="32"/>
  <c r="BE60" i="32"/>
  <c r="BD60" i="32"/>
  <c r="AQ60" i="32"/>
  <c r="AV60" i="32" s="1"/>
  <c r="AP60" i="32"/>
  <c r="AK60" i="32"/>
  <c r="AC60" i="32"/>
  <c r="AB60" i="32"/>
  <c r="AA60" i="32"/>
  <c r="X60" i="32"/>
  <c r="W60" i="32"/>
  <c r="V60" i="32"/>
  <c r="U60" i="32"/>
  <c r="T60" i="32"/>
  <c r="R60" i="32"/>
  <c r="Q60" i="32" s="1"/>
  <c r="K60" i="32"/>
  <c r="AO60" i="32" s="1"/>
  <c r="BA60" i="32" s="1"/>
  <c r="BG59" i="32"/>
  <c r="BF59" i="32"/>
  <c r="BE59" i="32"/>
  <c r="BD59" i="32"/>
  <c r="AQ59" i="32"/>
  <c r="AX59" i="32" s="1"/>
  <c r="AP59" i="32"/>
  <c r="AK59" i="32"/>
  <c r="AC59" i="32"/>
  <c r="AB59" i="32"/>
  <c r="AA59" i="32"/>
  <c r="X59" i="32"/>
  <c r="W59" i="32"/>
  <c r="V59" i="32"/>
  <c r="U59" i="32"/>
  <c r="T59" i="32"/>
  <c r="R59" i="32"/>
  <c r="Q59" i="32" s="1"/>
  <c r="K59" i="32"/>
  <c r="AO59" i="32" s="1"/>
  <c r="BA59" i="32" s="1"/>
  <c r="BG58" i="32"/>
  <c r="BF58" i="32"/>
  <c r="BE58" i="32"/>
  <c r="BD58" i="32"/>
  <c r="AQ58" i="32"/>
  <c r="AX58" i="32" s="1"/>
  <c r="AP58" i="32"/>
  <c r="AK58" i="32"/>
  <c r="AC58" i="32"/>
  <c r="AB58" i="32"/>
  <c r="AA58" i="32"/>
  <c r="X58" i="32"/>
  <c r="W58" i="32"/>
  <c r="V58" i="32"/>
  <c r="U58" i="32"/>
  <c r="T58" i="32"/>
  <c r="R58" i="32"/>
  <c r="Q58" i="32" s="1"/>
  <c r="K58" i="32"/>
  <c r="AO58" i="32" s="1"/>
  <c r="BL58" i="32" s="1"/>
  <c r="BG57" i="32"/>
  <c r="BF57" i="32"/>
  <c r="BE57" i="32"/>
  <c r="BD57" i="32"/>
  <c r="AQ57" i="32"/>
  <c r="AP57" i="32"/>
  <c r="AK57" i="32"/>
  <c r="AC57" i="32"/>
  <c r="AB57" i="32"/>
  <c r="AA57" i="32"/>
  <c r="X57" i="32"/>
  <c r="W57" i="32"/>
  <c r="V57" i="32"/>
  <c r="U57" i="32"/>
  <c r="T57" i="32"/>
  <c r="R57" i="32"/>
  <c r="Q57" i="32" s="1"/>
  <c r="K57" i="32"/>
  <c r="AO57" i="32" s="1"/>
  <c r="BC57" i="32" s="1"/>
  <c r="BG56" i="32"/>
  <c r="BF56" i="32"/>
  <c r="BE56" i="32"/>
  <c r="BD56" i="32"/>
  <c r="AQ56" i="32"/>
  <c r="AP56" i="32"/>
  <c r="AK56" i="32"/>
  <c r="AC56" i="32"/>
  <c r="AB56" i="32"/>
  <c r="AA56" i="32"/>
  <c r="X56" i="32"/>
  <c r="W56" i="32"/>
  <c r="V56" i="32"/>
  <c r="U56" i="32"/>
  <c r="T56" i="32"/>
  <c r="R56" i="32"/>
  <c r="Q56" i="32" s="1"/>
  <c r="K56" i="32"/>
  <c r="AO56" i="32" s="1"/>
  <c r="BG55" i="32"/>
  <c r="BF55" i="32"/>
  <c r="BE55" i="32"/>
  <c r="BD55" i="32"/>
  <c r="AQ55" i="32"/>
  <c r="AP55" i="32"/>
  <c r="AK55" i="32"/>
  <c r="AC55" i="32"/>
  <c r="AB55" i="32"/>
  <c r="AA55" i="32"/>
  <c r="X55" i="32"/>
  <c r="W55" i="32"/>
  <c r="V55" i="32"/>
  <c r="U55" i="32"/>
  <c r="T55" i="32"/>
  <c r="R55" i="32"/>
  <c r="Q55" i="32" s="1"/>
  <c r="K55" i="32"/>
  <c r="AO55" i="32" s="1"/>
  <c r="BA55" i="32" s="1"/>
  <c r="BG54" i="32"/>
  <c r="BF54" i="32"/>
  <c r="BE54" i="32"/>
  <c r="BD54" i="32"/>
  <c r="AQ54" i="32"/>
  <c r="AP54" i="32"/>
  <c r="AK54" i="32"/>
  <c r="AC54" i="32"/>
  <c r="AB54" i="32"/>
  <c r="AA54" i="32"/>
  <c r="X54" i="32"/>
  <c r="W54" i="32"/>
  <c r="V54" i="32"/>
  <c r="U54" i="32"/>
  <c r="T54" i="32"/>
  <c r="R54" i="32"/>
  <c r="Q54" i="32" s="1"/>
  <c r="K54" i="32"/>
  <c r="AO54" i="32" s="1"/>
  <c r="BG53" i="32"/>
  <c r="BF53" i="32"/>
  <c r="BE53" i="32"/>
  <c r="BD53" i="32"/>
  <c r="AQ53" i="32"/>
  <c r="AV53" i="32" s="1"/>
  <c r="AP53" i="32"/>
  <c r="AK53" i="32"/>
  <c r="AC53" i="32"/>
  <c r="AB53" i="32"/>
  <c r="AA53" i="32"/>
  <c r="X53" i="32"/>
  <c r="W53" i="32"/>
  <c r="V53" i="32"/>
  <c r="U53" i="32"/>
  <c r="T53" i="32"/>
  <c r="R53" i="32"/>
  <c r="Q53" i="32" s="1"/>
  <c r="K53" i="32"/>
  <c r="AO53" i="32" s="1"/>
  <c r="BK53" i="32" s="1"/>
  <c r="BG52" i="32"/>
  <c r="BF52" i="32"/>
  <c r="BE52" i="32"/>
  <c r="BD52" i="32"/>
  <c r="AQ52" i="32"/>
  <c r="AV52" i="32" s="1"/>
  <c r="AP52" i="32"/>
  <c r="AK52" i="32"/>
  <c r="AC52" i="32"/>
  <c r="AB52" i="32"/>
  <c r="AA52" i="32"/>
  <c r="X52" i="32"/>
  <c r="W52" i="32"/>
  <c r="V52" i="32"/>
  <c r="U52" i="32"/>
  <c r="T52" i="32"/>
  <c r="R52" i="32"/>
  <c r="Q52" i="32" s="1"/>
  <c r="K52" i="32"/>
  <c r="AO52" i="32" s="1"/>
  <c r="BL52" i="32" s="1"/>
  <c r="BG51" i="32"/>
  <c r="BF51" i="32"/>
  <c r="BE51" i="32"/>
  <c r="BD51" i="32"/>
  <c r="AQ51" i="32"/>
  <c r="AP51" i="32"/>
  <c r="AK51" i="32"/>
  <c r="AA51" i="32"/>
  <c r="X51" i="32"/>
  <c r="W51" i="32"/>
  <c r="V51" i="32"/>
  <c r="U51" i="32"/>
  <c r="T51" i="32"/>
  <c r="R51" i="32"/>
  <c r="Q51" i="32" s="1"/>
  <c r="K51" i="32"/>
  <c r="AO51" i="32" s="1"/>
  <c r="BA51" i="32" s="1"/>
  <c r="BG50" i="32"/>
  <c r="BF50" i="32"/>
  <c r="BE50" i="32"/>
  <c r="BD50" i="32"/>
  <c r="AQ50" i="32"/>
  <c r="AP50" i="32"/>
  <c r="AK50" i="32"/>
  <c r="AA50" i="32"/>
  <c r="X50" i="32"/>
  <c r="W50" i="32"/>
  <c r="V50" i="32"/>
  <c r="U50" i="32"/>
  <c r="T50" i="32"/>
  <c r="R50" i="32"/>
  <c r="Q50" i="32" s="1"/>
  <c r="K50" i="32"/>
  <c r="AO50" i="32" s="1"/>
  <c r="BC50" i="32" s="1"/>
  <c r="BG49" i="32"/>
  <c r="BF49" i="32"/>
  <c r="BE49" i="32"/>
  <c r="BD49" i="32"/>
  <c r="AQ49" i="32"/>
  <c r="AV49" i="32" s="1"/>
  <c r="AP49" i="32"/>
  <c r="AK49" i="32"/>
  <c r="AA49" i="32"/>
  <c r="X49" i="32"/>
  <c r="W49" i="32"/>
  <c r="V49" i="32"/>
  <c r="U49" i="32"/>
  <c r="T49" i="32"/>
  <c r="R49" i="32"/>
  <c r="Q49" i="32" s="1"/>
  <c r="K49" i="32"/>
  <c r="AO49" i="32" s="1"/>
  <c r="BK49" i="32" s="1"/>
  <c r="BG48" i="32"/>
  <c r="BF48" i="32"/>
  <c r="BE48" i="32"/>
  <c r="BD48" i="32"/>
  <c r="AQ48" i="32"/>
  <c r="AX48" i="32" s="1"/>
  <c r="AP48" i="32"/>
  <c r="AK48" i="32"/>
  <c r="AA48" i="32"/>
  <c r="X48" i="32"/>
  <c r="W48" i="32"/>
  <c r="V48" i="32"/>
  <c r="U48" i="32"/>
  <c r="T48" i="32"/>
  <c r="R48" i="32"/>
  <c r="Q48" i="32" s="1"/>
  <c r="K48" i="32"/>
  <c r="AO48" i="32" s="1"/>
  <c r="BL48" i="32" s="1"/>
  <c r="BG47" i="32"/>
  <c r="BF47" i="32"/>
  <c r="BE47" i="32"/>
  <c r="BD47" i="32"/>
  <c r="AQ47" i="32"/>
  <c r="AP47" i="32"/>
  <c r="AK47" i="32"/>
  <c r="AA47" i="32"/>
  <c r="X47" i="32"/>
  <c r="W47" i="32"/>
  <c r="V47" i="32"/>
  <c r="U47" i="32"/>
  <c r="T47" i="32"/>
  <c r="R47" i="32"/>
  <c r="Q47" i="32" s="1"/>
  <c r="K47" i="32"/>
  <c r="AO47" i="32" s="1"/>
  <c r="BG46" i="32"/>
  <c r="BF46" i="32"/>
  <c r="BE46" i="32"/>
  <c r="BD46" i="32"/>
  <c r="AQ46" i="32"/>
  <c r="AX46" i="32" s="1"/>
  <c r="AP46" i="32"/>
  <c r="AK46" i="32"/>
  <c r="AA46" i="32"/>
  <c r="X46" i="32"/>
  <c r="W46" i="32"/>
  <c r="V46" i="32"/>
  <c r="U46" i="32"/>
  <c r="T46" i="32"/>
  <c r="R46" i="32"/>
  <c r="Q46" i="32" s="1"/>
  <c r="K46" i="32"/>
  <c r="AO46" i="32" s="1"/>
  <c r="BJ46" i="32" s="1"/>
  <c r="BG45" i="32"/>
  <c r="BF45" i="32"/>
  <c r="BE45" i="32"/>
  <c r="BD45" i="32"/>
  <c r="AQ45" i="32"/>
  <c r="AV45" i="32" s="1"/>
  <c r="AP45" i="32"/>
  <c r="AK45" i="32"/>
  <c r="AA45" i="32"/>
  <c r="X45" i="32"/>
  <c r="W45" i="32"/>
  <c r="V45" i="32"/>
  <c r="U45" i="32"/>
  <c r="T45" i="32"/>
  <c r="R45" i="32"/>
  <c r="Q45" i="32" s="1"/>
  <c r="K45" i="32"/>
  <c r="AO45" i="32" s="1"/>
  <c r="BJ45" i="32" s="1"/>
  <c r="BG44" i="32"/>
  <c r="BF44" i="32"/>
  <c r="BE44" i="32"/>
  <c r="BD44" i="32"/>
  <c r="AQ44" i="32"/>
  <c r="AV44" i="32" s="1"/>
  <c r="AP44" i="32"/>
  <c r="AK44" i="32"/>
  <c r="AA44" i="32"/>
  <c r="X44" i="32"/>
  <c r="W44" i="32"/>
  <c r="V44" i="32"/>
  <c r="U44" i="32"/>
  <c r="T44" i="32"/>
  <c r="R44" i="32"/>
  <c r="Q44" i="32" s="1"/>
  <c r="K44" i="32"/>
  <c r="AO44" i="32" s="1"/>
  <c r="BG43" i="32"/>
  <c r="BF43" i="32"/>
  <c r="BE43" i="32"/>
  <c r="BD43" i="32"/>
  <c r="AQ43" i="32"/>
  <c r="AX43" i="32" s="1"/>
  <c r="AP43" i="32"/>
  <c r="AK43" i="32"/>
  <c r="AA43" i="32"/>
  <c r="X43" i="32"/>
  <c r="W43" i="32"/>
  <c r="V43" i="32"/>
  <c r="U43" i="32"/>
  <c r="T43" i="32"/>
  <c r="R43" i="32"/>
  <c r="Q43" i="32" s="1"/>
  <c r="K43" i="32"/>
  <c r="AO43" i="32" s="1"/>
  <c r="BJ43" i="32" s="1"/>
  <c r="BG42" i="32"/>
  <c r="BF42" i="32"/>
  <c r="BE42" i="32"/>
  <c r="BD42" i="32"/>
  <c r="AQ42" i="32"/>
  <c r="AX42" i="32" s="1"/>
  <c r="AP42" i="32"/>
  <c r="AK42" i="32"/>
  <c r="AA42" i="32"/>
  <c r="X42" i="32"/>
  <c r="W42" i="32"/>
  <c r="V42" i="32"/>
  <c r="U42" i="32"/>
  <c r="T42" i="32"/>
  <c r="R42" i="32"/>
  <c r="Q42" i="32" s="1"/>
  <c r="K42" i="32"/>
  <c r="AO42" i="32" s="1"/>
  <c r="BA42" i="32" s="1"/>
  <c r="BG41" i="32"/>
  <c r="BF41" i="32"/>
  <c r="BE41" i="32"/>
  <c r="BD41" i="32"/>
  <c r="AQ41" i="32"/>
  <c r="AP41" i="32"/>
  <c r="AK41" i="32"/>
  <c r="AA41" i="32"/>
  <c r="X41" i="32"/>
  <c r="W41" i="32"/>
  <c r="V41" i="32"/>
  <c r="U41" i="32"/>
  <c r="T41" i="32"/>
  <c r="R41" i="32"/>
  <c r="Q41" i="32" s="1"/>
  <c r="K41" i="32"/>
  <c r="AO41" i="32" s="1"/>
  <c r="BJ41" i="32" s="1"/>
  <c r="BG40" i="32"/>
  <c r="BF40" i="32"/>
  <c r="BE40" i="32"/>
  <c r="BD40" i="32"/>
  <c r="AQ40" i="32"/>
  <c r="AX40" i="32" s="1"/>
  <c r="AP40" i="32"/>
  <c r="AK40" i="32"/>
  <c r="AA40" i="32"/>
  <c r="X40" i="32"/>
  <c r="W40" i="32"/>
  <c r="V40" i="32"/>
  <c r="U40" i="32"/>
  <c r="T40" i="32"/>
  <c r="R40" i="32"/>
  <c r="Q40" i="32" s="1"/>
  <c r="K40" i="32"/>
  <c r="AO40" i="32" s="1"/>
  <c r="BL40" i="32" s="1"/>
  <c r="BG39" i="32"/>
  <c r="BF39" i="32"/>
  <c r="BE39" i="32"/>
  <c r="BD39" i="32"/>
  <c r="AQ39" i="32"/>
  <c r="AT39" i="32" s="1"/>
  <c r="AP39" i="32"/>
  <c r="AK39" i="32"/>
  <c r="AA39" i="32"/>
  <c r="X39" i="32"/>
  <c r="W39" i="32"/>
  <c r="V39" i="32"/>
  <c r="U39" i="32"/>
  <c r="T39" i="32"/>
  <c r="R39" i="32"/>
  <c r="Q39" i="32" s="1"/>
  <c r="K39" i="32"/>
  <c r="AO39" i="32" s="1"/>
  <c r="BJ39" i="32" s="1"/>
  <c r="BG38" i="32"/>
  <c r="BF38" i="32"/>
  <c r="BE38" i="32"/>
  <c r="BD38" i="32"/>
  <c r="AQ38" i="32"/>
  <c r="AX38" i="32" s="1"/>
  <c r="AP38" i="32"/>
  <c r="AK38" i="32"/>
  <c r="AA38" i="32"/>
  <c r="X38" i="32"/>
  <c r="W38" i="32"/>
  <c r="V38" i="32"/>
  <c r="U38" i="32"/>
  <c r="T38" i="32"/>
  <c r="R38" i="32"/>
  <c r="Q38" i="32" s="1"/>
  <c r="K38" i="32"/>
  <c r="AO38" i="32" s="1"/>
  <c r="BA38" i="32" s="1"/>
  <c r="BG37" i="32"/>
  <c r="BF37" i="32"/>
  <c r="BE37" i="32"/>
  <c r="BD37" i="32"/>
  <c r="AQ37" i="32"/>
  <c r="AX37" i="32" s="1"/>
  <c r="AP37" i="32"/>
  <c r="AK37" i="32"/>
  <c r="AA37" i="32"/>
  <c r="X37" i="32"/>
  <c r="W37" i="32"/>
  <c r="V37" i="32"/>
  <c r="U37" i="32"/>
  <c r="T37" i="32"/>
  <c r="R37" i="32"/>
  <c r="Q37" i="32" s="1"/>
  <c r="K37" i="32"/>
  <c r="AO37" i="32" s="1"/>
  <c r="BG36" i="32"/>
  <c r="BF36" i="32"/>
  <c r="BE36" i="32"/>
  <c r="BD36" i="32"/>
  <c r="AQ36" i="32"/>
  <c r="AT36" i="32" s="1"/>
  <c r="AP36" i="32"/>
  <c r="AK36" i="32"/>
  <c r="AA36" i="32"/>
  <c r="X36" i="32"/>
  <c r="W36" i="32"/>
  <c r="V36" i="32"/>
  <c r="U36" i="32"/>
  <c r="T36" i="32"/>
  <c r="R36" i="32"/>
  <c r="Q36" i="32" s="1"/>
  <c r="K36" i="32"/>
  <c r="AO36" i="32" s="1"/>
  <c r="BG35" i="32"/>
  <c r="BF35" i="32"/>
  <c r="BE35" i="32"/>
  <c r="BD35" i="32"/>
  <c r="AQ35" i="32"/>
  <c r="AX35" i="32" s="1"/>
  <c r="AP35" i="32"/>
  <c r="AK35" i="32"/>
  <c r="AA35" i="32"/>
  <c r="X35" i="32"/>
  <c r="W35" i="32"/>
  <c r="V35" i="32"/>
  <c r="U35" i="32"/>
  <c r="T35" i="32"/>
  <c r="R35" i="32"/>
  <c r="Q35" i="32" s="1"/>
  <c r="K35" i="32"/>
  <c r="AO35" i="32" s="1"/>
  <c r="BJ35" i="32" s="1"/>
  <c r="BG34" i="32"/>
  <c r="BF34" i="32"/>
  <c r="BE34" i="32"/>
  <c r="BD34" i="32"/>
  <c r="AQ34" i="32"/>
  <c r="AX34" i="32" s="1"/>
  <c r="AP34" i="32"/>
  <c r="AK34" i="32"/>
  <c r="AA34" i="32"/>
  <c r="X34" i="32"/>
  <c r="W34" i="32"/>
  <c r="V34" i="32"/>
  <c r="U34" i="32"/>
  <c r="T34" i="32"/>
  <c r="R34" i="32"/>
  <c r="Q34" i="32" s="1"/>
  <c r="K34" i="32"/>
  <c r="AO34" i="32" s="1"/>
  <c r="BL34" i="32" s="1"/>
  <c r="BG33" i="32"/>
  <c r="BF33" i="32"/>
  <c r="BE33" i="32"/>
  <c r="BD33" i="32"/>
  <c r="AQ33" i="32"/>
  <c r="AX33" i="32" s="1"/>
  <c r="AP33" i="32"/>
  <c r="AK33" i="32"/>
  <c r="AA33" i="32"/>
  <c r="X33" i="32"/>
  <c r="W33" i="32"/>
  <c r="V33" i="32"/>
  <c r="U33" i="32"/>
  <c r="T33" i="32"/>
  <c r="R33" i="32"/>
  <c r="Q33" i="32" s="1"/>
  <c r="K33" i="32"/>
  <c r="AO33" i="32" s="1"/>
  <c r="BG32" i="32"/>
  <c r="BF32" i="32"/>
  <c r="BE32" i="32"/>
  <c r="BD32" i="32"/>
  <c r="AQ32" i="32"/>
  <c r="AT32" i="32" s="1"/>
  <c r="AP32" i="32"/>
  <c r="AK32" i="32"/>
  <c r="AA32" i="32"/>
  <c r="X32" i="32"/>
  <c r="W32" i="32"/>
  <c r="V32" i="32"/>
  <c r="U32" i="32"/>
  <c r="T32" i="32"/>
  <c r="R32" i="32"/>
  <c r="Q32" i="32" s="1"/>
  <c r="K32" i="32"/>
  <c r="AO32" i="32" s="1"/>
  <c r="BK32" i="32" s="1"/>
  <c r="BG31" i="32"/>
  <c r="BF31" i="32"/>
  <c r="BE31" i="32"/>
  <c r="BD31" i="32"/>
  <c r="AQ31" i="32"/>
  <c r="AX31" i="32" s="1"/>
  <c r="AP31" i="32"/>
  <c r="AK31" i="32"/>
  <c r="AA31" i="32"/>
  <c r="X31" i="32"/>
  <c r="W31" i="32"/>
  <c r="V31" i="32"/>
  <c r="U31" i="32"/>
  <c r="T31" i="32"/>
  <c r="R31" i="32"/>
  <c r="Q31" i="32" s="1"/>
  <c r="K31" i="32"/>
  <c r="AO31" i="32" s="1"/>
  <c r="BK31" i="32" s="1"/>
  <c r="BG30" i="32"/>
  <c r="BF30" i="32"/>
  <c r="BE30" i="32"/>
  <c r="BD30" i="32"/>
  <c r="AQ30" i="32"/>
  <c r="AP30" i="32"/>
  <c r="AK30" i="32"/>
  <c r="AA30" i="32"/>
  <c r="X30" i="32"/>
  <c r="W30" i="32"/>
  <c r="V30" i="32"/>
  <c r="U30" i="32"/>
  <c r="T30" i="32"/>
  <c r="R30" i="32"/>
  <c r="Q30" i="32" s="1"/>
  <c r="K30" i="32"/>
  <c r="AO30" i="32" s="1"/>
  <c r="BK30" i="32" s="1"/>
  <c r="BG29" i="32"/>
  <c r="BF29" i="32"/>
  <c r="BE29" i="32"/>
  <c r="BD29" i="32"/>
  <c r="AQ29" i="32"/>
  <c r="AX29" i="32" s="1"/>
  <c r="AP29" i="32"/>
  <c r="AK29" i="32"/>
  <c r="AA29" i="32"/>
  <c r="X29" i="32"/>
  <c r="W29" i="32"/>
  <c r="V29" i="32"/>
  <c r="U29" i="32"/>
  <c r="T29" i="32"/>
  <c r="R29" i="32"/>
  <c r="Q29" i="32" s="1"/>
  <c r="K29" i="32"/>
  <c r="AO29" i="32" s="1"/>
  <c r="BJ29" i="32" s="1"/>
  <c r="BG28" i="32"/>
  <c r="BF28" i="32"/>
  <c r="BE28" i="32"/>
  <c r="BD28" i="32"/>
  <c r="AQ28" i="32"/>
  <c r="AV28" i="32" s="1"/>
  <c r="AP28" i="32"/>
  <c r="AK28" i="32"/>
  <c r="AA28" i="32"/>
  <c r="X28" i="32"/>
  <c r="W28" i="32"/>
  <c r="V28" i="32"/>
  <c r="U28" i="32"/>
  <c r="T28" i="32"/>
  <c r="R28" i="32"/>
  <c r="Q28" i="32" s="1"/>
  <c r="K28" i="32"/>
  <c r="AO28" i="32" s="1"/>
  <c r="BC28" i="32" s="1"/>
  <c r="BG27" i="32"/>
  <c r="BF27" i="32"/>
  <c r="BE27" i="32"/>
  <c r="BD27" i="32"/>
  <c r="AQ27" i="32"/>
  <c r="AX27" i="32" s="1"/>
  <c r="AP27" i="32"/>
  <c r="AK27" i="32"/>
  <c r="AA27" i="32"/>
  <c r="X27" i="32"/>
  <c r="W27" i="32"/>
  <c r="V27" i="32"/>
  <c r="U27" i="32"/>
  <c r="T27" i="32"/>
  <c r="R27" i="32"/>
  <c r="Q27" i="32" s="1"/>
  <c r="K27" i="32"/>
  <c r="AO27" i="32" s="1"/>
  <c r="BK27" i="32" s="1"/>
  <c r="BG26" i="32"/>
  <c r="BF26" i="32"/>
  <c r="BE26" i="32"/>
  <c r="BD26" i="32"/>
  <c r="AQ26" i="32"/>
  <c r="AP26" i="32"/>
  <c r="AK26" i="32"/>
  <c r="AA26" i="32"/>
  <c r="X26" i="32"/>
  <c r="W26" i="32"/>
  <c r="V26" i="32"/>
  <c r="U26" i="32"/>
  <c r="T26" i="32"/>
  <c r="R26" i="32"/>
  <c r="Q26" i="32" s="1"/>
  <c r="K26" i="32"/>
  <c r="AO26" i="32" s="1"/>
  <c r="BC26" i="32" s="1"/>
  <c r="BG25" i="32"/>
  <c r="BF25" i="32"/>
  <c r="BE25" i="32"/>
  <c r="BD25" i="32"/>
  <c r="AQ25" i="32"/>
  <c r="AP25" i="32"/>
  <c r="AK25" i="32"/>
  <c r="AA25" i="32"/>
  <c r="X25" i="32"/>
  <c r="W25" i="32"/>
  <c r="V25" i="32"/>
  <c r="U25" i="32"/>
  <c r="T25" i="32"/>
  <c r="R25" i="32"/>
  <c r="Q25" i="32" s="1"/>
  <c r="K25" i="32"/>
  <c r="AO25" i="32" s="1"/>
  <c r="BL25" i="32" s="1"/>
  <c r="BG24" i="32"/>
  <c r="BF24" i="32"/>
  <c r="BE24" i="32"/>
  <c r="BD24" i="32"/>
  <c r="AQ24" i="32"/>
  <c r="AP24" i="32"/>
  <c r="AK24" i="32"/>
  <c r="AA24" i="32"/>
  <c r="X24" i="32"/>
  <c r="W24" i="32"/>
  <c r="V24" i="32"/>
  <c r="U24" i="32"/>
  <c r="T24" i="32"/>
  <c r="R24" i="32"/>
  <c r="Q24" i="32" s="1"/>
  <c r="K24" i="32"/>
  <c r="AO24" i="32" s="1"/>
  <c r="BG23" i="32"/>
  <c r="BF23" i="32"/>
  <c r="BE23" i="32"/>
  <c r="BD23" i="32"/>
  <c r="AQ23" i="32"/>
  <c r="AT23" i="32" s="1"/>
  <c r="AP23" i="32"/>
  <c r="AK23" i="32"/>
  <c r="AA23" i="32"/>
  <c r="X23" i="32"/>
  <c r="W23" i="32"/>
  <c r="V23" i="32"/>
  <c r="U23" i="32"/>
  <c r="T23" i="32"/>
  <c r="R23" i="32"/>
  <c r="Q23" i="32" s="1"/>
  <c r="K23" i="32"/>
  <c r="AO23" i="32" s="1"/>
  <c r="BL23" i="32" s="1"/>
  <c r="BG22" i="32"/>
  <c r="BF22" i="32"/>
  <c r="BE22" i="32"/>
  <c r="BD22" i="32"/>
  <c r="AQ22" i="32"/>
  <c r="AP22" i="32"/>
  <c r="AK22" i="32"/>
  <c r="AA22" i="32"/>
  <c r="X22" i="32"/>
  <c r="W22" i="32"/>
  <c r="V22" i="32"/>
  <c r="U22" i="32"/>
  <c r="T22" i="32"/>
  <c r="R22" i="32"/>
  <c r="Q22" i="32" s="1"/>
  <c r="K22" i="32"/>
  <c r="AO22" i="32" s="1"/>
  <c r="BG21" i="32"/>
  <c r="BF21" i="32"/>
  <c r="BE21" i="32"/>
  <c r="BD21" i="32"/>
  <c r="AQ21" i="32"/>
  <c r="AX21" i="32" s="1"/>
  <c r="AP21" i="32"/>
  <c r="AK21" i="32"/>
  <c r="AA21" i="32"/>
  <c r="X21" i="32"/>
  <c r="W21" i="32"/>
  <c r="V21" i="32"/>
  <c r="U21" i="32"/>
  <c r="T21" i="32"/>
  <c r="R21" i="32"/>
  <c r="Q21" i="32" s="1"/>
  <c r="K21" i="32"/>
  <c r="AO21" i="32" s="1"/>
  <c r="BK21" i="32" s="1"/>
  <c r="BG20" i="32"/>
  <c r="BF20" i="32"/>
  <c r="BE20" i="32"/>
  <c r="BD20" i="32"/>
  <c r="AQ20" i="32"/>
  <c r="AP20" i="32"/>
  <c r="AK20" i="32"/>
  <c r="AA20" i="32"/>
  <c r="X20" i="32"/>
  <c r="W20" i="32"/>
  <c r="V20" i="32"/>
  <c r="U20" i="32"/>
  <c r="T20" i="32"/>
  <c r="R20" i="32"/>
  <c r="Q20" i="32" s="1"/>
  <c r="K20" i="32"/>
  <c r="AO20" i="32" s="1"/>
  <c r="BK20" i="32" s="1"/>
  <c r="BG19" i="32"/>
  <c r="BF19" i="32"/>
  <c r="BE19" i="32"/>
  <c r="BD19" i="32"/>
  <c r="AQ19" i="32"/>
  <c r="AP19" i="32"/>
  <c r="AK19" i="32"/>
  <c r="AA19" i="32"/>
  <c r="X19" i="32"/>
  <c r="W19" i="32"/>
  <c r="V19" i="32"/>
  <c r="U19" i="32"/>
  <c r="T19" i="32"/>
  <c r="R19" i="32"/>
  <c r="Q19" i="32" s="1"/>
  <c r="K19" i="32"/>
  <c r="AO19" i="32" s="1"/>
  <c r="BC19" i="32" s="1"/>
  <c r="BG18" i="32"/>
  <c r="BF18" i="32"/>
  <c r="BE18" i="32"/>
  <c r="BD18" i="32"/>
  <c r="AQ18" i="32"/>
  <c r="AT18" i="32" s="1"/>
  <c r="AP18" i="32"/>
  <c r="AK18" i="32"/>
  <c r="AA18" i="32"/>
  <c r="X18" i="32"/>
  <c r="W18" i="32"/>
  <c r="V18" i="32"/>
  <c r="U18" i="32"/>
  <c r="T18" i="32"/>
  <c r="R18" i="32"/>
  <c r="Q18" i="32" s="1"/>
  <c r="K18" i="32"/>
  <c r="AO18" i="32" s="1"/>
  <c r="BL18" i="32" s="1"/>
  <c r="BG17" i="32"/>
  <c r="BF17" i="32"/>
  <c r="BE17" i="32"/>
  <c r="BD17" i="32"/>
  <c r="AQ17" i="32"/>
  <c r="AP17" i="32"/>
  <c r="AK17" i="32"/>
  <c r="AA17" i="32"/>
  <c r="X17" i="32"/>
  <c r="W17" i="32"/>
  <c r="V17" i="32"/>
  <c r="U17" i="32"/>
  <c r="T17" i="32"/>
  <c r="R17" i="32"/>
  <c r="Q17" i="32" s="1"/>
  <c r="K17" i="32"/>
  <c r="AO17" i="32" s="1"/>
  <c r="BI17" i="32" s="1"/>
  <c r="BG16" i="32"/>
  <c r="BF16" i="32"/>
  <c r="BE16" i="32"/>
  <c r="BD16" i="32"/>
  <c r="AQ16" i="32"/>
  <c r="AP16" i="32"/>
  <c r="AK16" i="32"/>
  <c r="AA16" i="32"/>
  <c r="X16" i="32"/>
  <c r="W16" i="32"/>
  <c r="V16" i="32"/>
  <c r="U16" i="32"/>
  <c r="T16" i="32"/>
  <c r="R16" i="32"/>
  <c r="Q16" i="32" s="1"/>
  <c r="K16" i="32"/>
  <c r="AO16" i="32" s="1"/>
  <c r="BJ16" i="32" s="1"/>
  <c r="BG15" i="32"/>
  <c r="BF15" i="32"/>
  <c r="BE15" i="32"/>
  <c r="BD15" i="32"/>
  <c r="AQ15" i="32"/>
  <c r="AP15" i="32"/>
  <c r="AK15" i="32"/>
  <c r="AA15" i="32"/>
  <c r="X15" i="32"/>
  <c r="W15" i="32"/>
  <c r="V15" i="32"/>
  <c r="U15" i="32"/>
  <c r="T15" i="32"/>
  <c r="R15" i="32"/>
  <c r="Q15" i="32" s="1"/>
  <c r="K15" i="32"/>
  <c r="AO15" i="32" s="1"/>
  <c r="BL15" i="32" s="1"/>
  <c r="BG14" i="32"/>
  <c r="BF14" i="32"/>
  <c r="BE14" i="32"/>
  <c r="BD14" i="32"/>
  <c r="AQ14" i="32"/>
  <c r="AT14" i="32" s="1"/>
  <c r="AP14" i="32"/>
  <c r="AK14" i="32"/>
  <c r="AA14" i="32"/>
  <c r="X14" i="32"/>
  <c r="W14" i="32"/>
  <c r="V14" i="32"/>
  <c r="U14" i="32"/>
  <c r="T14" i="32"/>
  <c r="R14" i="32"/>
  <c r="Q14" i="32" s="1"/>
  <c r="K14" i="32"/>
  <c r="AO14" i="32" s="1"/>
  <c r="BL14" i="32" s="1"/>
  <c r="BG13" i="32"/>
  <c r="BF13" i="32"/>
  <c r="BE13" i="32"/>
  <c r="BD13" i="32"/>
  <c r="AQ13" i="32"/>
  <c r="AP13" i="32"/>
  <c r="AK13" i="32"/>
  <c r="AA13" i="32"/>
  <c r="X13" i="32"/>
  <c r="W13" i="32"/>
  <c r="V13" i="32"/>
  <c r="U13" i="32"/>
  <c r="T13" i="32"/>
  <c r="R13" i="32"/>
  <c r="Q13" i="32" s="1"/>
  <c r="K13" i="32"/>
  <c r="AO13" i="32" s="1"/>
  <c r="BL13" i="32" s="1"/>
  <c r="BG12" i="32"/>
  <c r="BF12" i="32"/>
  <c r="BE12" i="32"/>
  <c r="BD12" i="32"/>
  <c r="AQ12" i="32"/>
  <c r="AX12" i="32" s="1"/>
  <c r="AP12" i="32"/>
  <c r="AK12" i="32"/>
  <c r="AA12" i="32"/>
  <c r="X12" i="32"/>
  <c r="W12" i="32"/>
  <c r="V12" i="32"/>
  <c r="U12" i="32"/>
  <c r="T12" i="32"/>
  <c r="R12" i="32"/>
  <c r="Q12" i="32" s="1"/>
  <c r="K12" i="32"/>
  <c r="AO12" i="32" s="1"/>
  <c r="BA12" i="32" s="1"/>
  <c r="BG11" i="32"/>
  <c r="BF11" i="32"/>
  <c r="BE11" i="32"/>
  <c r="BD11" i="32"/>
  <c r="AQ11" i="32"/>
  <c r="AT11" i="32" s="1"/>
  <c r="AP11" i="32"/>
  <c r="AK11" i="32"/>
  <c r="AA11" i="32"/>
  <c r="X11" i="32"/>
  <c r="W11" i="32"/>
  <c r="V11" i="32"/>
  <c r="U11" i="32"/>
  <c r="T11" i="32"/>
  <c r="R11" i="32"/>
  <c r="Q11" i="32" s="1"/>
  <c r="K11" i="32"/>
  <c r="AO11" i="32" s="1"/>
  <c r="BJ11" i="32" s="1"/>
  <c r="BG10" i="32"/>
  <c r="BF10" i="32"/>
  <c r="BE10" i="32"/>
  <c r="BD10" i="32"/>
  <c r="AQ10" i="32"/>
  <c r="AP10" i="32"/>
  <c r="AK10" i="32"/>
  <c r="AA10" i="32"/>
  <c r="X10" i="32"/>
  <c r="W10" i="32"/>
  <c r="V10" i="32"/>
  <c r="U10" i="32"/>
  <c r="T10" i="32"/>
  <c r="R10" i="32"/>
  <c r="Q10" i="32" s="1"/>
  <c r="K10" i="32"/>
  <c r="AO10" i="32" s="1"/>
  <c r="BL10" i="32" s="1"/>
  <c r="BG9" i="32"/>
  <c r="BF9" i="32"/>
  <c r="BE9" i="32"/>
  <c r="BD9" i="32"/>
  <c r="AQ9" i="32"/>
  <c r="AP9" i="32"/>
  <c r="AK9" i="32"/>
  <c r="AA9" i="32"/>
  <c r="X9" i="32"/>
  <c r="W9" i="32"/>
  <c r="V9" i="32"/>
  <c r="U9" i="32"/>
  <c r="T9" i="32"/>
  <c r="R9" i="32"/>
  <c r="Q9" i="32" s="1"/>
  <c r="K9" i="32"/>
  <c r="AO9" i="32" s="1"/>
  <c r="BJ9" i="32" s="1"/>
  <c r="BG8" i="32"/>
  <c r="BF8" i="32"/>
  <c r="BE8" i="32"/>
  <c r="BD8" i="32"/>
  <c r="AQ8" i="32"/>
  <c r="AP8" i="32"/>
  <c r="AK8" i="32"/>
  <c r="AA8" i="32"/>
  <c r="X8" i="32"/>
  <c r="W8" i="32"/>
  <c r="V8" i="32"/>
  <c r="U8" i="32"/>
  <c r="T8" i="32"/>
  <c r="R8" i="32"/>
  <c r="Q8" i="32" s="1"/>
  <c r="K8" i="32"/>
  <c r="AO8" i="32" s="1"/>
  <c r="BJ8" i="32" s="1"/>
  <c r="BG7" i="32"/>
  <c r="BF7" i="32"/>
  <c r="BE7" i="32"/>
  <c r="BD7" i="32"/>
  <c r="AQ7" i="32"/>
  <c r="AP7" i="32"/>
  <c r="AK7" i="32"/>
  <c r="AA7" i="32"/>
  <c r="X7" i="32"/>
  <c r="W7" i="32"/>
  <c r="V7" i="32"/>
  <c r="U7" i="32"/>
  <c r="T7" i="32"/>
  <c r="R7" i="32"/>
  <c r="Q7" i="32" s="1"/>
  <c r="K7" i="32"/>
  <c r="AO7" i="32" s="1"/>
  <c r="BJ7" i="32" s="1"/>
  <c r="BF6" i="32"/>
  <c r="BE6" i="32"/>
  <c r="BD6" i="32"/>
  <c r="AQ6" i="32"/>
  <c r="AX6" i="32" s="1"/>
  <c r="AP6" i="32"/>
  <c r="AK6" i="32"/>
  <c r="AA6" i="32"/>
  <c r="X6" i="32"/>
  <c r="W6" i="32"/>
  <c r="V6" i="32"/>
  <c r="U6" i="32"/>
  <c r="T6" i="32"/>
  <c r="R6" i="32"/>
  <c r="K6" i="32"/>
  <c r="AO6" i="32" s="1"/>
  <c r="BL6" i="32" s="1"/>
  <c r="BC3" i="32"/>
  <c r="X1" i="32"/>
  <c r="W1" i="32"/>
  <c r="V1" i="32"/>
  <c r="U1" i="32"/>
  <c r="T1" i="32"/>
  <c r="S1" i="32"/>
  <c r="R1" i="32"/>
  <c r="AL20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B11" i="19"/>
  <c r="B8" i="19"/>
  <c r="M9" i="14"/>
  <c r="M37" i="14" s="1"/>
  <c r="K9" i="14"/>
  <c r="K42" i="14" s="1"/>
  <c r="I9" i="14"/>
  <c r="I43" i="14" s="1"/>
  <c r="M8" i="14"/>
  <c r="K8" i="14"/>
  <c r="I8" i="14"/>
  <c r="G8" i="14"/>
  <c r="E8" i="14"/>
  <c r="D8" i="14"/>
  <c r="C8" i="14"/>
  <c r="C7" i="14"/>
  <c r="C6" i="14"/>
  <c r="C5" i="14"/>
  <c r="M9" i="13"/>
  <c r="M41" i="13" s="1"/>
  <c r="K9" i="13"/>
  <c r="K30" i="13" s="1"/>
  <c r="I9" i="13"/>
  <c r="I30" i="13" s="1"/>
  <c r="M8" i="13"/>
  <c r="K8" i="13"/>
  <c r="I8" i="13"/>
  <c r="G8" i="13"/>
  <c r="E8" i="13"/>
  <c r="C8" i="13"/>
  <c r="C7" i="13"/>
  <c r="C6" i="13"/>
  <c r="C5" i="13"/>
  <c r="B11" i="11"/>
  <c r="B8" i="11"/>
  <c r="M56" i="31"/>
  <c r="BD226" i="8" s="1"/>
  <c r="K56" i="31"/>
  <c r="BD225" i="8" s="1"/>
  <c r="I56" i="31"/>
  <c r="BD219" i="8" s="1"/>
  <c r="G56" i="31"/>
  <c r="E56" i="31"/>
  <c r="C56" i="31"/>
  <c r="M52" i="31"/>
  <c r="K52" i="31"/>
  <c r="I52" i="31"/>
  <c r="G52" i="31"/>
  <c r="E52" i="31"/>
  <c r="C52" i="31"/>
  <c r="M10" i="14"/>
  <c r="K10" i="14"/>
  <c r="I10" i="14"/>
  <c r="M47" i="31"/>
  <c r="K47" i="31"/>
  <c r="I47" i="31"/>
  <c r="G47" i="31"/>
  <c r="E47" i="31"/>
  <c r="C47" i="31"/>
  <c r="M43" i="31"/>
  <c r="L43" i="31"/>
  <c r="K43" i="31"/>
  <c r="J43" i="31"/>
  <c r="I43" i="31"/>
  <c r="H43" i="31"/>
  <c r="G43" i="31"/>
  <c r="F43" i="31"/>
  <c r="E43" i="31"/>
  <c r="D43" i="31"/>
  <c r="C43" i="31"/>
  <c r="M42" i="31"/>
  <c r="K42" i="31"/>
  <c r="I42" i="31"/>
  <c r="G42" i="31"/>
  <c r="E42" i="31"/>
  <c r="C42" i="31"/>
  <c r="M33" i="31"/>
  <c r="K33" i="31"/>
  <c r="I33" i="31"/>
  <c r="G33" i="31"/>
  <c r="M10" i="13"/>
  <c r="K10" i="13"/>
  <c r="I10" i="13"/>
  <c r="M27" i="31"/>
  <c r="K27" i="31"/>
  <c r="I27" i="31"/>
  <c r="G27" i="31"/>
  <c r="E27" i="31"/>
  <c r="C27" i="31"/>
  <c r="M24" i="31"/>
  <c r="K24" i="31"/>
  <c r="I24" i="31"/>
  <c r="G24" i="31"/>
  <c r="E24" i="31"/>
  <c r="C24" i="31"/>
  <c r="M23" i="31"/>
  <c r="K23" i="31"/>
  <c r="I23" i="31"/>
  <c r="G23" i="31"/>
  <c r="E23" i="31"/>
  <c r="C23" i="31"/>
  <c r="C18" i="31"/>
  <c r="E36" i="27"/>
  <c r="E40" i="27"/>
  <c r="E14" i="27"/>
  <c r="T2" i="8"/>
  <c r="S2" i="8"/>
  <c r="R2" i="8"/>
  <c r="P2" i="8"/>
  <c r="O2" i="8"/>
  <c r="N1" i="8"/>
  <c r="V24" i="23"/>
  <c r="T23" i="23"/>
  <c r="T22" i="23"/>
  <c r="T21" i="23"/>
  <c r="T20" i="23"/>
  <c r="T19" i="23"/>
  <c r="T18" i="23"/>
  <c r="F3" i="23"/>
  <c r="E3" i="23"/>
  <c r="D3" i="23"/>
  <c r="C3" i="23"/>
  <c r="B3" i="23"/>
  <c r="G51" i="31"/>
  <c r="C25" i="23"/>
  <c r="E51" i="31" s="1"/>
  <c r="B25" i="23"/>
  <c r="C51" i="31" s="1"/>
  <c r="G50" i="31"/>
  <c r="G10" i="14" s="1"/>
  <c r="B24" i="23"/>
  <c r="C50" i="31" s="1"/>
  <c r="C10" i="14" s="1"/>
  <c r="F20" i="23"/>
  <c r="F19" i="23"/>
  <c r="E20" i="23"/>
  <c r="D20" i="23"/>
  <c r="C20" i="23"/>
  <c r="B20" i="23"/>
  <c r="E19" i="23"/>
  <c r="D19" i="23"/>
  <c r="C19" i="23"/>
  <c r="B19" i="23"/>
  <c r="B9" i="19"/>
  <c r="B9" i="11"/>
  <c r="U205" i="8"/>
  <c r="V154" i="8"/>
  <c r="V153" i="8"/>
  <c r="U153" i="8"/>
  <c r="V152" i="8"/>
  <c r="U152" i="8"/>
  <c r="U151" i="8"/>
  <c r="U148" i="8"/>
  <c r="U147" i="8"/>
  <c r="V144" i="8"/>
  <c r="U144" i="8"/>
  <c r="U143" i="8"/>
  <c r="V141" i="8"/>
  <c r="U141" i="8"/>
  <c r="U140" i="8"/>
  <c r="U139" i="8"/>
  <c r="V137" i="8"/>
  <c r="V136" i="8"/>
  <c r="U136" i="8"/>
  <c r="U135" i="8"/>
  <c r="V133" i="8"/>
  <c r="U133" i="8"/>
  <c r="U132" i="8"/>
  <c r="U131" i="8"/>
  <c r="U129" i="8"/>
  <c r="V128" i="8"/>
  <c r="U128" i="8"/>
  <c r="U127" i="8"/>
  <c r="V125" i="8"/>
  <c r="U124" i="8"/>
  <c r="U123" i="8"/>
  <c r="V121" i="8"/>
  <c r="U121" i="8"/>
  <c r="V120" i="8"/>
  <c r="U120" i="8"/>
  <c r="U119" i="8"/>
  <c r="V117" i="8"/>
  <c r="U116" i="8"/>
  <c r="U115" i="8"/>
  <c r="V112" i="8"/>
  <c r="U112" i="8"/>
  <c r="U111" i="8"/>
  <c r="V109" i="8"/>
  <c r="U108" i="8"/>
  <c r="U107" i="8"/>
  <c r="V105" i="8"/>
  <c r="V104" i="8"/>
  <c r="U104" i="8"/>
  <c r="U103" i="8"/>
  <c r="V101" i="8"/>
  <c r="U100" i="8"/>
  <c r="U99" i="8"/>
  <c r="U97" i="8"/>
  <c r="V96" i="8"/>
  <c r="U96" i="8"/>
  <c r="U95" i="8"/>
  <c r="V93" i="8"/>
  <c r="U92" i="8"/>
  <c r="U91" i="8"/>
  <c r="V89" i="8"/>
  <c r="U89" i="8"/>
  <c r="V88" i="8"/>
  <c r="U88" i="8"/>
  <c r="U87" i="8"/>
  <c r="U84" i="8"/>
  <c r="V80" i="8"/>
  <c r="U80" i="8"/>
  <c r="U79" i="8"/>
  <c r="V77" i="8"/>
  <c r="U76" i="8"/>
  <c r="V73" i="8"/>
  <c r="V72" i="8"/>
  <c r="U72" i="8"/>
  <c r="U71" i="8"/>
  <c r="V69" i="8"/>
  <c r="U68" i="8"/>
  <c r="U65" i="8"/>
  <c r="V64" i="8"/>
  <c r="U64" i="8"/>
  <c r="U63" i="8"/>
  <c r="V61" i="8"/>
  <c r="U60" i="8"/>
  <c r="U59" i="8"/>
  <c r="V57" i="8"/>
  <c r="U57" i="8"/>
  <c r="V56" i="8"/>
  <c r="U56" i="8"/>
  <c r="U55" i="8"/>
  <c r="U52" i="8"/>
  <c r="V50" i="8"/>
  <c r="V48" i="8"/>
  <c r="U48" i="8"/>
  <c r="U47" i="8"/>
  <c r="U44" i="8"/>
  <c r="V42" i="8"/>
  <c r="V40" i="8"/>
  <c r="U40" i="8"/>
  <c r="U39" i="8"/>
  <c r="U36" i="8"/>
  <c r="V34" i="8"/>
  <c r="V32" i="8"/>
  <c r="U32" i="8"/>
  <c r="U31" i="8"/>
  <c r="U28" i="8"/>
  <c r="V26" i="8"/>
  <c r="U24" i="8"/>
  <c r="U23" i="8"/>
  <c r="U20" i="8"/>
  <c r="U17" i="8"/>
  <c r="V16" i="8"/>
  <c r="U16" i="8"/>
  <c r="U15" i="8"/>
  <c r="U12" i="8"/>
  <c r="V10" i="8"/>
  <c r="U8" i="8"/>
  <c r="U7" i="8"/>
  <c r="J49" i="19"/>
  <c r="Y154" i="8"/>
  <c r="X154" i="8"/>
  <c r="W154" i="8"/>
  <c r="S154" i="8"/>
  <c r="Q154" i="8"/>
  <c r="P154" i="8"/>
  <c r="O154" i="8"/>
  <c r="W153" i="8"/>
  <c r="S153" i="8"/>
  <c r="Q153" i="8"/>
  <c r="P153" i="8"/>
  <c r="O153" i="8"/>
  <c r="W152" i="8"/>
  <c r="S152" i="8"/>
  <c r="Q152" i="8"/>
  <c r="P152" i="8"/>
  <c r="O152" i="8"/>
  <c r="Y151" i="8"/>
  <c r="X151" i="8"/>
  <c r="W151" i="8"/>
  <c r="S151" i="8"/>
  <c r="Q151" i="8"/>
  <c r="P151" i="8"/>
  <c r="O151" i="8"/>
  <c r="Y150" i="8"/>
  <c r="X150" i="8"/>
  <c r="W150" i="8"/>
  <c r="S150" i="8"/>
  <c r="Q150" i="8"/>
  <c r="P150" i="8"/>
  <c r="O150" i="8"/>
  <c r="W149" i="8"/>
  <c r="S149" i="8"/>
  <c r="Q149" i="8"/>
  <c r="P149" i="8"/>
  <c r="O149" i="8"/>
  <c r="W148" i="8"/>
  <c r="S148" i="8"/>
  <c r="Q148" i="8"/>
  <c r="P148" i="8"/>
  <c r="O148" i="8"/>
  <c r="Y147" i="8"/>
  <c r="X147" i="8"/>
  <c r="W147" i="8"/>
  <c r="S147" i="8"/>
  <c r="Q147" i="8"/>
  <c r="P147" i="8"/>
  <c r="O147" i="8"/>
  <c r="Y146" i="8"/>
  <c r="X146" i="8"/>
  <c r="W146" i="8"/>
  <c r="S146" i="8"/>
  <c r="Q146" i="8"/>
  <c r="P146" i="8"/>
  <c r="O146" i="8"/>
  <c r="W145" i="8"/>
  <c r="S145" i="8"/>
  <c r="Q145" i="8"/>
  <c r="P145" i="8"/>
  <c r="O145" i="8"/>
  <c r="W144" i="8"/>
  <c r="S144" i="8"/>
  <c r="Q144" i="8"/>
  <c r="P144" i="8"/>
  <c r="O144" i="8"/>
  <c r="Y143" i="8"/>
  <c r="X143" i="8"/>
  <c r="W143" i="8"/>
  <c r="S143" i="8"/>
  <c r="Q143" i="8"/>
  <c r="P143" i="8"/>
  <c r="O143" i="8"/>
  <c r="Y142" i="8"/>
  <c r="X142" i="8"/>
  <c r="W142" i="8"/>
  <c r="S142" i="8"/>
  <c r="Q142" i="8"/>
  <c r="P142" i="8"/>
  <c r="O142" i="8"/>
  <c r="W141" i="8"/>
  <c r="S141" i="8"/>
  <c r="Q141" i="8"/>
  <c r="P141" i="8"/>
  <c r="O141" i="8"/>
  <c r="W140" i="8"/>
  <c r="S140" i="8"/>
  <c r="Q140" i="8"/>
  <c r="P140" i="8"/>
  <c r="O140" i="8"/>
  <c r="Y139" i="8"/>
  <c r="X139" i="8"/>
  <c r="W139" i="8"/>
  <c r="S139" i="8"/>
  <c r="Q139" i="8"/>
  <c r="P139" i="8"/>
  <c r="O139" i="8"/>
  <c r="Y138" i="8"/>
  <c r="X138" i="8"/>
  <c r="W138" i="8"/>
  <c r="S138" i="8"/>
  <c r="Q138" i="8"/>
  <c r="P138" i="8"/>
  <c r="O138" i="8"/>
  <c r="W137" i="8"/>
  <c r="S137" i="8"/>
  <c r="Q137" i="8"/>
  <c r="P137" i="8"/>
  <c r="O137" i="8"/>
  <c r="W136" i="8"/>
  <c r="S136" i="8"/>
  <c r="Q136" i="8"/>
  <c r="P136" i="8"/>
  <c r="O136" i="8"/>
  <c r="Y135" i="8"/>
  <c r="X135" i="8"/>
  <c r="W135" i="8"/>
  <c r="S135" i="8"/>
  <c r="Q135" i="8"/>
  <c r="P135" i="8"/>
  <c r="O135" i="8"/>
  <c r="Y134" i="8"/>
  <c r="X134" i="8"/>
  <c r="W134" i="8"/>
  <c r="S134" i="8"/>
  <c r="Q134" i="8"/>
  <c r="P134" i="8"/>
  <c r="O134" i="8"/>
  <c r="W133" i="8"/>
  <c r="S133" i="8"/>
  <c r="Q133" i="8"/>
  <c r="P133" i="8"/>
  <c r="O133" i="8"/>
  <c r="W132" i="8"/>
  <c r="S132" i="8"/>
  <c r="Q132" i="8"/>
  <c r="P132" i="8"/>
  <c r="O132" i="8"/>
  <c r="Y131" i="8"/>
  <c r="X131" i="8"/>
  <c r="W131" i="8"/>
  <c r="S131" i="8"/>
  <c r="Q131" i="8"/>
  <c r="P131" i="8"/>
  <c r="O131" i="8"/>
  <c r="Y130" i="8"/>
  <c r="X130" i="8"/>
  <c r="W130" i="8"/>
  <c r="S130" i="8"/>
  <c r="Q130" i="8"/>
  <c r="P130" i="8"/>
  <c r="O130" i="8"/>
  <c r="W129" i="8"/>
  <c r="S129" i="8"/>
  <c r="Q129" i="8"/>
  <c r="P129" i="8"/>
  <c r="O129" i="8"/>
  <c r="W128" i="8"/>
  <c r="S128" i="8"/>
  <c r="Q128" i="8"/>
  <c r="P128" i="8"/>
  <c r="O128" i="8"/>
  <c r="Y127" i="8"/>
  <c r="X127" i="8"/>
  <c r="W127" i="8"/>
  <c r="S127" i="8"/>
  <c r="Q127" i="8"/>
  <c r="P127" i="8"/>
  <c r="O127" i="8"/>
  <c r="Y126" i="8"/>
  <c r="X126" i="8"/>
  <c r="W126" i="8"/>
  <c r="S126" i="8"/>
  <c r="Q126" i="8"/>
  <c r="P126" i="8"/>
  <c r="O126" i="8"/>
  <c r="W125" i="8"/>
  <c r="S125" i="8"/>
  <c r="Q125" i="8"/>
  <c r="P125" i="8"/>
  <c r="O125" i="8"/>
  <c r="W124" i="8"/>
  <c r="S124" i="8"/>
  <c r="Q124" i="8"/>
  <c r="P124" i="8"/>
  <c r="O124" i="8"/>
  <c r="Y123" i="8"/>
  <c r="X123" i="8"/>
  <c r="W123" i="8"/>
  <c r="S123" i="8"/>
  <c r="Q123" i="8"/>
  <c r="P123" i="8"/>
  <c r="O123" i="8"/>
  <c r="Y122" i="8"/>
  <c r="X122" i="8"/>
  <c r="W122" i="8"/>
  <c r="S122" i="8"/>
  <c r="Q122" i="8"/>
  <c r="P122" i="8"/>
  <c r="O122" i="8"/>
  <c r="W121" i="8"/>
  <c r="S121" i="8"/>
  <c r="Q121" i="8"/>
  <c r="P121" i="8"/>
  <c r="O121" i="8"/>
  <c r="W120" i="8"/>
  <c r="S120" i="8"/>
  <c r="Q120" i="8"/>
  <c r="P120" i="8"/>
  <c r="O120" i="8"/>
  <c r="Y119" i="8"/>
  <c r="X119" i="8"/>
  <c r="W119" i="8"/>
  <c r="S119" i="8"/>
  <c r="Q119" i="8"/>
  <c r="P119" i="8"/>
  <c r="O119" i="8"/>
  <c r="Y118" i="8"/>
  <c r="X118" i="8"/>
  <c r="W118" i="8"/>
  <c r="S118" i="8"/>
  <c r="Q118" i="8"/>
  <c r="P118" i="8"/>
  <c r="O118" i="8"/>
  <c r="W117" i="8"/>
  <c r="S117" i="8"/>
  <c r="Q117" i="8"/>
  <c r="P117" i="8"/>
  <c r="O117" i="8"/>
  <c r="W116" i="8"/>
  <c r="S116" i="8"/>
  <c r="Q116" i="8"/>
  <c r="P116" i="8"/>
  <c r="O116" i="8"/>
  <c r="W115" i="8"/>
  <c r="S115" i="8"/>
  <c r="Q115" i="8"/>
  <c r="P115" i="8"/>
  <c r="O115" i="8"/>
  <c r="Y114" i="8"/>
  <c r="X114" i="8"/>
  <c r="W114" i="8"/>
  <c r="S114" i="8"/>
  <c r="Q114" i="8"/>
  <c r="P114" i="8"/>
  <c r="O114" i="8"/>
  <c r="W113" i="8"/>
  <c r="S113" i="8"/>
  <c r="Q113" i="8"/>
  <c r="P113" i="8"/>
  <c r="O113" i="8"/>
  <c r="W112" i="8"/>
  <c r="S112" i="8"/>
  <c r="Q112" i="8"/>
  <c r="P112" i="8"/>
  <c r="O112" i="8"/>
  <c r="Y111" i="8"/>
  <c r="X111" i="8"/>
  <c r="W111" i="8"/>
  <c r="S111" i="8"/>
  <c r="Q111" i="8"/>
  <c r="P111" i="8"/>
  <c r="O111" i="8"/>
  <c r="Y110" i="8"/>
  <c r="X110" i="8"/>
  <c r="W110" i="8"/>
  <c r="S110" i="8"/>
  <c r="Q110" i="8"/>
  <c r="P110" i="8"/>
  <c r="O110" i="8"/>
  <c r="W109" i="8"/>
  <c r="S109" i="8"/>
  <c r="Q109" i="8"/>
  <c r="P109" i="8"/>
  <c r="O109" i="8"/>
  <c r="W108" i="8"/>
  <c r="S108" i="8"/>
  <c r="Q108" i="8"/>
  <c r="P108" i="8"/>
  <c r="O108" i="8"/>
  <c r="W107" i="8"/>
  <c r="S107" i="8"/>
  <c r="Q107" i="8"/>
  <c r="P107" i="8"/>
  <c r="O107" i="8"/>
  <c r="W106" i="8"/>
  <c r="S106" i="8"/>
  <c r="Q106" i="8"/>
  <c r="P106" i="8"/>
  <c r="O106" i="8"/>
  <c r="W105" i="8"/>
  <c r="S105" i="8"/>
  <c r="Q105" i="8"/>
  <c r="P105" i="8"/>
  <c r="O105" i="8"/>
  <c r="W104" i="8"/>
  <c r="S104" i="8"/>
  <c r="Q104" i="8"/>
  <c r="P104" i="8"/>
  <c r="O104" i="8"/>
  <c r="Y103" i="8"/>
  <c r="X103" i="8"/>
  <c r="W103" i="8"/>
  <c r="S103" i="8"/>
  <c r="Q103" i="8"/>
  <c r="P103" i="8"/>
  <c r="O103" i="8"/>
  <c r="Y102" i="8"/>
  <c r="X102" i="8"/>
  <c r="W102" i="8"/>
  <c r="S102" i="8"/>
  <c r="Q102" i="8"/>
  <c r="P102" i="8"/>
  <c r="O102" i="8"/>
  <c r="W101" i="8"/>
  <c r="S101" i="8"/>
  <c r="Q101" i="8"/>
  <c r="P101" i="8"/>
  <c r="O101" i="8"/>
  <c r="W100" i="8"/>
  <c r="S100" i="8"/>
  <c r="Q100" i="8"/>
  <c r="P100" i="8"/>
  <c r="O100" i="8"/>
  <c r="W99" i="8"/>
  <c r="S99" i="8"/>
  <c r="Q99" i="8"/>
  <c r="P99" i="8"/>
  <c r="O99" i="8"/>
  <c r="W98" i="8"/>
  <c r="S98" i="8"/>
  <c r="Q98" i="8"/>
  <c r="P98" i="8"/>
  <c r="O98" i="8"/>
  <c r="W97" i="8"/>
  <c r="S97" i="8"/>
  <c r="Q97" i="8"/>
  <c r="P97" i="8"/>
  <c r="O97" i="8"/>
  <c r="W96" i="8"/>
  <c r="S96" i="8"/>
  <c r="Q96" i="8"/>
  <c r="P96" i="8"/>
  <c r="O96" i="8"/>
  <c r="Y95" i="8"/>
  <c r="X95" i="8"/>
  <c r="W95" i="8"/>
  <c r="S95" i="8"/>
  <c r="Q95" i="8"/>
  <c r="P95" i="8"/>
  <c r="O95" i="8"/>
  <c r="Y94" i="8"/>
  <c r="X94" i="8"/>
  <c r="W94" i="8"/>
  <c r="S94" i="8"/>
  <c r="Q94" i="8"/>
  <c r="P94" i="8"/>
  <c r="O94" i="8"/>
  <c r="W93" i="8"/>
  <c r="S93" i="8"/>
  <c r="Q93" i="8"/>
  <c r="P93" i="8"/>
  <c r="O93" i="8"/>
  <c r="W92" i="8"/>
  <c r="S92" i="8"/>
  <c r="Q92" i="8"/>
  <c r="P92" i="8"/>
  <c r="O92" i="8"/>
  <c r="W91" i="8"/>
  <c r="S91" i="8"/>
  <c r="Q91" i="8"/>
  <c r="P91" i="8"/>
  <c r="O91" i="8"/>
  <c r="W90" i="8"/>
  <c r="S90" i="8"/>
  <c r="Q90" i="8"/>
  <c r="P90" i="8"/>
  <c r="O90" i="8"/>
  <c r="W89" i="8"/>
  <c r="S89" i="8"/>
  <c r="Q89" i="8"/>
  <c r="P89" i="8"/>
  <c r="O89" i="8"/>
  <c r="W88" i="8"/>
  <c r="S88" i="8"/>
  <c r="Q88" i="8"/>
  <c r="P88" i="8"/>
  <c r="O88" i="8"/>
  <c r="W87" i="8"/>
  <c r="S87" i="8"/>
  <c r="Q87" i="8"/>
  <c r="P87" i="8"/>
  <c r="O87" i="8"/>
  <c r="W86" i="8"/>
  <c r="S86" i="8"/>
  <c r="Q86" i="8"/>
  <c r="P86" i="8"/>
  <c r="O86" i="8"/>
  <c r="W85" i="8"/>
  <c r="S85" i="8"/>
  <c r="Q85" i="8"/>
  <c r="P85" i="8"/>
  <c r="O85" i="8"/>
  <c r="W84" i="8"/>
  <c r="S84" i="8"/>
  <c r="Q84" i="8"/>
  <c r="P84" i="8"/>
  <c r="O84" i="8"/>
  <c r="W83" i="8"/>
  <c r="S83" i="8"/>
  <c r="Q83" i="8"/>
  <c r="P83" i="8"/>
  <c r="O83" i="8"/>
  <c r="W82" i="8"/>
  <c r="S82" i="8"/>
  <c r="Q82" i="8"/>
  <c r="P82" i="8"/>
  <c r="O82" i="8"/>
  <c r="W81" i="8"/>
  <c r="S81" i="8"/>
  <c r="Q81" i="8"/>
  <c r="P81" i="8"/>
  <c r="O81" i="8"/>
  <c r="W80" i="8"/>
  <c r="S80" i="8"/>
  <c r="Q80" i="8"/>
  <c r="P80" i="8"/>
  <c r="O80" i="8"/>
  <c r="W79" i="8"/>
  <c r="S79" i="8"/>
  <c r="Q79" i="8"/>
  <c r="P79" i="8"/>
  <c r="O79" i="8"/>
  <c r="W78" i="8"/>
  <c r="S78" i="8"/>
  <c r="Q78" i="8"/>
  <c r="P78" i="8"/>
  <c r="O78" i="8"/>
  <c r="W77" i="8"/>
  <c r="S77" i="8"/>
  <c r="Q77" i="8"/>
  <c r="P77" i="8"/>
  <c r="O77" i="8"/>
  <c r="W76" i="8"/>
  <c r="S76" i="8"/>
  <c r="Q76" i="8"/>
  <c r="P76" i="8"/>
  <c r="O76" i="8"/>
  <c r="W75" i="8"/>
  <c r="S75" i="8"/>
  <c r="Q75" i="8"/>
  <c r="P75" i="8"/>
  <c r="O75" i="8"/>
  <c r="W74" i="8"/>
  <c r="S74" i="8"/>
  <c r="Q74" i="8"/>
  <c r="P74" i="8"/>
  <c r="O74" i="8"/>
  <c r="W73" i="8"/>
  <c r="S73" i="8"/>
  <c r="Q73" i="8"/>
  <c r="P73" i="8"/>
  <c r="O73" i="8"/>
  <c r="W72" i="8"/>
  <c r="S72" i="8"/>
  <c r="Q72" i="8"/>
  <c r="P72" i="8"/>
  <c r="O72" i="8"/>
  <c r="W71" i="8"/>
  <c r="S71" i="8"/>
  <c r="Q71" i="8"/>
  <c r="P71" i="8"/>
  <c r="O71" i="8"/>
  <c r="W70" i="8"/>
  <c r="S70" i="8"/>
  <c r="Q70" i="8"/>
  <c r="P70" i="8"/>
  <c r="O70" i="8"/>
  <c r="W69" i="8"/>
  <c r="S69" i="8"/>
  <c r="Q69" i="8"/>
  <c r="P69" i="8"/>
  <c r="O69" i="8"/>
  <c r="W68" i="8"/>
  <c r="S68" i="8"/>
  <c r="Q68" i="8"/>
  <c r="P68" i="8"/>
  <c r="O68" i="8"/>
  <c r="W67" i="8"/>
  <c r="S67" i="8"/>
  <c r="Q67" i="8"/>
  <c r="P67" i="8"/>
  <c r="O67" i="8"/>
  <c r="W66" i="8"/>
  <c r="S66" i="8"/>
  <c r="Q66" i="8"/>
  <c r="P66" i="8"/>
  <c r="O66" i="8"/>
  <c r="W65" i="8"/>
  <c r="S65" i="8"/>
  <c r="Q65" i="8"/>
  <c r="P65" i="8"/>
  <c r="O65" i="8"/>
  <c r="W64" i="8"/>
  <c r="S64" i="8"/>
  <c r="Q64" i="8"/>
  <c r="P64" i="8"/>
  <c r="O64" i="8"/>
  <c r="W63" i="8"/>
  <c r="S63" i="8"/>
  <c r="Q63" i="8"/>
  <c r="P63" i="8"/>
  <c r="O63" i="8"/>
  <c r="W62" i="8"/>
  <c r="S62" i="8"/>
  <c r="Q62" i="8"/>
  <c r="P62" i="8"/>
  <c r="O62" i="8"/>
  <c r="W61" i="8"/>
  <c r="S61" i="8"/>
  <c r="Q61" i="8"/>
  <c r="P61" i="8"/>
  <c r="O61" i="8"/>
  <c r="W60" i="8"/>
  <c r="S60" i="8"/>
  <c r="Q60" i="8"/>
  <c r="P60" i="8"/>
  <c r="O60" i="8"/>
  <c r="W59" i="8"/>
  <c r="S59" i="8"/>
  <c r="Q59" i="8"/>
  <c r="P59" i="8"/>
  <c r="O59" i="8"/>
  <c r="W58" i="8"/>
  <c r="S58" i="8"/>
  <c r="Q58" i="8"/>
  <c r="P58" i="8"/>
  <c r="O58" i="8"/>
  <c r="W57" i="8"/>
  <c r="S57" i="8"/>
  <c r="Q57" i="8"/>
  <c r="P57" i="8"/>
  <c r="O57" i="8"/>
  <c r="W56" i="8"/>
  <c r="S56" i="8"/>
  <c r="Q56" i="8"/>
  <c r="P56" i="8"/>
  <c r="O56" i="8"/>
  <c r="W55" i="8"/>
  <c r="S55" i="8"/>
  <c r="Q55" i="8"/>
  <c r="P55" i="8"/>
  <c r="O55" i="8"/>
  <c r="W54" i="8"/>
  <c r="S54" i="8"/>
  <c r="Q54" i="8"/>
  <c r="P54" i="8"/>
  <c r="O54" i="8"/>
  <c r="W53" i="8"/>
  <c r="S53" i="8"/>
  <c r="Q53" i="8"/>
  <c r="P53" i="8"/>
  <c r="O53" i="8"/>
  <c r="W52" i="8"/>
  <c r="S52" i="8"/>
  <c r="Q52" i="8"/>
  <c r="P52" i="8"/>
  <c r="O52" i="8"/>
  <c r="W51" i="8"/>
  <c r="S51" i="8"/>
  <c r="Q51" i="8"/>
  <c r="P51" i="8"/>
  <c r="O51" i="8"/>
  <c r="W50" i="8"/>
  <c r="S50" i="8"/>
  <c r="Q50" i="8"/>
  <c r="P50" i="8"/>
  <c r="O50" i="8"/>
  <c r="W49" i="8"/>
  <c r="S49" i="8"/>
  <c r="Q49" i="8"/>
  <c r="P49" i="8"/>
  <c r="O49" i="8"/>
  <c r="W48" i="8"/>
  <c r="S48" i="8"/>
  <c r="Q48" i="8"/>
  <c r="P48" i="8"/>
  <c r="O48" i="8"/>
  <c r="W47" i="8"/>
  <c r="S47" i="8"/>
  <c r="Q47" i="8"/>
  <c r="P47" i="8"/>
  <c r="O47" i="8"/>
  <c r="W46" i="8"/>
  <c r="S46" i="8"/>
  <c r="Q46" i="8"/>
  <c r="P46" i="8"/>
  <c r="O46" i="8"/>
  <c r="W45" i="8"/>
  <c r="S45" i="8"/>
  <c r="Q45" i="8"/>
  <c r="P45" i="8"/>
  <c r="O45" i="8"/>
  <c r="W44" i="8"/>
  <c r="S44" i="8"/>
  <c r="Q44" i="8"/>
  <c r="P44" i="8"/>
  <c r="O44" i="8"/>
  <c r="W43" i="8"/>
  <c r="S43" i="8"/>
  <c r="Q43" i="8"/>
  <c r="P43" i="8"/>
  <c r="O43" i="8"/>
  <c r="W42" i="8"/>
  <c r="S42" i="8"/>
  <c r="Q42" i="8"/>
  <c r="P42" i="8"/>
  <c r="O42" i="8"/>
  <c r="W41" i="8"/>
  <c r="S41" i="8"/>
  <c r="Q41" i="8"/>
  <c r="P41" i="8"/>
  <c r="O41" i="8"/>
  <c r="W40" i="8"/>
  <c r="S40" i="8"/>
  <c r="Q40" i="8"/>
  <c r="P40" i="8"/>
  <c r="O40" i="8"/>
  <c r="W39" i="8"/>
  <c r="S39" i="8"/>
  <c r="Q39" i="8"/>
  <c r="P39" i="8"/>
  <c r="O39" i="8"/>
  <c r="W38" i="8"/>
  <c r="S38" i="8"/>
  <c r="Q38" i="8"/>
  <c r="P38" i="8"/>
  <c r="O38" i="8"/>
  <c r="W37" i="8"/>
  <c r="S37" i="8"/>
  <c r="Q37" i="8"/>
  <c r="P37" i="8"/>
  <c r="O37" i="8"/>
  <c r="W36" i="8"/>
  <c r="S36" i="8"/>
  <c r="Q36" i="8"/>
  <c r="P36" i="8"/>
  <c r="O36" i="8"/>
  <c r="W35" i="8"/>
  <c r="S35" i="8"/>
  <c r="Q35" i="8"/>
  <c r="P35" i="8"/>
  <c r="O35" i="8"/>
  <c r="W34" i="8"/>
  <c r="S34" i="8"/>
  <c r="Q34" i="8"/>
  <c r="P34" i="8"/>
  <c r="O34" i="8"/>
  <c r="W33" i="8"/>
  <c r="S33" i="8"/>
  <c r="Q33" i="8"/>
  <c r="P33" i="8"/>
  <c r="O33" i="8"/>
  <c r="W32" i="8"/>
  <c r="S32" i="8"/>
  <c r="Q32" i="8"/>
  <c r="P32" i="8"/>
  <c r="O32" i="8"/>
  <c r="W31" i="8"/>
  <c r="S31" i="8"/>
  <c r="Q31" i="8"/>
  <c r="P31" i="8"/>
  <c r="O31" i="8"/>
  <c r="W30" i="8"/>
  <c r="S30" i="8"/>
  <c r="Q30" i="8"/>
  <c r="P30" i="8"/>
  <c r="O30" i="8"/>
  <c r="W29" i="8"/>
  <c r="S29" i="8"/>
  <c r="Q29" i="8"/>
  <c r="P29" i="8"/>
  <c r="O29" i="8"/>
  <c r="W28" i="8"/>
  <c r="S28" i="8"/>
  <c r="Q28" i="8"/>
  <c r="P28" i="8"/>
  <c r="O28" i="8"/>
  <c r="W27" i="8"/>
  <c r="S27" i="8"/>
  <c r="Q27" i="8"/>
  <c r="P27" i="8"/>
  <c r="O27" i="8"/>
  <c r="W26" i="8"/>
  <c r="S26" i="8"/>
  <c r="Q26" i="8"/>
  <c r="P26" i="8"/>
  <c r="O26" i="8"/>
  <c r="W25" i="8"/>
  <c r="S25" i="8"/>
  <c r="Q25" i="8"/>
  <c r="P25" i="8"/>
  <c r="O25" i="8"/>
  <c r="W24" i="8"/>
  <c r="S24" i="8"/>
  <c r="Q24" i="8"/>
  <c r="P24" i="8"/>
  <c r="O24" i="8"/>
  <c r="W23" i="8"/>
  <c r="S23" i="8"/>
  <c r="Q23" i="8"/>
  <c r="P23" i="8"/>
  <c r="O23" i="8"/>
  <c r="W22" i="8"/>
  <c r="S22" i="8"/>
  <c r="Q22" i="8"/>
  <c r="P22" i="8"/>
  <c r="O22" i="8"/>
  <c r="W21" i="8"/>
  <c r="S21" i="8"/>
  <c r="Q21" i="8"/>
  <c r="P21" i="8"/>
  <c r="O21" i="8"/>
  <c r="W20" i="8"/>
  <c r="S20" i="8"/>
  <c r="Q20" i="8"/>
  <c r="P20" i="8"/>
  <c r="O20" i="8"/>
  <c r="W19" i="8"/>
  <c r="S19" i="8"/>
  <c r="Q19" i="8"/>
  <c r="P19" i="8"/>
  <c r="O19" i="8"/>
  <c r="W18" i="8"/>
  <c r="S18" i="8"/>
  <c r="Q18" i="8"/>
  <c r="P18" i="8"/>
  <c r="O18" i="8"/>
  <c r="W17" i="8"/>
  <c r="S17" i="8"/>
  <c r="Q17" i="8"/>
  <c r="P17" i="8"/>
  <c r="O17" i="8"/>
  <c r="W16" i="8"/>
  <c r="S16" i="8"/>
  <c r="Q16" i="8"/>
  <c r="P16" i="8"/>
  <c r="O16" i="8"/>
  <c r="W15" i="8"/>
  <c r="S15" i="8"/>
  <c r="Q15" i="8"/>
  <c r="P15" i="8"/>
  <c r="O15" i="8"/>
  <c r="W14" i="8"/>
  <c r="S14" i="8"/>
  <c r="Q14" i="8"/>
  <c r="P14" i="8"/>
  <c r="O14" i="8"/>
  <c r="W13" i="8"/>
  <c r="S13" i="8"/>
  <c r="Q13" i="8"/>
  <c r="P13" i="8"/>
  <c r="O13" i="8"/>
  <c r="W12" i="8"/>
  <c r="S12" i="8"/>
  <c r="Q12" i="8"/>
  <c r="P12" i="8"/>
  <c r="O12" i="8"/>
  <c r="W11" i="8"/>
  <c r="S11" i="8"/>
  <c r="Q11" i="8"/>
  <c r="P11" i="8"/>
  <c r="O11" i="8"/>
  <c r="W10" i="8"/>
  <c r="S10" i="8"/>
  <c r="Q10" i="8"/>
  <c r="P10" i="8"/>
  <c r="O10" i="8"/>
  <c r="W9" i="8"/>
  <c r="S9" i="8"/>
  <c r="Q9" i="8"/>
  <c r="P9" i="8"/>
  <c r="O9" i="8"/>
  <c r="W8" i="8"/>
  <c r="S8" i="8"/>
  <c r="Q8" i="8"/>
  <c r="P8" i="8"/>
  <c r="O8" i="8"/>
  <c r="W7" i="8"/>
  <c r="S7" i="8"/>
  <c r="Q7" i="8"/>
  <c r="P7" i="8"/>
  <c r="O7" i="8"/>
  <c r="W6" i="8"/>
  <c r="S6" i="8"/>
  <c r="Q6" i="8"/>
  <c r="P6" i="8"/>
  <c r="O6" i="8"/>
  <c r="Y205" i="8"/>
  <c r="X205" i="8"/>
  <c r="W205" i="8"/>
  <c r="S205" i="8"/>
  <c r="Q205" i="8"/>
  <c r="P205" i="8"/>
  <c r="O205" i="8"/>
  <c r="AF10" i="19"/>
  <c r="AF9" i="19"/>
  <c r="AF8" i="19"/>
  <c r="AS84" i="8"/>
  <c r="AS91" i="8"/>
  <c r="AQ104" i="8"/>
  <c r="AS116" i="8"/>
  <c r="AS120" i="8"/>
  <c r="AU121" i="8"/>
  <c r="AS127" i="8"/>
  <c r="X86" i="8"/>
  <c r="X87" i="8"/>
  <c r="Y87" i="8"/>
  <c r="AE10" i="11"/>
  <c r="AE9" i="11"/>
  <c r="AE8" i="11"/>
  <c r="B12" i="12"/>
  <c r="B101" i="11" s="1"/>
  <c r="B110" i="11" s="1"/>
  <c r="B119" i="11" s="1"/>
  <c r="B128" i="11" s="1"/>
  <c r="B137" i="11" s="1"/>
  <c r="B146" i="11" s="1"/>
  <c r="B11" i="12"/>
  <c r="B100" i="11" s="1"/>
  <c r="B109" i="11" s="1"/>
  <c r="B118" i="11" s="1"/>
  <c r="B127" i="11" s="1"/>
  <c r="B136" i="11" s="1"/>
  <c r="B145" i="11" s="1"/>
  <c r="B8" i="12"/>
  <c r="B85" i="19" s="1"/>
  <c r="B94" i="19" s="1"/>
  <c r="B103" i="19" s="1"/>
  <c r="B112" i="19" s="1"/>
  <c r="B121" i="19" s="1"/>
  <c r="B130" i="19" s="1"/>
  <c r="B6" i="12"/>
  <c r="B83" i="19" s="1"/>
  <c r="B92" i="19" s="1"/>
  <c r="B101" i="19" s="1"/>
  <c r="B110" i="19" s="1"/>
  <c r="B119" i="19" s="1"/>
  <c r="B128" i="19" s="1"/>
  <c r="B9" i="12"/>
  <c r="B86" i="19" s="1"/>
  <c r="B95" i="19" s="1"/>
  <c r="B104" i="19" s="1"/>
  <c r="B113" i="19" s="1"/>
  <c r="B122" i="19" s="1"/>
  <c r="B131" i="19" s="1"/>
  <c r="B10" i="12"/>
  <c r="B17" i="12" s="1"/>
  <c r="B24" i="12" s="1"/>
  <c r="B31" i="12" s="1"/>
  <c r="B38" i="12" s="1"/>
  <c r="B45" i="12" s="1"/>
  <c r="B7" i="12"/>
  <c r="B96" i="11" s="1"/>
  <c r="B105" i="11" s="1"/>
  <c r="B114" i="11" s="1"/>
  <c r="B123" i="11" s="1"/>
  <c r="B132" i="11" s="1"/>
  <c r="B141" i="11" s="1"/>
  <c r="G32" i="31"/>
  <c r="E50" i="31"/>
  <c r="E10" i="14" s="1"/>
  <c r="AC7" i="32"/>
  <c r="AC31" i="32"/>
  <c r="AB47" i="32"/>
  <c r="AC18" i="32"/>
  <c r="AC22" i="32"/>
  <c r="AC34" i="32"/>
  <c r="X14" i="8"/>
  <c r="Y30" i="8"/>
  <c r="X38" i="8"/>
  <c r="Y78" i="8"/>
  <c r="AC9" i="32"/>
  <c r="AC17" i="32"/>
  <c r="AC21" i="32"/>
  <c r="AC33" i="32"/>
  <c r="AC37" i="32"/>
  <c r="AC49" i="32"/>
  <c r="X7" i="8"/>
  <c r="X15" i="8"/>
  <c r="Y23" i="8"/>
  <c r="X39" i="8"/>
  <c r="X47" i="8"/>
  <c r="AW103" i="8"/>
  <c r="AB8" i="32"/>
  <c r="AC12" i="32"/>
  <c r="AB20" i="32"/>
  <c r="AB32" i="32"/>
  <c r="AB40" i="32"/>
  <c r="AB44" i="32"/>
  <c r="AC20" i="32"/>
  <c r="AC23" i="32"/>
  <c r="AC44" i="32"/>
  <c r="AC15" i="32"/>
  <c r="AC32" i="32"/>
  <c r="AB31" i="32"/>
  <c r="AC8" i="32"/>
  <c r="AC16" i="32"/>
  <c r="AC24" i="32"/>
  <c r="AB39" i="32"/>
  <c r="AC48" i="32"/>
  <c r="AC11" i="32"/>
  <c r="AC19" i="32"/>
  <c r="AB27" i="32"/>
  <c r="AC40" i="32"/>
  <c r="AB10" i="32"/>
  <c r="AB14" i="32"/>
  <c r="AB18" i="32"/>
  <c r="AB22" i="32"/>
  <c r="AB35" i="32"/>
  <c r="AC42" i="32"/>
  <c r="AB7" i="32"/>
  <c r="AB11" i="32"/>
  <c r="AB15" i="32"/>
  <c r="AB19" i="32"/>
  <c r="AB23" i="32"/>
  <c r="AC28" i="32"/>
  <c r="AC36" i="32"/>
  <c r="AB43" i="32"/>
  <c r="AB51" i="32"/>
  <c r="AB26" i="32"/>
  <c r="AC27" i="32"/>
  <c r="AB30" i="32"/>
  <c r="AB34" i="32"/>
  <c r="AC35" i="32"/>
  <c r="AB38" i="32"/>
  <c r="AC39" i="32"/>
  <c r="AB42" i="32"/>
  <c r="AC43" i="32"/>
  <c r="AB46" i="32"/>
  <c r="AC47" i="32"/>
  <c r="AB50" i="32"/>
  <c r="AC51" i="32"/>
  <c r="AB9" i="32"/>
  <c r="AC10" i="32"/>
  <c r="AB13" i="32"/>
  <c r="AC14" i="32"/>
  <c r="AB17" i="32"/>
  <c r="AB21" i="32"/>
  <c r="AB25" i="32"/>
  <c r="AC26" i="32"/>
  <c r="AB29" i="32"/>
  <c r="AC30" i="32"/>
  <c r="AB33" i="32"/>
  <c r="AB37" i="32"/>
  <c r="AC38" i="32"/>
  <c r="AB41" i="32"/>
  <c r="AB45" i="32"/>
  <c r="AC46" i="32"/>
  <c r="AB49" i="32"/>
  <c r="AC50" i="32"/>
  <c r="AB12" i="32"/>
  <c r="AC13" i="32"/>
  <c r="AB16" i="32"/>
  <c r="AB24" i="32"/>
  <c r="AC25" i="32"/>
  <c r="AB28" i="32"/>
  <c r="AC29" i="32"/>
  <c r="AB36" i="32"/>
  <c r="AC41" i="32"/>
  <c r="AC45" i="32"/>
  <c r="AB48" i="32"/>
  <c r="AC6" i="32"/>
  <c r="Y86" i="8"/>
  <c r="Y46" i="8"/>
  <c r="Y70" i="8"/>
  <c r="AW94" i="8"/>
  <c r="Y62" i="8"/>
  <c r="X78" i="8"/>
  <c r="X54" i="8"/>
  <c r="X70" i="8"/>
  <c r="X46" i="8"/>
  <c r="Y54" i="8"/>
  <c r="X62" i="8"/>
  <c r="AW87" i="8"/>
  <c r="Y53" i="8"/>
  <c r="AW95" i="8"/>
  <c r="AW111" i="8"/>
  <c r="AW119" i="8"/>
  <c r="V45" i="8"/>
  <c r="V53" i="8"/>
  <c r="AW143" i="8"/>
  <c r="AW63" i="8"/>
  <c r="AW47" i="8"/>
  <c r="Y55" i="8"/>
  <c r="X55" i="8"/>
  <c r="Y63" i="8"/>
  <c r="X63" i="8"/>
  <c r="X71" i="8"/>
  <c r="Y71" i="8"/>
  <c r="X79" i="8"/>
  <c r="Y79" i="8"/>
  <c r="AW55" i="8"/>
  <c r="AW71" i="8"/>
  <c r="AW79" i="8"/>
  <c r="Y47" i="8"/>
  <c r="AB6" i="32"/>
  <c r="Y31" i="8"/>
  <c r="AW15" i="8"/>
  <c r="Y15" i="8"/>
  <c r="X23" i="8"/>
  <c r="Y39" i="8"/>
  <c r="X31" i="8"/>
  <c r="Y14" i="8"/>
  <c r="X22" i="8"/>
  <c r="Y38" i="8"/>
  <c r="Y22" i="8"/>
  <c r="X30" i="8"/>
  <c r="AW23" i="8"/>
  <c r="AW31" i="8"/>
  <c r="AW39" i="8"/>
  <c r="Y13" i="8"/>
  <c r="Y37" i="8"/>
  <c r="X29" i="8"/>
  <c r="Y7" i="8"/>
  <c r="Y6" i="8"/>
  <c r="X6" i="8"/>
  <c r="AW7" i="8"/>
  <c r="C53" i="14" l="1"/>
  <c r="C54" i="14"/>
  <c r="G53" i="14"/>
  <c r="G54" i="14"/>
  <c r="G63" i="13"/>
  <c r="G55" i="13"/>
  <c r="C55" i="13"/>
  <c r="C63" i="13"/>
  <c r="E55" i="13"/>
  <c r="E63" i="13"/>
  <c r="AW153" i="32"/>
  <c r="BU117" i="8"/>
  <c r="AY117" i="8"/>
  <c r="AY70" i="8"/>
  <c r="BU70" i="8"/>
  <c r="BU94" i="8"/>
  <c r="AY94" i="8"/>
  <c r="AY118" i="8"/>
  <c r="BU118" i="8"/>
  <c r="AY142" i="8"/>
  <c r="BU142" i="8"/>
  <c r="AY83" i="8"/>
  <c r="BU83" i="8"/>
  <c r="AY60" i="8"/>
  <c r="BU60" i="8"/>
  <c r="AY72" i="8"/>
  <c r="BU72" i="8"/>
  <c r="AY84" i="8"/>
  <c r="BU84" i="8"/>
  <c r="AY96" i="8"/>
  <c r="BU96" i="8"/>
  <c r="AY108" i="8"/>
  <c r="BU108" i="8"/>
  <c r="AY120" i="8"/>
  <c r="BU120" i="8"/>
  <c r="AY132" i="8"/>
  <c r="BU132" i="8"/>
  <c r="AY144" i="8"/>
  <c r="BU144" i="8"/>
  <c r="AY49" i="8"/>
  <c r="BU49" i="8"/>
  <c r="AY61" i="8"/>
  <c r="BU61" i="8"/>
  <c r="AY73" i="8"/>
  <c r="BU73" i="8"/>
  <c r="AY85" i="8"/>
  <c r="BU85" i="8"/>
  <c r="AY97" i="8"/>
  <c r="BU97" i="8"/>
  <c r="AY109" i="8"/>
  <c r="BU109" i="8"/>
  <c r="AY121" i="8"/>
  <c r="BU121" i="8"/>
  <c r="AY133" i="8"/>
  <c r="BU133" i="8"/>
  <c r="AY145" i="8"/>
  <c r="BU145" i="8"/>
  <c r="E44" i="14"/>
  <c r="E53" i="14"/>
  <c r="BU50" i="8"/>
  <c r="AY50" i="8"/>
  <c r="BU62" i="8"/>
  <c r="AY62" i="8"/>
  <c r="AY74" i="8"/>
  <c r="BU74" i="8"/>
  <c r="AY86" i="8"/>
  <c r="BU86" i="8"/>
  <c r="BU98" i="8"/>
  <c r="AY98" i="8"/>
  <c r="BU110" i="8"/>
  <c r="AY110" i="8"/>
  <c r="AY122" i="8"/>
  <c r="BU122" i="8"/>
  <c r="BU134" i="8"/>
  <c r="AY134" i="8"/>
  <c r="AY146" i="8"/>
  <c r="BU146" i="8"/>
  <c r="BU65" i="8"/>
  <c r="AY65" i="8"/>
  <c r="AY89" i="8"/>
  <c r="BU89" i="8"/>
  <c r="AY125" i="8"/>
  <c r="BU125" i="8"/>
  <c r="AY54" i="8"/>
  <c r="BU54" i="8"/>
  <c r="BU66" i="8"/>
  <c r="AY66" i="8"/>
  <c r="BU78" i="8"/>
  <c r="AY78" i="8"/>
  <c r="AY90" i="8"/>
  <c r="BU90" i="8"/>
  <c r="AY102" i="8"/>
  <c r="BU102" i="8"/>
  <c r="BU114" i="8"/>
  <c r="AY114" i="8"/>
  <c r="AY126" i="8"/>
  <c r="BU126" i="8"/>
  <c r="BU138" i="8"/>
  <c r="AY138" i="8"/>
  <c r="BU150" i="8"/>
  <c r="AY150" i="8"/>
  <c r="BU93" i="8"/>
  <c r="AY93" i="8"/>
  <c r="AY58" i="8"/>
  <c r="BU58" i="8"/>
  <c r="AY106" i="8"/>
  <c r="BU106" i="8"/>
  <c r="AY154" i="8"/>
  <c r="BU154" i="8"/>
  <c r="AY131" i="8"/>
  <c r="BU131" i="8"/>
  <c r="BU51" i="8"/>
  <c r="AY51" i="8"/>
  <c r="AY75" i="8"/>
  <c r="BU75" i="8"/>
  <c r="AY87" i="8"/>
  <c r="BU87" i="8"/>
  <c r="AY111" i="8"/>
  <c r="BU111" i="8"/>
  <c r="AY123" i="8"/>
  <c r="BU123" i="8"/>
  <c r="BU135" i="8"/>
  <c r="AY135" i="8"/>
  <c r="BU147" i="8"/>
  <c r="AY147" i="8"/>
  <c r="BU52" i="8"/>
  <c r="AY52" i="8"/>
  <c r="AY76" i="8"/>
  <c r="BU76" i="8"/>
  <c r="AY100" i="8"/>
  <c r="BU100" i="8"/>
  <c r="BU112" i="8"/>
  <c r="AY112" i="8"/>
  <c r="AY124" i="8"/>
  <c r="BU124" i="8"/>
  <c r="BU136" i="8"/>
  <c r="AY136" i="8"/>
  <c r="BU148" i="8"/>
  <c r="AY148" i="8"/>
  <c r="AY53" i="8"/>
  <c r="BU53" i="8"/>
  <c r="BU77" i="8"/>
  <c r="AY77" i="8"/>
  <c r="AY101" i="8"/>
  <c r="BU101" i="8"/>
  <c r="AY113" i="8"/>
  <c r="BU113" i="8"/>
  <c r="BU137" i="8"/>
  <c r="AY137" i="8"/>
  <c r="BU149" i="8"/>
  <c r="AY149" i="8"/>
  <c r="AY55" i="8"/>
  <c r="BU55" i="8"/>
  <c r="AY67" i="8"/>
  <c r="BU67" i="8"/>
  <c r="BU79" i="8"/>
  <c r="AY79" i="8"/>
  <c r="AY91" i="8"/>
  <c r="BU91" i="8"/>
  <c r="AY103" i="8"/>
  <c r="BU103" i="8"/>
  <c r="AY115" i="8"/>
  <c r="BU115" i="8"/>
  <c r="AY127" i="8"/>
  <c r="BU127" i="8"/>
  <c r="AY139" i="8"/>
  <c r="BU139" i="8"/>
  <c r="BU151" i="8"/>
  <c r="AY151" i="8"/>
  <c r="BU57" i="8"/>
  <c r="AY57" i="8"/>
  <c r="BU69" i="8"/>
  <c r="AY69" i="8"/>
  <c r="BU81" i="8"/>
  <c r="AY81" i="8"/>
  <c r="BU105" i="8"/>
  <c r="AY105" i="8"/>
  <c r="BU129" i="8"/>
  <c r="AY129" i="8"/>
  <c r="BU141" i="8"/>
  <c r="AY141" i="8"/>
  <c r="BU153" i="8"/>
  <c r="AY153" i="8"/>
  <c r="C48" i="13"/>
  <c r="C62" i="13"/>
  <c r="BU82" i="8"/>
  <c r="AY82" i="8"/>
  <c r="AY130" i="8"/>
  <c r="BU130" i="8"/>
  <c r="E48" i="13"/>
  <c r="E62" i="13"/>
  <c r="AY59" i="8"/>
  <c r="BU59" i="8"/>
  <c r="AY71" i="8"/>
  <c r="BU71" i="8"/>
  <c r="AY95" i="8"/>
  <c r="BU95" i="8"/>
  <c r="AY107" i="8"/>
  <c r="BU107" i="8"/>
  <c r="AY119" i="8"/>
  <c r="BU119" i="8"/>
  <c r="AY143" i="8"/>
  <c r="BU143" i="8"/>
  <c r="AY205" i="8"/>
  <c r="BU205" i="8"/>
  <c r="G48" i="13"/>
  <c r="G62" i="13"/>
  <c r="BU63" i="8"/>
  <c r="AY63" i="8"/>
  <c r="AY99" i="8"/>
  <c r="BU99" i="8"/>
  <c r="BU64" i="8"/>
  <c r="AY64" i="8"/>
  <c r="AY88" i="8"/>
  <c r="BU88" i="8"/>
  <c r="BU56" i="8"/>
  <c r="AY56" i="8"/>
  <c r="BU68" i="8"/>
  <c r="AY68" i="8"/>
  <c r="BU80" i="8"/>
  <c r="AY80" i="8"/>
  <c r="BU92" i="8"/>
  <c r="AY92" i="8"/>
  <c r="BU104" i="8"/>
  <c r="AY104" i="8"/>
  <c r="BU116" i="8"/>
  <c r="AY116" i="8"/>
  <c r="BU128" i="8"/>
  <c r="AY128" i="8"/>
  <c r="BU140" i="8"/>
  <c r="AY140" i="8"/>
  <c r="BU152" i="8"/>
  <c r="AY152" i="8"/>
  <c r="H40" i="1"/>
  <c r="H41" i="1" s="1"/>
  <c r="H42" i="1" s="1"/>
  <c r="H43" i="1" s="1"/>
  <c r="I40" i="1"/>
  <c r="I41" i="1" s="1"/>
  <c r="I42" i="1" s="1"/>
  <c r="I43" i="1" s="1"/>
  <c r="AM10" i="32"/>
  <c r="AR10" i="32" s="1"/>
  <c r="AM34" i="32"/>
  <c r="AR34" i="32" s="1"/>
  <c r="C21" i="13"/>
  <c r="C52" i="13"/>
  <c r="E21" i="13"/>
  <c r="E52" i="13"/>
  <c r="G21" i="13"/>
  <c r="G52" i="13"/>
  <c r="C41" i="14"/>
  <c r="C44" i="14"/>
  <c r="G41" i="14"/>
  <c r="G44" i="14"/>
  <c r="AL131" i="32"/>
  <c r="BD46" i="8"/>
  <c r="BD48" i="8"/>
  <c r="BD42" i="8"/>
  <c r="BD39" i="8"/>
  <c r="BD38" i="8"/>
  <c r="BD37" i="8"/>
  <c r="BI37" i="8" s="1"/>
  <c r="BD50" i="8"/>
  <c r="BD49" i="8"/>
  <c r="BD36" i="8"/>
  <c r="BD47" i="8"/>
  <c r="BD45" i="8"/>
  <c r="BD43" i="8"/>
  <c r="BD44" i="8"/>
  <c r="BD40" i="8"/>
  <c r="BD41" i="8"/>
  <c r="BD60" i="8"/>
  <c r="BD51" i="8"/>
  <c r="BD63" i="8"/>
  <c r="BI63" i="8" s="1"/>
  <c r="BD59" i="8"/>
  <c r="BD62" i="8"/>
  <c r="BD58" i="8"/>
  <c r="BD61" i="8"/>
  <c r="BD64" i="8"/>
  <c r="BD57" i="8"/>
  <c r="BD55" i="8"/>
  <c r="BD65" i="8"/>
  <c r="BD56" i="8"/>
  <c r="BD53" i="8"/>
  <c r="BD54" i="8"/>
  <c r="BD52" i="8"/>
  <c r="BI52" i="8" s="1"/>
  <c r="T29" i="31"/>
  <c r="BD70" i="8"/>
  <c r="BD69" i="8"/>
  <c r="BD71" i="8"/>
  <c r="BD72" i="8"/>
  <c r="BD79" i="8"/>
  <c r="BD75" i="8"/>
  <c r="BD74" i="8"/>
  <c r="BD67" i="8"/>
  <c r="BD73" i="8"/>
  <c r="BD66" i="8"/>
  <c r="BD76" i="8"/>
  <c r="BI76" i="8" s="1"/>
  <c r="BD78" i="8"/>
  <c r="BD68" i="8"/>
  <c r="BD77" i="8"/>
  <c r="BD80" i="8"/>
  <c r="C31" i="31"/>
  <c r="C10" i="13" s="1"/>
  <c r="C32" i="31"/>
  <c r="AS300" i="8"/>
  <c r="E32" i="31"/>
  <c r="AW93" i="32"/>
  <c r="BH222" i="8"/>
  <c r="BF222" i="8"/>
  <c r="BH219" i="8"/>
  <c r="BF219" i="8"/>
  <c r="BH18" i="8"/>
  <c r="BF18" i="8"/>
  <c r="BH24" i="8"/>
  <c r="BF24" i="8"/>
  <c r="BH42" i="8"/>
  <c r="BF42" i="8"/>
  <c r="BH48" i="8"/>
  <c r="BF48" i="8"/>
  <c r="BH66" i="8"/>
  <c r="BF66" i="8"/>
  <c r="BH84" i="8"/>
  <c r="BF84" i="8"/>
  <c r="BH90" i="8"/>
  <c r="BF90" i="8"/>
  <c r="BH108" i="8"/>
  <c r="BF108" i="8"/>
  <c r="BH126" i="8"/>
  <c r="BF126" i="8"/>
  <c r="BH132" i="8"/>
  <c r="BF132" i="8"/>
  <c r="BH150" i="8"/>
  <c r="BF150" i="8"/>
  <c r="BH216" i="8"/>
  <c r="BF216" i="8"/>
  <c r="BF262" i="8"/>
  <c r="BH262" i="8"/>
  <c r="BH267" i="8"/>
  <c r="BF267" i="8"/>
  <c r="BH248" i="8"/>
  <c r="BF248" i="8"/>
  <c r="BH293" i="8"/>
  <c r="BF293" i="8"/>
  <c r="BF13" i="8"/>
  <c r="BH13" i="8"/>
  <c r="BF25" i="8"/>
  <c r="BH25" i="8"/>
  <c r="BF37" i="8"/>
  <c r="BH37" i="8"/>
  <c r="BF55" i="8"/>
  <c r="BH55" i="8"/>
  <c r="BF61" i="8"/>
  <c r="BH61" i="8"/>
  <c r="BH73" i="8"/>
  <c r="BF73" i="8"/>
  <c r="BF85" i="8"/>
  <c r="BH85" i="8"/>
  <c r="BH97" i="8"/>
  <c r="BF97" i="8"/>
  <c r="BF109" i="8"/>
  <c r="BH109" i="8"/>
  <c r="BF121" i="8"/>
  <c r="BH121" i="8"/>
  <c r="BF139" i="8"/>
  <c r="BH139" i="8"/>
  <c r="BF145" i="8"/>
  <c r="BH145" i="8"/>
  <c r="BH239" i="8"/>
  <c r="BF239" i="8"/>
  <c r="BH236" i="8"/>
  <c r="BF236" i="8"/>
  <c r="BH230" i="8"/>
  <c r="BF230" i="8"/>
  <c r="BH227" i="8"/>
  <c r="BF227" i="8"/>
  <c r="BH260" i="8"/>
  <c r="BF260" i="8"/>
  <c r="BH291" i="8"/>
  <c r="BF291" i="8"/>
  <c r="BF304" i="8"/>
  <c r="BH304" i="8"/>
  <c r="BH306" i="8"/>
  <c r="BF306" i="8"/>
  <c r="BH221" i="8"/>
  <c r="BF221" i="8"/>
  <c r="BH281" i="8"/>
  <c r="BF281" i="8"/>
  <c r="BH283" i="8"/>
  <c r="BF283" i="8"/>
  <c r="BH26" i="8"/>
  <c r="BF26" i="8"/>
  <c r="BH38" i="8"/>
  <c r="BF38" i="8"/>
  <c r="BH56" i="8"/>
  <c r="BF56" i="8"/>
  <c r="BH74" i="8"/>
  <c r="BF74" i="8"/>
  <c r="BH86" i="8"/>
  <c r="BF86" i="8"/>
  <c r="BH104" i="8"/>
  <c r="BF104" i="8"/>
  <c r="BH122" i="8"/>
  <c r="BF122" i="8"/>
  <c r="BH140" i="8"/>
  <c r="BF140" i="8"/>
  <c r="BH253" i="8"/>
  <c r="BF253" i="8"/>
  <c r="BH215" i="8"/>
  <c r="BF215" i="8"/>
  <c r="BH270" i="8"/>
  <c r="BF270" i="8"/>
  <c r="BH302" i="8"/>
  <c r="BF302" i="8"/>
  <c r="BH250" i="8"/>
  <c r="BF250" i="8"/>
  <c r="BH247" i="8"/>
  <c r="BF247" i="8"/>
  <c r="BH244" i="8"/>
  <c r="BF244" i="8"/>
  <c r="BF268" i="8"/>
  <c r="BH268" i="8"/>
  <c r="BH300" i="8"/>
  <c r="BF300" i="8"/>
  <c r="BH309" i="8"/>
  <c r="BF309" i="8"/>
  <c r="BH36" i="8"/>
  <c r="BF36" i="8"/>
  <c r="BH72" i="8"/>
  <c r="BF72" i="8"/>
  <c r="BH102" i="8"/>
  <c r="BF102" i="8"/>
  <c r="BH144" i="8"/>
  <c r="BF144" i="8"/>
  <c r="BH245" i="8"/>
  <c r="BF245" i="8"/>
  <c r="BF295" i="8"/>
  <c r="BH295" i="8"/>
  <c r="BH7" i="8"/>
  <c r="BF7" i="8"/>
  <c r="BH49" i="8"/>
  <c r="BF49" i="8"/>
  <c r="BF91" i="8"/>
  <c r="BH91" i="8"/>
  <c r="BH127" i="8"/>
  <c r="BF127" i="8"/>
  <c r="BH151" i="8"/>
  <c r="BF151" i="8"/>
  <c r="BH207" i="8"/>
  <c r="BF207" i="8"/>
  <c r="BH287" i="8"/>
  <c r="BF287" i="8"/>
  <c r="BH20" i="8"/>
  <c r="BF20" i="8"/>
  <c r="BH44" i="8"/>
  <c r="BF44" i="8"/>
  <c r="BH68" i="8"/>
  <c r="BF68" i="8"/>
  <c r="BH92" i="8"/>
  <c r="BF92" i="8"/>
  <c r="BH110" i="8"/>
  <c r="BF110" i="8"/>
  <c r="BH128" i="8"/>
  <c r="BF128" i="8"/>
  <c r="BH146" i="8"/>
  <c r="BF146" i="8"/>
  <c r="BH212" i="8"/>
  <c r="BF212" i="8"/>
  <c r="BH9" i="8"/>
  <c r="BF9" i="8"/>
  <c r="BH15" i="8"/>
  <c r="BF15" i="8"/>
  <c r="BH21" i="8"/>
  <c r="BF21" i="8"/>
  <c r="BH27" i="8"/>
  <c r="BF27" i="8"/>
  <c r="BH33" i="8"/>
  <c r="BF33" i="8"/>
  <c r="BH39" i="8"/>
  <c r="BF39" i="8"/>
  <c r="BH45" i="8"/>
  <c r="BF45" i="8"/>
  <c r="BH51" i="8"/>
  <c r="BF51" i="8"/>
  <c r="BH57" i="8"/>
  <c r="BF57" i="8"/>
  <c r="BH63" i="8"/>
  <c r="BF63" i="8"/>
  <c r="BH69" i="8"/>
  <c r="BF69" i="8"/>
  <c r="BH75" i="8"/>
  <c r="BF75" i="8"/>
  <c r="BH81" i="8"/>
  <c r="BF81" i="8"/>
  <c r="BH87" i="8"/>
  <c r="BF87" i="8"/>
  <c r="BH93" i="8"/>
  <c r="BF93" i="8"/>
  <c r="BH99" i="8"/>
  <c r="BF99" i="8"/>
  <c r="BH105" i="8"/>
  <c r="BF105" i="8"/>
  <c r="BH111" i="8"/>
  <c r="BF111" i="8"/>
  <c r="BH117" i="8"/>
  <c r="BF117" i="8"/>
  <c r="BH123" i="8"/>
  <c r="BF123" i="8"/>
  <c r="BH129" i="8"/>
  <c r="BF129" i="8"/>
  <c r="BH135" i="8"/>
  <c r="BF135" i="8"/>
  <c r="BH141" i="8"/>
  <c r="BF141" i="8"/>
  <c r="BH147" i="8"/>
  <c r="BF147" i="8"/>
  <c r="BH153" i="8"/>
  <c r="BF153" i="8"/>
  <c r="BF241" i="8"/>
  <c r="BH241" i="8"/>
  <c r="BF238" i="8"/>
  <c r="BH238" i="8"/>
  <c r="BH235" i="8"/>
  <c r="BF235" i="8"/>
  <c r="BH232" i="8"/>
  <c r="BF232" i="8"/>
  <c r="BF229" i="8"/>
  <c r="BH229" i="8"/>
  <c r="BH226" i="8"/>
  <c r="BF226" i="8"/>
  <c r="BH209" i="8"/>
  <c r="BF209" i="8"/>
  <c r="BH206" i="8"/>
  <c r="BF206" i="8"/>
  <c r="BH263" i="8"/>
  <c r="BF263" i="8"/>
  <c r="BH225" i="8"/>
  <c r="BF225" i="8"/>
  <c r="BH6" i="8"/>
  <c r="BF6" i="8"/>
  <c r="BH30" i="8"/>
  <c r="BF30" i="8"/>
  <c r="BH54" i="8"/>
  <c r="BF54" i="8"/>
  <c r="BH78" i="8"/>
  <c r="BF78" i="8"/>
  <c r="BH96" i="8"/>
  <c r="BF96" i="8"/>
  <c r="BH114" i="8"/>
  <c r="BF114" i="8"/>
  <c r="BH138" i="8"/>
  <c r="BF138" i="8"/>
  <c r="BH213" i="8"/>
  <c r="BF213" i="8"/>
  <c r="BH299" i="8"/>
  <c r="BF299" i="8"/>
  <c r="BH308" i="8"/>
  <c r="BF308" i="8"/>
  <c r="BH297" i="8"/>
  <c r="BF297" i="8"/>
  <c r="BH19" i="8"/>
  <c r="BF19" i="8"/>
  <c r="BF43" i="8"/>
  <c r="BH43" i="8"/>
  <c r="BF79" i="8"/>
  <c r="BH79" i="8"/>
  <c r="BF115" i="8"/>
  <c r="BH115" i="8"/>
  <c r="BH224" i="8"/>
  <c r="BF224" i="8"/>
  <c r="BH218" i="8"/>
  <c r="BF218" i="8"/>
  <c r="BH275" i="8"/>
  <c r="BF275" i="8"/>
  <c r="BH277" i="8"/>
  <c r="BF277" i="8"/>
  <c r="BH279" i="8"/>
  <c r="BF279" i="8"/>
  <c r="BH285" i="8"/>
  <c r="BF285" i="8"/>
  <c r="BF289" i="8"/>
  <c r="BH289" i="8"/>
  <c r="BH14" i="8"/>
  <c r="BF14" i="8"/>
  <c r="BH32" i="8"/>
  <c r="BF32" i="8"/>
  <c r="BH50" i="8"/>
  <c r="BF50" i="8"/>
  <c r="BH80" i="8"/>
  <c r="BF80" i="8"/>
  <c r="BH98" i="8"/>
  <c r="BF98" i="8"/>
  <c r="BH116" i="8"/>
  <c r="BF116" i="8"/>
  <c r="BH134" i="8"/>
  <c r="BF134" i="8"/>
  <c r="BH152" i="8"/>
  <c r="BF152" i="8"/>
  <c r="BF223" i="8"/>
  <c r="BH223" i="8"/>
  <c r="BF220" i="8"/>
  <c r="BH220" i="8"/>
  <c r="BH217" i="8"/>
  <c r="BF217" i="8"/>
  <c r="BH261" i="8"/>
  <c r="BF261" i="8"/>
  <c r="BH292" i="8"/>
  <c r="BF292" i="8"/>
  <c r="BH294" i="8"/>
  <c r="BF294" i="8"/>
  <c r="BH296" i="8"/>
  <c r="BF296" i="8"/>
  <c r="BH298" i="8"/>
  <c r="BF298" i="8"/>
  <c r="BF307" i="8"/>
  <c r="BH307" i="8"/>
  <c r="BH12" i="8"/>
  <c r="BF12" i="8"/>
  <c r="BH60" i="8"/>
  <c r="BF60" i="8"/>
  <c r="BH120" i="8"/>
  <c r="BF120" i="8"/>
  <c r="BH251" i="8"/>
  <c r="BF251" i="8"/>
  <c r="BF31" i="8"/>
  <c r="BH31" i="8"/>
  <c r="BF67" i="8"/>
  <c r="BH67" i="8"/>
  <c r="BF103" i="8"/>
  <c r="BH103" i="8"/>
  <c r="BF133" i="8"/>
  <c r="BH133" i="8"/>
  <c r="BH242" i="8"/>
  <c r="BF242" i="8"/>
  <c r="BH233" i="8"/>
  <c r="BF233" i="8"/>
  <c r="BH210" i="8"/>
  <c r="BF210" i="8"/>
  <c r="BH255" i="8"/>
  <c r="BF255" i="8"/>
  <c r="BH62" i="8"/>
  <c r="BF62" i="8"/>
  <c r="BH10" i="8"/>
  <c r="BF10" i="8"/>
  <c r="BH16" i="8"/>
  <c r="BF16" i="8"/>
  <c r="BH22" i="8"/>
  <c r="BF22" i="8"/>
  <c r="BH28" i="8"/>
  <c r="BF28" i="8"/>
  <c r="BH34" i="8"/>
  <c r="BF34" i="8"/>
  <c r="BH40" i="8"/>
  <c r="BF40" i="8"/>
  <c r="BH46" i="8"/>
  <c r="BF46" i="8"/>
  <c r="BH52" i="8"/>
  <c r="BF52" i="8"/>
  <c r="BF58" i="8"/>
  <c r="BH58" i="8"/>
  <c r="BH64" i="8"/>
  <c r="BF64" i="8"/>
  <c r="BH70" i="8"/>
  <c r="BF70" i="8"/>
  <c r="BF76" i="8"/>
  <c r="BH76" i="8"/>
  <c r="BH82" i="8"/>
  <c r="BF82" i="8"/>
  <c r="BF88" i="8"/>
  <c r="BH88" i="8"/>
  <c r="BH94" i="8"/>
  <c r="BF94" i="8"/>
  <c r="BH100" i="8"/>
  <c r="BF100" i="8"/>
  <c r="BH106" i="8"/>
  <c r="BF106" i="8"/>
  <c r="BH112" i="8"/>
  <c r="BF112" i="8"/>
  <c r="BH118" i="8"/>
  <c r="BF118" i="8"/>
  <c r="BH124" i="8"/>
  <c r="BF124" i="8"/>
  <c r="BF130" i="8"/>
  <c r="BH130" i="8"/>
  <c r="BH136" i="8"/>
  <c r="BF136" i="8"/>
  <c r="BH142" i="8"/>
  <c r="BF142" i="8"/>
  <c r="BF148" i="8"/>
  <c r="BH148" i="8"/>
  <c r="BH154" i="8"/>
  <c r="BF154" i="8"/>
  <c r="BH252" i="8"/>
  <c r="BF252" i="8"/>
  <c r="BH214" i="8"/>
  <c r="BF214" i="8"/>
  <c r="BF256" i="8"/>
  <c r="BH256" i="8"/>
  <c r="BH305" i="8"/>
  <c r="BF305" i="8"/>
  <c r="BH249" i="8"/>
  <c r="BF249" i="8"/>
  <c r="BH246" i="8"/>
  <c r="BF246" i="8"/>
  <c r="BH254" i="8"/>
  <c r="BF254" i="8"/>
  <c r="BH276" i="8"/>
  <c r="BF276" i="8"/>
  <c r="BH278" i="8"/>
  <c r="BF278" i="8"/>
  <c r="BF280" i="8"/>
  <c r="BH280" i="8"/>
  <c r="BH282" i="8"/>
  <c r="BF282" i="8"/>
  <c r="BH284" i="8"/>
  <c r="BF284" i="8"/>
  <c r="BF286" i="8"/>
  <c r="BH286" i="8"/>
  <c r="BH288" i="8"/>
  <c r="BF288" i="8"/>
  <c r="BH290" i="8"/>
  <c r="BF290" i="8"/>
  <c r="BH303" i="8"/>
  <c r="BF303" i="8"/>
  <c r="BH11" i="8"/>
  <c r="BF11" i="8"/>
  <c r="BH17" i="8"/>
  <c r="BF17" i="8"/>
  <c r="BH23" i="8"/>
  <c r="BF23" i="8"/>
  <c r="BH29" i="8"/>
  <c r="BF29" i="8"/>
  <c r="BH35" i="8"/>
  <c r="BF35" i="8"/>
  <c r="BH41" i="8"/>
  <c r="BF41" i="8"/>
  <c r="BH47" i="8"/>
  <c r="BF47" i="8"/>
  <c r="BH53" i="8"/>
  <c r="BF53" i="8"/>
  <c r="BH59" i="8"/>
  <c r="BF59" i="8"/>
  <c r="BH65" i="8"/>
  <c r="BF65" i="8"/>
  <c r="BH71" i="8"/>
  <c r="BF71" i="8"/>
  <c r="BH77" i="8"/>
  <c r="BF77" i="8"/>
  <c r="BH83" i="8"/>
  <c r="BF83" i="8"/>
  <c r="BH89" i="8"/>
  <c r="BF89" i="8"/>
  <c r="BH95" i="8"/>
  <c r="BF95" i="8"/>
  <c r="BH101" i="8"/>
  <c r="BF101" i="8"/>
  <c r="BH107" i="8"/>
  <c r="BF107" i="8"/>
  <c r="BH113" i="8"/>
  <c r="BF113" i="8"/>
  <c r="BH119" i="8"/>
  <c r="BF119" i="8"/>
  <c r="BH125" i="8"/>
  <c r="BF125" i="8"/>
  <c r="BH131" i="8"/>
  <c r="BF131" i="8"/>
  <c r="BH137" i="8"/>
  <c r="BF137" i="8"/>
  <c r="BH143" i="8"/>
  <c r="BF143" i="8"/>
  <c r="BH149" i="8"/>
  <c r="BF149" i="8"/>
  <c r="BF205" i="8"/>
  <c r="BH205" i="8"/>
  <c r="BH243" i="8"/>
  <c r="BF243" i="8"/>
  <c r="BH240" i="8"/>
  <c r="BF240" i="8"/>
  <c r="BH237" i="8"/>
  <c r="BF237" i="8"/>
  <c r="BH234" i="8"/>
  <c r="BF234" i="8"/>
  <c r="BH231" i="8"/>
  <c r="BF231" i="8"/>
  <c r="BH228" i="8"/>
  <c r="BF228" i="8"/>
  <c r="BH211" i="8"/>
  <c r="BF211" i="8"/>
  <c r="BF208" i="8"/>
  <c r="BH208" i="8"/>
  <c r="BH269" i="8"/>
  <c r="BF269" i="8"/>
  <c r="BF274" i="8"/>
  <c r="BH274" i="8"/>
  <c r="BF301" i="8"/>
  <c r="BH301" i="8"/>
  <c r="BH310" i="8"/>
  <c r="BF310" i="8"/>
  <c r="BF8" i="8"/>
  <c r="BH8" i="8"/>
  <c r="C4" i="14"/>
  <c r="AS97" i="8"/>
  <c r="AS83" i="8"/>
  <c r="AS205" i="8"/>
  <c r="AU105" i="8"/>
  <c r="AS93" i="8"/>
  <c r="AS81" i="8"/>
  <c r="AS125" i="8"/>
  <c r="AS89" i="8"/>
  <c r="AU124" i="8"/>
  <c r="G35" i="14"/>
  <c r="G46" i="14"/>
  <c r="G22" i="14"/>
  <c r="G15" i="14"/>
  <c r="G28" i="14"/>
  <c r="G45" i="14"/>
  <c r="G30" i="14"/>
  <c r="AN18" i="32"/>
  <c r="AZ18" i="32" s="1"/>
  <c r="G24" i="14"/>
  <c r="G27" i="14"/>
  <c r="G26" i="14"/>
  <c r="G20" i="14"/>
  <c r="AM30" i="32"/>
  <c r="AR30" i="32" s="1"/>
  <c r="AL126" i="32"/>
  <c r="AT28" i="32"/>
  <c r="AQ308" i="8"/>
  <c r="AT149" i="32"/>
  <c r="G13" i="14"/>
  <c r="G21" i="14"/>
  <c r="AT128" i="32"/>
  <c r="AX107" i="32"/>
  <c r="AN114" i="32"/>
  <c r="AZ114" i="32" s="1"/>
  <c r="AM150" i="32"/>
  <c r="AR150" i="32" s="1"/>
  <c r="G31" i="14"/>
  <c r="AV128" i="32"/>
  <c r="AT107" i="32"/>
  <c r="AQ135" i="8"/>
  <c r="AJ135" i="8"/>
  <c r="AO135" i="8" s="1"/>
  <c r="BA46" i="32"/>
  <c r="AX87" i="32"/>
  <c r="AU133" i="8"/>
  <c r="AJ142" i="8"/>
  <c r="AO142" i="8" s="1"/>
  <c r="AV149" i="32"/>
  <c r="C39" i="13"/>
  <c r="AQ132" i="8"/>
  <c r="AT49" i="32"/>
  <c r="AS267" i="8"/>
  <c r="AW154" i="8"/>
  <c r="C24" i="13"/>
  <c r="AJ146" i="8"/>
  <c r="AO146" i="8" s="1"/>
  <c r="G19" i="14"/>
  <c r="AN54" i="32"/>
  <c r="AZ54" i="32" s="1"/>
  <c r="AJ151" i="8"/>
  <c r="AO151" i="8" s="1"/>
  <c r="G34" i="14"/>
  <c r="C18" i="13"/>
  <c r="AQ140" i="8"/>
  <c r="AS221" i="8"/>
  <c r="AL19" i="32"/>
  <c r="G11" i="14"/>
  <c r="C15" i="13"/>
  <c r="AV138" i="32"/>
  <c r="AJ150" i="8"/>
  <c r="AO150" i="8" s="1"/>
  <c r="G39" i="14"/>
  <c r="AW135" i="8"/>
  <c r="G16" i="14"/>
  <c r="C31" i="13"/>
  <c r="AX138" i="32"/>
  <c r="G37" i="14"/>
  <c r="AW243" i="8"/>
  <c r="AW211" i="8"/>
  <c r="AN117" i="32"/>
  <c r="AZ117" i="32" s="1"/>
  <c r="C35" i="13"/>
  <c r="C11" i="13"/>
  <c r="AX49" i="32"/>
  <c r="AW151" i="8"/>
  <c r="G40" i="14"/>
  <c r="AQ139" i="8"/>
  <c r="AN93" i="32"/>
  <c r="AZ93" i="32" s="1"/>
  <c r="G17" i="14"/>
  <c r="C17" i="13"/>
  <c r="AT130" i="32"/>
  <c r="G38" i="14"/>
  <c r="AW279" i="8"/>
  <c r="G18" i="14"/>
  <c r="AW127" i="8"/>
  <c r="G43" i="14"/>
  <c r="BD245" i="8"/>
  <c r="AV131" i="32"/>
  <c r="G33" i="14"/>
  <c r="AQ136" i="8"/>
  <c r="AW286" i="8"/>
  <c r="AS100" i="8"/>
  <c r="AS123" i="8"/>
  <c r="AU151" i="8"/>
  <c r="BK46" i="32"/>
  <c r="BK75" i="32"/>
  <c r="AJ134" i="8"/>
  <c r="AO134" i="8" s="1"/>
  <c r="AQ276" i="8"/>
  <c r="AM53" i="32"/>
  <c r="AR53" i="32" s="1"/>
  <c r="AS144" i="8"/>
  <c r="AU178" i="8"/>
  <c r="AU161" i="8"/>
  <c r="AU158" i="8"/>
  <c r="AU173" i="8"/>
  <c r="AU171" i="8"/>
  <c r="AU187" i="8"/>
  <c r="AU180" i="8"/>
  <c r="AU163" i="8"/>
  <c r="AU195" i="8"/>
  <c r="AU202" i="8"/>
  <c r="AU159" i="8"/>
  <c r="AU170" i="8"/>
  <c r="AU172" i="8"/>
  <c r="AU162" i="8"/>
  <c r="AU203" i="8"/>
  <c r="AU193" i="8"/>
  <c r="AU196" i="8"/>
  <c r="AU168" i="8"/>
  <c r="AU186" i="8"/>
  <c r="AU166" i="8"/>
  <c r="AU176" i="8"/>
  <c r="AU200" i="8"/>
  <c r="AU164" i="8"/>
  <c r="AU175" i="8"/>
  <c r="AU165" i="8"/>
  <c r="AU177" i="8"/>
  <c r="AU199" i="8"/>
  <c r="AU190" i="8"/>
  <c r="AU156" i="8"/>
  <c r="AU167" i="8"/>
  <c r="AU188" i="8"/>
  <c r="AU169" i="8"/>
  <c r="AU183" i="8"/>
  <c r="AU160" i="8"/>
  <c r="AU184" i="8"/>
  <c r="AU204" i="8"/>
  <c r="AU174" i="8"/>
  <c r="AU201" i="8"/>
  <c r="AU191" i="8"/>
  <c r="AU185" i="8"/>
  <c r="AU181" i="8"/>
  <c r="AU182" i="8"/>
  <c r="AU189" i="8"/>
  <c r="AU197" i="8"/>
  <c r="AU194" i="8"/>
  <c r="AU198" i="8"/>
  <c r="AU157" i="8"/>
  <c r="AU179" i="8"/>
  <c r="AU192" i="8"/>
  <c r="AU155" i="8"/>
  <c r="AS131" i="8"/>
  <c r="AS181" i="8"/>
  <c r="AS179" i="8"/>
  <c r="AS183" i="8"/>
  <c r="AS178" i="8"/>
  <c r="AS193" i="8"/>
  <c r="AS176" i="8"/>
  <c r="AS174" i="8"/>
  <c r="AS155" i="8"/>
  <c r="AS157" i="8"/>
  <c r="AS185" i="8"/>
  <c r="AS187" i="8"/>
  <c r="AS203" i="8"/>
  <c r="AS177" i="8"/>
  <c r="AS184" i="8"/>
  <c r="AS182" i="8"/>
  <c r="AS161" i="8"/>
  <c r="AS158" i="8"/>
  <c r="AS195" i="8"/>
  <c r="AS204" i="8"/>
  <c r="AS192" i="8"/>
  <c r="AS166" i="8"/>
  <c r="AS156" i="8"/>
  <c r="AS194" i="8"/>
  <c r="AS173" i="8"/>
  <c r="AS191" i="8"/>
  <c r="AS180" i="8"/>
  <c r="AS175" i="8"/>
  <c r="AS198" i="8"/>
  <c r="AS197" i="8"/>
  <c r="AS165" i="8"/>
  <c r="AS172" i="8"/>
  <c r="AS186" i="8"/>
  <c r="AS170" i="8"/>
  <c r="AS188" i="8"/>
  <c r="AS199" i="8"/>
  <c r="AS160" i="8"/>
  <c r="AS202" i="8"/>
  <c r="AS162" i="8"/>
  <c r="AS171" i="8"/>
  <c r="AS196" i="8"/>
  <c r="AS163" i="8"/>
  <c r="AS200" i="8"/>
  <c r="AS168" i="8"/>
  <c r="AS159" i="8"/>
  <c r="AS167" i="8"/>
  <c r="AS201" i="8"/>
  <c r="AS190" i="8"/>
  <c r="AS189" i="8"/>
  <c r="AS164" i="8"/>
  <c r="AS169" i="8"/>
  <c r="AJ143" i="8"/>
  <c r="AO143" i="8" s="1"/>
  <c r="AT135" i="32"/>
  <c r="AI165" i="8"/>
  <c r="AI187" i="8"/>
  <c r="AI202" i="8"/>
  <c r="AI194" i="8"/>
  <c r="AI197" i="8"/>
  <c r="AI199" i="8"/>
  <c r="AI196" i="8"/>
  <c r="AI200" i="8"/>
  <c r="AI163" i="8"/>
  <c r="AI156" i="8"/>
  <c r="AI157" i="8"/>
  <c r="AI171" i="8"/>
  <c r="AI186" i="8"/>
  <c r="AI190" i="8"/>
  <c r="AI174" i="8"/>
  <c r="AI203" i="8"/>
  <c r="AI180" i="8"/>
  <c r="AI192" i="8"/>
  <c r="AI195" i="8"/>
  <c r="AI177" i="8"/>
  <c r="AI179" i="8"/>
  <c r="AI185" i="8"/>
  <c r="AI193" i="8"/>
  <c r="AI198" i="8"/>
  <c r="AI182" i="8"/>
  <c r="AI168" i="8"/>
  <c r="AI184" i="8"/>
  <c r="AI204" i="8"/>
  <c r="AI189" i="8"/>
  <c r="AI181" i="8"/>
  <c r="AI164" i="8"/>
  <c r="AI175" i="8"/>
  <c r="AI158" i="8"/>
  <c r="AI162" i="8"/>
  <c r="AI173" i="8"/>
  <c r="AI167" i="8"/>
  <c r="AI161" i="8"/>
  <c r="AI191" i="8"/>
  <c r="AI169" i="8"/>
  <c r="AI170" i="8"/>
  <c r="AI172" i="8"/>
  <c r="AI178" i="8"/>
  <c r="AI201" i="8"/>
  <c r="AI155" i="8"/>
  <c r="AI176" i="8"/>
  <c r="AI159" i="8"/>
  <c r="AI160" i="8"/>
  <c r="AI183" i="8"/>
  <c r="AI166" i="8"/>
  <c r="AI188" i="8"/>
  <c r="AI151" i="8"/>
  <c r="AI146" i="8"/>
  <c r="AI141" i="8"/>
  <c r="AI148" i="8"/>
  <c r="AI149" i="8"/>
  <c r="AI134" i="8"/>
  <c r="AI153" i="8"/>
  <c r="AI137" i="8"/>
  <c r="AI132" i="8"/>
  <c r="AI152" i="8"/>
  <c r="AI133" i="8"/>
  <c r="AI139" i="8"/>
  <c r="AI131" i="8"/>
  <c r="AI138" i="8"/>
  <c r="AI144" i="8"/>
  <c r="AI140" i="8"/>
  <c r="AI142" i="8"/>
  <c r="AI136" i="8"/>
  <c r="AI145" i="8"/>
  <c r="AI147" i="8"/>
  <c r="AI143" i="8"/>
  <c r="AI130" i="8"/>
  <c r="AI135" i="8"/>
  <c r="AI154" i="8"/>
  <c r="AI150" i="8"/>
  <c r="AS154" i="8"/>
  <c r="AX135" i="32"/>
  <c r="AV36" i="32"/>
  <c r="AV121" i="32"/>
  <c r="AS141" i="8"/>
  <c r="AS147" i="8"/>
  <c r="AJ157" i="8"/>
  <c r="AO157" i="8" s="1"/>
  <c r="AJ199" i="8"/>
  <c r="AO199" i="8" s="1"/>
  <c r="AJ196" i="8"/>
  <c r="AO196" i="8" s="1"/>
  <c r="AJ200" i="8"/>
  <c r="AO200" i="8" s="1"/>
  <c r="AJ184" i="8"/>
  <c r="AO184" i="8" s="1"/>
  <c r="AJ174" i="8"/>
  <c r="AO174" i="8" s="1"/>
  <c r="AJ160" i="8"/>
  <c r="AO160" i="8" s="1"/>
  <c r="AJ158" i="8"/>
  <c r="AO158" i="8" s="1"/>
  <c r="AJ166" i="8"/>
  <c r="AO166" i="8" s="1"/>
  <c r="AJ178" i="8"/>
  <c r="AO178" i="8" s="1"/>
  <c r="AJ203" i="8"/>
  <c r="AO203" i="8" s="1"/>
  <c r="AJ169" i="8"/>
  <c r="AO169" i="8" s="1"/>
  <c r="AJ163" i="8"/>
  <c r="AO163" i="8" s="1"/>
  <c r="AJ190" i="8"/>
  <c r="AO190" i="8" s="1"/>
  <c r="AJ165" i="8"/>
  <c r="AO165" i="8" s="1"/>
  <c r="AJ186" i="8"/>
  <c r="AO186" i="8" s="1"/>
  <c r="AJ204" i="8"/>
  <c r="AO204" i="8" s="1"/>
  <c r="AJ161" i="8"/>
  <c r="AO161" i="8" s="1"/>
  <c r="AJ170" i="8"/>
  <c r="AO170" i="8" s="1"/>
  <c r="AJ192" i="8"/>
  <c r="AO192" i="8" s="1"/>
  <c r="AJ195" i="8"/>
  <c r="AO195" i="8" s="1"/>
  <c r="AJ181" i="8"/>
  <c r="AO181" i="8" s="1"/>
  <c r="AJ179" i="8"/>
  <c r="AO179" i="8" s="1"/>
  <c r="AJ193" i="8"/>
  <c r="AO193" i="8" s="1"/>
  <c r="AJ198" i="8"/>
  <c r="AO198" i="8" s="1"/>
  <c r="AJ189" i="8"/>
  <c r="AO189" i="8" s="1"/>
  <c r="AJ171" i="8"/>
  <c r="AO171" i="8" s="1"/>
  <c r="AJ172" i="8"/>
  <c r="AO172" i="8" s="1"/>
  <c r="AJ177" i="8"/>
  <c r="AO177" i="8" s="1"/>
  <c r="AJ188" i="8"/>
  <c r="AO188" i="8" s="1"/>
  <c r="AJ168" i="8"/>
  <c r="AO168" i="8" s="1"/>
  <c r="AJ182" i="8"/>
  <c r="AO182" i="8" s="1"/>
  <c r="AJ164" i="8"/>
  <c r="AO164" i="8" s="1"/>
  <c r="AJ156" i="8"/>
  <c r="AO156" i="8" s="1"/>
  <c r="AJ185" i="8"/>
  <c r="AO185" i="8" s="1"/>
  <c r="AJ176" i="8"/>
  <c r="AO176" i="8" s="1"/>
  <c r="AJ194" i="8"/>
  <c r="AO194" i="8" s="1"/>
  <c r="AJ183" i="8"/>
  <c r="AO183" i="8" s="1"/>
  <c r="AJ155" i="8"/>
  <c r="AO155" i="8" s="1"/>
  <c r="AJ191" i="8"/>
  <c r="AO191" i="8" s="1"/>
  <c r="AJ175" i="8"/>
  <c r="AO175" i="8" s="1"/>
  <c r="AJ180" i="8"/>
  <c r="AO180" i="8" s="1"/>
  <c r="AJ202" i="8"/>
  <c r="AO202" i="8" s="1"/>
  <c r="AJ159" i="8"/>
  <c r="AO159" i="8" s="1"/>
  <c r="AJ167" i="8"/>
  <c r="AO167" i="8" s="1"/>
  <c r="AJ197" i="8"/>
  <c r="AO197" i="8" s="1"/>
  <c r="AJ162" i="8"/>
  <c r="AO162" i="8" s="1"/>
  <c r="AJ187" i="8"/>
  <c r="AO187" i="8" s="1"/>
  <c r="AJ201" i="8"/>
  <c r="AO201" i="8" s="1"/>
  <c r="AJ173" i="8"/>
  <c r="AO173" i="8" s="1"/>
  <c r="AQ256" i="8"/>
  <c r="AQ184" i="8"/>
  <c r="AQ193" i="8"/>
  <c r="AQ170" i="8"/>
  <c r="AQ174" i="8"/>
  <c r="AQ178" i="8"/>
  <c r="AQ159" i="8"/>
  <c r="AQ158" i="8"/>
  <c r="AQ186" i="8"/>
  <c r="AQ160" i="8"/>
  <c r="AQ196" i="8"/>
  <c r="AQ190" i="8"/>
  <c r="AQ166" i="8"/>
  <c r="AQ169" i="8"/>
  <c r="AQ157" i="8"/>
  <c r="AQ188" i="8"/>
  <c r="AQ179" i="8"/>
  <c r="AQ173" i="8"/>
  <c r="AQ204" i="8"/>
  <c r="AQ163" i="8"/>
  <c r="AQ172" i="8"/>
  <c r="AQ200" i="8"/>
  <c r="AQ197" i="8"/>
  <c r="AQ168" i="8"/>
  <c r="AQ167" i="8"/>
  <c r="AQ199" i="8"/>
  <c r="AQ194" i="8"/>
  <c r="AQ155" i="8"/>
  <c r="AQ162" i="8"/>
  <c r="AQ164" i="8"/>
  <c r="AQ198" i="8"/>
  <c r="AQ195" i="8"/>
  <c r="AQ161" i="8"/>
  <c r="AQ171" i="8"/>
  <c r="AQ183" i="8"/>
  <c r="AQ182" i="8"/>
  <c r="AQ189" i="8"/>
  <c r="AQ203" i="8"/>
  <c r="AQ181" i="8"/>
  <c r="AQ177" i="8"/>
  <c r="AQ192" i="8"/>
  <c r="AQ180" i="8"/>
  <c r="AQ156" i="8"/>
  <c r="AQ202" i="8"/>
  <c r="AQ191" i="8"/>
  <c r="AQ175" i="8"/>
  <c r="AQ176" i="8"/>
  <c r="AQ187" i="8"/>
  <c r="AQ201" i="8"/>
  <c r="AQ165" i="8"/>
  <c r="AQ185" i="8"/>
  <c r="M143" i="8"/>
  <c r="M135" i="8"/>
  <c r="M151" i="8"/>
  <c r="M150" i="8"/>
  <c r="C23" i="13"/>
  <c r="C41" i="13"/>
  <c r="C20" i="13"/>
  <c r="C33" i="13"/>
  <c r="C13" i="13"/>
  <c r="C45" i="13"/>
  <c r="C26" i="13"/>
  <c r="C30" i="13"/>
  <c r="C46" i="13"/>
  <c r="BC124" i="32"/>
  <c r="C40" i="13"/>
  <c r="C16" i="13"/>
  <c r="C28" i="13"/>
  <c r="C38" i="13"/>
  <c r="C51" i="13"/>
  <c r="C19" i="13"/>
  <c r="C34" i="13"/>
  <c r="C12" i="13"/>
  <c r="O19" i="11" s="1"/>
  <c r="P19" i="11" s="1"/>
  <c r="C54" i="13"/>
  <c r="N19" i="11"/>
  <c r="C27" i="13"/>
  <c r="AV122" i="32"/>
  <c r="C27" i="14"/>
  <c r="C13" i="14"/>
  <c r="AT108" i="32"/>
  <c r="C31" i="14"/>
  <c r="AV108" i="32"/>
  <c r="AV101" i="32"/>
  <c r="AT78" i="32"/>
  <c r="BA110" i="32"/>
  <c r="AV78" i="32"/>
  <c r="AT143" i="32"/>
  <c r="AX143" i="32"/>
  <c r="AV38" i="32"/>
  <c r="AX122" i="32"/>
  <c r="BC110" i="32"/>
  <c r="AW110" i="32"/>
  <c r="BL99" i="32"/>
  <c r="BC99" i="32"/>
  <c r="BK55" i="32"/>
  <c r="C17" i="14"/>
  <c r="C30" i="14"/>
  <c r="M51" i="13"/>
  <c r="AJ127" i="8"/>
  <c r="AS228" i="8"/>
  <c r="AS218" i="8"/>
  <c r="C22" i="14"/>
  <c r="AS305" i="8"/>
  <c r="C11" i="14"/>
  <c r="C45" i="14"/>
  <c r="K18" i="13"/>
  <c r="AT37" i="32"/>
  <c r="BK93" i="32"/>
  <c r="M22" i="13"/>
  <c r="AV37" i="32"/>
  <c r="M21" i="13"/>
  <c r="BL93" i="32"/>
  <c r="M15" i="13"/>
  <c r="M31" i="13"/>
  <c r="BA45" i="32"/>
  <c r="BK45" i="32"/>
  <c r="BC146" i="32"/>
  <c r="BK146" i="32"/>
  <c r="AU67" i="32"/>
  <c r="BI146" i="32"/>
  <c r="E35" i="13"/>
  <c r="AJ102" i="8"/>
  <c r="AT104" i="32"/>
  <c r="AJ126" i="8"/>
  <c r="AJ106" i="8"/>
  <c r="E38" i="13"/>
  <c r="E27" i="13"/>
  <c r="E39" i="13"/>
  <c r="AT67" i="32"/>
  <c r="G23" i="13"/>
  <c r="E19" i="13"/>
  <c r="E13" i="13"/>
  <c r="AL50" i="32"/>
  <c r="C37" i="14"/>
  <c r="G41" i="13"/>
  <c r="N27" i="11"/>
  <c r="E17" i="13"/>
  <c r="G16" i="13"/>
  <c r="AT72" i="32"/>
  <c r="E12" i="13"/>
  <c r="O27" i="11" s="1"/>
  <c r="P27" i="11" s="1"/>
  <c r="G17" i="13"/>
  <c r="E20" i="13"/>
  <c r="E33" i="13"/>
  <c r="AL38" i="32"/>
  <c r="E18" i="13"/>
  <c r="E26" i="13"/>
  <c r="AX141" i="32"/>
  <c r="G11" i="13"/>
  <c r="G26" i="13"/>
  <c r="E15" i="13"/>
  <c r="E40" i="13"/>
  <c r="AU285" i="8"/>
  <c r="AI214" i="8"/>
  <c r="AI226" i="8"/>
  <c r="AI238" i="8"/>
  <c r="AI250" i="8"/>
  <c r="AI262" i="8"/>
  <c r="AI274" i="8"/>
  <c r="AI286" i="8"/>
  <c r="AI298" i="8"/>
  <c r="AI310" i="8"/>
  <c r="AI229" i="8"/>
  <c r="AI265" i="8"/>
  <c r="AI301" i="8"/>
  <c r="AI218" i="8"/>
  <c r="AI242" i="8"/>
  <c r="AI278" i="8"/>
  <c r="AI290" i="8"/>
  <c r="AI207" i="8"/>
  <c r="AI255" i="8"/>
  <c r="AI303" i="8"/>
  <c r="AI208" i="8"/>
  <c r="AI244" i="8"/>
  <c r="AI280" i="8"/>
  <c r="AI209" i="8"/>
  <c r="AI245" i="8"/>
  <c r="AI281" i="8"/>
  <c r="AI234" i="8"/>
  <c r="AI282" i="8"/>
  <c r="AI235" i="8"/>
  <c r="AI271" i="8"/>
  <c r="AI307" i="8"/>
  <c r="AI224" i="8"/>
  <c r="AI260" i="8"/>
  <c r="AI308" i="8"/>
  <c r="AI213" i="8"/>
  <c r="AI225" i="8"/>
  <c r="AI273" i="8"/>
  <c r="AI285" i="8"/>
  <c r="AI309" i="8"/>
  <c r="AI215" i="8"/>
  <c r="AI227" i="8"/>
  <c r="AI239" i="8"/>
  <c r="AI251" i="8"/>
  <c r="AI263" i="8"/>
  <c r="AI275" i="8"/>
  <c r="AI287" i="8"/>
  <c r="AI299" i="8"/>
  <c r="AI217" i="8"/>
  <c r="AI253" i="8"/>
  <c r="AI289" i="8"/>
  <c r="AI230" i="8"/>
  <c r="AI266" i="8"/>
  <c r="AI219" i="8"/>
  <c r="AI243" i="8"/>
  <c r="AI279" i="8"/>
  <c r="AI232" i="8"/>
  <c r="AI268" i="8"/>
  <c r="AI292" i="8"/>
  <c r="AI221" i="8"/>
  <c r="AI257" i="8"/>
  <c r="AI305" i="8"/>
  <c r="AI222" i="8"/>
  <c r="AI246" i="8"/>
  <c r="AI270" i="8"/>
  <c r="AI306" i="8"/>
  <c r="AI223" i="8"/>
  <c r="AI259" i="8"/>
  <c r="AI295" i="8"/>
  <c r="AI248" i="8"/>
  <c r="AI272" i="8"/>
  <c r="AI237" i="8"/>
  <c r="AI249" i="8"/>
  <c r="AI261" i="8"/>
  <c r="AI297" i="8"/>
  <c r="AI216" i="8"/>
  <c r="AI228" i="8"/>
  <c r="AI240" i="8"/>
  <c r="AI252" i="8"/>
  <c r="AI264" i="8"/>
  <c r="AI276" i="8"/>
  <c r="AI288" i="8"/>
  <c r="AI300" i="8"/>
  <c r="AI241" i="8"/>
  <c r="AI277" i="8"/>
  <c r="AI206" i="8"/>
  <c r="AI254" i="8"/>
  <c r="AI302" i="8"/>
  <c r="AI231" i="8"/>
  <c r="AI267" i="8"/>
  <c r="AI291" i="8"/>
  <c r="AI220" i="8"/>
  <c r="AI256" i="8"/>
  <c r="AI304" i="8"/>
  <c r="AI233" i="8"/>
  <c r="AI269" i="8"/>
  <c r="AI293" i="8"/>
  <c r="AI210" i="8"/>
  <c r="AI258" i="8"/>
  <c r="AI294" i="8"/>
  <c r="AI211" i="8"/>
  <c r="AI247" i="8"/>
  <c r="AI283" i="8"/>
  <c r="AI212" i="8"/>
  <c r="AI236" i="8"/>
  <c r="AI296" i="8"/>
  <c r="AI284" i="8"/>
  <c r="AI107" i="8"/>
  <c r="AI65" i="8"/>
  <c r="AI16" i="8"/>
  <c r="AI104" i="8"/>
  <c r="AI89" i="8"/>
  <c r="AI50" i="8"/>
  <c r="AI90" i="8"/>
  <c r="AI73" i="8"/>
  <c r="AI67" i="8"/>
  <c r="AI72" i="8"/>
  <c r="AI58" i="8"/>
  <c r="AI62" i="8"/>
  <c r="AI70" i="8"/>
  <c r="AI29" i="8"/>
  <c r="AI118" i="8"/>
  <c r="AI68" i="8"/>
  <c r="AI41" i="8"/>
  <c r="AI38" i="8"/>
  <c r="AI42" i="8"/>
  <c r="AI61" i="8"/>
  <c r="AI19" i="8"/>
  <c r="AI60" i="8"/>
  <c r="AI10" i="8"/>
  <c r="AI84" i="8"/>
  <c r="AI93" i="8"/>
  <c r="AI17" i="8"/>
  <c r="AI82" i="8"/>
  <c r="AI32" i="8"/>
  <c r="AI123" i="8"/>
  <c r="AI26" i="8"/>
  <c r="AI18" i="8"/>
  <c r="AI49" i="8"/>
  <c r="AI102" i="8"/>
  <c r="AI48" i="8"/>
  <c r="AI94" i="8"/>
  <c r="AI31" i="8"/>
  <c r="AI33" i="8"/>
  <c r="AI124" i="8"/>
  <c r="AI81" i="8"/>
  <c r="AI127" i="8"/>
  <c r="AI111" i="8"/>
  <c r="AI14" i="8"/>
  <c r="AI125" i="8"/>
  <c r="AI37" i="8"/>
  <c r="AI6" i="8"/>
  <c r="AI36" i="8"/>
  <c r="AI9" i="8"/>
  <c r="AI74" i="8"/>
  <c r="AI20" i="8"/>
  <c r="AI116" i="8"/>
  <c r="AI112" i="8"/>
  <c r="AI56" i="8"/>
  <c r="AI103" i="8"/>
  <c r="AI75" i="8"/>
  <c r="AI71" i="8"/>
  <c r="AI77" i="8"/>
  <c r="AI25" i="8"/>
  <c r="AI53" i="8"/>
  <c r="AI24" i="8"/>
  <c r="AI126" i="8"/>
  <c r="AI121" i="8"/>
  <c r="AI47" i="8"/>
  <c r="AI69" i="8"/>
  <c r="AI78" i="8"/>
  <c r="AI8" i="8"/>
  <c r="AI108" i="8"/>
  <c r="AI40" i="8"/>
  <c r="AI91" i="8"/>
  <c r="AI28" i="8"/>
  <c r="AI44" i="8"/>
  <c r="AI100" i="8"/>
  <c r="AI95" i="8"/>
  <c r="AI79" i="8"/>
  <c r="AI51" i="8"/>
  <c r="AI46" i="8"/>
  <c r="AI99" i="8"/>
  <c r="AI13" i="8"/>
  <c r="AI87" i="8"/>
  <c r="AI12" i="8"/>
  <c r="AI129" i="8"/>
  <c r="AI117" i="8"/>
  <c r="AI66" i="8"/>
  <c r="AI86" i="8"/>
  <c r="AI57" i="8"/>
  <c r="AI30" i="8"/>
  <c r="AI97" i="8"/>
  <c r="AI23" i="8"/>
  <c r="AI128" i="8"/>
  <c r="AI11" i="8"/>
  <c r="AI115" i="8"/>
  <c r="AI88" i="8"/>
  <c r="AI106" i="8"/>
  <c r="AI55" i="8"/>
  <c r="AI122" i="8"/>
  <c r="AI105" i="8"/>
  <c r="AI63" i="8"/>
  <c r="AI119" i="8"/>
  <c r="AI39" i="8"/>
  <c r="AI83" i="8"/>
  <c r="AI64" i="8"/>
  <c r="AI54" i="8"/>
  <c r="AI96" i="8"/>
  <c r="AI113" i="8"/>
  <c r="AI43" i="8"/>
  <c r="AI76" i="8"/>
  <c r="AI22" i="8"/>
  <c r="AI7" i="8"/>
  <c r="AI110" i="8"/>
  <c r="AI21" i="8"/>
  <c r="AI15" i="8"/>
  <c r="AI34" i="8"/>
  <c r="AI27" i="8"/>
  <c r="AI59" i="8"/>
  <c r="AI114" i="8"/>
  <c r="AI98" i="8"/>
  <c r="AI80" i="8"/>
  <c r="AI120" i="8"/>
  <c r="AI52" i="8"/>
  <c r="AI109" i="8"/>
  <c r="AI35" i="8"/>
  <c r="AI45" i="8"/>
  <c r="AI92" i="8"/>
  <c r="AI85" i="8"/>
  <c r="AI101" i="8"/>
  <c r="G31" i="13"/>
  <c r="N35" i="11"/>
  <c r="E16" i="13"/>
  <c r="E41" i="13"/>
  <c r="AS58" i="32"/>
  <c r="G42" i="13"/>
  <c r="E30" i="13"/>
  <c r="G54" i="13"/>
  <c r="AV81" i="32"/>
  <c r="G15" i="13"/>
  <c r="AJ87" i="8"/>
  <c r="G19" i="13"/>
  <c r="E31" i="13"/>
  <c r="G27" i="13"/>
  <c r="E28" i="13"/>
  <c r="E11" i="13"/>
  <c r="E43" i="13"/>
  <c r="E24" i="13"/>
  <c r="E51" i="13"/>
  <c r="E44" i="13"/>
  <c r="G45" i="13"/>
  <c r="E23" i="13"/>
  <c r="G40" i="13"/>
  <c r="E46" i="13"/>
  <c r="G30" i="13"/>
  <c r="E34" i="13"/>
  <c r="BD224" i="8"/>
  <c r="E45" i="13"/>
  <c r="E54" i="13"/>
  <c r="E42" i="13"/>
  <c r="BJ146" i="32"/>
  <c r="AL46" i="32"/>
  <c r="C26" i="14"/>
  <c r="C35" i="14"/>
  <c r="AN14" i="32"/>
  <c r="AZ14" i="32" s="1"/>
  <c r="C15" i="14"/>
  <c r="C28" i="14"/>
  <c r="C39" i="14"/>
  <c r="AN142" i="32"/>
  <c r="AZ142" i="32" s="1"/>
  <c r="C46" i="14"/>
  <c r="C24" i="14"/>
  <c r="BA146" i="32"/>
  <c r="AQ115" i="8"/>
  <c r="AL62" i="32"/>
  <c r="AL70" i="32"/>
  <c r="C16" i="14"/>
  <c r="C21" i="14"/>
  <c r="C34" i="14"/>
  <c r="BL75" i="32"/>
  <c r="C20" i="14"/>
  <c r="AQ113" i="8"/>
  <c r="AQ41" i="8"/>
  <c r="AN13" i="32"/>
  <c r="AZ13" i="32" s="1"/>
  <c r="C18" i="14"/>
  <c r="AN94" i="32"/>
  <c r="AZ94" i="32" s="1"/>
  <c r="C19" i="14"/>
  <c r="AM110" i="32"/>
  <c r="AR110" i="32" s="1"/>
  <c r="C43" i="14"/>
  <c r="C38" i="14"/>
  <c r="AN110" i="32"/>
  <c r="AZ110" i="32" s="1"/>
  <c r="AL14" i="32"/>
  <c r="C40" i="14"/>
  <c r="C33" i="14"/>
  <c r="M127" i="8"/>
  <c r="M123" i="8"/>
  <c r="BL19" i="32"/>
  <c r="BA19" i="32"/>
  <c r="E49" i="14"/>
  <c r="G49" i="14"/>
  <c r="AQ247" i="8"/>
  <c r="BK64" i="32"/>
  <c r="BC94" i="32"/>
  <c r="BL94" i="32"/>
  <c r="BC133" i="32"/>
  <c r="BC55" i="32"/>
  <c r="BK94" i="32"/>
  <c r="AS153" i="32"/>
  <c r="M30" i="13"/>
  <c r="M57" i="13"/>
  <c r="AW89" i="32"/>
  <c r="AV32" i="32"/>
  <c r="AX81" i="32"/>
  <c r="G35" i="13"/>
  <c r="G12" i="13"/>
  <c r="O35" i="11" s="1"/>
  <c r="P35" i="11" s="1"/>
  <c r="G46" i="13"/>
  <c r="G13" i="13"/>
  <c r="AV153" i="32"/>
  <c r="AT93" i="32"/>
  <c r="AT74" i="32"/>
  <c r="C12" i="14"/>
  <c r="P19" i="19" s="1"/>
  <c r="C49" i="14"/>
  <c r="M23" i="13"/>
  <c r="G24" i="13"/>
  <c r="G33" i="13"/>
  <c r="G39" i="13"/>
  <c r="M18" i="13"/>
  <c r="AS94" i="32"/>
  <c r="AX153" i="32"/>
  <c r="AV93" i="32"/>
  <c r="G28" i="13"/>
  <c r="G34" i="13"/>
  <c r="BD244" i="8"/>
  <c r="G38" i="13"/>
  <c r="M40" i="13"/>
  <c r="M27" i="13"/>
  <c r="G43" i="13"/>
  <c r="AL51" i="32"/>
  <c r="AL11" i="32"/>
  <c r="G20" i="13"/>
  <c r="G18" i="13"/>
  <c r="BD243" i="8"/>
  <c r="M38" i="13"/>
  <c r="G51" i="13"/>
  <c r="M20" i="13"/>
  <c r="AV11" i="32"/>
  <c r="AX89" i="32"/>
  <c r="G44" i="13"/>
  <c r="M12" i="13"/>
  <c r="O53" i="11" s="1"/>
  <c r="P53" i="11" s="1"/>
  <c r="BD221" i="8"/>
  <c r="M39" i="13"/>
  <c r="AY32" i="32"/>
  <c r="AY81" i="32"/>
  <c r="BA151" i="32"/>
  <c r="AQ248" i="8"/>
  <c r="AQ236" i="8"/>
  <c r="BG6" i="32"/>
  <c r="T26" i="31"/>
  <c r="AS139" i="8"/>
  <c r="BD211" i="8"/>
  <c r="T28" i="31"/>
  <c r="AS270" i="8"/>
  <c r="AQ214" i="8"/>
  <c r="AS276" i="8"/>
  <c r="AS247" i="8"/>
  <c r="AU247" i="8"/>
  <c r="AQ232" i="8"/>
  <c r="AU280" i="8"/>
  <c r="AU83" i="32"/>
  <c r="AU128" i="32"/>
  <c r="AW141" i="32"/>
  <c r="AX152" i="32"/>
  <c r="AV86" i="32"/>
  <c r="AS274" i="8"/>
  <c r="AQ310" i="8"/>
  <c r="BL64" i="32"/>
  <c r="BA83" i="32"/>
  <c r="BL20" i="32"/>
  <c r="BC101" i="32"/>
  <c r="AN74" i="32"/>
  <c r="AZ74" i="32" s="1"/>
  <c r="BA64" i="32"/>
  <c r="BA141" i="32"/>
  <c r="AV104" i="32"/>
  <c r="AT117" i="32"/>
  <c r="AL74" i="32"/>
  <c r="BA20" i="32"/>
  <c r="BL83" i="32"/>
  <c r="AN50" i="32"/>
  <c r="AZ50" i="32" s="1"/>
  <c r="BL101" i="32"/>
  <c r="BL141" i="32"/>
  <c r="BK148" i="32"/>
  <c r="AL106" i="32"/>
  <c r="BK128" i="32"/>
  <c r="AM66" i="32"/>
  <c r="AR66" i="32" s="1"/>
  <c r="AU20" i="32"/>
  <c r="AS224" i="8"/>
  <c r="AS216" i="8"/>
  <c r="AS297" i="8"/>
  <c r="BC58" i="32"/>
  <c r="AT45" i="32"/>
  <c r="AV124" i="32"/>
  <c r="AS54" i="32"/>
  <c r="AQ285" i="8"/>
  <c r="AU300" i="8"/>
  <c r="AU248" i="8"/>
  <c r="AU141" i="32"/>
  <c r="BK141" i="32"/>
  <c r="BC141" i="32"/>
  <c r="AS141" i="32"/>
  <c r="AX45" i="32"/>
  <c r="AV33" i="32"/>
  <c r="BK83" i="32"/>
  <c r="AL90" i="32"/>
  <c r="AT33" i="32"/>
  <c r="BA31" i="32"/>
  <c r="AL154" i="32"/>
  <c r="BK70" i="32"/>
  <c r="AM130" i="32"/>
  <c r="AR130" i="32" s="1"/>
  <c r="AM18" i="32"/>
  <c r="AR18" i="32" s="1"/>
  <c r="BK58" i="32"/>
  <c r="AN146" i="32"/>
  <c r="AZ146" i="32" s="1"/>
  <c r="BL70" i="32"/>
  <c r="AM42" i="32"/>
  <c r="AR42" i="32" s="1"/>
  <c r="BK114" i="32"/>
  <c r="BA58" i="32"/>
  <c r="AV34" i="32"/>
  <c r="AT152" i="32"/>
  <c r="E31" i="31"/>
  <c r="E10" i="13" s="1"/>
  <c r="AS81" i="32"/>
  <c r="AS273" i="8"/>
  <c r="AS271" i="8"/>
  <c r="AS272" i="8"/>
  <c r="AS248" i="8"/>
  <c r="AU225" i="8"/>
  <c r="AU211" i="8"/>
  <c r="AV130" i="32"/>
  <c r="BL133" i="32"/>
  <c r="AM19" i="32"/>
  <c r="AR19" i="32" s="1"/>
  <c r="AS135" i="32"/>
  <c r="AU274" i="8"/>
  <c r="AU272" i="8"/>
  <c r="AU271" i="8"/>
  <c r="AU273" i="8"/>
  <c r="BL32" i="32"/>
  <c r="AJ266" i="8"/>
  <c r="AO266" i="8" s="1"/>
  <c r="AJ257" i="8"/>
  <c r="AO257" i="8" s="1"/>
  <c r="AJ273" i="8"/>
  <c r="AO273" i="8" s="1"/>
  <c r="AJ271" i="8"/>
  <c r="AO271" i="8" s="1"/>
  <c r="AJ258" i="8"/>
  <c r="AO258" i="8" s="1"/>
  <c r="AJ272" i="8"/>
  <c r="AO272" i="8" s="1"/>
  <c r="AJ264" i="8"/>
  <c r="AO264" i="8" s="1"/>
  <c r="AJ265" i="8"/>
  <c r="AO265" i="8" s="1"/>
  <c r="AJ259" i="8"/>
  <c r="AO259" i="8" s="1"/>
  <c r="AM107" i="32"/>
  <c r="AR107" i="32" s="1"/>
  <c r="AM35" i="32"/>
  <c r="AR35" i="32" s="1"/>
  <c r="AV46" i="32"/>
  <c r="AL139" i="32"/>
  <c r="AU288" i="8"/>
  <c r="AU259" i="8"/>
  <c r="AU257" i="8"/>
  <c r="AU258" i="8"/>
  <c r="AS245" i="8"/>
  <c r="AS278" i="8"/>
  <c r="AQ286" i="8"/>
  <c r="AS301" i="8"/>
  <c r="AU308" i="8"/>
  <c r="AT46" i="32"/>
  <c r="BD209" i="8"/>
  <c r="AS133" i="32"/>
  <c r="AT116" i="32"/>
  <c r="AN91" i="32"/>
  <c r="AZ91" i="32" s="1"/>
  <c r="AS280" i="8"/>
  <c r="AQ265" i="8"/>
  <c r="AQ264" i="8"/>
  <c r="AQ266" i="8"/>
  <c r="AS251" i="8"/>
  <c r="AQ271" i="8"/>
  <c r="AQ272" i="8"/>
  <c r="AQ273" i="8"/>
  <c r="BK133" i="32"/>
  <c r="BA89" i="32"/>
  <c r="AL83" i="32"/>
  <c r="AX36" i="32"/>
  <c r="AV116" i="32"/>
  <c r="AS265" i="8"/>
  <c r="AS264" i="8"/>
  <c r="AS266" i="8"/>
  <c r="C23" i="14"/>
  <c r="AM123" i="32"/>
  <c r="AR123" i="32" s="1"/>
  <c r="AT97" i="32"/>
  <c r="BA32" i="32"/>
  <c r="AM43" i="32"/>
  <c r="AR43" i="32" s="1"/>
  <c r="BC89" i="32"/>
  <c r="AL75" i="32"/>
  <c r="AU89" i="32"/>
  <c r="AV97" i="32"/>
  <c r="AU264" i="8"/>
  <c r="AU265" i="8"/>
  <c r="AU266" i="8"/>
  <c r="AS257" i="8"/>
  <c r="AS259" i="8"/>
  <c r="AS258" i="8"/>
  <c r="AQ258" i="8"/>
  <c r="AQ257" i="8"/>
  <c r="AQ259" i="8"/>
  <c r="AS208" i="8"/>
  <c r="AV295" i="8"/>
  <c r="AV298" i="8"/>
  <c r="BI248" i="8"/>
  <c r="AQ225" i="8"/>
  <c r="AS260" i="8"/>
  <c r="AU238" i="8"/>
  <c r="AV260" i="8"/>
  <c r="AV263" i="8"/>
  <c r="AU132" i="8"/>
  <c r="AS225" i="8"/>
  <c r="AU286" i="8"/>
  <c r="AS285" i="8"/>
  <c r="AS124" i="8"/>
  <c r="AQ301" i="8"/>
  <c r="AU253" i="8"/>
  <c r="AU301" i="8"/>
  <c r="AU276" i="8"/>
  <c r="K34" i="13"/>
  <c r="K24" i="13"/>
  <c r="K53" i="13"/>
  <c r="K28" i="13"/>
  <c r="K56" i="13"/>
  <c r="C22" i="13"/>
  <c r="K19" i="13"/>
  <c r="K46" i="13"/>
  <c r="E22" i="13"/>
  <c r="K21" i="13"/>
  <c r="G47" i="13"/>
  <c r="G22" i="13"/>
  <c r="K26" i="13"/>
  <c r="AW135" i="32"/>
  <c r="BK115" i="32"/>
  <c r="BC135" i="32"/>
  <c r="BL115" i="32"/>
  <c r="BA77" i="32"/>
  <c r="AU135" i="32"/>
  <c r="BK65" i="32"/>
  <c r="BC77" i="32"/>
  <c r="BL135" i="32"/>
  <c r="BJ149" i="32"/>
  <c r="BC17" i="32"/>
  <c r="BA50" i="32"/>
  <c r="BK77" i="32"/>
  <c r="BK135" i="32"/>
  <c r="BA135" i="32"/>
  <c r="BA17" i="32"/>
  <c r="BA115" i="32"/>
  <c r="BA129" i="32"/>
  <c r="BC67" i="32"/>
  <c r="BC60" i="32"/>
  <c r="AW67" i="32"/>
  <c r="AU110" i="32"/>
  <c r="AU6" i="8"/>
  <c r="AU30" i="8"/>
  <c r="AU7" i="8"/>
  <c r="BL110" i="32"/>
  <c r="AP129" i="8"/>
  <c r="BC16" i="32"/>
  <c r="BK110" i="32"/>
  <c r="AU60" i="32"/>
  <c r="AT137" i="8"/>
  <c r="BL60" i="32"/>
  <c r="BL80" i="32"/>
  <c r="BK67" i="32"/>
  <c r="BL104" i="32"/>
  <c r="BA80" i="32"/>
  <c r="BK80" i="32"/>
  <c r="BK97" i="32"/>
  <c r="BK104" i="32"/>
  <c r="AS231" i="8"/>
  <c r="BI6" i="8"/>
  <c r="AW146" i="32"/>
  <c r="AU114" i="32"/>
  <c r="BL16" i="32"/>
  <c r="AQ238" i="8"/>
  <c r="AQ14" i="8"/>
  <c r="BA16" i="32"/>
  <c r="AQ9" i="8"/>
  <c r="AQ25" i="8"/>
  <c r="BD216" i="8"/>
  <c r="AQ26" i="8"/>
  <c r="AQ35" i="8"/>
  <c r="BK16" i="32"/>
  <c r="AQ260" i="8"/>
  <c r="AU144" i="8"/>
  <c r="AJ138" i="8"/>
  <c r="AO138" i="8" s="1"/>
  <c r="AV43" i="32"/>
  <c r="BA97" i="32"/>
  <c r="BL123" i="32"/>
  <c r="BC151" i="32"/>
  <c r="BD223" i="8"/>
  <c r="AS238" i="8"/>
  <c r="AU94" i="32"/>
  <c r="AU133" i="32"/>
  <c r="AT42" i="32"/>
  <c r="AT43" i="32"/>
  <c r="AX88" i="32"/>
  <c r="AT127" i="32"/>
  <c r="AU278" i="8"/>
  <c r="AU16" i="8"/>
  <c r="AS222" i="8"/>
  <c r="AQ215" i="8"/>
  <c r="AS295" i="8"/>
  <c r="BL97" i="32"/>
  <c r="BC123" i="32"/>
  <c r="BA108" i="32"/>
  <c r="BK151" i="32"/>
  <c r="BD249" i="8"/>
  <c r="BD250" i="8"/>
  <c r="AW133" i="32"/>
  <c r="AV42" i="32"/>
  <c r="AX147" i="32"/>
  <c r="AT133" i="32"/>
  <c r="AX127" i="32"/>
  <c r="AU260" i="8"/>
  <c r="AS60" i="8"/>
  <c r="AV88" i="32"/>
  <c r="BC97" i="32"/>
  <c r="G48" i="14"/>
  <c r="BA123" i="32"/>
  <c r="BD247" i="8"/>
  <c r="AS97" i="32"/>
  <c r="AV133" i="32"/>
  <c r="AT94" i="32"/>
  <c r="AU256" i="8"/>
  <c r="AU10" i="8"/>
  <c r="AU18" i="8"/>
  <c r="AS75" i="8"/>
  <c r="AS67" i="8"/>
  <c r="AU51" i="8"/>
  <c r="AS43" i="8"/>
  <c r="BA53" i="32"/>
  <c r="BD248" i="8"/>
  <c r="AS232" i="8"/>
  <c r="BL151" i="32"/>
  <c r="AS151" i="32"/>
  <c r="AU97" i="32"/>
  <c r="AT120" i="32"/>
  <c r="AV94" i="32"/>
  <c r="AU19" i="8"/>
  <c r="AU27" i="8"/>
  <c r="BC53" i="32"/>
  <c r="BD246" i="8"/>
  <c r="AW97" i="32"/>
  <c r="AV120" i="32"/>
  <c r="AT89" i="32"/>
  <c r="AS73" i="8"/>
  <c r="AS65" i="8"/>
  <c r="AS57" i="8"/>
  <c r="AS49" i="8"/>
  <c r="BD222" i="8"/>
  <c r="BL53" i="32"/>
  <c r="AU29" i="8"/>
  <c r="AS64" i="8"/>
  <c r="Y18" i="8"/>
  <c r="AJ114" i="8"/>
  <c r="AQ100" i="8"/>
  <c r="BC136" i="32"/>
  <c r="BK86" i="32"/>
  <c r="BC86" i="32"/>
  <c r="BD220" i="8"/>
  <c r="M24" i="13"/>
  <c r="M16" i="13"/>
  <c r="M56" i="13"/>
  <c r="AW46" i="32"/>
  <c r="AV40" i="32"/>
  <c r="AX39" i="32"/>
  <c r="AT114" i="32"/>
  <c r="AY40" i="32"/>
  <c r="AY143" i="32"/>
  <c r="BC54" i="32"/>
  <c r="AV39" i="32"/>
  <c r="AQ99" i="8"/>
  <c r="BK136" i="32"/>
  <c r="AQ84" i="8"/>
  <c r="BA136" i="32"/>
  <c r="AS132" i="8"/>
  <c r="M31" i="14"/>
  <c r="BK87" i="32"/>
  <c r="BD218" i="8"/>
  <c r="M26" i="13"/>
  <c r="M13" i="13"/>
  <c r="M49" i="13"/>
  <c r="BA86" i="32"/>
  <c r="M35" i="13"/>
  <c r="AT112" i="32"/>
  <c r="AT121" i="32"/>
  <c r="AT77" i="32"/>
  <c r="AT126" i="32"/>
  <c r="AU115" i="32"/>
  <c r="AU216" i="8"/>
  <c r="AT40" i="32"/>
  <c r="AV126" i="32"/>
  <c r="BL136" i="32"/>
  <c r="AU69" i="32"/>
  <c r="AV112" i="32"/>
  <c r="BC61" i="32"/>
  <c r="BL55" i="32"/>
  <c r="BA61" i="32"/>
  <c r="AQ216" i="8"/>
  <c r="AU224" i="8"/>
  <c r="BD242" i="8"/>
  <c r="M46" i="13"/>
  <c r="M19" i="13"/>
  <c r="M54" i="13"/>
  <c r="M17" i="13"/>
  <c r="AW58" i="32"/>
  <c r="AT141" i="32"/>
  <c r="AX69" i="32"/>
  <c r="BJ110" i="32"/>
  <c r="AS256" i="8"/>
  <c r="AX154" i="32"/>
  <c r="AQ124" i="8"/>
  <c r="BL108" i="32"/>
  <c r="M45" i="13"/>
  <c r="M34" i="13"/>
  <c r="M50" i="13"/>
  <c r="AS110" i="32"/>
  <c r="AT86" i="8"/>
  <c r="AT78" i="8"/>
  <c r="AZ62" i="8"/>
  <c r="AP54" i="8"/>
  <c r="E52" i="14"/>
  <c r="E51" i="14"/>
  <c r="BA70" i="32"/>
  <c r="AN150" i="32"/>
  <c r="AZ150" i="32" s="1"/>
  <c r="M49" i="14"/>
  <c r="AS18" i="8"/>
  <c r="C48" i="14"/>
  <c r="AL88" i="32"/>
  <c r="BL131" i="32"/>
  <c r="AN56" i="32"/>
  <c r="AZ56" i="32" s="1"/>
  <c r="BL132" i="32"/>
  <c r="BC144" i="32"/>
  <c r="AN86" i="32"/>
  <c r="AZ86" i="32" s="1"/>
  <c r="K41" i="13"/>
  <c r="K22" i="13"/>
  <c r="AU241" i="8"/>
  <c r="BD238" i="8"/>
  <c r="K15" i="13"/>
  <c r="K45" i="13"/>
  <c r="K55" i="13"/>
  <c r="K11" i="13"/>
  <c r="AX72" i="32"/>
  <c r="AX117" i="32"/>
  <c r="AT146" i="32"/>
  <c r="AX134" i="32"/>
  <c r="AN104" i="32"/>
  <c r="AZ104" i="32" s="1"/>
  <c r="AS288" i="8"/>
  <c r="AS11" i="8"/>
  <c r="AS42" i="8"/>
  <c r="G52" i="14"/>
  <c r="G51" i="14"/>
  <c r="M33" i="14"/>
  <c r="AU214" i="8"/>
  <c r="AV146" i="32"/>
  <c r="AU229" i="8"/>
  <c r="AU281" i="8"/>
  <c r="AM152" i="32"/>
  <c r="AR152" i="32" s="1"/>
  <c r="AQ91" i="8"/>
  <c r="AN126" i="32"/>
  <c r="AZ126" i="32" s="1"/>
  <c r="BL65" i="32"/>
  <c r="K23" i="13"/>
  <c r="AU123" i="8"/>
  <c r="AN134" i="32"/>
  <c r="AZ134" i="32" s="1"/>
  <c r="AQ10" i="8"/>
  <c r="AQ67" i="8"/>
  <c r="M27" i="14"/>
  <c r="AL86" i="32"/>
  <c r="K40" i="13"/>
  <c r="AS229" i="8"/>
  <c r="K16" i="13"/>
  <c r="K39" i="13"/>
  <c r="K49" i="13"/>
  <c r="AS123" i="32"/>
  <c r="AS146" i="32"/>
  <c r="AV23" i="32"/>
  <c r="AV109" i="32"/>
  <c r="AX146" i="32"/>
  <c r="C42" i="14"/>
  <c r="AU305" i="8"/>
  <c r="AU96" i="8"/>
  <c r="AM144" i="32"/>
  <c r="AR144" i="32" s="1"/>
  <c r="BC65" i="32"/>
  <c r="AL8" i="32"/>
  <c r="BC119" i="32"/>
  <c r="AL22" i="32"/>
  <c r="BL81" i="32"/>
  <c r="BA95" i="32"/>
  <c r="BL144" i="32"/>
  <c r="AM136" i="32"/>
  <c r="AR136" i="32" s="1"/>
  <c r="K13" i="13"/>
  <c r="AM118" i="32"/>
  <c r="AR118" i="32" s="1"/>
  <c r="K31" i="13"/>
  <c r="K38" i="13"/>
  <c r="K54" i="13"/>
  <c r="AU123" i="32"/>
  <c r="AU146" i="32"/>
  <c r="AM46" i="32"/>
  <c r="AR46" i="32" s="1"/>
  <c r="AX109" i="32"/>
  <c r="AX83" i="32"/>
  <c r="AT142" i="32"/>
  <c r="AX123" i="32"/>
  <c r="G42" i="14"/>
  <c r="AN62" i="32"/>
  <c r="AZ62" i="32" s="1"/>
  <c r="AU306" i="8"/>
  <c r="BI152" i="32"/>
  <c r="AS39" i="8"/>
  <c r="AS227" i="8"/>
  <c r="AS220" i="8"/>
  <c r="C60" i="13"/>
  <c r="C53" i="13"/>
  <c r="C61" i="13"/>
  <c r="AM8" i="32"/>
  <c r="AR8" i="32" s="1"/>
  <c r="AM22" i="32"/>
  <c r="AR22" i="32" s="1"/>
  <c r="BK96" i="32"/>
  <c r="BK81" i="32"/>
  <c r="AM112" i="32"/>
  <c r="AR112" i="32" s="1"/>
  <c r="C47" i="14"/>
  <c r="K20" i="13"/>
  <c r="K33" i="13"/>
  <c r="K50" i="13"/>
  <c r="BA131" i="32"/>
  <c r="AU70" i="32"/>
  <c r="AV83" i="32"/>
  <c r="AX142" i="32"/>
  <c r="AS15" i="8"/>
  <c r="AS23" i="8"/>
  <c r="AS31" i="8"/>
  <c r="AQ46" i="8"/>
  <c r="AS38" i="8"/>
  <c r="AY46" i="32"/>
  <c r="M46" i="32" s="1"/>
  <c r="AS249" i="8"/>
  <c r="AS242" i="8"/>
  <c r="AS219" i="8"/>
  <c r="AS206" i="8"/>
  <c r="AU303" i="8"/>
  <c r="AS306" i="8"/>
  <c r="AU310" i="8"/>
  <c r="AL104" i="32"/>
  <c r="AU131" i="32"/>
  <c r="AN38" i="32"/>
  <c r="AZ38" i="32" s="1"/>
  <c r="C4" i="13"/>
  <c r="AN40" i="32"/>
  <c r="AZ40" i="32" s="1"/>
  <c r="K27" i="13"/>
  <c r="AQ231" i="8"/>
  <c r="K57" i="13"/>
  <c r="BL85" i="32"/>
  <c r="AS83" i="32"/>
  <c r="AW70" i="32"/>
  <c r="AS254" i="8"/>
  <c r="AS8" i="8"/>
  <c r="AS37" i="8"/>
  <c r="AN48" i="32"/>
  <c r="AZ48" i="32" s="1"/>
  <c r="AS22" i="8"/>
  <c r="B95" i="11"/>
  <c r="B104" i="11" s="1"/>
  <c r="B113" i="11" s="1"/>
  <c r="B122" i="11" s="1"/>
  <c r="B131" i="11" s="1"/>
  <c r="B140" i="11" s="1"/>
  <c r="BA81" i="32"/>
  <c r="G23" i="14"/>
  <c r="K35" i="13"/>
  <c r="AT154" i="32"/>
  <c r="AV155" i="32"/>
  <c r="AM78" i="32"/>
  <c r="AR78" i="32" s="1"/>
  <c r="K12" i="13"/>
  <c r="O48" i="11" s="1"/>
  <c r="P48" i="11" s="1"/>
  <c r="AL40" i="32"/>
  <c r="G47" i="14"/>
  <c r="AN102" i="32"/>
  <c r="AZ102" i="32" s="1"/>
  <c r="K17" i="13"/>
  <c r="N48" i="11"/>
  <c r="BD241" i="8"/>
  <c r="K51" i="13"/>
  <c r="BC81" i="32"/>
  <c r="AW83" i="32"/>
  <c r="AU152" i="32"/>
  <c r="AL30" i="32"/>
  <c r="AT155" i="32"/>
  <c r="AL118" i="32"/>
  <c r="AS17" i="8"/>
  <c r="AT25" i="8"/>
  <c r="AS33" i="8"/>
  <c r="AQ92" i="8"/>
  <c r="AU24" i="32"/>
  <c r="AU143" i="32"/>
  <c r="C52" i="14"/>
  <c r="C51" i="14"/>
  <c r="BL24" i="32"/>
  <c r="AL129" i="32"/>
  <c r="BA28" i="32"/>
  <c r="AL80" i="32"/>
  <c r="AN152" i="32"/>
  <c r="AZ152" i="32" s="1"/>
  <c r="BC137" i="32"/>
  <c r="AN128" i="32"/>
  <c r="AZ128" i="32" s="1"/>
  <c r="AM48" i="32"/>
  <c r="AR48" i="32" s="1"/>
  <c r="AN72" i="32"/>
  <c r="AZ72" i="32" s="1"/>
  <c r="AM88" i="32"/>
  <c r="AR88" i="32" s="1"/>
  <c r="AM104" i="32"/>
  <c r="AR104" i="32" s="1"/>
  <c r="AL56" i="32"/>
  <c r="AM40" i="32"/>
  <c r="AR40" i="32" s="1"/>
  <c r="BK106" i="32"/>
  <c r="BA144" i="32"/>
  <c r="AL112" i="32"/>
  <c r="AJ122" i="8"/>
  <c r="BL100" i="32"/>
  <c r="Y58" i="8"/>
  <c r="AU298" i="8"/>
  <c r="AU85" i="8"/>
  <c r="X106" i="8"/>
  <c r="Z23" i="8"/>
  <c r="M23" i="8" s="1"/>
  <c r="Z103" i="8"/>
  <c r="M103" i="8" s="1"/>
  <c r="AL120" i="32"/>
  <c r="AL152" i="32"/>
  <c r="BL137" i="32"/>
  <c r="AL128" i="32"/>
  <c r="BC13" i="32"/>
  <c r="AL24" i="32"/>
  <c r="AM72" i="32"/>
  <c r="AR72" i="32" s="1"/>
  <c r="AM113" i="32"/>
  <c r="AR113" i="32" s="1"/>
  <c r="BA85" i="32"/>
  <c r="AN32" i="32"/>
  <c r="AZ32" i="32" s="1"/>
  <c r="BC106" i="32"/>
  <c r="BA149" i="32"/>
  <c r="BA106" i="32"/>
  <c r="AN112" i="32"/>
  <c r="AZ112" i="32" s="1"/>
  <c r="BA100" i="32"/>
  <c r="AU297" i="8"/>
  <c r="BJ144" i="32"/>
  <c r="AU84" i="8"/>
  <c r="Y106" i="8"/>
  <c r="AS298" i="8"/>
  <c r="M31" i="8"/>
  <c r="Z119" i="8"/>
  <c r="M119" i="8" s="1"/>
  <c r="BK12" i="32"/>
  <c r="AM128" i="32"/>
  <c r="AR128" i="32" s="1"/>
  <c r="AM24" i="32"/>
  <c r="AR24" i="32" s="1"/>
  <c r="BC131" i="32"/>
  <c r="AM65" i="32"/>
  <c r="AR65" i="32" s="1"/>
  <c r="BL106" i="32"/>
  <c r="AU295" i="8"/>
  <c r="AZ26" i="8"/>
  <c r="X98" i="8"/>
  <c r="BI232" i="8"/>
  <c r="Z55" i="8"/>
  <c r="M55" i="8" s="1"/>
  <c r="E61" i="13"/>
  <c r="E53" i="13"/>
  <c r="E60" i="13"/>
  <c r="BA137" i="32"/>
  <c r="AZ10" i="8"/>
  <c r="BK11" i="32"/>
  <c r="BL119" i="32"/>
  <c r="AN80" i="32"/>
  <c r="AZ80" i="32" s="1"/>
  <c r="AT10" i="8"/>
  <c r="AN97" i="32"/>
  <c r="AZ97" i="32" s="1"/>
  <c r="AU83" i="8"/>
  <c r="AN64" i="32"/>
  <c r="AZ64" i="32" s="1"/>
  <c r="AM32" i="32"/>
  <c r="AR32" i="32" s="1"/>
  <c r="AJ130" i="8"/>
  <c r="AO130" i="8" s="1"/>
  <c r="AL25" i="32"/>
  <c r="AS74" i="32"/>
  <c r="AU270" i="8"/>
  <c r="Y98" i="8"/>
  <c r="AM9" i="32"/>
  <c r="AR9" i="32" s="1"/>
  <c r="AN33" i="32"/>
  <c r="AZ33" i="32" s="1"/>
  <c r="BK62" i="32"/>
  <c r="AL16" i="32"/>
  <c r="AL72" i="32"/>
  <c r="AM64" i="32"/>
  <c r="AR64" i="32" s="1"/>
  <c r="BL143" i="32"/>
  <c r="AM89" i="32"/>
  <c r="AR89" i="32" s="1"/>
  <c r="BK144" i="32"/>
  <c r="AJ98" i="8"/>
  <c r="AN73" i="32"/>
  <c r="AZ73" i="32" s="1"/>
  <c r="AM121" i="32"/>
  <c r="AR121" i="32" s="1"/>
  <c r="AS131" i="32"/>
  <c r="AU62" i="32"/>
  <c r="BJ106" i="32"/>
  <c r="AS64" i="32"/>
  <c r="BI224" i="8"/>
  <c r="M63" i="8"/>
  <c r="G61" i="13"/>
  <c r="G53" i="13"/>
  <c r="G60" i="13"/>
  <c r="BL62" i="32"/>
  <c r="AN57" i="32"/>
  <c r="AZ57" i="32" s="1"/>
  <c r="AN120" i="32"/>
  <c r="AZ120" i="32" s="1"/>
  <c r="AN105" i="32"/>
  <c r="AZ105" i="32" s="1"/>
  <c r="BC85" i="32"/>
  <c r="AL32" i="32"/>
  <c r="AM145" i="32"/>
  <c r="AR145" i="32" s="1"/>
  <c r="BK8" i="32"/>
  <c r="AL105" i="32"/>
  <c r="BK119" i="32"/>
  <c r="BA119" i="32"/>
  <c r="AN144" i="32"/>
  <c r="AZ144" i="32" s="1"/>
  <c r="AM96" i="32"/>
  <c r="AR96" i="32" s="1"/>
  <c r="AL97" i="32"/>
  <c r="AN9" i="32"/>
  <c r="AZ9" i="32" s="1"/>
  <c r="AL144" i="32"/>
  <c r="AM33" i="32"/>
  <c r="AR33" i="32" s="1"/>
  <c r="AN96" i="32"/>
  <c r="AZ96" i="32" s="1"/>
  <c r="AN8" i="32"/>
  <c r="AZ8" i="32" s="1"/>
  <c r="AJ154" i="8"/>
  <c r="AO154" i="8" s="1"/>
  <c r="AL89" i="32"/>
  <c r="AL136" i="32"/>
  <c r="BK131" i="32"/>
  <c r="AN16" i="32"/>
  <c r="AZ16" i="32" s="1"/>
  <c r="AW131" i="32"/>
  <c r="AM105" i="32"/>
  <c r="AR105" i="32" s="1"/>
  <c r="BJ17" i="32"/>
  <c r="X90" i="8"/>
  <c r="Z71" i="8"/>
  <c r="M71" i="8" s="1"/>
  <c r="AW137" i="32"/>
  <c r="AV255" i="8"/>
  <c r="AV293" i="8"/>
  <c r="AS303" i="8"/>
  <c r="BI225" i="8"/>
  <c r="AV268" i="8"/>
  <c r="AZ81" i="8"/>
  <c r="Z34" i="8"/>
  <c r="AP81" i="8"/>
  <c r="M15" i="8"/>
  <c r="M47" i="8"/>
  <c r="M79" i="8"/>
  <c r="M111" i="8"/>
  <c r="BI251" i="8"/>
  <c r="BI226" i="8"/>
  <c r="AU137" i="8"/>
  <c r="AS253" i="8"/>
  <c r="AQ224" i="8"/>
  <c r="M86" i="8"/>
  <c r="BI209" i="8"/>
  <c r="AP51" i="8"/>
  <c r="AU139" i="8"/>
  <c r="AQ18" i="8"/>
  <c r="M17" i="14"/>
  <c r="BA152" i="32"/>
  <c r="AQ209" i="8"/>
  <c r="AT113" i="32"/>
  <c r="BJ91" i="32"/>
  <c r="BK60" i="32"/>
  <c r="AS152" i="32"/>
  <c r="AT123" i="32"/>
  <c r="AY155" i="32"/>
  <c r="AL94" i="32"/>
  <c r="BA27" i="32"/>
  <c r="BC25" i="32"/>
  <c r="AQ137" i="8"/>
  <c r="AU115" i="8"/>
  <c r="AS26" i="8"/>
  <c r="AL142" i="32"/>
  <c r="BK132" i="32"/>
  <c r="M30" i="14"/>
  <c r="M21" i="14"/>
  <c r="BC152" i="32"/>
  <c r="AM102" i="32"/>
  <c r="AR102" i="32" s="1"/>
  <c r="AU251" i="8"/>
  <c r="AS87" i="32"/>
  <c r="AW152" i="32"/>
  <c r="AT84" i="32"/>
  <c r="AT111" i="32"/>
  <c r="AL78" i="32"/>
  <c r="BJ15" i="32"/>
  <c r="AY97" i="32"/>
  <c r="AY108" i="32"/>
  <c r="AV256" i="8"/>
  <c r="BA26" i="32"/>
  <c r="BK152" i="32"/>
  <c r="AS144" i="32"/>
  <c r="AV84" i="32"/>
  <c r="AX111" i="32"/>
  <c r="AU91" i="8"/>
  <c r="BC15" i="32"/>
  <c r="BL96" i="32"/>
  <c r="AT125" i="32"/>
  <c r="BI15" i="32"/>
  <c r="BA24" i="32"/>
  <c r="BA15" i="32"/>
  <c r="AP145" i="8"/>
  <c r="BK15" i="32"/>
  <c r="AM14" i="32"/>
  <c r="AR14" i="32" s="1"/>
  <c r="AU26" i="8"/>
  <c r="BA96" i="32"/>
  <c r="AS35" i="8"/>
  <c r="AL54" i="32"/>
  <c r="AU131" i="8"/>
  <c r="AU35" i="8"/>
  <c r="AS209" i="8"/>
  <c r="BL152" i="32"/>
  <c r="AS106" i="32"/>
  <c r="AX32" i="32"/>
  <c r="AT69" i="32"/>
  <c r="AM70" i="32"/>
  <c r="AR70" i="32" s="1"/>
  <c r="AS281" i="8"/>
  <c r="BA25" i="32"/>
  <c r="BC24" i="32"/>
  <c r="BL45" i="32"/>
  <c r="BK26" i="32"/>
  <c r="AS62" i="32"/>
  <c r="AT34" i="32"/>
  <c r="AY142" i="32"/>
  <c r="BA13" i="32"/>
  <c r="BK24" i="32"/>
  <c r="BL26" i="32"/>
  <c r="M47" i="14"/>
  <c r="M16" i="14"/>
  <c r="M40" i="14"/>
  <c r="M24" i="14"/>
  <c r="AW123" i="32"/>
  <c r="AW62" i="32"/>
  <c r="AW45" i="32"/>
  <c r="AT100" i="32"/>
  <c r="BI16" i="32"/>
  <c r="AU49" i="8"/>
  <c r="AS293" i="8"/>
  <c r="AY39" i="32"/>
  <c r="AU75" i="32"/>
  <c r="AJ110" i="8"/>
  <c r="AY34" i="32"/>
  <c r="AU252" i="8"/>
  <c r="AV287" i="8"/>
  <c r="BC8" i="32"/>
  <c r="BC63" i="32"/>
  <c r="AU144" i="32"/>
  <c r="AS8" i="32"/>
  <c r="BI11" i="32"/>
  <c r="BA11" i="32"/>
  <c r="BC12" i="32"/>
  <c r="AW74" i="32"/>
  <c r="AU106" i="32"/>
  <c r="AV100" i="32"/>
  <c r="AV125" i="32"/>
  <c r="AV113" i="32"/>
  <c r="BA8" i="32"/>
  <c r="BL88" i="32"/>
  <c r="BL12" i="32"/>
  <c r="BC9" i="32"/>
  <c r="AU92" i="8"/>
  <c r="BL8" i="32"/>
  <c r="BC140" i="32"/>
  <c r="BL63" i="32"/>
  <c r="AS140" i="8"/>
  <c r="BC129" i="32"/>
  <c r="AU33" i="8"/>
  <c r="BK74" i="32"/>
  <c r="AW103" i="32"/>
  <c r="AS23" i="32"/>
  <c r="AW144" i="32"/>
  <c r="AU8" i="32"/>
  <c r="AW106" i="32"/>
  <c r="AX44" i="32"/>
  <c r="AT29" i="32"/>
  <c r="AT106" i="32"/>
  <c r="AV75" i="32"/>
  <c r="I35" i="13"/>
  <c r="AW23" i="32"/>
  <c r="AW140" i="32"/>
  <c r="AW29" i="32"/>
  <c r="AT44" i="32"/>
  <c r="AV29" i="32"/>
  <c r="AV137" i="32"/>
  <c r="AV106" i="32"/>
  <c r="AX75" i="32"/>
  <c r="AV119" i="32"/>
  <c r="BJ98" i="32"/>
  <c r="AY146" i="32"/>
  <c r="BL11" i="32"/>
  <c r="BA140" i="32"/>
  <c r="BK129" i="32"/>
  <c r="BK9" i="32"/>
  <c r="BL7" i="32"/>
  <c r="BL140" i="32"/>
  <c r="BA7" i="32"/>
  <c r="BA9" i="32"/>
  <c r="BL9" i="32"/>
  <c r="AS25" i="8"/>
  <c r="AU116" i="8"/>
  <c r="BK10" i="32"/>
  <c r="BL74" i="32"/>
  <c r="AQ33" i="8"/>
  <c r="BL129" i="32"/>
  <c r="BK140" i="32"/>
  <c r="AX137" i="32"/>
  <c r="BL57" i="32"/>
  <c r="AW10" i="32"/>
  <c r="AU25" i="8"/>
  <c r="AS96" i="8"/>
  <c r="BC10" i="32"/>
  <c r="AQ144" i="8"/>
  <c r="AS136" i="8"/>
  <c r="BC74" i="32"/>
  <c r="BI129" i="32"/>
  <c r="BA10" i="32"/>
  <c r="BC11" i="32"/>
  <c r="BI8" i="32"/>
  <c r="AU75" i="8"/>
  <c r="AS108" i="8"/>
  <c r="AQ299" i="8"/>
  <c r="AU112" i="32"/>
  <c r="AJ119" i="8"/>
  <c r="AS6" i="32"/>
  <c r="AS15" i="32"/>
  <c r="AU221" i="8"/>
  <c r="AS214" i="8"/>
  <c r="AT30" i="32"/>
  <c r="AV30" i="32"/>
  <c r="AU90" i="32"/>
  <c r="BK90" i="32"/>
  <c r="AX150" i="32"/>
  <c r="AT150" i="32"/>
  <c r="AV29" i="8"/>
  <c r="AL148" i="32"/>
  <c r="B16" i="12"/>
  <c r="B23" i="12" s="1"/>
  <c r="B30" i="12" s="1"/>
  <c r="B37" i="12" s="1"/>
  <c r="B44" i="12" s="1"/>
  <c r="AU73" i="8"/>
  <c r="AX18" i="32"/>
  <c r="AX14" i="32"/>
  <c r="AV14" i="32"/>
  <c r="AV115" i="32"/>
  <c r="AW115" i="32"/>
  <c r="AS115" i="32"/>
  <c r="AX115" i="32"/>
  <c r="AT115" i="32"/>
  <c r="BI118" i="32"/>
  <c r="BJ118" i="32"/>
  <c r="BA118" i="32"/>
  <c r="AU76" i="8"/>
  <c r="AU60" i="8"/>
  <c r="AS250" i="8"/>
  <c r="AU250" i="8"/>
  <c r="B98" i="11"/>
  <c r="B107" i="11" s="1"/>
  <c r="B116" i="11" s="1"/>
  <c r="B125" i="11" s="1"/>
  <c r="B134" i="11" s="1"/>
  <c r="B143" i="11" s="1"/>
  <c r="AQ120" i="8"/>
  <c r="AS113" i="8"/>
  <c r="AU67" i="8"/>
  <c r="AU13" i="32"/>
  <c r="AS13" i="32"/>
  <c r="AX13" i="32"/>
  <c r="AU63" i="32"/>
  <c r="BK63" i="32"/>
  <c r="AW63" i="32"/>
  <c r="AS63" i="32"/>
  <c r="AT85" i="32"/>
  <c r="AW85" i="32"/>
  <c r="AS85" i="32"/>
  <c r="AV85" i="32"/>
  <c r="AX85" i="32"/>
  <c r="BI87" i="32"/>
  <c r="AW87" i="32"/>
  <c r="BC87" i="32"/>
  <c r="BL87" i="32"/>
  <c r="BJ137" i="32"/>
  <c r="AU137" i="32"/>
  <c r="BI137" i="32"/>
  <c r="AT139" i="32"/>
  <c r="AX139" i="32"/>
  <c r="AV139" i="32"/>
  <c r="AX145" i="32"/>
  <c r="AV145" i="32"/>
  <c r="BJ148" i="32"/>
  <c r="BI148" i="32"/>
  <c r="BC148" i="32"/>
  <c r="AW148" i="32"/>
  <c r="BA148" i="32"/>
  <c r="AS104" i="8"/>
  <c r="I38" i="14"/>
  <c r="AU12" i="32"/>
  <c r="AY12" i="32"/>
  <c r="AW12" i="32"/>
  <c r="AV12" i="32"/>
  <c r="AT12" i="32"/>
  <c r="AV24" i="32"/>
  <c r="AT24" i="32"/>
  <c r="AX24" i="32"/>
  <c r="AU80" i="32"/>
  <c r="AX80" i="32"/>
  <c r="AW80" i="32"/>
  <c r="AT80" i="32"/>
  <c r="AS80" i="32"/>
  <c r="AX105" i="32"/>
  <c r="AV105" i="32"/>
  <c r="AT105" i="32"/>
  <c r="BA143" i="32"/>
  <c r="AW143" i="32"/>
  <c r="BK143" i="32"/>
  <c r="BI149" i="32"/>
  <c r="BK149" i="32"/>
  <c r="AW149" i="32"/>
  <c r="BC149" i="32"/>
  <c r="AS149" i="32"/>
  <c r="AX15" i="32"/>
  <c r="AT15" i="32"/>
  <c r="AV15" i="32"/>
  <c r="AU15" i="32"/>
  <c r="AW15" i="32"/>
  <c r="AY92" i="32"/>
  <c r="M92" i="32" s="1"/>
  <c r="AX92" i="32"/>
  <c r="AV92" i="32"/>
  <c r="AT92" i="32"/>
  <c r="AQ218" i="8"/>
  <c r="AQ219" i="8"/>
  <c r="AT65" i="8"/>
  <c r="BL112" i="32"/>
  <c r="AX23" i="32"/>
  <c r="AX7" i="32"/>
  <c r="AT7" i="32"/>
  <c r="AV7" i="32"/>
  <c r="AV8" i="32"/>
  <c r="AT8" i="32"/>
  <c r="AX8" i="32"/>
  <c r="AX9" i="32"/>
  <c r="AV9" i="32"/>
  <c r="AU9" i="32"/>
  <c r="AX10" i="32"/>
  <c r="AV10" i="32"/>
  <c r="AT10" i="32"/>
  <c r="AU11" i="32"/>
  <c r="AW11" i="32"/>
  <c r="AS11" i="32"/>
  <c r="AX11" i="32"/>
  <c r="AX22" i="32"/>
  <c r="AV22" i="32"/>
  <c r="AT22" i="32"/>
  <c r="AV56" i="32"/>
  <c r="AX56" i="32"/>
  <c r="AW59" i="32"/>
  <c r="AS59" i="32"/>
  <c r="BL59" i="32"/>
  <c r="BK59" i="32"/>
  <c r="BC59" i="32"/>
  <c r="AX129" i="32"/>
  <c r="AW129" i="32"/>
  <c r="AV129" i="32"/>
  <c r="AU129" i="32"/>
  <c r="AT129" i="32"/>
  <c r="AS129" i="32"/>
  <c r="AS121" i="8"/>
  <c r="AQ121" i="8"/>
  <c r="AT121" i="8"/>
  <c r="AQ89" i="8"/>
  <c r="AU89" i="8"/>
  <c r="AU57" i="8"/>
  <c r="AS41" i="8"/>
  <c r="AU41" i="8"/>
  <c r="AU154" i="8"/>
  <c r="AT154" i="8"/>
  <c r="AU146" i="8"/>
  <c r="AQ146" i="8"/>
  <c r="AJ94" i="8"/>
  <c r="AJ86" i="8"/>
  <c r="AJ118" i="8"/>
  <c r="AJ95" i="8"/>
  <c r="AJ103" i="8"/>
  <c r="BD252" i="8"/>
  <c r="BD229" i="8"/>
  <c r="BD227" i="8"/>
  <c r="BD253" i="8"/>
  <c r="BD228" i="8"/>
  <c r="AX73" i="32"/>
  <c r="AV73" i="32"/>
  <c r="BI75" i="32"/>
  <c r="BJ75" i="32"/>
  <c r="AS75" i="32"/>
  <c r="BC75" i="32"/>
  <c r="AX95" i="32"/>
  <c r="AV95" i="32"/>
  <c r="AY101" i="32"/>
  <c r="AX101" i="32"/>
  <c r="AT124" i="32"/>
  <c r="AW124" i="32"/>
  <c r="BL127" i="32"/>
  <c r="AU127" i="32"/>
  <c r="AW127" i="32"/>
  <c r="BC127" i="32"/>
  <c r="AS127" i="32"/>
  <c r="BK127" i="32"/>
  <c r="BJ132" i="32"/>
  <c r="BA132" i="32"/>
  <c r="AS212" i="8"/>
  <c r="BL90" i="32"/>
  <c r="C3" i="13"/>
  <c r="C3" i="14"/>
  <c r="AU119" i="32"/>
  <c r="AW119" i="32"/>
  <c r="AS119" i="32"/>
  <c r="AX119" i="32"/>
  <c r="AS129" i="8"/>
  <c r="AS128" i="8"/>
  <c r="AQ128" i="8"/>
  <c r="AU128" i="8"/>
  <c r="AS112" i="8"/>
  <c r="AQ112" i="8"/>
  <c r="AU72" i="8"/>
  <c r="AV65" i="8"/>
  <c r="AT129" i="8"/>
  <c r="AS137" i="8"/>
  <c r="AT57" i="8"/>
  <c r="AQ57" i="8"/>
  <c r="BA90" i="32"/>
  <c r="AU227" i="8"/>
  <c r="BD251" i="8"/>
  <c r="AY16" i="32"/>
  <c r="AV16" i="32"/>
  <c r="AU16" i="32"/>
  <c r="AT16" i="32"/>
  <c r="AW16" i="32"/>
  <c r="AX16" i="32"/>
  <c r="AS16" i="32"/>
  <c r="AX19" i="32"/>
  <c r="AV19" i="32"/>
  <c r="AT19" i="32"/>
  <c r="BJ153" i="32"/>
  <c r="BI153" i="32"/>
  <c r="BK153" i="32"/>
  <c r="BA153" i="32"/>
  <c r="BC153" i="32"/>
  <c r="BL153" i="32"/>
  <c r="AS263" i="8"/>
  <c r="AS71" i="8"/>
  <c r="AS291" i="8"/>
  <c r="AQ278" i="8"/>
  <c r="AQ300" i="8"/>
  <c r="AV6" i="8"/>
  <c r="AZ14" i="8"/>
  <c r="AU71" i="8"/>
  <c r="AJ111" i="8"/>
  <c r="AY89" i="32"/>
  <c r="M89" i="32" s="1"/>
  <c r="AU210" i="8"/>
  <c r="AS10" i="8"/>
  <c r="M33" i="13"/>
  <c r="M55" i="13"/>
  <c r="AR32" i="8"/>
  <c r="AS109" i="8"/>
  <c r="AQ101" i="8"/>
  <c r="AS69" i="8"/>
  <c r="AU61" i="8"/>
  <c r="AS45" i="8"/>
  <c r="BI57" i="8"/>
  <c r="AQ19" i="8"/>
  <c r="AS76" i="8"/>
  <c r="AS68" i="8"/>
  <c r="AS107" i="8"/>
  <c r="BI250" i="8"/>
  <c r="BI235" i="8"/>
  <c r="BI213" i="8"/>
  <c r="AS58" i="8"/>
  <c r="AQ293" i="8"/>
  <c r="AQ250" i="8"/>
  <c r="BB11" i="32"/>
  <c r="B10" i="19"/>
  <c r="AJ249" i="8"/>
  <c r="AQ6" i="8"/>
  <c r="AZ6" i="8"/>
  <c r="BD207" i="8"/>
  <c r="AJ225" i="8"/>
  <c r="G31" i="31"/>
  <c r="G10" i="13" s="1"/>
  <c r="BI14" i="8"/>
  <c r="AR122" i="8"/>
  <c r="AP106" i="8"/>
  <c r="AP50" i="8"/>
  <c r="AV110" i="32"/>
  <c r="AU104" i="8"/>
  <c r="AJ70" i="8"/>
  <c r="AY105" i="32"/>
  <c r="BJ21" i="32"/>
  <c r="AU45" i="8"/>
  <c r="N43" i="11"/>
  <c r="BI221" i="8"/>
  <c r="BI214" i="8"/>
  <c r="L64" i="32"/>
  <c r="AS133" i="8"/>
  <c r="I16" i="13"/>
  <c r="AQ45" i="8"/>
  <c r="AQ27" i="8"/>
  <c r="AP122" i="8"/>
  <c r="I45" i="13"/>
  <c r="AT110" i="32"/>
  <c r="AT70" i="32"/>
  <c r="AY11" i="32"/>
  <c r="AY14" i="32"/>
  <c r="AY72" i="32"/>
  <c r="AY141" i="32"/>
  <c r="AU232" i="8"/>
  <c r="AQ280" i="8"/>
  <c r="AU243" i="8"/>
  <c r="AV270" i="8"/>
  <c r="AS61" i="8"/>
  <c r="AS92" i="8"/>
  <c r="AV70" i="32"/>
  <c r="AU111" i="32"/>
  <c r="AU120" i="32"/>
  <c r="AQ211" i="8"/>
  <c r="I27" i="13"/>
  <c r="AU50" i="8"/>
  <c r="AU68" i="8"/>
  <c r="AU262" i="8"/>
  <c r="Z98" i="8"/>
  <c r="AY45" i="32"/>
  <c r="AY112" i="32"/>
  <c r="AY130" i="32"/>
  <c r="AY139" i="32"/>
  <c r="BI222" i="8"/>
  <c r="O29" i="19"/>
  <c r="AU283" i="8"/>
  <c r="AS304" i="8"/>
  <c r="AS244" i="8"/>
  <c r="C59" i="13"/>
  <c r="AW125" i="32"/>
  <c r="AU139" i="32"/>
  <c r="AS261" i="8"/>
  <c r="G59" i="13"/>
  <c r="AY144" i="32"/>
  <c r="AS296" i="8"/>
  <c r="C50" i="14"/>
  <c r="AZ107" i="8"/>
  <c r="AZ120" i="8"/>
  <c r="AQ109" i="8"/>
  <c r="AS99" i="8"/>
  <c r="AU99" i="8"/>
  <c r="AP104" i="8"/>
  <c r="X91" i="8"/>
  <c r="X99" i="8"/>
  <c r="X107" i="8"/>
  <c r="X115" i="8"/>
  <c r="Z107" i="8"/>
  <c r="Y91" i="8"/>
  <c r="Y99" i="8"/>
  <c r="Y107" i="8"/>
  <c r="Y115" i="8"/>
  <c r="BI102" i="8"/>
  <c r="Z91" i="8"/>
  <c r="AZ113" i="8"/>
  <c r="AQ105" i="8"/>
  <c r="Z115" i="8"/>
  <c r="M95" i="8"/>
  <c r="BI104" i="8"/>
  <c r="AS105" i="8"/>
  <c r="M102" i="8"/>
  <c r="BI105" i="8"/>
  <c r="Z99" i="8"/>
  <c r="AR147" i="8"/>
  <c r="AR19" i="8"/>
  <c r="AU205" i="8"/>
  <c r="AU37" i="8"/>
  <c r="AU109" i="8"/>
  <c r="AV291" i="8"/>
  <c r="BI239" i="8"/>
  <c r="AQ11" i="8"/>
  <c r="AU69" i="8"/>
  <c r="AQ32" i="8"/>
  <c r="AQ37" i="8"/>
  <c r="AZ8" i="8"/>
  <c r="AT24" i="8"/>
  <c r="AV27" i="8"/>
  <c r="AP32" i="8"/>
  <c r="AV35" i="8"/>
  <c r="AV43" i="8"/>
  <c r="AV51" i="8"/>
  <c r="AV67" i="8"/>
  <c r="AV75" i="8"/>
  <c r="AS19" i="8"/>
  <c r="AU147" i="8"/>
  <c r="AQ147" i="8"/>
  <c r="AQ205" i="8"/>
  <c r="AS27" i="8"/>
  <c r="AQ16" i="8"/>
  <c r="AS101" i="8"/>
  <c r="AU42" i="8"/>
  <c r="AP128" i="8"/>
  <c r="AZ32" i="8"/>
  <c r="AT144" i="8"/>
  <c r="AP96" i="8"/>
  <c r="AQ283" i="8"/>
  <c r="AV16" i="8"/>
  <c r="AV24" i="8"/>
  <c r="AP29" i="8"/>
  <c r="AT45" i="8"/>
  <c r="AR85" i="8"/>
  <c r="BG209" i="8"/>
  <c r="AK231" i="8"/>
  <c r="AW231" i="8" s="1"/>
  <c r="AK215" i="8"/>
  <c r="AW215" i="8" s="1"/>
  <c r="BI112" i="8"/>
  <c r="BG205" i="8"/>
  <c r="AR104" i="8"/>
  <c r="BI128" i="8"/>
  <c r="BI252" i="8"/>
  <c r="BG75" i="8"/>
  <c r="BI205" i="8"/>
  <c r="AT128" i="8"/>
  <c r="AR96" i="8"/>
  <c r="AR136" i="8"/>
  <c r="AZ128" i="8"/>
  <c r="AQ296" i="8"/>
  <c r="AR205" i="8"/>
  <c r="AT136" i="8"/>
  <c r="AP136" i="8"/>
  <c r="AT112" i="8"/>
  <c r="AV296" i="8"/>
  <c r="AU31" i="8"/>
  <c r="AZ205" i="8"/>
  <c r="AT120" i="8"/>
  <c r="AR144" i="8"/>
  <c r="AX205" i="8"/>
  <c r="BI96" i="8"/>
  <c r="AU239" i="8"/>
  <c r="AV116" i="8"/>
  <c r="BI144" i="8"/>
  <c r="BI120" i="8"/>
  <c r="AT96" i="8"/>
  <c r="AZ104" i="8"/>
  <c r="AQ239" i="8"/>
  <c r="AS239" i="8"/>
  <c r="AU296" i="8"/>
  <c r="AV242" i="8"/>
  <c r="AR128" i="8"/>
  <c r="AZ96" i="8"/>
  <c r="AT205" i="8"/>
  <c r="AZ136" i="8"/>
  <c r="B97" i="11"/>
  <c r="B106" i="11" s="1"/>
  <c r="B115" i="11" s="1"/>
  <c r="B124" i="11" s="1"/>
  <c r="B133" i="11" s="1"/>
  <c r="B142" i="11" s="1"/>
  <c r="AJ38" i="8"/>
  <c r="B99" i="11"/>
  <c r="B108" i="11" s="1"/>
  <c r="B117" i="11" s="1"/>
  <c r="B126" i="11" s="1"/>
  <c r="B135" i="11" s="1"/>
  <c r="B144" i="11" s="1"/>
  <c r="AJ63" i="8"/>
  <c r="B13" i="12"/>
  <c r="B20" i="12" s="1"/>
  <c r="B27" i="12" s="1"/>
  <c r="B34" i="12" s="1"/>
  <c r="B41" i="12" s="1"/>
  <c r="AJ71" i="8"/>
  <c r="AJ62" i="8"/>
  <c r="AJ78" i="8"/>
  <c r="AJ47" i="8"/>
  <c r="AJ79" i="8"/>
  <c r="AJ31" i="8"/>
  <c r="AJ55" i="8"/>
  <c r="AJ58" i="8"/>
  <c r="AJ7" i="8"/>
  <c r="AJ22" i="8"/>
  <c r="AJ14" i="8"/>
  <c r="AJ30" i="8"/>
  <c r="B87" i="19"/>
  <c r="B96" i="19" s="1"/>
  <c r="B105" i="19" s="1"/>
  <c r="B114" i="19" s="1"/>
  <c r="B123" i="19" s="1"/>
  <c r="B132" i="19" s="1"/>
  <c r="AJ39" i="8"/>
  <c r="AJ46" i="8"/>
  <c r="AJ6" i="8"/>
  <c r="AJ23" i="8"/>
  <c r="AJ15" i="8"/>
  <c r="B88" i="19"/>
  <c r="B97" i="19" s="1"/>
  <c r="B106" i="19" s="1"/>
  <c r="B115" i="19" s="1"/>
  <c r="B124" i="19" s="1"/>
  <c r="B133" i="19" s="1"/>
  <c r="B18" i="12"/>
  <c r="B25" i="12" s="1"/>
  <c r="B32" i="12" s="1"/>
  <c r="B39" i="12" s="1"/>
  <c r="B46" i="12" s="1"/>
  <c r="B89" i="19"/>
  <c r="B98" i="19" s="1"/>
  <c r="B107" i="19" s="1"/>
  <c r="B116" i="19" s="1"/>
  <c r="B125" i="19" s="1"/>
  <c r="B134" i="19" s="1"/>
  <c r="B19" i="12"/>
  <c r="B26" i="12" s="1"/>
  <c r="B33" i="12" s="1"/>
  <c r="B40" i="12" s="1"/>
  <c r="B47" i="12" s="1"/>
  <c r="AU219" i="8"/>
  <c r="AQ303" i="8"/>
  <c r="AU218" i="8"/>
  <c r="AQ304" i="8"/>
  <c r="AQ69" i="8"/>
  <c r="AQ68" i="8"/>
  <c r="AQ49" i="8"/>
  <c r="AU242" i="8"/>
  <c r="AQ229" i="8"/>
  <c r="AQ306" i="8"/>
  <c r="AQ263" i="8"/>
  <c r="AQ75" i="8"/>
  <c r="AU245" i="8"/>
  <c r="AQ227" i="8"/>
  <c r="AQ281" i="8"/>
  <c r="AQ291" i="8"/>
  <c r="AQ50" i="8"/>
  <c r="AQ73" i="8"/>
  <c r="AQ71" i="8"/>
  <c r="AQ253" i="8"/>
  <c r="AU209" i="8"/>
  <c r="AQ267" i="8"/>
  <c r="AQ51" i="8"/>
  <c r="AQ251" i="8"/>
  <c r="AU231" i="8"/>
  <c r="AQ76" i="8"/>
  <c r="AQ262" i="8"/>
  <c r="AQ64" i="8"/>
  <c r="K19" i="14"/>
  <c r="K49" i="14"/>
  <c r="I16" i="14"/>
  <c r="I19" i="14"/>
  <c r="I27" i="14"/>
  <c r="I49" i="14"/>
  <c r="I15" i="14"/>
  <c r="I40" i="14"/>
  <c r="I35" i="14"/>
  <c r="O19" i="19"/>
  <c r="I45" i="14"/>
  <c r="I34" i="14"/>
  <c r="I23" i="14"/>
  <c r="I31" i="14"/>
  <c r="I13" i="14"/>
  <c r="I48" i="14"/>
  <c r="I24" i="14"/>
  <c r="I18" i="14"/>
  <c r="I20" i="14"/>
  <c r="I17" i="14"/>
  <c r="O34" i="19"/>
  <c r="V34" i="19" s="1"/>
  <c r="I11" i="14"/>
  <c r="I30" i="14"/>
  <c r="I28" i="14"/>
  <c r="I22" i="14"/>
  <c r="I47" i="14"/>
  <c r="I46" i="14"/>
  <c r="I42" i="14"/>
  <c r="I21" i="14"/>
  <c r="I12" i="14"/>
  <c r="P34" i="19" s="1"/>
  <c r="I26" i="14"/>
  <c r="I33" i="14"/>
  <c r="AQ235" i="8"/>
  <c r="BL120" i="32"/>
  <c r="AQ213" i="8"/>
  <c r="AQ234" i="8"/>
  <c r="BL71" i="32"/>
  <c r="BA111" i="32"/>
  <c r="AU145" i="32"/>
  <c r="AR109" i="8"/>
  <c r="BC120" i="32"/>
  <c r="BC111" i="32"/>
  <c r="BL139" i="32"/>
  <c r="AT109" i="8"/>
  <c r="AW107" i="32"/>
  <c r="BA71" i="32"/>
  <c r="BK107" i="32"/>
  <c r="AZ85" i="8"/>
  <c r="AS116" i="32"/>
  <c r="BG81" i="8"/>
  <c r="AP93" i="8"/>
  <c r="AP141" i="8"/>
  <c r="AZ125" i="8"/>
  <c r="BG133" i="8"/>
  <c r="BL107" i="32"/>
  <c r="BK78" i="32"/>
  <c r="BL116" i="32"/>
  <c r="BL125" i="32"/>
  <c r="BK145" i="32"/>
  <c r="BC107" i="32"/>
  <c r="BC116" i="32"/>
  <c r="BC154" i="32"/>
  <c r="AU107" i="32"/>
  <c r="AW116" i="32"/>
  <c r="AU154" i="32"/>
  <c r="AW145" i="32"/>
  <c r="BG93" i="8"/>
  <c r="AT117" i="8"/>
  <c r="AZ93" i="8"/>
  <c r="AZ101" i="8"/>
  <c r="AR117" i="8"/>
  <c r="BA120" i="32"/>
  <c r="BL111" i="32"/>
  <c r="BA116" i="32"/>
  <c r="BC145" i="32"/>
  <c r="BK125" i="32"/>
  <c r="BA154" i="32"/>
  <c r="AS154" i="32"/>
  <c r="BI145" i="32"/>
  <c r="AT93" i="8"/>
  <c r="BG125" i="8"/>
  <c r="AP133" i="8"/>
  <c r="BG101" i="8"/>
  <c r="AR125" i="8"/>
  <c r="BL91" i="32"/>
  <c r="BI141" i="8"/>
  <c r="BI93" i="8"/>
  <c r="AR133" i="8"/>
  <c r="BC78" i="32"/>
  <c r="BK154" i="32"/>
  <c r="AS111" i="32"/>
  <c r="AU91" i="32"/>
  <c r="BL154" i="32"/>
  <c r="BJ107" i="32"/>
  <c r="AT21" i="8"/>
  <c r="AR29" i="8"/>
  <c r="BK120" i="32"/>
  <c r="AT133" i="8"/>
  <c r="AW154" i="32"/>
  <c r="AT141" i="8"/>
  <c r="AT101" i="8"/>
  <c r="BC91" i="32"/>
  <c r="AP125" i="8"/>
  <c r="BK111" i="32"/>
  <c r="AS139" i="32"/>
  <c r="AW111" i="32"/>
  <c r="AS125" i="32"/>
  <c r="BJ71" i="32"/>
  <c r="AR93" i="8"/>
  <c r="BI133" i="8"/>
  <c r="AP101" i="8"/>
  <c r="AT125" i="8"/>
  <c r="BK91" i="32"/>
  <c r="AR101" i="8"/>
  <c r="BI125" i="8"/>
  <c r="BA78" i="32"/>
  <c r="BK139" i="32"/>
  <c r="BK71" i="32"/>
  <c r="BC125" i="32"/>
  <c r="BA139" i="32"/>
  <c r="AW139" i="32"/>
  <c r="AS120" i="32"/>
  <c r="AU125" i="32"/>
  <c r="BI71" i="32"/>
  <c r="AP117" i="8"/>
  <c r="AS91" i="32"/>
  <c r="BG109" i="8"/>
  <c r="BA91" i="32"/>
  <c r="BI117" i="8"/>
  <c r="AP109" i="8"/>
  <c r="BI109" i="8"/>
  <c r="AZ109" i="8"/>
  <c r="AZ117" i="8"/>
  <c r="AR141" i="8"/>
  <c r="BA125" i="32"/>
  <c r="BA145" i="32"/>
  <c r="BA107" i="32"/>
  <c r="BL145" i="32"/>
  <c r="AS107" i="32"/>
  <c r="AS145" i="32"/>
  <c r="AV88" i="8"/>
  <c r="AS69" i="32"/>
  <c r="AY77" i="32"/>
  <c r="AY110" i="32"/>
  <c r="AS117" i="32"/>
  <c r="AY127" i="32"/>
  <c r="O127" i="32" s="1"/>
  <c r="AY135" i="32"/>
  <c r="O135" i="32" s="1"/>
  <c r="AQ154" i="8"/>
  <c r="AS146" i="8"/>
  <c r="AJ54" i="8"/>
  <c r="AW37" i="32"/>
  <c r="AV247" i="8"/>
  <c r="AJ253" i="8"/>
  <c r="AU81" i="32"/>
  <c r="AQ223" i="8"/>
  <c r="AV262" i="8"/>
  <c r="AV297" i="8"/>
  <c r="AW38" i="32"/>
  <c r="AU108" i="32"/>
  <c r="AW112" i="32"/>
  <c r="AU72" i="32"/>
  <c r="AW138" i="32"/>
  <c r="AW7" i="32"/>
  <c r="AS14" i="32"/>
  <c r="AU10" i="32"/>
  <c r="AY15" i="32"/>
  <c r="AY69" i="32"/>
  <c r="AU84" i="32"/>
  <c r="AY95" i="32"/>
  <c r="AY100" i="32"/>
  <c r="M100" i="32" s="1"/>
  <c r="AY104" i="32"/>
  <c r="AW22" i="32"/>
  <c r="AY115" i="32"/>
  <c r="AY145" i="32"/>
  <c r="AY149" i="32"/>
  <c r="AQ249" i="8"/>
  <c r="AU19" i="32"/>
  <c r="AV288" i="8"/>
  <c r="AY18" i="32"/>
  <c r="AY19" i="32"/>
  <c r="M19" i="32" s="1"/>
  <c r="AY22" i="32"/>
  <c r="M22" i="32" s="1"/>
  <c r="AY23" i="32"/>
  <c r="M23" i="32" s="1"/>
  <c r="AY24" i="32"/>
  <c r="O24" i="32" s="1"/>
  <c r="AY93" i="32"/>
  <c r="M294" i="8"/>
  <c r="M278" i="8"/>
  <c r="M237" i="8"/>
  <c r="AJ67" i="8"/>
  <c r="M309" i="8"/>
  <c r="M277" i="8"/>
  <c r="M236" i="8"/>
  <c r="AV31" i="8"/>
  <c r="AV39" i="8"/>
  <c r="BG45" i="8"/>
  <c r="AV71" i="8"/>
  <c r="AU33" i="32"/>
  <c r="AS36" i="32"/>
  <c r="AW44" i="32"/>
  <c r="AS47" i="32"/>
  <c r="AS56" i="32"/>
  <c r="AW113" i="32"/>
  <c r="AS215" i="8"/>
  <c r="AQ284" i="8"/>
  <c r="M292" i="8"/>
  <c r="M284" i="8"/>
  <c r="M251" i="8"/>
  <c r="M243" i="8"/>
  <c r="M235" i="8"/>
  <c r="M227" i="8"/>
  <c r="M211" i="8"/>
  <c r="M38" i="8"/>
  <c r="AJ223" i="8"/>
  <c r="AV12" i="8"/>
  <c r="AV20" i="8"/>
  <c r="AV28" i="8"/>
  <c r="AV52" i="8"/>
  <c r="AV68" i="8"/>
  <c r="AV76" i="8"/>
  <c r="AW24" i="32"/>
  <c r="AS28" i="32"/>
  <c r="AY49" i="32"/>
  <c r="AW86" i="32"/>
  <c r="AU93" i="32"/>
  <c r="AY111" i="32"/>
  <c r="M111" i="32" s="1"/>
  <c r="AY116" i="32"/>
  <c r="O116" i="32" s="1"/>
  <c r="AY120" i="32"/>
  <c r="AS143" i="32"/>
  <c r="AU220" i="8"/>
  <c r="AV274" i="8"/>
  <c r="AU279" i="8"/>
  <c r="M283" i="8"/>
  <c r="M275" i="8"/>
  <c r="M250" i="8"/>
  <c r="M234" i="8"/>
  <c r="M226" i="8"/>
  <c r="M218" i="8"/>
  <c r="M210" i="8"/>
  <c r="AV25" i="8"/>
  <c r="AV33" i="8"/>
  <c r="AV41" i="8"/>
  <c r="AV49" i="8"/>
  <c r="AV57" i="8"/>
  <c r="AV73" i="8"/>
  <c r="AY42" i="32"/>
  <c r="AU73" i="32"/>
  <c r="AW101" i="32"/>
  <c r="AY133" i="32"/>
  <c r="AU226" i="8"/>
  <c r="M282" i="8"/>
  <c r="M249" i="8"/>
  <c r="M241" i="8"/>
  <c r="M233" i="8"/>
  <c r="M297" i="8"/>
  <c r="M289" i="8"/>
  <c r="M270" i="8"/>
  <c r="M256" i="8"/>
  <c r="M240" i="8"/>
  <c r="M216" i="8"/>
  <c r="AW94" i="32"/>
  <c r="AQ252" i="8"/>
  <c r="AU309" i="8"/>
  <c r="M304" i="8"/>
  <c r="M269" i="8"/>
  <c r="M247" i="8"/>
  <c r="M239" i="8"/>
  <c r="M223" i="8"/>
  <c r="M207" i="8"/>
  <c r="BI32" i="8"/>
  <c r="AV8" i="8"/>
  <c r="AV32" i="8"/>
  <c r="AV144" i="8"/>
  <c r="AY126" i="32"/>
  <c r="V219" i="8"/>
  <c r="M219" i="8" s="1"/>
  <c r="AV267" i="8"/>
  <c r="AU275" i="8"/>
  <c r="AU304" i="8"/>
  <c r="M295" i="8"/>
  <c r="M287" i="8"/>
  <c r="M238" i="8"/>
  <c r="M230" i="8"/>
  <c r="M214" i="8"/>
  <c r="M206" i="8"/>
  <c r="BL46" i="32"/>
  <c r="AS99" i="32"/>
  <c r="AS108" i="32"/>
  <c r="AS65" i="32"/>
  <c r="AQ297" i="8"/>
  <c r="AQ80" i="8"/>
  <c r="BA49" i="32"/>
  <c r="BK108" i="32"/>
  <c r="BC69" i="32"/>
  <c r="BC45" i="32"/>
  <c r="BA117" i="32"/>
  <c r="BL103" i="32"/>
  <c r="BK95" i="32"/>
  <c r="AU235" i="8"/>
  <c r="AS95" i="32"/>
  <c r="AW108" i="32"/>
  <c r="AS61" i="32"/>
  <c r="AL64" i="32"/>
  <c r="M7" i="8"/>
  <c r="AQ268" i="8"/>
  <c r="BJ155" i="32"/>
  <c r="BK61" i="32"/>
  <c r="BL69" i="32"/>
  <c r="BA99" i="32"/>
  <c r="AU236" i="8"/>
  <c r="BC155" i="32"/>
  <c r="BK155" i="32"/>
  <c r="BC38" i="32"/>
  <c r="AW95" i="32"/>
  <c r="AU61" i="32"/>
  <c r="AL48" i="32"/>
  <c r="AQ298" i="8"/>
  <c r="S72" i="32"/>
  <c r="AU268" i="8"/>
  <c r="BL49" i="32"/>
  <c r="BK69" i="32"/>
  <c r="BC95" i="32"/>
  <c r="BK103" i="32"/>
  <c r="BC103" i="32"/>
  <c r="BK34" i="32"/>
  <c r="AU213" i="8"/>
  <c r="BA103" i="32"/>
  <c r="BL142" i="32"/>
  <c r="AS155" i="32"/>
  <c r="AU95" i="32"/>
  <c r="AS88" i="32"/>
  <c r="AU121" i="32"/>
  <c r="AW61" i="32"/>
  <c r="AM16" i="32"/>
  <c r="AR16" i="32" s="1"/>
  <c r="AN88" i="32"/>
  <c r="AZ88" i="32" s="1"/>
  <c r="AQ270" i="8"/>
  <c r="AQ85" i="8"/>
  <c r="BA37" i="32"/>
  <c r="BL61" i="32"/>
  <c r="M22" i="8"/>
  <c r="BL50" i="32"/>
  <c r="BC49" i="32"/>
  <c r="BA112" i="32"/>
  <c r="AQ81" i="8"/>
  <c r="BC88" i="32"/>
  <c r="BL155" i="32"/>
  <c r="BK112" i="32"/>
  <c r="BL38" i="32"/>
  <c r="BC112" i="32"/>
  <c r="AN136" i="32"/>
  <c r="AZ136" i="32" s="1"/>
  <c r="BA142" i="32"/>
  <c r="AU155" i="32"/>
  <c r="AW88" i="32"/>
  <c r="AW49" i="32"/>
  <c r="AW142" i="32"/>
  <c r="AM80" i="32"/>
  <c r="AR80" i="32" s="1"/>
  <c r="AQ295" i="8"/>
  <c r="BK50" i="32"/>
  <c r="BL37" i="32"/>
  <c r="BC46" i="32"/>
  <c r="BA88" i="32"/>
  <c r="AW155" i="32"/>
  <c r="AS34" i="32"/>
  <c r="AS112" i="32"/>
  <c r="AU88" i="32"/>
  <c r="AS45" i="32"/>
  <c r="BK142" i="32"/>
  <c r="AQ274" i="8"/>
  <c r="M87" i="8"/>
  <c r="AQ83" i="8"/>
  <c r="BA155" i="32"/>
  <c r="BK99" i="32"/>
  <c r="BK37" i="32"/>
  <c r="AU34" i="32"/>
  <c r="AU45" i="32"/>
  <c r="M39" i="8"/>
  <c r="AR57" i="8"/>
  <c r="AT105" i="8"/>
  <c r="AZ22" i="8"/>
  <c r="AZ30" i="8"/>
  <c r="AZ54" i="8"/>
  <c r="AR30" i="8"/>
  <c r="AZ38" i="8"/>
  <c r="AR129" i="8"/>
  <c r="AR137" i="8"/>
  <c r="BI218" i="8"/>
  <c r="BI206" i="8"/>
  <c r="AT81" i="8"/>
  <c r="BI245" i="8"/>
  <c r="AZ148" i="8"/>
  <c r="BI253" i="8"/>
  <c r="BI54" i="8"/>
  <c r="BI211" i="8"/>
  <c r="AP92" i="8"/>
  <c r="AP100" i="8"/>
  <c r="BG124" i="8"/>
  <c r="AP132" i="8"/>
  <c r="AZ17" i="8"/>
  <c r="AZ25" i="8"/>
  <c r="AT89" i="8"/>
  <c r="AR70" i="8"/>
  <c r="AP102" i="8"/>
  <c r="BI25" i="8"/>
  <c r="AT46" i="8"/>
  <c r="AR81" i="8"/>
  <c r="BI22" i="8"/>
  <c r="AZ105" i="8"/>
  <c r="AR73" i="8"/>
  <c r="BI46" i="8"/>
  <c r="AZ21" i="8"/>
  <c r="AZ77" i="8"/>
  <c r="AP85" i="8"/>
  <c r="BI247" i="8"/>
  <c r="AR33" i="8"/>
  <c r="AP33" i="8"/>
  <c r="BI38" i="8"/>
  <c r="BG130" i="8"/>
  <c r="BI138" i="8"/>
  <c r="BI146" i="8"/>
  <c r="BI154" i="8"/>
  <c r="BI242" i="8"/>
  <c r="BI227" i="8"/>
  <c r="AP28" i="8"/>
  <c r="AP60" i="8"/>
  <c r="AP68" i="8"/>
  <c r="BI219" i="8"/>
  <c r="AT49" i="8"/>
  <c r="AP57" i="8"/>
  <c r="AR65" i="8"/>
  <c r="BG33" i="8"/>
  <c r="AP105" i="8"/>
  <c r="AZ118" i="8"/>
  <c r="AP25" i="8"/>
  <c r="AZ46" i="8"/>
  <c r="BG57" i="8"/>
  <c r="AR14" i="8"/>
  <c r="AR6" i="8"/>
  <c r="AP22" i="8"/>
  <c r="BG65" i="8"/>
  <c r="AP49" i="8"/>
  <c r="AZ33" i="8"/>
  <c r="AT14" i="8"/>
  <c r="AZ65" i="8"/>
  <c r="BG111" i="8"/>
  <c r="AZ119" i="8"/>
  <c r="BI241" i="8"/>
  <c r="BD239" i="8"/>
  <c r="BD234" i="8"/>
  <c r="AQ241" i="8"/>
  <c r="AQ233" i="8"/>
  <c r="AU212" i="8"/>
  <c r="AU206" i="8"/>
  <c r="BD215" i="8"/>
  <c r="BD217" i="8"/>
  <c r="AU217" i="8"/>
  <c r="AS230" i="8"/>
  <c r="BD240" i="8"/>
  <c r="BD214" i="8"/>
  <c r="BI137" i="8"/>
  <c r="AS236" i="8"/>
  <c r="BL21" i="32"/>
  <c r="BL147" i="32"/>
  <c r="AS43" i="32"/>
  <c r="BL122" i="32"/>
  <c r="BC130" i="32"/>
  <c r="BK42" i="32"/>
  <c r="BI243" i="8"/>
  <c r="AL109" i="32"/>
  <c r="AN151" i="32"/>
  <c r="AZ151" i="32" s="1"/>
  <c r="AN53" i="32"/>
  <c r="AZ53" i="32" s="1"/>
  <c r="AN133" i="32"/>
  <c r="AZ133" i="32" s="1"/>
  <c r="AN141" i="32"/>
  <c r="AZ141" i="32" s="1"/>
  <c r="AN37" i="32"/>
  <c r="AZ37" i="32" s="1"/>
  <c r="AN29" i="32"/>
  <c r="AZ29" i="32" s="1"/>
  <c r="AL29" i="32"/>
  <c r="AL77" i="32"/>
  <c r="L155" i="32"/>
  <c r="L123" i="32"/>
  <c r="L91" i="32"/>
  <c r="L59" i="32"/>
  <c r="AN85" i="32"/>
  <c r="AZ85" i="32" s="1"/>
  <c r="AM109" i="32"/>
  <c r="AR109" i="32" s="1"/>
  <c r="AM45" i="32"/>
  <c r="AR45" i="32" s="1"/>
  <c r="AM7" i="32"/>
  <c r="AR7" i="32" s="1"/>
  <c r="AM135" i="32"/>
  <c r="AR135" i="32" s="1"/>
  <c r="AM47" i="32"/>
  <c r="AR47" i="32" s="1"/>
  <c r="AM55" i="32"/>
  <c r="AR55" i="32" s="1"/>
  <c r="AN39" i="32"/>
  <c r="AZ39" i="32" s="1"/>
  <c r="AL87" i="32"/>
  <c r="AN71" i="32"/>
  <c r="AZ71" i="32" s="1"/>
  <c r="AM23" i="32"/>
  <c r="AR23" i="32" s="1"/>
  <c r="AM63" i="32"/>
  <c r="AR63" i="32" s="1"/>
  <c r="AM13" i="32"/>
  <c r="AR13" i="32" s="1"/>
  <c r="AL151" i="32"/>
  <c r="AL93" i="32"/>
  <c r="AJ75" i="8"/>
  <c r="Y51" i="8"/>
  <c r="AN77" i="32"/>
  <c r="AZ77" i="32" s="1"/>
  <c r="AN55" i="32"/>
  <c r="AZ55" i="32" s="1"/>
  <c r="AM119" i="32"/>
  <c r="AR119" i="32" s="1"/>
  <c r="AN63" i="32"/>
  <c r="AZ63" i="32" s="1"/>
  <c r="AL71" i="32"/>
  <c r="AL103" i="32"/>
  <c r="AN45" i="32"/>
  <c r="AZ45" i="32" s="1"/>
  <c r="AM149" i="32"/>
  <c r="AR149" i="32" s="1"/>
  <c r="AN149" i="32"/>
  <c r="AZ149" i="32" s="1"/>
  <c r="AN103" i="32"/>
  <c r="AZ103" i="32" s="1"/>
  <c r="AL55" i="32"/>
  <c r="AM103" i="32"/>
  <c r="AR103" i="32" s="1"/>
  <c r="AN79" i="32"/>
  <c r="AZ79" i="32" s="1"/>
  <c r="AN101" i="32"/>
  <c r="AZ101" i="32" s="1"/>
  <c r="AM85" i="32"/>
  <c r="AR85" i="32" s="1"/>
  <c r="AM61" i="32"/>
  <c r="AR61" i="32" s="1"/>
  <c r="AM125" i="32"/>
  <c r="AR125" i="32" s="1"/>
  <c r="AM15" i="32"/>
  <c r="AR15" i="32" s="1"/>
  <c r="AL119" i="32"/>
  <c r="AM151" i="32"/>
  <c r="AR151" i="32" s="1"/>
  <c r="AM111" i="32"/>
  <c r="AR111" i="32" s="1"/>
  <c r="AM101" i="32"/>
  <c r="AR101" i="32" s="1"/>
  <c r="AM31" i="32"/>
  <c r="AR31" i="32" s="1"/>
  <c r="AN125" i="32"/>
  <c r="AZ125" i="32" s="1"/>
  <c r="AM141" i="32"/>
  <c r="AR141" i="32" s="1"/>
  <c r="AL15" i="32"/>
  <c r="AM69" i="32"/>
  <c r="AR69" i="32" s="1"/>
  <c r="AN119" i="32"/>
  <c r="AZ119" i="32" s="1"/>
  <c r="AM143" i="32"/>
  <c r="AR143" i="32" s="1"/>
  <c r="AM79" i="32"/>
  <c r="AR79" i="32" s="1"/>
  <c r="AL23" i="32"/>
  <c r="AM133" i="32"/>
  <c r="AR133" i="32" s="1"/>
  <c r="AM95" i="32"/>
  <c r="AR95" i="32" s="1"/>
  <c r="AL127" i="32"/>
  <c r="AN95" i="32"/>
  <c r="AZ95" i="32" s="1"/>
  <c r="AN15" i="32"/>
  <c r="AZ15" i="32" s="1"/>
  <c r="AN69" i="32"/>
  <c r="AZ69" i="32" s="1"/>
  <c r="AL79" i="32"/>
  <c r="AL21" i="32"/>
  <c r="AN21" i="32"/>
  <c r="AZ21" i="32" s="1"/>
  <c r="AM127" i="32"/>
  <c r="AR127" i="32" s="1"/>
  <c r="AL47" i="32"/>
  <c r="AL61" i="32"/>
  <c r="AM37" i="32"/>
  <c r="AR37" i="32" s="1"/>
  <c r="AN7" i="32"/>
  <c r="AZ7" i="32" s="1"/>
  <c r="AL13" i="32"/>
  <c r="AM39" i="32"/>
  <c r="AR39" i="32" s="1"/>
  <c r="AL117" i="32"/>
  <c r="AN47" i="32"/>
  <c r="AZ47" i="32" s="1"/>
  <c r="AL39" i="32"/>
  <c r="AN87" i="32"/>
  <c r="AZ87" i="32" s="1"/>
  <c r="AM71" i="32"/>
  <c r="AR71" i="32" s="1"/>
  <c r="AM87" i="32"/>
  <c r="AR87" i="32" s="1"/>
  <c r="AN26" i="32"/>
  <c r="AZ26" i="32" s="1"/>
  <c r="AL66" i="32"/>
  <c r="AM146" i="32"/>
  <c r="AR146" i="32" s="1"/>
  <c r="AL18" i="32"/>
  <c r="X67" i="8"/>
  <c r="AN42" i="32"/>
  <c r="AZ42" i="32" s="1"/>
  <c r="AL34" i="32"/>
  <c r="AN90" i="32"/>
  <c r="AZ90" i="32" s="1"/>
  <c r="AL138" i="32"/>
  <c r="L27" i="32"/>
  <c r="Z43" i="8"/>
  <c r="AM74" i="32"/>
  <c r="AR74" i="32" s="1"/>
  <c r="AN122" i="32"/>
  <c r="AZ122" i="32" s="1"/>
  <c r="AL130" i="32"/>
  <c r="Y19" i="8"/>
  <c r="Z75" i="8"/>
  <c r="AJ27" i="8"/>
  <c r="AJ83" i="8"/>
  <c r="AM122" i="32"/>
  <c r="AR122" i="32" s="1"/>
  <c r="AN58" i="32"/>
  <c r="AZ58" i="32" s="1"/>
  <c r="AL98" i="32"/>
  <c r="AL82" i="32"/>
  <c r="AL114" i="32"/>
  <c r="AN138" i="32"/>
  <c r="AZ138" i="32" s="1"/>
  <c r="AL26" i="32"/>
  <c r="AM58" i="32"/>
  <c r="AR58" i="32" s="1"/>
  <c r="AJ115" i="8"/>
  <c r="AM106" i="32"/>
  <c r="AR106" i="32" s="1"/>
  <c r="AM98" i="32"/>
  <c r="AR98" i="32" s="1"/>
  <c r="AM82" i="32"/>
  <c r="AR82" i="32" s="1"/>
  <c r="AJ147" i="8"/>
  <c r="AO147" i="8" s="1"/>
  <c r="AL42" i="32"/>
  <c r="AL122" i="32"/>
  <c r="AL58" i="32"/>
  <c r="AJ11" i="8"/>
  <c r="AN154" i="32"/>
  <c r="AZ154" i="32" s="1"/>
  <c r="AM138" i="32"/>
  <c r="AR138" i="32" s="1"/>
  <c r="AM26" i="32"/>
  <c r="AR26" i="32" s="1"/>
  <c r="AN98" i="32"/>
  <c r="AZ98" i="32" s="1"/>
  <c r="AN34" i="32"/>
  <c r="AZ34" i="32" s="1"/>
  <c r="Z59" i="8"/>
  <c r="AN66" i="32"/>
  <c r="AZ66" i="32" s="1"/>
  <c r="AW35" i="8"/>
  <c r="AM154" i="32"/>
  <c r="AR154" i="32" s="1"/>
  <c r="AN148" i="32"/>
  <c r="AZ148" i="32" s="1"/>
  <c r="AN130" i="32"/>
  <c r="AZ130" i="32" s="1"/>
  <c r="AN10" i="32"/>
  <c r="AZ10" i="32" s="1"/>
  <c r="AN106" i="32"/>
  <c r="AZ106" i="32" s="1"/>
  <c r="AM90" i="32"/>
  <c r="AR90" i="32" s="1"/>
  <c r="AN129" i="32"/>
  <c r="AZ129" i="32" s="1"/>
  <c r="AL43" i="32"/>
  <c r="AJ19" i="8"/>
  <c r="AJ35" i="8"/>
  <c r="AN51" i="32"/>
  <c r="AZ51" i="32" s="1"/>
  <c r="AJ59" i="8"/>
  <c r="Y59" i="8"/>
  <c r="Y83" i="8"/>
  <c r="AM91" i="32"/>
  <c r="AR91" i="32" s="1"/>
  <c r="AN83" i="32"/>
  <c r="AZ83" i="32" s="1"/>
  <c r="AJ131" i="8"/>
  <c r="AO131" i="8" s="1"/>
  <c r="AM75" i="32"/>
  <c r="AR75" i="32" s="1"/>
  <c r="AM25" i="32"/>
  <c r="AR25" i="32" s="1"/>
  <c r="AN147" i="32"/>
  <c r="AZ147" i="32" s="1"/>
  <c r="AN41" i="32"/>
  <c r="AZ41" i="32" s="1"/>
  <c r="AL153" i="32"/>
  <c r="AM41" i="32"/>
  <c r="AR41" i="32" s="1"/>
  <c r="AJ107" i="8"/>
  <c r="AN137" i="32"/>
  <c r="AZ137" i="32" s="1"/>
  <c r="M205" i="8"/>
  <c r="AW59" i="8"/>
  <c r="AW51" i="8"/>
  <c r="AM115" i="32"/>
  <c r="AR115" i="32" s="1"/>
  <c r="S43" i="32"/>
  <c r="Z11" i="8"/>
  <c r="S75" i="32"/>
  <c r="M131" i="8"/>
  <c r="AN107" i="32"/>
  <c r="AZ107" i="32" s="1"/>
  <c r="AN155" i="32"/>
  <c r="AZ155" i="32" s="1"/>
  <c r="AM83" i="32"/>
  <c r="AR83" i="32" s="1"/>
  <c r="AN145" i="32"/>
  <c r="AZ145" i="32" s="1"/>
  <c r="AN99" i="32"/>
  <c r="AZ99" i="32" s="1"/>
  <c r="AL107" i="32"/>
  <c r="AJ43" i="8"/>
  <c r="AJ51" i="8"/>
  <c r="AN113" i="32"/>
  <c r="AZ113" i="32" s="1"/>
  <c r="AL67" i="32"/>
  <c r="AL27" i="32"/>
  <c r="AN81" i="32"/>
  <c r="AZ81" i="32" s="1"/>
  <c r="AW205" i="8"/>
  <c r="AJ123" i="8"/>
  <c r="AJ99" i="8"/>
  <c r="AL155" i="32"/>
  <c r="AM73" i="32"/>
  <c r="AR73" i="32" s="1"/>
  <c r="AN153" i="32"/>
  <c r="AZ153" i="32" s="1"/>
  <c r="AM51" i="32"/>
  <c r="AR51" i="32" s="1"/>
  <c r="AM81" i="32"/>
  <c r="AR81" i="32" s="1"/>
  <c r="AG115" i="32"/>
  <c r="N115" i="32" s="1"/>
  <c r="Z35" i="8"/>
  <c r="Z51" i="8"/>
  <c r="Z67" i="8"/>
  <c r="Z83" i="8"/>
  <c r="AL91" i="32"/>
  <c r="AN75" i="32"/>
  <c r="AZ75" i="32" s="1"/>
  <c r="AM131" i="32"/>
  <c r="AR131" i="32" s="1"/>
  <c r="Y35" i="8"/>
  <c r="AN11" i="32"/>
  <c r="AZ11" i="32" s="1"/>
  <c r="Y43" i="8"/>
  <c r="Y67" i="8"/>
  <c r="AJ205" i="8"/>
  <c r="AO205" i="8" s="1"/>
  <c r="AM147" i="32"/>
  <c r="AR147" i="32" s="1"/>
  <c r="AM155" i="32"/>
  <c r="AR155" i="32" s="1"/>
  <c r="AN131" i="32"/>
  <c r="AZ131" i="32" s="1"/>
  <c r="AM17" i="32"/>
  <c r="AR17" i="32" s="1"/>
  <c r="AL49" i="32"/>
  <c r="X19" i="8"/>
  <c r="X27" i="8"/>
  <c r="AM99" i="32"/>
  <c r="AR99" i="32" s="1"/>
  <c r="AM27" i="32"/>
  <c r="AR27" i="32" s="1"/>
  <c r="AW43" i="8"/>
  <c r="AM67" i="32"/>
  <c r="AR67" i="32" s="1"/>
  <c r="AN27" i="32"/>
  <c r="AZ27" i="32" s="1"/>
  <c r="AL115" i="32"/>
  <c r="AW123" i="8"/>
  <c r="AM139" i="32"/>
  <c r="AR139" i="32" s="1"/>
  <c r="AL35" i="32"/>
  <c r="AL99" i="32"/>
  <c r="AG147" i="32"/>
  <c r="L147" i="32" s="1"/>
  <c r="AN59" i="32"/>
  <c r="AZ59" i="32" s="1"/>
  <c r="X43" i="8"/>
  <c r="X75" i="8"/>
  <c r="AM137" i="32"/>
  <c r="AR137" i="32" s="1"/>
  <c r="AL57" i="32"/>
  <c r="AN115" i="32"/>
  <c r="AZ115" i="32" s="1"/>
  <c r="AM59" i="32"/>
  <c r="AR59" i="32" s="1"/>
  <c r="AJ91" i="8"/>
  <c r="AL41" i="32"/>
  <c r="AL121" i="32"/>
  <c r="AJ139" i="8"/>
  <c r="AO139" i="8" s="1"/>
  <c r="Y27" i="8"/>
  <c r="AL147" i="32"/>
  <c r="AL123" i="32"/>
  <c r="AN67" i="32"/>
  <c r="AZ67" i="32" s="1"/>
  <c r="AN35" i="32"/>
  <c r="AZ35" i="32" s="1"/>
  <c r="AW107" i="8"/>
  <c r="AN17" i="32"/>
  <c r="AZ17" i="32" s="1"/>
  <c r="AN49" i="32"/>
  <c r="AZ49" i="32" s="1"/>
  <c r="Y11" i="8"/>
  <c r="Y75" i="8"/>
  <c r="X59" i="8"/>
  <c r="AN123" i="32"/>
  <c r="AZ123" i="32" s="1"/>
  <c r="AL59" i="32"/>
  <c r="AW91" i="8"/>
  <c r="AN65" i="32"/>
  <c r="AZ65" i="32" s="1"/>
  <c r="AN139" i="32"/>
  <c r="AZ139" i="32" s="1"/>
  <c r="AN43" i="32"/>
  <c r="AZ43" i="32" s="1"/>
  <c r="AU290" i="8"/>
  <c r="AV219" i="8"/>
  <c r="AQ261" i="8"/>
  <c r="AS289" i="8"/>
  <c r="AS294" i="8"/>
  <c r="AU254" i="8"/>
  <c r="BG32" i="8"/>
  <c r="BA48" i="32"/>
  <c r="BL43" i="32"/>
  <c r="BK48" i="32"/>
  <c r="BL113" i="32"/>
  <c r="BL109" i="32"/>
  <c r="AW43" i="32"/>
  <c r="BI138" i="32"/>
  <c r="BI11" i="8"/>
  <c r="BA36" i="32"/>
  <c r="BA40" i="32"/>
  <c r="AT124" i="8"/>
  <c r="BI100" i="8"/>
  <c r="BC18" i="32"/>
  <c r="BK138" i="32"/>
  <c r="AR60" i="8"/>
  <c r="BC40" i="32"/>
  <c r="BA72" i="32"/>
  <c r="AU35" i="32"/>
  <c r="AS126" i="32"/>
  <c r="AS109" i="32"/>
  <c r="BJ138" i="32"/>
  <c r="AU44" i="32"/>
  <c r="AU126" i="32"/>
  <c r="AU109" i="32"/>
  <c r="BJ122" i="32"/>
  <c r="BL138" i="32"/>
  <c r="BK109" i="32"/>
  <c r="AR148" i="8"/>
  <c r="BC41" i="32"/>
  <c r="BK126" i="32"/>
  <c r="AS40" i="32"/>
  <c r="AW126" i="32"/>
  <c r="AW109" i="32"/>
  <c r="BA33" i="32"/>
  <c r="BK33" i="32"/>
  <c r="BG28" i="8"/>
  <c r="BL79" i="32"/>
  <c r="BC56" i="32"/>
  <c r="BG6" i="8"/>
  <c r="BG14" i="8"/>
  <c r="BG22" i="8"/>
  <c r="BG30" i="8"/>
  <c r="BG38" i="8"/>
  <c r="BG46" i="8"/>
  <c r="BG54" i="8"/>
  <c r="BG86" i="8"/>
  <c r="AY6" i="32"/>
  <c r="M6" i="32" s="1"/>
  <c r="AY8" i="32"/>
  <c r="AT100" i="8"/>
  <c r="BK79" i="32"/>
  <c r="BK147" i="32"/>
  <c r="BL56" i="32"/>
  <c r="AU130" i="32"/>
  <c r="BC33" i="32"/>
  <c r="BK56" i="32"/>
  <c r="AS134" i="32"/>
  <c r="AW130" i="32"/>
  <c r="BI21" i="32"/>
  <c r="BI229" i="8"/>
  <c r="BI210" i="8"/>
  <c r="BA18" i="32"/>
  <c r="BK36" i="32"/>
  <c r="BC36" i="32"/>
  <c r="BC52" i="32"/>
  <c r="AW34" i="32"/>
  <c r="AW40" i="32"/>
  <c r="BA34" i="32"/>
  <c r="BL66" i="32"/>
  <c r="BC7" i="32"/>
  <c r="BA56" i="32"/>
  <c r="AZ89" i="8"/>
  <c r="BG105" i="8"/>
  <c r="BG25" i="8"/>
  <c r="AZ116" i="8"/>
  <c r="BA62" i="32"/>
  <c r="BC20" i="32"/>
  <c r="BL41" i="32"/>
  <c r="BK23" i="32"/>
  <c r="BK19" i="32"/>
  <c r="BK13" i="32"/>
  <c r="AP148" i="8"/>
  <c r="AR121" i="8"/>
  <c r="BK18" i="32"/>
  <c r="AZ49" i="8"/>
  <c r="BI7" i="32"/>
  <c r="BA138" i="32"/>
  <c r="BK89" i="32"/>
  <c r="BK40" i="32"/>
  <c r="AT33" i="8"/>
  <c r="BC66" i="32"/>
  <c r="BA122" i="32"/>
  <c r="BA79" i="32"/>
  <c r="BC62" i="32"/>
  <c r="BL36" i="32"/>
  <c r="BK57" i="32"/>
  <c r="BL72" i="32"/>
  <c r="BA113" i="32"/>
  <c r="BC34" i="32"/>
  <c r="BK66" i="32"/>
  <c r="BC93" i="32"/>
  <c r="BL51" i="32"/>
  <c r="BC48" i="32"/>
  <c r="BC104" i="32"/>
  <c r="AW151" i="32"/>
  <c r="AS39" i="32"/>
  <c r="AS19" i="32"/>
  <c r="AU134" i="32"/>
  <c r="AS42" i="32"/>
  <c r="AS18" i="32"/>
  <c r="AS104" i="32"/>
  <c r="AS52" i="32"/>
  <c r="AU40" i="32"/>
  <c r="BA126" i="32"/>
  <c r="AS37" i="32"/>
  <c r="AW13" i="32"/>
  <c r="BL114" i="32"/>
  <c r="BI114" i="32"/>
  <c r="BG231" i="8"/>
  <c r="BC37" i="32"/>
  <c r="BA29" i="32"/>
  <c r="BA35" i="32"/>
  <c r="BA21" i="32"/>
  <c r="BC47" i="32"/>
  <c r="BI129" i="8"/>
  <c r="AT113" i="8"/>
  <c r="AP121" i="8"/>
  <c r="BI28" i="8"/>
  <c r="AP108" i="8"/>
  <c r="AR25" i="8"/>
  <c r="BC82" i="32"/>
  <c r="BK41" i="32"/>
  <c r="BC23" i="32"/>
  <c r="BK17" i="32"/>
  <c r="AR84" i="8"/>
  <c r="BL33" i="32"/>
  <c r="BC14" i="32"/>
  <c r="BC138" i="32"/>
  <c r="AR49" i="8"/>
  <c r="AP89" i="8"/>
  <c r="BC122" i="32"/>
  <c r="BL27" i="32"/>
  <c r="BK52" i="32"/>
  <c r="BK113" i="32"/>
  <c r="AZ137" i="8"/>
  <c r="BL42" i="32"/>
  <c r="BK7" i="32"/>
  <c r="BK100" i="32"/>
  <c r="BL126" i="32"/>
  <c r="BA130" i="32"/>
  <c r="AS147" i="32"/>
  <c r="AW79" i="32"/>
  <c r="AW39" i="32"/>
  <c r="AW19" i="32"/>
  <c r="AS7" i="32"/>
  <c r="AW134" i="32"/>
  <c r="AU42" i="32"/>
  <c r="AW18" i="32"/>
  <c r="AU104" i="32"/>
  <c r="AW52" i="32"/>
  <c r="AS122" i="32"/>
  <c r="AS53" i="32"/>
  <c r="AU37" i="32"/>
  <c r="AU66" i="32"/>
  <c r="BJ114" i="32"/>
  <c r="AW71" i="32"/>
  <c r="AZ28" i="8"/>
  <c r="BC42" i="32"/>
  <c r="AU43" i="32"/>
  <c r="BA43" i="32"/>
  <c r="BA22" i="32"/>
  <c r="BA23" i="32"/>
  <c r="BA44" i="32"/>
  <c r="BA47" i="32"/>
  <c r="BK38" i="32"/>
  <c r="BK47" i="32"/>
  <c r="AZ129" i="8"/>
  <c r="BG113" i="8"/>
  <c r="BG89" i="8"/>
  <c r="AZ121" i="8"/>
  <c r="AZ84" i="8"/>
  <c r="BK82" i="32"/>
  <c r="BL39" i="32"/>
  <c r="BL17" i="32"/>
  <c r="AR89" i="8"/>
  <c r="AP137" i="8"/>
  <c r="BL22" i="32"/>
  <c r="BK14" i="32"/>
  <c r="AZ57" i="8"/>
  <c r="BI113" i="8"/>
  <c r="BL134" i="32"/>
  <c r="AP65" i="8"/>
  <c r="BA57" i="32"/>
  <c r="BC114" i="32"/>
  <c r="BI81" i="8"/>
  <c r="BK43" i="32"/>
  <c r="BC43" i="32"/>
  <c r="BA52" i="32"/>
  <c r="BK72" i="32"/>
  <c r="BC35" i="32"/>
  <c r="BC30" i="32"/>
  <c r="BC143" i="32"/>
  <c r="BK130" i="32"/>
  <c r="BK122" i="32"/>
  <c r="BC126" i="32"/>
  <c r="AU147" i="32"/>
  <c r="AU79" i="32"/>
  <c r="AU39" i="32"/>
  <c r="BA134" i="32"/>
  <c r="AW42" i="32"/>
  <c r="AU14" i="32"/>
  <c r="AS100" i="32"/>
  <c r="AS48" i="32"/>
  <c r="AS138" i="32"/>
  <c r="AU122" i="32"/>
  <c r="AS113" i="32"/>
  <c r="AU53" i="32"/>
  <c r="BI35" i="32"/>
  <c r="BI121" i="8"/>
  <c r="BI124" i="8"/>
  <c r="BK44" i="32"/>
  <c r="BA82" i="32"/>
  <c r="BL44" i="32"/>
  <c r="AR113" i="8"/>
  <c r="BC79" i="32"/>
  <c r="BK134" i="32"/>
  <c r="BK35" i="32"/>
  <c r="BL35" i="32"/>
  <c r="BK29" i="32"/>
  <c r="BC72" i="32"/>
  <c r="BA147" i="32"/>
  <c r="BK118" i="32"/>
  <c r="BC113" i="32"/>
  <c r="AW147" i="32"/>
  <c r="AS35" i="32"/>
  <c r="AS38" i="32"/>
  <c r="AW14" i="32"/>
  <c r="AW100" i="32"/>
  <c r="AS72" i="32"/>
  <c r="AW48" i="32"/>
  <c r="AS24" i="32"/>
  <c r="AU138" i="32"/>
  <c r="AW122" i="32"/>
  <c r="AU113" i="32"/>
  <c r="AS93" i="32"/>
  <c r="AW53" i="32"/>
  <c r="AS29" i="32"/>
  <c r="BI62" i="32"/>
  <c r="BI43" i="32"/>
  <c r="BG13" i="8"/>
  <c r="BB125" i="32"/>
  <c r="BL29" i="32"/>
  <c r="BA39" i="32"/>
  <c r="BA30" i="32"/>
  <c r="BG129" i="8"/>
  <c r="AR105" i="8"/>
  <c r="BK39" i="32"/>
  <c r="BC21" i="32"/>
  <c r="BG137" i="8"/>
  <c r="BK22" i="32"/>
  <c r="BA14" i="32"/>
  <c r="BA41" i="32"/>
  <c r="BK25" i="32"/>
  <c r="BC44" i="32"/>
  <c r="BC39" i="32"/>
  <c r="BL30" i="32"/>
  <c r="BC22" i="32"/>
  <c r="BA93" i="32"/>
  <c r="BL130" i="32"/>
  <c r="BC147" i="32"/>
  <c r="BC29" i="32"/>
  <c r="BI49" i="8"/>
  <c r="BA109" i="32"/>
  <c r="BA66" i="32"/>
  <c r="BC134" i="32"/>
  <c r="AW35" i="32"/>
  <c r="BC118" i="32"/>
  <c r="AU29" i="32"/>
  <c r="AS130" i="32"/>
  <c r="BI29" i="32"/>
  <c r="AY73" i="32"/>
  <c r="AS148" i="32"/>
  <c r="BB7" i="32"/>
  <c r="AW10" i="8"/>
  <c r="Y34" i="8"/>
  <c r="AR21" i="8"/>
  <c r="AP72" i="8"/>
  <c r="AR45" i="8"/>
  <c r="AZ29" i="8"/>
  <c r="BG61" i="8"/>
  <c r="AQ88" i="8"/>
  <c r="BB115" i="32"/>
  <c r="AJ90" i="8"/>
  <c r="Y90" i="8"/>
  <c r="U51" i="8"/>
  <c r="AP10" i="8"/>
  <c r="AV13" i="8"/>
  <c r="BG18" i="8"/>
  <c r="AV21" i="8"/>
  <c r="AT26" i="8"/>
  <c r="AV37" i="8"/>
  <c r="BG42" i="8"/>
  <c r="AV45" i="8"/>
  <c r="AV61" i="8"/>
  <c r="AV69" i="8"/>
  <c r="BG74" i="8"/>
  <c r="AV77" i="8"/>
  <c r="AZ90" i="8"/>
  <c r="AW41" i="8"/>
  <c r="BB26" i="32"/>
  <c r="BB12" i="32"/>
  <c r="AV80" i="8"/>
  <c r="AP64" i="8"/>
  <c r="AW27" i="8"/>
  <c r="AW11" i="8"/>
  <c r="AT85" i="8"/>
  <c r="AT61" i="8"/>
  <c r="X50" i="8"/>
  <c r="BB71" i="32"/>
  <c r="Z50" i="8"/>
  <c r="BB41" i="32"/>
  <c r="BG21" i="8"/>
  <c r="AQ21" i="8"/>
  <c r="X42" i="8"/>
  <c r="AW19" i="8"/>
  <c r="AS21" i="8"/>
  <c r="AU80" i="8"/>
  <c r="AR77" i="8"/>
  <c r="Y82" i="8"/>
  <c r="X82" i="8"/>
  <c r="BB153" i="32"/>
  <c r="AZ68" i="8"/>
  <c r="BI84" i="8"/>
  <c r="BB35" i="32"/>
  <c r="AP21" i="8"/>
  <c r="AJ34" i="8"/>
  <c r="AJ10" i="8"/>
  <c r="AJ42" i="8"/>
  <c r="AP77" i="8"/>
  <c r="BI88" i="8"/>
  <c r="AU21" i="8"/>
  <c r="BI45" i="8"/>
  <c r="AJ50" i="8"/>
  <c r="AU64" i="8"/>
  <c r="BB89" i="32"/>
  <c r="Y74" i="8"/>
  <c r="X18" i="8"/>
  <c r="Z66" i="8"/>
  <c r="Y10" i="8"/>
  <c r="BB18" i="32"/>
  <c r="AV72" i="8"/>
  <c r="BG85" i="8"/>
  <c r="X34" i="8"/>
  <c r="AJ18" i="8"/>
  <c r="AR88" i="8"/>
  <c r="AP45" i="8"/>
  <c r="BI29" i="8"/>
  <c r="AW83" i="8"/>
  <c r="AZ72" i="8"/>
  <c r="Y50" i="8"/>
  <c r="Y66" i="8"/>
  <c r="X66" i="8"/>
  <c r="BB70" i="32"/>
  <c r="BB48" i="32"/>
  <c r="BB49" i="32"/>
  <c r="AV64" i="8"/>
  <c r="Y42" i="8"/>
  <c r="AJ26" i="8"/>
  <c r="AS29" i="8"/>
  <c r="AT29" i="8"/>
  <c r="AT77" i="8"/>
  <c r="AZ45" i="8"/>
  <c r="BI72" i="8"/>
  <c r="AT64" i="8"/>
  <c r="AW75" i="8"/>
  <c r="AJ82" i="8"/>
  <c r="AJ74" i="8"/>
  <c r="AJ66" i="8"/>
  <c r="X10" i="8"/>
  <c r="Z18" i="8"/>
  <c r="Z82" i="8"/>
  <c r="BB27" i="32"/>
  <c r="BB37" i="32"/>
  <c r="Y26" i="8"/>
  <c r="X26" i="8"/>
  <c r="AQ29" i="8"/>
  <c r="AT40" i="8"/>
  <c r="AW67" i="8"/>
  <c r="X74" i="8"/>
  <c r="X58" i="8"/>
  <c r="BB16" i="32"/>
  <c r="BB46" i="32"/>
  <c r="BI217" i="8"/>
  <c r="BB151" i="32"/>
  <c r="BB152" i="32"/>
  <c r="BB146" i="32"/>
  <c r="AU284" i="8"/>
  <c r="AQ294" i="8"/>
  <c r="AV230" i="8"/>
  <c r="AP211" i="8"/>
  <c r="BB20" i="32"/>
  <c r="BB33" i="32"/>
  <c r="AQ217" i="8"/>
  <c r="AS241" i="8"/>
  <c r="BB29" i="32"/>
  <c r="BB24" i="32"/>
  <c r="BB45" i="32"/>
  <c r="BB43" i="32"/>
  <c r="AQ226" i="8"/>
  <c r="AU233" i="8"/>
  <c r="BI207" i="8"/>
  <c r="BI231" i="8"/>
  <c r="AS252" i="8"/>
  <c r="AS207" i="8"/>
  <c r="BI216" i="8"/>
  <c r="AQ237" i="8"/>
  <c r="BI237" i="8"/>
  <c r="BB131" i="32"/>
  <c r="BB88" i="32"/>
  <c r="BB130" i="32"/>
  <c r="AQ309" i="8"/>
  <c r="AU289" i="8"/>
  <c r="AQ275" i="8"/>
  <c r="AQ254" i="8"/>
  <c r="BG233" i="8"/>
  <c r="AK253" i="8"/>
  <c r="AW253" i="8" s="1"/>
  <c r="AK229" i="8"/>
  <c r="AW229" i="8" s="1"/>
  <c r="AK274" i="8"/>
  <c r="BB17" i="32"/>
  <c r="BB21" i="32"/>
  <c r="BB15" i="32"/>
  <c r="AS223" i="8"/>
  <c r="BB14" i="32"/>
  <c r="BB23" i="32"/>
  <c r="BB32" i="32"/>
  <c r="BB44" i="32"/>
  <c r="BB38" i="32"/>
  <c r="BB47" i="32"/>
  <c r="AV261" i="8"/>
  <c r="B10" i="11"/>
  <c r="AU244" i="8"/>
  <c r="AS226" i="8"/>
  <c r="AU215" i="8"/>
  <c r="AQ207" i="8"/>
  <c r="AS243" i="8"/>
  <c r="AQ210" i="8"/>
  <c r="BI236" i="8"/>
  <c r="BB119" i="32"/>
  <c r="BB60" i="32"/>
  <c r="BB114" i="32"/>
  <c r="AS268" i="8"/>
  <c r="AK223" i="8"/>
  <c r="BB39" i="32"/>
  <c r="BB40" i="32"/>
  <c r="BB42" i="32"/>
  <c r="BB30" i="32"/>
  <c r="BB8" i="32"/>
  <c r="BI233" i="8"/>
  <c r="AU249" i="8"/>
  <c r="AU237" i="8"/>
  <c r="AS233" i="8"/>
  <c r="AQ230" i="8"/>
  <c r="AS217" i="8"/>
  <c r="BB99" i="32"/>
  <c r="BB141" i="32"/>
  <c r="BB66" i="32"/>
  <c r="AS290" i="8"/>
  <c r="AS275" i="8"/>
  <c r="BB55" i="32"/>
  <c r="BG230" i="8"/>
  <c r="BB10" i="32"/>
  <c r="BB13" i="32"/>
  <c r="AU207" i="8"/>
  <c r="BI249" i="8"/>
  <c r="BI230" i="8"/>
  <c r="AQ212" i="8"/>
  <c r="BI212" i="8"/>
  <c r="BB87" i="32"/>
  <c r="BB137" i="32"/>
  <c r="BB108" i="32"/>
  <c r="AK235" i="8"/>
  <c r="AK247" i="8"/>
  <c r="BI223" i="8"/>
  <c r="AK207" i="8"/>
  <c r="BB36" i="32"/>
  <c r="BB22" i="32"/>
  <c r="BB19" i="32"/>
  <c r="BB9" i="32"/>
  <c r="AV290" i="8"/>
  <c r="BB28" i="32"/>
  <c r="BB50" i="32"/>
  <c r="BB25" i="32"/>
  <c r="BB31" i="32"/>
  <c r="BB34" i="32"/>
  <c r="AV254" i="8"/>
  <c r="AV289" i="8"/>
  <c r="AV294" i="8"/>
  <c r="AU230" i="8"/>
  <c r="AU223" i="8"/>
  <c r="BI215" i="8"/>
  <c r="BB83" i="32"/>
  <c r="AV26" i="32"/>
  <c r="AT26" i="32"/>
  <c r="AW26" i="32"/>
  <c r="AW136" i="32"/>
  <c r="AY136" i="32"/>
  <c r="AU136" i="32"/>
  <c r="AZ58" i="8"/>
  <c r="BI18" i="8"/>
  <c r="BG154" i="8"/>
  <c r="AR146" i="8"/>
  <c r="BG26" i="8"/>
  <c r="AR58" i="8"/>
  <c r="AR42" i="8"/>
  <c r="K46" i="14"/>
  <c r="BG146" i="8"/>
  <c r="AP38" i="8"/>
  <c r="AP42" i="8"/>
  <c r="AT50" i="8"/>
  <c r="AT54" i="8"/>
  <c r="BG58" i="8"/>
  <c r="AP18" i="8"/>
  <c r="AZ42" i="8"/>
  <c r="AQ31" i="8"/>
  <c r="AP26" i="8"/>
  <c r="K17" i="14"/>
  <c r="AU46" i="8"/>
  <c r="AQ151" i="8"/>
  <c r="BD208" i="8"/>
  <c r="K18" i="14"/>
  <c r="BA101" i="32"/>
  <c r="AU98" i="32"/>
  <c r="AS101" i="32"/>
  <c r="BA73" i="32"/>
  <c r="BB67" i="32"/>
  <c r="AV38" i="8"/>
  <c r="AR154" i="8"/>
  <c r="AT38" i="8"/>
  <c r="AR46" i="8"/>
  <c r="AZ50" i="8"/>
  <c r="AZ18" i="8"/>
  <c r="AU11" i="8"/>
  <c r="AP146" i="8"/>
  <c r="K47" i="14"/>
  <c r="B14" i="12"/>
  <c r="B21" i="12" s="1"/>
  <c r="B28" i="12" s="1"/>
  <c r="B35" i="12" s="1"/>
  <c r="B42" i="12" s="1"/>
  <c r="M22" i="14"/>
  <c r="O39" i="19"/>
  <c r="V39" i="19" s="1"/>
  <c r="K21" i="14"/>
  <c r="B15" i="12"/>
  <c r="B22" i="12" s="1"/>
  <c r="B29" i="12" s="1"/>
  <c r="B36" i="12" s="1"/>
  <c r="B43" i="12" s="1"/>
  <c r="AS50" i="8"/>
  <c r="AS151" i="8"/>
  <c r="M11" i="14"/>
  <c r="M13" i="14"/>
  <c r="BD230" i="8"/>
  <c r="AQ206" i="8"/>
  <c r="M28" i="13"/>
  <c r="N53" i="11"/>
  <c r="K15" i="14"/>
  <c r="M53" i="13"/>
  <c r="M11" i="13"/>
  <c r="BC73" i="32"/>
  <c r="AQ7" i="8"/>
  <c r="AU101" i="32"/>
  <c r="AV27" i="32"/>
  <c r="AV98" i="32"/>
  <c r="AY98" i="32"/>
  <c r="BI39" i="32"/>
  <c r="AS70" i="32"/>
  <c r="AY70" i="32"/>
  <c r="O70" i="32" s="1"/>
  <c r="AT86" i="32"/>
  <c r="AU86" i="32"/>
  <c r="AS86" i="32"/>
  <c r="AU142" i="32"/>
  <c r="AS142" i="32"/>
  <c r="AV144" i="32"/>
  <c r="AT144" i="32"/>
  <c r="AG143" i="32"/>
  <c r="N143" i="32" s="1"/>
  <c r="AN143" i="32"/>
  <c r="AZ143" i="32" s="1"/>
  <c r="AG135" i="32"/>
  <c r="L135" i="32" s="1"/>
  <c r="AL135" i="32"/>
  <c r="AG127" i="32"/>
  <c r="L127" i="32" s="1"/>
  <c r="S127" i="32"/>
  <c r="AG111" i="32"/>
  <c r="N111" i="32" s="1"/>
  <c r="AL111" i="32"/>
  <c r="AG95" i="32"/>
  <c r="N95" i="32" s="1"/>
  <c r="S95" i="32"/>
  <c r="AG63" i="32"/>
  <c r="N63" i="32" s="1"/>
  <c r="S63" i="32"/>
  <c r="AG31" i="32"/>
  <c r="N31" i="32" s="1"/>
  <c r="S31" i="32"/>
  <c r="AN31" i="32"/>
  <c r="AZ31" i="32" s="1"/>
  <c r="AX25" i="32"/>
  <c r="AW25" i="32"/>
  <c r="AV25" i="32"/>
  <c r="AU25" i="32"/>
  <c r="AZ146" i="8"/>
  <c r="BK73" i="32"/>
  <c r="AU23" i="8"/>
  <c r="AT146" i="8"/>
  <c r="K23" i="14"/>
  <c r="K40" i="14"/>
  <c r="AQ86" i="8"/>
  <c r="AU54" i="8"/>
  <c r="M15" i="14"/>
  <c r="M34" i="14"/>
  <c r="M20" i="14"/>
  <c r="K20" i="14"/>
  <c r="K28" i="14"/>
  <c r="AU26" i="32"/>
  <c r="AX26" i="32"/>
  <c r="AP154" i="8"/>
  <c r="AP58" i="8"/>
  <c r="AR18" i="8"/>
  <c r="K22" i="14"/>
  <c r="M23" i="14"/>
  <c r="K35" i="14"/>
  <c r="K48" i="14"/>
  <c r="BG50" i="8"/>
  <c r="AR50" i="8"/>
  <c r="BI50" i="8"/>
  <c r="O44" i="19"/>
  <c r="V44" i="19" s="1"/>
  <c r="M46" i="14"/>
  <c r="M26" i="14"/>
  <c r="M43" i="14"/>
  <c r="BI10" i="8"/>
  <c r="AU38" i="8"/>
  <c r="AS67" i="32"/>
  <c r="AS9" i="32"/>
  <c r="AT9" i="32"/>
  <c r="AT27" i="32"/>
  <c r="I41" i="14"/>
  <c r="I37" i="14"/>
  <c r="AV13" i="32"/>
  <c r="AT13" i="32"/>
  <c r="AY28" i="32"/>
  <c r="AX28" i="32"/>
  <c r="AT35" i="32"/>
  <c r="AV35" i="32"/>
  <c r="AY38" i="32"/>
  <c r="AT38" i="32"/>
  <c r="AS44" i="32"/>
  <c r="AY44" i="32"/>
  <c r="AT48" i="32"/>
  <c r="AV48" i="32"/>
  <c r="AU48" i="32"/>
  <c r="AX64" i="32"/>
  <c r="AU64" i="32"/>
  <c r="AT64" i="32"/>
  <c r="AW64" i="32"/>
  <c r="AW9" i="32"/>
  <c r="K41" i="14"/>
  <c r="AW30" i="32"/>
  <c r="AY30" i="32"/>
  <c r="M30" i="32" s="1"/>
  <c r="AU30" i="32"/>
  <c r="AV41" i="32"/>
  <c r="AT41" i="32"/>
  <c r="AW41" i="32"/>
  <c r="AY132" i="32"/>
  <c r="AX132" i="32"/>
  <c r="AV132" i="32"/>
  <c r="K27" i="14"/>
  <c r="AJ246" i="8"/>
  <c r="AS31" i="32"/>
  <c r="AS136" i="32"/>
  <c r="AW65" i="32"/>
  <c r="AX65" i="32"/>
  <c r="AU65" i="32"/>
  <c r="BB105" i="32"/>
  <c r="BA105" i="32"/>
  <c r="AW105" i="32"/>
  <c r="V246" i="8"/>
  <c r="M246" i="8" s="1"/>
  <c r="AK246" i="8"/>
  <c r="AW246" i="8" s="1"/>
  <c r="BG10" i="8"/>
  <c r="AP46" i="8"/>
  <c r="AR54" i="8"/>
  <c r="AT58" i="8"/>
  <c r="AT18" i="8"/>
  <c r="AU15" i="8"/>
  <c r="AQ15" i="8"/>
  <c r="K34" i="14"/>
  <c r="K24" i="14"/>
  <c r="B84" i="19"/>
  <c r="B93" i="19" s="1"/>
  <c r="B102" i="19" s="1"/>
  <c r="B111" i="19" s="1"/>
  <c r="B120" i="19" s="1"/>
  <c r="B129" i="19" s="1"/>
  <c r="AT142" i="8"/>
  <c r="AQ42" i="8"/>
  <c r="M12" i="14"/>
  <c r="P44" i="19" s="1"/>
  <c r="BL105" i="32"/>
  <c r="BL67" i="32"/>
  <c r="M18" i="14"/>
  <c r="M35" i="14"/>
  <c r="BD206" i="8"/>
  <c r="BD232" i="8"/>
  <c r="K43" i="14"/>
  <c r="AS132" i="32"/>
  <c r="AV205" i="8"/>
  <c r="AX136" i="32"/>
  <c r="BJ67" i="32"/>
  <c r="AT110" i="8"/>
  <c r="BL73" i="32"/>
  <c r="AX41" i="32"/>
  <c r="AX30" i="32"/>
  <c r="AV136" i="32"/>
  <c r="AX71" i="32"/>
  <c r="AT71" i="32"/>
  <c r="AZ154" i="8"/>
  <c r="AT42" i="8"/>
  <c r="AR26" i="8"/>
  <c r="K11" i="14"/>
  <c r="K31" i="14"/>
  <c r="AP205" i="8"/>
  <c r="AS7" i="8"/>
  <c r="AQ54" i="8"/>
  <c r="AU58" i="8"/>
  <c r="M48" i="14"/>
  <c r="BK105" i="32"/>
  <c r="BA67" i="32"/>
  <c r="M45" i="14"/>
  <c r="M28" i="14"/>
  <c r="K13" i="14"/>
  <c r="K45" i="14"/>
  <c r="M19" i="14"/>
  <c r="AW132" i="32"/>
  <c r="AS105" i="32"/>
  <c r="AS73" i="32"/>
  <c r="AS41" i="32"/>
  <c r="AS25" i="32"/>
  <c r="AT31" i="32"/>
  <c r="AT132" i="32"/>
  <c r="AT102" i="32"/>
  <c r="AY31" i="32"/>
  <c r="M42" i="14"/>
  <c r="M38" i="14"/>
  <c r="K16" i="14"/>
  <c r="AQ38" i="8"/>
  <c r="BD233" i="8"/>
  <c r="BD231" i="8"/>
  <c r="K30" i="14"/>
  <c r="K26" i="14"/>
  <c r="AS30" i="32"/>
  <c r="AS26" i="32"/>
  <c r="AU105" i="32"/>
  <c r="AU41" i="32"/>
  <c r="AT25" i="32"/>
  <c r="AV31" i="32"/>
  <c r="AX102" i="32"/>
  <c r="AY26" i="32"/>
  <c r="M41" i="14"/>
  <c r="AR90" i="8"/>
  <c r="AU36" i="32"/>
  <c r="AW36" i="32"/>
  <c r="BJ49" i="32"/>
  <c r="AU49" i="32"/>
  <c r="AS49" i="32"/>
  <c r="AQ279" i="8"/>
  <c r="AS279" i="8"/>
  <c r="AU299" i="8"/>
  <c r="AS299" i="8"/>
  <c r="AR10" i="8"/>
  <c r="AR38" i="8"/>
  <c r="AQ23" i="8"/>
  <c r="AS71" i="32"/>
  <c r="AT98" i="32"/>
  <c r="AY102" i="32"/>
  <c r="BJ19" i="32"/>
  <c r="BI19" i="32"/>
  <c r="BI25" i="32"/>
  <c r="BJ25" i="32"/>
  <c r="BJ56" i="32"/>
  <c r="BI56" i="32"/>
  <c r="AV77" i="32"/>
  <c r="AV89" i="8"/>
  <c r="AJ211" i="8"/>
  <c r="Y1" i="8"/>
  <c r="V34" i="31" s="1"/>
  <c r="AV7" i="8"/>
  <c r="AP12" i="8"/>
  <c r="AV15" i="8"/>
  <c r="AT20" i="8"/>
  <c r="AV23" i="8"/>
  <c r="AT92" i="8"/>
  <c r="AR132" i="8"/>
  <c r="AT148" i="8"/>
  <c r="AS21" i="32"/>
  <c r="AU28" i="32"/>
  <c r="AU31" i="32"/>
  <c r="S106" i="32"/>
  <c r="AW77" i="32"/>
  <c r="BJ87" i="32"/>
  <c r="BI97" i="32"/>
  <c r="AU38" i="32"/>
  <c r="AQ289" i="8"/>
  <c r="V215" i="8"/>
  <c r="M215" i="8" s="1"/>
  <c r="S107" i="32"/>
  <c r="AK292" i="8"/>
  <c r="AP280" i="8"/>
  <c r="AR285" i="8"/>
  <c r="AP305" i="8"/>
  <c r="AK239" i="8"/>
  <c r="AW239" i="8" s="1"/>
  <c r="BI220" i="8"/>
  <c r="BI42" i="8"/>
  <c r="AV109" i="8"/>
  <c r="AY35" i="32"/>
  <c r="AS246" i="8"/>
  <c r="BI244" i="8"/>
  <c r="BI238" i="8"/>
  <c r="AV212" i="8"/>
  <c r="AG51" i="32"/>
  <c r="N51" i="32" s="1"/>
  <c r="S139" i="32"/>
  <c r="BB109" i="32"/>
  <c r="AG83" i="32"/>
  <c r="N83" i="32" s="1"/>
  <c r="S42" i="32"/>
  <c r="AU307" i="8"/>
  <c r="AS307" i="8"/>
  <c r="AQ307" i="8"/>
  <c r="U220" i="8"/>
  <c r="M220" i="8" s="1"/>
  <c r="AK220" i="8"/>
  <c r="E17" i="14"/>
  <c r="E46" i="14"/>
  <c r="E30" i="14"/>
  <c r="E45" i="14"/>
  <c r="E31" i="14"/>
  <c r="E48" i="14"/>
  <c r="E26" i="14"/>
  <c r="E35" i="14"/>
  <c r="E21" i="14"/>
  <c r="E20" i="14"/>
  <c r="E42" i="14"/>
  <c r="E43" i="14"/>
  <c r="E23" i="14"/>
  <c r="E18" i="14"/>
  <c r="E24" i="14"/>
  <c r="E47" i="14"/>
  <c r="E19" i="14"/>
  <c r="E16" i="14"/>
  <c r="E22" i="14"/>
  <c r="E13" i="14"/>
  <c r="E28" i="14"/>
  <c r="AS6" i="8"/>
  <c r="AT6" i="8"/>
  <c r="AU14" i="8"/>
  <c r="AS14" i="8"/>
  <c r="AP14" i="8"/>
  <c r="AQ22" i="8"/>
  <c r="AR22" i="8"/>
  <c r="AU22" i="8"/>
  <c r="AS30" i="8"/>
  <c r="AQ30" i="8"/>
  <c r="AT30" i="8"/>
  <c r="AP30" i="8"/>
  <c r="AS143" i="8"/>
  <c r="AQ143" i="8"/>
  <c r="AU143" i="8"/>
  <c r="AS135" i="8"/>
  <c r="AU135" i="8"/>
  <c r="AS119" i="8"/>
  <c r="AQ119" i="8"/>
  <c r="AS111" i="8"/>
  <c r="AU111" i="8"/>
  <c r="AQ111" i="8"/>
  <c r="AU103" i="8"/>
  <c r="AQ103" i="8"/>
  <c r="AS95" i="8"/>
  <c r="AR95" i="8"/>
  <c r="AU95" i="8"/>
  <c r="AU87" i="8"/>
  <c r="AS87" i="8"/>
  <c r="AU79" i="8"/>
  <c r="AS79" i="8"/>
  <c r="AQ79" i="8"/>
  <c r="AV79" i="8"/>
  <c r="AQ63" i="8"/>
  <c r="AU63" i="8"/>
  <c r="AQ55" i="8"/>
  <c r="AV55" i="8"/>
  <c r="AV47" i="8"/>
  <c r="AT152" i="8"/>
  <c r="AS152" i="8"/>
  <c r="AV152" i="8"/>
  <c r="AS90" i="32"/>
  <c r="AX90" i="32"/>
  <c r="AV90" i="32"/>
  <c r="AT90" i="32"/>
  <c r="AW90" i="32"/>
  <c r="AD6" i="32"/>
  <c r="AM6" i="32"/>
  <c r="AR6" i="32" s="1"/>
  <c r="AA1" i="32"/>
  <c r="AL6" i="32"/>
  <c r="AM140" i="32"/>
  <c r="AR140" i="32" s="1"/>
  <c r="AN140" i="32"/>
  <c r="AZ140" i="32" s="1"/>
  <c r="AN132" i="32"/>
  <c r="AZ132" i="32" s="1"/>
  <c r="AL132" i="32"/>
  <c r="AM124" i="32"/>
  <c r="AR124" i="32" s="1"/>
  <c r="AN124" i="32"/>
  <c r="AZ124" i="32" s="1"/>
  <c r="AL124" i="32"/>
  <c r="AM116" i="32"/>
  <c r="AR116" i="32" s="1"/>
  <c r="AL116" i="32"/>
  <c r="AL108" i="32"/>
  <c r="AM108" i="32"/>
  <c r="AR108" i="32" s="1"/>
  <c r="AN108" i="32"/>
  <c r="AZ108" i="32" s="1"/>
  <c r="AL100" i="32"/>
  <c r="AM100" i="32"/>
  <c r="AR100" i="32" s="1"/>
  <c r="AL92" i="32"/>
  <c r="AM92" i="32"/>
  <c r="AR92" i="32" s="1"/>
  <c r="AN84" i="32"/>
  <c r="AZ84" i="32" s="1"/>
  <c r="AM84" i="32"/>
  <c r="AR84" i="32" s="1"/>
  <c r="AL84" i="32"/>
  <c r="AG76" i="32"/>
  <c r="L76" i="32" s="1"/>
  <c r="AN76" i="32"/>
  <c r="AZ76" i="32" s="1"/>
  <c r="AM76" i="32"/>
  <c r="AR76" i="32" s="1"/>
  <c r="AL68" i="32"/>
  <c r="AM68" i="32"/>
  <c r="AR68" i="32" s="1"/>
  <c r="AN68" i="32"/>
  <c r="AZ68" i="32" s="1"/>
  <c r="AG60" i="32"/>
  <c r="L60" i="32" s="1"/>
  <c r="AN60" i="32"/>
  <c r="AZ60" i="32" s="1"/>
  <c r="AM60" i="32"/>
  <c r="AR60" i="32" s="1"/>
  <c r="AL60" i="32"/>
  <c r="AG52" i="32"/>
  <c r="N52" i="32" s="1"/>
  <c r="AM52" i="32"/>
  <c r="AR52" i="32" s="1"/>
  <c r="AN52" i="32"/>
  <c r="AZ52" i="32" s="1"/>
  <c r="AL52" i="32"/>
  <c r="AG44" i="32"/>
  <c r="N44" i="32" s="1"/>
  <c r="AM44" i="32"/>
  <c r="AR44" i="32" s="1"/>
  <c r="AN44" i="32"/>
  <c r="AZ44" i="32" s="1"/>
  <c r="AL44" i="32"/>
  <c r="AM36" i="32"/>
  <c r="AR36" i="32" s="1"/>
  <c r="AL36" i="32"/>
  <c r="AG28" i="32"/>
  <c r="L28" i="32" s="1"/>
  <c r="AN28" i="32"/>
  <c r="AZ28" i="32" s="1"/>
  <c r="AL28" i="32"/>
  <c r="S20" i="32"/>
  <c r="AM20" i="32"/>
  <c r="AR20" i="32" s="1"/>
  <c r="AN20" i="32"/>
  <c r="AZ20" i="32" s="1"/>
  <c r="AL20" i="32"/>
  <c r="S12" i="32"/>
  <c r="AN12" i="32"/>
  <c r="AZ12" i="32" s="1"/>
  <c r="AG12" i="32"/>
  <c r="L12" i="32" s="1"/>
  <c r="AM12" i="32"/>
  <c r="AR12" i="32" s="1"/>
  <c r="AL12" i="32"/>
  <c r="AU255" i="8"/>
  <c r="AS255" i="8"/>
  <c r="AU269" i="8"/>
  <c r="AS269" i="8"/>
  <c r="AQ269" i="8"/>
  <c r="AV269" i="8"/>
  <c r="AU287" i="8"/>
  <c r="AS287" i="8"/>
  <c r="E34" i="14"/>
  <c r="AT22" i="8"/>
  <c r="E33" i="14"/>
  <c r="AS63" i="8"/>
  <c r="AT68" i="8"/>
  <c r="E11" i="14"/>
  <c r="BI246" i="8"/>
  <c r="AJ229" i="8"/>
  <c r="BD212" i="8"/>
  <c r="I20" i="13"/>
  <c r="BL84" i="32"/>
  <c r="AW84" i="32"/>
  <c r="AS84" i="32"/>
  <c r="BA84" i="32"/>
  <c r="BK84" i="32"/>
  <c r="AQ277" i="8"/>
  <c r="AU277" i="8"/>
  <c r="AS277" i="8"/>
  <c r="AU282" i="8"/>
  <c r="AS282" i="8"/>
  <c r="AQ282" i="8"/>
  <c r="AU292" i="8"/>
  <c r="AS292" i="8"/>
  <c r="AV292" i="8"/>
  <c r="AQ292" i="8"/>
  <c r="E15" i="14"/>
  <c r="AW82" i="32"/>
  <c r="AU82" i="32"/>
  <c r="AS82" i="32"/>
  <c r="AX82" i="32"/>
  <c r="AV82" i="32"/>
  <c r="AQ240" i="8"/>
  <c r="AS240" i="8"/>
  <c r="BI240" i="8"/>
  <c r="AU240" i="8"/>
  <c r="BI234" i="8"/>
  <c r="AU234" i="8"/>
  <c r="AS234" i="8"/>
  <c r="AU228" i="8"/>
  <c r="BI228" i="8"/>
  <c r="AZ222" i="8"/>
  <c r="AU222" i="8"/>
  <c r="AQ222" i="8"/>
  <c r="BI208" i="8"/>
  <c r="AU208" i="8"/>
  <c r="AQ208" i="8"/>
  <c r="V209" i="8"/>
  <c r="M209" i="8" s="1"/>
  <c r="AK209" i="8"/>
  <c r="AW209" i="8" s="1"/>
  <c r="AS302" i="8"/>
  <c r="AQ302" i="8"/>
  <c r="AU302" i="8"/>
  <c r="AV63" i="8"/>
  <c r="AP79" i="8"/>
  <c r="AZ92" i="8"/>
  <c r="AT140" i="8"/>
  <c r="AP152" i="8"/>
  <c r="C2" i="14"/>
  <c r="AQ95" i="8"/>
  <c r="AQ228" i="8"/>
  <c r="AJ227" i="8"/>
  <c r="AJ241" i="8"/>
  <c r="I53" i="13"/>
  <c r="E40" i="14"/>
  <c r="BJ33" i="32"/>
  <c r="BJ76" i="32"/>
  <c r="BL76" i="32"/>
  <c r="BC76" i="32"/>
  <c r="AU76" i="32"/>
  <c r="AW76" i="32"/>
  <c r="BK76" i="32"/>
  <c r="BA76" i="32"/>
  <c r="BI76" i="32"/>
  <c r="BB92" i="32"/>
  <c r="BL92" i="32"/>
  <c r="BC92" i="32"/>
  <c r="BA92" i="32"/>
  <c r="AW92" i="32"/>
  <c r="AS92" i="32"/>
  <c r="I40" i="13"/>
  <c r="E27" i="14"/>
  <c r="AJ218" i="8"/>
  <c r="AJ233" i="8"/>
  <c r="AQ246" i="8"/>
  <c r="BD237" i="8"/>
  <c r="I26" i="13"/>
  <c r="I56" i="13"/>
  <c r="AU92" i="32"/>
  <c r="AV74" i="32"/>
  <c r="AU74" i="32"/>
  <c r="AU148" i="32"/>
  <c r="AX148" i="32"/>
  <c r="AY148" i="32"/>
  <c r="AV148" i="32"/>
  <c r="AT148" i="32"/>
  <c r="BI150" i="32"/>
  <c r="BK150" i="32"/>
  <c r="AS150" i="32"/>
  <c r="BC150" i="32"/>
  <c r="BL150" i="32"/>
  <c r="AY151" i="32"/>
  <c r="AU151" i="32"/>
  <c r="AX151" i="32"/>
  <c r="AT151" i="32"/>
  <c r="AV151" i="32"/>
  <c r="AU263" i="8"/>
  <c r="AU267" i="8"/>
  <c r="AU293" i="8"/>
  <c r="AU291" i="8"/>
  <c r="AU294" i="8"/>
  <c r="AU261" i="8"/>
  <c r="AS211" i="8"/>
  <c r="AS210" i="8"/>
  <c r="AS237" i="8"/>
  <c r="AS213" i="8"/>
  <c r="AS235" i="8"/>
  <c r="AS286" i="8"/>
  <c r="AS309" i="8"/>
  <c r="AS308" i="8"/>
  <c r="AS310" i="8"/>
  <c r="AS284" i="8"/>
  <c r="AS283" i="8"/>
  <c r="AQ220" i="8"/>
  <c r="AQ245" i="8"/>
  <c r="AQ242" i="8"/>
  <c r="AQ244" i="8"/>
  <c r="AQ221" i="8"/>
  <c r="AQ243" i="8"/>
  <c r="AR92" i="8"/>
  <c r="AS103" i="8"/>
  <c r="AU246" i="8"/>
  <c r="AJ231" i="8"/>
  <c r="BJ68" i="32"/>
  <c r="AS68" i="32"/>
  <c r="BC68" i="32"/>
  <c r="BL68" i="32"/>
  <c r="AU140" i="32"/>
  <c r="AS140" i="32"/>
  <c r="AX140" i="32"/>
  <c r="AV140" i="32"/>
  <c r="AJ235" i="8"/>
  <c r="AJ226" i="8"/>
  <c r="AJ252" i="8"/>
  <c r="AJ224" i="8"/>
  <c r="AJ222" i="8"/>
  <c r="AJ251" i="8"/>
  <c r="AJ214" i="8"/>
  <c r="AJ244" i="8"/>
  <c r="AJ236" i="8"/>
  <c r="AJ208" i="8"/>
  <c r="AJ232" i="8"/>
  <c r="AJ228" i="8"/>
  <c r="AJ278" i="8"/>
  <c r="AO278" i="8" s="1"/>
  <c r="AJ216" i="8"/>
  <c r="AJ245" i="8"/>
  <c r="AJ237" i="8"/>
  <c r="AJ209" i="8"/>
  <c r="AJ234" i="8"/>
  <c r="AJ230" i="8"/>
  <c r="AJ217" i="8"/>
  <c r="AJ206" i="8"/>
  <c r="AJ242" i="8"/>
  <c r="AJ212" i="8"/>
  <c r="AJ238" i="8"/>
  <c r="AJ240" i="8"/>
  <c r="AJ220" i="8"/>
  <c r="AJ210" i="8"/>
  <c r="AJ243" i="8"/>
  <c r="AJ215" i="8"/>
  <c r="AJ239" i="8"/>
  <c r="AJ247" i="8"/>
  <c r="AJ221" i="8"/>
  <c r="AJ213" i="8"/>
  <c r="AJ248" i="8"/>
  <c r="AJ219" i="8"/>
  <c r="AJ207" i="8"/>
  <c r="AJ250" i="8"/>
  <c r="BD213" i="8"/>
  <c r="BD235" i="8"/>
  <c r="BD210" i="8"/>
  <c r="BD236" i="8"/>
  <c r="I55" i="13"/>
  <c r="I24" i="13"/>
  <c r="I41" i="13"/>
  <c r="I57" i="13"/>
  <c r="I31" i="13"/>
  <c r="C2" i="13"/>
  <c r="I15" i="13"/>
  <c r="I54" i="13"/>
  <c r="I12" i="13"/>
  <c r="O43" i="11" s="1"/>
  <c r="P43" i="11" s="1"/>
  <c r="I17" i="13"/>
  <c r="I13" i="13"/>
  <c r="I18" i="13"/>
  <c r="I21" i="13"/>
  <c r="I51" i="13"/>
  <c r="I38" i="13"/>
  <c r="I34" i="13"/>
  <c r="I19" i="13"/>
  <c r="I49" i="13"/>
  <c r="I39" i="13"/>
  <c r="I33" i="13"/>
  <c r="I22" i="13"/>
  <c r="I28" i="13"/>
  <c r="I50" i="13"/>
  <c r="I46" i="13"/>
  <c r="I23" i="13"/>
  <c r="I11" i="13"/>
  <c r="AT60" i="8"/>
  <c r="AZ60" i="8"/>
  <c r="AZ76" i="8"/>
  <c r="AP76" i="8"/>
  <c r="AP84" i="8"/>
  <c r="AT84" i="8"/>
  <c r="AR100" i="8"/>
  <c r="AZ100" i="8"/>
  <c r="BI108" i="8"/>
  <c r="AZ108" i="8"/>
  <c r="AR116" i="8"/>
  <c r="AP124" i="8"/>
  <c r="AZ124" i="8"/>
  <c r="AT132" i="8"/>
  <c r="BI132" i="8"/>
  <c r="BI140" i="8"/>
  <c r="AR140" i="8"/>
  <c r="AW17" i="32"/>
  <c r="AU17" i="32"/>
  <c r="AX17" i="32"/>
  <c r="AS17" i="32"/>
  <c r="AV17" i="32"/>
  <c r="AT17" i="32"/>
  <c r="AV20" i="32"/>
  <c r="AW20" i="32"/>
  <c r="AT20" i="32"/>
  <c r="AS20" i="32"/>
  <c r="AX20" i="32"/>
  <c r="AV21" i="32"/>
  <c r="AT21" i="32"/>
  <c r="AW21" i="32"/>
  <c r="AU21" i="32"/>
  <c r="BI27" i="32"/>
  <c r="BJ27" i="32"/>
  <c r="AU27" i="32"/>
  <c r="AW27" i="32"/>
  <c r="AS27" i="32"/>
  <c r="BC27" i="32"/>
  <c r="AW28" i="32"/>
  <c r="BK28" i="32"/>
  <c r="BL28" i="32"/>
  <c r="BJ31" i="32"/>
  <c r="AW31" i="32"/>
  <c r="BL31" i="32"/>
  <c r="BC31" i="32"/>
  <c r="BI31" i="32"/>
  <c r="AU32" i="32"/>
  <c r="AW32" i="32"/>
  <c r="AS32" i="32"/>
  <c r="BC32" i="32"/>
  <c r="BI33" i="32"/>
  <c r="AS33" i="32"/>
  <c r="AW33" i="32"/>
  <c r="AY50" i="32"/>
  <c r="AX50" i="32"/>
  <c r="AV50" i="32"/>
  <c r="AW50" i="32"/>
  <c r="AT50" i="32"/>
  <c r="AU50" i="32"/>
  <c r="AS50" i="32"/>
  <c r="BA54" i="32"/>
  <c r="BB54" i="32"/>
  <c r="BK54" i="32"/>
  <c r="BJ54" i="32"/>
  <c r="BI54" i="32"/>
  <c r="AW54" i="32"/>
  <c r="BL54" i="32"/>
  <c r="AU54" i="32"/>
  <c r="AU55" i="32"/>
  <c r="AX55" i="32"/>
  <c r="AW66" i="32"/>
  <c r="AS66" i="32"/>
  <c r="AT66" i="32"/>
  <c r="AX96" i="32"/>
  <c r="AU96" i="32"/>
  <c r="AV96" i="32"/>
  <c r="AW96" i="32"/>
  <c r="AT96" i="32"/>
  <c r="AS96" i="32"/>
  <c r="BI98" i="32"/>
  <c r="AS98" i="32"/>
  <c r="BK98" i="32"/>
  <c r="BC98" i="32"/>
  <c r="BA98" i="32"/>
  <c r="BB98" i="32"/>
  <c r="AW98" i="32"/>
  <c r="AX99" i="32"/>
  <c r="AT99" i="32"/>
  <c r="AU99" i="32"/>
  <c r="AW99" i="32"/>
  <c r="BJ102" i="32"/>
  <c r="BA102" i="32"/>
  <c r="BC102" i="32"/>
  <c r="BL102" i="32"/>
  <c r="AW102" i="32"/>
  <c r="AU102" i="32"/>
  <c r="AU103" i="32"/>
  <c r="AX103" i="32"/>
  <c r="AT103" i="32"/>
  <c r="AS103" i="32"/>
  <c r="AV103" i="32"/>
  <c r="AY103" i="32"/>
  <c r="AW114" i="32"/>
  <c r="AS114" i="32"/>
  <c r="AX114" i="32"/>
  <c r="AV114" i="32"/>
  <c r="BJ117" i="32"/>
  <c r="BI117" i="32"/>
  <c r="BK117" i="32"/>
  <c r="AW117" i="32"/>
  <c r="BC117" i="32"/>
  <c r="AU117" i="32"/>
  <c r="BL117" i="32"/>
  <c r="AX118" i="32"/>
  <c r="AT118" i="32"/>
  <c r="AW118" i="32"/>
  <c r="AU118" i="32"/>
  <c r="AY118" i="32"/>
  <c r="M118" i="32" s="1"/>
  <c r="AW121" i="32"/>
  <c r="BB121" i="32"/>
  <c r="AS121" i="32"/>
  <c r="BC121" i="32"/>
  <c r="BL121" i="32"/>
  <c r="BK121" i="32"/>
  <c r="BJ124" i="32"/>
  <c r="AS124" i="32"/>
  <c r="BB124" i="32"/>
  <c r="BI124" i="32"/>
  <c r="BK124" i="32"/>
  <c r="AU124" i="32"/>
  <c r="BA124" i="32"/>
  <c r="AW128" i="32"/>
  <c r="BL128" i="32"/>
  <c r="AS128" i="32"/>
  <c r="BA128" i="32"/>
  <c r="BC128" i="32"/>
  <c r="L71" i="32"/>
  <c r="AV111" i="8"/>
  <c r="S35" i="32"/>
  <c r="S55" i="32"/>
  <c r="S67" i="32"/>
  <c r="S87" i="32"/>
  <c r="S99" i="32"/>
  <c r="S119" i="32"/>
  <c r="S131" i="32"/>
  <c r="S151" i="32"/>
  <c r="AP286" i="8"/>
  <c r="AV95" i="8"/>
  <c r="S27" i="32"/>
  <c r="S47" i="32"/>
  <c r="S59" i="32"/>
  <c r="S79" i="32"/>
  <c r="S91" i="32"/>
  <c r="S111" i="32"/>
  <c r="S123" i="32"/>
  <c r="S143" i="32"/>
  <c r="S155" i="32"/>
  <c r="AR305" i="8"/>
  <c r="S39" i="32"/>
  <c r="S71" i="32"/>
  <c r="S103" i="32"/>
  <c r="S135" i="32"/>
  <c r="AK287" i="8"/>
  <c r="AW287" i="8" s="1"/>
  <c r="AY48" i="32"/>
  <c r="AR211" i="8"/>
  <c r="N91" i="32"/>
  <c r="BG307" i="8"/>
  <c r="AQ58" i="8"/>
  <c r="AY20" i="32"/>
  <c r="AY36" i="32"/>
  <c r="M36" i="32" s="1"/>
  <c r="AY74" i="32"/>
  <c r="AY78" i="32"/>
  <c r="O78" i="32" s="1"/>
  <c r="AY82" i="32"/>
  <c r="O82" i="32" s="1"/>
  <c r="AY90" i="32"/>
  <c r="AY94" i="32"/>
  <c r="AY96" i="32"/>
  <c r="AY99" i="32"/>
  <c r="AY109" i="32"/>
  <c r="O109" i="32" s="1"/>
  <c r="AY114" i="32"/>
  <c r="AY124" i="32"/>
  <c r="AY128" i="32"/>
  <c r="AY138" i="32"/>
  <c r="AV249" i="8"/>
  <c r="AV307" i="8"/>
  <c r="BI33" i="8"/>
  <c r="BI30" i="8"/>
  <c r="AR7" i="8"/>
  <c r="AV10" i="8"/>
  <c r="AV14" i="8"/>
  <c r="AT15" i="8"/>
  <c r="AV18" i="8"/>
  <c r="AV22" i="8"/>
  <c r="AP23" i="8"/>
  <c r="BG24" i="8"/>
  <c r="AV30" i="8"/>
  <c r="AV34" i="8"/>
  <c r="BG39" i="8"/>
  <c r="AV42" i="8"/>
  <c r="AV46" i="8"/>
  <c r="AV50" i="8"/>
  <c r="AV58" i="8"/>
  <c r="BG64" i="8"/>
  <c r="BG68" i="8"/>
  <c r="BG72" i="8"/>
  <c r="BG76" i="8"/>
  <c r="BG84" i="8"/>
  <c r="AZ87" i="8"/>
  <c r="BG88" i="8"/>
  <c r="BG92" i="8"/>
  <c r="AT95" i="8"/>
  <c r="BG96" i="8"/>
  <c r="BG100" i="8"/>
  <c r="AT107" i="8"/>
  <c r="BG108" i="8"/>
  <c r="BG112" i="8"/>
  <c r="BG116" i="8"/>
  <c r="BG128" i="8"/>
  <c r="BG132" i="8"/>
  <c r="BG140" i="8"/>
  <c r="BG152" i="8"/>
  <c r="AV154" i="8"/>
  <c r="AV299" i="8"/>
  <c r="N151" i="32"/>
  <c r="L131" i="32"/>
  <c r="N119" i="32"/>
  <c r="L103" i="32"/>
  <c r="N87" i="32"/>
  <c r="L79" i="32"/>
  <c r="L55" i="32"/>
  <c r="N47" i="32"/>
  <c r="N39" i="32"/>
  <c r="AW54" i="8"/>
  <c r="AW34" i="8"/>
  <c r="AW26" i="8"/>
  <c r="AW45" i="8"/>
  <c r="AJ37" i="8"/>
  <c r="AW17" i="8"/>
  <c r="AJ9" i="8"/>
  <c r="BI65" i="8"/>
  <c r="BI17" i="8"/>
  <c r="BI8" i="8"/>
  <c r="AV11" i="8"/>
  <c r="BG17" i="8"/>
  <c r="AV19" i="8"/>
  <c r="AR24" i="8"/>
  <c r="BG29" i="8"/>
  <c r="BG49" i="8"/>
  <c r="AT72" i="8"/>
  <c r="AT76" i="8"/>
  <c r="AR80" i="8"/>
  <c r="AV83" i="8"/>
  <c r="AV87" i="8"/>
  <c r="BI92" i="8"/>
  <c r="AV103" i="8"/>
  <c r="AT116" i="8"/>
  <c r="AV119" i="8"/>
  <c r="BG121" i="8"/>
  <c r="AZ132" i="8"/>
  <c r="BG141" i="8"/>
  <c r="AV143" i="8"/>
  <c r="BI152" i="8"/>
  <c r="AV244" i="8"/>
  <c r="AP244" i="8"/>
  <c r="AV238" i="8"/>
  <c r="AV235" i="8"/>
  <c r="AV220" i="8"/>
  <c r="N106" i="32"/>
  <c r="N90" i="32"/>
  <c r="AV96" i="8"/>
  <c r="AV104" i="8"/>
  <c r="AV128" i="8"/>
  <c r="AG13" i="32"/>
  <c r="L13" i="32" s="1"/>
  <c r="AR254" i="8"/>
  <c r="AZ268" i="8"/>
  <c r="AT291" i="8"/>
  <c r="AY27" i="32"/>
  <c r="AY43" i="32"/>
  <c r="BB82" i="32"/>
  <c r="AY88" i="32"/>
  <c r="AY106" i="32"/>
  <c r="AV239" i="8"/>
  <c r="AZ215" i="8"/>
  <c r="V274" i="8"/>
  <c r="M274" i="8" s="1"/>
  <c r="V276" i="8"/>
  <c r="M276" i="8" s="1"/>
  <c r="AV280" i="8"/>
  <c r="AT282" i="8"/>
  <c r="AV285" i="8"/>
  <c r="AV286" i="8"/>
  <c r="AV300" i="8"/>
  <c r="AV305" i="8"/>
  <c r="BG71" i="8"/>
  <c r="AZ71" i="8"/>
  <c r="AP71" i="8"/>
  <c r="AT71" i="8"/>
  <c r="AT83" i="8"/>
  <c r="AR83" i="8"/>
  <c r="BG83" i="8"/>
  <c r="AR119" i="8"/>
  <c r="BG123" i="8"/>
  <c r="BI123" i="8"/>
  <c r="AZ123" i="8"/>
  <c r="AP123" i="8"/>
  <c r="BG127" i="8"/>
  <c r="BI127" i="8"/>
  <c r="AZ127" i="8"/>
  <c r="AP131" i="8"/>
  <c r="AT135" i="8"/>
  <c r="AP135" i="8"/>
  <c r="BG135" i="8"/>
  <c r="AT139" i="8"/>
  <c r="AZ139" i="8"/>
  <c r="BG139" i="8"/>
  <c r="AT143" i="8"/>
  <c r="AP143" i="8"/>
  <c r="BG143" i="8"/>
  <c r="AZ143" i="8"/>
  <c r="AZ147" i="8"/>
  <c r="BG147" i="8"/>
  <c r="AR151" i="8"/>
  <c r="BI151" i="8"/>
  <c r="AP151" i="8"/>
  <c r="AT151" i="8"/>
  <c r="AT19" i="8"/>
  <c r="AP31" i="8"/>
  <c r="AR31" i="8"/>
  <c r="BG31" i="8"/>
  <c r="AT31" i="8"/>
  <c r="AT35" i="8"/>
  <c r="AR35" i="8"/>
  <c r="BG35" i="8"/>
  <c r="AP35" i="8"/>
  <c r="AZ35" i="8"/>
  <c r="AP43" i="8"/>
  <c r="AR43" i="8"/>
  <c r="AT43" i="8"/>
  <c r="BG43" i="8"/>
  <c r="AP63" i="8"/>
  <c r="AT63" i="8"/>
  <c r="BG63" i="8"/>
  <c r="AR63" i="8"/>
  <c r="AP67" i="8"/>
  <c r="AZ67" i="8"/>
  <c r="AR67" i="8"/>
  <c r="BG67" i="8"/>
  <c r="AZ75" i="8"/>
  <c r="AP75" i="8"/>
  <c r="AR75" i="8"/>
  <c r="AP111" i="8"/>
  <c r="AR111" i="8"/>
  <c r="BI111" i="8"/>
  <c r="AZ111" i="8"/>
  <c r="BI115" i="8"/>
  <c r="AR115" i="8"/>
  <c r="AZ115" i="8"/>
  <c r="AP115" i="8"/>
  <c r="BI135" i="8"/>
  <c r="BG151" i="8"/>
  <c r="AR143" i="8"/>
  <c r="BI119" i="8"/>
  <c r="AT111" i="8"/>
  <c r="AP19" i="8"/>
  <c r="AZ15" i="8"/>
  <c r="AZ131" i="8"/>
  <c r="AR139" i="8"/>
  <c r="AP119" i="8"/>
  <c r="AZ43" i="8"/>
  <c r="AR107" i="8"/>
  <c r="AT147" i="8"/>
  <c r="BG131" i="8"/>
  <c r="AT115" i="8"/>
  <c r="AT75" i="8"/>
  <c r="AT67" i="8"/>
  <c r="AZ63" i="8"/>
  <c r="AP7" i="8"/>
  <c r="AT7" i="8"/>
  <c r="BG7" i="8"/>
  <c r="AR39" i="8"/>
  <c r="AZ39" i="8"/>
  <c r="AT39" i="8"/>
  <c r="AR47" i="8"/>
  <c r="BG47" i="8"/>
  <c r="AT47" i="8"/>
  <c r="AR79" i="8"/>
  <c r="AZ79" i="8"/>
  <c r="AT79" i="8"/>
  <c r="BI99" i="8"/>
  <c r="BG99" i="8"/>
  <c r="AR99" i="8"/>
  <c r="AR103" i="8"/>
  <c r="AP103" i="8"/>
  <c r="BG103" i="8"/>
  <c r="AT103" i="8"/>
  <c r="BI103" i="8"/>
  <c r="AZ103" i="8"/>
  <c r="AZ7" i="8"/>
  <c r="AT127" i="8"/>
  <c r="AZ47" i="8"/>
  <c r="BI83" i="8"/>
  <c r="AZ99" i="8"/>
  <c r="BG11" i="8"/>
  <c r="AT11" i="8"/>
  <c r="AZ11" i="8"/>
  <c r="AP11" i="8"/>
  <c r="AR11" i="8"/>
  <c r="AR15" i="8"/>
  <c r="BG15" i="8"/>
  <c r="BI15" i="8"/>
  <c r="AP15" i="8"/>
  <c r="AR51" i="8"/>
  <c r="BG51" i="8"/>
  <c r="AP95" i="8"/>
  <c r="BG95" i="8"/>
  <c r="AZ95" i="8"/>
  <c r="AP107" i="8"/>
  <c r="BI107" i="8"/>
  <c r="BG107" i="8"/>
  <c r="AZ135" i="8"/>
  <c r="AZ151" i="8"/>
  <c r="AP83" i="8"/>
  <c r="BG19" i="8"/>
  <c r="AP147" i="8"/>
  <c r="BG119" i="8"/>
  <c r="AZ83" i="8"/>
  <c r="AP139" i="8"/>
  <c r="AR135" i="8"/>
  <c r="BI143" i="8"/>
  <c r="AP99" i="8"/>
  <c r="BG115" i="8"/>
  <c r="BG79" i="8"/>
  <c r="AZ19" i="8"/>
  <c r="AT99" i="8"/>
  <c r="AZ31" i="8"/>
  <c r="AZ51" i="8"/>
  <c r="AR71" i="8"/>
  <c r="AP39" i="8"/>
  <c r="BI19" i="8"/>
  <c r="BG60" i="8"/>
  <c r="AZ64" i="8"/>
  <c r="AT88" i="8"/>
  <c r="AP88" i="8"/>
  <c r="AZ88" i="8"/>
  <c r="BG104" i="8"/>
  <c r="AT104" i="8"/>
  <c r="AZ112" i="8"/>
  <c r="AR112" i="8"/>
  <c r="AP112" i="8"/>
  <c r="BG120" i="8"/>
  <c r="AP120" i="8"/>
  <c r="AR120" i="8"/>
  <c r="AR124" i="8"/>
  <c r="BG136" i="8"/>
  <c r="AZ140" i="8"/>
  <c r="AP140" i="8"/>
  <c r="AZ144" i="8"/>
  <c r="BG144" i="8"/>
  <c r="AP144" i="8"/>
  <c r="AZ12" i="8"/>
  <c r="AR20" i="8"/>
  <c r="AR64" i="8"/>
  <c r="BI79" i="8"/>
  <c r="BI75" i="8"/>
  <c r="BI31" i="8"/>
  <c r="BI35" i="8"/>
  <c r="BG12" i="8"/>
  <c r="AR8" i="8"/>
  <c r="AZ20" i="8"/>
  <c r="BG20" i="8"/>
  <c r="AR68" i="8"/>
  <c r="BI71" i="8"/>
  <c r="AR76" i="8"/>
  <c r="AR152" i="8"/>
  <c r="BI51" i="8"/>
  <c r="BI68" i="8"/>
  <c r="BI21" i="8"/>
  <c r="BI39" i="8"/>
  <c r="BI64" i="8"/>
  <c r="AZ152" i="8"/>
  <c r="AU138" i="8"/>
  <c r="AS138" i="8"/>
  <c r="BG138" i="8"/>
  <c r="AU126" i="8"/>
  <c r="AQ126" i="8"/>
  <c r="AS118" i="8"/>
  <c r="AT118" i="8"/>
  <c r="AP118" i="8"/>
  <c r="AU118" i="8"/>
  <c r="AU106" i="8"/>
  <c r="BG106" i="8"/>
  <c r="AQ106" i="8"/>
  <c r="AZ106" i="8"/>
  <c r="AS106" i="8"/>
  <c r="AR106" i="8"/>
  <c r="AT106" i="8"/>
  <c r="AQ98" i="8"/>
  <c r="AS98" i="8"/>
  <c r="AU98" i="8"/>
  <c r="AZ98" i="8"/>
  <c r="AT98" i="8"/>
  <c r="AU86" i="8"/>
  <c r="AQ70" i="8"/>
  <c r="AU70" i="8"/>
  <c r="AS70" i="8"/>
  <c r="AZ70" i="8"/>
  <c r="AS44" i="8"/>
  <c r="AR44" i="8"/>
  <c r="BG44" i="8"/>
  <c r="AQ44" i="8"/>
  <c r="AU44" i="8"/>
  <c r="AT44" i="8"/>
  <c r="AZ44" i="8"/>
  <c r="AS36" i="8"/>
  <c r="AZ36" i="8"/>
  <c r="AP36" i="8"/>
  <c r="AR36" i="8"/>
  <c r="AQ149" i="8"/>
  <c r="AS149" i="8"/>
  <c r="BG149" i="8"/>
  <c r="AZ149" i="8"/>
  <c r="BI149" i="8"/>
  <c r="AR149" i="8"/>
  <c r="AU149" i="8"/>
  <c r="U130" i="8"/>
  <c r="M130" i="8" s="1"/>
  <c r="U106" i="8"/>
  <c r="AW106" i="8"/>
  <c r="U98" i="8"/>
  <c r="AW98" i="8"/>
  <c r="U70" i="8"/>
  <c r="AW70" i="8"/>
  <c r="X153" i="8"/>
  <c r="AJ153" i="8"/>
  <c r="AO153" i="8" s="1"/>
  <c r="X145" i="8"/>
  <c r="AJ145" i="8"/>
  <c r="AO145" i="8" s="1"/>
  <c r="Z145" i="8"/>
  <c r="Y145" i="8"/>
  <c r="AW145" i="8"/>
  <c r="X137" i="8"/>
  <c r="AW137" i="8"/>
  <c r="AJ137" i="8"/>
  <c r="AO137" i="8" s="1"/>
  <c r="Y137" i="8"/>
  <c r="X129" i="8"/>
  <c r="Y129" i="8"/>
  <c r="AJ129" i="8"/>
  <c r="Z129" i="8"/>
  <c r="X121" i="8"/>
  <c r="Y121" i="8"/>
  <c r="AW121" i="8"/>
  <c r="Z109" i="8"/>
  <c r="AW109" i="8"/>
  <c r="AJ109" i="8"/>
  <c r="Y109" i="8"/>
  <c r="Z101" i="8"/>
  <c r="Y101" i="8"/>
  <c r="AJ101" i="8"/>
  <c r="AW101" i="8"/>
  <c r="X101" i="8"/>
  <c r="Z93" i="8"/>
  <c r="Y93" i="8"/>
  <c r="X93" i="8"/>
  <c r="Z85" i="8"/>
  <c r="X85" i="8"/>
  <c r="Y85" i="8"/>
  <c r="AW85" i="8"/>
  <c r="Z77" i="8"/>
  <c r="AJ77" i="8"/>
  <c r="X77" i="8"/>
  <c r="Y77" i="8"/>
  <c r="AW77" i="8"/>
  <c r="AJ65" i="8"/>
  <c r="X65" i="8"/>
  <c r="Z65" i="8"/>
  <c r="Y65" i="8"/>
  <c r="AW65" i="8"/>
  <c r="Y57" i="8"/>
  <c r="X57" i="8"/>
  <c r="AJ57" i="8"/>
  <c r="AW57" i="8"/>
  <c r="AJ49" i="8"/>
  <c r="X49" i="8"/>
  <c r="AW49" i="8"/>
  <c r="Y49" i="8"/>
  <c r="X41" i="8"/>
  <c r="Y41" i="8"/>
  <c r="Z33" i="8"/>
  <c r="AJ33" i="8"/>
  <c r="X33" i="8"/>
  <c r="AW33" i="8"/>
  <c r="Y33" i="8"/>
  <c r="Z13" i="8"/>
  <c r="X13" i="8"/>
  <c r="AJ13" i="8"/>
  <c r="AV74" i="8"/>
  <c r="AZ138" i="8"/>
  <c r="AR126" i="8"/>
  <c r="AP44" i="8"/>
  <c r="AP40" i="8"/>
  <c r="AR86" i="8"/>
  <c r="AP86" i="8"/>
  <c r="AZ102" i="8"/>
  <c r="BG102" i="8"/>
  <c r="BI118" i="8"/>
  <c r="AP70" i="8"/>
  <c r="X21" i="8"/>
  <c r="Y21" i="8"/>
  <c r="AW21" i="8"/>
  <c r="AW14" i="8"/>
  <c r="AW18" i="8"/>
  <c r="AW30" i="8"/>
  <c r="AW22" i="8"/>
  <c r="AW38" i="8"/>
  <c r="AR130" i="8"/>
  <c r="AT90" i="8"/>
  <c r="AW150" i="8"/>
  <c r="AW66" i="8"/>
  <c r="AQ102" i="8"/>
  <c r="AW102" i="8"/>
  <c r="AQ138" i="8"/>
  <c r="AJ85" i="8"/>
  <c r="AQ8" i="8"/>
  <c r="AT8" i="8"/>
  <c r="AU8" i="8"/>
  <c r="BG8" i="8"/>
  <c r="AP8" i="8"/>
  <c r="AQ12" i="8"/>
  <c r="AT12" i="8"/>
  <c r="AS12" i="8"/>
  <c r="AR12" i="8"/>
  <c r="AU12" i="8"/>
  <c r="AP20" i="8"/>
  <c r="AQ20" i="8"/>
  <c r="AS24" i="8"/>
  <c r="AP24" i="8"/>
  <c r="AZ24" i="8"/>
  <c r="AQ24" i="8"/>
  <c r="AU24" i="8"/>
  <c r="AQ28" i="8"/>
  <c r="AU28" i="8"/>
  <c r="AS28" i="8"/>
  <c r="AT28" i="8"/>
  <c r="AR28" i="8"/>
  <c r="AT32" i="8"/>
  <c r="AU32" i="8"/>
  <c r="AS32" i="8"/>
  <c r="X109" i="8"/>
  <c r="U26" i="8"/>
  <c r="U34" i="8"/>
  <c r="Z49" i="8"/>
  <c r="AS134" i="8"/>
  <c r="AQ134" i="8"/>
  <c r="BG134" i="8"/>
  <c r="AZ134" i="8"/>
  <c r="AR134" i="8"/>
  <c r="AP134" i="8"/>
  <c r="AZ114" i="8"/>
  <c r="AS114" i="8"/>
  <c r="AV114" i="8"/>
  <c r="AU114" i="8"/>
  <c r="AP114" i="8"/>
  <c r="BG114" i="8"/>
  <c r="AT114" i="8"/>
  <c r="AR114" i="8"/>
  <c r="BI114" i="8"/>
  <c r="AS82" i="8"/>
  <c r="AR82" i="8"/>
  <c r="AT82" i="8"/>
  <c r="AU82" i="8"/>
  <c r="AP82" i="8"/>
  <c r="AZ82" i="8"/>
  <c r="AQ82" i="8"/>
  <c r="AU78" i="8"/>
  <c r="AS78" i="8"/>
  <c r="AZ78" i="8"/>
  <c r="BG78" i="8"/>
  <c r="AR78" i="8"/>
  <c r="AS62" i="8"/>
  <c r="AU62" i="8"/>
  <c r="AQ62" i="8"/>
  <c r="BG62" i="8"/>
  <c r="AT62" i="8"/>
  <c r="AP62" i="8"/>
  <c r="AU52" i="8"/>
  <c r="AQ52" i="8"/>
  <c r="AS52" i="8"/>
  <c r="BG52" i="8"/>
  <c r="AT52" i="8"/>
  <c r="AR52" i="8"/>
  <c r="AZ52" i="8"/>
  <c r="U78" i="8"/>
  <c r="AW78" i="8"/>
  <c r="U58" i="8"/>
  <c r="AW58" i="8"/>
  <c r="AW46" i="8"/>
  <c r="U46" i="8"/>
  <c r="U42" i="8"/>
  <c r="AW42" i="8"/>
  <c r="U6" i="8"/>
  <c r="AW6" i="8"/>
  <c r="Z141" i="8"/>
  <c r="Y141" i="8"/>
  <c r="AJ141" i="8"/>
  <c r="AO141" i="8" s="1"/>
  <c r="X141" i="8"/>
  <c r="X113" i="8"/>
  <c r="Z113" i="8"/>
  <c r="AJ113" i="8"/>
  <c r="Y113" i="8"/>
  <c r="AV44" i="8"/>
  <c r="AV36" i="8"/>
  <c r="AV70" i="8"/>
  <c r="AV78" i="8"/>
  <c r="AR145" i="8"/>
  <c r="BG145" i="8"/>
  <c r="AZ145" i="8"/>
  <c r="AT145" i="8"/>
  <c r="AT138" i="8"/>
  <c r="AZ126" i="8"/>
  <c r="AT126" i="8"/>
  <c r="BI126" i="8"/>
  <c r="BG82" i="8"/>
  <c r="AR98" i="8"/>
  <c r="AZ86" i="8"/>
  <c r="BG118" i="8"/>
  <c r="AR62" i="8"/>
  <c r="BG70" i="8"/>
  <c r="AJ41" i="8"/>
  <c r="AW13" i="8"/>
  <c r="AT149" i="8"/>
  <c r="AP52" i="8"/>
  <c r="AW50" i="8"/>
  <c r="AJ121" i="8"/>
  <c r="AP142" i="8"/>
  <c r="AZ142" i="8"/>
  <c r="BG142" i="8"/>
  <c r="AR142" i="8"/>
  <c r="AV130" i="8"/>
  <c r="AU130" i="8"/>
  <c r="AZ130" i="8"/>
  <c r="AS130" i="8"/>
  <c r="BI130" i="8"/>
  <c r="AT130" i="8"/>
  <c r="AQ130" i="8"/>
  <c r="AQ122" i="8"/>
  <c r="AU122" i="8"/>
  <c r="BI122" i="8"/>
  <c r="AZ122" i="8"/>
  <c r="AS122" i="8"/>
  <c r="AU110" i="8"/>
  <c r="BG110" i="8"/>
  <c r="AP110" i="8"/>
  <c r="AZ110" i="8"/>
  <c r="AT102" i="8"/>
  <c r="AS102" i="8"/>
  <c r="BI90" i="8"/>
  <c r="BG90" i="8"/>
  <c r="AP90" i="8"/>
  <c r="AU74" i="8"/>
  <c r="AP74" i="8"/>
  <c r="AR74" i="8"/>
  <c r="AT74" i="8"/>
  <c r="AQ74" i="8"/>
  <c r="AS74" i="8"/>
  <c r="AZ74" i="8"/>
  <c r="AQ48" i="8"/>
  <c r="AU48" i="8"/>
  <c r="AS48" i="8"/>
  <c r="AP48" i="8"/>
  <c r="AR40" i="8"/>
  <c r="BI40" i="8"/>
  <c r="AZ40" i="8"/>
  <c r="AQ40" i="8"/>
  <c r="AS145" i="8"/>
  <c r="AU145" i="8"/>
  <c r="AV145" i="8"/>
  <c r="AQ145" i="8"/>
  <c r="U146" i="8"/>
  <c r="M146" i="8" s="1"/>
  <c r="AW146" i="8"/>
  <c r="U134" i="8"/>
  <c r="M134" i="8" s="1"/>
  <c r="U126" i="8"/>
  <c r="AW126" i="8"/>
  <c r="U90" i="8"/>
  <c r="AW90" i="8"/>
  <c r="U82" i="8"/>
  <c r="AW82" i="8"/>
  <c r="AW74" i="8"/>
  <c r="U74" i="8"/>
  <c r="U62" i="8"/>
  <c r="AW62" i="8"/>
  <c r="Z149" i="8"/>
  <c r="Y149" i="8"/>
  <c r="AJ149" i="8"/>
  <c r="AO149" i="8" s="1"/>
  <c r="X149" i="8"/>
  <c r="Z133" i="8"/>
  <c r="AW133" i="8"/>
  <c r="Y133" i="8"/>
  <c r="AJ133" i="8"/>
  <c r="AO133" i="8" s="1"/>
  <c r="Z125" i="8"/>
  <c r="AW125" i="8"/>
  <c r="Y125" i="8"/>
  <c r="AJ125" i="8"/>
  <c r="X125" i="8"/>
  <c r="Z117" i="8"/>
  <c r="AJ117" i="8"/>
  <c r="Y117" i="8"/>
  <c r="X117" i="8"/>
  <c r="X105" i="8"/>
  <c r="Y105" i="8"/>
  <c r="AJ105" i="8"/>
  <c r="AW105" i="8"/>
  <c r="X97" i="8"/>
  <c r="AW97" i="8"/>
  <c r="Z97" i="8"/>
  <c r="Y97" i="8"/>
  <c r="AJ97" i="8"/>
  <c r="X89" i="8"/>
  <c r="AJ89" i="8"/>
  <c r="Y89" i="8"/>
  <c r="Z81" i="8"/>
  <c r="AJ81" i="8"/>
  <c r="X81" i="8"/>
  <c r="Y81" i="8"/>
  <c r="AW81" i="8"/>
  <c r="X73" i="8"/>
  <c r="Y73" i="8"/>
  <c r="AJ73" i="8"/>
  <c r="AW73" i="8"/>
  <c r="Z69" i="8"/>
  <c r="AJ69" i="8"/>
  <c r="AW69" i="8"/>
  <c r="Y69" i="8"/>
  <c r="X69" i="8"/>
  <c r="Z61" i="8"/>
  <c r="X61" i="8"/>
  <c r="Y61" i="8"/>
  <c r="AJ61" i="8"/>
  <c r="Z53" i="8"/>
  <c r="X53" i="8"/>
  <c r="AJ53" i="8"/>
  <c r="AW53" i="8"/>
  <c r="Z45" i="8"/>
  <c r="AJ45" i="8"/>
  <c r="X45" i="8"/>
  <c r="Y45" i="8"/>
  <c r="Z37" i="8"/>
  <c r="AW37" i="8"/>
  <c r="X37" i="8"/>
  <c r="Z29" i="8"/>
  <c r="AW29" i="8"/>
  <c r="AW25" i="8"/>
  <c r="Y25" i="8"/>
  <c r="X25" i="8"/>
  <c r="Z17" i="8"/>
  <c r="Y17" i="8"/>
  <c r="X17" i="8"/>
  <c r="AJ17" i="8"/>
  <c r="X9" i="8"/>
  <c r="AW9" i="8"/>
  <c r="AV40" i="8"/>
  <c r="AV48" i="8"/>
  <c r="AV62" i="8"/>
  <c r="AP149" i="8"/>
  <c r="AR138" i="8"/>
  <c r="AP138" i="8"/>
  <c r="BG126" i="8"/>
  <c r="AP126" i="8"/>
  <c r="AP98" i="8"/>
  <c r="BG122" i="8"/>
  <c r="BI86" i="8"/>
  <c r="AR102" i="8"/>
  <c r="AR118" i="8"/>
  <c r="AT70" i="8"/>
  <c r="AP78" i="8"/>
  <c r="AR110" i="8"/>
  <c r="AJ25" i="8"/>
  <c r="AJ21" i="8"/>
  <c r="AJ29" i="8"/>
  <c r="Y9" i="8"/>
  <c r="AU40" i="8"/>
  <c r="AT36" i="8"/>
  <c r="BG36" i="8"/>
  <c r="AT122" i="8"/>
  <c r="BI106" i="8"/>
  <c r="AP130" i="8"/>
  <c r="AT134" i="8"/>
  <c r="BG98" i="8"/>
  <c r="AW86" i="8"/>
  <c r="AS86" i="8"/>
  <c r="BG40" i="8"/>
  <c r="AQ78" i="8"/>
  <c r="AW61" i="8"/>
  <c r="AW93" i="8"/>
  <c r="AJ93" i="8"/>
  <c r="Y153" i="8"/>
  <c r="U54" i="8"/>
  <c r="M54" i="8" s="1"/>
  <c r="BI70" i="8"/>
  <c r="BI36" i="8"/>
  <c r="AU141" i="8"/>
  <c r="AQ141" i="8"/>
  <c r="AZ141" i="8"/>
  <c r="AQ133" i="8"/>
  <c r="AV133" i="8"/>
  <c r="AZ133" i="8"/>
  <c r="AQ129" i="8"/>
  <c r="AU129" i="8"/>
  <c r="AU125" i="8"/>
  <c r="AV125" i="8"/>
  <c r="AS117" i="8"/>
  <c r="BG117" i="8"/>
  <c r="AV113" i="8"/>
  <c r="AP113" i="8"/>
  <c r="AU101" i="8"/>
  <c r="BI101" i="8"/>
  <c r="AV97" i="8"/>
  <c r="AU97" i="8"/>
  <c r="AQ97" i="8"/>
  <c r="AU77" i="8"/>
  <c r="BG77" i="8"/>
  <c r="AQ77" i="8"/>
  <c r="AS77" i="8"/>
  <c r="AU65" i="8"/>
  <c r="AQ65" i="8"/>
  <c r="BI61" i="8"/>
  <c r="AZ61" i="8"/>
  <c r="AP61" i="8"/>
  <c r="AR61" i="8"/>
  <c r="AQ61" i="8"/>
  <c r="AU55" i="8"/>
  <c r="AS55" i="8"/>
  <c r="AT51" i="8"/>
  <c r="AS47" i="8"/>
  <c r="AP47" i="8"/>
  <c r="AQ47" i="8"/>
  <c r="AU43" i="8"/>
  <c r="AQ43" i="8"/>
  <c r="AU39" i="8"/>
  <c r="AQ39" i="8"/>
  <c r="AU152" i="8"/>
  <c r="AQ152" i="8"/>
  <c r="AQ148" i="8"/>
  <c r="BG148" i="8"/>
  <c r="BI78" i="8"/>
  <c r="AU93" i="8"/>
  <c r="AQ125" i="8"/>
  <c r="BI74" i="8"/>
  <c r="AQ117" i="8"/>
  <c r="AU113" i="8"/>
  <c r="AS51" i="8"/>
  <c r="AS148" i="8"/>
  <c r="BI24" i="8"/>
  <c r="BI47" i="8"/>
  <c r="BI62" i="8"/>
  <c r="BI58" i="8"/>
  <c r="AR72" i="8"/>
  <c r="BI148" i="8"/>
  <c r="V147" i="8"/>
  <c r="M147" i="8" s="1"/>
  <c r="AW147" i="8"/>
  <c r="V139" i="8"/>
  <c r="M139" i="8" s="1"/>
  <c r="BI60" i="8"/>
  <c r="AV132" i="8"/>
  <c r="AV108" i="8"/>
  <c r="BI20" i="8"/>
  <c r="AV86" i="8"/>
  <c r="AV106" i="8"/>
  <c r="AV122" i="8"/>
  <c r="BJ99" i="32"/>
  <c r="BI45" i="32"/>
  <c r="BI61" i="32"/>
  <c r="AV134" i="8"/>
  <c r="AV118" i="8"/>
  <c r="AY140" i="32"/>
  <c r="N59" i="32"/>
  <c r="AS10" i="32"/>
  <c r="BB61" i="32"/>
  <c r="AQ288" i="8"/>
  <c r="BI140" i="32"/>
  <c r="BI154" i="32"/>
  <c r="BJ131" i="32"/>
  <c r="BI46" i="32"/>
  <c r="AV210" i="8"/>
  <c r="N123" i="32"/>
  <c r="N27" i="32"/>
  <c r="L43" i="32"/>
  <c r="S88" i="32"/>
  <c r="L151" i="32"/>
  <c r="L119" i="32"/>
  <c r="N103" i="32"/>
  <c r="L87" i="32"/>
  <c r="N79" i="32"/>
  <c r="N71" i="32"/>
  <c r="N55" i="32"/>
  <c r="L47" i="32"/>
  <c r="L39" i="32"/>
  <c r="BI286" i="8"/>
  <c r="BB140" i="32"/>
  <c r="AQ255" i="8"/>
  <c r="BJ136" i="32"/>
  <c r="BJ126" i="32"/>
  <c r="BJ103" i="32"/>
  <c r="AW89" i="8"/>
  <c r="N155" i="32"/>
  <c r="AG8" i="32"/>
  <c r="L8" i="32" s="1"/>
  <c r="L35" i="32"/>
  <c r="L67" i="32"/>
  <c r="N131" i="32"/>
  <c r="L154" i="32"/>
  <c r="L138" i="32"/>
  <c r="L122" i="32"/>
  <c r="L106" i="32"/>
  <c r="L90" i="32"/>
  <c r="L74" i="32"/>
  <c r="N58" i="32"/>
  <c r="N42" i="32"/>
  <c r="N26" i="32"/>
  <c r="BI293" i="8"/>
  <c r="AZ303" i="8"/>
  <c r="AG137" i="32"/>
  <c r="L137" i="32" s="1"/>
  <c r="S137" i="32"/>
  <c r="AG73" i="32"/>
  <c r="L73" i="32" s="1"/>
  <c r="S73" i="32"/>
  <c r="AQ118" i="8"/>
  <c r="N99" i="32"/>
  <c r="L99" i="32"/>
  <c r="S41" i="32"/>
  <c r="AK242" i="8"/>
  <c r="AK238" i="8"/>
  <c r="AK230" i="8"/>
  <c r="AW230" i="8" s="1"/>
  <c r="AK226" i="8"/>
  <c r="AK222" i="8"/>
  <c r="AW222" i="8" s="1"/>
  <c r="AK210" i="8"/>
  <c r="AW210" i="8" s="1"/>
  <c r="AJ286" i="8"/>
  <c r="AO286" i="8" s="1"/>
  <c r="AV141" i="8"/>
  <c r="AW8" i="32"/>
  <c r="AW60" i="32"/>
  <c r="BB72" i="32"/>
  <c r="BB135" i="32"/>
  <c r="AK206" i="8"/>
  <c r="AK214" i="8"/>
  <c r="U222" i="8"/>
  <c r="M222" i="8" s="1"/>
  <c r="AK234" i="8"/>
  <c r="AW234" i="8" s="1"/>
  <c r="AK218" i="8"/>
  <c r="AW218" i="8" s="1"/>
  <c r="AT251" i="8"/>
  <c r="AV250" i="8"/>
  <c r="AR247" i="8"/>
  <c r="U242" i="8"/>
  <c r="M242" i="8" s="1"/>
  <c r="V231" i="8"/>
  <c r="M231" i="8" s="1"/>
  <c r="AV228" i="8"/>
  <c r="AV227" i="8"/>
  <c r="AV223" i="8"/>
  <c r="AV221" i="8"/>
  <c r="AV218" i="8"/>
  <c r="AV217" i="8"/>
  <c r="AV215" i="8"/>
  <c r="AZ214" i="8"/>
  <c r="AV211" i="8"/>
  <c r="AZ209" i="8"/>
  <c r="N154" i="32"/>
  <c r="L26" i="32"/>
  <c r="AR293" i="8"/>
  <c r="AK295" i="8"/>
  <c r="V286" i="8"/>
  <c r="M286" i="8" s="1"/>
  <c r="AK275" i="8"/>
  <c r="AW275" i="8" s="1"/>
  <c r="AZ278" i="8"/>
  <c r="AT280" i="8"/>
  <c r="AT293" i="8"/>
  <c r="AP297" i="8"/>
  <c r="AT310" i="8"/>
  <c r="AK240" i="8"/>
  <c r="AW240" i="8" s="1"/>
  <c r="AK236" i="8"/>
  <c r="AK216" i="8"/>
  <c r="AW216" i="8" s="1"/>
  <c r="BG217" i="8"/>
  <c r="AV216" i="8"/>
  <c r="AZ305" i="8"/>
  <c r="AK294" i="8"/>
  <c r="AW294" i="8" s="1"/>
  <c r="AV303" i="8"/>
  <c r="AV310" i="8"/>
  <c r="AW69" i="32"/>
  <c r="AU71" i="32"/>
  <c r="AS89" i="32"/>
  <c r="BB93" i="32"/>
  <c r="AY119" i="32"/>
  <c r="AK250" i="8"/>
  <c r="AK227" i="8"/>
  <c r="AW227" i="8" s="1"/>
  <c r="BG208" i="8"/>
  <c r="L42" i="32"/>
  <c r="AG18" i="32"/>
  <c r="N18" i="32" s="1"/>
  <c r="S16" i="32"/>
  <c r="AZ269" i="8"/>
  <c r="AV275" i="8"/>
  <c r="AV276" i="8"/>
  <c r="AR281" i="8"/>
  <c r="BI298" i="8"/>
  <c r="AV301" i="8"/>
  <c r="BI304" i="8"/>
  <c r="AT308" i="8"/>
  <c r="AT309" i="8"/>
  <c r="N112" i="32"/>
  <c r="AU136" i="8"/>
  <c r="AV136" i="8"/>
  <c r="AU120" i="8"/>
  <c r="AV120" i="8"/>
  <c r="AU117" i="8"/>
  <c r="AV117" i="8"/>
  <c r="AV18" i="32"/>
  <c r="AU18" i="32"/>
  <c r="AT137" i="32"/>
  <c r="AS137" i="32"/>
  <c r="AY137" i="32"/>
  <c r="L75" i="32"/>
  <c r="N75" i="32"/>
  <c r="L107" i="32"/>
  <c r="N107" i="32"/>
  <c r="L139" i="32"/>
  <c r="N139" i="32"/>
  <c r="C58" i="13"/>
  <c r="C44" i="13"/>
  <c r="C43" i="13"/>
  <c r="C42" i="13"/>
  <c r="E50" i="14"/>
  <c r="O24" i="19"/>
  <c r="E12" i="14"/>
  <c r="E37" i="14"/>
  <c r="E39" i="14"/>
  <c r="E38" i="14"/>
  <c r="E41" i="14"/>
  <c r="BJ12" i="32"/>
  <c r="AS12" i="32"/>
  <c r="BI12" i="32"/>
  <c r="AW73" i="32"/>
  <c r="BB73" i="32"/>
  <c r="AW75" i="32"/>
  <c r="AY75" i="32"/>
  <c r="AT75" i="32"/>
  <c r="AT79" i="32"/>
  <c r="AS79" i="32"/>
  <c r="AV79" i="32"/>
  <c r="BJ81" i="32"/>
  <c r="AW81" i="32"/>
  <c r="BI81" i="32"/>
  <c r="BJ85" i="32"/>
  <c r="AU85" i="32"/>
  <c r="AU87" i="32"/>
  <c r="AT87" i="32"/>
  <c r="AT91" i="32"/>
  <c r="AW91" i="32"/>
  <c r="AV91" i="32"/>
  <c r="AT131" i="32"/>
  <c r="AY131" i="32"/>
  <c r="AY134" i="32"/>
  <c r="AV134" i="32"/>
  <c r="AT153" i="32"/>
  <c r="AU153" i="32"/>
  <c r="AJ276" i="8"/>
  <c r="AO276" i="8" s="1"/>
  <c r="AJ304" i="8"/>
  <c r="AO304" i="8" s="1"/>
  <c r="AJ254" i="8"/>
  <c r="AO254" i="8" s="1"/>
  <c r="AJ299" i="8"/>
  <c r="AO299" i="8" s="1"/>
  <c r="AJ296" i="8"/>
  <c r="AO296" i="8" s="1"/>
  <c r="AJ267" i="8"/>
  <c r="AO267" i="8" s="1"/>
  <c r="AJ305" i="8"/>
  <c r="AO305" i="8" s="1"/>
  <c r="AJ281" i="8"/>
  <c r="AO281" i="8" s="1"/>
  <c r="AJ260" i="8"/>
  <c r="AO260" i="8" s="1"/>
  <c r="K33" i="14"/>
  <c r="K37" i="14"/>
  <c r="K38" i="14"/>
  <c r="K12" i="14"/>
  <c r="P39" i="19" s="1"/>
  <c r="AU7" i="32"/>
  <c r="AY7" i="32"/>
  <c r="AY147" i="32"/>
  <c r="AT147" i="32"/>
  <c r="AY150" i="32"/>
  <c r="AV150" i="32"/>
  <c r="AW150" i="32"/>
  <c r="AZ207" i="8"/>
  <c r="BG207" i="8"/>
  <c r="BG206" i="8"/>
  <c r="V245" i="8"/>
  <c r="M245" i="8" s="1"/>
  <c r="AK245" i="8"/>
  <c r="AW245" i="8" s="1"/>
  <c r="AK225" i="8"/>
  <c r="V225" i="8"/>
  <c r="M225" i="8" s="1"/>
  <c r="V221" i="8"/>
  <c r="M221" i="8" s="1"/>
  <c r="AK221" i="8"/>
  <c r="AK217" i="8"/>
  <c r="AW217" i="8" s="1"/>
  <c r="V217" i="8"/>
  <c r="M217" i="8" s="1"/>
  <c r="V213" i="8"/>
  <c r="M213" i="8" s="1"/>
  <c r="AK213" i="8"/>
  <c r="AJ289" i="8"/>
  <c r="AO289" i="8" s="1"/>
  <c r="BJ23" i="32"/>
  <c r="AU23" i="32"/>
  <c r="V229" i="8"/>
  <c r="M229" i="8" s="1"/>
  <c r="S11" i="32"/>
  <c r="AG11" i="32"/>
  <c r="N11" i="32" s="1"/>
  <c r="V303" i="8"/>
  <c r="M303" i="8" s="1"/>
  <c r="AK303" i="8"/>
  <c r="AW303" i="8" s="1"/>
  <c r="N32" i="32"/>
  <c r="L32" i="32"/>
  <c r="AG153" i="32"/>
  <c r="N153" i="32" s="1"/>
  <c r="S153" i="32"/>
  <c r="S145" i="32"/>
  <c r="AG145" i="32"/>
  <c r="N145" i="32" s="1"/>
  <c r="S129" i="32"/>
  <c r="AG129" i="32"/>
  <c r="N129" i="32" s="1"/>
  <c r="AG121" i="32"/>
  <c r="N121" i="32" s="1"/>
  <c r="S121" i="32"/>
  <c r="S113" i="32"/>
  <c r="AG113" i="32"/>
  <c r="N113" i="32" s="1"/>
  <c r="S97" i="32"/>
  <c r="AG97" i="32"/>
  <c r="N97" i="32" s="1"/>
  <c r="AG89" i="32"/>
  <c r="L89" i="32" s="1"/>
  <c r="S89" i="32"/>
  <c r="S81" i="32"/>
  <c r="AG81" i="32"/>
  <c r="N81" i="32" s="1"/>
  <c r="S65" i="32"/>
  <c r="AG65" i="32"/>
  <c r="N65" i="32" s="1"/>
  <c r="AG57" i="32"/>
  <c r="N57" i="32" s="1"/>
  <c r="S57" i="32"/>
  <c r="S49" i="32"/>
  <c r="AG49" i="32"/>
  <c r="N49" i="32" s="1"/>
  <c r="S33" i="32"/>
  <c r="AG33" i="32"/>
  <c r="N33" i="32" s="1"/>
  <c r="AG25" i="32"/>
  <c r="L25" i="32" s="1"/>
  <c r="S25" i="32"/>
  <c r="AK256" i="8"/>
  <c r="AV137" i="8"/>
  <c r="S105" i="32"/>
  <c r="U305" i="8"/>
  <c r="M305" i="8" s="1"/>
  <c r="AK305" i="8"/>
  <c r="AW305" i="8" s="1"/>
  <c r="U301" i="8"/>
  <c r="M301" i="8" s="1"/>
  <c r="AK301" i="8"/>
  <c r="AW301" i="8" s="1"/>
  <c r="AK263" i="8"/>
  <c r="AW263" i="8" s="1"/>
  <c r="U263" i="8"/>
  <c r="M263" i="8" s="1"/>
  <c r="U248" i="8"/>
  <c r="M248" i="8" s="1"/>
  <c r="AK248" i="8"/>
  <c r="AK244" i="8"/>
  <c r="U244" i="8"/>
  <c r="M244" i="8" s="1"/>
  <c r="AK232" i="8"/>
  <c r="AW232" i="8" s="1"/>
  <c r="U232" i="8"/>
  <c r="M232" i="8" s="1"/>
  <c r="AK228" i="8"/>
  <c r="AW228" i="8" s="1"/>
  <c r="U228" i="8"/>
  <c r="M228" i="8" s="1"/>
  <c r="U224" i="8"/>
  <c r="M224" i="8" s="1"/>
  <c r="AK224" i="8"/>
  <c r="AY47" i="32"/>
  <c r="AY51" i="32"/>
  <c r="AV209" i="8"/>
  <c r="AV207" i="8"/>
  <c r="AK212" i="8"/>
  <c r="L152" i="32"/>
  <c r="L136" i="32"/>
  <c r="L112" i="32"/>
  <c r="N72" i="32"/>
  <c r="N64" i="32"/>
  <c r="N48" i="32"/>
  <c r="N40" i="32"/>
  <c r="AK270" i="8"/>
  <c r="AW270" i="8" s="1"/>
  <c r="AY9" i="32"/>
  <c r="AY10" i="32"/>
  <c r="AY13" i="32"/>
  <c r="AY17" i="32"/>
  <c r="AY21" i="32"/>
  <c r="AY25" i="32"/>
  <c r="O25" i="32" s="1"/>
  <c r="AY29" i="32"/>
  <c r="AY33" i="32"/>
  <c r="AY37" i="32"/>
  <c r="AY41" i="32"/>
  <c r="N152" i="32"/>
  <c r="AZ296" i="8"/>
  <c r="AY71" i="32"/>
  <c r="AY79" i="32"/>
  <c r="AY83" i="32"/>
  <c r="AY91" i="32"/>
  <c r="N136" i="32"/>
  <c r="S52" i="32"/>
  <c r="K16" i="19"/>
  <c r="BJ47" i="32"/>
  <c r="BI47" i="32"/>
  <c r="BI51" i="32"/>
  <c r="BJ51" i="32"/>
  <c r="AT55" i="32"/>
  <c r="AV55" i="32"/>
  <c r="AY57" i="32"/>
  <c r="AX57" i="32"/>
  <c r="AV57" i="32"/>
  <c r="AT119" i="8"/>
  <c r="AP116" i="8"/>
  <c r="AP127" i="8"/>
  <c r="AT123" i="8"/>
  <c r="AQ108" i="8"/>
  <c r="BA68" i="32"/>
  <c r="BC51" i="32"/>
  <c r="BK51" i="32"/>
  <c r="AU112" i="8"/>
  <c r="AU119" i="8"/>
  <c r="AS51" i="32"/>
  <c r="AW47" i="32"/>
  <c r="AW68" i="32"/>
  <c r="AU56" i="32"/>
  <c r="AV51" i="32"/>
  <c r="AT47" i="32"/>
  <c r="AT57" i="32"/>
  <c r="AJ300" i="8"/>
  <c r="AO300" i="8" s="1"/>
  <c r="AJ284" i="8"/>
  <c r="AO284" i="8" s="1"/>
  <c r="AJ256" i="8"/>
  <c r="AO256" i="8" s="1"/>
  <c r="AJ303" i="8"/>
  <c r="AO303" i="8" s="1"/>
  <c r="AJ294" i="8"/>
  <c r="AO294" i="8" s="1"/>
  <c r="AJ283" i="8"/>
  <c r="AO283" i="8" s="1"/>
  <c r="AJ263" i="8"/>
  <c r="AO263" i="8" s="1"/>
  <c r="AJ310" i="8"/>
  <c r="AO310" i="8" s="1"/>
  <c r="AJ291" i="8"/>
  <c r="AO291" i="8" s="1"/>
  <c r="AJ270" i="8"/>
  <c r="AO270" i="8" s="1"/>
  <c r="AJ295" i="8"/>
  <c r="AO295" i="8" s="1"/>
  <c r="AJ277" i="8"/>
  <c r="AO277" i="8" s="1"/>
  <c r="AJ297" i="8"/>
  <c r="AO297" i="8" s="1"/>
  <c r="AJ274" i="8"/>
  <c r="AO274" i="8" s="1"/>
  <c r="AJ308" i="8"/>
  <c r="AO308" i="8" s="1"/>
  <c r="AJ302" i="8"/>
  <c r="AO302" i="8" s="1"/>
  <c r="AJ293" i="8"/>
  <c r="AO293" i="8" s="1"/>
  <c r="AJ282" i="8"/>
  <c r="AO282" i="8" s="1"/>
  <c r="AJ261" i="8"/>
  <c r="AO261" i="8" s="1"/>
  <c r="AJ309" i="8"/>
  <c r="AO309" i="8" s="1"/>
  <c r="AJ285" i="8"/>
  <c r="AO285" i="8" s="1"/>
  <c r="AJ268" i="8"/>
  <c r="AO268" i="8" s="1"/>
  <c r="AJ290" i="8"/>
  <c r="AO290" i="8" s="1"/>
  <c r="AJ275" i="8"/>
  <c r="AO275" i="8" s="1"/>
  <c r="AJ287" i="8"/>
  <c r="AO287" i="8" s="1"/>
  <c r="AJ269" i="8"/>
  <c r="AO269" i="8" s="1"/>
  <c r="AJ306" i="8"/>
  <c r="AO306" i="8" s="1"/>
  <c r="AJ301" i="8"/>
  <c r="AO301" i="8" s="1"/>
  <c r="AJ292" i="8"/>
  <c r="AO292" i="8" s="1"/>
  <c r="AJ280" i="8"/>
  <c r="AO280" i="8" s="1"/>
  <c r="AJ255" i="8"/>
  <c r="AO255" i="8" s="1"/>
  <c r="AJ298" i="8"/>
  <c r="AO298" i="8" s="1"/>
  <c r="AJ279" i="8"/>
  <c r="AO279" i="8" s="1"/>
  <c r="AJ307" i="8"/>
  <c r="AO307" i="8" s="1"/>
  <c r="AJ288" i="8"/>
  <c r="AO288" i="8" s="1"/>
  <c r="AJ262" i="8"/>
  <c r="AO262" i="8" s="1"/>
  <c r="BJ13" i="32"/>
  <c r="BI13" i="32"/>
  <c r="BJ20" i="32"/>
  <c r="BI20" i="32"/>
  <c r="BJ24" i="32"/>
  <c r="BI24" i="32"/>
  <c r="BJ28" i="32"/>
  <c r="BI28" i="32"/>
  <c r="BJ32" i="32"/>
  <c r="BI32" i="32"/>
  <c r="AY54" i="32"/>
  <c r="AX54" i="32"/>
  <c r="AV54" i="32"/>
  <c r="AT54" i="32"/>
  <c r="AR108" i="8"/>
  <c r="AT108" i="8"/>
  <c r="AR123" i="8"/>
  <c r="AR127" i="8"/>
  <c r="AU108" i="8"/>
  <c r="AQ116" i="8"/>
  <c r="AR131" i="8"/>
  <c r="BL47" i="32"/>
  <c r="BK68" i="32"/>
  <c r="AS55" i="32"/>
  <c r="AW51" i="32"/>
  <c r="AU47" i="32"/>
  <c r="AU68" i="32"/>
  <c r="AU57" i="32"/>
  <c r="AT51" i="32"/>
  <c r="AV47" i="32"/>
  <c r="AV138" i="8"/>
  <c r="AV151" i="8"/>
  <c r="AY53" i="32"/>
  <c r="AT53" i="32"/>
  <c r="AX53" i="32"/>
  <c r="AT68" i="32"/>
  <c r="AY68" i="32"/>
  <c r="AX68" i="32"/>
  <c r="BI70" i="32"/>
  <c r="BJ70" i="32"/>
  <c r="AY76" i="32"/>
  <c r="AX76" i="32"/>
  <c r="AT76" i="32"/>
  <c r="AV80" i="32"/>
  <c r="AY80" i="32"/>
  <c r="BJ86" i="32"/>
  <c r="BB86" i="32"/>
  <c r="BJ90" i="32"/>
  <c r="BI90" i="32"/>
  <c r="AT131" i="8"/>
  <c r="AQ131" i="8"/>
  <c r="AW55" i="32"/>
  <c r="AU51" i="32"/>
  <c r="AX51" i="32"/>
  <c r="AX47" i="32"/>
  <c r="AT56" i="32"/>
  <c r="AY56" i="32"/>
  <c r="AY55" i="32"/>
  <c r="AT52" i="32"/>
  <c r="AY52" i="32"/>
  <c r="AX52" i="32"/>
  <c r="AV58" i="32"/>
  <c r="AY58" i="32"/>
  <c r="AT58" i="32"/>
  <c r="AY59" i="32"/>
  <c r="AT59" i="32"/>
  <c r="AV59" i="32"/>
  <c r="AY60" i="32"/>
  <c r="AX60" i="32"/>
  <c r="AT60" i="32"/>
  <c r="AX61" i="32"/>
  <c r="AV61" i="32"/>
  <c r="AT61" i="32"/>
  <c r="AT62" i="32"/>
  <c r="AX62" i="32"/>
  <c r="AT63" i="32"/>
  <c r="AV63" i="32"/>
  <c r="AV64" i="32"/>
  <c r="AY64" i="32"/>
  <c r="AV65" i="32"/>
  <c r="AT65" i="32"/>
  <c r="AY65" i="32"/>
  <c r="AX66" i="32"/>
  <c r="AY66" i="32"/>
  <c r="AV66" i="32"/>
  <c r="AY67" i="32"/>
  <c r="AV67" i="32"/>
  <c r="AX67" i="32"/>
  <c r="AU52" i="32"/>
  <c r="AS57" i="32"/>
  <c r="AU59" i="32"/>
  <c r="AS60" i="32"/>
  <c r="AY107" i="32"/>
  <c r="AY113" i="32"/>
  <c r="AY117" i="32"/>
  <c r="AY121" i="32"/>
  <c r="O121" i="32" s="1"/>
  <c r="AY122" i="32"/>
  <c r="AY123" i="32"/>
  <c r="AY125" i="32"/>
  <c r="AY129" i="32"/>
  <c r="AR283" i="8"/>
  <c r="AZ285" i="8"/>
  <c r="AT300" i="8"/>
  <c r="AV302" i="8"/>
  <c r="G50" i="14"/>
  <c r="AV214" i="8"/>
  <c r="BG305" i="8"/>
  <c r="AK289" i="8"/>
  <c r="AW289" i="8" s="1"/>
  <c r="AV248" i="8"/>
  <c r="AV243" i="8"/>
  <c r="AV226" i="8"/>
  <c r="AV224" i="8"/>
  <c r="N35" i="32"/>
  <c r="S152" i="32"/>
  <c r="S138" i="32"/>
  <c r="S14" i="32"/>
  <c r="AV279" i="8"/>
  <c r="AV284" i="8"/>
  <c r="AV304" i="8"/>
  <c r="AV306" i="8"/>
  <c r="AK304" i="8"/>
  <c r="AW304" i="8" s="1"/>
  <c r="AV148" i="8"/>
  <c r="AU148" i="8"/>
  <c r="L105" i="32"/>
  <c r="N105" i="32"/>
  <c r="L41" i="32"/>
  <c r="N41" i="32"/>
  <c r="AY61" i="32"/>
  <c r="AY62" i="32"/>
  <c r="AY63" i="32"/>
  <c r="AV241" i="8"/>
  <c r="AV236" i="8"/>
  <c r="N43" i="32"/>
  <c r="AG15" i="32"/>
  <c r="N15" i="32" s="1"/>
  <c r="S40" i="32"/>
  <c r="S128" i="32"/>
  <c r="S10" i="32"/>
  <c r="AG10" i="32"/>
  <c r="L10" i="32" s="1"/>
  <c r="S7" i="32"/>
  <c r="AG7" i="32"/>
  <c r="N7" i="32" s="1"/>
  <c r="V260" i="8"/>
  <c r="M260" i="8" s="1"/>
  <c r="AK260" i="8"/>
  <c r="V267" i="8"/>
  <c r="M267" i="8" s="1"/>
  <c r="AK267" i="8"/>
  <c r="AW267" i="8" s="1"/>
  <c r="V290" i="8"/>
  <c r="M290" i="8" s="1"/>
  <c r="AK290" i="8"/>
  <c r="AW290" i="8" s="1"/>
  <c r="E59" i="13"/>
  <c r="E58" i="13"/>
  <c r="S9" i="32"/>
  <c r="AG9" i="32"/>
  <c r="AT284" i="8"/>
  <c r="AR308" i="8"/>
  <c r="AV308" i="8"/>
  <c r="AV309" i="8"/>
  <c r="AZ309" i="8"/>
  <c r="AK297" i="8"/>
  <c r="U293" i="8"/>
  <c r="M293" i="8" s="1"/>
  <c r="AK293" i="8"/>
  <c r="AK285" i="8"/>
  <c r="U285" i="8"/>
  <c r="M285" i="8" s="1"/>
  <c r="U281" i="8"/>
  <c r="M281" i="8" s="1"/>
  <c r="AK281" i="8"/>
  <c r="AW281" i="8" s="1"/>
  <c r="AK277" i="8"/>
  <c r="AW277" i="8" s="1"/>
  <c r="AG149" i="32"/>
  <c r="S149" i="32"/>
  <c r="AG141" i="32"/>
  <c r="S141" i="32"/>
  <c r="AG133" i="32"/>
  <c r="S133" i="32"/>
  <c r="AG125" i="32"/>
  <c r="S125" i="32"/>
  <c r="AG117" i="32"/>
  <c r="S117" i="32"/>
  <c r="AG109" i="32"/>
  <c r="S109" i="32"/>
  <c r="AG101" i="32"/>
  <c r="S101" i="32"/>
  <c r="AG93" i="32"/>
  <c r="S93" i="32"/>
  <c r="AG85" i="32"/>
  <c r="S85" i="32"/>
  <c r="AG77" i="32"/>
  <c r="S77" i="32"/>
  <c r="AG69" i="32"/>
  <c r="S69" i="32"/>
  <c r="AG61" i="32"/>
  <c r="S61" i="32"/>
  <c r="AG53" i="32"/>
  <c r="S53" i="32"/>
  <c r="AG45" i="32"/>
  <c r="S45" i="32"/>
  <c r="AG37" i="32"/>
  <c r="S37" i="32"/>
  <c r="AG29" i="32"/>
  <c r="S29" i="32"/>
  <c r="AG17" i="32"/>
  <c r="S17" i="32"/>
  <c r="AK278" i="8"/>
  <c r="AT278" i="8"/>
  <c r="AP282" i="8"/>
  <c r="AT302" i="8"/>
  <c r="AZ302" i="8"/>
  <c r="AP302" i="8"/>
  <c r="AR302" i="8"/>
  <c r="V302" i="8"/>
  <c r="M302" i="8" s="1"/>
  <c r="AK302" i="8"/>
  <c r="AW302" i="8" s="1"/>
  <c r="AT303" i="8"/>
  <c r="AR303" i="8"/>
  <c r="AK296" i="8"/>
  <c r="U296" i="8"/>
  <c r="M296" i="8" s="1"/>
  <c r="U288" i="8"/>
  <c r="M288" i="8" s="1"/>
  <c r="AK288" i="8"/>
  <c r="AW288" i="8" s="1"/>
  <c r="AK280" i="8"/>
  <c r="U280" i="8"/>
  <c r="M280" i="8" s="1"/>
  <c r="AK262" i="8"/>
  <c r="U262" i="8"/>
  <c r="M262" i="8" s="1"/>
  <c r="AK255" i="8"/>
  <c r="AW255" i="8" s="1"/>
  <c r="U255" i="8"/>
  <c r="M255" i="8" s="1"/>
  <c r="AV253" i="8"/>
  <c r="AV233" i="8"/>
  <c r="AP230" i="8"/>
  <c r="AP229" i="8"/>
  <c r="N67" i="32"/>
  <c r="AG120" i="32"/>
  <c r="L120" i="32" s="1"/>
  <c r="S120" i="32"/>
  <c r="AG96" i="32"/>
  <c r="L96" i="32" s="1"/>
  <c r="S96" i="32"/>
  <c r="AG68" i="32"/>
  <c r="S68" i="32"/>
  <c r="AG56" i="32"/>
  <c r="S56" i="32"/>
  <c r="AG36" i="32"/>
  <c r="S36" i="32"/>
  <c r="AG24" i="32"/>
  <c r="N24" i="32" s="1"/>
  <c r="S24" i="32"/>
  <c r="AR284" i="8"/>
  <c r="AK269" i="8"/>
  <c r="AW269" i="8" s="1"/>
  <c r="V254" i="8"/>
  <c r="M254" i="8" s="1"/>
  <c r="AK254" i="8"/>
  <c r="AW254" i="8" s="1"/>
  <c r="AK261" i="8"/>
  <c r="V261" i="8"/>
  <c r="M261" i="8" s="1"/>
  <c r="V268" i="8"/>
  <c r="M268" i="8" s="1"/>
  <c r="AK268" i="8"/>
  <c r="AW268" i="8" s="1"/>
  <c r="V291" i="8"/>
  <c r="M291" i="8" s="1"/>
  <c r="AK291" i="8"/>
  <c r="AW291" i="8" s="1"/>
  <c r="Z6" i="8"/>
  <c r="N14" i="32"/>
  <c r="BG302" i="8"/>
  <c r="AK309" i="8"/>
  <c r="O5" i="32"/>
  <c r="R18" i="19"/>
  <c r="G16" i="11"/>
  <c r="Q18" i="19"/>
  <c r="Z10" i="8"/>
  <c r="Z26" i="8"/>
  <c r="Z42" i="8"/>
  <c r="Z58" i="8"/>
  <c r="Z74" i="8"/>
  <c r="Z90" i="8"/>
  <c r="Z106" i="8"/>
  <c r="Z122" i="8"/>
  <c r="Z138" i="8"/>
  <c r="G12" i="14"/>
  <c r="AV206" i="8"/>
  <c r="AT254" i="8"/>
  <c r="AR255" i="8"/>
  <c r="AP267" i="8"/>
  <c r="AT267" i="8"/>
  <c r="AT269" i="8"/>
  <c r="AV277" i="8"/>
  <c r="BG280" i="8"/>
  <c r="AV281" i="8"/>
  <c r="AV282" i="8"/>
  <c r="AP291" i="8"/>
  <c r="AP292" i="8"/>
  <c r="AR292" i="8"/>
  <c r="AP293" i="8"/>
  <c r="Z9" i="8"/>
  <c r="Z25" i="8"/>
  <c r="Z41" i="8"/>
  <c r="Z57" i="8"/>
  <c r="Z73" i="8"/>
  <c r="Z89" i="8"/>
  <c r="Z105" i="8"/>
  <c r="Z121" i="8"/>
  <c r="Z137" i="8"/>
  <c r="Z153" i="8"/>
  <c r="M14" i="8"/>
  <c r="M30" i="8"/>
  <c r="M94" i="8"/>
  <c r="M154" i="8"/>
  <c r="BG291" i="8"/>
  <c r="BG293" i="8"/>
  <c r="BG295" i="8"/>
  <c r="BG296" i="8"/>
  <c r="AV278" i="8"/>
  <c r="AP281" i="8"/>
  <c r="AV283" i="8"/>
  <c r="AR306" i="8"/>
  <c r="AZ307" i="8"/>
  <c r="BJ37" i="32"/>
  <c r="BI37" i="32"/>
  <c r="AU134" i="8"/>
  <c r="AV91" i="8"/>
  <c r="AV123" i="8"/>
  <c r="AV131" i="8"/>
  <c r="AV135" i="8"/>
  <c r="AV139" i="8"/>
  <c r="AV147" i="8"/>
  <c r="AY84" i="32"/>
  <c r="AY85" i="32"/>
  <c r="AY86" i="32"/>
  <c r="AY87" i="32"/>
  <c r="AU116" i="32"/>
  <c r="AW120" i="32"/>
  <c r="AY152" i="32"/>
  <c r="AY153" i="32"/>
  <c r="AY154" i="32"/>
  <c r="AK237" i="8"/>
  <c r="AK249" i="8"/>
  <c r="AK233" i="8"/>
  <c r="AW233" i="8" s="1"/>
  <c r="AK241" i="8"/>
  <c r="AW241" i="8" s="1"/>
  <c r="V253" i="8"/>
  <c r="M253" i="8" s="1"/>
  <c r="AP253" i="8"/>
  <c r="AZ253" i="8"/>
  <c r="AV245" i="8"/>
  <c r="BI44" i="8"/>
  <c r="AP6" i="8"/>
  <c r="AV60" i="8"/>
  <c r="AV84" i="8"/>
  <c r="BI85" i="8"/>
  <c r="AZ270" i="8"/>
  <c r="V298" i="8"/>
  <c r="M298" i="8" s="1"/>
  <c r="AK298" i="8"/>
  <c r="V308" i="8"/>
  <c r="M308" i="8" s="1"/>
  <c r="AK308" i="8"/>
  <c r="AV26" i="8"/>
  <c r="AV101" i="8"/>
  <c r="AV105" i="8"/>
  <c r="AV149" i="8"/>
  <c r="AW6" i="32"/>
  <c r="AW78" i="32"/>
  <c r="AQ123" i="8"/>
  <c r="AS85" i="8"/>
  <c r="AT234" i="8"/>
  <c r="AR234" i="8"/>
  <c r="AV231" i="8"/>
  <c r="BG226" i="8"/>
  <c r="AT225" i="8"/>
  <c r="AK252" i="8"/>
  <c r="AW252" i="8" s="1"/>
  <c r="V252" i="8"/>
  <c r="M252" i="8" s="1"/>
  <c r="V208" i="8"/>
  <c r="M208" i="8" s="1"/>
  <c r="AK208" i="8"/>
  <c r="AV98" i="8"/>
  <c r="AV146" i="8"/>
  <c r="Y1" i="32"/>
  <c r="AU100" i="32"/>
  <c r="AV251" i="8"/>
  <c r="AV240" i="8"/>
  <c r="AV234" i="8"/>
  <c r="AV213" i="8"/>
  <c r="V212" i="8"/>
  <c r="M212" i="8" s="1"/>
  <c r="AV208" i="8"/>
  <c r="AG6" i="32"/>
  <c r="S6" i="32"/>
  <c r="AG148" i="32"/>
  <c r="N148" i="32" s="1"/>
  <c r="S148" i="32"/>
  <c r="AG140" i="32"/>
  <c r="S140" i="32"/>
  <c r="AG132" i="32"/>
  <c r="N132" i="32" s="1"/>
  <c r="S132" i="32"/>
  <c r="AG124" i="32"/>
  <c r="S124" i="32"/>
  <c r="AG116" i="32"/>
  <c r="N116" i="32" s="1"/>
  <c r="S116" i="32"/>
  <c r="AG108" i="32"/>
  <c r="S108" i="32"/>
  <c r="AG100" i="32"/>
  <c r="N100" i="32" s="1"/>
  <c r="S100" i="32"/>
  <c r="AG92" i="32"/>
  <c r="S92" i="32"/>
  <c r="AG84" i="32"/>
  <c r="N84" i="32" s="1"/>
  <c r="S84" i="32"/>
  <c r="V307" i="8"/>
  <c r="M307" i="8" s="1"/>
  <c r="AK307" i="8"/>
  <c r="AZ308" i="8"/>
  <c r="AP308" i="8"/>
  <c r="AV252" i="8"/>
  <c r="AV246" i="8"/>
  <c r="AV237" i="8"/>
  <c r="AT236" i="8"/>
  <c r="AV232" i="8"/>
  <c r="AV229" i="8"/>
  <c r="AV225" i="8"/>
  <c r="AV222" i="8"/>
  <c r="AT215" i="8"/>
  <c r="AT207" i="8"/>
  <c r="L48" i="32"/>
  <c r="L14" i="32"/>
  <c r="L72" i="32"/>
  <c r="L40" i="32"/>
  <c r="S28" i="32"/>
  <c r="S44" i="32"/>
  <c r="S60" i="32"/>
  <c r="S76" i="32"/>
  <c r="S104" i="32"/>
  <c r="S136" i="32"/>
  <c r="S74" i="32"/>
  <c r="V300" i="8"/>
  <c r="M300" i="8" s="1"/>
  <c r="AK300" i="8"/>
  <c r="AW300" i="8" s="1"/>
  <c r="V306" i="8"/>
  <c r="M306" i="8" s="1"/>
  <c r="AK306" i="8"/>
  <c r="AW306" i="8" s="1"/>
  <c r="AT237" i="8"/>
  <c r="AP208" i="8"/>
  <c r="AG20" i="32"/>
  <c r="L20" i="32" s="1"/>
  <c r="S32" i="32"/>
  <c r="S48" i="32"/>
  <c r="S64" i="32"/>
  <c r="S80" i="32"/>
  <c r="S112" i="32"/>
  <c r="S144" i="32"/>
  <c r="AG146" i="32"/>
  <c r="N146" i="32" s="1"/>
  <c r="S146" i="32"/>
  <c r="AG114" i="32"/>
  <c r="N114" i="32" s="1"/>
  <c r="S114" i="32"/>
  <c r="AG82" i="32"/>
  <c r="L82" i="32" s="1"/>
  <c r="S82" i="32"/>
  <c r="AG50" i="32"/>
  <c r="N50" i="32" s="1"/>
  <c r="S50" i="32"/>
  <c r="S22" i="32"/>
  <c r="AG22" i="32"/>
  <c r="L22" i="32" s="1"/>
  <c r="BG269" i="8"/>
  <c r="V299" i="8"/>
  <c r="M299" i="8" s="1"/>
  <c r="AK299" i="8"/>
  <c r="AW299" i="8" s="1"/>
  <c r="V310" i="8"/>
  <c r="M310" i="8" s="1"/>
  <c r="AK310" i="8"/>
  <c r="AZ281" i="8"/>
  <c r="AR269" i="8"/>
  <c r="AK283" i="8"/>
  <c r="AK282" i="8"/>
  <c r="AW282" i="8" s="1"/>
  <c r="AK284" i="8"/>
  <c r="V279" i="8"/>
  <c r="M279" i="8" s="1"/>
  <c r="M9" i="19"/>
  <c r="M5" i="32"/>
  <c r="M9" i="11"/>
  <c r="AW60" i="8"/>
  <c r="AZ254" i="8"/>
  <c r="AZ295" i="8"/>
  <c r="BI307" i="8"/>
  <c r="BI308" i="8"/>
  <c r="BI309" i="8"/>
  <c r="M16" i="11"/>
  <c r="L5" i="32"/>
  <c r="N5" i="32"/>
  <c r="AT6" i="32"/>
  <c r="BK6" i="32"/>
  <c r="BC6" i="32"/>
  <c r="AV6" i="32"/>
  <c r="AU6" i="32"/>
  <c r="BI98" i="8"/>
  <c r="BI89" i="8"/>
  <c r="BI145" i="8"/>
  <c r="BI153" i="8"/>
  <c r="BC139" i="32"/>
  <c r="BI139" i="32"/>
  <c r="AZ242" i="8"/>
  <c r="BG242" i="8"/>
  <c r="AZ240" i="8"/>
  <c r="AR240" i="8"/>
  <c r="AR239" i="8"/>
  <c r="AR221" i="8"/>
  <c r="AZ221" i="8"/>
  <c r="AP221" i="8"/>
  <c r="AT221" i="8"/>
  <c r="AR213" i="8"/>
  <c r="AZ213" i="8"/>
  <c r="AT213" i="8"/>
  <c r="BG213" i="8"/>
  <c r="BI274" i="8"/>
  <c r="AP274" i="8"/>
  <c r="AT275" i="8"/>
  <c r="AR275" i="8"/>
  <c r="BJ92" i="32"/>
  <c r="BI92" i="32"/>
  <c r="AQ287" i="8"/>
  <c r="AQ290" i="8"/>
  <c r="AS46" i="8"/>
  <c r="AS262" i="8"/>
  <c r="BG243" i="8"/>
  <c r="BG222" i="8"/>
  <c r="AP222" i="8"/>
  <c r="AT222" i="8"/>
  <c r="AT279" i="8"/>
  <c r="AP279" i="8"/>
  <c r="BI85" i="32"/>
  <c r="BI66" i="32"/>
  <c r="BI41" i="32"/>
  <c r="BI86" i="32"/>
  <c r="BI49" i="32"/>
  <c r="BI139" i="8"/>
  <c r="BI131" i="8"/>
  <c r="BI136" i="8"/>
  <c r="BI110" i="8"/>
  <c r="AQ87" i="8"/>
  <c r="BJ104" i="32"/>
  <c r="BI104" i="32"/>
  <c r="BI111" i="32"/>
  <c r="BJ111" i="32"/>
  <c r="AZ211" i="8"/>
  <c r="AT211" i="8"/>
  <c r="BG294" i="8"/>
  <c r="AT294" i="8"/>
  <c r="BI294" i="8"/>
  <c r="AP294" i="8"/>
  <c r="AT296" i="8"/>
  <c r="AR296" i="8"/>
  <c r="BI296" i="8"/>
  <c r="AR297" i="8"/>
  <c r="AT297" i="8"/>
  <c r="BI297" i="8"/>
  <c r="BG297" i="8"/>
  <c r="BJ139" i="32"/>
  <c r="BI68" i="32"/>
  <c r="BI9" i="32"/>
  <c r="BI23" i="32"/>
  <c r="BI130" i="32"/>
  <c r="BI147" i="8"/>
  <c r="BI95" i="8"/>
  <c r="BI142" i="8"/>
  <c r="BI134" i="8"/>
  <c r="BI116" i="8"/>
  <c r="AS16" i="8"/>
  <c r="AV129" i="8"/>
  <c r="AS115" i="8"/>
  <c r="AQ96" i="8"/>
  <c r="AQ93" i="8"/>
  <c r="AZ228" i="8"/>
  <c r="AP228" i="8"/>
  <c r="AR228" i="8"/>
  <c r="AZ220" i="8"/>
  <c r="AP220" i="8"/>
  <c r="AR220" i="8"/>
  <c r="AR212" i="8"/>
  <c r="AP212" i="8"/>
  <c r="AZ212" i="8"/>
  <c r="BI310" i="8"/>
  <c r="AR310" i="8"/>
  <c r="AZ310" i="8"/>
  <c r="BG310" i="8"/>
  <c r="AP310" i="8"/>
  <c r="AU47" i="8"/>
  <c r="AS40" i="8"/>
  <c r="BI269" i="8"/>
  <c r="AQ114" i="8"/>
  <c r="AV92" i="8"/>
  <c r="AQ60" i="8"/>
  <c r="BG224" i="8"/>
  <c r="BG221" i="8"/>
  <c r="BG220" i="8"/>
  <c r="BG212" i="8"/>
  <c r="BG211" i="8"/>
  <c r="BG254" i="8"/>
  <c r="G58" i="13"/>
  <c r="BG285" i="8"/>
  <c r="BJ58" i="32"/>
  <c r="BI58" i="32"/>
  <c r="AP246" i="8"/>
  <c r="BI276" i="8"/>
  <c r="AP276" i="8"/>
  <c r="AR298" i="8"/>
  <c r="AP298" i="8"/>
  <c r="BG298" i="8"/>
  <c r="AZ298" i="8"/>
  <c r="AU58" i="32"/>
  <c r="AS22" i="32"/>
  <c r="BL77" i="32"/>
  <c r="AW57" i="32"/>
  <c r="AS78" i="32"/>
  <c r="BB147" i="32"/>
  <c r="BB120" i="32"/>
  <c r="BB56" i="32"/>
  <c r="BB134" i="32"/>
  <c r="BB102" i="32"/>
  <c r="BJ79" i="32"/>
  <c r="BI60" i="32"/>
  <c r="BJ119" i="32"/>
  <c r="AP234" i="8"/>
  <c r="AZ234" i="8"/>
  <c r="AT256" i="8"/>
  <c r="BI256" i="8"/>
  <c r="AR256" i="8"/>
  <c r="AU22" i="32"/>
  <c r="AS77" i="32"/>
  <c r="AU78" i="32"/>
  <c r="AS46" i="32"/>
  <c r="BB103" i="32"/>
  <c r="BB76" i="32"/>
  <c r="BB57" i="32"/>
  <c r="BJ60" i="32"/>
  <c r="BJ150" i="32"/>
  <c r="BJ151" i="32"/>
  <c r="BI134" i="32"/>
  <c r="BI102" i="32"/>
  <c r="BI77" i="32"/>
  <c r="BI143" i="32"/>
  <c r="BJ143" i="32"/>
  <c r="BG235" i="8"/>
  <c r="AT235" i="8"/>
  <c r="AR235" i="8"/>
  <c r="AP235" i="8"/>
  <c r="AZ235" i="8"/>
  <c r="AT232" i="8"/>
  <c r="AR232" i="8"/>
  <c r="BG232" i="8"/>
  <c r="AP283" i="8"/>
  <c r="AZ283" i="8"/>
  <c r="BG287" i="8"/>
  <c r="AR287" i="8"/>
  <c r="AP287" i="8"/>
  <c r="AS102" i="32"/>
  <c r="AU132" i="32"/>
  <c r="AW104" i="32"/>
  <c r="AS76" i="32"/>
  <c r="AW72" i="32"/>
  <c r="AW56" i="32"/>
  <c r="AS118" i="32"/>
  <c r="AU149" i="32"/>
  <c r="AU77" i="32"/>
  <c r="AU150" i="32"/>
  <c r="AU46" i="32"/>
  <c r="BB136" i="32"/>
  <c r="BB104" i="32"/>
  <c r="BB77" i="32"/>
  <c r="BB150" i="32"/>
  <c r="BB118" i="32"/>
  <c r="BI132" i="32"/>
  <c r="BI147" i="32"/>
  <c r="BI12" i="8"/>
  <c r="AP245" i="8"/>
  <c r="AT243" i="8"/>
  <c r="AP243" i="8"/>
  <c r="AZ243" i="8"/>
  <c r="AR243" i="8"/>
  <c r="AP242" i="8"/>
  <c r="AR242" i="8"/>
  <c r="AT242" i="8"/>
  <c r="AP233" i="8"/>
  <c r="AZ233" i="8"/>
  <c r="BG215" i="8"/>
  <c r="AT298" i="8"/>
  <c r="BG304" i="8"/>
  <c r="AR304" i="8"/>
  <c r="AP304" i="8"/>
  <c r="AZ304" i="8"/>
  <c r="AT304" i="8"/>
  <c r="AV124" i="8"/>
  <c r="AV121" i="8"/>
  <c r="AP213" i="8"/>
  <c r="AT220" i="8"/>
  <c r="BG228" i="8"/>
  <c r="AT228" i="8"/>
  <c r="AT212" i="8"/>
  <c r="AR222" i="8"/>
  <c r="BG234" i="8"/>
  <c r="BG275" i="8"/>
  <c r="BG284" i="8"/>
  <c r="BI67" i="8"/>
  <c r="BJ52" i="32"/>
  <c r="BI52" i="32"/>
  <c r="BI63" i="32"/>
  <c r="BJ63" i="32"/>
  <c r="BJ64" i="32"/>
  <c r="BI64" i="32"/>
  <c r="BJ72" i="32"/>
  <c r="BI72" i="32"/>
  <c r="BJ88" i="32"/>
  <c r="BI88" i="32"/>
  <c r="BJ100" i="32"/>
  <c r="BI100" i="32"/>
  <c r="BJ108" i="32"/>
  <c r="BI108" i="32"/>
  <c r="BI115" i="32"/>
  <c r="BJ115" i="32"/>
  <c r="BJ116" i="32"/>
  <c r="BI116" i="32"/>
  <c r="BI123" i="32"/>
  <c r="BJ123" i="32"/>
  <c r="AZ252" i="8"/>
  <c r="AT252" i="8"/>
  <c r="AP252" i="8"/>
  <c r="BG252" i="8"/>
  <c r="AR252" i="8"/>
  <c r="AR238" i="8"/>
  <c r="AP238" i="8"/>
  <c r="BG238" i="8"/>
  <c r="AZ238" i="8"/>
  <c r="AT238" i="8"/>
  <c r="AZ227" i="8"/>
  <c r="AT227" i="8"/>
  <c r="BG227" i="8"/>
  <c r="AP227" i="8"/>
  <c r="AR227" i="8"/>
  <c r="AR219" i="8"/>
  <c r="BG219" i="8"/>
  <c r="AP219" i="8"/>
  <c r="AZ219" i="8"/>
  <c r="AP218" i="8"/>
  <c r="AZ218" i="8"/>
  <c r="AT218" i="8"/>
  <c r="AR218" i="8"/>
  <c r="BG218" i="8"/>
  <c r="AZ210" i="8"/>
  <c r="BG210" i="8"/>
  <c r="AT210" i="8"/>
  <c r="AR210" i="8"/>
  <c r="AZ260" i="8"/>
  <c r="BI260" i="8"/>
  <c r="AT260" i="8"/>
  <c r="BG260" i="8"/>
  <c r="AR260" i="8"/>
  <c r="AP260" i="8"/>
  <c r="AT261" i="8"/>
  <c r="BG261" i="8"/>
  <c r="AP261" i="8"/>
  <c r="AR261" i="8"/>
  <c r="AZ261" i="8"/>
  <c r="BI261" i="8"/>
  <c r="AT262" i="8"/>
  <c r="BG262" i="8"/>
  <c r="BI262" i="8"/>
  <c r="AR262" i="8"/>
  <c r="AZ262" i="8"/>
  <c r="AP262" i="8"/>
  <c r="BG263" i="8"/>
  <c r="AR263" i="8"/>
  <c r="AZ263" i="8"/>
  <c r="AP263" i="8"/>
  <c r="AT263" i="8"/>
  <c r="BI263" i="8"/>
  <c r="AR277" i="8"/>
  <c r="AT277" i="8"/>
  <c r="BI277" i="8"/>
  <c r="AZ277" i="8"/>
  <c r="AP277" i="8"/>
  <c r="BG277" i="8"/>
  <c r="BG288" i="8"/>
  <c r="AR288" i="8"/>
  <c r="AT288" i="8"/>
  <c r="AZ288" i="8"/>
  <c r="AP288" i="8"/>
  <c r="BI288" i="8"/>
  <c r="AP289" i="8"/>
  <c r="AT289" i="8"/>
  <c r="BI289" i="8"/>
  <c r="BG289" i="8"/>
  <c r="AZ289" i="8"/>
  <c r="AR289" i="8"/>
  <c r="AZ290" i="8"/>
  <c r="AT290" i="8"/>
  <c r="BI290" i="8"/>
  <c r="AP290" i="8"/>
  <c r="BG290" i="8"/>
  <c r="AR290" i="8"/>
  <c r="AR299" i="8"/>
  <c r="AZ299" i="8"/>
  <c r="AP299" i="8"/>
  <c r="BG299" i="8"/>
  <c r="BI299" i="8"/>
  <c r="AT299" i="8"/>
  <c r="BG300" i="8"/>
  <c r="AZ300" i="8"/>
  <c r="BI300" i="8"/>
  <c r="AP300" i="8"/>
  <c r="AR300" i="8"/>
  <c r="AP301" i="8"/>
  <c r="AT301" i="8"/>
  <c r="BI301" i="8"/>
  <c r="AZ301" i="8"/>
  <c r="AR301" i="8"/>
  <c r="BG301" i="8"/>
  <c r="BI306" i="8"/>
  <c r="AP306" i="8"/>
  <c r="AZ306" i="8"/>
  <c r="AT306" i="8"/>
  <c r="BG306" i="8"/>
  <c r="BJ6" i="32"/>
  <c r="BI6" i="32"/>
  <c r="BA6" i="32" s="1"/>
  <c r="BB6" i="32" s="1"/>
  <c r="BJ10" i="32"/>
  <c r="BI10" i="32"/>
  <c r="BJ14" i="32"/>
  <c r="BI14" i="32"/>
  <c r="BJ18" i="32"/>
  <c r="BI18" i="32"/>
  <c r="BJ22" i="32"/>
  <c r="BI22" i="32"/>
  <c r="BJ26" i="32"/>
  <c r="BI26" i="32"/>
  <c r="BJ30" i="32"/>
  <c r="BI30" i="32"/>
  <c r="BJ34" i="32"/>
  <c r="BI34" i="32"/>
  <c r="BJ36" i="32"/>
  <c r="BI36" i="32"/>
  <c r="BJ38" i="32"/>
  <c r="BI38" i="32"/>
  <c r="BJ40" i="32"/>
  <c r="BI40" i="32"/>
  <c r="BJ42" i="32"/>
  <c r="BI42" i="32"/>
  <c r="BJ44" i="32"/>
  <c r="BI44" i="32"/>
  <c r="BJ48" i="32"/>
  <c r="BI48" i="32"/>
  <c r="BJ50" i="32"/>
  <c r="BI50" i="32"/>
  <c r="BJ53" i="32"/>
  <c r="BI53" i="32"/>
  <c r="BI55" i="32"/>
  <c r="BJ55" i="32"/>
  <c r="BJ65" i="32"/>
  <c r="BI65" i="32"/>
  <c r="BJ73" i="32"/>
  <c r="BI73" i="32"/>
  <c r="BJ74" i="32"/>
  <c r="BI74" i="32"/>
  <c r="BJ89" i="32"/>
  <c r="BI89" i="32"/>
  <c r="BJ101" i="32"/>
  <c r="BI101" i="32"/>
  <c r="BJ109" i="32"/>
  <c r="BI109" i="32"/>
  <c r="BJ125" i="32"/>
  <c r="BI125" i="32"/>
  <c r="BJ133" i="32"/>
  <c r="BI133" i="32"/>
  <c r="BJ141" i="32"/>
  <c r="BI141" i="32"/>
  <c r="BJ142" i="32"/>
  <c r="BI142" i="32"/>
  <c r="AP210" i="8"/>
  <c r="AT219" i="8"/>
  <c r="BJ57" i="32"/>
  <c r="BI57" i="32"/>
  <c r="BI59" i="32"/>
  <c r="BJ59" i="32"/>
  <c r="BJ78" i="32"/>
  <c r="BI78" i="32"/>
  <c r="BJ80" i="32"/>
  <c r="BI80" i="32"/>
  <c r="BJ93" i="32"/>
  <c r="BI93" i="32"/>
  <c r="BJ94" i="32"/>
  <c r="BI94" i="32"/>
  <c r="BI95" i="32"/>
  <c r="BJ95" i="32"/>
  <c r="BJ96" i="32"/>
  <c r="BI96" i="32"/>
  <c r="BJ112" i="32"/>
  <c r="BI112" i="32"/>
  <c r="BJ120" i="32"/>
  <c r="BI120" i="32"/>
  <c r="BI127" i="32"/>
  <c r="BJ127" i="32"/>
  <c r="BJ128" i="32"/>
  <c r="BI128" i="32"/>
  <c r="BI135" i="32"/>
  <c r="BJ135" i="32"/>
  <c r="BJ69" i="32"/>
  <c r="BI69" i="32"/>
  <c r="BJ82" i="32"/>
  <c r="BI82" i="32"/>
  <c r="BI83" i="32"/>
  <c r="BJ83" i="32"/>
  <c r="BJ84" i="32"/>
  <c r="BI84" i="32"/>
  <c r="BJ105" i="32"/>
  <c r="BI105" i="32"/>
  <c r="BJ113" i="32"/>
  <c r="BI113" i="32"/>
  <c r="BJ121" i="32"/>
  <c r="BI121" i="32"/>
  <c r="AV85" i="8"/>
  <c r="BI26" i="8"/>
  <c r="AR246" i="8"/>
  <c r="BG249" i="8"/>
  <c r="AT249" i="8"/>
  <c r="AR249" i="8"/>
  <c r="AP249" i="8"/>
  <c r="AZ249" i="8"/>
  <c r="AP240" i="8"/>
  <c r="BG240" i="8"/>
  <c r="AT240" i="8"/>
  <c r="AP239" i="8"/>
  <c r="AT239" i="8"/>
  <c r="BG239" i="8"/>
  <c r="AZ239" i="8"/>
  <c r="AR236" i="8"/>
  <c r="BG236" i="8"/>
  <c r="AZ236" i="8"/>
  <c r="AP236" i="8"/>
  <c r="AT230" i="8"/>
  <c r="AR230" i="8"/>
  <c r="AZ230" i="8"/>
  <c r="AT224" i="8"/>
  <c r="AR224" i="8"/>
  <c r="AP224" i="8"/>
  <c r="AZ224" i="8"/>
  <c r="AP215" i="8"/>
  <c r="AR215" i="8"/>
  <c r="AP207" i="8"/>
  <c r="AR207" i="8"/>
  <c r="BI43" i="8"/>
  <c r="AV112" i="8"/>
  <c r="BG253" i="8"/>
  <c r="AR253" i="8"/>
  <c r="AT253" i="8"/>
  <c r="AP250" i="8"/>
  <c r="BG250" i="8"/>
  <c r="AT250" i="8"/>
  <c r="AZ250" i="8"/>
  <c r="AR250" i="8"/>
  <c r="AZ244" i="8"/>
  <c r="BG244" i="8"/>
  <c r="AR244" i="8"/>
  <c r="AT244" i="8"/>
  <c r="AR237" i="8"/>
  <c r="AZ237" i="8"/>
  <c r="AP237" i="8"/>
  <c r="BG237" i="8"/>
  <c r="AT233" i="8"/>
  <c r="AR233" i="8"/>
  <c r="AZ232" i="8"/>
  <c r="AP232" i="8"/>
  <c r="AR231" i="8"/>
  <c r="AZ231" i="8"/>
  <c r="AP231" i="8"/>
  <c r="AT231" i="8"/>
  <c r="AR225" i="8"/>
  <c r="AZ225" i="8"/>
  <c r="AP225" i="8"/>
  <c r="BG225" i="8"/>
  <c r="AP216" i="8"/>
  <c r="AT216" i="8"/>
  <c r="AR216" i="8"/>
  <c r="BG216" i="8"/>
  <c r="AZ216" i="8"/>
  <c r="AT208" i="8"/>
  <c r="AR208" i="8"/>
  <c r="AZ208" i="8"/>
  <c r="AV115" i="8"/>
  <c r="AV99" i="8"/>
  <c r="AZ251" i="8"/>
  <c r="AP251" i="8"/>
  <c r="AR251" i="8"/>
  <c r="BG251" i="8"/>
  <c r="AZ248" i="8"/>
  <c r="AT248" i="8"/>
  <c r="AR248" i="8"/>
  <c r="BG248" i="8"/>
  <c r="AP248" i="8"/>
  <c r="AP247" i="8"/>
  <c r="BG247" i="8"/>
  <c r="AT247" i="8"/>
  <c r="AZ247" i="8"/>
  <c r="AT246" i="8"/>
  <c r="BG246" i="8"/>
  <c r="AZ246" i="8"/>
  <c r="BG245" i="8"/>
  <c r="AR245" i="8"/>
  <c r="AZ245" i="8"/>
  <c r="AT245" i="8"/>
  <c r="BG241" i="8"/>
  <c r="AT241" i="8"/>
  <c r="AR241" i="8"/>
  <c r="AZ241" i="8"/>
  <c r="AP241" i="8"/>
  <c r="AT229" i="8"/>
  <c r="AR229" i="8"/>
  <c r="AZ229" i="8"/>
  <c r="BG229" i="8"/>
  <c r="AT226" i="8"/>
  <c r="AP226" i="8"/>
  <c r="AR226" i="8"/>
  <c r="AZ226" i="8"/>
  <c r="AP223" i="8"/>
  <c r="AZ223" i="8"/>
  <c r="AR223" i="8"/>
  <c r="AT223" i="8"/>
  <c r="BG223" i="8"/>
  <c r="AP217" i="8"/>
  <c r="AZ217" i="8"/>
  <c r="AR217" i="8"/>
  <c r="AT217" i="8"/>
  <c r="BG214" i="8"/>
  <c r="AP214" i="8"/>
  <c r="AT214" i="8"/>
  <c r="AR214" i="8"/>
  <c r="AR209" i="8"/>
  <c r="AP209" i="8"/>
  <c r="AT209" i="8"/>
  <c r="AR206" i="8"/>
  <c r="AZ206" i="8"/>
  <c r="AP206" i="8"/>
  <c r="AT206" i="8"/>
  <c r="AZ297" i="8"/>
  <c r="BI267" i="8"/>
  <c r="AZ267" i="8"/>
  <c r="AR267" i="8"/>
  <c r="BG267" i="8"/>
  <c r="AT268" i="8"/>
  <c r="BG268" i="8"/>
  <c r="AP268" i="8"/>
  <c r="BI268" i="8"/>
  <c r="AR268" i="8"/>
  <c r="AP269" i="8"/>
  <c r="AT270" i="8"/>
  <c r="BI270" i="8"/>
  <c r="AP270" i="8"/>
  <c r="BG270" i="8"/>
  <c r="AR270" i="8"/>
  <c r="AR278" i="8"/>
  <c r="BG278" i="8"/>
  <c r="AP278" i="8"/>
  <c r="BI278" i="8"/>
  <c r="BG279" i="8"/>
  <c r="BI279" i="8"/>
  <c r="AZ279" i="8"/>
  <c r="AR279" i="8"/>
  <c r="AZ291" i="8"/>
  <c r="BI291" i="8"/>
  <c r="AR291" i="8"/>
  <c r="BI292" i="8"/>
  <c r="BG292" i="8"/>
  <c r="AZ292" i="8"/>
  <c r="AT292" i="8"/>
  <c r="AZ293" i="8"/>
  <c r="AR294" i="8"/>
  <c r="AZ294" i="8"/>
  <c r="BI302" i="8"/>
  <c r="AR307" i="8"/>
  <c r="AT307" i="8"/>
  <c r="AP307" i="8"/>
  <c r="BG308" i="8"/>
  <c r="BG309" i="8"/>
  <c r="AR309" i="8"/>
  <c r="AP309" i="8"/>
  <c r="BI280" i="8"/>
  <c r="AZ280" i="8"/>
  <c r="AR280" i="8"/>
  <c r="AT281" i="8"/>
  <c r="BI281" i="8"/>
  <c r="BG281" i="8"/>
  <c r="AR282" i="8"/>
  <c r="BI282" i="8"/>
  <c r="AZ282" i="8"/>
  <c r="BG282" i="8"/>
  <c r="BG283" i="8"/>
  <c r="AT283" i="8"/>
  <c r="BI283" i="8"/>
  <c r="AP295" i="8"/>
  <c r="AT295" i="8"/>
  <c r="BI295" i="8"/>
  <c r="AR295" i="8"/>
  <c r="AP296" i="8"/>
  <c r="BI303" i="8"/>
  <c r="BG303" i="8"/>
  <c r="AP303" i="8"/>
  <c r="BI254" i="8"/>
  <c r="AP254" i="8"/>
  <c r="BG255" i="8"/>
  <c r="AP255" i="8"/>
  <c r="BI255" i="8"/>
  <c r="AT255" i="8"/>
  <c r="AZ255" i="8"/>
  <c r="AZ256" i="8"/>
  <c r="BG256" i="8"/>
  <c r="AP256" i="8"/>
  <c r="AZ274" i="8"/>
  <c r="BG274" i="8"/>
  <c r="AR274" i="8"/>
  <c r="AT274" i="8"/>
  <c r="BI275" i="8"/>
  <c r="AP275" i="8"/>
  <c r="AZ275" i="8"/>
  <c r="BG276" i="8"/>
  <c r="AZ276" i="8"/>
  <c r="AR276" i="8"/>
  <c r="AT276" i="8"/>
  <c r="AP284" i="8"/>
  <c r="BI284" i="8"/>
  <c r="AZ284" i="8"/>
  <c r="BI285" i="8"/>
  <c r="AP285" i="8"/>
  <c r="AT285" i="8"/>
  <c r="BG286" i="8"/>
  <c r="AZ286" i="8"/>
  <c r="AR286" i="8"/>
  <c r="AT286" i="8"/>
  <c r="AT287" i="8"/>
  <c r="AZ287" i="8"/>
  <c r="BI287" i="8"/>
  <c r="BI305" i="8"/>
  <c r="AT305" i="8"/>
  <c r="Z120" i="8"/>
  <c r="AW120" i="8"/>
  <c r="Y120" i="8"/>
  <c r="X120" i="8"/>
  <c r="AJ120" i="8"/>
  <c r="AQ34" i="8"/>
  <c r="AS34" i="8"/>
  <c r="AZ34" i="8"/>
  <c r="AT34" i="8"/>
  <c r="AU34" i="8"/>
  <c r="AP34" i="8"/>
  <c r="BG34" i="8"/>
  <c r="AR34" i="8"/>
  <c r="BI34" i="8"/>
  <c r="AV94" i="8"/>
  <c r="AQ94" i="8"/>
  <c r="AS94" i="8"/>
  <c r="AU94" i="8"/>
  <c r="AP94" i="8"/>
  <c r="AT94" i="8"/>
  <c r="AR94" i="8"/>
  <c r="AS66" i="8"/>
  <c r="AQ66" i="8"/>
  <c r="BG66" i="8"/>
  <c r="AR66" i="8"/>
  <c r="AP66" i="8"/>
  <c r="BI66" i="8"/>
  <c r="AU66" i="8"/>
  <c r="AT66" i="8"/>
  <c r="AV66" i="8"/>
  <c r="AZ66" i="8"/>
  <c r="AQ59" i="8"/>
  <c r="AS59" i="8"/>
  <c r="AP59" i="8"/>
  <c r="AV59" i="8"/>
  <c r="AT59" i="8"/>
  <c r="AU59" i="8"/>
  <c r="AR59" i="8"/>
  <c r="AQ56" i="8"/>
  <c r="AT56" i="8"/>
  <c r="AS56" i="8"/>
  <c r="AR56" i="8"/>
  <c r="BI56" i="8"/>
  <c r="AP56" i="8"/>
  <c r="BG56" i="8"/>
  <c r="AV56" i="8"/>
  <c r="AU56" i="8"/>
  <c r="AS53" i="8"/>
  <c r="AP53" i="8"/>
  <c r="BI53" i="8"/>
  <c r="AR53" i="8"/>
  <c r="AQ53" i="8"/>
  <c r="BG53" i="8"/>
  <c r="AV53" i="8"/>
  <c r="AU53" i="8"/>
  <c r="AT53" i="8"/>
  <c r="AQ153" i="8"/>
  <c r="AV153" i="8"/>
  <c r="AU153" i="8"/>
  <c r="BG153" i="8"/>
  <c r="AS153" i="8"/>
  <c r="AR153" i="8"/>
  <c r="AP153" i="8"/>
  <c r="AZ153" i="8"/>
  <c r="AT153" i="8"/>
  <c r="AU150" i="8"/>
  <c r="AV150" i="8"/>
  <c r="BI150" i="8"/>
  <c r="AQ150" i="8"/>
  <c r="AR150" i="8"/>
  <c r="BG150" i="8"/>
  <c r="AZ150" i="8"/>
  <c r="AT150" i="8"/>
  <c r="AS150" i="8"/>
  <c r="AP150" i="8"/>
  <c r="Q2" i="8"/>
  <c r="U1" i="8"/>
  <c r="X1" i="8"/>
  <c r="U34" i="31" s="1"/>
  <c r="BI9" i="8"/>
  <c r="AZ9" i="8"/>
  <c r="BG9" i="8"/>
  <c r="AT9" i="8"/>
  <c r="AR16" i="8"/>
  <c r="BG16" i="8"/>
  <c r="BI16" i="8"/>
  <c r="AZ16" i="8"/>
  <c r="AP16" i="8"/>
  <c r="AT16" i="8"/>
  <c r="BI23" i="8"/>
  <c r="AR23" i="8"/>
  <c r="AZ23" i="8"/>
  <c r="AT23" i="8"/>
  <c r="BG23" i="8"/>
  <c r="BI27" i="8"/>
  <c r="AR27" i="8"/>
  <c r="AT27" i="8"/>
  <c r="BG27" i="8"/>
  <c r="AZ27" i="8"/>
  <c r="AP27" i="8"/>
  <c r="AP37" i="8"/>
  <c r="AZ37" i="8"/>
  <c r="AT37" i="8"/>
  <c r="BG37" i="8"/>
  <c r="AR37" i="8"/>
  <c r="AR41" i="8"/>
  <c r="AT41" i="8"/>
  <c r="AZ41" i="8"/>
  <c r="BI41" i="8"/>
  <c r="BG41" i="8"/>
  <c r="AP41" i="8"/>
  <c r="AT48" i="8"/>
  <c r="BI48" i="8"/>
  <c r="AR48" i="8"/>
  <c r="BG48" i="8"/>
  <c r="AZ48" i="8"/>
  <c r="AT55" i="8"/>
  <c r="AR55" i="8"/>
  <c r="BI55" i="8"/>
  <c r="AZ55" i="8"/>
  <c r="AP55" i="8"/>
  <c r="BG55" i="8"/>
  <c r="BG59" i="8"/>
  <c r="AZ59" i="8"/>
  <c r="BI59" i="8"/>
  <c r="BI69" i="8"/>
  <c r="AT69" i="8"/>
  <c r="AZ69" i="8"/>
  <c r="AR69" i="8"/>
  <c r="AP69" i="8"/>
  <c r="BG69" i="8"/>
  <c r="AT73" i="8"/>
  <c r="BI73" i="8"/>
  <c r="BG73" i="8"/>
  <c r="AZ73" i="8"/>
  <c r="AP73" i="8"/>
  <c r="AT80" i="8"/>
  <c r="BI80" i="8"/>
  <c r="AP80" i="8"/>
  <c r="AZ80" i="8"/>
  <c r="BG80" i="8"/>
  <c r="AP87" i="8"/>
  <c r="AT87" i="8"/>
  <c r="AR87" i="8"/>
  <c r="BG87" i="8"/>
  <c r="BI87" i="8"/>
  <c r="BG91" i="8"/>
  <c r="AR91" i="8"/>
  <c r="BI91" i="8"/>
  <c r="AZ91" i="8"/>
  <c r="AT91" i="8"/>
  <c r="AP91" i="8"/>
  <c r="AV93" i="8"/>
  <c r="AZ94" i="8"/>
  <c r="BI94" i="8"/>
  <c r="BG94" i="8"/>
  <c r="AP97" i="8"/>
  <c r="AT97" i="8"/>
  <c r="BG97" i="8"/>
  <c r="AZ97" i="8"/>
  <c r="AR97" i="8"/>
  <c r="BI97" i="8"/>
  <c r="Z152" i="8"/>
  <c r="Y152" i="8"/>
  <c r="X152" i="8"/>
  <c r="AJ152" i="8"/>
  <c r="AO152" i="8" s="1"/>
  <c r="Z144" i="8"/>
  <c r="Y144" i="8"/>
  <c r="X144" i="8"/>
  <c r="AJ144" i="8"/>
  <c r="AO144" i="8" s="1"/>
  <c r="AW144" i="8"/>
  <c r="Z136" i="8"/>
  <c r="Y136" i="8"/>
  <c r="X136" i="8"/>
  <c r="AJ136" i="8"/>
  <c r="AO136" i="8" s="1"/>
  <c r="Z128" i="8"/>
  <c r="AJ128" i="8"/>
  <c r="Y128" i="8"/>
  <c r="X128" i="8"/>
  <c r="Z116" i="8"/>
  <c r="Y116" i="8"/>
  <c r="X116" i="8"/>
  <c r="AJ116" i="8"/>
  <c r="Z108" i="8"/>
  <c r="Y108" i="8"/>
  <c r="X108" i="8"/>
  <c r="AW108" i="8"/>
  <c r="AJ108" i="8"/>
  <c r="Z100" i="8"/>
  <c r="Y100" i="8"/>
  <c r="X100" i="8"/>
  <c r="AW100" i="8"/>
  <c r="AJ100" i="8"/>
  <c r="Z92" i="8"/>
  <c r="AW92" i="8"/>
  <c r="Y92" i="8"/>
  <c r="X92" i="8"/>
  <c r="AJ92" i="8"/>
  <c r="Z80" i="8"/>
  <c r="X80" i="8"/>
  <c r="AJ80" i="8"/>
  <c r="Y80" i="8"/>
  <c r="AW80" i="8"/>
  <c r="Z72" i="8"/>
  <c r="Y72" i="8"/>
  <c r="AW72" i="8"/>
  <c r="AJ72" i="8"/>
  <c r="X72" i="8"/>
  <c r="X64" i="8"/>
  <c r="AJ64" i="8"/>
  <c r="Z64" i="8"/>
  <c r="AW64" i="8"/>
  <c r="Z56" i="8"/>
  <c r="AJ56" i="8"/>
  <c r="Y56" i="8"/>
  <c r="X56" i="8"/>
  <c r="AW56" i="8"/>
  <c r="Z52" i="8"/>
  <c r="Y52" i="8"/>
  <c r="AW52" i="8"/>
  <c r="X52" i="8"/>
  <c r="AJ52" i="8"/>
  <c r="Z44" i="8"/>
  <c r="X44" i="8"/>
  <c r="AJ44" i="8"/>
  <c r="Y44" i="8"/>
  <c r="AW44" i="8"/>
  <c r="AJ32" i="8"/>
  <c r="AW32" i="8"/>
  <c r="X32" i="8"/>
  <c r="Z32" i="8"/>
  <c r="Y32" i="8"/>
  <c r="Z24" i="8"/>
  <c r="X24" i="8"/>
  <c r="Y24" i="8"/>
  <c r="AW24" i="8"/>
  <c r="AJ24" i="8"/>
  <c r="AO24" i="8" s="1"/>
  <c r="Z20" i="8"/>
  <c r="AJ20" i="8"/>
  <c r="Y20" i="8"/>
  <c r="X20" i="8"/>
  <c r="AW20" i="8"/>
  <c r="Z12" i="8"/>
  <c r="Y12" i="8"/>
  <c r="AJ12" i="8"/>
  <c r="AW12" i="8"/>
  <c r="X12" i="8"/>
  <c r="Z148" i="8"/>
  <c r="Y148" i="8"/>
  <c r="X148" i="8"/>
  <c r="AJ148" i="8"/>
  <c r="AO148" i="8" s="1"/>
  <c r="Z140" i="8"/>
  <c r="Y140" i="8"/>
  <c r="X140" i="8"/>
  <c r="AJ140" i="8"/>
  <c r="AO140" i="8" s="1"/>
  <c r="Z132" i="8"/>
  <c r="Y132" i="8"/>
  <c r="X132" i="8"/>
  <c r="AW132" i="8"/>
  <c r="AJ132" i="8"/>
  <c r="AO132" i="8" s="1"/>
  <c r="Z124" i="8"/>
  <c r="AJ124" i="8"/>
  <c r="Y124" i="8"/>
  <c r="X124" i="8"/>
  <c r="AW124" i="8"/>
  <c r="Z112" i="8"/>
  <c r="Y112" i="8"/>
  <c r="X112" i="8"/>
  <c r="AJ112" i="8"/>
  <c r="AJ104" i="8"/>
  <c r="AW104" i="8"/>
  <c r="Y104" i="8"/>
  <c r="X104" i="8"/>
  <c r="Z104" i="8"/>
  <c r="Z96" i="8"/>
  <c r="AW96" i="8"/>
  <c r="Y96" i="8"/>
  <c r="X96" i="8"/>
  <c r="AJ96" i="8"/>
  <c r="Z88" i="8"/>
  <c r="Y88" i="8"/>
  <c r="AW88" i="8"/>
  <c r="X88" i="8"/>
  <c r="AJ88" i="8"/>
  <c r="Z84" i="8"/>
  <c r="X84" i="8"/>
  <c r="AW84" i="8"/>
  <c r="Y84" i="8"/>
  <c r="AJ84" i="8"/>
  <c r="Z76" i="8"/>
  <c r="Y76" i="8"/>
  <c r="X76" i="8"/>
  <c r="AJ76" i="8"/>
  <c r="AW76" i="8"/>
  <c r="Z68" i="8"/>
  <c r="AJ68" i="8"/>
  <c r="AW68" i="8"/>
  <c r="Y68" i="8"/>
  <c r="X68" i="8"/>
  <c r="Z60" i="8"/>
  <c r="Y60" i="8"/>
  <c r="AJ60" i="8"/>
  <c r="X60" i="8"/>
  <c r="Z48" i="8"/>
  <c r="AW48" i="8"/>
  <c r="AJ48" i="8"/>
  <c r="X48" i="8"/>
  <c r="Z40" i="8"/>
  <c r="X40" i="8"/>
  <c r="AW40" i="8"/>
  <c r="AJ40" i="8"/>
  <c r="Y40" i="8"/>
  <c r="Z36" i="8"/>
  <c r="X36" i="8"/>
  <c r="AJ36" i="8"/>
  <c r="Y36" i="8"/>
  <c r="AW36" i="8"/>
  <c r="Z28" i="8"/>
  <c r="X28" i="8"/>
  <c r="Y28" i="8"/>
  <c r="AW28" i="8"/>
  <c r="AJ28" i="8"/>
  <c r="Y16" i="8"/>
  <c r="Z16" i="8"/>
  <c r="X16" i="8"/>
  <c r="AW16" i="8"/>
  <c r="AJ16" i="8"/>
  <c r="Z8" i="8"/>
  <c r="A60" i="11"/>
  <c r="X8" i="8"/>
  <c r="V50" i="19"/>
  <c r="A51" i="19" s="1"/>
  <c r="A59" i="11"/>
  <c r="AJ8" i="8"/>
  <c r="A52" i="19"/>
  <c r="AW8" i="8"/>
  <c r="U59" i="11"/>
  <c r="Y8" i="8"/>
  <c r="AZ53" i="8"/>
  <c r="Y48" i="8"/>
  <c r="AU9" i="8"/>
  <c r="AP9" i="8"/>
  <c r="AR9" i="8"/>
  <c r="AV9" i="8"/>
  <c r="AS9" i="8"/>
  <c r="AR13" i="8"/>
  <c r="AZ13" i="8"/>
  <c r="AU13" i="8"/>
  <c r="AQ13" i="8"/>
  <c r="AP13" i="8"/>
  <c r="AT13" i="8"/>
  <c r="BI13" i="8"/>
  <c r="AS13" i="8"/>
  <c r="AR17" i="8"/>
  <c r="AV17" i="8"/>
  <c r="AP17" i="8"/>
  <c r="AU17" i="8"/>
  <c r="AQ17" i="8"/>
  <c r="AT17" i="8"/>
  <c r="AU140" i="8"/>
  <c r="AV140" i="8"/>
  <c r="AU100" i="8"/>
  <c r="AV100" i="8"/>
  <c r="AS90" i="8"/>
  <c r="AQ90" i="8"/>
  <c r="AV90" i="8"/>
  <c r="AU90" i="8"/>
  <c r="AS72" i="8"/>
  <c r="AQ72" i="8"/>
  <c r="AZ56" i="8"/>
  <c r="BI77" i="8"/>
  <c r="AQ36" i="8"/>
  <c r="AU36" i="8"/>
  <c r="BI7" i="8"/>
  <c r="AU20" i="8"/>
  <c r="AS20" i="8"/>
  <c r="AQ142" i="8"/>
  <c r="AU142" i="8"/>
  <c r="AV142" i="8"/>
  <c r="AS142" i="8"/>
  <c r="AU127" i="8"/>
  <c r="AQ127" i="8"/>
  <c r="AV127" i="8"/>
  <c r="AQ107" i="8"/>
  <c r="AU107" i="8"/>
  <c r="AV107" i="8"/>
  <c r="AU88" i="8"/>
  <c r="AS88" i="8"/>
  <c r="AV82" i="8"/>
  <c r="BI82" i="8"/>
  <c r="AV126" i="8"/>
  <c r="AS126" i="8"/>
  <c r="AS110" i="8"/>
  <c r="AV110" i="8"/>
  <c r="AQ110" i="8"/>
  <c r="V142" i="8"/>
  <c r="V138" i="8"/>
  <c r="AW138" i="8"/>
  <c r="V122" i="8"/>
  <c r="AW122" i="8"/>
  <c r="V118" i="8"/>
  <c r="V114" i="8"/>
  <c r="M114" i="8" s="1"/>
  <c r="AW114" i="8"/>
  <c r="V110" i="8"/>
  <c r="AW110" i="8"/>
  <c r="AU102" i="8"/>
  <c r="AV102" i="8"/>
  <c r="AV81" i="8"/>
  <c r="AU81" i="8"/>
  <c r="AS54" i="8"/>
  <c r="AV54" i="8"/>
  <c r="BB58" i="32"/>
  <c r="BB74" i="32"/>
  <c r="BB90" i="32"/>
  <c r="BB106" i="32"/>
  <c r="BB122" i="32"/>
  <c r="BB138" i="32"/>
  <c r="BB154" i="32"/>
  <c r="BB65" i="32"/>
  <c r="BB81" i="32"/>
  <c r="BB97" i="32"/>
  <c r="BB113" i="32"/>
  <c r="BB129" i="32"/>
  <c r="BB145" i="32"/>
  <c r="BB51" i="32"/>
  <c r="BB64" i="32"/>
  <c r="BB80" i="32"/>
  <c r="BB96" i="32"/>
  <c r="BB112" i="32"/>
  <c r="BB128" i="32"/>
  <c r="BB144" i="32"/>
  <c r="BB59" i="32"/>
  <c r="BB75" i="32"/>
  <c r="BB91" i="32"/>
  <c r="BB107" i="32"/>
  <c r="BB123" i="32"/>
  <c r="BB139" i="32"/>
  <c r="BB155" i="32"/>
  <c r="BB62" i="32"/>
  <c r="BB78" i="32"/>
  <c r="BB94" i="32"/>
  <c r="BB110" i="32"/>
  <c r="BB126" i="32"/>
  <c r="BB142" i="32"/>
  <c r="BB53" i="32"/>
  <c r="BB69" i="32"/>
  <c r="BB85" i="32"/>
  <c r="BB101" i="32"/>
  <c r="BB117" i="32"/>
  <c r="BB133" i="32"/>
  <c r="BB149" i="32"/>
  <c r="BB52" i="32"/>
  <c r="BB68" i="32"/>
  <c r="BB84" i="32"/>
  <c r="BB100" i="32"/>
  <c r="BB116" i="32"/>
  <c r="BB132" i="32"/>
  <c r="BB148" i="32"/>
  <c r="BB63" i="32"/>
  <c r="BB79" i="32"/>
  <c r="BB95" i="32"/>
  <c r="BB111" i="32"/>
  <c r="BB127" i="32"/>
  <c r="BB143" i="32"/>
  <c r="N16" i="32"/>
  <c r="L16" i="32"/>
  <c r="S23" i="32"/>
  <c r="AG23" i="32"/>
  <c r="S19" i="32"/>
  <c r="AG19" i="32"/>
  <c r="Z1" i="32"/>
  <c r="AG150" i="32"/>
  <c r="S150" i="32"/>
  <c r="AG142" i="32"/>
  <c r="S142" i="32"/>
  <c r="AG134" i="32"/>
  <c r="S134" i="32"/>
  <c r="N130" i="32"/>
  <c r="L130" i="32"/>
  <c r="AG126" i="32"/>
  <c r="S126" i="32"/>
  <c r="AG118" i="32"/>
  <c r="S118" i="32"/>
  <c r="AG110" i="32"/>
  <c r="S110" i="32"/>
  <c r="AG102" i="32"/>
  <c r="S102" i="32"/>
  <c r="N98" i="32"/>
  <c r="L98" i="32"/>
  <c r="AG94" i="32"/>
  <c r="S94" i="32"/>
  <c r="AG86" i="32"/>
  <c r="S86" i="32"/>
  <c r="AG78" i="32"/>
  <c r="S78" i="32"/>
  <c r="AG70" i="32"/>
  <c r="S70" i="32"/>
  <c r="N66" i="32"/>
  <c r="L66" i="32"/>
  <c r="AG62" i="32"/>
  <c r="S62" i="32"/>
  <c r="AG54" i="32"/>
  <c r="S54" i="32"/>
  <c r="AG46" i="32"/>
  <c r="S46" i="32"/>
  <c r="AG38" i="32"/>
  <c r="S38" i="32"/>
  <c r="L34" i="32"/>
  <c r="N34" i="32"/>
  <c r="AG30" i="32"/>
  <c r="S30" i="32"/>
  <c r="N138" i="32"/>
  <c r="N74" i="32"/>
  <c r="S26" i="32"/>
  <c r="S58" i="32"/>
  <c r="S90" i="32"/>
  <c r="S122" i="32"/>
  <c r="S154" i="32"/>
  <c r="S21" i="32"/>
  <c r="AG21" i="32"/>
  <c r="AL134" i="32"/>
  <c r="N122" i="32"/>
  <c r="L58" i="32"/>
  <c r="S34" i="32"/>
  <c r="S66" i="32"/>
  <c r="S98" i="32"/>
  <c r="S130" i="32"/>
  <c r="N144" i="32"/>
  <c r="L144" i="32"/>
  <c r="N128" i="32"/>
  <c r="L128" i="32"/>
  <c r="N104" i="32"/>
  <c r="L104" i="32"/>
  <c r="N88" i="32"/>
  <c r="L88" i="32"/>
  <c r="N80" i="32"/>
  <c r="L80" i="32"/>
  <c r="AY273" i="8" l="1"/>
  <c r="AY258" i="8"/>
  <c r="BT175" i="8"/>
  <c r="BT204" i="8"/>
  <c r="BT184" i="8"/>
  <c r="BT191" i="8"/>
  <c r="BT172" i="8"/>
  <c r="BT186" i="8"/>
  <c r="BT200" i="8"/>
  <c r="BT155" i="8"/>
  <c r="BT171" i="8"/>
  <c r="BT183" i="8"/>
  <c r="BT189" i="8"/>
  <c r="BT190" i="8"/>
  <c r="BT199" i="8"/>
  <c r="BT198" i="8"/>
  <c r="BT163" i="8"/>
  <c r="BT157" i="8"/>
  <c r="BT187" i="8"/>
  <c r="BT176" i="8"/>
  <c r="BT169" i="8"/>
  <c r="BT197" i="8"/>
  <c r="BT156" i="8"/>
  <c r="BT178" i="8"/>
  <c r="BT164" i="8"/>
  <c r="BT195" i="8"/>
  <c r="BT166" i="8"/>
  <c r="BT159" i="8"/>
  <c r="BT182" i="8"/>
  <c r="BT192" i="8"/>
  <c r="AY259" i="8"/>
  <c r="BT259" i="8" s="1"/>
  <c r="AY257" i="8"/>
  <c r="BT257" i="8" s="1"/>
  <c r="AY272" i="8"/>
  <c r="BT272" i="8" s="1"/>
  <c r="AY271" i="8"/>
  <c r="BT271" i="8" s="1"/>
  <c r="N45" i="12"/>
  <c r="H44" i="12"/>
  <c r="N39" i="12"/>
  <c r="N36" i="12"/>
  <c r="H35" i="12"/>
  <c r="F132" i="11" s="1"/>
  <c r="J132" i="11" s="1"/>
  <c r="O132" i="11" s="1"/>
  <c r="N33" i="12"/>
  <c r="N27" i="12"/>
  <c r="N24" i="12"/>
  <c r="H23" i="12"/>
  <c r="F116" i="11" s="1"/>
  <c r="N18" i="12"/>
  <c r="N15" i="12"/>
  <c r="H14" i="12"/>
  <c r="F105" i="11" s="1"/>
  <c r="N12" i="12"/>
  <c r="N6" i="12"/>
  <c r="E23" i="12"/>
  <c r="K18" i="12"/>
  <c r="K15" i="12"/>
  <c r="E14" i="12"/>
  <c r="H28" i="11" s="1"/>
  <c r="K12" i="12"/>
  <c r="N7" i="12"/>
  <c r="K7" i="12"/>
  <c r="N9" i="12"/>
  <c r="N14" i="12"/>
  <c r="E46" i="12"/>
  <c r="D145" i="11" s="1"/>
  <c r="H145" i="11" s="1"/>
  <c r="L145" i="11" s="1"/>
  <c r="E19" i="12"/>
  <c r="D110" i="11" s="1"/>
  <c r="H110" i="11" s="1"/>
  <c r="L110" i="11" s="1"/>
  <c r="K45" i="12"/>
  <c r="E44" i="12"/>
  <c r="K39" i="12"/>
  <c r="K36" i="12"/>
  <c r="E35" i="12"/>
  <c r="D132" i="11" s="1"/>
  <c r="H132" i="11" s="1"/>
  <c r="L132" i="11" s="1"/>
  <c r="K33" i="12"/>
  <c r="K27" i="12"/>
  <c r="K24" i="12"/>
  <c r="K6" i="12"/>
  <c r="E12" i="12"/>
  <c r="D101" i="11" s="1"/>
  <c r="H101" i="11" s="1"/>
  <c r="L101" i="11" s="1"/>
  <c r="N8" i="12"/>
  <c r="H11" i="12"/>
  <c r="F100" i="11" s="1"/>
  <c r="J100" i="11" s="1"/>
  <c r="O100" i="11" s="1"/>
  <c r="N44" i="12"/>
  <c r="H19" i="12"/>
  <c r="F110" i="11" s="1"/>
  <c r="J110" i="11" s="1"/>
  <c r="O110" i="11" s="1"/>
  <c r="E40" i="12"/>
  <c r="D137" i="11" s="1"/>
  <c r="H137" i="11" s="1"/>
  <c r="L137" i="11" s="1"/>
  <c r="H45" i="12"/>
  <c r="F144" i="11" s="1"/>
  <c r="J144" i="11" s="1"/>
  <c r="O144" i="11" s="1"/>
  <c r="H39" i="12"/>
  <c r="F136" i="11" s="1"/>
  <c r="J136" i="11" s="1"/>
  <c r="O136" i="11" s="1"/>
  <c r="N37" i="12"/>
  <c r="H36" i="12"/>
  <c r="F133" i="11" s="1"/>
  <c r="J133" i="11" s="1"/>
  <c r="O133" i="11" s="1"/>
  <c r="H33" i="12"/>
  <c r="F128" i="11" s="1"/>
  <c r="J128" i="11" s="1"/>
  <c r="O128" i="11" s="1"/>
  <c r="N28" i="12"/>
  <c r="H27" i="12"/>
  <c r="F122" i="11" s="1"/>
  <c r="H24" i="12"/>
  <c r="F117" i="11" s="1"/>
  <c r="J117" i="11" s="1"/>
  <c r="O117" i="11" s="1"/>
  <c r="H18" i="12"/>
  <c r="F109" i="11" s="1"/>
  <c r="J109" i="11" s="1"/>
  <c r="O109" i="11" s="1"/>
  <c r="N16" i="12"/>
  <c r="H15" i="12"/>
  <c r="H12" i="12"/>
  <c r="H6" i="12"/>
  <c r="F95" i="11" s="1"/>
  <c r="E6" i="12"/>
  <c r="D95" i="11" s="1"/>
  <c r="K11" i="12"/>
  <c r="E43" i="12"/>
  <c r="D142" i="11" s="1"/>
  <c r="H142" i="11" s="1"/>
  <c r="L142" i="11" s="1"/>
  <c r="E25" i="12"/>
  <c r="D118" i="11" s="1"/>
  <c r="H118" i="11" s="1"/>
  <c r="L118" i="11" s="1"/>
  <c r="E45" i="12"/>
  <c r="D144" i="11" s="1"/>
  <c r="H144" i="11" s="1"/>
  <c r="L144" i="11" s="1"/>
  <c r="E39" i="12"/>
  <c r="D136" i="11" s="1"/>
  <c r="H136" i="11" s="1"/>
  <c r="L136" i="11" s="1"/>
  <c r="K37" i="12"/>
  <c r="E36" i="12"/>
  <c r="D133" i="11" s="1"/>
  <c r="H133" i="11" s="1"/>
  <c r="L133" i="11" s="1"/>
  <c r="E33" i="12"/>
  <c r="D128" i="11" s="1"/>
  <c r="H128" i="11" s="1"/>
  <c r="L128" i="11" s="1"/>
  <c r="K28" i="12"/>
  <c r="E27" i="12"/>
  <c r="D122" i="11" s="1"/>
  <c r="E24" i="12"/>
  <c r="D117" i="11" s="1"/>
  <c r="H117" i="11" s="1"/>
  <c r="L117" i="11" s="1"/>
  <c r="E18" i="12"/>
  <c r="D109" i="11" s="1"/>
  <c r="H109" i="11" s="1"/>
  <c r="L109" i="11" s="1"/>
  <c r="K16" i="12"/>
  <c r="E15" i="12"/>
  <c r="H29" i="11" s="1"/>
  <c r="H7" i="12"/>
  <c r="F96" i="11" s="1"/>
  <c r="H43" i="12"/>
  <c r="F142" i="11" s="1"/>
  <c r="J142" i="11" s="1"/>
  <c r="O142" i="11" s="1"/>
  <c r="H22" i="12"/>
  <c r="F115" i="11" s="1"/>
  <c r="N47" i="12"/>
  <c r="N41" i="12"/>
  <c r="N38" i="12"/>
  <c r="H37" i="12"/>
  <c r="N32" i="12"/>
  <c r="N29" i="12"/>
  <c r="H28" i="12"/>
  <c r="F123" i="11" s="1"/>
  <c r="J123" i="11" s="1"/>
  <c r="O123" i="11" s="1"/>
  <c r="N26" i="12"/>
  <c r="N20" i="12"/>
  <c r="N17" i="12"/>
  <c r="H16" i="12"/>
  <c r="F107" i="11" s="1"/>
  <c r="N11" i="12"/>
  <c r="K8" i="12"/>
  <c r="H10" i="12"/>
  <c r="F99" i="11" s="1"/>
  <c r="J99" i="11" s="1"/>
  <c r="O99" i="11" s="1"/>
  <c r="K35" i="12"/>
  <c r="K14" i="12"/>
  <c r="K47" i="12"/>
  <c r="K41" i="12"/>
  <c r="K38" i="12"/>
  <c r="E37" i="12"/>
  <c r="D134" i="11" s="1"/>
  <c r="H134" i="11" s="1"/>
  <c r="L134" i="11" s="1"/>
  <c r="K32" i="12"/>
  <c r="K29" i="12"/>
  <c r="E28" i="12"/>
  <c r="D123" i="11" s="1"/>
  <c r="H123" i="11" s="1"/>
  <c r="L123" i="11" s="1"/>
  <c r="K26" i="12"/>
  <c r="K20" i="12"/>
  <c r="K17" i="12"/>
  <c r="E16" i="12"/>
  <c r="H30" i="11" s="1"/>
  <c r="E7" i="12"/>
  <c r="H25" i="12"/>
  <c r="F118" i="11" s="1"/>
  <c r="J118" i="11" s="1"/>
  <c r="O118" i="11" s="1"/>
  <c r="E34" i="12"/>
  <c r="D131" i="11" s="1"/>
  <c r="H47" i="12"/>
  <c r="F146" i="11" s="1"/>
  <c r="J146" i="11" s="1"/>
  <c r="O146" i="11" s="1"/>
  <c r="N42" i="12"/>
  <c r="H41" i="12"/>
  <c r="F140" i="11" s="1"/>
  <c r="H38" i="12"/>
  <c r="F135" i="11" s="1"/>
  <c r="J135" i="11" s="1"/>
  <c r="O135" i="11" s="1"/>
  <c r="H32" i="12"/>
  <c r="F127" i="11" s="1"/>
  <c r="J127" i="11" s="1"/>
  <c r="O127" i="11" s="1"/>
  <c r="N30" i="12"/>
  <c r="H29" i="12"/>
  <c r="F124" i="11" s="1"/>
  <c r="J124" i="11" s="1"/>
  <c r="O124" i="11" s="1"/>
  <c r="H26" i="12"/>
  <c r="F119" i="11" s="1"/>
  <c r="J119" i="11" s="1"/>
  <c r="O119" i="11" s="1"/>
  <c r="N21" i="12"/>
  <c r="H20" i="12"/>
  <c r="F113" i="11" s="1"/>
  <c r="H17" i="12"/>
  <c r="F108" i="11" s="1"/>
  <c r="J108" i="11" s="1"/>
  <c r="O108" i="11" s="1"/>
  <c r="H8" i="12"/>
  <c r="F97" i="11" s="1"/>
  <c r="E31" i="12"/>
  <c r="D126" i="11" s="1"/>
  <c r="H126" i="11" s="1"/>
  <c r="L126" i="11" s="1"/>
  <c r="E47" i="12"/>
  <c r="D146" i="11" s="1"/>
  <c r="H146" i="11" s="1"/>
  <c r="L146" i="11" s="1"/>
  <c r="K42" i="12"/>
  <c r="E41" i="12"/>
  <c r="D140" i="11" s="1"/>
  <c r="H140" i="11" s="1"/>
  <c r="L140" i="11" s="1"/>
  <c r="E38" i="12"/>
  <c r="D135" i="11" s="1"/>
  <c r="H135" i="11" s="1"/>
  <c r="L135" i="11" s="1"/>
  <c r="E32" i="12"/>
  <c r="D127" i="11" s="1"/>
  <c r="H127" i="11" s="1"/>
  <c r="L127" i="11" s="1"/>
  <c r="K30" i="12"/>
  <c r="E29" i="12"/>
  <c r="D124" i="11" s="1"/>
  <c r="H124" i="11" s="1"/>
  <c r="L124" i="11" s="1"/>
  <c r="E26" i="12"/>
  <c r="D119" i="11" s="1"/>
  <c r="H119" i="11" s="1"/>
  <c r="L119" i="11" s="1"/>
  <c r="K21" i="12"/>
  <c r="E20" i="12"/>
  <c r="D113" i="11" s="1"/>
  <c r="E17" i="12"/>
  <c r="D108" i="11" s="1"/>
  <c r="H108" i="11" s="1"/>
  <c r="L108" i="11" s="1"/>
  <c r="E11" i="12"/>
  <c r="D100" i="11" s="1"/>
  <c r="H100" i="11" s="1"/>
  <c r="L100" i="11" s="1"/>
  <c r="K9" i="12"/>
  <c r="E8" i="12"/>
  <c r="H40" i="12"/>
  <c r="F137" i="11" s="1"/>
  <c r="J137" i="11" s="1"/>
  <c r="O137" i="11" s="1"/>
  <c r="N23" i="12"/>
  <c r="K44" i="12"/>
  <c r="K23" i="12"/>
  <c r="N46" i="12"/>
  <c r="N43" i="12"/>
  <c r="H42" i="12"/>
  <c r="F141" i="11" s="1"/>
  <c r="J141" i="11" s="1"/>
  <c r="O141" i="11" s="1"/>
  <c r="N40" i="12"/>
  <c r="N34" i="12"/>
  <c r="N31" i="12"/>
  <c r="H30" i="12"/>
  <c r="F125" i="11" s="1"/>
  <c r="J125" i="11" s="1"/>
  <c r="O125" i="11" s="1"/>
  <c r="N25" i="12"/>
  <c r="N22" i="12"/>
  <c r="H21" i="12"/>
  <c r="F114" i="11" s="1"/>
  <c r="N19" i="12"/>
  <c r="N13" i="12"/>
  <c r="N10" i="12"/>
  <c r="H9" i="12"/>
  <c r="F98" i="11" s="1"/>
  <c r="K22" i="12"/>
  <c r="K19" i="12"/>
  <c r="K10" i="12"/>
  <c r="E9" i="12"/>
  <c r="H46" i="12"/>
  <c r="F145" i="11" s="1"/>
  <c r="J145" i="11" s="1"/>
  <c r="O145" i="11" s="1"/>
  <c r="N35" i="12"/>
  <c r="H34" i="12"/>
  <c r="F131" i="11" s="1"/>
  <c r="E22" i="12"/>
  <c r="H37" i="11" s="1"/>
  <c r="E10" i="12"/>
  <c r="D99" i="11" s="1"/>
  <c r="H99" i="11" s="1"/>
  <c r="L99" i="11" s="1"/>
  <c r="K46" i="12"/>
  <c r="K43" i="12"/>
  <c r="E42" i="12"/>
  <c r="D141" i="11" s="1"/>
  <c r="H141" i="11" s="1"/>
  <c r="L141" i="11" s="1"/>
  <c r="K40" i="12"/>
  <c r="K34" i="12"/>
  <c r="K31" i="12"/>
  <c r="E30" i="12"/>
  <c r="D125" i="11" s="1"/>
  <c r="H125" i="11" s="1"/>
  <c r="L125" i="11" s="1"/>
  <c r="K25" i="12"/>
  <c r="E21" i="12"/>
  <c r="H36" i="11" s="1"/>
  <c r="K13" i="12"/>
  <c r="H31" i="12"/>
  <c r="F126" i="11" s="1"/>
  <c r="J126" i="11" s="1"/>
  <c r="O126" i="11" s="1"/>
  <c r="H13" i="12"/>
  <c r="F104" i="11" s="1"/>
  <c r="E13" i="12"/>
  <c r="D104" i="11" s="1"/>
  <c r="AB43" i="12"/>
  <c r="AB41" i="12"/>
  <c r="AB36" i="12"/>
  <c r="AB34" i="12"/>
  <c r="AB29" i="12"/>
  <c r="AB27" i="12"/>
  <c r="AB22" i="12"/>
  <c r="AB20" i="12"/>
  <c r="AB15" i="12"/>
  <c r="AB13" i="12"/>
  <c r="AB8" i="12"/>
  <c r="AB6" i="12"/>
  <c r="AQ42" i="12"/>
  <c r="AC41" i="12"/>
  <c r="U37" i="12"/>
  <c r="E42" i="19" s="1"/>
  <c r="AQ30" i="12"/>
  <c r="AC29" i="12"/>
  <c r="U28" i="12"/>
  <c r="E35" i="19" s="1"/>
  <c r="AQ21" i="12"/>
  <c r="AC20" i="12"/>
  <c r="U16" i="12"/>
  <c r="AQ9" i="12"/>
  <c r="AC8" i="12"/>
  <c r="U7" i="12"/>
  <c r="E20" i="19" s="1"/>
  <c r="X20" i="12"/>
  <c r="X8" i="12"/>
  <c r="T7" i="12"/>
  <c r="AQ13" i="12"/>
  <c r="U8" i="12"/>
  <c r="E21" i="19" s="1"/>
  <c r="X9" i="12"/>
  <c r="U9" i="12"/>
  <c r="T9" i="12"/>
  <c r="AF8" i="12"/>
  <c r="AC28" i="12"/>
  <c r="AE43" i="12"/>
  <c r="AE13" i="12"/>
  <c r="X37" i="12"/>
  <c r="T27" i="12"/>
  <c r="X7" i="12"/>
  <c r="W43" i="12"/>
  <c r="W41" i="12"/>
  <c r="W36" i="12"/>
  <c r="W34" i="12"/>
  <c r="W29" i="12"/>
  <c r="W27" i="12"/>
  <c r="W22" i="12"/>
  <c r="W20" i="12"/>
  <c r="W15" i="12"/>
  <c r="W13" i="12"/>
  <c r="W8" i="12"/>
  <c r="W6" i="12"/>
  <c r="AN42" i="12"/>
  <c r="X41" i="12"/>
  <c r="T37" i="12"/>
  <c r="AN30" i="12"/>
  <c r="X29" i="12"/>
  <c r="T28" i="12"/>
  <c r="AN21" i="12"/>
  <c r="T16" i="12"/>
  <c r="AN9" i="12"/>
  <c r="AC9" i="12"/>
  <c r="AE15" i="12"/>
  <c r="AN20" i="12"/>
  <c r="V43" i="12"/>
  <c r="V41" i="12"/>
  <c r="V36" i="12"/>
  <c r="V34" i="12"/>
  <c r="V29" i="12"/>
  <c r="V27" i="12"/>
  <c r="V22" i="12"/>
  <c r="V20" i="12"/>
  <c r="V15" i="12"/>
  <c r="V13" i="12"/>
  <c r="V8" i="12"/>
  <c r="V6" i="12"/>
  <c r="AQ43" i="12"/>
  <c r="AC42" i="12"/>
  <c r="U41" i="12"/>
  <c r="E44" i="19" s="1"/>
  <c r="AQ34" i="12"/>
  <c r="AC30" i="12"/>
  <c r="U29" i="12"/>
  <c r="E36" i="19" s="1"/>
  <c r="AQ22" i="12"/>
  <c r="AC21" i="12"/>
  <c r="U20" i="12"/>
  <c r="AN6" i="12"/>
  <c r="U36" i="12"/>
  <c r="E41" i="19" s="1"/>
  <c r="AQ20" i="12"/>
  <c r="AE29" i="12"/>
  <c r="T6" i="12"/>
  <c r="S43" i="12"/>
  <c r="S41" i="12"/>
  <c r="S36" i="12"/>
  <c r="S34" i="12"/>
  <c r="S29" i="12"/>
  <c r="S27" i="12"/>
  <c r="S22" i="12"/>
  <c r="S20" i="12"/>
  <c r="S15" i="12"/>
  <c r="S13" i="12"/>
  <c r="S8" i="12"/>
  <c r="S6" i="12"/>
  <c r="AN43" i="12"/>
  <c r="X42" i="12"/>
  <c r="T41" i="12"/>
  <c r="AN34" i="12"/>
  <c r="X30" i="12"/>
  <c r="T29" i="12"/>
  <c r="AN22" i="12"/>
  <c r="X21" i="12"/>
  <c r="T20" i="12"/>
  <c r="AN13" i="12"/>
  <c r="T8" i="12"/>
  <c r="AQ6" i="12"/>
  <c r="AC7" i="12"/>
  <c r="AE20" i="12"/>
  <c r="AN29" i="12"/>
  <c r="X16" i="12"/>
  <c r="AF44" i="12"/>
  <c r="AF42" i="12"/>
  <c r="AF37" i="12"/>
  <c r="AF35" i="12"/>
  <c r="AF30" i="12"/>
  <c r="AF28" i="12"/>
  <c r="AF23" i="12"/>
  <c r="AF21" i="12"/>
  <c r="AF16" i="12"/>
  <c r="AF14" i="12"/>
  <c r="AF9" i="12"/>
  <c r="AF7" i="12"/>
  <c r="AQ44" i="12"/>
  <c r="AC43" i="12"/>
  <c r="U42" i="12"/>
  <c r="E45" i="19" s="1"/>
  <c r="AQ35" i="12"/>
  <c r="AC34" i="12"/>
  <c r="U30" i="12"/>
  <c r="E37" i="19" s="1"/>
  <c r="AQ23" i="12"/>
  <c r="AC22" i="12"/>
  <c r="U21" i="12"/>
  <c r="E30" i="19" s="1"/>
  <c r="AQ14" i="12"/>
  <c r="AC13" i="12"/>
  <c r="AF13" i="12"/>
  <c r="AQ29" i="12"/>
  <c r="AE36" i="12"/>
  <c r="AE44" i="12"/>
  <c r="AE42" i="12"/>
  <c r="AE37" i="12"/>
  <c r="AE35" i="12"/>
  <c r="AE30" i="12"/>
  <c r="AE28" i="12"/>
  <c r="AE23" i="12"/>
  <c r="AE21" i="12"/>
  <c r="AE16" i="12"/>
  <c r="AE14" i="12"/>
  <c r="AE9" i="12"/>
  <c r="AE7" i="12"/>
  <c r="AN44" i="12"/>
  <c r="X43" i="12"/>
  <c r="T42" i="12"/>
  <c r="AN35" i="12"/>
  <c r="X34" i="12"/>
  <c r="T30" i="12"/>
  <c r="AN23" i="12"/>
  <c r="X22" i="12"/>
  <c r="T21" i="12"/>
  <c r="AN14" i="12"/>
  <c r="X13" i="12"/>
  <c r="AF6" i="12"/>
  <c r="U6" i="12"/>
  <c r="AE27" i="12"/>
  <c r="T15" i="12"/>
  <c r="AB44" i="12"/>
  <c r="AB42" i="12"/>
  <c r="AB37" i="12"/>
  <c r="AB35" i="12"/>
  <c r="AB30" i="12"/>
  <c r="AB28" i="12"/>
  <c r="AB23" i="12"/>
  <c r="AB21" i="12"/>
  <c r="AB16" i="12"/>
  <c r="AB14" i="12"/>
  <c r="AB9" i="12"/>
  <c r="AB7" i="12"/>
  <c r="AC44" i="12"/>
  <c r="U43" i="12"/>
  <c r="E46" i="19" s="1"/>
  <c r="AQ36" i="12"/>
  <c r="AC35" i="12"/>
  <c r="U34" i="12"/>
  <c r="E39" i="19" s="1"/>
  <c r="AQ27" i="12"/>
  <c r="AC23" i="12"/>
  <c r="U22" i="12"/>
  <c r="E31" i="19" s="1"/>
  <c r="AQ15" i="12"/>
  <c r="AC14" i="12"/>
  <c r="U13" i="12"/>
  <c r="AC37" i="12"/>
  <c r="AC16" i="12"/>
  <c r="AE8" i="12"/>
  <c r="AN8" i="12"/>
  <c r="W44" i="12"/>
  <c r="W42" i="12"/>
  <c r="W37" i="12"/>
  <c r="W35" i="12"/>
  <c r="W30" i="12"/>
  <c r="W28" i="12"/>
  <c r="W23" i="12"/>
  <c r="W21" i="12"/>
  <c r="W16" i="12"/>
  <c r="W14" i="12"/>
  <c r="W9" i="12"/>
  <c r="W7" i="12"/>
  <c r="X44" i="12"/>
  <c r="T43" i="12"/>
  <c r="AN36" i="12"/>
  <c r="X35" i="12"/>
  <c r="T34" i="12"/>
  <c r="AN27" i="12"/>
  <c r="X23" i="12"/>
  <c r="T22" i="12"/>
  <c r="AN15" i="12"/>
  <c r="X14" i="12"/>
  <c r="T13" i="12"/>
  <c r="AE34" i="12"/>
  <c r="V44" i="12"/>
  <c r="V42" i="12"/>
  <c r="V37" i="12"/>
  <c r="V35" i="12"/>
  <c r="V30" i="12"/>
  <c r="V28" i="12"/>
  <c r="V23" i="12"/>
  <c r="V21" i="12"/>
  <c r="V16" i="12"/>
  <c r="V14" i="12"/>
  <c r="V9" i="12"/>
  <c r="V7" i="12"/>
  <c r="U44" i="12"/>
  <c r="E47" i="19" s="1"/>
  <c r="AQ37" i="12"/>
  <c r="AC36" i="12"/>
  <c r="U35" i="12"/>
  <c r="E40" i="19" s="1"/>
  <c r="AQ28" i="12"/>
  <c r="AC27" i="12"/>
  <c r="U23" i="12"/>
  <c r="AQ16" i="12"/>
  <c r="AC15" i="12"/>
  <c r="U14" i="12"/>
  <c r="E25" i="19" s="1"/>
  <c r="AQ7" i="12"/>
  <c r="AC6" i="12"/>
  <c r="AN16" i="12"/>
  <c r="T14" i="12"/>
  <c r="X6" i="12"/>
  <c r="AF41" i="12"/>
  <c r="AF36" i="12"/>
  <c r="AF29" i="12"/>
  <c r="AF22" i="12"/>
  <c r="AF15" i="12"/>
  <c r="U27" i="12"/>
  <c r="E34" i="19" s="1"/>
  <c r="U15" i="12"/>
  <c r="E26" i="19" s="1"/>
  <c r="AQ8" i="12"/>
  <c r="AE22" i="12"/>
  <c r="AE6" i="12"/>
  <c r="AN41" i="12"/>
  <c r="X28" i="12"/>
  <c r="S44" i="12"/>
  <c r="S42" i="12"/>
  <c r="S37" i="12"/>
  <c r="S35" i="12"/>
  <c r="S30" i="12"/>
  <c r="S28" i="12"/>
  <c r="S23" i="12"/>
  <c r="S21" i="12"/>
  <c r="S16" i="12"/>
  <c r="S14" i="12"/>
  <c r="S9" i="12"/>
  <c r="S7" i="12"/>
  <c r="T44" i="12"/>
  <c r="AN37" i="12"/>
  <c r="X36" i="12"/>
  <c r="T35" i="12"/>
  <c r="AN28" i="12"/>
  <c r="X27" i="12"/>
  <c r="T23" i="12"/>
  <c r="X15" i="12"/>
  <c r="AN7" i="12"/>
  <c r="AF43" i="12"/>
  <c r="AF34" i="12"/>
  <c r="AF27" i="12"/>
  <c r="AF20" i="12"/>
  <c r="AQ41" i="12"/>
  <c r="AE41" i="12"/>
  <c r="T36" i="12"/>
  <c r="AY266" i="8"/>
  <c r="BT266" i="8" s="1"/>
  <c r="AY264" i="8"/>
  <c r="BT264" i="8" s="1"/>
  <c r="AY265" i="8"/>
  <c r="BT265" i="8" s="1"/>
  <c r="AO51" i="8"/>
  <c r="BT273" i="8"/>
  <c r="BT258" i="8"/>
  <c r="E47" i="13"/>
  <c r="AO43" i="12"/>
  <c r="AO37" i="12"/>
  <c r="AO34" i="12"/>
  <c r="AO28" i="12"/>
  <c r="AO22" i="12"/>
  <c r="AO16" i="12"/>
  <c r="AO13" i="12"/>
  <c r="AO30" i="12"/>
  <c r="AO9" i="12"/>
  <c r="AM42" i="12"/>
  <c r="AM9" i="12"/>
  <c r="AM43" i="12"/>
  <c r="AM37" i="12"/>
  <c r="AM34" i="12"/>
  <c r="AM28" i="12"/>
  <c r="AM22" i="12"/>
  <c r="AM16" i="12"/>
  <c r="AM13" i="12"/>
  <c r="AM7" i="12"/>
  <c r="AP42" i="12"/>
  <c r="AP27" i="12"/>
  <c r="AP9" i="12"/>
  <c r="AO42" i="12"/>
  <c r="AO15" i="12"/>
  <c r="AM30" i="12"/>
  <c r="AM27" i="12"/>
  <c r="AM21" i="12"/>
  <c r="AM15" i="12"/>
  <c r="AL43" i="12"/>
  <c r="AL37" i="12"/>
  <c r="AL34" i="12"/>
  <c r="AL28" i="12"/>
  <c r="AL22" i="12"/>
  <c r="AL16" i="12"/>
  <c r="AL13" i="12"/>
  <c r="AL7" i="12"/>
  <c r="AP36" i="12"/>
  <c r="AP30" i="12"/>
  <c r="AP15" i="12"/>
  <c r="AP6" i="12"/>
  <c r="AO36" i="12"/>
  <c r="AO27" i="12"/>
  <c r="AO6" i="12"/>
  <c r="AM36" i="12"/>
  <c r="AM6" i="12"/>
  <c r="AP41" i="12"/>
  <c r="AP29" i="12"/>
  <c r="AP20" i="12"/>
  <c r="AP8" i="12"/>
  <c r="AP37" i="12"/>
  <c r="AL36" i="12"/>
  <c r="AP44" i="12"/>
  <c r="AO35" i="12"/>
  <c r="AM35" i="12"/>
  <c r="AL35" i="12"/>
  <c r="AP43" i="12"/>
  <c r="AP13" i="12"/>
  <c r="AL42" i="12"/>
  <c r="AL9" i="12"/>
  <c r="AO41" i="12"/>
  <c r="AO29" i="12"/>
  <c r="AO20" i="12"/>
  <c r="AO8" i="12"/>
  <c r="AP28" i="12"/>
  <c r="AL15" i="12"/>
  <c r="AL6" i="12"/>
  <c r="AP35" i="12"/>
  <c r="AO44" i="12"/>
  <c r="AM44" i="12"/>
  <c r="AM14" i="12"/>
  <c r="AL44" i="12"/>
  <c r="AL14" i="12"/>
  <c r="AP34" i="12"/>
  <c r="AL21" i="12"/>
  <c r="AM41" i="12"/>
  <c r="AM29" i="12"/>
  <c r="AM20" i="12"/>
  <c r="AM8" i="12"/>
  <c r="AL41" i="12"/>
  <c r="AL29" i="12"/>
  <c r="AL20" i="12"/>
  <c r="AL8" i="12"/>
  <c r="AP16" i="12"/>
  <c r="AL27" i="12"/>
  <c r="AP23" i="12"/>
  <c r="AO23" i="12"/>
  <c r="AM23" i="12"/>
  <c r="AL23" i="12"/>
  <c r="AP22" i="12"/>
  <c r="AL30" i="12"/>
  <c r="F47" i="12"/>
  <c r="L45" i="12"/>
  <c r="F44" i="12"/>
  <c r="L42" i="12"/>
  <c r="F41" i="12"/>
  <c r="L39" i="12"/>
  <c r="F38" i="12"/>
  <c r="L36" i="12"/>
  <c r="F35" i="12"/>
  <c r="L33" i="12"/>
  <c r="F32" i="12"/>
  <c r="L30" i="12"/>
  <c r="F29" i="12"/>
  <c r="L27" i="12"/>
  <c r="F26" i="12"/>
  <c r="L24" i="12"/>
  <c r="F23" i="12"/>
  <c r="L21" i="12"/>
  <c r="F20" i="12"/>
  <c r="L18" i="12"/>
  <c r="F17" i="12"/>
  <c r="L15" i="12"/>
  <c r="F14" i="12"/>
  <c r="L12" i="12"/>
  <c r="F11" i="12"/>
  <c r="L9" i="12"/>
  <c r="F8" i="12"/>
  <c r="L6" i="12"/>
  <c r="M46" i="12"/>
  <c r="G39" i="12"/>
  <c r="G33" i="12"/>
  <c r="G27" i="12"/>
  <c r="G21" i="12"/>
  <c r="G18" i="12"/>
  <c r="G12" i="12"/>
  <c r="G6" i="12"/>
  <c r="L43" i="12"/>
  <c r="F39" i="12"/>
  <c r="F33" i="12"/>
  <c r="F27" i="12"/>
  <c r="L22" i="12"/>
  <c r="L16" i="12"/>
  <c r="L10" i="12"/>
  <c r="J43" i="12"/>
  <c r="J37" i="12"/>
  <c r="J31" i="12"/>
  <c r="J25" i="12"/>
  <c r="D21" i="12"/>
  <c r="D15" i="12"/>
  <c r="D47" i="12"/>
  <c r="J45" i="12"/>
  <c r="D44" i="12"/>
  <c r="J42" i="12"/>
  <c r="D41" i="12"/>
  <c r="J39" i="12"/>
  <c r="D38" i="12"/>
  <c r="J36" i="12"/>
  <c r="D35" i="12"/>
  <c r="J33" i="12"/>
  <c r="D32" i="12"/>
  <c r="J30" i="12"/>
  <c r="D29" i="12"/>
  <c r="J27" i="12"/>
  <c r="D26" i="12"/>
  <c r="J24" i="12"/>
  <c r="D23" i="12"/>
  <c r="D20" i="12"/>
  <c r="J18" i="12"/>
  <c r="D17" i="12"/>
  <c r="J15" i="12"/>
  <c r="D14" i="12"/>
  <c r="J12" i="12"/>
  <c r="D11" i="12"/>
  <c r="J9" i="12"/>
  <c r="D8" i="12"/>
  <c r="J6" i="12"/>
  <c r="G45" i="12"/>
  <c r="M40" i="12"/>
  <c r="M34" i="12"/>
  <c r="M28" i="12"/>
  <c r="M22" i="12"/>
  <c r="G15" i="12"/>
  <c r="M10" i="12"/>
  <c r="L46" i="12"/>
  <c r="L40" i="12"/>
  <c r="F36" i="12"/>
  <c r="F30" i="12"/>
  <c r="F24" i="12"/>
  <c r="L19" i="12"/>
  <c r="L13" i="12"/>
  <c r="J46" i="12"/>
  <c r="J40" i="12"/>
  <c r="J34" i="12"/>
  <c r="D30" i="12"/>
  <c r="D24" i="12"/>
  <c r="D18" i="12"/>
  <c r="C47" i="12"/>
  <c r="I45" i="12"/>
  <c r="C44" i="12"/>
  <c r="I42" i="12"/>
  <c r="C41" i="12"/>
  <c r="I39" i="12"/>
  <c r="C38" i="12"/>
  <c r="I36" i="12"/>
  <c r="C35" i="12"/>
  <c r="I33" i="12"/>
  <c r="C32" i="12"/>
  <c r="I30" i="12"/>
  <c r="C29" i="12"/>
  <c r="I27" i="12"/>
  <c r="C26" i="12"/>
  <c r="I24" i="12"/>
  <c r="C23" i="12"/>
  <c r="C20" i="12"/>
  <c r="I18" i="12"/>
  <c r="C17" i="12"/>
  <c r="I15" i="12"/>
  <c r="C14" i="12"/>
  <c r="I12" i="12"/>
  <c r="C11" i="12"/>
  <c r="I9" i="12"/>
  <c r="C8" i="12"/>
  <c r="I6" i="12"/>
  <c r="M43" i="12"/>
  <c r="G42" i="12"/>
  <c r="M37" i="12"/>
  <c r="G36" i="12"/>
  <c r="M31" i="12"/>
  <c r="G30" i="12"/>
  <c r="M25" i="12"/>
  <c r="G24" i="12"/>
  <c r="M19" i="12"/>
  <c r="M16" i="12"/>
  <c r="M13" i="12"/>
  <c r="G9" i="12"/>
  <c r="F45" i="12"/>
  <c r="F42" i="12"/>
  <c r="L37" i="12"/>
  <c r="L34" i="12"/>
  <c r="L31" i="12"/>
  <c r="L28" i="12"/>
  <c r="L25" i="12"/>
  <c r="F21" i="12"/>
  <c r="F18" i="12"/>
  <c r="F15" i="12"/>
  <c r="F12" i="12"/>
  <c r="F9" i="12"/>
  <c r="F6" i="12"/>
  <c r="D45" i="12"/>
  <c r="D42" i="12"/>
  <c r="D39" i="12"/>
  <c r="D36" i="12"/>
  <c r="D33" i="12"/>
  <c r="J28" i="12"/>
  <c r="D27" i="12"/>
  <c r="J22" i="12"/>
  <c r="J19" i="12"/>
  <c r="J16" i="12"/>
  <c r="G46" i="12"/>
  <c r="G43" i="12"/>
  <c r="G40" i="12"/>
  <c r="G37" i="12"/>
  <c r="G34" i="12"/>
  <c r="G31" i="12"/>
  <c r="G28" i="12"/>
  <c r="G25" i="12"/>
  <c r="G22" i="12"/>
  <c r="G19" i="12"/>
  <c r="G16" i="12"/>
  <c r="I13" i="12"/>
  <c r="G11" i="12"/>
  <c r="J8" i="12"/>
  <c r="F19" i="12"/>
  <c r="M42" i="12"/>
  <c r="M30" i="12"/>
  <c r="M18" i="12"/>
  <c r="C45" i="12"/>
  <c r="C39" i="12"/>
  <c r="C33" i="12"/>
  <c r="C24" i="12"/>
  <c r="M12" i="12"/>
  <c r="M44" i="12"/>
  <c r="M32" i="12"/>
  <c r="M23" i="12"/>
  <c r="D12" i="12"/>
  <c r="L47" i="12"/>
  <c r="L44" i="12"/>
  <c r="L35" i="12"/>
  <c r="L23" i="12"/>
  <c r="L14" i="12"/>
  <c r="J47" i="12"/>
  <c r="J38" i="12"/>
  <c r="J26" i="12"/>
  <c r="J17" i="12"/>
  <c r="C7" i="12"/>
  <c r="I47" i="12"/>
  <c r="I38" i="12"/>
  <c r="I26" i="12"/>
  <c r="M6" i="12"/>
  <c r="G44" i="12"/>
  <c r="G38" i="12"/>
  <c r="G26" i="12"/>
  <c r="G17" i="12"/>
  <c r="D6" i="12"/>
  <c r="I43" i="12"/>
  <c r="I31" i="12"/>
  <c r="I19" i="12"/>
  <c r="L8" i="12"/>
  <c r="F46" i="12"/>
  <c r="F43" i="12"/>
  <c r="F40" i="12"/>
  <c r="F37" i="12"/>
  <c r="F34" i="12"/>
  <c r="F31" i="12"/>
  <c r="F28" i="12"/>
  <c r="F25" i="12"/>
  <c r="F22" i="12"/>
  <c r="F16" i="12"/>
  <c r="G13" i="12"/>
  <c r="J10" i="12"/>
  <c r="I8" i="12"/>
  <c r="M36" i="12"/>
  <c r="M24" i="12"/>
  <c r="C13" i="12"/>
  <c r="C42" i="12"/>
  <c r="C36" i="12"/>
  <c r="C30" i="12"/>
  <c r="C18" i="12"/>
  <c r="G7" i="12"/>
  <c r="M47" i="12"/>
  <c r="M38" i="12"/>
  <c r="M26" i="12"/>
  <c r="L41" i="12"/>
  <c r="L32" i="12"/>
  <c r="L20" i="12"/>
  <c r="M9" i="12"/>
  <c r="J44" i="12"/>
  <c r="J32" i="12"/>
  <c r="J23" i="12"/>
  <c r="M11" i="12"/>
  <c r="I44" i="12"/>
  <c r="I35" i="12"/>
  <c r="I23" i="12"/>
  <c r="L11" i="12"/>
  <c r="G47" i="12"/>
  <c r="G41" i="12"/>
  <c r="G32" i="12"/>
  <c r="G23" i="12"/>
  <c r="J11" i="12"/>
  <c r="I40" i="12"/>
  <c r="I28" i="12"/>
  <c r="I16" i="12"/>
  <c r="C6" i="12"/>
  <c r="D46" i="12"/>
  <c r="D43" i="12"/>
  <c r="D40" i="12"/>
  <c r="D37" i="12"/>
  <c r="D34" i="12"/>
  <c r="D31" i="12"/>
  <c r="D28" i="12"/>
  <c r="D25" i="12"/>
  <c r="D22" i="12"/>
  <c r="D19" i="12"/>
  <c r="D16" i="12"/>
  <c r="F13" i="12"/>
  <c r="I10" i="12"/>
  <c r="G8" i="12"/>
  <c r="C46" i="12"/>
  <c r="C43" i="12"/>
  <c r="C40" i="12"/>
  <c r="C37" i="12"/>
  <c r="C34" i="12"/>
  <c r="C31" i="12"/>
  <c r="C28" i="12"/>
  <c r="C25" i="12"/>
  <c r="C22" i="12"/>
  <c r="C19" i="12"/>
  <c r="C16" i="12"/>
  <c r="D13" i="12"/>
  <c r="G10" i="12"/>
  <c r="M45" i="12"/>
  <c r="M39" i="12"/>
  <c r="M33" i="12"/>
  <c r="M27" i="12"/>
  <c r="M15" i="12"/>
  <c r="F10" i="12"/>
  <c r="C27" i="12"/>
  <c r="C21" i="12"/>
  <c r="C15" i="12"/>
  <c r="D10" i="12"/>
  <c r="M41" i="12"/>
  <c r="M35" i="12"/>
  <c r="M29" i="12"/>
  <c r="M20" i="12"/>
  <c r="M17" i="12"/>
  <c r="C10" i="12"/>
  <c r="F7" i="12"/>
  <c r="L38" i="12"/>
  <c r="L29" i="12"/>
  <c r="L26" i="12"/>
  <c r="L17" i="12"/>
  <c r="C12" i="12"/>
  <c r="D7" i="12"/>
  <c r="J41" i="12"/>
  <c r="J35" i="12"/>
  <c r="J29" i="12"/>
  <c r="J20" i="12"/>
  <c r="D9" i="12"/>
  <c r="I41" i="12"/>
  <c r="I32" i="12"/>
  <c r="I29" i="12"/>
  <c r="I20" i="12"/>
  <c r="I17" i="12"/>
  <c r="C9" i="12"/>
  <c r="G35" i="12"/>
  <c r="G29" i="12"/>
  <c r="G20" i="12"/>
  <c r="G14" i="12"/>
  <c r="M8" i="12"/>
  <c r="I46" i="12"/>
  <c r="I37" i="12"/>
  <c r="I34" i="12"/>
  <c r="I25" i="12"/>
  <c r="I22" i="12"/>
  <c r="J13" i="12"/>
  <c r="I11" i="12"/>
  <c r="C49" i="13"/>
  <c r="M54" i="32"/>
  <c r="BT205" i="8"/>
  <c r="M18" i="32"/>
  <c r="AO8" i="8"/>
  <c r="BU8" i="8" s="1"/>
  <c r="AO111" i="8"/>
  <c r="AO123" i="8"/>
  <c r="AO103" i="8"/>
  <c r="AO89" i="8"/>
  <c r="O114" i="32"/>
  <c r="O93" i="32"/>
  <c r="M142" i="8"/>
  <c r="AO35" i="8"/>
  <c r="BU35" i="8" s="1"/>
  <c r="AO96" i="8"/>
  <c r="AO105" i="8"/>
  <c r="AO15" i="8"/>
  <c r="BT158" i="8"/>
  <c r="AO92" i="8"/>
  <c r="AO45" i="8"/>
  <c r="AO65" i="8"/>
  <c r="AX137" i="8"/>
  <c r="AO79" i="8"/>
  <c r="BT202" i="8"/>
  <c r="BT170" i="8"/>
  <c r="BT160" i="8"/>
  <c r="AO47" i="8"/>
  <c r="BU47" i="8" s="1"/>
  <c r="BT177" i="8"/>
  <c r="AO124" i="8"/>
  <c r="BT196" i="8"/>
  <c r="AO29" i="8"/>
  <c r="BT194" i="8"/>
  <c r="AO116" i="8"/>
  <c r="AO17" i="8"/>
  <c r="BU17" i="8" s="1"/>
  <c r="AO97" i="8"/>
  <c r="AW220" i="8"/>
  <c r="BT168" i="8"/>
  <c r="AW141" i="8"/>
  <c r="AW293" i="8"/>
  <c r="BT180" i="8"/>
  <c r="BT188" i="8"/>
  <c r="BT161" i="8"/>
  <c r="BT174" i="8"/>
  <c r="AW249" i="8"/>
  <c r="AW285" i="8"/>
  <c r="AW208" i="8"/>
  <c r="AW256" i="8"/>
  <c r="AW226" i="8"/>
  <c r="AW139" i="8"/>
  <c r="AW140" i="8"/>
  <c r="AW283" i="8"/>
  <c r="AW237" i="8"/>
  <c r="AW310" i="8"/>
  <c r="O152" i="32"/>
  <c r="AW261" i="8"/>
  <c r="AW297" i="8"/>
  <c r="AW212" i="8"/>
  <c r="AW244" i="8"/>
  <c r="AW213" i="8"/>
  <c r="AW214" i="8"/>
  <c r="AW115" i="8"/>
  <c r="AW134" i="8"/>
  <c r="AW238" i="8"/>
  <c r="BT173" i="8"/>
  <c r="AW235" i="8"/>
  <c r="AW113" i="8"/>
  <c r="AW148" i="8"/>
  <c r="AW307" i="8"/>
  <c r="AW117" i="8"/>
  <c r="AW274" i="8"/>
  <c r="BT201" i="8"/>
  <c r="AW223" i="8"/>
  <c r="AW112" i="8"/>
  <c r="AW280" i="8"/>
  <c r="AW153" i="8"/>
  <c r="AW116" i="8"/>
  <c r="AW308" i="8"/>
  <c r="AW221" i="8"/>
  <c r="AW250" i="8"/>
  <c r="BT193" i="8"/>
  <c r="AW248" i="8"/>
  <c r="AW206" i="8"/>
  <c r="AW129" i="8"/>
  <c r="BT165" i="8"/>
  <c r="AW309" i="8"/>
  <c r="AW260" i="8"/>
  <c r="AW130" i="8"/>
  <c r="AW149" i="8"/>
  <c r="AW207" i="8"/>
  <c r="BT162" i="8"/>
  <c r="BT185" i="8"/>
  <c r="BT179" i="8"/>
  <c r="BT203" i="8"/>
  <c r="AW118" i="8"/>
  <c r="AW152" i="8"/>
  <c r="AW262" i="8"/>
  <c r="AW295" i="8"/>
  <c r="AW242" i="8"/>
  <c r="AW224" i="8"/>
  <c r="AW236" i="8"/>
  <c r="AW298" i="8"/>
  <c r="AW278" i="8"/>
  <c r="BT181" i="8"/>
  <c r="AW136" i="8"/>
  <c r="AW142" i="8"/>
  <c r="AW128" i="8"/>
  <c r="AW284" i="8"/>
  <c r="AW296" i="8"/>
  <c r="AW225" i="8"/>
  <c r="AW292" i="8"/>
  <c r="AW247" i="8"/>
  <c r="BT167" i="8"/>
  <c r="AO94" i="8"/>
  <c r="AO57" i="8"/>
  <c r="AO95" i="8"/>
  <c r="AO100" i="8"/>
  <c r="AX154" i="8"/>
  <c r="AO7" i="8"/>
  <c r="AO9" i="8"/>
  <c r="AO62" i="8"/>
  <c r="AO10" i="8"/>
  <c r="AO30" i="8"/>
  <c r="AO21" i="8"/>
  <c r="AO63" i="8"/>
  <c r="AO109" i="8"/>
  <c r="AO107" i="8"/>
  <c r="AO33" i="8"/>
  <c r="BU33" i="8" s="1"/>
  <c r="AO70" i="8"/>
  <c r="AO84" i="8"/>
  <c r="AO119" i="8"/>
  <c r="AO93" i="8"/>
  <c r="AO121" i="8"/>
  <c r="AO48" i="8"/>
  <c r="BU48" i="8" s="1"/>
  <c r="AO20" i="8"/>
  <c r="AO74" i="8"/>
  <c r="AO31" i="8"/>
  <c r="AO110" i="8"/>
  <c r="AX149" i="8"/>
  <c r="O64" i="32"/>
  <c r="AX147" i="8"/>
  <c r="M138" i="8"/>
  <c r="AX134" i="8"/>
  <c r="C47" i="13"/>
  <c r="M145" i="8"/>
  <c r="AX146" i="8"/>
  <c r="AO104" i="8"/>
  <c r="M140" i="8"/>
  <c r="M148" i="8"/>
  <c r="M136" i="8"/>
  <c r="M152" i="8"/>
  <c r="AO39" i="8"/>
  <c r="M132" i="8"/>
  <c r="AO86" i="8"/>
  <c r="M149" i="8"/>
  <c r="M144" i="8"/>
  <c r="M153" i="8"/>
  <c r="AO58" i="8"/>
  <c r="AX139" i="8"/>
  <c r="AX150" i="8"/>
  <c r="AX131" i="8"/>
  <c r="AX136" i="8"/>
  <c r="M141" i="8"/>
  <c r="AX140" i="8"/>
  <c r="AX142" i="8"/>
  <c r="AX141" i="8"/>
  <c r="M137" i="8"/>
  <c r="AX133" i="8"/>
  <c r="AX148" i="8"/>
  <c r="AX145" i="8"/>
  <c r="AX151" i="8"/>
  <c r="AX132" i="8"/>
  <c r="AX144" i="8"/>
  <c r="AX135" i="8"/>
  <c r="AX143" i="8"/>
  <c r="M133" i="8"/>
  <c r="AX152" i="8"/>
  <c r="AX153" i="8"/>
  <c r="AX138" i="8"/>
  <c r="AX130" i="8"/>
  <c r="AO229" i="8"/>
  <c r="AO221" i="8"/>
  <c r="AO217" i="8"/>
  <c r="AO209" i="8"/>
  <c r="AO225" i="8"/>
  <c r="AO213" i="8"/>
  <c r="AO241" i="8"/>
  <c r="AO237" i="8"/>
  <c r="AO127" i="8"/>
  <c r="AO218" i="8"/>
  <c r="AO249" i="8"/>
  <c r="AO248" i="8"/>
  <c r="AO208" i="8"/>
  <c r="AO233" i="8"/>
  <c r="AO244" i="8"/>
  <c r="AO236" i="8"/>
  <c r="M146" i="32"/>
  <c r="AO72" i="8"/>
  <c r="M99" i="32"/>
  <c r="M9" i="32"/>
  <c r="N60" i="32"/>
  <c r="AO224" i="8"/>
  <c r="AO44" i="8"/>
  <c r="BU44" i="8" s="1"/>
  <c r="O102" i="32"/>
  <c r="AO36" i="8"/>
  <c r="BU36" i="8" s="1"/>
  <c r="AO60" i="8"/>
  <c r="M142" i="32"/>
  <c r="N13" i="32"/>
  <c r="AO22" i="8"/>
  <c r="AO52" i="8"/>
  <c r="M140" i="32"/>
  <c r="AO232" i="8"/>
  <c r="AO53" i="8"/>
  <c r="AO66" i="8"/>
  <c r="AO122" i="8"/>
  <c r="AO64" i="8"/>
  <c r="O104" i="32"/>
  <c r="AO68" i="8"/>
  <c r="AO32" i="8"/>
  <c r="BU32" i="8" s="1"/>
  <c r="AO27" i="8"/>
  <c r="AO214" i="8"/>
  <c r="AO101" i="8"/>
  <c r="AO99" i="8"/>
  <c r="AO78" i="8"/>
  <c r="AO222" i="8"/>
  <c r="M73" i="32"/>
  <c r="AO56" i="8"/>
  <c r="AO128" i="8"/>
  <c r="M34" i="32"/>
  <c r="AO216" i="8"/>
  <c r="AO226" i="8"/>
  <c r="AO11" i="8"/>
  <c r="AO41" i="8"/>
  <c r="AO13" i="8"/>
  <c r="AO54" i="8"/>
  <c r="AO242" i="8"/>
  <c r="AO59" i="8"/>
  <c r="AO246" i="8"/>
  <c r="AO230" i="8"/>
  <c r="AO234" i="8"/>
  <c r="M85" i="32"/>
  <c r="AO106" i="8"/>
  <c r="O48" i="32"/>
  <c r="AO243" i="8"/>
  <c r="AO252" i="8"/>
  <c r="AO80" i="8"/>
  <c r="M21" i="32"/>
  <c r="M131" i="32"/>
  <c r="M134" i="32"/>
  <c r="AO207" i="8"/>
  <c r="AO238" i="8"/>
  <c r="AO228" i="8"/>
  <c r="AO211" i="8"/>
  <c r="AO26" i="8"/>
  <c r="AO38" i="8"/>
  <c r="AO120" i="8"/>
  <c r="O13" i="32"/>
  <c r="AO212" i="8"/>
  <c r="AO50" i="8"/>
  <c r="AO37" i="8"/>
  <c r="AO223" i="8"/>
  <c r="AO108" i="8"/>
  <c r="M57" i="32"/>
  <c r="AO49" i="8"/>
  <c r="AO43" i="8"/>
  <c r="BU43" i="8" s="1"/>
  <c r="AO55" i="8"/>
  <c r="M14" i="32"/>
  <c r="AO67" i="8"/>
  <c r="O62" i="32"/>
  <c r="M71" i="32"/>
  <c r="AO117" i="8"/>
  <c r="L44" i="32"/>
  <c r="AO220" i="8"/>
  <c r="AO76" i="8"/>
  <c r="AO73" i="8"/>
  <c r="M94" i="32"/>
  <c r="AO91" i="8"/>
  <c r="AO28" i="8"/>
  <c r="AO61" i="8"/>
  <c r="AO19" i="8"/>
  <c r="AO6" i="8"/>
  <c r="AO25" i="8"/>
  <c r="AO77" i="8"/>
  <c r="AO129" i="8"/>
  <c r="AO239" i="8"/>
  <c r="AO251" i="8"/>
  <c r="AX113" i="8"/>
  <c r="AX105" i="8"/>
  <c r="AX81" i="8"/>
  <c r="AX121" i="8"/>
  <c r="AX74" i="8"/>
  <c r="AX73" i="8"/>
  <c r="AX37" i="8"/>
  <c r="AX91" i="8"/>
  <c r="AO206" i="8"/>
  <c r="AO83" i="8"/>
  <c r="AO85" i="8"/>
  <c r="AO82" i="8"/>
  <c r="AO23" i="8"/>
  <c r="BU23" i="8" s="1"/>
  <c r="AX127" i="8"/>
  <c r="AO126" i="8"/>
  <c r="M37" i="32"/>
  <c r="AO46" i="8"/>
  <c r="AO112" i="8"/>
  <c r="M129" i="8"/>
  <c r="AX123" i="8"/>
  <c r="AX65" i="8"/>
  <c r="AO253" i="8"/>
  <c r="AO102" i="8"/>
  <c r="AO210" i="8"/>
  <c r="AO245" i="8"/>
  <c r="AO34" i="8"/>
  <c r="BU34" i="8" s="1"/>
  <c r="AO16" i="8"/>
  <c r="O125" i="32"/>
  <c r="AX128" i="8"/>
  <c r="AO81" i="8"/>
  <c r="AX118" i="8"/>
  <c r="AO118" i="8"/>
  <c r="AX95" i="8"/>
  <c r="AX60" i="8"/>
  <c r="AO69" i="8"/>
  <c r="AX90" i="8"/>
  <c r="AX122" i="8"/>
  <c r="M70" i="8"/>
  <c r="AX85" i="8"/>
  <c r="AO88" i="8"/>
  <c r="M128" i="8"/>
  <c r="AX124" i="8"/>
  <c r="M26" i="32"/>
  <c r="AO18" i="8"/>
  <c r="M144" i="32"/>
  <c r="AO219" i="8"/>
  <c r="AX36" i="8"/>
  <c r="AO75" i="8"/>
  <c r="AX84" i="8"/>
  <c r="AO12" i="8"/>
  <c r="BU12" i="8" s="1"/>
  <c r="AX101" i="8"/>
  <c r="AO98" i="8"/>
  <c r="O32" i="32"/>
  <c r="AO87" i="8"/>
  <c r="AO40" i="8"/>
  <c r="O150" i="32"/>
  <c r="AO247" i="8"/>
  <c r="AX129" i="8"/>
  <c r="AO115" i="8"/>
  <c r="AO215" i="8"/>
  <c r="AO227" i="8"/>
  <c r="AO42" i="8"/>
  <c r="AO114" i="8"/>
  <c r="O29" i="32"/>
  <c r="AO113" i="8"/>
  <c r="AX93" i="8"/>
  <c r="AO231" i="8"/>
  <c r="AO90" i="8"/>
  <c r="AX94" i="8"/>
  <c r="M80" i="32"/>
  <c r="AO71" i="8"/>
  <c r="M58" i="32"/>
  <c r="AX59" i="8"/>
  <c r="AO125" i="8"/>
  <c r="AX62" i="8"/>
  <c r="AX107" i="8"/>
  <c r="AX111" i="8"/>
  <c r="AX119" i="8"/>
  <c r="O27" i="32"/>
  <c r="AO250" i="8"/>
  <c r="AO240" i="8"/>
  <c r="AO235" i="8"/>
  <c r="AO14" i="8"/>
  <c r="AX96" i="8"/>
  <c r="AX83" i="8"/>
  <c r="AX78" i="8"/>
  <c r="AX125" i="8"/>
  <c r="AX69" i="8"/>
  <c r="AX80" i="8"/>
  <c r="AX115" i="8"/>
  <c r="AX49" i="8"/>
  <c r="M38" i="32"/>
  <c r="AX100" i="8"/>
  <c r="AX109" i="8"/>
  <c r="M121" i="8"/>
  <c r="AX99" i="8"/>
  <c r="AX75" i="8"/>
  <c r="AX47" i="8"/>
  <c r="AX72" i="8"/>
  <c r="AX82" i="8"/>
  <c r="AX108" i="8"/>
  <c r="M112" i="32"/>
  <c r="M72" i="32"/>
  <c r="AX40" i="8"/>
  <c r="M124" i="8"/>
  <c r="AX41" i="8"/>
  <c r="AX114" i="8"/>
  <c r="AX51" i="8"/>
  <c r="AX68" i="8"/>
  <c r="AX77" i="8"/>
  <c r="M124" i="32"/>
  <c r="AX116" i="8"/>
  <c r="AX55" i="8"/>
  <c r="AX56" i="8"/>
  <c r="AX106" i="8"/>
  <c r="AX52" i="8"/>
  <c r="AX98" i="8"/>
  <c r="AX70" i="8"/>
  <c r="AX76" i="8"/>
  <c r="AX45" i="8"/>
  <c r="AX126" i="8"/>
  <c r="AX44" i="8"/>
  <c r="AX38" i="8"/>
  <c r="AX120" i="8"/>
  <c r="AX97" i="8"/>
  <c r="M33" i="32"/>
  <c r="L52" i="32"/>
  <c r="AX43" i="8"/>
  <c r="AX39" i="8"/>
  <c r="M110" i="32"/>
  <c r="AX54" i="8"/>
  <c r="AX87" i="8"/>
  <c r="AX53" i="8"/>
  <c r="AX117" i="8"/>
  <c r="AX102" i="8"/>
  <c r="AX63" i="8"/>
  <c r="AX67" i="8"/>
  <c r="AX71" i="8"/>
  <c r="AX46" i="8"/>
  <c r="AX42" i="8"/>
  <c r="AX58" i="8"/>
  <c r="AX57" i="8"/>
  <c r="AX92" i="8"/>
  <c r="AX110" i="8"/>
  <c r="AX86" i="8"/>
  <c r="AX79" i="8"/>
  <c r="AX50" i="8"/>
  <c r="AX103" i="8"/>
  <c r="AX88" i="8"/>
  <c r="M122" i="8"/>
  <c r="AX48" i="8"/>
  <c r="AX66" i="8"/>
  <c r="M125" i="8"/>
  <c r="M126" i="8"/>
  <c r="AX89" i="8"/>
  <c r="AX61" i="8"/>
  <c r="AX112" i="8"/>
  <c r="AX104" i="8"/>
  <c r="AX64" i="8"/>
  <c r="M118" i="8"/>
  <c r="O81" i="32"/>
  <c r="M32" i="32"/>
  <c r="O74" i="32"/>
  <c r="N82" i="32"/>
  <c r="M128" i="32"/>
  <c r="O50" i="32"/>
  <c r="O34" i="32"/>
  <c r="O142" i="32"/>
  <c r="O18" i="32"/>
  <c r="O146" i="32"/>
  <c r="O112" i="32"/>
  <c r="O126" i="32"/>
  <c r="M8" i="32"/>
  <c r="O105" i="32"/>
  <c r="E49" i="13"/>
  <c r="G49" i="13"/>
  <c r="M40" i="32"/>
  <c r="C50" i="13"/>
  <c r="E50" i="13"/>
  <c r="G50" i="13"/>
  <c r="O63" i="32"/>
  <c r="M97" i="32"/>
  <c r="AX14" i="8"/>
  <c r="O46" i="32"/>
  <c r="O19" i="32"/>
  <c r="O97" i="32"/>
  <c r="O72" i="32"/>
  <c r="O40" i="32"/>
  <c r="M105" i="32"/>
  <c r="AX18" i="8"/>
  <c r="BU18" i="8" s="1"/>
  <c r="AX17" i="8"/>
  <c r="AX35" i="8"/>
  <c r="AX263" i="8"/>
  <c r="AY263" i="8" s="1"/>
  <c r="AX28" i="8"/>
  <c r="AX22" i="8"/>
  <c r="AX231" i="8"/>
  <c r="AY231" i="8" s="1"/>
  <c r="AX13" i="8"/>
  <c r="BU13" i="8" s="1"/>
  <c r="AX289" i="8"/>
  <c r="AY289" i="8" s="1"/>
  <c r="AX209" i="8"/>
  <c r="AY209" i="8" s="1"/>
  <c r="AX9" i="8"/>
  <c r="AX306" i="8"/>
  <c r="AY306" i="8" s="1"/>
  <c r="AX307" i="8"/>
  <c r="AY307" i="8" s="1"/>
  <c r="AX25" i="8"/>
  <c r="AX16" i="8"/>
  <c r="AX282" i="8"/>
  <c r="AY282" i="8" s="1"/>
  <c r="AX298" i="8"/>
  <c r="AY298" i="8" s="1"/>
  <c r="AX262" i="8"/>
  <c r="AY262" i="8" s="1"/>
  <c r="AX300" i="8"/>
  <c r="AY300" i="8" s="1"/>
  <c r="AX11" i="8"/>
  <c r="AX238" i="8"/>
  <c r="AY238" i="8" s="1"/>
  <c r="AX222" i="8"/>
  <c r="AY222" i="8" s="1"/>
  <c r="AX228" i="8"/>
  <c r="AY228" i="8" s="1"/>
  <c r="AX218" i="8"/>
  <c r="AY218" i="8" s="1"/>
  <c r="AX254" i="8"/>
  <c r="AY254" i="8" s="1"/>
  <c r="AX227" i="8"/>
  <c r="AY227" i="8" s="1"/>
  <c r="AX233" i="8"/>
  <c r="AY233" i="8" s="1"/>
  <c r="AX32" i="8"/>
  <c r="AX294" i="8"/>
  <c r="AY294" i="8" s="1"/>
  <c r="AX281" i="8"/>
  <c r="AY281" i="8" s="1"/>
  <c r="AX284" i="8"/>
  <c r="AY284" i="8" s="1"/>
  <c r="AX310" i="8"/>
  <c r="AY310" i="8" s="1"/>
  <c r="AX304" i="8"/>
  <c r="AY304" i="8" s="1"/>
  <c r="AX15" i="8"/>
  <c r="AX12" i="8"/>
  <c r="AX241" i="8"/>
  <c r="AY241" i="8" s="1"/>
  <c r="AX223" i="8"/>
  <c r="AY223" i="8" s="1"/>
  <c r="AX251" i="8"/>
  <c r="AY251" i="8" s="1"/>
  <c r="AX243" i="8"/>
  <c r="AY243" i="8" s="1"/>
  <c r="AX206" i="8"/>
  <c r="AY206" i="8" s="1"/>
  <c r="AX237" i="8"/>
  <c r="AY237" i="8" s="1"/>
  <c r="AX34" i="8"/>
  <c r="AX277" i="8"/>
  <c r="AY277" i="8" s="1"/>
  <c r="AX267" i="8"/>
  <c r="AY267" i="8" s="1"/>
  <c r="AX256" i="8"/>
  <c r="AY256" i="8" s="1"/>
  <c r="AX285" i="8"/>
  <c r="AY285" i="8" s="1"/>
  <c r="AX278" i="8"/>
  <c r="AY278" i="8" s="1"/>
  <c r="AX295" i="8"/>
  <c r="AY295" i="8" s="1"/>
  <c r="AX212" i="8"/>
  <c r="AY212" i="8" s="1"/>
  <c r="AX208" i="8"/>
  <c r="AY208" i="8" s="1"/>
  <c r="AX10" i="8"/>
  <c r="AX207" i="8"/>
  <c r="AY207" i="8" s="1"/>
  <c r="AX229" i="8"/>
  <c r="AY229" i="8" s="1"/>
  <c r="AX19" i="8"/>
  <c r="AX30" i="8"/>
  <c r="AX23" i="8"/>
  <c r="AX270" i="8"/>
  <c r="AY270" i="8" s="1"/>
  <c r="AX303" i="8"/>
  <c r="AY303" i="8" s="1"/>
  <c r="AX288" i="8"/>
  <c r="AY288" i="8" s="1"/>
  <c r="AX292" i="8"/>
  <c r="AY292" i="8" s="1"/>
  <c r="AX293" i="8"/>
  <c r="AY293" i="8" s="1"/>
  <c r="AX296" i="8"/>
  <c r="AY296" i="8" s="1"/>
  <c r="AX21" i="8"/>
  <c r="AX234" i="8"/>
  <c r="AY234" i="8" s="1"/>
  <c r="AX211" i="8"/>
  <c r="AY211" i="8" s="1"/>
  <c r="AX226" i="8"/>
  <c r="AY226" i="8" s="1"/>
  <c r="AX221" i="8"/>
  <c r="AY221" i="8" s="1"/>
  <c r="AX216" i="8"/>
  <c r="AY216" i="8" s="1"/>
  <c r="AX230" i="8"/>
  <c r="AY230" i="8" s="1"/>
  <c r="AX27" i="8"/>
  <c r="AX274" i="8"/>
  <c r="AY274" i="8" s="1"/>
  <c r="AX305" i="8"/>
  <c r="AY305" i="8" s="1"/>
  <c r="AX280" i="8"/>
  <c r="AY280" i="8" s="1"/>
  <c r="AX297" i="8"/>
  <c r="AY297" i="8" s="1"/>
  <c r="AX255" i="8"/>
  <c r="AY255" i="8" s="1"/>
  <c r="AX302" i="8"/>
  <c r="AY302" i="8" s="1"/>
  <c r="AX269" i="8"/>
  <c r="AY269" i="8" s="1"/>
  <c r="AX7" i="8"/>
  <c r="AX20" i="8"/>
  <c r="AX33" i="8"/>
  <c r="AX26" i="8"/>
  <c r="AX217" i="8"/>
  <c r="AY217" i="8" s="1"/>
  <c r="AX291" i="8"/>
  <c r="AY291" i="8" s="1"/>
  <c r="AX232" i="8"/>
  <c r="AY232" i="8" s="1"/>
  <c r="AX252" i="8"/>
  <c r="AY252" i="8" s="1"/>
  <c r="AX235" i="8"/>
  <c r="AY235" i="8" s="1"/>
  <c r="AX210" i="8"/>
  <c r="AY210" i="8" s="1"/>
  <c r="AX276" i="8"/>
  <c r="AY276" i="8" s="1"/>
  <c r="AX286" i="8"/>
  <c r="AY286" i="8" s="1"/>
  <c r="AX283" i="8"/>
  <c r="AY283" i="8" s="1"/>
  <c r="AX260" i="8"/>
  <c r="AY260" i="8" s="1"/>
  <c r="AX275" i="8"/>
  <c r="AY275" i="8" s="1"/>
  <c r="AX268" i="8"/>
  <c r="AY268" i="8" s="1"/>
  <c r="AX253" i="8"/>
  <c r="AY253" i="8" s="1"/>
  <c r="AX249" i="8"/>
  <c r="AY249" i="8" s="1"/>
  <c r="AX236" i="8"/>
  <c r="AY236" i="8" s="1"/>
  <c r="AX214" i="8"/>
  <c r="AY214" i="8" s="1"/>
  <c r="AX290" i="8"/>
  <c r="AY290" i="8" s="1"/>
  <c r="AX309" i="8"/>
  <c r="AY309" i="8" s="1"/>
  <c r="AX301" i="8"/>
  <c r="AY301" i="8" s="1"/>
  <c r="AX261" i="8"/>
  <c r="AY261" i="8" s="1"/>
  <c r="AX287" i="8"/>
  <c r="AY287" i="8" s="1"/>
  <c r="AX24" i="8"/>
  <c r="AX31" i="8"/>
  <c r="AX29" i="8"/>
  <c r="AX246" i="8"/>
  <c r="AY246" i="8" s="1"/>
  <c r="AX240" i="8"/>
  <c r="AY240" i="8" s="1"/>
  <c r="AX213" i="8"/>
  <c r="AY213" i="8" s="1"/>
  <c r="AX245" i="8"/>
  <c r="AY245" i="8" s="1"/>
  <c r="AX250" i="8"/>
  <c r="AY250" i="8" s="1"/>
  <c r="AX215" i="8"/>
  <c r="AY215" i="8" s="1"/>
  <c r="AX242" i="8"/>
  <c r="AY242" i="8" s="1"/>
  <c r="AX220" i="8"/>
  <c r="AY220" i="8" s="1"/>
  <c r="AX6" i="8"/>
  <c r="AX308" i="8"/>
  <c r="AY308" i="8" s="1"/>
  <c r="AX279" i="8"/>
  <c r="AY279" i="8" s="1"/>
  <c r="AX299" i="8"/>
  <c r="AY299" i="8" s="1"/>
  <c r="AX8" i="8"/>
  <c r="AX239" i="8"/>
  <c r="AY239" i="8" s="1"/>
  <c r="AX219" i="8"/>
  <c r="AY219" i="8" s="1"/>
  <c r="AX225" i="8"/>
  <c r="AY225" i="8" s="1"/>
  <c r="AX244" i="8"/>
  <c r="AY244" i="8" s="1"/>
  <c r="AX248" i="8"/>
  <c r="AY248" i="8" s="1"/>
  <c r="AX224" i="8"/>
  <c r="AY224" i="8" s="1"/>
  <c r="AX247" i="8"/>
  <c r="AY247" i="8" s="1"/>
  <c r="M108" i="32"/>
  <c r="M11" i="32"/>
  <c r="M12" i="32"/>
  <c r="O6" i="32"/>
  <c r="O89" i="32"/>
  <c r="M155" i="32"/>
  <c r="M143" i="32"/>
  <c r="O39" i="32"/>
  <c r="O141" i="32"/>
  <c r="O92" i="32"/>
  <c r="M139" i="32"/>
  <c r="O45" i="32"/>
  <c r="M120" i="32"/>
  <c r="M98" i="8"/>
  <c r="M45" i="32"/>
  <c r="O120" i="32"/>
  <c r="O113" i="32"/>
  <c r="M15" i="32"/>
  <c r="O14" i="32"/>
  <c r="O55" i="32"/>
  <c r="N135" i="32"/>
  <c r="O96" i="32"/>
  <c r="O59" i="32"/>
  <c r="L115" i="32"/>
  <c r="O119" i="32"/>
  <c r="O151" i="32"/>
  <c r="M136" i="32"/>
  <c r="M16" i="32"/>
  <c r="M110" i="8"/>
  <c r="L18" i="32"/>
  <c r="L146" i="32"/>
  <c r="O133" i="32"/>
  <c r="P24" i="19"/>
  <c r="P29" i="19"/>
  <c r="M83" i="32"/>
  <c r="O16" i="32"/>
  <c r="M101" i="32"/>
  <c r="O101" i="32"/>
  <c r="O111" i="32"/>
  <c r="O144" i="32"/>
  <c r="O143" i="32"/>
  <c r="M62" i="8"/>
  <c r="O98" i="32"/>
  <c r="M100" i="8"/>
  <c r="O130" i="32"/>
  <c r="M91" i="8"/>
  <c r="M116" i="8"/>
  <c r="M129" i="32"/>
  <c r="O66" i="32"/>
  <c r="N76" i="32"/>
  <c r="M35" i="32"/>
  <c r="M108" i="8"/>
  <c r="M81" i="32"/>
  <c r="M92" i="8"/>
  <c r="M120" i="8"/>
  <c r="M39" i="32"/>
  <c r="N8" i="32"/>
  <c r="M141" i="32"/>
  <c r="O88" i="32"/>
  <c r="M130" i="32"/>
  <c r="M107" i="8"/>
  <c r="O108" i="32"/>
  <c r="M96" i="8"/>
  <c r="M97" i="8"/>
  <c r="M101" i="8"/>
  <c r="O69" i="32"/>
  <c r="M99" i="8"/>
  <c r="M145" i="32"/>
  <c r="O15" i="32"/>
  <c r="M117" i="8"/>
  <c r="M133" i="32"/>
  <c r="M105" i="8"/>
  <c r="M106" i="8"/>
  <c r="M132" i="32"/>
  <c r="O44" i="32"/>
  <c r="O42" i="32"/>
  <c r="M49" i="32"/>
  <c r="M115" i="8"/>
  <c r="M104" i="8"/>
  <c r="M112" i="8"/>
  <c r="M113" i="8"/>
  <c r="M109" i="8"/>
  <c r="M93" i="8"/>
  <c r="M78" i="32"/>
  <c r="M116" i="32"/>
  <c r="M126" i="32"/>
  <c r="O115" i="32"/>
  <c r="O110" i="32"/>
  <c r="O145" i="32"/>
  <c r="O23" i="32"/>
  <c r="M127" i="32"/>
  <c r="M44" i="32"/>
  <c r="M93" i="32"/>
  <c r="M104" i="32"/>
  <c r="O128" i="32"/>
  <c r="M135" i="32"/>
  <c r="O22" i="32"/>
  <c r="O30" i="32"/>
  <c r="O136" i="32"/>
  <c r="M69" i="32"/>
  <c r="M98" i="32"/>
  <c r="M24" i="32"/>
  <c r="O149" i="32"/>
  <c r="O100" i="32"/>
  <c r="O73" i="32"/>
  <c r="M77" i="32"/>
  <c r="M42" i="32"/>
  <c r="M95" i="32"/>
  <c r="O49" i="32"/>
  <c r="M20" i="8"/>
  <c r="M12" i="8"/>
  <c r="M44" i="8"/>
  <c r="M88" i="8"/>
  <c r="M53" i="8"/>
  <c r="M78" i="8"/>
  <c r="M46" i="8"/>
  <c r="M83" i="8"/>
  <c r="M29" i="8"/>
  <c r="M11" i="8"/>
  <c r="M61" i="8"/>
  <c r="M50" i="8"/>
  <c r="M59" i="8"/>
  <c r="M32" i="8"/>
  <c r="M6" i="8"/>
  <c r="M37" i="8"/>
  <c r="M33" i="8"/>
  <c r="M82" i="8"/>
  <c r="M8" i="8"/>
  <c r="M80" i="8"/>
  <c r="M21" i="8"/>
  <c r="M51" i="8"/>
  <c r="M67" i="8"/>
  <c r="M56" i="8"/>
  <c r="M90" i="8"/>
  <c r="M35" i="8"/>
  <c r="M34" i="8"/>
  <c r="O79" i="32"/>
  <c r="M58" i="8"/>
  <c r="M24" i="8"/>
  <c r="N73" i="32"/>
  <c r="M69" i="8"/>
  <c r="M73" i="8"/>
  <c r="M49" i="8"/>
  <c r="M77" i="8"/>
  <c r="M74" i="8"/>
  <c r="M27" i="8"/>
  <c r="O53" i="32"/>
  <c r="M7" i="32"/>
  <c r="M25" i="8"/>
  <c r="M75" i="8"/>
  <c r="M19" i="8"/>
  <c r="M40" i="8"/>
  <c r="M36" i="8"/>
  <c r="M76" i="8"/>
  <c r="M52" i="8"/>
  <c r="M64" i="8"/>
  <c r="O8" i="32"/>
  <c r="M9" i="8"/>
  <c r="M89" i="8"/>
  <c r="M10" i="8"/>
  <c r="M18" i="8"/>
  <c r="M43" i="8"/>
  <c r="M16" i="8"/>
  <c r="M84" i="8"/>
  <c r="L121" i="32"/>
  <c r="M13" i="8"/>
  <c r="M65" i="8"/>
  <c r="M66" i="8"/>
  <c r="M68" i="8"/>
  <c r="M60" i="8"/>
  <c r="M28" i="8"/>
  <c r="N137" i="32"/>
  <c r="M45" i="8"/>
  <c r="M81" i="8"/>
  <c r="M41" i="8"/>
  <c r="M26" i="8"/>
  <c r="M48" i="8"/>
  <c r="M72" i="8"/>
  <c r="M17" i="8"/>
  <c r="M57" i="8"/>
  <c r="M85" i="8"/>
  <c r="M42" i="8"/>
  <c r="T34" i="31"/>
  <c r="O132" i="32"/>
  <c r="M119" i="32"/>
  <c r="L116" i="32"/>
  <c r="O12" i="32"/>
  <c r="M52" i="32"/>
  <c r="L63" i="32"/>
  <c r="L143" i="32"/>
  <c r="L84" i="32"/>
  <c r="M122" i="32"/>
  <c r="O139" i="32"/>
  <c r="N28" i="32"/>
  <c r="O148" i="32"/>
  <c r="L148" i="32"/>
  <c r="M103" i="32"/>
  <c r="M31" i="32"/>
  <c r="L129" i="32"/>
  <c r="L65" i="32"/>
  <c r="O137" i="32"/>
  <c r="O47" i="32"/>
  <c r="O95" i="32"/>
  <c r="L132" i="32"/>
  <c r="M154" i="32"/>
  <c r="O11" i="32"/>
  <c r="O77" i="32"/>
  <c r="O17" i="32"/>
  <c r="O43" i="32"/>
  <c r="O65" i="32"/>
  <c r="M51" i="32"/>
  <c r="L100" i="32"/>
  <c r="L114" i="32"/>
  <c r="L11" i="32"/>
  <c r="M149" i="32"/>
  <c r="L113" i="32"/>
  <c r="O20" i="32"/>
  <c r="N25" i="32"/>
  <c r="O155" i="32"/>
  <c r="L51" i="32"/>
  <c r="M106" i="32"/>
  <c r="L153" i="32"/>
  <c r="O138" i="32"/>
  <c r="O90" i="32"/>
  <c r="L111" i="32"/>
  <c r="M115" i="32"/>
  <c r="L50" i="32"/>
  <c r="O10" i="32"/>
  <c r="N10" i="32"/>
  <c r="O107" i="32"/>
  <c r="O147" i="32"/>
  <c r="L97" i="32"/>
  <c r="M68" i="32"/>
  <c r="L95" i="32"/>
  <c r="N12" i="32"/>
  <c r="L57" i="32"/>
  <c r="M123" i="32"/>
  <c r="O124" i="32"/>
  <c r="M75" i="32"/>
  <c r="N147" i="32"/>
  <c r="M28" i="32"/>
  <c r="N22" i="32"/>
  <c r="L7" i="32"/>
  <c r="L49" i="32"/>
  <c r="O41" i="32"/>
  <c r="M121" i="32"/>
  <c r="M147" i="32"/>
  <c r="M138" i="32"/>
  <c r="M82" i="32"/>
  <c r="O7" i="32"/>
  <c r="M90" i="32"/>
  <c r="O31" i="32"/>
  <c r="O26" i="32"/>
  <c r="O71" i="32"/>
  <c r="M137" i="32"/>
  <c r="M79" i="32"/>
  <c r="M114" i="32"/>
  <c r="O129" i="32"/>
  <c r="O103" i="32"/>
  <c r="O21" i="32"/>
  <c r="M70" i="32"/>
  <c r="M50" i="32"/>
  <c r="M96" i="32"/>
  <c r="O118" i="32"/>
  <c r="M17" i="32"/>
  <c r="O57" i="32"/>
  <c r="M43" i="32"/>
  <c r="M74" i="32"/>
  <c r="M25" i="32"/>
  <c r="O80" i="32"/>
  <c r="O38" i="32"/>
  <c r="M151" i="32"/>
  <c r="M48" i="32"/>
  <c r="O131" i="32"/>
  <c r="M20" i="32"/>
  <c r="O94" i="32"/>
  <c r="M109" i="32"/>
  <c r="M150" i="32"/>
  <c r="O106" i="32"/>
  <c r="O33" i="32"/>
  <c r="M113" i="32"/>
  <c r="O99" i="32"/>
  <c r="M88" i="32"/>
  <c r="M102" i="32"/>
  <c r="L15" i="32"/>
  <c r="M62" i="32"/>
  <c r="N127" i="32"/>
  <c r="O123" i="32"/>
  <c r="O35" i="32"/>
  <c r="N89" i="32"/>
  <c r="O28" i="32"/>
  <c r="L83" i="32"/>
  <c r="O154" i="32"/>
  <c r="M125" i="32"/>
  <c r="O36" i="32"/>
  <c r="L31" i="32"/>
  <c r="O54" i="32"/>
  <c r="M148" i="32"/>
  <c r="O75" i="32"/>
  <c r="O140" i="32"/>
  <c r="M63" i="32"/>
  <c r="M65" i="32"/>
  <c r="M29" i="32"/>
  <c r="N120" i="32"/>
  <c r="N96" i="32"/>
  <c r="L145" i="32"/>
  <c r="O122" i="32"/>
  <c r="L33" i="32"/>
  <c r="L24" i="32"/>
  <c r="L81" i="32"/>
  <c r="M27" i="32"/>
  <c r="BO9" i="8"/>
  <c r="O51" i="32"/>
  <c r="O83" i="32"/>
  <c r="O68" i="32"/>
  <c r="O58" i="32"/>
  <c r="M64" i="32"/>
  <c r="M53" i="32"/>
  <c r="M55" i="32"/>
  <c r="M59" i="32"/>
  <c r="O9" i="32"/>
  <c r="M107" i="32"/>
  <c r="M152" i="32"/>
  <c r="O37" i="32"/>
  <c r="M47" i="32"/>
  <c r="O134" i="32"/>
  <c r="M41" i="32"/>
  <c r="M10" i="32"/>
  <c r="O91" i="32"/>
  <c r="M91" i="32"/>
  <c r="M13" i="32"/>
  <c r="M153" i="32"/>
  <c r="O153" i="32"/>
  <c r="O87" i="32"/>
  <c r="M87" i="32"/>
  <c r="M66" i="32"/>
  <c r="O117" i="32"/>
  <c r="M117" i="32"/>
  <c r="O67" i="32"/>
  <c r="M67" i="32"/>
  <c r="M60" i="32"/>
  <c r="O60" i="32"/>
  <c r="M56" i="32"/>
  <c r="O56" i="32"/>
  <c r="O76" i="32"/>
  <c r="M76" i="32"/>
  <c r="O52" i="32"/>
  <c r="N56" i="32"/>
  <c r="L56" i="32"/>
  <c r="N29" i="32"/>
  <c r="L29" i="32"/>
  <c r="L45" i="32"/>
  <c r="N45" i="32"/>
  <c r="N61" i="32"/>
  <c r="L61" i="32"/>
  <c r="N77" i="32"/>
  <c r="L77" i="32"/>
  <c r="N93" i="32"/>
  <c r="L93" i="32"/>
  <c r="L109" i="32"/>
  <c r="N109" i="32"/>
  <c r="N125" i="32"/>
  <c r="L125" i="32"/>
  <c r="N141" i="32"/>
  <c r="L141" i="32"/>
  <c r="N9" i="32"/>
  <c r="L9" i="32"/>
  <c r="N36" i="32"/>
  <c r="L36" i="32"/>
  <c r="N68" i="32"/>
  <c r="L68" i="32"/>
  <c r="N17" i="32"/>
  <c r="L17" i="32"/>
  <c r="N37" i="32"/>
  <c r="L37" i="32"/>
  <c r="N53" i="32"/>
  <c r="L53" i="32"/>
  <c r="N69" i="32"/>
  <c r="L69" i="32"/>
  <c r="N85" i="32"/>
  <c r="L85" i="32"/>
  <c r="N101" i="32"/>
  <c r="L101" i="32"/>
  <c r="N117" i="32"/>
  <c r="L117" i="32"/>
  <c r="N133" i="32"/>
  <c r="L133" i="32"/>
  <c r="N149" i="32"/>
  <c r="L149" i="32"/>
  <c r="O61" i="32"/>
  <c r="M61" i="32"/>
  <c r="N20" i="32"/>
  <c r="Q6" i="32"/>
  <c r="F1" i="32" s="1"/>
  <c r="O86" i="32"/>
  <c r="M86" i="32"/>
  <c r="O85" i="32"/>
  <c r="L92" i="32"/>
  <c r="N92" i="32"/>
  <c r="L108" i="32"/>
  <c r="N108" i="32"/>
  <c r="L124" i="32"/>
  <c r="N124" i="32"/>
  <c r="L140" i="32"/>
  <c r="N140" i="32"/>
  <c r="M84" i="32"/>
  <c r="O84" i="32"/>
  <c r="L6" i="32"/>
  <c r="N6" i="32"/>
  <c r="BQ9" i="8"/>
  <c r="H38" i="11"/>
  <c r="F134" i="11"/>
  <c r="J134" i="11" s="1"/>
  <c r="O134" i="11" s="1"/>
  <c r="F106" i="11"/>
  <c r="D143" i="11"/>
  <c r="H143" i="11" s="1"/>
  <c r="L143" i="11" s="1"/>
  <c r="F101" i="11"/>
  <c r="J101" i="11" s="1"/>
  <c r="O101" i="11" s="1"/>
  <c r="F143" i="11"/>
  <c r="J143" i="11" s="1"/>
  <c r="O143" i="11" s="1"/>
  <c r="BP9" i="8"/>
  <c r="N46" i="32"/>
  <c r="L46" i="32"/>
  <c r="L54" i="32"/>
  <c r="N54" i="32"/>
  <c r="L78" i="32"/>
  <c r="N78" i="32"/>
  <c r="N86" i="32"/>
  <c r="L86" i="32"/>
  <c r="L110" i="32"/>
  <c r="N110" i="32"/>
  <c r="N118" i="32"/>
  <c r="L118" i="32"/>
  <c r="L142" i="32"/>
  <c r="N142" i="32"/>
  <c r="N150" i="32"/>
  <c r="L150" i="32"/>
  <c r="N23" i="32"/>
  <c r="L23" i="32"/>
  <c r="L21" i="32"/>
  <c r="N21" i="32"/>
  <c r="N30" i="32"/>
  <c r="L30" i="32"/>
  <c r="L38" i="32"/>
  <c r="N38" i="32"/>
  <c r="L62" i="32"/>
  <c r="N62" i="32"/>
  <c r="N70" i="32"/>
  <c r="L70" i="32"/>
  <c r="L94" i="32"/>
  <c r="N94" i="32"/>
  <c r="N102" i="32"/>
  <c r="L102" i="32"/>
  <c r="L126" i="32"/>
  <c r="N126" i="32"/>
  <c r="N134" i="32"/>
  <c r="L134" i="32"/>
  <c r="N19" i="32"/>
  <c r="L19" i="32"/>
  <c r="BU46" i="8" l="1"/>
  <c r="BU45" i="8"/>
  <c r="BU37" i="8"/>
  <c r="BU39" i="8"/>
  <c r="BU31" i="8"/>
  <c r="BU38" i="8"/>
  <c r="BU41" i="8"/>
  <c r="BU40" i="8"/>
  <c r="BU42" i="8"/>
  <c r="BU27" i="8"/>
  <c r="BU28" i="8"/>
  <c r="BU26" i="8"/>
  <c r="BU29" i="8"/>
  <c r="BU30" i="8"/>
  <c r="BU25" i="8"/>
  <c r="BU24" i="8"/>
  <c r="BU20" i="8"/>
  <c r="BU21" i="8"/>
  <c r="BU22" i="8"/>
  <c r="BU15" i="8"/>
  <c r="BU19" i="8"/>
  <c r="BU11" i="8"/>
  <c r="BU10" i="8"/>
  <c r="BU16" i="8"/>
  <c r="BU9" i="8"/>
  <c r="BU7" i="8"/>
  <c r="BU14" i="8"/>
  <c r="BU6" i="8"/>
  <c r="AP21" i="12"/>
  <c r="BT82" i="8"/>
  <c r="BT141" i="8"/>
  <c r="BT92" i="8"/>
  <c r="E104" i="11"/>
  <c r="BT142" i="8"/>
  <c r="BT122" i="8"/>
  <c r="BT143" i="8"/>
  <c r="BT138" i="8"/>
  <c r="BT135" i="8"/>
  <c r="BT136" i="8"/>
  <c r="BT144" i="8"/>
  <c r="BT132" i="8"/>
  <c r="BT153" i="8"/>
  <c r="BT152" i="8"/>
  <c r="BT154" i="8"/>
  <c r="BT149" i="8"/>
  <c r="BT150" i="8"/>
  <c r="BT111" i="8"/>
  <c r="BT113" i="8"/>
  <c r="BT134" i="8"/>
  <c r="BT151" i="8"/>
  <c r="BT130" i="8"/>
  <c r="BT133" i="8"/>
  <c r="BT137" i="8"/>
  <c r="BT145" i="8"/>
  <c r="BT146" i="8"/>
  <c r="BT114" i="8"/>
  <c r="BT148" i="8"/>
  <c r="J21" i="12"/>
  <c r="BT131" i="8"/>
  <c r="BT147" i="8"/>
  <c r="BT140" i="8"/>
  <c r="BT139" i="8"/>
  <c r="BT217" i="8"/>
  <c r="BT237" i="8"/>
  <c r="BT235" i="8"/>
  <c r="BT215" i="8"/>
  <c r="BT210" i="8"/>
  <c r="BT73" i="8"/>
  <c r="BT65" i="8"/>
  <c r="BT212" i="8"/>
  <c r="BT213" i="8"/>
  <c r="BT236" i="8"/>
  <c r="BT80" i="8"/>
  <c r="BT74" i="8"/>
  <c r="BT55" i="8"/>
  <c r="BT58" i="8"/>
  <c r="BT76" i="8"/>
  <c r="BT71" i="8"/>
  <c r="BT69" i="8"/>
  <c r="BT53" i="8"/>
  <c r="BT70" i="8"/>
  <c r="BT78" i="8"/>
  <c r="BT239" i="8"/>
  <c r="BT77" i="8"/>
  <c r="BT72" i="8"/>
  <c r="BT230" i="8"/>
  <c r="BT238" i="8"/>
  <c r="BT56" i="8"/>
  <c r="BT62" i="8"/>
  <c r="BT75" i="8"/>
  <c r="BT66" i="8"/>
  <c r="BT68" i="8"/>
  <c r="BT79" i="8"/>
  <c r="BT63" i="8"/>
  <c r="BT64" i="8"/>
  <c r="BT61" i="8"/>
  <c r="BT59" i="8"/>
  <c r="BT50" i="8"/>
  <c r="BT57" i="8"/>
  <c r="BT54" i="8"/>
  <c r="BT60" i="8"/>
  <c r="BT49" i="8"/>
  <c r="BT209" i="8"/>
  <c r="BT233" i="8"/>
  <c r="BT208" i="8"/>
  <c r="BT231" i="8"/>
  <c r="BT207" i="8"/>
  <c r="BT206" i="8"/>
  <c r="BT245" i="8"/>
  <c r="BT214" i="8"/>
  <c r="BT223" i="8"/>
  <c r="BT219" i="8"/>
  <c r="BT292" i="8"/>
  <c r="BT218" i="8"/>
  <c r="BT295" i="8"/>
  <c r="BT291" i="8"/>
  <c r="BT274" i="8"/>
  <c r="BT278" i="8"/>
  <c r="BT228" i="8"/>
  <c r="BT293" i="8"/>
  <c r="BT307" i="8"/>
  <c r="BT246" i="8"/>
  <c r="BT253" i="8"/>
  <c r="BT303" i="8"/>
  <c r="BT285" i="8"/>
  <c r="BT280" i="8"/>
  <c r="BT240" i="8"/>
  <c r="BT299" i="8"/>
  <c r="BT268" i="8"/>
  <c r="BT256" i="8"/>
  <c r="BT304" i="8"/>
  <c r="BT252" i="8"/>
  <c r="BT279" i="8"/>
  <c r="BT275" i="8"/>
  <c r="BT216" i="8"/>
  <c r="BT267" i="8"/>
  <c r="BT249" i="8"/>
  <c r="BT308" i="8"/>
  <c r="BT221" i="8"/>
  <c r="BT277" i="8"/>
  <c r="BT284" i="8"/>
  <c r="BT222" i="8"/>
  <c r="BT287" i="8"/>
  <c r="BT283" i="8"/>
  <c r="BT226" i="8"/>
  <c r="BT281" i="8"/>
  <c r="BT262" i="8"/>
  <c r="BT305" i="8"/>
  <c r="BT247" i="8"/>
  <c r="BT220" i="8"/>
  <c r="BT261" i="8"/>
  <c r="BT286" i="8"/>
  <c r="BT269" i="8"/>
  <c r="BT294" i="8"/>
  <c r="BT298" i="8"/>
  <c r="BT270" i="8"/>
  <c r="BT289" i="8"/>
  <c r="BT224" i="8"/>
  <c r="BT242" i="8"/>
  <c r="BT301" i="8"/>
  <c r="BT276" i="8"/>
  <c r="BT302" i="8"/>
  <c r="BT263" i="8"/>
  <c r="BT225" i="8"/>
  <c r="BT310" i="8"/>
  <c r="BT254" i="8"/>
  <c r="BT248" i="8"/>
  <c r="BT309" i="8"/>
  <c r="BT255" i="8"/>
  <c r="BT243" i="8"/>
  <c r="BT241" i="8"/>
  <c r="BT260" i="8"/>
  <c r="BT300" i="8"/>
  <c r="BT250" i="8"/>
  <c r="BT290" i="8"/>
  <c r="BT297" i="8"/>
  <c r="BT296" i="8"/>
  <c r="BT251" i="8"/>
  <c r="BT227" i="8"/>
  <c r="BT288" i="8"/>
  <c r="BT229" i="8"/>
  <c r="BT282" i="8"/>
  <c r="BT306" i="8"/>
  <c r="R36" i="19"/>
  <c r="L7" i="12"/>
  <c r="E118" i="11"/>
  <c r="BT123" i="8"/>
  <c r="BT100" i="8"/>
  <c r="BT110" i="8"/>
  <c r="BT96" i="8"/>
  <c r="BT98" i="8"/>
  <c r="BT128" i="8"/>
  <c r="BT117" i="8"/>
  <c r="BT105" i="8"/>
  <c r="E142" i="11"/>
  <c r="I142" i="11" s="1"/>
  <c r="N142" i="11" s="1"/>
  <c r="P142" i="11" s="1"/>
  <c r="BT116" i="8"/>
  <c r="BT121" i="8"/>
  <c r="BT104" i="8"/>
  <c r="BT93" i="8"/>
  <c r="BT108" i="8"/>
  <c r="BT119" i="8"/>
  <c r="BT127" i="8"/>
  <c r="BT125" i="8"/>
  <c r="BT234" i="8"/>
  <c r="BT115" i="8"/>
  <c r="BT102" i="8"/>
  <c r="BT86" i="8"/>
  <c r="BT83" i="8"/>
  <c r="BT129" i="8"/>
  <c r="BT118" i="8"/>
  <c r="BT91" i="8"/>
  <c r="BT109" i="8"/>
  <c r="BT87" i="8"/>
  <c r="BT124" i="8"/>
  <c r="BT81" i="8"/>
  <c r="BT112" i="8"/>
  <c r="BT97" i="8"/>
  <c r="BT232" i="8"/>
  <c r="BT95" i="8"/>
  <c r="BT107" i="8"/>
  <c r="BT101" i="8"/>
  <c r="BT94" i="8"/>
  <c r="BT120" i="8"/>
  <c r="BT126" i="8"/>
  <c r="BT211" i="8"/>
  <c r="BT103" i="8"/>
  <c r="BT51" i="8"/>
  <c r="BR9" i="8"/>
  <c r="BS9" i="8" s="1"/>
  <c r="D25" i="19"/>
  <c r="C132" i="11"/>
  <c r="G132" i="11" s="1"/>
  <c r="K132" i="11" s="1"/>
  <c r="M132" i="11" s="1"/>
  <c r="E127" i="11"/>
  <c r="I127" i="11" s="1"/>
  <c r="N127" i="11" s="1"/>
  <c r="P127" i="11" s="1"/>
  <c r="E101" i="11"/>
  <c r="I30" i="19"/>
  <c r="M30" i="19" s="1"/>
  <c r="C54" i="11"/>
  <c r="G54" i="11" s="1"/>
  <c r="M54" i="11" s="1"/>
  <c r="J116" i="11"/>
  <c r="O116" i="11" s="1"/>
  <c r="I31" i="19"/>
  <c r="M31" i="19" s="1"/>
  <c r="J114" i="11"/>
  <c r="O114" i="11" s="1"/>
  <c r="E95" i="11"/>
  <c r="E135" i="11"/>
  <c r="I135" i="11" s="1"/>
  <c r="N135" i="11" s="1"/>
  <c r="P135" i="11" s="1"/>
  <c r="E126" i="11"/>
  <c r="I126" i="11" s="1"/>
  <c r="N126" i="11" s="1"/>
  <c r="P126" i="11" s="1"/>
  <c r="D40" i="19"/>
  <c r="H40" i="19" s="1"/>
  <c r="L40" i="19" s="1"/>
  <c r="J105" i="11"/>
  <c r="O105" i="11" s="1"/>
  <c r="I26" i="19"/>
  <c r="M26" i="19" s="1"/>
  <c r="I25" i="19"/>
  <c r="M25" i="19" s="1"/>
  <c r="C27" i="19"/>
  <c r="C96" i="11"/>
  <c r="E117" i="11"/>
  <c r="I35" i="19"/>
  <c r="M35" i="19" s="1"/>
  <c r="E144" i="11"/>
  <c r="I144" i="11" s="1"/>
  <c r="N144" i="11" s="1"/>
  <c r="P144" i="11" s="1"/>
  <c r="J98" i="11"/>
  <c r="O98" i="11" s="1"/>
  <c r="I21" i="19"/>
  <c r="M21" i="19" s="1"/>
  <c r="E113" i="11"/>
  <c r="C109" i="11"/>
  <c r="G109" i="11" s="1"/>
  <c r="K109" i="11" s="1"/>
  <c r="M109" i="11" s="1"/>
  <c r="D27" i="19"/>
  <c r="C136" i="11"/>
  <c r="G136" i="11" s="1"/>
  <c r="K136" i="11" s="1"/>
  <c r="M136" i="11" s="1"/>
  <c r="I39" i="19"/>
  <c r="M39" i="19" s="1"/>
  <c r="I20" i="19"/>
  <c r="M20" i="19" s="1"/>
  <c r="C32" i="19"/>
  <c r="D30" i="19"/>
  <c r="D22" i="19"/>
  <c r="C25" i="11"/>
  <c r="E122" i="11"/>
  <c r="I122" i="11" s="1"/>
  <c r="N122" i="11" s="1"/>
  <c r="C22" i="19"/>
  <c r="D32" i="19"/>
  <c r="I47" i="19"/>
  <c r="M47" i="19" s="1"/>
  <c r="C50" i="11"/>
  <c r="G50" i="11" s="1"/>
  <c r="M50" i="11" s="1"/>
  <c r="C30" i="19"/>
  <c r="I46" i="19"/>
  <c r="M46" i="19" s="1"/>
  <c r="I34" i="19"/>
  <c r="M34" i="19" s="1"/>
  <c r="I44" i="19"/>
  <c r="M44" i="19" s="1"/>
  <c r="D31" i="19"/>
  <c r="I36" i="19"/>
  <c r="M36" i="19" s="1"/>
  <c r="I37" i="19"/>
  <c r="M37" i="19" s="1"/>
  <c r="I45" i="19"/>
  <c r="M45" i="19" s="1"/>
  <c r="I42" i="19"/>
  <c r="M42" i="19" s="1"/>
  <c r="I41" i="19"/>
  <c r="M41" i="19" s="1"/>
  <c r="I40" i="19"/>
  <c r="M40" i="19" s="1"/>
  <c r="C56" i="13"/>
  <c r="D96" i="11"/>
  <c r="H96" i="11" s="1"/>
  <c r="L96" i="11" s="1"/>
  <c r="D20" i="11"/>
  <c r="H20" i="11" s="1"/>
  <c r="D106" i="11"/>
  <c r="H106" i="11" s="1"/>
  <c r="L106" i="11" s="1"/>
  <c r="D29" i="11"/>
  <c r="D105" i="11"/>
  <c r="H105" i="11" s="1"/>
  <c r="L105" i="11" s="1"/>
  <c r="D28" i="11"/>
  <c r="D98" i="11"/>
  <c r="H98" i="11" s="1"/>
  <c r="L98" i="11" s="1"/>
  <c r="D22" i="11"/>
  <c r="H22" i="11" s="1"/>
  <c r="D116" i="11"/>
  <c r="H116" i="11" s="1"/>
  <c r="L116" i="11" s="1"/>
  <c r="D38" i="11"/>
  <c r="D114" i="11"/>
  <c r="H114" i="11" s="1"/>
  <c r="L114" i="11" s="1"/>
  <c r="D36" i="11"/>
  <c r="D107" i="11"/>
  <c r="H107" i="11" s="1"/>
  <c r="L107" i="11" s="1"/>
  <c r="D30" i="11"/>
  <c r="D97" i="11"/>
  <c r="H97" i="11" s="1"/>
  <c r="L97" i="11" s="1"/>
  <c r="D21" i="11"/>
  <c r="H21" i="11" s="1"/>
  <c r="D115" i="11"/>
  <c r="H115" i="11" s="1"/>
  <c r="L115" i="11" s="1"/>
  <c r="D37" i="11"/>
  <c r="C38" i="11"/>
  <c r="G38" i="11" s="1"/>
  <c r="C39" i="11"/>
  <c r="G39" i="11" s="1"/>
  <c r="C20" i="11"/>
  <c r="C33" i="11"/>
  <c r="C29" i="11"/>
  <c r="G29" i="11" s="1"/>
  <c r="C28" i="11"/>
  <c r="C31" i="11"/>
  <c r="G31" i="11" s="1"/>
  <c r="C19" i="11"/>
  <c r="C24" i="11"/>
  <c r="C32" i="11"/>
  <c r="G32" i="11" s="1"/>
  <c r="C41" i="11"/>
  <c r="C40" i="11"/>
  <c r="G40" i="11" s="1"/>
  <c r="C36" i="11"/>
  <c r="C22" i="11"/>
  <c r="C23" i="11"/>
  <c r="C107" i="11"/>
  <c r="C30" i="11"/>
  <c r="G30" i="11" s="1"/>
  <c r="C97" i="11"/>
  <c r="C21" i="11"/>
  <c r="C104" i="11"/>
  <c r="C27" i="11"/>
  <c r="G27" i="11" s="1"/>
  <c r="C115" i="11"/>
  <c r="C37" i="11"/>
  <c r="C113" i="11"/>
  <c r="C35" i="11"/>
  <c r="C34" i="19"/>
  <c r="K34" i="19" s="1"/>
  <c r="C44" i="11"/>
  <c r="C35" i="19"/>
  <c r="G35" i="19" s="1"/>
  <c r="J115" i="11"/>
  <c r="O115" i="11" s="1"/>
  <c r="C56" i="11"/>
  <c r="E99" i="11"/>
  <c r="C131" i="11"/>
  <c r="G131" i="11" s="1"/>
  <c r="K131" i="11" s="1"/>
  <c r="E114" i="11"/>
  <c r="R45" i="19"/>
  <c r="R34" i="19"/>
  <c r="Q45" i="19"/>
  <c r="Q36" i="19"/>
  <c r="C114" i="11"/>
  <c r="E100" i="11"/>
  <c r="R47" i="19"/>
  <c r="R41" i="19"/>
  <c r="Q37" i="19"/>
  <c r="R40" i="19"/>
  <c r="R44" i="19"/>
  <c r="E124" i="11"/>
  <c r="I124" i="11" s="1"/>
  <c r="N124" i="11" s="1"/>
  <c r="P124" i="11" s="1"/>
  <c r="D34" i="19"/>
  <c r="E123" i="11"/>
  <c r="I123" i="11" s="1"/>
  <c r="N123" i="11" s="1"/>
  <c r="P123" i="11" s="1"/>
  <c r="C124" i="11"/>
  <c r="G124" i="11" s="1"/>
  <c r="K124" i="11" s="1"/>
  <c r="M124" i="11" s="1"/>
  <c r="C128" i="11"/>
  <c r="G128" i="11" s="1"/>
  <c r="K128" i="11" s="1"/>
  <c r="M128" i="11" s="1"/>
  <c r="D26" i="19"/>
  <c r="C126" i="11"/>
  <c r="G126" i="11" s="1"/>
  <c r="K126" i="11" s="1"/>
  <c r="M126" i="11" s="1"/>
  <c r="D24" i="19"/>
  <c r="D29" i="19"/>
  <c r="C146" i="11"/>
  <c r="G146" i="11" s="1"/>
  <c r="K146" i="11" s="1"/>
  <c r="M146" i="11" s="1"/>
  <c r="C53" i="11"/>
  <c r="C51" i="11"/>
  <c r="C127" i="11"/>
  <c r="G127" i="11" s="1"/>
  <c r="K127" i="11" s="1"/>
  <c r="M127" i="11" s="1"/>
  <c r="C45" i="11"/>
  <c r="C42" i="19"/>
  <c r="C108" i="11"/>
  <c r="C37" i="19"/>
  <c r="C144" i="11"/>
  <c r="G144" i="11" s="1"/>
  <c r="K144" i="11" s="1"/>
  <c r="M144" i="11" s="1"/>
  <c r="E134" i="11"/>
  <c r="I134" i="11" s="1"/>
  <c r="N134" i="11" s="1"/>
  <c r="P134" i="11" s="1"/>
  <c r="E38" i="19"/>
  <c r="I38" i="19" s="1"/>
  <c r="F1" i="8"/>
  <c r="E133" i="11"/>
  <c r="I133" i="11" s="1"/>
  <c r="N133" i="11" s="1"/>
  <c r="P133" i="11" s="1"/>
  <c r="C47" i="19"/>
  <c r="G47" i="19" s="1"/>
  <c r="E145" i="11"/>
  <c r="I145" i="11" s="1"/>
  <c r="N145" i="11" s="1"/>
  <c r="P145" i="11" s="1"/>
  <c r="D19" i="19"/>
  <c r="E107" i="11"/>
  <c r="C110" i="11"/>
  <c r="G110" i="11" s="1"/>
  <c r="K110" i="11" s="1"/>
  <c r="M110" i="11" s="1"/>
  <c r="E33" i="19"/>
  <c r="C141" i="11"/>
  <c r="G141" i="11" s="1"/>
  <c r="K141" i="11" s="1"/>
  <c r="M141" i="11" s="1"/>
  <c r="E119" i="11"/>
  <c r="C41" i="19"/>
  <c r="G41" i="19" s="1"/>
  <c r="J96" i="11"/>
  <c r="O96" i="11" s="1"/>
  <c r="C31" i="19"/>
  <c r="F138" i="11"/>
  <c r="J138" i="11" s="1"/>
  <c r="O138" i="11" s="1"/>
  <c r="J131" i="11"/>
  <c r="O131" i="11" s="1"/>
  <c r="C134" i="11"/>
  <c r="G134" i="11" s="1"/>
  <c r="K134" i="11" s="1"/>
  <c r="M134" i="11" s="1"/>
  <c r="H131" i="11"/>
  <c r="L131" i="11" s="1"/>
  <c r="D138" i="11"/>
  <c r="H138" i="11" s="1"/>
  <c r="L138" i="11" s="1"/>
  <c r="E137" i="11"/>
  <c r="I137" i="11" s="1"/>
  <c r="N137" i="11" s="1"/>
  <c r="P137" i="11" s="1"/>
  <c r="C95" i="11"/>
  <c r="C122" i="11"/>
  <c r="J106" i="11"/>
  <c r="O106" i="11" s="1"/>
  <c r="E132" i="11"/>
  <c r="I132" i="11" s="1"/>
  <c r="N132" i="11" s="1"/>
  <c r="P132" i="11" s="1"/>
  <c r="D147" i="11"/>
  <c r="H147" i="11" s="1"/>
  <c r="L147" i="11" s="1"/>
  <c r="E23" i="19"/>
  <c r="E105" i="11"/>
  <c r="C133" i="11"/>
  <c r="G133" i="11" s="1"/>
  <c r="K133" i="11" s="1"/>
  <c r="M133" i="11" s="1"/>
  <c r="C117" i="11"/>
  <c r="C101" i="11"/>
  <c r="H113" i="11"/>
  <c r="L113" i="11" s="1"/>
  <c r="E146" i="11"/>
  <c r="I146" i="11" s="1"/>
  <c r="N146" i="11" s="1"/>
  <c r="P146" i="11" s="1"/>
  <c r="C119" i="11"/>
  <c r="C125" i="11"/>
  <c r="G125" i="11" s="1"/>
  <c r="K125" i="11" s="1"/>
  <c r="M125" i="11" s="1"/>
  <c r="C100" i="11"/>
  <c r="E131" i="11"/>
  <c r="E115" i="11"/>
  <c r="E141" i="11"/>
  <c r="I141" i="11" s="1"/>
  <c r="N141" i="11" s="1"/>
  <c r="P141" i="11" s="1"/>
  <c r="J113" i="11"/>
  <c r="O113" i="11" s="1"/>
  <c r="F120" i="11"/>
  <c r="C99" i="11"/>
  <c r="C40" i="19"/>
  <c r="G40" i="19" s="1"/>
  <c r="E97" i="11"/>
  <c r="J122" i="11"/>
  <c r="O122" i="11" s="1"/>
  <c r="F129" i="11"/>
  <c r="J129" i="11" s="1"/>
  <c r="O129" i="11" s="1"/>
  <c r="E136" i="11"/>
  <c r="I136" i="11" s="1"/>
  <c r="N136" i="11" s="1"/>
  <c r="P136" i="11" s="1"/>
  <c r="C135" i="11"/>
  <c r="G135" i="11" s="1"/>
  <c r="K135" i="11" s="1"/>
  <c r="M135" i="11" s="1"/>
  <c r="C145" i="11"/>
  <c r="G145" i="11" s="1"/>
  <c r="K145" i="11" s="1"/>
  <c r="M145" i="11" s="1"/>
  <c r="E109" i="11"/>
  <c r="H122" i="11"/>
  <c r="L122" i="11" s="1"/>
  <c r="D129" i="11"/>
  <c r="H129" i="11" s="1"/>
  <c r="L129" i="11" s="1"/>
  <c r="C143" i="11"/>
  <c r="G143" i="11" s="1"/>
  <c r="K143" i="11" s="1"/>
  <c r="M143" i="11" s="1"/>
  <c r="J107" i="11"/>
  <c r="O107" i="11" s="1"/>
  <c r="E108" i="11"/>
  <c r="J97" i="11"/>
  <c r="O97" i="11" s="1"/>
  <c r="C137" i="11"/>
  <c r="G137" i="11" s="1"/>
  <c r="K137" i="11" s="1"/>
  <c r="M137" i="11" s="1"/>
  <c r="E128" i="11"/>
  <c r="I128" i="11" s="1"/>
  <c r="N128" i="11" s="1"/>
  <c r="P128" i="11" s="1"/>
  <c r="E116" i="11"/>
  <c r="C118" i="11"/>
  <c r="J95" i="11"/>
  <c r="O95" i="11" s="1"/>
  <c r="F102" i="11"/>
  <c r="E96" i="11"/>
  <c r="C123" i="11"/>
  <c r="G123" i="11" s="1"/>
  <c r="K123" i="11" s="1"/>
  <c r="M123" i="11" s="1"/>
  <c r="E110" i="11"/>
  <c r="C46" i="11"/>
  <c r="E98" i="11"/>
  <c r="C142" i="11"/>
  <c r="G142" i="11" s="1"/>
  <c r="K142" i="11" s="1"/>
  <c r="M142" i="11" s="1"/>
  <c r="J140" i="11"/>
  <c r="O140" i="11" s="1"/>
  <c r="F147" i="11"/>
  <c r="J147" i="11" s="1"/>
  <c r="O147" i="11" s="1"/>
  <c r="H95" i="11"/>
  <c r="L95" i="11" s="1"/>
  <c r="C98" i="11"/>
  <c r="C106" i="11"/>
  <c r="C140" i="11"/>
  <c r="C105" i="11"/>
  <c r="E125" i="11"/>
  <c r="J104" i="11"/>
  <c r="O104" i="11" s="1"/>
  <c r="F111" i="11"/>
  <c r="E140" i="11"/>
  <c r="C116" i="11"/>
  <c r="G116" i="11" s="1"/>
  <c r="K116" i="11" s="1"/>
  <c r="E143" i="11"/>
  <c r="I143" i="11" s="1"/>
  <c r="N143" i="11" s="1"/>
  <c r="P143" i="11" s="1"/>
  <c r="E106" i="11"/>
  <c r="H104" i="11"/>
  <c r="L104" i="11" s="1"/>
  <c r="D36" i="19"/>
  <c r="C49" i="11"/>
  <c r="E43" i="19"/>
  <c r="I43" i="19" s="1"/>
  <c r="D46" i="19"/>
  <c r="D39" i="19"/>
  <c r="H39" i="19" s="1"/>
  <c r="C48" i="11"/>
  <c r="G48" i="11" s="1"/>
  <c r="D20" i="19"/>
  <c r="C25" i="19"/>
  <c r="D37" i="19"/>
  <c r="C26" i="19"/>
  <c r="E48" i="19"/>
  <c r="I48" i="19" s="1"/>
  <c r="C44" i="19"/>
  <c r="C46" i="19"/>
  <c r="E28" i="19"/>
  <c r="C39" i="19"/>
  <c r="D41" i="19"/>
  <c r="H41" i="19" s="1"/>
  <c r="C43" i="11"/>
  <c r="G43" i="11" s="1"/>
  <c r="C20" i="19"/>
  <c r="D45" i="19"/>
  <c r="D47" i="19"/>
  <c r="H47" i="19" s="1"/>
  <c r="D35" i="19"/>
  <c r="H35" i="19" s="1"/>
  <c r="C45" i="19"/>
  <c r="D42" i="19"/>
  <c r="H42" i="19" s="1"/>
  <c r="D44" i="19"/>
  <c r="H44" i="19" s="1"/>
  <c r="C36" i="19"/>
  <c r="C55" i="11"/>
  <c r="C21" i="19"/>
  <c r="D21" i="19"/>
  <c r="AZ1" i="8" l="1"/>
  <c r="M21" i="12"/>
  <c r="I114" i="11" s="1"/>
  <c r="N114" i="11" s="1"/>
  <c r="P114" i="11" s="1"/>
  <c r="M14" i="12"/>
  <c r="M7" i="12"/>
  <c r="I96" i="11" s="1"/>
  <c r="N96" i="11" s="1"/>
  <c r="P96" i="11" s="1"/>
  <c r="BT52" i="8"/>
  <c r="R46" i="19"/>
  <c r="Q46" i="19"/>
  <c r="Q35" i="19"/>
  <c r="Q40" i="19"/>
  <c r="R39" i="19"/>
  <c r="R35" i="19"/>
  <c r="Q41" i="19"/>
  <c r="R42" i="19"/>
  <c r="R37" i="19"/>
  <c r="Q47" i="19"/>
  <c r="Q42" i="19"/>
  <c r="BT244" i="8"/>
  <c r="AP14" i="12"/>
  <c r="J14" i="12"/>
  <c r="AP7" i="12"/>
  <c r="J7" i="12"/>
  <c r="I117" i="11"/>
  <c r="N117" i="11" s="1"/>
  <c r="P117" i="11" s="1"/>
  <c r="H30" i="19"/>
  <c r="L30" i="19" s="1"/>
  <c r="I115" i="11"/>
  <c r="N115" i="11" s="1"/>
  <c r="P115" i="11" s="1"/>
  <c r="I113" i="11"/>
  <c r="N113" i="11" s="1"/>
  <c r="P113" i="11" s="1"/>
  <c r="BT106" i="8"/>
  <c r="I119" i="11"/>
  <c r="N119" i="11" s="1"/>
  <c r="P119" i="11" s="1"/>
  <c r="BT67" i="8"/>
  <c r="D111" i="11"/>
  <c r="H25" i="19"/>
  <c r="H26" i="19"/>
  <c r="H27" i="19"/>
  <c r="G27" i="19"/>
  <c r="D102" i="11"/>
  <c r="H22" i="19"/>
  <c r="G35" i="11"/>
  <c r="M35" i="11" s="1"/>
  <c r="G33" i="11"/>
  <c r="M33" i="11" s="1"/>
  <c r="H21" i="19"/>
  <c r="P122" i="11"/>
  <c r="I101" i="11"/>
  <c r="N101" i="11" s="1"/>
  <c r="P101" i="11" s="1"/>
  <c r="G25" i="11"/>
  <c r="M25" i="11" s="1"/>
  <c r="G37" i="11"/>
  <c r="M37" i="11" s="1"/>
  <c r="G41" i="11"/>
  <c r="M41" i="11" s="1"/>
  <c r="H31" i="19"/>
  <c r="L31" i="19" s="1"/>
  <c r="G56" i="11"/>
  <c r="M56" i="11" s="1"/>
  <c r="G51" i="11"/>
  <c r="M51" i="11" s="1"/>
  <c r="G45" i="19"/>
  <c r="K45" i="19" s="1"/>
  <c r="G37" i="19"/>
  <c r="K37" i="19" s="1"/>
  <c r="G49" i="11"/>
  <c r="M49" i="11" s="1"/>
  <c r="G53" i="11"/>
  <c r="M53" i="11" s="1"/>
  <c r="H34" i="19"/>
  <c r="L34" i="19" s="1"/>
  <c r="N34" i="19" s="1"/>
  <c r="H46" i="19"/>
  <c r="L46" i="19" s="1"/>
  <c r="K47" i="19"/>
  <c r="G46" i="19"/>
  <c r="K46" i="19" s="1"/>
  <c r="L47" i="19"/>
  <c r="G55" i="11"/>
  <c r="M55" i="11" s="1"/>
  <c r="G46" i="11"/>
  <c r="M46" i="11" s="1"/>
  <c r="G36" i="19"/>
  <c r="K36" i="19" s="1"/>
  <c r="K41" i="19"/>
  <c r="H37" i="19"/>
  <c r="L37" i="19" s="1"/>
  <c r="G45" i="11"/>
  <c r="M45" i="11" s="1"/>
  <c r="L41" i="19"/>
  <c r="K35" i="19"/>
  <c r="H36" i="19"/>
  <c r="L36" i="19" s="1"/>
  <c r="H45" i="19"/>
  <c r="L45" i="19" s="1"/>
  <c r="L42" i="19"/>
  <c r="K40" i="19"/>
  <c r="N40" i="19" s="1"/>
  <c r="G44" i="11"/>
  <c r="M44" i="11" s="1"/>
  <c r="H32" i="19"/>
  <c r="L32" i="19" s="1"/>
  <c r="G42" i="19"/>
  <c r="K42" i="19" s="1"/>
  <c r="M116" i="11"/>
  <c r="M32" i="11"/>
  <c r="M31" i="11"/>
  <c r="M39" i="11"/>
  <c r="M27" i="11"/>
  <c r="M40" i="11"/>
  <c r="M38" i="11"/>
  <c r="M29" i="11"/>
  <c r="M30" i="11"/>
  <c r="D120" i="11"/>
  <c r="G56" i="13"/>
  <c r="E56" i="13"/>
  <c r="D34" i="11"/>
  <c r="H34" i="11" s="1"/>
  <c r="C42" i="11"/>
  <c r="D26" i="11"/>
  <c r="H26" i="11" s="1"/>
  <c r="D42" i="11"/>
  <c r="H42" i="11" s="1"/>
  <c r="G22" i="11"/>
  <c r="G100" i="11"/>
  <c r="K100" i="11" s="1"/>
  <c r="M100" i="11" s="1"/>
  <c r="H20" i="19"/>
  <c r="R20" i="19" s="1"/>
  <c r="G115" i="11"/>
  <c r="K115" i="11" s="1"/>
  <c r="M115" i="11" s="1"/>
  <c r="BT90" i="8"/>
  <c r="BT85" i="8"/>
  <c r="BT84" i="8"/>
  <c r="BT88" i="8"/>
  <c r="BT99" i="8"/>
  <c r="BT89" i="8"/>
  <c r="G99" i="11"/>
  <c r="K99" i="11" s="1"/>
  <c r="M99" i="11" s="1"/>
  <c r="G101" i="11"/>
  <c r="K101" i="11" s="1"/>
  <c r="M101" i="11" s="1"/>
  <c r="I116" i="11"/>
  <c r="N116" i="11" s="1"/>
  <c r="P116" i="11" s="1"/>
  <c r="G31" i="19"/>
  <c r="G113" i="11"/>
  <c r="K113" i="11" s="1"/>
  <c r="M113" i="11" s="1"/>
  <c r="I104" i="11"/>
  <c r="N104" i="11" s="1"/>
  <c r="P104" i="11" s="1"/>
  <c r="G118" i="11"/>
  <c r="K118" i="11" s="1"/>
  <c r="M118" i="11" s="1"/>
  <c r="G95" i="11"/>
  <c r="K95" i="11" s="1"/>
  <c r="M95" i="11" s="1"/>
  <c r="G104" i="11"/>
  <c r="K104" i="11" s="1"/>
  <c r="M104" i="11" s="1"/>
  <c r="G107" i="11"/>
  <c r="K107" i="11" s="1"/>
  <c r="M107" i="11" s="1"/>
  <c r="G108" i="11"/>
  <c r="K108" i="11" s="1"/>
  <c r="M108" i="11" s="1"/>
  <c r="G119" i="11"/>
  <c r="K119" i="11" s="1"/>
  <c r="M119" i="11" s="1"/>
  <c r="G106" i="11"/>
  <c r="K106" i="11" s="1"/>
  <c r="M106" i="11" s="1"/>
  <c r="D28" i="19"/>
  <c r="G117" i="11"/>
  <c r="K117" i="11" s="1"/>
  <c r="M117" i="11" s="1"/>
  <c r="D33" i="19"/>
  <c r="M28" i="19"/>
  <c r="I28" i="19" s="1"/>
  <c r="V24" i="19" s="1"/>
  <c r="M23" i="19"/>
  <c r="I23" i="19" s="1"/>
  <c r="V19" i="19" s="1"/>
  <c r="D38" i="19"/>
  <c r="H38" i="19" s="1"/>
  <c r="C138" i="11"/>
  <c r="G138" i="11" s="1"/>
  <c r="K138" i="11" s="1"/>
  <c r="M138" i="11" s="1"/>
  <c r="M33" i="19"/>
  <c r="I33" i="19" s="1"/>
  <c r="V29" i="19" s="1"/>
  <c r="M43" i="19"/>
  <c r="J102" i="11"/>
  <c r="O102" i="11" s="1"/>
  <c r="M38" i="19"/>
  <c r="J111" i="11"/>
  <c r="O111" i="11" s="1"/>
  <c r="J120" i="11"/>
  <c r="O120" i="11" s="1"/>
  <c r="M131" i="11"/>
  <c r="D48" i="19"/>
  <c r="H48" i="19" s="1"/>
  <c r="E102" i="11"/>
  <c r="G140" i="11"/>
  <c r="K140" i="11" s="1"/>
  <c r="M140" i="11" s="1"/>
  <c r="C147" i="11"/>
  <c r="G147" i="11" s="1"/>
  <c r="K147" i="11" s="1"/>
  <c r="M147" i="11" s="1"/>
  <c r="I131" i="11"/>
  <c r="N131" i="11" s="1"/>
  <c r="P131" i="11" s="1"/>
  <c r="E138" i="11"/>
  <c r="I138" i="11" s="1"/>
  <c r="N138" i="11" s="1"/>
  <c r="P138" i="11" s="1"/>
  <c r="E111" i="11"/>
  <c r="G122" i="11"/>
  <c r="K122" i="11" s="1"/>
  <c r="M122" i="11" s="1"/>
  <c r="C129" i="11"/>
  <c r="G129" i="11" s="1"/>
  <c r="K129" i="11" s="1"/>
  <c r="M129" i="11" s="1"/>
  <c r="I125" i="11"/>
  <c r="N125" i="11" s="1"/>
  <c r="P125" i="11" s="1"/>
  <c r="E129" i="11"/>
  <c r="I129" i="11" s="1"/>
  <c r="N129" i="11" s="1"/>
  <c r="P129" i="11" s="1"/>
  <c r="E120" i="11"/>
  <c r="C102" i="11"/>
  <c r="I140" i="11"/>
  <c r="N140" i="11" s="1"/>
  <c r="P140" i="11" s="1"/>
  <c r="E147" i="11"/>
  <c r="I147" i="11" s="1"/>
  <c r="N147" i="11" s="1"/>
  <c r="P147" i="11" s="1"/>
  <c r="C111" i="11"/>
  <c r="C120" i="11"/>
  <c r="C34" i="11"/>
  <c r="C23" i="19"/>
  <c r="L44" i="19"/>
  <c r="K39" i="19"/>
  <c r="C43" i="19"/>
  <c r="G43" i="19" s="1"/>
  <c r="C28" i="19"/>
  <c r="E49" i="19"/>
  <c r="G12" i="19"/>
  <c r="C26" i="11"/>
  <c r="L35" i="19"/>
  <c r="M43" i="11"/>
  <c r="C47" i="11"/>
  <c r="G47" i="11" s="1"/>
  <c r="M48" i="19"/>
  <c r="K44" i="19"/>
  <c r="C48" i="19"/>
  <c r="G48" i="19" s="1"/>
  <c r="C52" i="11"/>
  <c r="G52" i="11" s="1"/>
  <c r="M48" i="11"/>
  <c r="C38" i="19"/>
  <c r="G38" i="19" s="1"/>
  <c r="D23" i="19"/>
  <c r="C57" i="11"/>
  <c r="G57" i="11" s="1"/>
  <c r="D43" i="19"/>
  <c r="H43" i="19" s="1"/>
  <c r="C33" i="19"/>
  <c r="L39" i="19"/>
  <c r="AY39" i="8" l="1"/>
  <c r="BT39" i="8" s="1"/>
  <c r="AY33" i="8"/>
  <c r="BT33" i="8" s="1"/>
  <c r="AY31" i="8"/>
  <c r="BT31" i="8" s="1"/>
  <c r="AY34" i="8"/>
  <c r="BT34" i="8" s="1"/>
  <c r="AY41" i="8"/>
  <c r="BT41" i="8" s="1"/>
  <c r="AY44" i="8"/>
  <c r="BT44" i="8" s="1"/>
  <c r="AY46" i="8"/>
  <c r="BT46" i="8" s="1"/>
  <c r="AY43" i="8"/>
  <c r="BT43" i="8" s="1"/>
  <c r="AY40" i="8"/>
  <c r="BT40" i="8" s="1"/>
  <c r="AY47" i="8"/>
  <c r="BT47" i="8" s="1"/>
  <c r="AY36" i="8"/>
  <c r="BT36" i="8" s="1"/>
  <c r="AY38" i="8"/>
  <c r="BT38" i="8" s="1"/>
  <c r="AY45" i="8"/>
  <c r="BT45" i="8" s="1"/>
  <c r="AY37" i="8"/>
  <c r="BT37" i="8" s="1"/>
  <c r="AY35" i="8"/>
  <c r="BT35" i="8" s="1"/>
  <c r="AY32" i="8"/>
  <c r="BT32" i="8" s="1"/>
  <c r="AY48" i="8"/>
  <c r="BT48" i="8" s="1"/>
  <c r="AY42" i="8"/>
  <c r="BT42" i="8" s="1"/>
  <c r="AY28" i="8"/>
  <c r="BT28" i="8" s="1"/>
  <c r="AY30" i="8"/>
  <c r="BT30" i="8" s="1"/>
  <c r="AY29" i="8"/>
  <c r="BT29" i="8" s="1"/>
  <c r="AY23" i="8"/>
  <c r="BT23" i="8" s="1"/>
  <c r="AY26" i="8"/>
  <c r="BT26" i="8" s="1"/>
  <c r="AY25" i="8"/>
  <c r="BT25" i="8" s="1"/>
  <c r="AY27" i="8"/>
  <c r="BT27" i="8" s="1"/>
  <c r="AY24" i="8"/>
  <c r="BT24" i="8" s="1"/>
  <c r="AY6" i="8"/>
  <c r="AY14" i="8"/>
  <c r="BT14" i="8" s="1"/>
  <c r="AY8" i="8"/>
  <c r="BT8" i="8" s="1"/>
  <c r="AY18" i="8"/>
  <c r="BT18" i="8" s="1"/>
  <c r="AY13" i="8"/>
  <c r="AY10" i="8"/>
  <c r="BT10" i="8" s="1"/>
  <c r="AY22" i="8"/>
  <c r="BT22" i="8" s="1"/>
  <c r="AY12" i="8"/>
  <c r="BT12" i="8" s="1"/>
  <c r="AY21" i="8"/>
  <c r="BT21" i="8" s="1"/>
  <c r="AY16" i="8"/>
  <c r="BT16" i="8" s="1"/>
  <c r="AY20" i="8"/>
  <c r="BT20" i="8" s="1"/>
  <c r="AY7" i="8"/>
  <c r="BT7" i="8" s="1"/>
  <c r="AY9" i="8"/>
  <c r="BT9" i="8" s="1"/>
  <c r="AY15" i="8"/>
  <c r="BT15" i="8" s="1"/>
  <c r="AY19" i="8"/>
  <c r="BT19" i="8" s="1"/>
  <c r="AY17" i="8"/>
  <c r="AY11" i="8"/>
  <c r="BT11" i="8" s="1"/>
  <c r="G30" i="19"/>
  <c r="Q30" i="19" s="1"/>
  <c r="G25" i="19"/>
  <c r="Q25" i="19" s="1"/>
  <c r="I105" i="11"/>
  <c r="N105" i="11" s="1"/>
  <c r="P105" i="11" s="1"/>
  <c r="H24" i="19"/>
  <c r="R24" i="19" s="1"/>
  <c r="I110" i="11"/>
  <c r="N110" i="11" s="1"/>
  <c r="P110" i="11" s="1"/>
  <c r="G22" i="19"/>
  <c r="Q22" i="19" s="1"/>
  <c r="I98" i="11"/>
  <c r="N98" i="11" s="1"/>
  <c r="P98" i="11" s="1"/>
  <c r="I100" i="11"/>
  <c r="N100" i="11" s="1"/>
  <c r="P100" i="11" s="1"/>
  <c r="G97" i="11"/>
  <c r="K97" i="11" s="1"/>
  <c r="M97" i="11" s="1"/>
  <c r="G23" i="11"/>
  <c r="M23" i="11" s="1"/>
  <c r="G21" i="11"/>
  <c r="M21" i="11" s="1"/>
  <c r="I97" i="11"/>
  <c r="N97" i="11" s="1"/>
  <c r="P97" i="11" s="1"/>
  <c r="G20" i="19"/>
  <c r="Q20" i="19" s="1"/>
  <c r="G19" i="11"/>
  <c r="M22" i="11"/>
  <c r="G24" i="11"/>
  <c r="M24" i="11" s="1"/>
  <c r="I118" i="11"/>
  <c r="N118" i="11" s="1"/>
  <c r="P118" i="11" s="1"/>
  <c r="H29" i="19"/>
  <c r="R29" i="19" s="1"/>
  <c r="H102" i="11"/>
  <c r="L102" i="11" s="1"/>
  <c r="G32" i="19"/>
  <c r="Q32" i="19" s="1"/>
  <c r="R30" i="19"/>
  <c r="R32" i="19"/>
  <c r="R31" i="19"/>
  <c r="K31" i="19"/>
  <c r="N31" i="19" s="1"/>
  <c r="Q31" i="19"/>
  <c r="I106" i="11"/>
  <c r="N106" i="11" s="1"/>
  <c r="P106" i="11" s="1"/>
  <c r="G26" i="19"/>
  <c r="Q26" i="19" s="1"/>
  <c r="I107" i="11"/>
  <c r="N107" i="11" s="1"/>
  <c r="P107" i="11" s="1"/>
  <c r="I109" i="11"/>
  <c r="N109" i="11" s="1"/>
  <c r="P109" i="11" s="1"/>
  <c r="I108" i="11"/>
  <c r="N108" i="11" s="1"/>
  <c r="P108" i="11" s="1"/>
  <c r="L26" i="19"/>
  <c r="R26" i="19"/>
  <c r="L25" i="19"/>
  <c r="R25" i="19"/>
  <c r="K27" i="19"/>
  <c r="Q27" i="19"/>
  <c r="R27" i="19"/>
  <c r="L27" i="19"/>
  <c r="I99" i="11"/>
  <c r="N99" i="11" s="1"/>
  <c r="P99" i="11" s="1"/>
  <c r="R22" i="19"/>
  <c r="L22" i="19"/>
  <c r="H19" i="19"/>
  <c r="R19" i="19" s="1"/>
  <c r="G21" i="19"/>
  <c r="Q21" i="19" s="1"/>
  <c r="R21" i="19"/>
  <c r="L21" i="19"/>
  <c r="L20" i="19"/>
  <c r="N41" i="19"/>
  <c r="N47" i="19"/>
  <c r="N37" i="19"/>
  <c r="N42" i="19"/>
  <c r="L43" i="19"/>
  <c r="N45" i="19"/>
  <c r="N46" i="19"/>
  <c r="M57" i="11"/>
  <c r="K38" i="19"/>
  <c r="N36" i="19"/>
  <c r="L48" i="19"/>
  <c r="M52" i="11"/>
  <c r="M47" i="11"/>
  <c r="L38" i="19"/>
  <c r="E57" i="13"/>
  <c r="G57" i="13"/>
  <c r="C57" i="13"/>
  <c r="G98" i="11"/>
  <c r="K98" i="11" s="1"/>
  <c r="M98" i="11" s="1"/>
  <c r="D58" i="11"/>
  <c r="H58" i="11" s="1"/>
  <c r="I95" i="11"/>
  <c r="N95" i="11" s="1"/>
  <c r="P95" i="11" s="1"/>
  <c r="M49" i="19"/>
  <c r="I49" i="19" s="1"/>
  <c r="D49" i="19"/>
  <c r="N35" i="19"/>
  <c r="H111" i="11"/>
  <c r="L111" i="11" s="1"/>
  <c r="H120" i="11"/>
  <c r="L120" i="11" s="1"/>
  <c r="C58" i="11"/>
  <c r="C49" i="19"/>
  <c r="N44" i="19"/>
  <c r="K48" i="19"/>
  <c r="N39" i="19"/>
  <c r="K43" i="19"/>
  <c r="BT17" i="8" l="1"/>
  <c r="I21" i="12"/>
  <c r="AO21" i="12"/>
  <c r="BT13" i="8"/>
  <c r="I14" i="12"/>
  <c r="AO14" i="12"/>
  <c r="BT6" i="8"/>
  <c r="AO7" i="12"/>
  <c r="I7" i="12"/>
  <c r="K30" i="19"/>
  <c r="N30" i="19" s="1"/>
  <c r="K25" i="19"/>
  <c r="N25" i="19" s="1"/>
  <c r="I120" i="11"/>
  <c r="N120" i="11" s="1"/>
  <c r="P120" i="11" s="1"/>
  <c r="L24" i="19"/>
  <c r="N24" i="19" s="1"/>
  <c r="K22" i="19"/>
  <c r="N22" i="19" s="1"/>
  <c r="K20" i="19"/>
  <c r="N20" i="19" s="1"/>
  <c r="M19" i="11"/>
  <c r="L29" i="19"/>
  <c r="N29" i="19" s="1"/>
  <c r="K32" i="19"/>
  <c r="K26" i="19"/>
  <c r="N26" i="19" s="1"/>
  <c r="N27" i="19"/>
  <c r="I111" i="11"/>
  <c r="N111" i="11" s="1"/>
  <c r="P111" i="11" s="1"/>
  <c r="L19" i="19"/>
  <c r="N19" i="19" s="1"/>
  <c r="K21" i="19"/>
  <c r="N21" i="19" s="1"/>
  <c r="N43" i="19"/>
  <c r="N48" i="19"/>
  <c r="N38" i="19"/>
  <c r="I102" i="11"/>
  <c r="N102" i="11" s="1"/>
  <c r="P102" i="11" s="1"/>
  <c r="G36" i="11" l="1"/>
  <c r="G114" i="11"/>
  <c r="G105" i="11"/>
  <c r="G28" i="11"/>
  <c r="G20" i="11"/>
  <c r="G96" i="11"/>
  <c r="K33" i="19"/>
  <c r="G33" i="19" s="1"/>
  <c r="L28" i="19"/>
  <c r="H28" i="19" s="1"/>
  <c r="L33" i="19"/>
  <c r="H33" i="19" s="1"/>
  <c r="N32" i="19"/>
  <c r="N33" i="19" s="1"/>
  <c r="K28" i="19"/>
  <c r="G28" i="19" s="1"/>
  <c r="L23" i="19"/>
  <c r="H23" i="19" s="1"/>
  <c r="N28" i="19"/>
  <c r="N23" i="19"/>
  <c r="K23" i="19"/>
  <c r="G23" i="19" s="1"/>
  <c r="M36" i="11" l="1"/>
  <c r="M42" i="11" s="1"/>
  <c r="G42" i="11"/>
  <c r="K114" i="11"/>
  <c r="M114" i="11" s="1"/>
  <c r="G120" i="11"/>
  <c r="K120" i="11" s="1"/>
  <c r="M120" i="11" s="1"/>
  <c r="M28" i="11"/>
  <c r="M34" i="11" s="1"/>
  <c r="G34" i="11"/>
  <c r="K105" i="11"/>
  <c r="M105" i="11" s="1"/>
  <c r="G111" i="11"/>
  <c r="K111" i="11" s="1"/>
  <c r="M111" i="11" s="1"/>
  <c r="K96" i="11"/>
  <c r="M96" i="11" s="1"/>
  <c r="G102" i="11"/>
  <c r="K102" i="11" s="1"/>
  <c r="M102" i="11" s="1"/>
  <c r="M20" i="11"/>
  <c r="M26" i="11" s="1"/>
  <c r="G26" i="11"/>
  <c r="L49" i="19"/>
  <c r="H49" i="19" s="1"/>
  <c r="N49" i="19"/>
  <c r="P11" i="19" s="1"/>
  <c r="P14" i="19" s="1"/>
  <c r="K49" i="19"/>
  <c r="G49" i="19" s="1"/>
  <c r="M58" i="11" l="1"/>
  <c r="G58" i="11" s="1"/>
  <c r="P9" i="19"/>
  <c r="P10" i="19" s="1"/>
  <c r="E34" i="27"/>
  <c r="O11" i="11" l="1"/>
  <c r="O14" i="11" s="1"/>
  <c r="O9" i="11"/>
  <c r="O10"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Mehdi Benkirane</author>
    <author>Qasim Chughtai</author>
  </authors>
  <commentList>
    <comment ref="D5" authorId="0" shapeId="0" xr:uid="{00000000-0006-0000-0400-000001000000}">
      <text>
        <r>
          <rPr>
            <sz val="9"/>
            <color indexed="81"/>
            <rFont val="Tahoma"/>
            <family val="2"/>
          </rPr>
          <t>Please enter:</t>
        </r>
        <r>
          <rPr>
            <b/>
            <sz val="9"/>
            <color indexed="81"/>
            <rFont val="Tahoma"/>
            <family val="2"/>
          </rPr>
          <t xml:space="preserve">
M </t>
        </r>
        <r>
          <rPr>
            <sz val="9"/>
            <color indexed="81"/>
            <rFont val="Tahoma"/>
            <family val="2"/>
          </rPr>
          <t xml:space="preserve">for male and 
</t>
        </r>
        <r>
          <rPr>
            <b/>
            <sz val="9"/>
            <color indexed="81"/>
            <rFont val="Tahoma"/>
            <family val="2"/>
          </rPr>
          <t>F</t>
        </r>
        <r>
          <rPr>
            <sz val="9"/>
            <color indexed="81"/>
            <rFont val="Tahoma"/>
            <family val="2"/>
          </rPr>
          <t xml:space="preserve"> for female </t>
        </r>
        <r>
          <rPr>
            <b/>
            <sz val="9"/>
            <color indexed="81"/>
            <rFont val="Tahoma"/>
            <family val="2"/>
          </rPr>
          <t xml:space="preserve"> 
</t>
        </r>
        <r>
          <rPr>
            <sz val="9"/>
            <color indexed="81"/>
            <rFont val="Tahoma"/>
            <family val="2"/>
          </rPr>
          <t xml:space="preserve">
</t>
        </r>
      </text>
    </comment>
    <comment ref="E5" authorId="0" shapeId="0" xr:uid="{00000000-0006-0000-0400-000002000000}">
      <text>
        <r>
          <rPr>
            <sz val="9"/>
            <color indexed="81"/>
            <rFont val="Tahoma"/>
            <family val="2"/>
          </rPr>
          <t xml:space="preserve">Please enter:
</t>
        </r>
        <r>
          <rPr>
            <b/>
            <sz val="9"/>
            <color indexed="81"/>
            <rFont val="Tahoma"/>
            <family val="2"/>
          </rPr>
          <t>S</t>
        </r>
        <r>
          <rPr>
            <sz val="9"/>
            <color indexed="81"/>
            <rFont val="Tahoma"/>
            <family val="2"/>
          </rPr>
          <t xml:space="preserve"> for single and 
</t>
        </r>
        <r>
          <rPr>
            <b/>
            <sz val="9"/>
            <color indexed="81"/>
            <rFont val="Tahoma"/>
            <family val="2"/>
          </rPr>
          <t>M</t>
        </r>
        <r>
          <rPr>
            <sz val="9"/>
            <color indexed="81"/>
            <rFont val="Tahoma"/>
            <family val="2"/>
          </rPr>
          <t xml:space="preserve"> for married  
</t>
        </r>
      </text>
    </comment>
    <comment ref="F5" authorId="0" shapeId="0" xr:uid="{00000000-0006-0000-0400-000003000000}">
      <text>
        <r>
          <rPr>
            <sz val="9"/>
            <color indexed="81"/>
            <rFont val="Tahoma"/>
            <family val="2"/>
          </rPr>
          <t xml:space="preserve">Please enter a valid category (A to F) as indicated in "Inputs" tab
Please ensure that each category contain at least 3 members. The allowed number of categories is as follow:
 - 15 members to have 2 categories 
 - 40 members to have 3 categories 
 - more than 40 members is required to have more than 3 categories
</t>
        </r>
      </text>
    </comment>
    <comment ref="H5" authorId="1" shapeId="0" xr:uid="{00000000-0006-0000-0400-000004000000}">
      <text>
        <r>
          <rPr>
            <sz val="9"/>
            <color indexed="81"/>
            <rFont val="Tahoma"/>
            <family val="2"/>
          </rPr>
          <t xml:space="preserve">Please Enter relation as </t>
        </r>
        <r>
          <rPr>
            <b/>
            <sz val="9"/>
            <color indexed="81"/>
            <rFont val="Tahoma"/>
            <family val="2"/>
          </rPr>
          <t>Employee</t>
        </r>
        <r>
          <rPr>
            <sz val="9"/>
            <color indexed="81"/>
            <rFont val="Tahoma"/>
            <family val="2"/>
          </rPr>
          <t xml:space="preserve"> or </t>
        </r>
        <r>
          <rPr>
            <b/>
            <sz val="9"/>
            <color indexed="81"/>
            <rFont val="Tahoma"/>
            <family val="2"/>
          </rPr>
          <t>Dependent</t>
        </r>
        <r>
          <rPr>
            <sz val="9"/>
            <color indexed="81"/>
            <rFont val="Tahoma"/>
            <family val="2"/>
          </rPr>
          <t xml:space="preserve">
This field is mandatory for Abu Dhabi members </t>
        </r>
      </text>
    </comment>
    <comment ref="J5" authorId="0" shapeId="0" xr:uid="{00000000-0006-0000-0400-000005000000}">
      <text>
        <r>
          <rPr>
            <b/>
            <sz val="9"/>
            <color indexed="81"/>
            <rFont val="Tahoma"/>
            <family val="2"/>
          </rPr>
          <t>Please refer to the Reinsurer for all members above 65 if the MAF is not clean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Qasim Chughtai</author>
  </authors>
  <commentList>
    <comment ref="T5" authorId="0" shapeId="0" xr:uid="{00000000-0006-0000-0700-000001000000}">
      <text>
        <r>
          <rPr>
            <b/>
            <sz val="9"/>
            <color indexed="81"/>
            <rFont val="Tahoma"/>
            <family val="2"/>
          </rPr>
          <t>Qasim Chughtai:</t>
        </r>
        <r>
          <rPr>
            <sz val="9"/>
            <color indexed="81"/>
            <rFont val="Tahoma"/>
            <family val="2"/>
          </rPr>
          <t xml:space="preserve">
didn’t change the formula for female as dummy lives are all male
</t>
        </r>
      </text>
    </comment>
    <comment ref="W5" authorId="0" shapeId="0" xr:uid="{00000000-0006-0000-0700-000002000000}">
      <text>
        <r>
          <rPr>
            <b/>
            <sz val="9"/>
            <color indexed="81"/>
            <rFont val="Tahoma"/>
            <family val="2"/>
          </rPr>
          <t>Qasim Chughtai:</t>
        </r>
        <r>
          <rPr>
            <sz val="9"/>
            <color indexed="81"/>
            <rFont val="Tahoma"/>
            <family val="2"/>
          </rPr>
          <t xml:space="preserve">
didn’t change the formula for female as dummy lives are all male
</t>
        </r>
      </text>
    </comment>
    <comment ref="AC5" authorId="0" shapeId="0" xr:uid="{00000000-0006-0000-0700-000003000000}">
      <text>
        <r>
          <rPr>
            <b/>
            <sz val="9"/>
            <color indexed="81"/>
            <rFont val="Tahoma"/>
            <family val="2"/>
          </rPr>
          <t>Qasim Chughtai:</t>
        </r>
        <r>
          <rPr>
            <sz val="9"/>
            <color indexed="81"/>
            <rFont val="Tahoma"/>
            <family val="2"/>
          </rPr>
          <t xml:space="preserve">
didn’t change the formula for female as dummy lives are all male
</t>
        </r>
      </text>
    </comment>
    <comment ref="AF5" authorId="0" shapeId="0" xr:uid="{00000000-0006-0000-0700-000004000000}">
      <text>
        <r>
          <rPr>
            <b/>
            <sz val="9"/>
            <color indexed="81"/>
            <rFont val="Tahoma"/>
            <family val="2"/>
          </rPr>
          <t>Qasim Chughtai:</t>
        </r>
        <r>
          <rPr>
            <sz val="9"/>
            <color indexed="81"/>
            <rFont val="Tahoma"/>
            <family val="2"/>
          </rPr>
          <t xml:space="preserve">
didn’t change the formula for female as dummy lives are all male
</t>
        </r>
      </text>
    </comment>
    <comment ref="AM5" authorId="0" shapeId="0" xr:uid="{00000000-0006-0000-0700-000005000000}">
      <text>
        <r>
          <rPr>
            <b/>
            <sz val="9"/>
            <color indexed="81"/>
            <rFont val="Tahoma"/>
            <family val="2"/>
          </rPr>
          <t>Qasim Chughtai:</t>
        </r>
        <r>
          <rPr>
            <sz val="9"/>
            <color indexed="81"/>
            <rFont val="Tahoma"/>
            <family val="2"/>
          </rPr>
          <t xml:space="preserve">
didn’t change the formula for female as dummy lives are all male
</t>
        </r>
      </text>
    </comment>
    <comment ref="AP5" authorId="0" shapeId="0" xr:uid="{00000000-0006-0000-0700-000006000000}">
      <text>
        <r>
          <rPr>
            <b/>
            <sz val="9"/>
            <color indexed="81"/>
            <rFont val="Tahoma"/>
            <family val="2"/>
          </rPr>
          <t>Qasim Chughtai:</t>
        </r>
        <r>
          <rPr>
            <sz val="9"/>
            <color indexed="81"/>
            <rFont val="Tahoma"/>
            <family val="2"/>
          </rPr>
          <t xml:space="preserve">
didn’t change the formula for female as dummy lives are all male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A00-000001000000}">
      <text>
        <r>
          <rPr>
            <b/>
            <sz val="9"/>
            <color indexed="81"/>
            <rFont val="Tahoma"/>
            <family val="2"/>
          </rPr>
          <t>AED 24 + VAT for Non-Dubai visa holders</t>
        </r>
        <r>
          <rPr>
            <sz val="9"/>
            <color indexed="81"/>
            <rFont val="Tahoma"/>
            <family val="2"/>
          </rPr>
          <t xml:space="preserve">
</t>
        </r>
      </text>
    </comment>
    <comment ref="M13" authorId="0" shapeId="0" xr:uid="{00000000-0006-0000-0A00-000002000000}">
      <text>
        <r>
          <rPr>
            <b/>
            <sz val="9"/>
            <color indexed="81"/>
            <rFont val="Tahoma"/>
            <family val="2"/>
          </rPr>
          <t>AED 37 + VAT for Dubai visa holders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B00-000001000000}">
      <text>
        <r>
          <rPr>
            <b/>
            <sz val="9"/>
            <color indexed="81"/>
            <rFont val="Tahoma"/>
            <family val="2"/>
          </rPr>
          <t>AED 24 + VAT for Non-Dubai visa holders</t>
        </r>
      </text>
    </comment>
  </commentList>
</comments>
</file>

<file path=xl/sharedStrings.xml><?xml version="1.0" encoding="utf-8"?>
<sst xmlns="http://schemas.openxmlformats.org/spreadsheetml/2006/main" count="2762" uniqueCount="934">
  <si>
    <t>SME Product Guidelines</t>
  </si>
  <si>
    <t xml:space="preserve">Eligibility </t>
  </si>
  <si>
    <t>1.</t>
  </si>
  <si>
    <r>
      <t xml:space="preserve">All groups between 5 and 200 members - </t>
    </r>
    <r>
      <rPr>
        <b/>
        <i/>
        <sz val="12"/>
        <color rgb="FFC00000"/>
        <rFont val="Calibri"/>
        <family val="2"/>
        <scheme val="minor"/>
      </rPr>
      <t>Trade license</t>
    </r>
    <r>
      <rPr>
        <i/>
        <sz val="12"/>
        <color rgb="FFC00000"/>
        <rFont val="Calibri"/>
        <family val="2"/>
        <scheme val="minor"/>
      </rPr>
      <t xml:space="preserve"> / </t>
    </r>
    <r>
      <rPr>
        <b/>
        <i/>
        <sz val="12"/>
        <color rgb="FFC00000"/>
        <rFont val="Calibri"/>
        <family val="2"/>
        <scheme val="minor"/>
      </rPr>
      <t>MOL</t>
    </r>
    <r>
      <rPr>
        <i/>
        <sz val="12"/>
        <color rgb="FFC00000"/>
        <rFont val="Calibri"/>
        <family val="2"/>
        <scheme val="minor"/>
      </rPr>
      <t xml:space="preserve"> list will be </t>
    </r>
    <r>
      <rPr>
        <b/>
        <i/>
        <u/>
        <sz val="12"/>
        <color rgb="FFC00000"/>
        <rFont val="Calibri"/>
        <family val="2"/>
        <scheme val="minor"/>
      </rPr>
      <t>mandatory</t>
    </r>
    <r>
      <rPr>
        <b/>
        <sz val="12"/>
        <color rgb="FFC00000"/>
        <rFont val="Calibri"/>
        <family val="2"/>
        <scheme val="minor"/>
      </rPr>
      <t xml:space="preserve"> </t>
    </r>
    <r>
      <rPr>
        <sz val="12"/>
        <color rgb="FFC00000"/>
        <rFont val="Calibri"/>
        <family val="2"/>
        <scheme val="minor"/>
      </rPr>
      <t>for all Groups (Renewals &amp; New Business)</t>
    </r>
  </si>
  <si>
    <t>a)</t>
  </si>
  <si>
    <t>MOL list will confirm that all groups under SME product meets our definition of SME (group size between 5 and 200 members)</t>
  </si>
  <si>
    <t xml:space="preserve">If the group fails the MOL test because the group to be quoted is less than 200 but it is part of a bigger group then: </t>
  </si>
  <si>
    <t xml:space="preserve">     - if the other part or category is covered under DHA basic/enhanced plan, the placement of the group under SME product will be allowed only if all the group is insured with the same insurance company</t>
  </si>
  <si>
    <t xml:space="preserve">     - if the other part or category is covered under a non-DHA basic/enhanced plan, the placement of the group under SME product will not be allowed</t>
  </si>
  <si>
    <t>b)</t>
  </si>
  <si>
    <t>Trade License - To verify that all employees belong to a common registered company</t>
  </si>
  <si>
    <t>c)</t>
  </si>
  <si>
    <r>
      <t xml:space="preserve">Only employees and their </t>
    </r>
    <r>
      <rPr>
        <b/>
        <sz val="12"/>
        <color theme="1"/>
        <rFont val="Calibri"/>
        <family val="2"/>
        <scheme val="minor"/>
      </rPr>
      <t>direct dependents</t>
    </r>
    <r>
      <rPr>
        <sz val="12"/>
        <color theme="1"/>
        <rFont val="Calibri"/>
        <family val="2"/>
        <scheme val="minor"/>
      </rPr>
      <t xml:space="preserve"> are eligible - Parents and other dependents are not eligible under this product. </t>
    </r>
  </si>
  <si>
    <t>2.</t>
  </si>
  <si>
    <r>
      <t xml:space="preserve">For renewals falling under this group size band (5 to 200 members), it is </t>
    </r>
    <r>
      <rPr>
        <b/>
        <sz val="12"/>
        <rFont val="Calibri"/>
        <family val="2"/>
        <scheme val="minor"/>
      </rPr>
      <t xml:space="preserve">mandatory </t>
    </r>
    <r>
      <rPr>
        <sz val="12"/>
        <rFont val="Calibri"/>
        <family val="2"/>
        <scheme val="minor"/>
      </rPr>
      <t xml:space="preserve">to insure the business under the </t>
    </r>
    <r>
      <rPr>
        <b/>
        <sz val="12"/>
        <rFont val="Calibri"/>
        <family val="2"/>
        <scheme val="minor"/>
      </rPr>
      <t>SME Product</t>
    </r>
  </si>
  <si>
    <r>
      <t xml:space="preserve">Current groups under SME: to be renewed as per the new tool and guidelines and the below pricing section. </t>
    </r>
    <r>
      <rPr>
        <sz val="12"/>
        <color rgb="FFC00000"/>
        <rFont val="Calibri"/>
        <family val="2"/>
        <scheme val="minor"/>
      </rPr>
      <t>If a group does not meet one of the above conditions, it must be priced as a conventional plan.  </t>
    </r>
  </si>
  <si>
    <t xml:space="preserve">Current groups not under SME: these groups should be placed automatically under the SME product. </t>
  </si>
  <si>
    <t xml:space="preserve">Underwriting Requirements </t>
  </si>
  <si>
    <r>
      <t xml:space="preserve">A certificate from the </t>
    </r>
    <r>
      <rPr>
        <b/>
        <sz val="12"/>
        <rFont val="Calibri"/>
        <family val="2"/>
        <scheme val="minor"/>
      </rPr>
      <t>MOL</t>
    </r>
    <r>
      <rPr>
        <sz val="12"/>
        <rFont val="Calibri"/>
        <family val="2"/>
        <scheme val="minor"/>
      </rPr>
      <t xml:space="preserve"> showing the number of principals in the group, which should be matching to census list within +/- 5%. </t>
    </r>
    <r>
      <rPr>
        <sz val="12"/>
        <color rgb="FFC00000"/>
        <rFont val="Calibri"/>
        <family val="2"/>
        <scheme val="minor"/>
      </rPr>
      <t>If an existing group couldn’t provide this, they are not allowed to be renewed under the SME segment.</t>
    </r>
  </si>
  <si>
    <r>
      <t xml:space="preserve">MAF (for individual medical underwriting) is required to be filled by all members if the </t>
    </r>
    <r>
      <rPr>
        <sz val="12"/>
        <rFont val="Calibri"/>
        <family val="2"/>
        <scheme val="minor"/>
      </rPr>
      <t xml:space="preserve">group size is below 20; </t>
    </r>
    <r>
      <rPr>
        <sz val="12"/>
        <color theme="1"/>
        <rFont val="Calibri"/>
        <family val="2"/>
        <scheme val="minor"/>
      </rPr>
      <t>else, it will be required for the following members:</t>
    </r>
  </si>
  <si>
    <t>All members aged 60 years old above</t>
  </si>
  <si>
    <t>Additions for groups that initially have a group size of less than 20 members</t>
  </si>
  <si>
    <t>‘Late’ additions – members enrolled in the policy after 30 days of visa issuance date (if member is already in UAE) / entry date in UAE (if member is from outside UAE)</t>
  </si>
  <si>
    <t>3.</t>
  </si>
  <si>
    <t xml:space="preserve">If additional benefits (Dental and Optical) are selected, it is mandatory per Category. </t>
  </si>
  <si>
    <t>4.</t>
  </si>
  <si>
    <t>Number of Sub-Categories for each Region as follow:</t>
  </si>
  <si>
    <t>5 - 14 members: 1 category</t>
  </si>
  <si>
    <t>15 - 39 members: Up to 2 categories</t>
  </si>
  <si>
    <r>
      <t xml:space="preserve">40 - 200 members: </t>
    </r>
    <r>
      <rPr>
        <sz val="12"/>
        <color rgb="FFC00000"/>
        <rFont val="Calibri"/>
        <family val="2"/>
        <scheme val="minor"/>
      </rPr>
      <t>Up to 3 categories</t>
    </r>
  </si>
  <si>
    <t>Minimum 3 members and 2 employees per category</t>
  </si>
  <si>
    <t>For groups above 100 Members, whenever the client will be able to get the DHA report, the account can be priced on claims experience and based on the expiring benefits, thus it will be quoted on the NON-SME tool and booked under SME on Tatsh</t>
  </si>
  <si>
    <t xml:space="preserve">For the 5-years age bands above 69, the standard rates for each age band will be increased by 30% of the precedent one subject to clean MAF. </t>
  </si>
  <si>
    <t xml:space="preserve">SME Product Pricing Tool </t>
  </si>
  <si>
    <t>General Information</t>
  </si>
  <si>
    <t>DHA report / Claims experience</t>
  </si>
  <si>
    <t>Current Insurer</t>
  </si>
  <si>
    <t>Agent/Broker</t>
  </si>
  <si>
    <t>Branch</t>
  </si>
  <si>
    <t>Status</t>
  </si>
  <si>
    <t>Broker</t>
  </si>
  <si>
    <t>Renewal (Yes/No)</t>
  </si>
  <si>
    <t>No</t>
  </si>
  <si>
    <t>Additional Premium Required by RI</t>
  </si>
  <si>
    <t>Quote Reference Number</t>
  </si>
  <si>
    <t>Group Name</t>
  </si>
  <si>
    <t>Loadings</t>
  </si>
  <si>
    <t>Is the group an educational institution</t>
  </si>
  <si>
    <t>i</t>
  </si>
  <si>
    <t>Is the group a medical provider</t>
  </si>
  <si>
    <t>Effective Date</t>
  </si>
  <si>
    <t>Commissions</t>
  </si>
  <si>
    <t>End Date</t>
  </si>
  <si>
    <t>Group Size</t>
  </si>
  <si>
    <t xml:space="preserve">Number of Schemes - Dubai &amp; NE </t>
  </si>
  <si>
    <t>Tax</t>
  </si>
  <si>
    <t>Number of Schemes - Abu Dhabi &amp; Al Ain</t>
  </si>
  <si>
    <t>VAT</t>
  </si>
  <si>
    <t xml:space="preserve">Benefit Plan </t>
  </si>
  <si>
    <t>Dubai &amp; NE</t>
  </si>
  <si>
    <t>DXB</t>
  </si>
  <si>
    <t>AUH</t>
  </si>
  <si>
    <t xml:space="preserve">Category </t>
  </si>
  <si>
    <t>A</t>
  </si>
  <si>
    <t>B</t>
  </si>
  <si>
    <t>C</t>
  </si>
  <si>
    <t>D</t>
  </si>
  <si>
    <t>E</t>
  </si>
  <si>
    <t>F</t>
  </si>
  <si>
    <t>Number of members</t>
  </si>
  <si>
    <t xml:space="preserve">Plan </t>
  </si>
  <si>
    <t>Plan1</t>
  </si>
  <si>
    <t>Plan2</t>
  </si>
  <si>
    <t>Plan3</t>
  </si>
  <si>
    <t xml:space="preserve">Mandated Coverages </t>
  </si>
  <si>
    <t xml:space="preserve"> - Network </t>
  </si>
  <si>
    <t>NEXTCARE GN+</t>
  </si>
  <si>
    <t>NEXTCARE GN</t>
  </si>
  <si>
    <t>NEXTCARE RN2</t>
  </si>
  <si>
    <t xml:space="preserve"> - Geographical Area</t>
  </si>
  <si>
    <t/>
  </si>
  <si>
    <t xml:space="preserve"> - Annual Limit </t>
  </si>
  <si>
    <t xml:space="preserve"> - Maternity coverage</t>
  </si>
  <si>
    <t xml:space="preserve"> - Pharmacy Copay</t>
  </si>
  <si>
    <t>Checking between Inputs and Census</t>
  </si>
  <si>
    <t xml:space="preserve"> - Pharmacy Limit (AED)</t>
  </si>
  <si>
    <t xml:space="preserve"> - 20% copay up to a deductible per consultation </t>
  </si>
  <si>
    <t xml:space="preserve"> - Diganostic Copay</t>
  </si>
  <si>
    <t>Optional adds</t>
  </si>
  <si>
    <t xml:space="preserve"> - Dental coverage (Enhanced  / Default)</t>
  </si>
  <si>
    <t xml:space="preserve"> - Optical coverage (Covered / Not Covered)</t>
  </si>
  <si>
    <t>Covered</t>
  </si>
  <si>
    <t xml:space="preserve"> - Alternative medicines</t>
  </si>
  <si>
    <t xml:space="preserve">Abu Dhabi &amp; Al Ain </t>
  </si>
  <si>
    <t xml:space="preserve"> - Deductible Per Consultation </t>
  </si>
  <si>
    <t xml:space="preserve"> - Dental coverage (Covered / Not Covered)</t>
  </si>
  <si>
    <t>Quote Release Date</t>
  </si>
  <si>
    <t xml:space="preserve">Loading </t>
  </si>
  <si>
    <t>General Expenses</t>
  </si>
  <si>
    <t>TPA</t>
  </si>
  <si>
    <t xml:space="preserve">Total </t>
  </si>
  <si>
    <t>Please ensure that the total loading does not exceed 30%</t>
  </si>
  <si>
    <t>Margins</t>
  </si>
  <si>
    <t xml:space="preserve">RI </t>
  </si>
  <si>
    <t>from Inputs sheet</t>
  </si>
  <si>
    <t>No of invalid/incomplete records</t>
  </si>
  <si>
    <t>Additional Premium Required by RI in %</t>
  </si>
  <si>
    <t>Inflation if Group between 20-29</t>
  </si>
  <si>
    <t>Loadings if Medical Provider or Educational Institution</t>
  </si>
  <si>
    <t xml:space="preserve">Rating </t>
  </si>
  <si>
    <t>OP Selected Options</t>
  </si>
  <si>
    <t xml:space="preserve">OP deviations </t>
  </si>
  <si>
    <t>Gender Factors</t>
  </si>
  <si>
    <t>Nationality factors</t>
  </si>
  <si>
    <t>Member ID</t>
  </si>
  <si>
    <t xml:space="preserve">Member Name </t>
  </si>
  <si>
    <t xml:space="preserve">Date of Birth </t>
  </si>
  <si>
    <r>
      <t xml:space="preserve">Gender </t>
    </r>
    <r>
      <rPr>
        <i/>
        <sz val="11"/>
        <color theme="1"/>
        <rFont val="Arial"/>
        <family val="2"/>
      </rPr>
      <t xml:space="preserve">
M/F
Male/Female</t>
    </r>
  </si>
  <si>
    <r>
      <t xml:space="preserve">Status 
</t>
    </r>
    <r>
      <rPr>
        <sz val="11"/>
        <color theme="1"/>
        <rFont val="Arial"/>
        <family val="2"/>
      </rPr>
      <t>S</t>
    </r>
    <r>
      <rPr>
        <i/>
        <sz val="11"/>
        <color theme="1"/>
        <rFont val="Arial"/>
        <family val="2"/>
      </rPr>
      <t>/M
Single/Married</t>
    </r>
  </si>
  <si>
    <r>
      <t xml:space="preserve">Category
</t>
    </r>
    <r>
      <rPr>
        <i/>
        <sz val="11"/>
        <color theme="1"/>
        <rFont val="Arial"/>
        <family val="2"/>
      </rPr>
      <t>A/B/C</t>
    </r>
    <r>
      <rPr>
        <b/>
        <sz val="11"/>
        <color theme="1"/>
        <rFont val="Arial"/>
        <family val="2"/>
      </rPr>
      <t xml:space="preserve"> </t>
    </r>
  </si>
  <si>
    <r>
      <t xml:space="preserve">Emirate of Visa Issuance
</t>
    </r>
    <r>
      <rPr>
        <i/>
        <sz val="11"/>
        <color theme="1"/>
        <rFont val="Arial"/>
        <family val="2"/>
      </rPr>
      <t>as per Dropdown List</t>
    </r>
  </si>
  <si>
    <r>
      <t xml:space="preserve">Relation
</t>
    </r>
    <r>
      <rPr>
        <i/>
        <sz val="11"/>
        <color theme="1"/>
        <rFont val="Arial"/>
        <family val="2"/>
      </rPr>
      <t>Employee/
Dependent</t>
    </r>
  </si>
  <si>
    <r>
      <t xml:space="preserve">Nationality
</t>
    </r>
    <r>
      <rPr>
        <i/>
        <sz val="11"/>
        <color theme="1"/>
        <rFont val="Arial"/>
        <family val="2"/>
      </rPr>
      <t>Country as per Dropdown List</t>
    </r>
  </si>
  <si>
    <t xml:space="preserve">Age </t>
  </si>
  <si>
    <r>
      <t xml:space="preserve">Plan
</t>
    </r>
    <r>
      <rPr>
        <i/>
        <sz val="11"/>
        <color theme="1"/>
        <rFont val="Arial"/>
        <family val="2"/>
      </rPr>
      <t>1 to 5</t>
    </r>
  </si>
  <si>
    <t xml:space="preserve">Data validation </t>
  </si>
  <si>
    <t xml:space="preserve">Not Empty Record </t>
  </si>
  <si>
    <t>DOB is Blank</t>
  </si>
  <si>
    <t xml:space="preserve">Gender not selected </t>
  </si>
  <si>
    <t xml:space="preserve">Status  not selected </t>
  </si>
  <si>
    <t xml:space="preserve">Category not selected </t>
  </si>
  <si>
    <t xml:space="preserve">Area not selected </t>
  </si>
  <si>
    <t>Allowed Area</t>
  </si>
  <si>
    <t>Allowed Gender</t>
  </si>
  <si>
    <t xml:space="preserve">Allowed Status </t>
  </si>
  <si>
    <t>Allowed Category</t>
  </si>
  <si>
    <t xml:space="preserve">DOB valid format </t>
  </si>
  <si>
    <t>&gt; 65</t>
  </si>
  <si>
    <t>&lt;0</t>
  </si>
  <si>
    <t>Gender</t>
  </si>
  <si>
    <t xml:space="preserve">Relation </t>
  </si>
  <si>
    <t>Nationality</t>
  </si>
  <si>
    <t>Pricing Region</t>
  </si>
  <si>
    <t>Age Band Abu Dhabi</t>
  </si>
  <si>
    <t>Age Band</t>
  </si>
  <si>
    <t>Eligibility to Maternity Benefit</t>
  </si>
  <si>
    <t xml:space="preserve">Network </t>
  </si>
  <si>
    <t>Area</t>
  </si>
  <si>
    <t>Age index</t>
  </si>
  <si>
    <t xml:space="preserve">Dental </t>
  </si>
  <si>
    <t>Cov</t>
  </si>
  <si>
    <t xml:space="preserve">Optical </t>
  </si>
  <si>
    <t>Alt Med</t>
  </si>
  <si>
    <t>Maternity</t>
  </si>
  <si>
    <t>OP Deviation</t>
  </si>
  <si>
    <t>Net Rate Excl Mat</t>
  </si>
  <si>
    <t>Plan Code</t>
  </si>
  <si>
    <t>Pharma Copay</t>
  </si>
  <si>
    <t>Pharma Limit</t>
  </si>
  <si>
    <t>Deductible</t>
  </si>
  <si>
    <t>Diagnostic Copay</t>
  </si>
  <si>
    <t>Pharma Copay Dev</t>
  </si>
  <si>
    <t>Pharma Limit Dev</t>
  </si>
  <si>
    <t>#</t>
  </si>
  <si>
    <t>Members</t>
  </si>
  <si>
    <t>Employee</t>
  </si>
  <si>
    <t>Dependent</t>
  </si>
  <si>
    <t>Expected NET premium in TATSH</t>
  </si>
  <si>
    <t>Net Premiums before application of additional premium from RI if Renewal = "Yes"</t>
  </si>
  <si>
    <t>M</t>
  </si>
  <si>
    <t>Dubai</t>
  </si>
  <si>
    <t>India</t>
  </si>
  <si>
    <t>Total</t>
  </si>
  <si>
    <t>S</t>
  </si>
  <si>
    <t>Abu Dhabi</t>
  </si>
  <si>
    <t>M/F</t>
  </si>
  <si>
    <t xml:space="preserve">Network Options by Plan </t>
  </si>
  <si>
    <t xml:space="preserve">Deductible per consultation </t>
  </si>
  <si>
    <t xml:space="preserve">Allowed options for Data Checks </t>
  </si>
  <si>
    <t>Network</t>
  </si>
  <si>
    <t>Death Benefit</t>
  </si>
  <si>
    <t>Wellness Benefit</t>
  </si>
  <si>
    <t xml:space="preserve">Gender </t>
  </si>
  <si>
    <t xml:space="preserve">Status </t>
  </si>
  <si>
    <t>Category</t>
  </si>
  <si>
    <t>AED 50,000</t>
  </si>
  <si>
    <t>AED 1,500</t>
  </si>
  <si>
    <t>https://www.worldometers.info/geography/alphabetical-list-of-countries/</t>
  </si>
  <si>
    <t>DXBPlan1</t>
  </si>
  <si>
    <t>DXBPlan2</t>
  </si>
  <si>
    <t>DXBPlan3</t>
  </si>
  <si>
    <t>DXBPlan4</t>
  </si>
  <si>
    <t>DXBPlan5</t>
  </si>
  <si>
    <t>AUHPlan1</t>
  </si>
  <si>
    <t>AUHPlan2</t>
  </si>
  <si>
    <t>AUHPlan3</t>
  </si>
  <si>
    <t>AED 1,000</t>
  </si>
  <si>
    <t>Visa Issuance</t>
  </si>
  <si>
    <t>Yes/No</t>
  </si>
  <si>
    <t>NEXTCARE RN</t>
  </si>
  <si>
    <t>NEXTCARE GN Excluding Mediclinic, Al Zahra &amp; HMG</t>
  </si>
  <si>
    <t>AED 25,000</t>
  </si>
  <si>
    <t>AED 500</t>
  </si>
  <si>
    <t>Afghanistan</t>
  </si>
  <si>
    <t>Yes</t>
  </si>
  <si>
    <t>Sharjah</t>
  </si>
  <si>
    <t>NEXTCARE 
GN+ (IP) / GN Excluding Mediclinic, Al Zahra &amp; HMG (OP)</t>
  </si>
  <si>
    <t>Albania</t>
  </si>
  <si>
    <t>Plan4</t>
  </si>
  <si>
    <t>NEXTCARE GN+ (IP) / GN Excluding Mediclinic, Al Zahra &amp; HMG (OP)</t>
  </si>
  <si>
    <t>NEXTCARE GN (IP) / RN (OP)</t>
  </si>
  <si>
    <t>NEXTCARE RN (IP) / RN2 (OP)</t>
  </si>
  <si>
    <t>NEXTCARE RN3 (Out-patient is restricted to Clinics Only)</t>
  </si>
  <si>
    <t>Nil</t>
  </si>
  <si>
    <t>Ajman</t>
  </si>
  <si>
    <t>NEXTCARE 
GN (IP) / GN Excluding Mediclinic, Al Zahra &amp; HMG (OP)</t>
  </si>
  <si>
    <t>Algeria</t>
  </si>
  <si>
    <t>Plan5</t>
  </si>
  <si>
    <t>NEXTCARE GN (IP) / GN Excluding Mediclinic, Al Zahra &amp; HMG (OP)</t>
  </si>
  <si>
    <t>NEXTCARE GN Excluding Mediclinic, Al Zahra &amp; HMG (IP) / RN (OP)</t>
  </si>
  <si>
    <t>NEXTCARE RN2 (IP) / RN3 Clinics Only (OP)</t>
  </si>
  <si>
    <t>Umm Al Quwain</t>
  </si>
  <si>
    <t>Andorra</t>
  </si>
  <si>
    <t>Ras Al Khaimah</t>
  </si>
  <si>
    <t>Angola</t>
  </si>
  <si>
    <t xml:space="preserve">Pharmacy Copay </t>
  </si>
  <si>
    <t>Diagnostic</t>
  </si>
  <si>
    <t>Fujairah</t>
  </si>
  <si>
    <t>Antigua and Barbuda</t>
  </si>
  <si>
    <t>Not Covered</t>
  </si>
  <si>
    <t>Argentina</t>
  </si>
  <si>
    <t>Armenia</t>
  </si>
  <si>
    <t>NEXTCARE RN3</t>
  </si>
  <si>
    <t>AED 10,000</t>
  </si>
  <si>
    <t>Australia</t>
  </si>
  <si>
    <t>Age Brakets for quotation</t>
  </si>
  <si>
    <t>Austria</t>
  </si>
  <si>
    <t>NEXTCARE RN2 (IP) / RN3 (OP)</t>
  </si>
  <si>
    <t>Azerbaijan</t>
  </si>
  <si>
    <t>Age From</t>
  </si>
  <si>
    <t>Age To</t>
  </si>
  <si>
    <t>Age Bracket</t>
  </si>
  <si>
    <t>Age Index</t>
  </si>
  <si>
    <t>Bahamas</t>
  </si>
  <si>
    <t xml:space="preserve">Fixed Benefits by Plan </t>
  </si>
  <si>
    <t>Pharmacy Limit</t>
  </si>
  <si>
    <t>0 - 17</t>
  </si>
  <si>
    <t>Bahrain</t>
  </si>
  <si>
    <t>Plans - DXB</t>
  </si>
  <si>
    <t>DXBPharm1</t>
  </si>
  <si>
    <t>DXBPharm2</t>
  </si>
  <si>
    <t>DXBPharm3</t>
  </si>
  <si>
    <t>DXBPharm4</t>
  </si>
  <si>
    <t>DXBPharm5</t>
  </si>
  <si>
    <t>AUHPharm1</t>
  </si>
  <si>
    <t>AUHPharm2</t>
  </si>
  <si>
    <t>AUHPharm3</t>
  </si>
  <si>
    <t>18 - 35</t>
  </si>
  <si>
    <t>Bangladesh</t>
  </si>
  <si>
    <t>36 - 45</t>
  </si>
  <si>
    <t>Barbados</t>
  </si>
  <si>
    <t>AAL</t>
  </si>
  <si>
    <t>46 - 55</t>
  </si>
  <si>
    <t>Belarus</t>
  </si>
  <si>
    <t>NEXtCARE GN+</t>
  </si>
  <si>
    <t>NEXtCARE GN</t>
  </si>
  <si>
    <t>NEXtCARE RN2</t>
  </si>
  <si>
    <t>56 - 60</t>
  </si>
  <si>
    <t>Belgium</t>
  </si>
  <si>
    <t>61 - 65</t>
  </si>
  <si>
    <t>Belize</t>
  </si>
  <si>
    <t>Plans - AUH</t>
  </si>
  <si>
    <t>66 - 69</t>
  </si>
  <si>
    <t>Benin</t>
  </si>
  <si>
    <t>Bhutan</t>
  </si>
  <si>
    <t xml:space="preserve">Age Brakets for AUH </t>
  </si>
  <si>
    <t>Bolivia</t>
  </si>
  <si>
    <t>Bosnia and Herzegovina</t>
  </si>
  <si>
    <t>0-17</t>
  </si>
  <si>
    <t>Botswana</t>
  </si>
  <si>
    <t>18-40</t>
  </si>
  <si>
    <t>Brazil</t>
  </si>
  <si>
    <t>41-59</t>
  </si>
  <si>
    <t>Brunei</t>
  </si>
  <si>
    <t>60-69</t>
  </si>
  <si>
    <t>Bulgaria</t>
  </si>
  <si>
    <t>Burkina Faso</t>
  </si>
  <si>
    <t>Burundi</t>
  </si>
  <si>
    <t>Côte d'Ivoire</t>
  </si>
  <si>
    <t>Cabo Verde</t>
  </si>
  <si>
    <t>Cambodia</t>
  </si>
  <si>
    <t>Cameroon</t>
  </si>
  <si>
    <t>Canada</t>
  </si>
  <si>
    <t>Central African Republic</t>
  </si>
  <si>
    <t>Chad</t>
  </si>
  <si>
    <t>Chile</t>
  </si>
  <si>
    <t>China</t>
  </si>
  <si>
    <t>Colombia</t>
  </si>
  <si>
    <t>Comoros</t>
  </si>
  <si>
    <t>Congo (Congo-Brazzaville)</t>
  </si>
  <si>
    <t>Costa Rica</t>
  </si>
  <si>
    <t>Croatia</t>
  </si>
  <si>
    <t>Cuba</t>
  </si>
  <si>
    <t>Cyprus</t>
  </si>
  <si>
    <t>Czechia (Czech Republic)</t>
  </si>
  <si>
    <t>Democratic Republic of the Congo</t>
  </si>
  <si>
    <t>Denmark</t>
  </si>
  <si>
    <t>Djibouti</t>
  </si>
  <si>
    <t>Dominica</t>
  </si>
  <si>
    <t>Dominican Republic</t>
  </si>
  <si>
    <t>Ecuador</t>
  </si>
  <si>
    <t>Egypt</t>
  </si>
  <si>
    <t>El Salvador</t>
  </si>
  <si>
    <t>Equatorial Guinea</t>
  </si>
  <si>
    <t>Eritrea</t>
  </si>
  <si>
    <t>Estonia</t>
  </si>
  <si>
    <t>Eswatini (fmr. "Swaziland")</t>
  </si>
  <si>
    <t>Ethiopia</t>
  </si>
  <si>
    <t>Fiji</t>
  </si>
  <si>
    <t>Finland</t>
  </si>
  <si>
    <t>France</t>
  </si>
  <si>
    <t>Gabon</t>
  </si>
  <si>
    <t>Gambia</t>
  </si>
  <si>
    <t>Georgia</t>
  </si>
  <si>
    <t>Germany</t>
  </si>
  <si>
    <t>Ghana</t>
  </si>
  <si>
    <t>Greece</t>
  </si>
  <si>
    <t>Grenada</t>
  </si>
  <si>
    <t>Guatemala</t>
  </si>
  <si>
    <t>Guinea</t>
  </si>
  <si>
    <t>Guinea-Bissau</t>
  </si>
  <si>
    <t>Guyana</t>
  </si>
  <si>
    <t>Haiti</t>
  </si>
  <si>
    <t>Holy See</t>
  </si>
  <si>
    <t>Honduras</t>
  </si>
  <si>
    <t>Hungary</t>
  </si>
  <si>
    <t>Iceland</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</si>
  <si>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</si>
  <si>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</si>
  <si>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</si>
  <si>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</si>
  <si>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</si>
  <si>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</si>
  <si>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</si>
  <si>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</si>
  <si>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</si>
  <si>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</si>
  <si>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</si>
  <si>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</si>
  <si>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</si>
  <si>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</si>
  <si>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</si>
  <si>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</si>
  <si>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</si>
  <si>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</si>
  <si>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</si>
  <si>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</si>
  <si>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</si>
  <si>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</si>
  <si>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</si>
  <si>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</si>
  <si>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</si>
  <si>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</si>
  <si>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</si>
  <si>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</si>
  <si>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</si>
  <si>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</si>
  <si>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</si>
  <si>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</si>
  <si>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</si>
  <si>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</si>
  <si>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</si>
  <si>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</si>
  <si>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</si>
  <si>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</si>
  <si>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</si>
  <si>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</si>
  <si>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(formerly Burma)</t>
  </si>
  <si>
    <t>Namibia</t>
  </si>
  <si>
    <t>Nauru</t>
  </si>
  <si>
    <t>Nepal</t>
  </si>
  <si>
    <t>Netherlands</t>
  </si>
  <si>
    <t>New Zealand</t>
  </si>
  <si>
    <t>Nicaragua</t>
  </si>
  <si>
    <t>Niger</t>
  </si>
  <si>
    <t>Nigeria</t>
  </si>
  <si>
    <t>North Korea</t>
  </si>
  <si>
    <t>North Macedonia</t>
  </si>
  <si>
    <t>Norway</t>
  </si>
  <si>
    <t>Oman</t>
  </si>
  <si>
    <t>Pakistan</t>
  </si>
  <si>
    <t>Palau</t>
  </si>
  <si>
    <t>Palestine</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</si>
  <si>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</si>
  <si>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</si>
  <si>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</si>
  <si>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</si>
  <si>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</si>
  <si>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</si>
  <si>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</si>
  <si>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</si>
  <si>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</si>
  <si>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</si>
  <si>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</si>
  <si>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</si>
  <si>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</si>
  <si>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</si>
  <si>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</si>
  <si>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</si>
  <si>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</si>
  <si>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</si>
  <si>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</si>
  <si>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</si>
  <si>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</si>
  <si>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</si>
  <si>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</si>
  <si>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</si>
  <si>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</si>
  <si>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</si>
  <si>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</si>
  <si>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</si>
  <si>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</si>
  <si>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</si>
  <si>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</si>
  <si>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</si>
  <si>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</si>
  <si>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</si>
  <si>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</si>
  <si>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</si>
  <si>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</si>
  <si>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Tajikistan</t>
  </si>
  <si>
    <t>Tanzania</t>
  </si>
  <si>
    <t>Thailand</t>
  </si>
  <si>
    <t>Timor-Leste</t>
  </si>
  <si>
    <t>Togo</t>
  </si>
  <si>
    <t>Tonga</t>
  </si>
  <si>
    <t>Trinidad and Tobago</t>
  </si>
  <si>
    <t>Tunisia</t>
  </si>
  <si>
    <t>Turkey</t>
  </si>
  <si>
    <t>Turkmenistan</t>
  </si>
  <si>
    <t>Tuvalu</t>
  </si>
  <si>
    <t>Uganda</t>
  </si>
  <si>
    <t>Ukraine</t>
  </si>
  <si>
    <t>United Arab Emirates</t>
  </si>
  <si>
    <t>United Kingdom</t>
  </si>
  <si>
    <t>United States of America</t>
  </si>
  <si>
    <t>Uruguay</t>
  </si>
  <si>
    <t>Uzbekistan</t>
  </si>
  <si>
    <t>Vanuatu</t>
  </si>
  <si>
    <t>Venezuela</t>
  </si>
  <si>
    <t>Vietnam</t>
  </si>
  <si>
    <t>Yemen</t>
  </si>
  <si>
    <t>Zambia</t>
  </si>
  <si>
    <t>Zimbabwe</t>
  </si>
  <si>
    <t>DXB RATES (based on by default benefits)</t>
  </si>
  <si>
    <t>AUH EE RATES</t>
  </si>
  <si>
    <t>AUH Dep RATES</t>
  </si>
  <si>
    <t>Minumum rates for AUH</t>
  </si>
  <si>
    <t>Dependents</t>
  </si>
  <si>
    <t>Dubai1</t>
  </si>
  <si>
    <t>Dubai2</t>
  </si>
  <si>
    <t>Dubai3</t>
  </si>
  <si>
    <t>Dubai4</t>
  </si>
  <si>
    <t>Dubai5</t>
  </si>
  <si>
    <t>Abu Dhabi1</t>
  </si>
  <si>
    <t>Abu Dhabi2</t>
  </si>
  <si>
    <t>Abu Dhabi3</t>
  </si>
  <si>
    <t>Abu Dubai Dependents</t>
  </si>
  <si>
    <t>[00-17]</t>
  </si>
  <si>
    <t>[18-40]</t>
  </si>
  <si>
    <t>[18-35]</t>
  </si>
  <si>
    <t>[41-59]</t>
  </si>
  <si>
    <t>[36-45]</t>
  </si>
  <si>
    <t>[60+]</t>
  </si>
  <si>
    <t>[46-55]</t>
  </si>
  <si>
    <t>[56-60]</t>
  </si>
  <si>
    <t>[61-65]</t>
  </si>
  <si>
    <t>[66-69]</t>
  </si>
  <si>
    <t>GN+</t>
  </si>
  <si>
    <t>GN</t>
  </si>
  <si>
    <t>RN2</t>
  </si>
  <si>
    <t>RN3</t>
  </si>
  <si>
    <t>Add Benefits</t>
  </si>
  <si>
    <t xml:space="preserve">Alt Med </t>
  </si>
  <si>
    <t>Covered / Not Covered</t>
  </si>
  <si>
    <t>DubaiA</t>
  </si>
  <si>
    <t>DubaiB</t>
  </si>
  <si>
    <t>DubaiC</t>
  </si>
  <si>
    <t>DubaiD</t>
  </si>
  <si>
    <t>DubaiE</t>
  </si>
  <si>
    <t>DubaiF</t>
  </si>
  <si>
    <t>Abu DhabiA</t>
  </si>
  <si>
    <t>Abu DhabiB</t>
  </si>
  <si>
    <t>Abu DhabiC</t>
  </si>
  <si>
    <t>Abu DhabiD</t>
  </si>
  <si>
    <t>Abu DhabiE</t>
  </si>
  <si>
    <t>Abu DhabiF</t>
  </si>
  <si>
    <t xml:space="preserve">AED 20,000 per delivery </t>
  </si>
  <si>
    <t xml:space="preserve">AED 15,000 per delivery </t>
  </si>
  <si>
    <t xml:space="preserve">AED 13,500 per delivery </t>
  </si>
  <si>
    <t xml:space="preserve">AED 12,500 per delivery </t>
  </si>
  <si>
    <t xml:space="preserve">AED 10,000 per delivery </t>
  </si>
  <si>
    <t>Basmah Rate with VAT PMPY</t>
  </si>
  <si>
    <t>ICP Rate with VAT PMPY</t>
  </si>
  <si>
    <t>Member Count</t>
  </si>
  <si>
    <t>Gross Premium</t>
  </si>
  <si>
    <t>Count for AUH New Presentation</t>
  </si>
  <si>
    <t>Count for DXB New Presentation</t>
  </si>
  <si>
    <t>Residency</t>
  </si>
  <si>
    <t>Employee &amp; Dependent</t>
  </si>
  <si>
    <t>Age Brackets</t>
  </si>
  <si>
    <t>Note: All the below deviations apply only to the IP&amp;OP Net Rates</t>
  </si>
  <si>
    <t>Network Deviations</t>
  </si>
  <si>
    <t>Plan 1</t>
  </si>
  <si>
    <t>Plan 2</t>
  </si>
  <si>
    <t>Plan 3</t>
  </si>
  <si>
    <t>Plan 4</t>
  </si>
  <si>
    <t>Plan 5</t>
  </si>
  <si>
    <t>PLAN1NEXTCARE GN+</t>
  </si>
  <si>
    <t>Plan1NEXTCARE GN</t>
  </si>
  <si>
    <t>Plan1NEXTCARE GN Excluding Mediclinic, Al Zahra &amp; HMG</t>
  </si>
  <si>
    <t>Plan1NEXTCARE GN+ (IP) / GN Excluding Mediclinic, Al Zahra &amp; HMG (OP)</t>
  </si>
  <si>
    <t>Plan1NEXTCARE GN (IP) / GN Excluding Mediclinic, Al Zahra &amp; HMG (OP)</t>
  </si>
  <si>
    <t>Plan2NEXTCARE GN</t>
  </si>
  <si>
    <t>Plan2NEXTCARE RN</t>
  </si>
  <si>
    <t>Plan2NEXTCARE GN Excluding Mediclinic, Al Zahra &amp; HMG</t>
  </si>
  <si>
    <t>Plan2NEXTCARE GN (IP) / RN (OP)</t>
  </si>
  <si>
    <t>Plan2NEXTCARE GN Excluding Mediclinic, Al Zahra &amp; HMG (IP) / RN (OP)</t>
  </si>
  <si>
    <t>Plan3NEXTCARE RN2</t>
  </si>
  <si>
    <t>Plan3NEXTCARE RN (IP) / RN2 (OP)</t>
  </si>
  <si>
    <t>Plan4NEXTCARE RN3 (Out-patient is restricted to Clinics Only)</t>
  </si>
  <si>
    <t>Plan5NEXTCARE RN2</t>
  </si>
  <si>
    <t>Plan5NEXTCARE RN3 (Out-patient is restricted to Clinics Only)</t>
  </si>
  <si>
    <t>Plan5NEXTCARE RN2 (IP) / RN3 Clinics Only (OP)</t>
  </si>
  <si>
    <t>PLAN1NEXTCARE GN</t>
  </si>
  <si>
    <t>PLAN2NEXTCARE GN</t>
  </si>
  <si>
    <t>PLAN2NEXTCARE RN</t>
  </si>
  <si>
    <t>PLAN3NEXTCARE RN2</t>
  </si>
  <si>
    <t>PLAN3NEXTCARE RN3</t>
  </si>
  <si>
    <t>Plan3NEXTCARE 
RN (IP) / RN2 (OP)</t>
  </si>
  <si>
    <t>PLAN3NEXTCARE 
RN2 (IP) / RN3 (OP)</t>
  </si>
  <si>
    <t>Consultation Deductible Deviations</t>
  </si>
  <si>
    <t>Plan 1 &amp; 2</t>
  </si>
  <si>
    <t>Plan 3, 4 &amp; 5</t>
  </si>
  <si>
    <t>Diagnostic Copay Deviations</t>
  </si>
  <si>
    <t>All Plans</t>
  </si>
  <si>
    <t>Pharmacy Copay Deviations</t>
  </si>
  <si>
    <t>Dubai-Plans</t>
  </si>
  <si>
    <t>Abu Dhabi-Plans</t>
  </si>
  <si>
    <t>Plan 3,4</t>
  </si>
  <si>
    <t>Nationality Deviation</t>
  </si>
  <si>
    <t>All Others</t>
  </si>
  <si>
    <t>IP %</t>
  </si>
  <si>
    <t>OP%</t>
  </si>
  <si>
    <t>NEXTCARE Excluding Mediclinic, Al Zahra &amp; HMG (OP) (IP) / RN (OP)</t>
  </si>
  <si>
    <t>SME RATES - 2024 (Dec)</t>
  </si>
  <si>
    <t>DUBAI &amp; Other Emirates</t>
  </si>
  <si>
    <t>OP &amp; IP NET RATES (based on by default* benefits)</t>
  </si>
  <si>
    <t>* All the above rates are in AED</t>
  </si>
  <si>
    <t>Benefits by default *</t>
  </si>
  <si>
    <t>Consultation (20% up to)</t>
  </si>
  <si>
    <t>Consultation</t>
  </si>
  <si>
    <t>Pharmacy copay</t>
  </si>
  <si>
    <t xml:space="preserve">Pharmacy limit </t>
  </si>
  <si>
    <t>Diagnostic copay</t>
  </si>
  <si>
    <t xml:space="preserve">* Please refer the the TOB for details </t>
  </si>
  <si>
    <t>Additional Benefits</t>
  </si>
  <si>
    <t>IP Maternity Percentage</t>
  </si>
  <si>
    <t>Benefits</t>
  </si>
  <si>
    <t xml:space="preserve">   </t>
  </si>
  <si>
    <t>Dental (enhancement)</t>
  </si>
  <si>
    <t xml:space="preserve">Maternity rate </t>
  </si>
  <si>
    <t>Deviations</t>
  </si>
  <si>
    <t xml:space="preserve">Allianz Partners Deviations will apply on basic rates to price any option selected. </t>
  </si>
  <si>
    <t>RN</t>
  </si>
  <si>
    <t>Plan 1 - GN+</t>
  </si>
  <si>
    <t>N/A</t>
  </si>
  <si>
    <t xml:space="preserve">Plan 2 - GN </t>
  </si>
  <si>
    <t>Plan 5 - RN3</t>
  </si>
  <si>
    <t>Plan 3 - RN2</t>
  </si>
  <si>
    <t>Pharmacy &amp; Diagnostic</t>
  </si>
  <si>
    <t>Pharmacy copay: 20%</t>
  </si>
  <si>
    <t>Diagnostic copay: 20%</t>
  </si>
  <si>
    <t xml:space="preserve">Pharmacy Limit </t>
  </si>
  <si>
    <t xml:space="preserve">AAL </t>
  </si>
  <si>
    <t>Plan 1 - 10,000</t>
  </si>
  <si>
    <t>Plan 2 - 7,500</t>
  </si>
  <si>
    <t>Plan 3 - 5,000</t>
  </si>
  <si>
    <t>Plan 4 - 5,000</t>
  </si>
  <si>
    <t>Plan 5 - 3,000</t>
  </si>
  <si>
    <t>Deductible (20% max …)</t>
  </si>
  <si>
    <t>AED 25</t>
  </si>
  <si>
    <t>AED 50</t>
  </si>
  <si>
    <t>AED 75</t>
  </si>
  <si>
    <t>AED 100</t>
  </si>
  <si>
    <t>Plan 1&amp;2- AED 50</t>
  </si>
  <si>
    <t>Plan 3, 4 &amp; 5 - AED 50</t>
  </si>
  <si>
    <t>Plan 3 - AED 50</t>
  </si>
  <si>
    <t>Note: RN3 network is restricted to clinics in Dubai</t>
  </si>
  <si>
    <t>Base Rates before the quarterly Trend</t>
  </si>
  <si>
    <t>annual medical trend:</t>
  </si>
  <si>
    <t>effective date:</t>
  </si>
  <si>
    <t># of quarters from 1/1/2025:</t>
  </si>
  <si>
    <t>increase rates by:</t>
  </si>
  <si>
    <t>Quotation Time : 06/06/2024 2:14:10 PM</t>
  </si>
  <si>
    <t xml:space="preserve">Quotation </t>
  </si>
  <si>
    <t>Adjustment</t>
  </si>
  <si>
    <t>Executive Summary</t>
  </si>
  <si>
    <t>Plan</t>
  </si>
  <si>
    <t>IP+OP</t>
  </si>
  <si>
    <t>VAT (5%)</t>
  </si>
  <si>
    <t>Total Premium (including VAT)</t>
  </si>
  <si>
    <t>Add'l for ICP Fees</t>
  </si>
  <si>
    <t>Kindly ensure to choose whether or not to calculate BASMAH and ICP Fees</t>
  </si>
  <si>
    <t>Add'l for BASMAH Fees</t>
  </si>
  <si>
    <t>Summary Distribution and tariffs</t>
  </si>
  <si>
    <t>Total Premium plus BASMAH &amp; ICP Fees</t>
  </si>
  <si>
    <t>Employees &amp; Dependents</t>
  </si>
  <si>
    <t>Maternity Eligible</t>
  </si>
  <si>
    <t>Employees &amp; Dependents excl. Maternity</t>
  </si>
  <si>
    <t>Maternity Premium 
Per 
Eligible Female</t>
  </si>
  <si>
    <t>Maternity Premium Per 
Eligible Female</t>
  </si>
  <si>
    <t>18-35</t>
  </si>
  <si>
    <t>36-45</t>
  </si>
  <si>
    <t>46-55</t>
  </si>
  <si>
    <t>56-60</t>
  </si>
  <si>
    <t>61-65</t>
  </si>
  <si>
    <t>66-69</t>
  </si>
  <si>
    <t>Sub-Total -A</t>
  </si>
  <si>
    <t>Sub-Total -B</t>
  </si>
  <si>
    <t>Sub-Total -C</t>
  </si>
  <si>
    <t>Sub-Total -D</t>
  </si>
  <si>
    <t>Sub-Total -E</t>
  </si>
  <si>
    <t>Sub-Total -F</t>
  </si>
  <si>
    <t xml:space="preserve">All Plans </t>
  </si>
  <si>
    <t>All Age Brackets</t>
  </si>
  <si>
    <t>Detailed Distribution and tariffs</t>
  </si>
  <si>
    <t xml:space="preserve">Gross Premium per member </t>
  </si>
  <si>
    <t>Total Gross Premium</t>
  </si>
  <si>
    <t>Quotation Time : 06/06/2024 2:14:11 PM</t>
  </si>
  <si>
    <t>Load</t>
  </si>
  <si>
    <t>Abu Dhabi &amp; Al Ain</t>
  </si>
  <si>
    <t>Kindly ensure to choose whether or not to calculate ICP Fees</t>
  </si>
  <si>
    <t>Total Premium plus ICP Fees</t>
  </si>
  <si>
    <t>Employees</t>
  </si>
  <si>
    <t>Table of Benefits for Dubai and Northern Emirates</t>
  </si>
  <si>
    <t>Version of Quotation</t>
  </si>
  <si>
    <t>Insurance Plan</t>
  </si>
  <si>
    <t>Territorial Scope of Coverage</t>
  </si>
  <si>
    <t>Aggregate Annual Limit</t>
  </si>
  <si>
    <t xml:space="preserve">Medical Network </t>
  </si>
  <si>
    <t>Room type</t>
  </si>
  <si>
    <t>In-Patient Emergency Cases</t>
  </si>
  <si>
    <t>For emergency cases, the Insured Person/his next of kin/Policyholder should call the Claims Centre number 04 2708800 provided on the backside of the card as soon as possible or, at the most, 24 hours within admission or prior to discharge date whichever is earlier</t>
  </si>
  <si>
    <t>Organ Transplant</t>
  </si>
  <si>
    <t>Consultation Limit</t>
  </si>
  <si>
    <t>Parent Accommodation for child under 18 years of age</t>
  </si>
  <si>
    <t>Accommodation of an accompanying person in the same room as per recommendation of attending physician, subject to prior approval.</t>
  </si>
  <si>
    <t>Home Nursing post Hospitalization</t>
  </si>
  <si>
    <t>Emergency road ambulance services to and from hospital by registered ambulance services provider</t>
  </si>
  <si>
    <t>Deductible per Consultation (will not be applicable for follow-up within 7 days for same treatment and with same doctor)</t>
  </si>
  <si>
    <t xml:space="preserve">Prescribed Drugs &amp; Medicines </t>
  </si>
  <si>
    <t xml:space="preserve">Diagnostics ( X-ray, MRI, CT-Scan, Ultra Sound&amp; Endoscopy diagonistic services ) </t>
  </si>
  <si>
    <t>Pre-existing &amp; Chronic Conditions</t>
  </si>
  <si>
    <t>Claims Settlement In-Patient:</t>
  </si>
  <si>
    <t>1. UAE within the Network- Direct Billing</t>
  </si>
  <si>
    <t>2. Area of coverage as per Territorial Scope / Outside the Network / With or without prior approval of the ceding company - Reimbursement basis only</t>
  </si>
  <si>
    <t xml:space="preserve">3. Area of coverage as per Territorial Scope / Outside the Network / Without prior approval of the ceding company </t>
  </si>
  <si>
    <t>Claims Settlement Out-Patient:</t>
  </si>
  <si>
    <t>1. UAE within the Network - Direct Billing</t>
  </si>
  <si>
    <t>2. Area of coverage as per Territorial Scope / Outside the Network - Reimbursement basis only</t>
  </si>
  <si>
    <t>Reimbursement in Emergency Cases:
(emergency treatment must be notified within 24 hours if treatment was received within UAE)</t>
  </si>
  <si>
    <r>
      <t>Eligible Treatment</t>
    </r>
    <r>
      <rPr>
        <i/>
        <sz val="12"/>
        <color indexed="9"/>
        <rFont val="Arial"/>
        <family val="2"/>
      </rPr>
      <t xml:space="preserve">
UAE
Inside Territorial Scope
Outside Territorial Scope</t>
    </r>
  </si>
  <si>
    <t>Cash Indemnity for In-Patient Treatment post hospitlization up to max of 15 days, subject to providing discharge summary or proof of hospitalization</t>
  </si>
  <si>
    <t>Essential vaccinations and inoculations for newborns and children as stipulated in the DHA’s policies and its updates (currently the same as Federal MOH)</t>
  </si>
  <si>
    <r>
      <t xml:space="preserve">Physiotherapy </t>
    </r>
    <r>
      <rPr>
        <i/>
        <sz val="12"/>
        <color theme="0"/>
        <rFont val="Arial"/>
        <family val="2"/>
      </rPr>
      <t xml:space="preserve">( Subject to pre-approval) </t>
    </r>
  </si>
  <si>
    <t>Preventive services, vaccines and immunizations</t>
  </si>
  <si>
    <r>
      <rPr>
        <b/>
        <sz val="12"/>
        <color theme="0"/>
        <rFont val="Arial"/>
        <family val="2"/>
      </rPr>
      <t xml:space="preserve">Diagnostic and treatment services for dental and gum treatments ( Emergency cases Only) </t>
    </r>
    <r>
      <rPr>
        <b/>
        <sz val="10"/>
        <color theme="0"/>
        <rFont val="Arial"/>
        <family val="2"/>
      </rPr>
      <t xml:space="preserve">
</t>
    </r>
    <r>
      <rPr>
        <sz val="10"/>
        <color theme="0"/>
        <rFont val="Arial"/>
        <family val="2"/>
      </rPr>
      <t>Dental emergency is any injury to your teeth or gums that can put you at a risk of permanent damage, such as Chipped or broken teeth, Knocked-out tooth ,Soft-tissue injuries and etc</t>
    </r>
  </si>
  <si>
    <r>
      <t xml:space="preserve">Hearing and vision aids, and vision correction by surgeries and laser ( Emergency cases Only)
</t>
    </r>
    <r>
      <rPr>
        <sz val="10"/>
        <color theme="0"/>
        <rFont val="Arial"/>
        <family val="2"/>
      </rPr>
      <t>Hearing Emergencies include Object/insect in the ear , ruptued eardrum ,  sudden hearing loss and etc</t>
    </r>
    <r>
      <rPr>
        <sz val="12"/>
        <color theme="0"/>
        <rFont val="Arial"/>
        <family val="2"/>
      </rPr>
      <t xml:space="preserve">
</t>
    </r>
    <r>
      <rPr>
        <sz val="10"/>
        <color theme="0"/>
        <rFont val="Arial"/>
        <family val="2"/>
      </rPr>
      <t>Vision Emergencies include  bleeding or discharge from or around the eye, double vision and Loss of vision, total or partial, one eye or both etc.</t>
    </r>
  </si>
  <si>
    <r>
      <t xml:space="preserve">Kidney Dialysis Treatment
</t>
    </r>
    <r>
      <rPr>
        <i/>
        <sz val="12"/>
        <color theme="0"/>
        <rFont val="Arial"/>
        <family val="2"/>
      </rPr>
      <t>Coverage for hemodialysis or peritoneal dialysis</t>
    </r>
  </si>
  <si>
    <t>Healthcare services for work illnesses and injuries as per Federal Law No.8 of 1980 concerning the Regulation of Work Relations, as amended, and applicable laws in this respect</t>
  </si>
  <si>
    <t>Adult Pneumococcal Conjugate Vaccine</t>
  </si>
  <si>
    <r>
      <t>Cancer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</si>
  <si>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r>
      <t>Hepatitis B &amp; C Virus Screening and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</si>
  <si>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t>Influenza Vaccine</t>
  </si>
  <si>
    <t>Shingrix Vaccine</t>
  </si>
  <si>
    <t>Psychiatric and Mental Health</t>
  </si>
  <si>
    <t>Repatriation of Mortal Remains to the Country of Domicile:</t>
  </si>
  <si>
    <t>Second Medical Opinion</t>
  </si>
  <si>
    <t>Symptom Checker</t>
  </si>
  <si>
    <t>Maternity Services</t>
  </si>
  <si>
    <r>
      <t xml:space="preserve">Dental benefit
</t>
    </r>
    <r>
      <rPr>
        <i/>
        <sz val="12"/>
        <color theme="0"/>
        <rFont val="Arial"/>
        <family val="2"/>
      </rPr>
      <t>Covers the following: consultation, x-ray, scaling, tooth extraction, amalgam fillings, temporary and/or permanent composite, fillings, root canal treatment, antibiotics, and prophylaxis.</t>
    </r>
  </si>
  <si>
    <r>
      <t>Optical benefit
C</t>
    </r>
    <r>
      <rPr>
        <i/>
        <sz val="12"/>
        <color theme="0"/>
        <rFont val="Arial"/>
        <family val="2"/>
      </rPr>
      <t xml:space="preserve">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</si>
  <si>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Alternative Medicine</t>
    </r>
    <r>
      <rPr>
        <b/>
        <i/>
        <sz val="12"/>
        <color rgb="FFFFFFFF"/>
        <rFont val="Arial"/>
        <family val="2"/>
      </rPr>
      <t xml:space="preserve">
</t>
    </r>
    <r>
      <rPr>
        <i/>
        <sz val="12"/>
        <color rgb="FFFFFFFF"/>
        <rFont val="Arial"/>
        <family val="2"/>
      </rPr>
      <t>Covers the following: Ayurveda, Chiropractic, Chinese Medicine, and Homeopathy</t>
    </r>
  </si>
  <si>
    <t>New Born Cover</t>
  </si>
  <si>
    <t>Medical Advice Service “See A Doctor” (UAE)</t>
  </si>
  <si>
    <t>Return Airfare Ticket 
for In-Patient treatment at home country</t>
  </si>
  <si>
    <r>
      <t>Cash benefit in case of death</t>
    </r>
    <r>
      <rPr>
        <i/>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</si>
  <si>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DHA or the benefit which is not provided in this TOB and is required by DHA, then the cover under the policy will automatically increase/include the benefit to the same level as requested by DHA</t>
  </si>
  <si>
    <t>Table of Benefits for Abu Dhabi and Al Ain</t>
  </si>
  <si>
    <t>Vaccination for Children ( as per MOH, UAE)</t>
  </si>
  <si>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11"/>
        <color theme="0"/>
        <rFont val="Arial"/>
        <family val="2"/>
      </rPr>
      <t>Dental emergency is any injury to your teeth or gums that can put you at a risk of permanent damage, such as Chipped or broken teeth, Knocked-out tooth ,Soft-tissue injuries and etc
Hearing Emergencies include Object/insect in the ear , ruptued eardrum ,  sudden hearing loss and etc
Vision Emergencies include  bleeding or discharge from or around the eye, double vision and Loss of vision, total or partial, one eye or both etc.</t>
    </r>
    <r>
      <rPr>
        <b/>
        <sz val="9"/>
        <color theme="0"/>
        <rFont val="Arial"/>
        <family val="2"/>
      </rPr>
      <t xml:space="preserve">
</t>
    </r>
  </si>
  <si>
    <t>Transient mental disorder or acute reaction to stress</t>
  </si>
  <si>
    <r>
      <t xml:space="preserve">Maternity services </t>
    </r>
    <r>
      <rPr>
        <i/>
        <sz val="12"/>
        <color theme="0"/>
        <rFont val="Arial"/>
        <family val="2"/>
      </rPr>
      <t/>
    </r>
  </si>
  <si>
    <r>
      <t xml:space="preserve">Dental benefit
</t>
    </r>
    <r>
      <rPr>
        <i/>
        <sz val="12"/>
        <color theme="0"/>
        <rFont val="Arial"/>
        <family val="2"/>
      </rPr>
      <t>Covers the following: Consultation &amp; X-Ray, Scaling &amp; Polishing, Tooth Extraction, Amalgam fillings, Temporary and/or permanent composite, fillings and root canal treatment only.</t>
    </r>
  </si>
  <si>
    <r>
      <t xml:space="preserve">Optical benefit
</t>
    </r>
    <r>
      <rPr>
        <i/>
        <sz val="12"/>
        <color theme="0"/>
        <rFont val="Arial"/>
        <family val="2"/>
      </rPr>
      <t xml:space="preserve">Covers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</si>
  <si>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 xml:space="preserve">Alternative Medicine
</t>
    </r>
    <r>
      <rPr>
        <i/>
        <sz val="12"/>
        <color rgb="FFFFFFFF"/>
        <rFont val="Arial"/>
        <family val="2"/>
      </rPr>
      <t>Covers the following: Ayurveda, Chiropractic, Chinese Medicine, and Homeopathy</t>
    </r>
  </si>
  <si>
    <r>
      <rPr>
        <b/>
        <sz val="11"/>
        <color theme="0"/>
        <rFont val="Arial"/>
        <family val="2"/>
      </rPr>
      <t>Cash benefit in case of death</t>
    </r>
    <r>
      <rPr>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</si>
  <si>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DOH or the benefit which is not provided in this TOB and is required by DOH, then the cover under the policy will automatically increase/include the benefit to the same level as requested by DOH</t>
  </si>
  <si>
    <t>Table of Benefits - Group SME (DXB and NE)</t>
  </si>
  <si>
    <t xml:space="preserve">Worldwide </t>
  </si>
  <si>
    <t>AED 2 Million</t>
  </si>
  <si>
    <t>AED 1 Million</t>
  </si>
  <si>
    <t>AED 500,000</t>
  </si>
  <si>
    <t>AED 250,000</t>
  </si>
  <si>
    <r>
      <rPr>
        <b/>
        <sz val="11"/>
        <color theme="3"/>
        <rFont val="Arial"/>
        <family val="2"/>
      </rPr>
      <t>Default: NEXTCARE GN+</t>
    </r>
    <r>
      <rPr>
        <sz val="11"/>
        <color theme="3"/>
        <rFont val="Arial"/>
        <family val="2"/>
      </rPr>
      <t xml:space="preserve">
Option 1: NEXTCARE GN
Option 2: NEXTCARE GN Excluding Mediclinic, Al Zahra &amp; HMG
Option 3: NEXTCARE GN+ (IP) / GN Excluding Mediclinic, Al Zahra &amp; HMG (OP)
Option 4: NEXTCARE GN (IP) / GN Excluding Mediclinic, Al Zahra &amp; HMG (OP)</t>
    </r>
  </si>
  <si>
    <r>
      <rPr>
        <b/>
        <sz val="11"/>
        <color theme="3"/>
        <rFont val="Arial"/>
        <family val="2"/>
      </rPr>
      <t>Default: NEXTCARE GN</t>
    </r>
    <r>
      <rPr>
        <sz val="11"/>
        <color theme="3"/>
        <rFont val="Arial"/>
        <family val="2"/>
      </rPr>
      <t xml:space="preserve">
Option 1: NEXTCARE GN Excluding Mediclinic, Al Zahra &amp; HMG
Option 2: NEXTCARE RN
Option 3: NEXTCARE GN (IP) / RN (OP)
Option 4: NEXTCARE GN Excluding Mediclinic, Al Zahra &amp; HMG (IP) / RN (OP)</t>
    </r>
  </si>
  <si>
    <r>
      <t xml:space="preserve">Defaut: NEXTCARE RN2
</t>
    </r>
    <r>
      <rPr>
        <sz val="11"/>
        <color theme="3"/>
        <rFont val="Arial"/>
        <family val="2"/>
      </rPr>
      <t>Option 1: NEXTCARE RN (IP) / RN2 (OP)</t>
    </r>
  </si>
  <si>
    <t>NEXTCARE RN3 ( Out-patient is restricted to Clinics Only)</t>
  </si>
  <si>
    <r>
      <rPr>
        <b/>
        <sz val="11"/>
        <color theme="3"/>
        <rFont val="Arial"/>
        <family val="2"/>
      </rPr>
      <t>Default: NEXTCARE RN3 ( Out-patient is restricted to Clinics Only)</t>
    </r>
    <r>
      <rPr>
        <sz val="11"/>
        <color theme="3"/>
        <rFont val="Arial"/>
        <family val="2"/>
      </rPr>
      <t xml:space="preserve">                                   
Option 1 : NEXTCARE RN2
Option 2: NEXTCARE RN2 (IP) / RN3 Clinics Only (OP)</t>
    </r>
  </si>
  <si>
    <t>Private</t>
  </si>
  <si>
    <t>Semi-Private</t>
  </si>
  <si>
    <t>Hospital Accommodation Intensive Care Unit</t>
  </si>
  <si>
    <t>Covered 100%</t>
  </si>
  <si>
    <t>Organ transplantation shall cover the organ transplantation as recipient excluding any cost related to donor, and excluding the acquisition and organ cost
Organs covered are: heart, lung, kidney, pancreas, liver, Allogeneic &amp; autologous bone marrow.</t>
  </si>
  <si>
    <t>AED 450 / day</t>
  </si>
  <si>
    <t>AED 350 / day</t>
  </si>
  <si>
    <t>AED 250 / day</t>
  </si>
  <si>
    <t>AED 150 / day</t>
  </si>
  <si>
    <t>Home Nursing Hospitalization</t>
  </si>
  <si>
    <t>Covered up to Maximum AED 15,000 per person per annum</t>
  </si>
  <si>
    <t>Covered up to Maximum AED 10,000 per person per annum</t>
  </si>
  <si>
    <t>Covered up to Maximum AED 7,500 per person per annum</t>
  </si>
  <si>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xml:space="preserve">: 20% Max AED 75/-
</t>
    </r>
    <r>
      <rPr>
        <b/>
        <sz val="11"/>
        <color theme="3"/>
        <rFont val="Arial"/>
        <family val="2"/>
      </rPr>
      <t>Option 2</t>
    </r>
    <r>
      <rPr>
        <sz val="11"/>
        <color theme="3"/>
        <rFont val="Arial"/>
        <family val="2"/>
      </rPr>
      <t xml:space="preserve">: 20% Max AED 100/-
</t>
    </r>
    <r>
      <rPr>
        <b/>
        <sz val="11"/>
        <color theme="3"/>
        <rFont val="Arial"/>
        <family val="2"/>
      </rPr>
      <t>Option 3</t>
    </r>
    <r>
      <rPr>
        <sz val="11"/>
        <color theme="3"/>
        <rFont val="Arial"/>
        <family val="2"/>
      </rPr>
      <t>: Nil</t>
    </r>
  </si>
  <si>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20% Max AED 25/-</t>
    </r>
  </si>
  <si>
    <t>Prescribed Drugs &amp; Medicines Annual Limit</t>
  </si>
  <si>
    <r>
      <rPr>
        <b/>
        <sz val="11"/>
        <color theme="3"/>
        <rFont val="Arial"/>
        <family val="2"/>
      </rPr>
      <t>Default: AED 10,000</t>
    </r>
    <r>
      <rPr>
        <sz val="11"/>
        <color theme="3"/>
        <rFont val="Arial"/>
        <family val="2"/>
      </rPr>
      <t xml:space="preserve">
Option 1: AAL </t>
    </r>
  </si>
  <si>
    <r>
      <rPr>
        <b/>
        <sz val="11"/>
        <color theme="3"/>
        <rFont val="Arial"/>
        <family val="2"/>
      </rPr>
      <t>Default: AED 7,500</t>
    </r>
    <r>
      <rPr>
        <sz val="11"/>
        <color theme="3"/>
        <rFont val="Arial"/>
        <family val="2"/>
      </rPr>
      <t xml:space="preserve">
Option 1: AAL </t>
    </r>
  </si>
  <si>
    <r>
      <rPr>
        <b/>
        <sz val="11"/>
        <color theme="3"/>
        <rFont val="Arial"/>
        <family val="2"/>
      </rPr>
      <t>Default: AED 5,000</t>
    </r>
    <r>
      <rPr>
        <sz val="11"/>
        <color theme="3"/>
        <rFont val="Arial"/>
        <family val="2"/>
      </rPr>
      <t xml:space="preserve">
Option 1: AAL </t>
    </r>
  </si>
  <si>
    <r>
      <rPr>
        <b/>
        <sz val="11"/>
        <color theme="3"/>
        <rFont val="Arial"/>
        <family val="2"/>
      </rPr>
      <t>Default: AED 3,000</t>
    </r>
    <r>
      <rPr>
        <sz val="11"/>
        <color theme="3"/>
        <rFont val="Arial"/>
        <family val="2"/>
      </rPr>
      <t xml:space="preserve">
Option 1: AAL </t>
    </r>
  </si>
  <si>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</si>
  <si>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Diagnostics ( X-ray, MRI, CT-Scan, Ultra Sound&amp; Endoscopy diagonistic services )</t>
  </si>
  <si>
    <r>
      <t xml:space="preserve">Covered Subject to Co-pay and up to aggregate annual limit
</t>
    </r>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</si>
  <si>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t>
  </si>
  <si>
    <t xml:space="preserve">100% after applicable co-pay </t>
  </si>
  <si>
    <t>80% of actual costs or 80% of the UCR as per UAE network tariffs for same or similar treatment whichever is less</t>
  </si>
  <si>
    <r>
      <t xml:space="preserve">Reimbursement in Emergency Cases:
</t>
    </r>
    <r>
      <rPr>
        <b/>
        <sz val="8"/>
        <color theme="0"/>
        <rFont val="Arial"/>
        <family val="2"/>
      </rPr>
      <t>(emergency treatment must be notified within 24 hours if treatment was received within UAE)</t>
    </r>
  </si>
  <si>
    <r>
      <t>Eligible Treatment</t>
    </r>
    <r>
      <rPr>
        <sz val="10"/>
        <color indexed="9"/>
        <rFont val="Arial"/>
        <family val="2"/>
      </rPr>
      <t xml:space="preserve">
UAE
Inside Territorial Scope
Outside Territorial Scope</t>
    </r>
  </si>
  <si>
    <t xml:space="preserve">100% of incurred costs
100% of incurred costs
100% of incurred costs
</t>
  </si>
  <si>
    <t>AED 300 per night
Applicable to all inpatient hospitalizations that are not submitted to the Insurance Company</t>
  </si>
  <si>
    <t>AED 250 per night
Applicable to all inpatient hospitalizations that are not submitted to the Insurance Company</t>
  </si>
  <si>
    <t>AED 200 per night
Applicable to all inpatient hospitalizations that are not submitted to the Insurance Company</t>
  </si>
  <si>
    <t>AED 150 per night
Applicable to all inpatient hospitalizations that are not submitted to the Insurance Company</t>
  </si>
  <si>
    <t xml:space="preserve">Inside Network: 100% Actual Cost
Outside Network : UCR Basis </t>
  </si>
  <si>
    <t>Claims Settlement
(Restrictions are applicable in case if the insured group is Medical Provider)</t>
  </si>
  <si>
    <r>
      <t xml:space="preserve">Physiotherapy </t>
    </r>
    <r>
      <rPr>
        <sz val="8"/>
        <color theme="0"/>
        <rFont val="Arial"/>
        <family val="2"/>
      </rPr>
      <t xml:space="preserve">( Subject to pre-approval) </t>
    </r>
  </si>
  <si>
    <t>20 sessions per member per annum</t>
  </si>
  <si>
    <t>15 sessions per member per annum</t>
  </si>
  <si>
    <t>10 sessions per member per annum</t>
  </si>
  <si>
    <t>Frequency restricted to:
Diabetes: Every 3 years from age 30
High risk individuals annually from age 18</t>
  </si>
  <si>
    <r>
      <t xml:space="preserve">Diagnostic and treatment services for dental and gum treatments( Emergency cases Only) 
</t>
    </r>
    <r>
      <rPr>
        <sz val="8"/>
        <color theme="0"/>
        <rFont val="Arial"/>
        <family val="2"/>
      </rPr>
      <t>Dental emergency is any injury to your teeth or gums that can put you at a risk of permanent damage, such as Chipped or broken teeth, Knocked-out tooth ,Soft-tissue injuries and etc</t>
    </r>
  </si>
  <si>
    <t xml:space="preserve">Covered </t>
  </si>
  <si>
    <r>
      <rPr>
        <b/>
        <sz val="10"/>
        <color theme="0"/>
        <rFont val="Arial"/>
        <family val="2"/>
      </rPr>
      <t>Hearing and vision aids, and vision correction by surgeries and laser ( Emergency cases Only</t>
    </r>
    <r>
      <rPr>
        <b/>
        <sz val="12"/>
        <color theme="0"/>
        <rFont val="Arial"/>
        <family val="2"/>
      </rPr>
      <t>)</t>
    </r>
    <r>
      <rPr>
        <b/>
        <i/>
        <sz val="12"/>
        <color theme="0"/>
        <rFont val="Arial"/>
        <family val="2"/>
      </rPr>
      <t xml:space="preserve">
</t>
    </r>
    <r>
      <rPr>
        <sz val="8"/>
        <color theme="0"/>
        <rFont val="Arial"/>
        <family val="2"/>
      </rPr>
      <t>Hearing Emergencies include Object/insect in the ear , ruptued eardrum ,  sudden hearing loss and etc
Vision Emergencies include  bleeding or discharge from or around the eye, double vision and Loss of vision, total or partial, one eye or both etc</t>
    </r>
    <r>
      <rPr>
        <i/>
        <sz val="8"/>
        <color theme="0"/>
        <rFont val="Arial"/>
        <family val="2"/>
      </rPr>
      <t>.</t>
    </r>
  </si>
  <si>
    <r>
      <t xml:space="preserve">Kidney Dialysis Treatment
</t>
    </r>
    <r>
      <rPr>
        <sz val="10"/>
        <color theme="0"/>
        <rFont val="Arial"/>
        <family val="2"/>
      </rPr>
      <t>Coverage for hemodialysis or peritoneal dialysis</t>
    </r>
  </si>
  <si>
    <t>Covered up to Maximum AED 60,000 per person per annum, inclusive of 20% coinsurance</t>
  </si>
  <si>
    <t>Covered as per DHA Adult Pneumococcal Vaccination guidelines</t>
  </si>
  <si>
    <r>
      <rPr>
        <b/>
        <sz val="11"/>
        <color theme="0"/>
        <rFont val="Arial"/>
        <family val="2"/>
      </rPr>
      <t>Cancer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</si>
  <si>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as per the Terms,Conditions and Exclusions of the program defined by DHA.</t>
  </si>
  <si>
    <r>
      <rPr>
        <b/>
        <sz val="11"/>
        <color theme="0"/>
        <rFont val="Arial"/>
        <family val="2"/>
      </rPr>
      <t>Hepatitis B &amp; C Virus Screening and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</si>
  <si>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once per Annum</t>
  </si>
  <si>
    <t>Covered only for members satisfying the eligibility criteria set by DHA.
Limited to the cost of the vaccine and its administration only.</t>
  </si>
  <si>
    <t>In-Patient, Out-Patient, and Emergency cover up to a maximum of AED 10,000/- per person per annum.
20% coinsurance payable by the insured per visit for Out-Patient services.
No coinsurance is applicable if a follow-up vist is made within seven days</t>
  </si>
  <si>
    <t>Covered up to Maximum AED 25,000 per person per annum settled on Reimbursement basis with no co-pay</t>
  </si>
  <si>
    <t>Covered up to Maximum AED 20,000 per person per annum settled on Reimbursement basis with no co-pay</t>
  </si>
  <si>
    <t>Covered up to Maximum AED 15,000 per person per annum settled on Reimbursement basis with no co-pay</t>
  </si>
  <si>
    <t>Covered up to Maximum AED 10,000 per person per annum settled on Reimbursement basis with no co-pay</t>
  </si>
  <si>
    <t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t>
  </si>
  <si>
    <t xml:space="preserve">This benefit gives members access through the Lumi mobile application to a tool that uses artificial intelligence algorithms to anonymously analyze the member’s symptoms and medical history to suggest the most probable diagnosis and route of care. </t>
  </si>
  <si>
    <t xml:space="preserve">                                                                                                                                                                                                                                                                                                                                                                                                                                                                                                                                                             Maternity services                                              </t>
  </si>
  <si>
    <r>
      <rPr>
        <b/>
        <u/>
        <sz val="11"/>
        <color theme="3"/>
        <rFont val="Arial"/>
        <family val="2"/>
      </rPr>
      <t xml:space="preserve">In-patient maternity services:  </t>
    </r>
    <r>
      <rPr>
        <sz val="11"/>
        <color theme="3"/>
        <rFont val="Arial"/>
        <family val="2"/>
      </rPr>
      <t xml:space="preserve">
10% coinsurance payable by the insured, Maximum benefit (4 options)
Default for GN+: 20,000 AED per delivery
Option 1: GN - 15,000 AED per delivery
 Option 2: GN Excluding Mediclinic, Al Zahra &amp; HMG - 13,500 AED per delivery                                                                                                                                                                                                                                                                                                                                                                                                                                                                                                                                                                                                       Option 3: RN - 12,500 AED per delivery
Option 4: RN2 and RN3 - 10,000 AED per delivery 
(All limits include coinsurance)
In-patient maternity services
Requires prior approval from the insurance company or within 24 hours of emergency treatment
10% coinsurance payable by the insured</t>
    </r>
  </si>
  <si>
    <r>
      <rPr>
        <b/>
        <i/>
        <u/>
        <sz val="11"/>
        <color theme="3"/>
        <rFont val="Arial"/>
        <family val="2"/>
      </rPr>
      <t xml:space="preserve">Out-patient maternity services: </t>
    </r>
    <r>
      <rPr>
        <sz val="11"/>
        <color theme="3"/>
        <rFont val="Arial"/>
        <family val="2"/>
      </rPr>
      <t xml:space="preserve">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t>
    </r>
  </si>
  <si>
    <r>
      <t xml:space="preserve">Dental benefit
(Enhanced coverage is subject to additional premium)
</t>
    </r>
    <r>
      <rPr>
        <sz val="10"/>
        <color theme="0"/>
        <rFont val="Arial"/>
        <family val="2"/>
      </rPr>
      <t>Covers the following: consultation, x-ray, scaling, tooth extraction, amalgam fillings, temporary and/or permanent composite, fillings, root canal treatment, antibiotics, and prophylaxi</t>
    </r>
    <r>
      <rPr>
        <sz val="11"/>
        <color theme="0"/>
        <rFont val="Arial"/>
        <family val="2"/>
      </rPr>
      <t>s</t>
    </r>
    <r>
      <rPr>
        <sz val="10"/>
        <color theme="0"/>
        <rFont val="Arial"/>
        <family val="2"/>
      </rPr>
      <t>.</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</si>
  <si>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5,000/-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</si>
  <si>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3,500/-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</si>
  <si>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2,500/-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</si>
  <si>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1,500/- inclusive of 20% Co-pay
In-Network: Direct Billing
Out of Network: Reimbursement </t>
    </r>
  </si>
  <si>
    <r>
      <t xml:space="preserve">Optical benefit (Subject to Additonal Premium)
</t>
    </r>
    <r>
      <rPr>
        <sz val="10"/>
        <color theme="0"/>
        <rFont val="Arial"/>
        <family val="2"/>
      </rPr>
      <t xml:space="preserve">Covers the following:  Optical examinations conducted for the purpose of obtaining eye glasses or lenses, Consultation by an ophthalmologist, Sight testing, Medication (included within the optical benefit)                                                                                       
</t>
    </r>
    <r>
      <rPr>
        <b/>
        <sz val="10"/>
        <color theme="0"/>
        <rFont val="Arial"/>
        <family val="2"/>
      </rPr>
      <t xml:space="preserve">
Subject to following Sub Limits:
AED 300/- per pair per single vision lenses
AED 400/- per pair per bifocal or tri-focal vision lenses
AED 500/- per pair of contact lenses
AED 500/- per frame per year</t>
    </r>
  </si>
  <si>
    <t xml:space="preserve">Limited to AED 1,500/- subject to 20% Co-pay
In-Network: Direct Billing
Out of Network: Reimbursement </t>
  </si>
  <si>
    <t xml:space="preserve">Limited to AED 1,000/- subject to 20% Co-pay
In-Network: Direct Billing
Out of Network: Reimbursement </t>
  </si>
  <si>
    <t xml:space="preserve">Limited to AED 500/- subject to 20% Co-pay
In-Network: Direct Billing
Out of Network: Reimbursement </t>
  </si>
  <si>
    <r>
      <t xml:space="preserve">Alternative Medicine
</t>
    </r>
    <r>
      <rPr>
        <sz val="10"/>
        <color rgb="FFFFFFFF"/>
        <rFont val="Arial"/>
        <family val="2"/>
      </rPr>
      <t>Covers the following: Ayurveda, Chiropractic, Chinese Medicine, and Homeopathy</t>
    </r>
  </si>
  <si>
    <t>Limited to AED 3,500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</si>
  <si>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3,000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</si>
  <si>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2,500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</si>
  <si>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Covered as per the Terms,Conditions and Exclusions defined by DHA.</t>
  </si>
  <si>
    <t>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</si>
  <si>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t>
  </si>
  <si>
    <t>Coverage for an Annual Health Check-up Package with Nextcare partner providers, subject to a 20% coinsurance and the following annual limits (as per the member's Medical Out-Patient Network): 
GN+ :   AED 1,500
GN :   AED 1,000
GN Excluding Mediclinic, Al Zahra &amp; HMG and RN :  AED 500
RN2 :   Not Covered
RN3 :   Not Covered
Member to check with Nextcare the latest list of approved packages. Coverage on Reimbursement basis only.</t>
  </si>
  <si>
    <t>Dental Default Coverage</t>
  </si>
  <si>
    <t xml:space="preserve">Limited to AED 500/- inclusive of 30% Co-pay
In-Network: Direct Billing
Out of Network: Reimbursement </t>
  </si>
  <si>
    <t>Dental Enhanced Coverage</t>
  </si>
  <si>
    <t xml:space="preserve">Limited to AED 5,000/- inclusive of 20% Co-pay
In-Network: Direct Billing
Out of Network: Reimbursement </t>
  </si>
  <si>
    <t xml:space="preserve">Limited to AED 3,500/- inclusive of 20% Co-pay
In-Network: Direct Billing
Out of Network: Reimbursement </t>
  </si>
  <si>
    <t xml:space="preserve">Limited to AED 2,500/- inclusive of 20% Co-pay
In-Network: Direct Billing
Out of Network: Reimbursement </t>
  </si>
  <si>
    <t xml:space="preserve">Limited to AED 1,500/- inclusive of 20% Co-pay
In-Network: Direct Billing
Out of Network: Reimbursement </t>
  </si>
  <si>
    <t>Table of Benefits - Group SME (AUH)</t>
  </si>
  <si>
    <r>
      <t xml:space="preserve">Default: NEXTCARE GN+
</t>
    </r>
    <r>
      <rPr>
        <sz val="11"/>
        <color theme="3"/>
        <rFont val="Arial"/>
        <family val="2"/>
      </rPr>
      <t>Option 1: NEXTCARE GN</t>
    </r>
  </si>
  <si>
    <r>
      <t>Default: NEXTCARE GN</t>
    </r>
    <r>
      <rPr>
        <sz val="11"/>
        <color theme="3"/>
        <rFont val="Arial"/>
        <family val="2"/>
      </rPr>
      <t xml:space="preserve">
Option 1: NEXTCARE RN</t>
    </r>
  </si>
  <si>
    <r>
      <t>NEXTCARE RN2</t>
    </r>
    <r>
      <rPr>
        <sz val="11"/>
        <color theme="3"/>
        <rFont val="Arial"/>
        <family val="2"/>
      </rPr>
      <t xml:space="preserve">
Option 1: NEXTCARE RN3</t>
    </r>
  </si>
  <si>
    <r>
      <rPr>
        <b/>
        <sz val="11"/>
        <color theme="3"/>
        <rFont val="Arial"/>
        <family val="2"/>
      </rPr>
      <t>Default: AED 50/-</t>
    </r>
    <r>
      <rPr>
        <sz val="11"/>
        <color theme="3"/>
        <rFont val="Arial"/>
        <family val="2"/>
      </rPr>
      <t xml:space="preserve">
</t>
    </r>
    <r>
      <rPr>
        <b/>
        <sz val="11"/>
        <color theme="3"/>
        <rFont val="Arial"/>
        <family val="2"/>
      </rPr>
      <t>Option 1</t>
    </r>
    <r>
      <rPr>
        <sz val="11"/>
        <color theme="3"/>
        <rFont val="Arial"/>
        <family val="2"/>
      </rPr>
      <t xml:space="preserve">: AED 25/-
</t>
    </r>
    <r>
      <rPr>
        <b/>
        <sz val="11"/>
        <color theme="3"/>
        <rFont val="Arial"/>
        <family val="2"/>
      </rPr>
      <t>Option 2</t>
    </r>
    <r>
      <rPr>
        <sz val="11"/>
        <color theme="3"/>
        <rFont val="Arial"/>
        <family val="2"/>
      </rPr>
      <t>: Nil</t>
    </r>
  </si>
  <si>
    <r>
      <rPr>
        <b/>
        <sz val="11"/>
        <color theme="3"/>
        <rFont val="Arial"/>
        <family val="2"/>
      </rPr>
      <t>Default: AED 50/-</t>
    </r>
    <r>
      <rPr>
        <sz val="11"/>
        <color theme="3"/>
        <rFont val="Arial"/>
        <family val="2"/>
      </rPr>
      <t xml:space="preserve">
Option 1: AED 25/-</t>
    </r>
  </si>
  <si>
    <t>Covered without Co-pay and up to aggregate annual limit</t>
  </si>
  <si>
    <t xml:space="preserve">Covered up to Annual Limit
MAF is mandatory for all members above 60 years old and for all the groups below 20 members </t>
  </si>
  <si>
    <r>
      <t xml:space="preserve">Reimbursement in Emergency Cases:
</t>
    </r>
    <r>
      <rPr>
        <b/>
        <sz val="9"/>
        <color theme="0"/>
        <rFont val="Arial"/>
        <family val="2"/>
      </rPr>
      <t>(emergency treatment must be notified within 24 hours if treatment was received within UAE)</t>
    </r>
  </si>
  <si>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9"/>
        <color theme="0"/>
        <rFont val="Arial"/>
        <family val="2"/>
      </rPr>
      <t>Dental emergency is any injury to your teeth or gums that can put you at a risk of permanent damage, such as Chipped or broken teeth, Knocked-out tooth ,Soft-tissue injuries and etc
earing Emergencies include Object/insect in the ear , ruptued eardrum ,  sudden hearing loss and etc
Vision Emergencies include  bleeding or discharge from or around the eye, double vision and Loss of vision, total or partial, one eye or both etc.</t>
    </r>
  </si>
  <si>
    <r>
      <t xml:space="preserve">Kidney Dialysis Treatment
</t>
    </r>
    <r>
      <rPr>
        <sz val="11"/>
        <color theme="0"/>
        <rFont val="Arial"/>
        <family val="2"/>
      </rPr>
      <t>Coverage for hemodialysis or peritoneal dialysis</t>
    </r>
  </si>
  <si>
    <t>Covered up to Maximum AED 35,000 per person per annum</t>
  </si>
  <si>
    <t>Covered up to Maximum AED 25,000 per person per annum</t>
  </si>
  <si>
    <r>
      <t xml:space="preserve"> Maternity services</t>
    </r>
    <r>
      <rPr>
        <sz val="10"/>
        <color theme="0"/>
        <rFont val="Arial"/>
        <family val="2"/>
      </rPr>
      <t/>
    </r>
  </si>
  <si>
    <r>
      <rPr>
        <b/>
        <i/>
        <u/>
        <sz val="11"/>
        <color theme="3"/>
        <rFont val="Arial"/>
        <family val="2"/>
      </rPr>
      <t>In-patient Maternity services:</t>
    </r>
    <r>
      <rPr>
        <b/>
        <i/>
        <sz val="11"/>
        <color theme="3"/>
        <rFont val="Arial"/>
        <family val="2"/>
      </rPr>
      <t xml:space="preserve"> 
Inside Abu Dhabi &amp; Al Ain: </t>
    </r>
    <r>
      <rPr>
        <i/>
        <sz val="11"/>
        <color theme="3"/>
        <rFont val="Arial"/>
        <family val="2"/>
      </rPr>
      <t xml:space="preserve">Covered up to the Annual Limit of the policy ( In-Patient &amp; Out-Patient)                                                                                                                Delivery inside Abu Dhabi &amp; Al Ain is subject to a deductible of AED 500/- as per HAAD law
</t>
    </r>
    <r>
      <rPr>
        <b/>
        <i/>
        <sz val="11"/>
        <color theme="3"/>
        <rFont val="Arial"/>
        <family val="2"/>
      </rPr>
      <t>Outside Abu Dhabi &amp; Al Ain: -</t>
    </r>
    <r>
      <rPr>
        <i/>
        <sz val="11"/>
        <color theme="3"/>
        <rFont val="Arial"/>
        <family val="2"/>
      </rPr>
      <t>Normal Delivery is covered up to AED 10,000/-, C-Section and maternity complications are covered up to AED  12,000/-, Medical Emergency related to Maternity  is covered up to AED 150,000/-</t>
    </r>
  </si>
  <si>
    <r>
      <t xml:space="preserve">Out-patient Maternity services: 
</t>
    </r>
    <r>
      <rPr>
        <i/>
        <sz val="11"/>
        <color theme="3"/>
        <rFont val="Arial"/>
        <family val="2"/>
      </rPr>
      <t xml:space="preserve">covered up to the Annual Limit of the policy subject to the same deductible in the selected plan on consultation </t>
    </r>
  </si>
  <si>
    <t>Covered up to Maximum AED 20,000 per person per annum</t>
  </si>
  <si>
    <r>
      <t>Dental benefit ( subject to additional premium)
C</t>
    </r>
    <r>
      <rPr>
        <sz val="10"/>
        <color theme="0"/>
        <rFont val="Arial"/>
        <family val="2"/>
      </rPr>
      <t>overs the following: Consultation &amp; X-Ray, Scaling &amp; Polishing, Tooth Extraction, Amalgam fillings, Temporary and/or permanent composite, fillings and root canal treatment only.</t>
    </r>
  </si>
  <si>
    <t xml:space="preserve">Limited to AED 5,000/- subject to 20% Co-pay
In-Network: Direct Billing
Out of Network: Reimbursement </t>
  </si>
  <si>
    <t xml:space="preserve">Limited to AED 3,500/- subject to 20% Co-pay
In-Network: Direct Billing
Out of Network: Reimbursement </t>
  </si>
  <si>
    <t xml:space="preserve">Limited to AED 2,500/- subject to 20% Co-pay
In-Network: Direct Billing
Out of Network: Reimbursement </t>
  </si>
  <si>
    <r>
      <t>Optical benefit ( subject to additional premium)
C</t>
    </r>
    <r>
      <rPr>
        <sz val="10"/>
        <color theme="0"/>
        <rFont val="Arial"/>
        <family val="2"/>
      </rPr>
      <t xml:space="preserve">overs the following:  Optical examinations conducted for the purpose of obtaining eye glasses or  lenses, Consultation by an ophthalmologist, Sight testing, Medication (included within the optical benefit)                                                                                       
</t>
    </r>
    <r>
      <rPr>
        <b/>
        <sz val="10"/>
        <color theme="0"/>
        <rFont val="Arial"/>
        <family val="2"/>
      </rPr>
      <t>Subject to following Sub Limits :</t>
    </r>
    <r>
      <rPr>
        <sz val="10"/>
        <color theme="0"/>
        <rFont val="Arial"/>
        <family val="2"/>
      </rPr>
      <t xml:space="preserve">
AED 300/- per pair per single vision lenses.
AED 400/- per pair per bifocal or tri-focal vision lenses.
AED 500/- per pair of contact lenses
AED 500/- per frame per year</t>
    </r>
  </si>
  <si>
    <t xml:space="preserve">Limited to AED 750/- subject to 20% Co-pay
In-Network: Direct Billing
Out of Network: Reimbursement </t>
  </si>
  <si>
    <t>Limited to AED 2,000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</si>
  <si>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1,600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</si>
  <si>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This benefit gives members access through the Lumi mobile application to a highly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</si>
  <si>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Coverage for an Annual Health Check-up Package with Nextcare partner providers, subject to a 20% coinsurance and the following annual limits (as per the member's Medical Out-Patient Network): 
GN+ :   AED 1,500
GN :   AED 1,000
RN :  AED 500
RN2 :   Not Covered
RN3 :   Not Covered
Member to check with Nextcare the latest list of approved packages. Coverage on Reimbursement basis only.</t>
  </si>
  <si>
    <t>Last update</t>
  </si>
  <si>
    <t>Parent tool</t>
  </si>
  <si>
    <t>NGI</t>
  </si>
  <si>
    <t>Expiry date</t>
  </si>
  <si>
    <t>Payer Name</t>
  </si>
  <si>
    <t>General_Expenses</t>
  </si>
  <si>
    <t>RI_Brokerage</t>
  </si>
  <si>
    <t>Covers Education</t>
  </si>
  <si>
    <t>Covers Medical</t>
  </si>
  <si>
    <t>Life Coverage</t>
  </si>
  <si>
    <t>Has Renewal</t>
  </si>
  <si>
    <t>Loading Sheet Password</t>
  </si>
  <si>
    <t>Minimum Commission</t>
  </si>
  <si>
    <t>Maximum Commission</t>
  </si>
  <si>
    <t>Show Commission</t>
  </si>
  <si>
    <t>Orient Broker 5% to 10%</t>
  </si>
  <si>
    <t>ORIENT132</t>
  </si>
  <si>
    <t>Life Coverage Type</t>
  </si>
  <si>
    <t>Emirate</t>
  </si>
  <si>
    <t>Header</t>
  </si>
  <si>
    <t>Description</t>
  </si>
  <si>
    <t>Accidental Death Benefit</t>
  </si>
  <si>
    <t xml:space="preserve">Cash benefit in case of accidental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</si>
  <si>
    <t>The following cash benefit (as per the member's Medical Out-Patient Network) shall be payable to a member's declared beneficiary in the event of death due to an accident: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</si>
  <si>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accidental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</si>
  <si>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due to an accident: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</si>
  <si>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Death</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</si>
  <si>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t>
    </r>
    <r>
      <rPr>
        <b/>
        <sz val="10"/>
        <color theme="0"/>
        <rFont val="Arial"/>
        <family val="2"/>
      </rPr>
      <t xml:space="preserve">
</t>
    </r>
  </si>
  <si>
    <t>The following cash benefit (as per the member's Medical Out-Patient Network) shall be payable to a member's declared beneficiary in the event of death: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</si>
  <si>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</si>
  <si>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</si>
  <si>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Group Application Form</t>
  </si>
  <si>
    <t>*Information provided on this form should be in accordance with the final signed, stamped &amp; approved quotation</t>
  </si>
  <si>
    <t>Policyholder Name:</t>
  </si>
  <si>
    <t>Entity ID:</t>
  </si>
  <si>
    <t>3 = Establishment (DO NOT CHANGE PLEASE)</t>
  </si>
  <si>
    <t>Virgin Group:</t>
  </si>
  <si>
    <t>Reinsurer Name:</t>
  </si>
  <si>
    <t>AGA</t>
  </si>
  <si>
    <t>Policy No:</t>
  </si>
  <si>
    <t>Policy Type</t>
  </si>
  <si>
    <t>New</t>
  </si>
  <si>
    <t>Renewal</t>
  </si>
  <si>
    <t>Payment Mode:</t>
  </si>
  <si>
    <t>Annual</t>
  </si>
  <si>
    <t>Semi Annual</t>
  </si>
  <si>
    <t>Quarterly</t>
  </si>
  <si>
    <t>Group Scheme</t>
  </si>
  <si>
    <t>Compulsory</t>
  </si>
  <si>
    <t>Voluntary</t>
  </si>
  <si>
    <t>Effective Date of Policy (as per final signed quote): (dd/mm/yyyy)</t>
  </si>
  <si>
    <t>Underwriting conditions</t>
  </si>
  <si>
    <t>Choose Multiple Emirates applicable for the group</t>
  </si>
  <si>
    <t>*Location of group (Region)</t>
  </si>
  <si>
    <t>AUH / AL AIN</t>
  </si>
  <si>
    <t>SHJ</t>
  </si>
  <si>
    <t>RAK</t>
  </si>
  <si>
    <t>UAQ</t>
  </si>
  <si>
    <t>FUJ</t>
  </si>
  <si>
    <t>AJM</t>
  </si>
  <si>
    <t>Insurance Co. Loading (%)</t>
  </si>
  <si>
    <t>Broker/IDM Loading</t>
  </si>
  <si>
    <t>Reinsurance Loading</t>
  </si>
  <si>
    <t xml:space="preserve">TPA Loadings (%) </t>
  </si>
  <si>
    <t>The source of Business (Broker/Direct/IDM/BCH):</t>
  </si>
  <si>
    <t>Business Sournce Name :(Broker/Direct/IDM/BCH):</t>
  </si>
  <si>
    <t>Number of Categories</t>
  </si>
  <si>
    <t>Workmen Compensation</t>
  </si>
  <si>
    <t>Nature of Business</t>
  </si>
  <si>
    <t>MEMBER ELIGIBILITY ON POLICY/PLAN:</t>
  </si>
  <si>
    <t>Employee &amp; Dependents Scheme</t>
  </si>
  <si>
    <t>Notes: (for any deviations on any specific Category/Plan)</t>
  </si>
  <si>
    <t xml:space="preserve">*Attach final Premium computation table along with final signed T.O.B from the client on the confirmation email to Production team along with a duly completed GAF by HO/Branch Underwriters &amp; a Policy Information sheet from client.  
*No policy will be enrolled/renewed in absence of signed T.O.B from client
</t>
  </si>
  <si>
    <t>Prepared &amp; Checked at ORIENT by:</t>
  </si>
  <si>
    <t xml:space="preserve">QUOTATION REF#: </t>
  </si>
  <si>
    <t>Underwriter Name:</t>
  </si>
  <si>
    <t>Underwriting Office: (Branch / Head Office)</t>
  </si>
  <si>
    <t>Invoice Setup:</t>
  </si>
  <si>
    <t>Main Group</t>
  </si>
  <si>
    <t>Sub Groups</t>
  </si>
  <si>
    <t>Card Printing Options</t>
  </si>
  <si>
    <t>TEATY RETENTION</t>
  </si>
  <si>
    <t>PAYER</t>
  </si>
  <si>
    <t>AWP</t>
  </si>
  <si>
    <t xml:space="preserve">DATE:  </t>
  </si>
  <si>
    <t>Entity ID</t>
  </si>
  <si>
    <t>MENTION THE TRADE LICENSE NO.</t>
  </si>
  <si>
    <t>CAT A</t>
  </si>
  <si>
    <t>CAT B</t>
  </si>
  <si>
    <t>CAT C</t>
  </si>
  <si>
    <t>CAT D</t>
  </si>
  <si>
    <t>HAAD #</t>
  </si>
  <si>
    <t>DHA #/Product Code</t>
  </si>
  <si>
    <t>Product ID</t>
  </si>
  <si>
    <t>INS0008</t>
  </si>
  <si>
    <t>Inflation if Group above 100</t>
  </si>
  <si>
    <t xml:space="preserve">Loadings if Medical Provider </t>
  </si>
  <si>
    <r>
      <t xml:space="preserve">Gender </t>
    </r>
    <r>
      <rPr>
        <i/>
        <sz val="11"/>
        <color theme="1"/>
        <rFont val="Arial"/>
        <family val="2"/>
      </rPr>
      <t xml:space="preserve">
M/F</t>
    </r>
  </si>
  <si>
    <r>
      <t xml:space="preserve">Status 
</t>
    </r>
    <r>
      <rPr>
        <sz val="11"/>
        <color theme="1"/>
        <rFont val="Arial"/>
        <family val="2"/>
      </rPr>
      <t>S</t>
    </r>
    <r>
      <rPr>
        <i/>
        <sz val="11"/>
        <color theme="1"/>
        <rFont val="Arial"/>
        <family val="2"/>
      </rPr>
      <t>/M</t>
    </r>
  </si>
  <si>
    <r>
      <t xml:space="preserve">Area
</t>
    </r>
    <r>
      <rPr>
        <i/>
        <sz val="11"/>
        <color theme="1"/>
        <rFont val="Arial"/>
        <family val="2"/>
      </rPr>
      <t>Dubai &amp; Others /Abu Dhabi &amp; Al Ain</t>
    </r>
  </si>
  <si>
    <t>Addition Date</t>
  </si>
  <si>
    <t>Deviation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</si>
</sst>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409]d/mmm/yy;@"/>
    <numFmt numFmtId="166" formatCode="_(* #,##0_);_(* \(#,##0\);_(* &quot;-&quot;??_);_(@_)"/>
    <numFmt numFmtId="167" formatCode="#,##0_-;#,##0_-;\ &quot;-&quot;??_-;_-@_-"/>
    <numFmt numFmtId="168" formatCode="_-* #,##0_-;\-* #,##0_-;_-* &quot;-&quot;??_-;_-@_-"/>
    <numFmt numFmtId="169" formatCode="0.000000000000000%"/>
    <numFmt numFmtId="170" formatCode="0.0000%"/>
    <numFmt numFmtId="171" formatCode="[$-409]d\-mmm\-yy;@"/>
    <numFmt numFmtId="172" formatCode="[$-F800]dddd\,\ mmmm\ dd\,\ yyyy"/>
    <numFmt numFmtId="173" formatCode="dd/mm/yyyy;@"/>
    <numFmt numFmtId="174" formatCode="#,##0.00_-;#,##0.00_-;\ &quot;-&quot;??_-;_-@_-"/>
    <numFmt numFmtId="175" formatCode="#,##0.0"/>
    <numFmt numFmtId="176" formatCode="#,##0.0_);\(#,##0.0\)"/>
  </numFmts>
  <fonts count="163" x14ac:knownFonts="1">
    <font>
      <sz val="11"/>
      <color theme="1"/>
      <name val="Calibri"/>
      <family val="2"/>
      <scheme val="minor"/>
    </font>
    <font>
      <sz val="11"/>
      <color theme="1"/>
      <name val="Calibri"/>
      <family val="2"/>
      <scheme val="minor"/>
    </font>
    <font>
      <b/>
      <sz val="10"/>
      <color theme="0"/>
      <name val="Arial"/>
      <family val="2"/>
    </font>
    <font>
      <sz val="10"/>
      <color theme="3"/>
      <name val="Arial"/>
      <family val="2"/>
    </font>
    <font>
      <sz val="10"/>
      <color theme="1"/>
      <name val="Calibri"/>
      <family val="2"/>
    </font>
    <font>
      <sz val="10"/>
      <name val="Arial"/>
      <family val="2"/>
    </font>
    <font>
      <sz val="10"/>
      <color theme="0"/>
      <name val="Arial"/>
      <family val="2"/>
    </font>
    <font>
      <b/>
      <i/>
      <sz val="20"/>
      <color theme="0"/>
      <name val="Arial"/>
      <family val="2"/>
    </font>
    <font>
      <sz val="11"/>
      <color theme="1"/>
      <name val="Arial"/>
      <family val="2"/>
    </font>
    <font>
      <sz val="11"/>
      <color theme="3"/>
      <name val="Arial"/>
      <family val="2"/>
    </font>
    <font>
      <b/>
      <sz val="11"/>
      <color theme="3"/>
      <name val="Arial"/>
      <family val="2"/>
    </font>
    <font>
      <i/>
      <sz val="11"/>
      <color theme="3"/>
      <name val="Arial"/>
      <family val="2"/>
    </font>
    <font>
      <b/>
      <i/>
      <u/>
      <sz val="11"/>
      <color theme="3"/>
      <name val="Arial"/>
      <family val="2"/>
    </font>
    <font>
      <b/>
      <i/>
      <sz val="11"/>
      <color theme="3"/>
      <name val="Arial"/>
      <family val="2"/>
    </font>
    <font>
      <sz val="8"/>
      <name val="Arial"/>
      <family val="2"/>
    </font>
    <font>
      <b/>
      <sz val="9"/>
      <color indexed="81"/>
      <name val="Tahoma"/>
      <family val="2"/>
    </font>
    <font>
      <b/>
      <u/>
      <sz val="11"/>
      <name val="Arial"/>
      <family val="2"/>
    </font>
    <font>
      <b/>
      <sz val="11"/>
      <color theme="1"/>
      <name val="Calibri"/>
      <family val="2"/>
      <scheme val="minor"/>
    </font>
    <font>
      <sz val="9"/>
      <name val="Arial"/>
      <family val="2"/>
    </font>
    <font>
      <sz val="11"/>
      <color rgb="FFFF0000"/>
      <name val="Calibri"/>
      <family val="2"/>
      <scheme val="minor"/>
    </font>
    <font>
      <sz val="11"/>
      <name val="Calibri"/>
      <family val="2"/>
      <scheme val="minor"/>
    </font>
    <font>
      <sz val="9"/>
      <color theme="1"/>
      <name val="Calibri"/>
      <family val="2"/>
      <scheme val="minor"/>
    </font>
    <font>
      <sz val="9"/>
      <color indexed="81"/>
      <name val="Tahoma"/>
      <family val="2"/>
    </font>
    <font>
      <b/>
      <i/>
      <sz val="11"/>
      <color rgb="FFC00000"/>
      <name val="Arial"/>
      <family val="2"/>
    </font>
    <font>
      <b/>
      <sz val="11"/>
      <color theme="0"/>
      <name val="Arial"/>
      <family val="2"/>
    </font>
    <font>
      <b/>
      <sz val="11"/>
      <color theme="1"/>
      <name val="Arial"/>
      <family val="2"/>
    </font>
    <font>
      <b/>
      <sz val="11"/>
      <color rgb="FFFF0000"/>
      <name val="Arial"/>
      <family val="2"/>
    </font>
    <font>
      <b/>
      <i/>
      <sz val="11"/>
      <color theme="1"/>
      <name val="Arial"/>
      <family val="2"/>
    </font>
    <font>
      <sz val="11"/>
      <name val="Arial"/>
      <family val="2"/>
    </font>
    <font>
      <b/>
      <sz val="11"/>
      <name val="Arial"/>
      <family val="2"/>
    </font>
    <font>
      <i/>
      <sz val="11"/>
      <color theme="1"/>
      <name val="Arial"/>
      <family val="2"/>
    </font>
    <font>
      <b/>
      <i/>
      <sz val="14"/>
      <color theme="0"/>
      <name val="Arial"/>
      <family val="2"/>
    </font>
    <font>
      <b/>
      <sz val="14"/>
      <color theme="0"/>
      <name val="Arial"/>
      <family val="2"/>
    </font>
    <font>
      <b/>
      <sz val="16"/>
      <color theme="0"/>
      <name val="Arial"/>
      <family val="2"/>
    </font>
    <font>
      <u/>
      <sz val="10"/>
      <color rgb="FFFF0000"/>
      <name val="Arial"/>
      <family val="2"/>
    </font>
    <font>
      <b/>
      <i/>
      <u/>
      <sz val="12"/>
      <color rgb="FFC00000"/>
      <name val="Arial"/>
      <family val="2"/>
    </font>
    <font>
      <b/>
      <i/>
      <sz val="12"/>
      <color rgb="FFC00000"/>
      <name val="Arial"/>
      <family val="2"/>
    </font>
    <font>
      <sz val="11"/>
      <color rgb="FFFF0000"/>
      <name val="Arial"/>
      <family val="2"/>
    </font>
    <font>
      <sz val="11"/>
      <color theme="0" tint="-0.14999847407452621"/>
      <name val="Arial"/>
      <family val="2"/>
    </font>
    <font>
      <b/>
      <i/>
      <sz val="16"/>
      <color theme="0"/>
      <name val="Baskerville Old Face"/>
      <family val="1"/>
    </font>
    <font>
      <b/>
      <sz val="22"/>
      <color theme="3" tint="-0.499984740745262"/>
      <name val="Arial"/>
      <family val="2"/>
    </font>
    <font>
      <sz val="11"/>
      <color theme="0"/>
      <name val="Arial"/>
      <family val="2"/>
    </font>
    <font>
      <b/>
      <sz val="24"/>
      <color theme="1"/>
      <name val="Arial"/>
      <family val="2"/>
    </font>
    <font>
      <sz val="12"/>
      <color theme="1"/>
      <name val="Arial"/>
      <family val="2"/>
    </font>
    <font>
      <b/>
      <sz val="12"/>
      <color theme="1"/>
      <name val="Arial"/>
      <family val="2"/>
    </font>
    <font>
      <b/>
      <i/>
      <sz val="12"/>
      <color theme="0"/>
      <name val="Arial"/>
      <family val="2"/>
    </font>
    <font>
      <sz val="12"/>
      <color theme="3"/>
      <name val="Arial"/>
      <family val="2"/>
    </font>
    <font>
      <i/>
      <sz val="12"/>
      <color theme="0"/>
      <name val="Arial"/>
      <family val="2"/>
    </font>
    <font>
      <i/>
      <sz val="12"/>
      <color indexed="9"/>
      <name val="Arial"/>
      <family val="2"/>
    </font>
    <font>
      <b/>
      <sz val="12"/>
      <name val="Arial"/>
      <family val="2"/>
    </font>
    <font>
      <b/>
      <i/>
      <sz val="11"/>
      <color rgb="FFFFFFFF"/>
      <name val="Arial"/>
      <family val="2"/>
    </font>
    <font>
      <b/>
      <i/>
      <sz val="11"/>
      <color theme="0"/>
      <name val="Arial"/>
      <family val="2"/>
    </font>
    <font>
      <sz val="10"/>
      <color indexed="9"/>
      <name val="Arial"/>
      <family val="2"/>
    </font>
    <font>
      <sz val="8"/>
      <color theme="0"/>
      <name val="Arial"/>
      <family val="2"/>
    </font>
    <font>
      <b/>
      <sz val="18"/>
      <color theme="1"/>
      <name val="Arial"/>
      <family val="2"/>
    </font>
    <font>
      <sz val="14"/>
      <color theme="1"/>
      <name val="Arial"/>
      <family val="2"/>
    </font>
    <font>
      <b/>
      <i/>
      <sz val="14"/>
      <color rgb="FFC00000"/>
      <name val="Arial"/>
      <family val="2"/>
    </font>
    <font>
      <b/>
      <i/>
      <sz val="16"/>
      <color rgb="FFC00000"/>
      <name val="Arial"/>
      <family val="2"/>
    </font>
    <font>
      <sz val="16"/>
      <color theme="1"/>
      <name val="Arial"/>
      <family val="2"/>
    </font>
    <font>
      <b/>
      <sz val="26"/>
      <color theme="3" tint="-0.499984740745262"/>
      <name val="Arial"/>
      <family val="2"/>
    </font>
    <font>
      <b/>
      <sz val="18"/>
      <color theme="0"/>
      <name val="Arial"/>
      <family val="2"/>
    </font>
    <font>
      <sz val="18"/>
      <color theme="1"/>
      <name val="Arial"/>
      <family val="2"/>
    </font>
    <font>
      <b/>
      <sz val="18"/>
      <color rgb="FFFF0000"/>
      <name val="Arial"/>
      <family val="2"/>
    </font>
    <font>
      <b/>
      <i/>
      <sz val="18"/>
      <color rgb="FFFFFFFF"/>
      <name val="Arial"/>
      <family val="2"/>
    </font>
    <font>
      <b/>
      <i/>
      <sz val="18"/>
      <color theme="1"/>
      <name val="Arial"/>
      <family val="2"/>
    </font>
    <font>
      <sz val="18"/>
      <name val="Arial"/>
      <family val="2"/>
    </font>
    <font>
      <b/>
      <sz val="18"/>
      <name val="Arial"/>
      <family val="2"/>
    </font>
    <font>
      <b/>
      <i/>
      <sz val="18"/>
      <color rgb="FFC00000"/>
      <name val="Arial"/>
      <family val="2"/>
    </font>
    <font>
      <b/>
      <i/>
      <u/>
      <sz val="16"/>
      <color rgb="FFC00000"/>
      <name val="Arial"/>
      <family val="2"/>
    </font>
    <font>
      <sz val="11"/>
      <color theme="0" tint="-0.34998626667073579"/>
      <name val="Arial"/>
      <family val="2"/>
    </font>
    <font>
      <b/>
      <sz val="16"/>
      <color theme="1"/>
      <name val="Arial"/>
      <family val="2"/>
    </font>
    <font>
      <b/>
      <i/>
      <sz val="16"/>
      <color rgb="FFFFFFFF"/>
      <name val="Arial"/>
      <family val="2"/>
    </font>
    <font>
      <sz val="16"/>
      <color theme="0" tint="-0.34998626667073579"/>
      <name val="Arial"/>
      <family val="2"/>
    </font>
    <font>
      <b/>
      <i/>
      <sz val="16"/>
      <color theme="1"/>
      <name val="Arial"/>
      <family val="2"/>
    </font>
    <font>
      <sz val="16"/>
      <name val="Arial"/>
      <family val="2"/>
    </font>
    <font>
      <b/>
      <sz val="16"/>
      <name val="Arial"/>
      <family val="2"/>
    </font>
    <font>
      <b/>
      <i/>
      <sz val="20"/>
      <color rgb="FFC00000"/>
      <name val="Arial"/>
      <family val="2"/>
    </font>
    <font>
      <b/>
      <sz val="28"/>
      <color theme="3" tint="-0.499984740745262"/>
      <name val="Arial"/>
      <family val="2"/>
    </font>
    <font>
      <sz val="11"/>
      <color theme="0" tint="-0.499984740745262"/>
      <name val="Arial"/>
      <family val="2"/>
    </font>
    <font>
      <b/>
      <sz val="14"/>
      <color theme="1"/>
      <name val="Arial"/>
      <family val="2"/>
    </font>
    <font>
      <sz val="14"/>
      <color rgb="FFFF0000"/>
      <name val="Arial"/>
      <family val="2"/>
    </font>
    <font>
      <sz val="14"/>
      <name val="Arial"/>
      <family val="2"/>
    </font>
    <font>
      <sz val="12"/>
      <color rgb="FFFF0000"/>
      <name val="Calibri"/>
      <family val="2"/>
      <scheme val="minor"/>
    </font>
    <font>
      <sz val="12"/>
      <color theme="0"/>
      <name val="Arial"/>
      <family val="2"/>
    </font>
    <font>
      <b/>
      <sz val="9"/>
      <color theme="0"/>
      <name val="Arial"/>
      <family val="2"/>
    </font>
    <font>
      <b/>
      <sz val="12"/>
      <color theme="0"/>
      <name val="Arial"/>
      <family val="2"/>
    </font>
    <font>
      <i/>
      <sz val="8"/>
      <color theme="0"/>
      <name val="Arial"/>
      <family val="2"/>
    </font>
    <font>
      <sz val="9"/>
      <color theme="0"/>
      <name val="Arial"/>
      <family val="2"/>
    </font>
    <font>
      <b/>
      <sz val="8"/>
      <color theme="0"/>
      <name val="Arial"/>
      <family val="2"/>
    </font>
    <font>
      <sz val="16"/>
      <color theme="0"/>
      <name val="Arial"/>
      <family val="2"/>
    </font>
    <font>
      <b/>
      <sz val="11"/>
      <color rgb="FFFF0000"/>
      <name val="Calibri"/>
      <family val="2"/>
      <scheme val="minor"/>
    </font>
    <font>
      <b/>
      <u/>
      <sz val="11"/>
      <color theme="3"/>
      <name val="Arial"/>
      <family val="2"/>
    </font>
    <font>
      <b/>
      <sz val="11"/>
      <color rgb="FFC00000"/>
      <name val="Calibri"/>
      <family val="2"/>
      <scheme val="minor"/>
    </font>
    <font>
      <b/>
      <sz val="10"/>
      <color rgb="FFC00000"/>
      <name val="Calibri"/>
      <family val="2"/>
      <scheme val="minor"/>
    </font>
    <font>
      <sz val="10"/>
      <color theme="1"/>
      <name val="Calibri"/>
      <family val="2"/>
      <scheme val="minor"/>
    </font>
    <font>
      <b/>
      <sz val="10"/>
      <color theme="0"/>
      <name val="Calibri"/>
      <family val="2"/>
      <scheme val="minor"/>
    </font>
    <font>
      <sz val="10"/>
      <color theme="1"/>
      <name val="Arial"/>
      <family val="2"/>
    </font>
    <font>
      <b/>
      <sz val="10"/>
      <color theme="1"/>
      <name val="Calibri"/>
      <family val="2"/>
      <scheme val="minor"/>
    </font>
    <font>
      <b/>
      <sz val="14"/>
      <color rgb="FFC00000"/>
      <name val="Calibri"/>
      <family val="2"/>
      <scheme val="minor"/>
    </font>
    <font>
      <b/>
      <sz val="9"/>
      <color theme="1"/>
      <name val="Calibri"/>
      <family val="2"/>
      <scheme val="minor"/>
    </font>
    <font>
      <sz val="11"/>
      <color rgb="FF000000"/>
      <name val="Calibri"/>
      <family val="2"/>
    </font>
    <font>
      <b/>
      <sz val="16"/>
      <color theme="1"/>
      <name val="Calibri"/>
      <family val="2"/>
      <scheme val="minor"/>
    </font>
    <font>
      <i/>
      <sz val="11"/>
      <color rgb="FFC00000"/>
      <name val="Calibri"/>
      <family val="2"/>
      <scheme val="minor"/>
    </font>
    <font>
      <b/>
      <i/>
      <sz val="10"/>
      <color rgb="FFC00000"/>
      <name val="Arial"/>
      <family val="2"/>
    </font>
    <font>
      <i/>
      <sz val="8"/>
      <name val="Arial"/>
      <family val="2"/>
    </font>
    <font>
      <b/>
      <sz val="12"/>
      <color rgb="FFC00000"/>
      <name val="Calibri"/>
      <family val="2"/>
      <scheme val="minor"/>
    </font>
    <font>
      <b/>
      <sz val="12"/>
      <color rgb="FFC00000"/>
      <name val="Arial"/>
      <family val="2"/>
    </font>
    <font>
      <b/>
      <u/>
      <sz val="14"/>
      <name val="Calibri"/>
      <family val="2"/>
      <scheme val="minor"/>
    </font>
    <font>
      <sz val="10"/>
      <name val="Calibri"/>
      <family val="2"/>
      <scheme val="minor"/>
    </font>
    <font>
      <sz val="8"/>
      <color theme="1"/>
      <name val="Calibri"/>
      <family val="2"/>
      <scheme val="minor"/>
    </font>
    <font>
      <b/>
      <sz val="20"/>
      <name val="Arial"/>
      <family val="2"/>
    </font>
    <font>
      <i/>
      <sz val="10"/>
      <color rgb="FFFF0000"/>
      <name val="Arial"/>
      <family val="2"/>
    </font>
    <font>
      <b/>
      <sz val="10"/>
      <name val="Arial"/>
      <family val="2"/>
    </font>
    <font>
      <b/>
      <u/>
      <sz val="10"/>
      <name val="Arial"/>
      <family val="2"/>
    </font>
    <font>
      <b/>
      <sz val="8"/>
      <name val="Arial"/>
      <family val="2"/>
    </font>
    <font>
      <b/>
      <sz val="12"/>
      <name val="Cambria"/>
      <family val="1"/>
    </font>
    <font>
      <b/>
      <sz val="18"/>
      <color rgb="FFC00000"/>
      <name val="Calibri"/>
      <family val="2"/>
      <scheme val="minor"/>
    </font>
    <font>
      <b/>
      <u/>
      <sz val="14"/>
      <color theme="1"/>
      <name val="Calibri"/>
      <family val="2"/>
      <scheme val="minor"/>
    </font>
    <font>
      <b/>
      <sz val="12"/>
      <color theme="1"/>
      <name val="Calibri"/>
      <family val="2"/>
      <scheme val="minor"/>
    </font>
    <font>
      <sz val="12"/>
      <color theme="1"/>
      <name val="Calibri"/>
      <family val="2"/>
      <scheme val="minor"/>
    </font>
    <font>
      <i/>
      <sz val="12"/>
      <color rgb="FFC00000"/>
      <name val="Calibri"/>
      <family val="2"/>
      <scheme val="minor"/>
    </font>
    <font>
      <b/>
      <sz val="12"/>
      <name val="Calibri"/>
      <family val="2"/>
      <scheme val="minor"/>
    </font>
    <font>
      <sz val="12"/>
      <name val="Calibri"/>
      <family val="2"/>
      <scheme val="minor"/>
    </font>
    <font>
      <sz val="12"/>
      <color rgb="FFC00000"/>
      <name val="Calibri"/>
      <family val="2"/>
      <scheme val="minor"/>
    </font>
    <font>
      <i/>
      <sz val="12"/>
      <name val="Calibri"/>
      <family val="2"/>
      <scheme val="minor"/>
    </font>
    <font>
      <sz val="15"/>
      <color rgb="FFFF0000"/>
      <name val="Arial"/>
      <family val="2"/>
    </font>
    <font>
      <sz val="11"/>
      <color rgb="FFC00000"/>
      <name val="Arial"/>
      <family val="2"/>
    </font>
    <font>
      <b/>
      <sz val="11"/>
      <color rgb="FFC00000"/>
      <name val="Arial"/>
      <family val="2"/>
    </font>
    <font>
      <i/>
      <sz val="10"/>
      <name val="Arial"/>
      <family val="2"/>
    </font>
    <font>
      <u/>
      <sz val="20"/>
      <color rgb="FFC00000"/>
      <name val="Arial"/>
      <family val="2"/>
    </font>
    <font>
      <u/>
      <sz val="18"/>
      <color rgb="FFC00000"/>
      <name val="Arial"/>
      <family val="2"/>
    </font>
    <font>
      <sz val="11"/>
      <color theme="0"/>
      <name val="Calibri"/>
      <family val="2"/>
      <scheme val="minor"/>
    </font>
    <font>
      <sz val="8.5"/>
      <name val="Tahoma"/>
      <family val="2"/>
    </font>
    <font>
      <b/>
      <u/>
      <sz val="12"/>
      <color rgb="FFC00000"/>
      <name val="Arial"/>
      <family val="2"/>
    </font>
    <font>
      <b/>
      <i/>
      <sz val="12"/>
      <color rgb="FFC00000"/>
      <name val="Calibri"/>
      <family val="2"/>
      <scheme val="minor"/>
    </font>
    <font>
      <b/>
      <i/>
      <u/>
      <sz val="12"/>
      <color rgb="FFC00000"/>
      <name val="Calibri"/>
      <family val="2"/>
      <scheme val="minor"/>
    </font>
    <font>
      <u/>
      <sz val="18"/>
      <color theme="0"/>
      <name val="Arial"/>
      <family val="2"/>
    </font>
    <font>
      <sz val="11"/>
      <color rgb="FFC00000"/>
      <name val="Calibri"/>
      <family val="2"/>
      <scheme val="minor"/>
    </font>
    <font>
      <b/>
      <i/>
      <sz val="10"/>
      <color theme="0"/>
      <name val="Arial"/>
      <family val="2"/>
    </font>
    <font>
      <b/>
      <sz val="11"/>
      <color rgb="FF000000"/>
      <name val="Calibri"/>
      <family val="2"/>
    </font>
    <font>
      <sz val="11"/>
      <color theme="1"/>
      <name val="Calibri"/>
      <family val="2"/>
    </font>
    <font>
      <b/>
      <sz val="9"/>
      <color rgb="FF000000"/>
      <name val="Calibri"/>
      <family val="2"/>
    </font>
    <font>
      <b/>
      <sz val="11"/>
      <color theme="1"/>
      <name val="Calibri"/>
      <family val="2"/>
    </font>
    <font>
      <b/>
      <sz val="12"/>
      <color rgb="FFC00000"/>
      <name val="Calibri"/>
      <family val="2"/>
    </font>
    <font>
      <b/>
      <sz val="11"/>
      <color rgb="FFC00000"/>
      <name val="Calibri"/>
      <family val="2"/>
    </font>
    <font>
      <b/>
      <sz val="14"/>
      <color rgb="FFC00000"/>
      <name val="Calibri"/>
      <family val="2"/>
    </font>
    <font>
      <b/>
      <sz val="11"/>
      <color rgb="FFFF0000"/>
      <name val="Calibri"/>
      <family val="2"/>
    </font>
    <font>
      <u/>
      <sz val="11"/>
      <color rgb="FF000000"/>
      <name val="Calibri"/>
      <family val="2"/>
    </font>
    <font>
      <u/>
      <sz val="11"/>
      <color theme="10"/>
      <name val="Calibri"/>
      <family val="2"/>
      <scheme val="minor"/>
    </font>
    <font>
      <i/>
      <sz val="11"/>
      <color theme="0"/>
      <name val="Arial"/>
      <family val="2"/>
    </font>
    <font>
      <u/>
      <sz val="11"/>
      <color rgb="FFFF0000"/>
      <name val="Calibri"/>
      <family val="2"/>
      <scheme val="minor"/>
    </font>
    <font>
      <sz val="10"/>
      <color rgb="FF000000"/>
      <name val="Calibri"/>
      <family val="2"/>
    </font>
    <font>
      <b/>
      <i/>
      <sz val="12"/>
      <color rgb="FFFFFFFF"/>
      <name val="Arial"/>
      <family val="2"/>
    </font>
    <font>
      <i/>
      <sz val="12"/>
      <color rgb="FFFFFFFF"/>
      <name val="Arial"/>
      <family val="2"/>
    </font>
    <font>
      <b/>
      <sz val="10"/>
      <color rgb="FFFFFFFF"/>
      <name val="Arial"/>
      <family val="2"/>
    </font>
    <font>
      <sz val="10"/>
      <color rgb="FFFFFFFF"/>
      <name val="Arial"/>
      <family val="2"/>
    </font>
    <font>
      <i/>
      <sz val="11"/>
      <color theme="1"/>
      <name val="Calibri"/>
      <family val="2"/>
      <scheme val="minor"/>
    </font>
    <font>
      <u/>
      <sz val="9"/>
      <color rgb="FFC00000"/>
      <name val="Arial"/>
      <family val="2"/>
    </font>
    <font>
      <i/>
      <sz val="9"/>
      <color theme="0"/>
      <name val="Arial"/>
      <family val="2"/>
    </font>
    <font>
      <sz val="11"/>
      <color rgb="FF3F3F76"/>
      <name val="Calibri"/>
      <family val="2"/>
      <scheme val="minor"/>
    </font>
    <font>
      <b/>
      <sz val="14"/>
      <color rgb="FFFF0000"/>
      <name val="Calibri"/>
      <family val="2"/>
    </font>
    <font>
      <b/>
      <sz val="20"/>
      <color rgb="FF000000"/>
      <name val="Calibri"/>
      <family val="2"/>
    </font>
    <font>
      <b/>
      <sz val="22"/>
      <color rgb="FF000000"/>
      <name val="Calibri"/>
      <family val="2"/>
    </font>
  </fonts>
  <fills count="38">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indexed="9"/>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indexed="56"/>
        <bgColor indexed="64"/>
      </patternFill>
    </fill>
    <fill>
      <patternFill patternType="solid">
        <fgColor theme="3" tint="0.79998168889431442"/>
        <bgColor indexed="64"/>
      </patternFill>
    </fill>
    <fill>
      <patternFill patternType="solid">
        <fgColor rgb="FF1F497D"/>
        <bgColor indexed="64"/>
      </patternFill>
    </fill>
    <fill>
      <patternFill patternType="solid">
        <fgColor theme="5" tint="-0.249977111117893"/>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2"/>
        <bgColor indexed="64"/>
      </patternFill>
    </fill>
    <fill>
      <patternFill patternType="solid">
        <fgColor theme="8" tint="0.39997558519241921"/>
        <bgColor indexed="65"/>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D9D9D9"/>
        <bgColor indexed="64"/>
      </patternFill>
    </fill>
    <fill>
      <patternFill patternType="solid">
        <fgColor rgb="FFFFFFFF"/>
        <bgColor rgb="FF000000"/>
      </patternFill>
    </fill>
    <fill>
      <patternFill patternType="solid">
        <fgColor rgb="FFF2DCDB"/>
        <bgColor rgb="FF000000"/>
      </patternFill>
    </fill>
    <fill>
      <patternFill patternType="solid">
        <fgColor rgb="FFDAEEF3"/>
        <bgColor rgb="FF000000"/>
      </patternFill>
    </fill>
    <fill>
      <patternFill patternType="solid">
        <fgColor theme="9" tint="0.59999389629810485"/>
        <bgColor rgb="FF000000"/>
      </patternFill>
    </fill>
    <fill>
      <patternFill patternType="solid">
        <fgColor rgb="FFB8CCE4"/>
        <bgColor rgb="FF000000"/>
      </patternFill>
    </fill>
    <fill>
      <patternFill patternType="solid">
        <fgColor theme="8" tint="0.79998168889431442"/>
        <bgColor rgb="FF000000"/>
      </patternFill>
    </fill>
    <fill>
      <patternFill patternType="solid">
        <fgColor rgb="FFDCE6F1"/>
        <bgColor rgb="FF000000"/>
      </patternFill>
    </fill>
    <fill>
      <patternFill patternType="solid">
        <fgColor theme="3"/>
        <bgColor rgb="FF000000"/>
      </patternFill>
    </fill>
    <fill>
      <patternFill patternType="solid">
        <fgColor rgb="FFFFCC99"/>
      </patternFill>
    </fill>
  </fills>
  <borders count="110">
    <border>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right style="double">
        <color indexed="64"/>
      </right>
      <top style="double">
        <color indexed="64"/>
      </top>
      <bottom/>
      <diagonal/>
    </border>
    <border>
      <left style="double">
        <color indexed="64"/>
      </left>
      <right style="double">
        <color indexed="64"/>
      </right>
      <top style="double">
        <color indexed="64"/>
      </top>
      <bottom/>
      <diagonal/>
    </border>
    <border>
      <left/>
      <right style="double">
        <color indexed="64"/>
      </right>
      <top/>
      <bottom/>
      <diagonal/>
    </border>
    <border>
      <left style="double">
        <color indexed="64"/>
      </left>
      <right style="double">
        <color indexed="64"/>
      </right>
      <top/>
      <bottom/>
      <diagonal/>
    </border>
    <border>
      <left/>
      <right style="double">
        <color indexed="64"/>
      </right>
      <top/>
      <bottom style="double">
        <color indexed="64"/>
      </bottom>
      <diagonal/>
    </border>
    <border>
      <left style="medium">
        <color indexed="64"/>
      </left>
      <right style="medium">
        <color indexed="64"/>
      </right>
      <top style="medium">
        <color indexed="64"/>
      </top>
      <bottom style="medium">
        <color indexed="64"/>
      </bottom>
      <diagonal/>
    </border>
    <border>
      <left/>
      <right style="double">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theme="3"/>
      </bottom>
      <diagonal/>
    </border>
    <border>
      <left style="double">
        <color indexed="64"/>
      </left>
      <right style="double">
        <color indexed="64"/>
      </right>
      <top style="double">
        <color indexed="64"/>
      </top>
      <bottom style="double">
        <color theme="3"/>
      </bottom>
      <diagonal/>
    </border>
    <border>
      <left/>
      <right style="double">
        <color theme="3"/>
      </right>
      <top style="double">
        <color theme="3"/>
      </top>
      <bottom style="double">
        <color theme="3"/>
      </bottom>
      <diagonal/>
    </border>
    <border>
      <left style="double">
        <color theme="3"/>
      </left>
      <right style="double">
        <color theme="3"/>
      </right>
      <top style="double">
        <color theme="3"/>
      </top>
      <bottom style="double">
        <color theme="3"/>
      </bottom>
      <diagonal/>
    </border>
    <border>
      <left style="medium">
        <color indexed="64"/>
      </left>
      <right/>
      <top style="medium">
        <color indexed="64"/>
      </top>
      <bottom/>
      <diagonal/>
    </border>
    <border>
      <left style="double">
        <color indexed="64"/>
      </left>
      <right style="double">
        <color indexed="64"/>
      </right>
      <top style="double">
        <color theme="3"/>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double">
        <color theme="1"/>
      </right>
      <top style="medium">
        <color indexed="64"/>
      </top>
      <bottom/>
      <diagonal/>
    </border>
    <border>
      <left style="double">
        <color theme="1"/>
      </left>
      <right/>
      <top style="double">
        <color theme="1"/>
      </top>
      <bottom/>
      <diagonal/>
    </border>
    <border>
      <left/>
      <right/>
      <top style="double">
        <color theme="1"/>
      </top>
      <bottom/>
      <diagonal/>
    </border>
    <border>
      <left style="medium">
        <color indexed="64"/>
      </left>
      <right style="double">
        <color theme="1"/>
      </right>
      <top/>
      <bottom style="medium">
        <color indexed="64"/>
      </bottom>
      <diagonal/>
    </border>
    <border>
      <left style="double">
        <color theme="1"/>
      </left>
      <right/>
      <top/>
      <bottom style="double">
        <color theme="1"/>
      </bottom>
      <diagonal/>
    </border>
    <border>
      <left/>
      <right/>
      <top/>
      <bottom style="double">
        <color theme="1"/>
      </bottom>
      <diagonal/>
    </border>
    <border>
      <left style="medium">
        <color indexed="64"/>
      </left>
      <right style="double">
        <color indexed="64"/>
      </right>
      <top style="double">
        <color theme="1"/>
      </top>
      <bottom style="double">
        <color indexed="64"/>
      </bottom>
      <diagonal/>
    </border>
    <border>
      <left style="medium">
        <color indexed="64"/>
      </left>
      <right style="double">
        <color theme="3"/>
      </right>
      <top style="double">
        <color indexed="64"/>
      </top>
      <bottom style="double">
        <color indexed="64"/>
      </bottom>
      <diagonal/>
    </border>
    <border>
      <left/>
      <right style="double">
        <color theme="1"/>
      </right>
      <top style="double">
        <color theme="1"/>
      </top>
      <bottom/>
      <diagonal/>
    </border>
    <border>
      <left/>
      <right style="double">
        <color theme="1"/>
      </right>
      <top/>
      <bottom style="double">
        <color theme="1"/>
      </bottom>
      <diagonal/>
    </border>
    <border>
      <left/>
      <right style="double">
        <color theme="3"/>
      </right>
      <top/>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bottom/>
      <diagonal/>
    </border>
    <border>
      <left/>
      <right style="hair">
        <color theme="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style="medium">
        <color indexed="64"/>
      </left>
      <right/>
      <top style="double">
        <color indexed="64"/>
      </top>
      <bottom style="double">
        <color indexed="64"/>
      </bottom>
      <diagonal/>
    </border>
    <border>
      <left/>
      <right style="double">
        <color theme="3"/>
      </right>
      <top style="double">
        <color indexed="64"/>
      </top>
      <bottom style="double">
        <color indexed="64"/>
      </bottom>
      <diagonal/>
    </border>
    <border>
      <left/>
      <right/>
      <top style="double">
        <color indexed="64"/>
      </top>
      <bottom style="double">
        <color indexed="64"/>
      </bottom>
      <diagonal/>
    </border>
    <border>
      <left style="medium">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medium">
        <color indexed="64"/>
      </bottom>
      <diagonal/>
    </border>
    <border>
      <left style="double">
        <color theme="1"/>
      </left>
      <right/>
      <top style="double">
        <color indexed="64"/>
      </top>
      <bottom style="double">
        <color theme="1"/>
      </bottom>
      <diagonal/>
    </border>
    <border>
      <left/>
      <right/>
      <top style="double">
        <color indexed="64"/>
      </top>
      <bottom style="double">
        <color theme="1"/>
      </bottom>
      <diagonal/>
    </border>
    <border>
      <left/>
      <right style="double">
        <color theme="1"/>
      </right>
      <top style="double">
        <color indexed="64"/>
      </top>
      <bottom style="double">
        <color theme="1"/>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style="hair">
        <color theme="0"/>
      </left>
      <right style="hair">
        <color theme="0"/>
      </right>
      <top/>
      <bottom/>
      <diagonal/>
    </border>
    <border>
      <left style="hair">
        <color theme="0"/>
      </left>
      <right style="thin">
        <color theme="0"/>
      </right>
      <top/>
      <bottom/>
      <diagonal/>
    </border>
    <border>
      <left style="hair">
        <color theme="0"/>
      </left>
      <right style="hair">
        <color theme="0"/>
      </right>
      <top style="thin">
        <color theme="0"/>
      </top>
      <bottom/>
      <diagonal/>
    </border>
    <border>
      <left style="hair">
        <color theme="0"/>
      </left>
      <right style="thin">
        <color theme="0"/>
      </right>
      <top style="thin">
        <color theme="0"/>
      </top>
      <bottom/>
      <diagonal/>
    </border>
    <border>
      <left style="hair">
        <color theme="0"/>
      </left>
      <right/>
      <top/>
      <bottom/>
      <diagonal/>
    </border>
    <border>
      <left/>
      <right style="thin">
        <color indexed="64"/>
      </right>
      <top style="thin">
        <color indexed="64"/>
      </top>
      <bottom style="thin">
        <color theme="1"/>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medium">
        <color indexed="64"/>
      </left>
      <right style="double">
        <color indexed="64"/>
      </right>
      <top/>
      <bottom style="double">
        <color indexed="64"/>
      </bottom>
      <diagonal/>
    </border>
    <border>
      <left style="double">
        <color indexed="64"/>
      </left>
      <right/>
      <top style="double">
        <color indexed="64"/>
      </top>
      <bottom style="double">
        <color indexed="64"/>
      </bottom>
      <diagonal/>
    </border>
    <border>
      <left/>
      <right style="hair">
        <color theme="3"/>
      </right>
      <top/>
      <bottom style="hair">
        <color theme="3"/>
      </bottom>
      <diagonal/>
    </border>
    <border>
      <left style="hair">
        <color theme="3"/>
      </left>
      <right style="hair">
        <color theme="3"/>
      </right>
      <top/>
      <bottom style="hair">
        <color theme="3"/>
      </bottom>
      <diagonal/>
    </border>
    <border>
      <left style="hair">
        <color theme="3"/>
      </left>
      <right/>
      <top/>
      <bottom style="hair">
        <color theme="3"/>
      </bottom>
      <diagonal/>
    </border>
    <border>
      <left/>
      <right style="hair">
        <color theme="3"/>
      </right>
      <top style="hair">
        <color theme="3"/>
      </top>
      <bottom style="hair">
        <color theme="3"/>
      </bottom>
      <diagonal/>
    </border>
    <border>
      <left style="hair">
        <color theme="3"/>
      </left>
      <right style="hair">
        <color theme="3"/>
      </right>
      <top style="hair">
        <color theme="3"/>
      </top>
      <bottom style="hair">
        <color theme="3"/>
      </bottom>
      <diagonal/>
    </border>
    <border>
      <left style="hair">
        <color theme="3"/>
      </left>
      <right/>
      <top style="hair">
        <color theme="3"/>
      </top>
      <bottom style="hair">
        <color theme="3"/>
      </bottom>
      <diagonal/>
    </border>
    <border>
      <left/>
      <right style="hair">
        <color theme="3"/>
      </right>
      <top style="hair">
        <color theme="3"/>
      </top>
      <bottom/>
      <diagonal/>
    </border>
    <border>
      <left style="medium">
        <color indexed="64"/>
      </left>
      <right style="hair">
        <color theme="3"/>
      </right>
      <top style="hair">
        <color theme="3"/>
      </top>
      <bottom style="hair">
        <color theme="3"/>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hair">
        <color theme="3"/>
      </top>
      <bottom/>
      <diagonal/>
    </border>
    <border>
      <left/>
      <right style="thin">
        <color indexed="64"/>
      </right>
      <top style="thin">
        <color theme="1"/>
      </top>
      <bottom style="thin">
        <color indexed="64"/>
      </bottom>
      <diagonal/>
    </border>
    <border>
      <left/>
      <right style="thin">
        <color theme="0"/>
      </right>
      <top style="thin">
        <color theme="0"/>
      </top>
      <bottom style="thin">
        <color theme="0"/>
      </bottom>
      <diagonal/>
    </border>
    <border>
      <left style="thin">
        <color theme="0"/>
      </left>
      <right/>
      <top/>
      <bottom/>
      <diagonal/>
    </border>
    <border>
      <left style="thin">
        <color theme="0"/>
      </left>
      <right/>
      <top/>
      <bottom style="thin">
        <color theme="0"/>
      </bottom>
      <diagonal/>
    </border>
    <border>
      <left/>
      <right style="hair">
        <color theme="0"/>
      </right>
      <top/>
      <bottom style="thin">
        <color theme="0"/>
      </bottom>
      <diagonal/>
    </border>
    <border>
      <left/>
      <right style="thin">
        <color theme="0"/>
      </right>
      <top/>
      <bottom style="thin">
        <color theme="0"/>
      </bottom>
      <diagonal/>
    </border>
    <border>
      <left style="medium">
        <color indexed="64"/>
      </left>
      <right style="double">
        <color indexed="64"/>
      </right>
      <top style="double">
        <color rgb="FF000000"/>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9">
    <xf numFmtId="0" fontId="0" fillId="0" borderId="0"/>
    <xf numFmtId="9" fontId="1" fillId="0" borderId="0" applyFont="0" applyFill="0" applyBorder="0" applyAlignment="0" applyProtection="0"/>
    <xf numFmtId="0" fontId="4" fillId="0" borderId="0"/>
    <xf numFmtId="0" fontId="5" fillId="0" borderId="0"/>
    <xf numFmtId="9" fontId="4" fillId="0" borderId="0" applyFont="0" applyFill="0" applyBorder="0" applyAlignment="0" applyProtection="0"/>
    <xf numFmtId="43" fontId="1" fillId="0" borderId="0" applyFont="0" applyFill="0" applyBorder="0" applyAlignment="0" applyProtection="0"/>
    <xf numFmtId="0" fontId="131" fillId="21" borderId="0" applyNumberFormat="0" applyBorder="0" applyAlignment="0" applyProtection="0"/>
    <xf numFmtId="0" fontId="148" fillId="0" borderId="0" applyNumberFormat="0" applyFill="0" applyBorder="0" applyAlignment="0" applyProtection="0"/>
    <xf numFmtId="0" fontId="159" fillId="37" borderId="109" applyNumberFormat="0" applyAlignment="0" applyProtection="0"/>
  </cellStyleXfs>
  <cellXfs count="937">
    <xf numFmtId="0" fontId="0" fillId="0" borderId="0" xfId="0"/>
    <xf numFmtId="0" fontId="2" fillId="2" borderId="3" xfId="0" applyFont="1" applyFill="1" applyBorder="1" applyAlignment="1">
      <alignment horizontal="center"/>
    </xf>
    <xf numFmtId="9" fontId="3" fillId="3" borderId="16" xfId="0" applyNumberFormat="1" applyFont="1" applyFill="1" applyBorder="1" applyAlignment="1">
      <alignment horizontal="center" vertical="center" wrapText="1"/>
    </xf>
    <xf numFmtId="0" fontId="3" fillId="0" borderId="18" xfId="0" applyFont="1" applyBorder="1" applyAlignment="1">
      <alignment horizontal="center" vertical="center" wrapText="1"/>
    </xf>
    <xf numFmtId="9" fontId="3" fillId="0" borderId="18" xfId="0" applyNumberFormat="1" applyFont="1" applyBorder="1" applyAlignment="1">
      <alignment horizontal="center" vertical="center" wrapText="1"/>
    </xf>
    <xf numFmtId="0" fontId="8" fillId="0" borderId="0" xfId="0" applyFont="1"/>
    <xf numFmtId="0" fontId="8" fillId="0" borderId="3" xfId="0" applyFont="1" applyBorder="1"/>
    <xf numFmtId="9" fontId="9" fillId="0" borderId="22" xfId="0" applyNumberFormat="1" applyFont="1" applyBorder="1" applyAlignment="1">
      <alignment horizontal="center" vertical="center" wrapText="1"/>
    </xf>
    <xf numFmtId="9" fontId="9" fillId="0" borderId="23" xfId="0" applyNumberFormat="1" applyFont="1" applyBorder="1" applyAlignment="1">
      <alignment horizontal="center" vertical="center" wrapText="1"/>
    </xf>
    <xf numFmtId="9" fontId="9" fillId="0" borderId="22" xfId="0" applyNumberFormat="1" applyFont="1" applyBorder="1" applyAlignment="1">
      <alignment horizontal="center" vertical="center"/>
    </xf>
    <xf numFmtId="9" fontId="9" fillId="0" borderId="23" xfId="0" applyNumberFormat="1" applyFont="1" applyBorder="1" applyAlignment="1">
      <alignment horizontal="center" vertical="center"/>
    </xf>
    <xf numFmtId="0" fontId="9" fillId="3" borderId="12" xfId="0" applyFont="1" applyFill="1" applyBorder="1" applyAlignment="1">
      <alignment horizontal="center" vertical="center"/>
    </xf>
    <xf numFmtId="0" fontId="9" fillId="3" borderId="13" xfId="0" applyFont="1" applyFill="1" applyBorder="1" applyAlignment="1">
      <alignment horizontal="center" vertical="center"/>
    </xf>
    <xf numFmtId="9" fontId="9" fillId="3" borderId="14" xfId="0" applyNumberFormat="1" applyFont="1" applyFill="1" applyBorder="1" applyAlignment="1">
      <alignment horizontal="center" vertical="center"/>
    </xf>
    <xf numFmtId="9" fontId="9" fillId="3" borderId="15" xfId="0" applyNumberFormat="1" applyFont="1" applyFill="1" applyBorder="1" applyAlignment="1">
      <alignment horizontal="center" vertical="center"/>
    </xf>
    <xf numFmtId="0" fontId="9" fillId="3" borderId="15" xfId="0" applyFont="1" applyFill="1" applyBorder="1" applyAlignment="1">
      <alignment horizontal="center"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9" fontId="9" fillId="0" borderId="34" xfId="0" applyNumberFormat="1" applyFont="1" applyBorder="1" applyAlignment="1">
      <alignment horizontal="center" vertical="center" wrapText="1"/>
    </xf>
    <xf numFmtId="9" fontId="9" fillId="0" borderId="35" xfId="0" applyNumberFormat="1" applyFont="1" applyBorder="1" applyAlignment="1">
      <alignment horizontal="center" vertical="center" wrapText="1"/>
    </xf>
    <xf numFmtId="0" fontId="0" fillId="3" borderId="0" xfId="0" applyFill="1"/>
    <xf numFmtId="4" fontId="16" fillId="4" borderId="0" xfId="0" applyNumberFormat="1" applyFont="1" applyFill="1" applyProtection="1">
      <protection hidden="1"/>
    </xf>
    <xf numFmtId="9" fontId="0" fillId="3" borderId="0" xfId="1" applyFont="1" applyFill="1"/>
    <xf numFmtId="0" fontId="0" fillId="5" borderId="0" xfId="0" applyFill="1"/>
    <xf numFmtId="0" fontId="8" fillId="3" borderId="0" xfId="0" applyFont="1" applyFill="1"/>
    <xf numFmtId="0" fontId="8" fillId="3" borderId="3" xfId="0" applyFont="1" applyFill="1" applyBorder="1"/>
    <xf numFmtId="0" fontId="0" fillId="0" borderId="0" xfId="0" applyAlignment="1">
      <alignment horizontal="right"/>
    </xf>
    <xf numFmtId="3" fontId="0" fillId="0" borderId="0" xfId="0" applyNumberFormat="1"/>
    <xf numFmtId="0" fontId="0" fillId="0" borderId="0" xfId="0" applyAlignment="1">
      <alignment horizontal="center"/>
    </xf>
    <xf numFmtId="3" fontId="0" fillId="0" borderId="0" xfId="0" applyNumberFormat="1" applyAlignment="1">
      <alignment horizontal="right"/>
    </xf>
    <xf numFmtId="3" fontId="0" fillId="3" borderId="0" xfId="0" applyNumberFormat="1" applyFill="1"/>
    <xf numFmtId="0" fontId="6" fillId="11" borderId="0" xfId="0" applyFont="1" applyFill="1" applyAlignment="1">
      <alignment horizontal="center" vertical="center"/>
    </xf>
    <xf numFmtId="0" fontId="0" fillId="3" borderId="0" xfId="0" applyFill="1" applyProtection="1">
      <protection hidden="1"/>
    </xf>
    <xf numFmtId="0" fontId="0" fillId="3" borderId="44" xfId="0" applyFill="1" applyBorder="1" applyProtection="1">
      <protection hidden="1"/>
    </xf>
    <xf numFmtId="0" fontId="0" fillId="3" borderId="46" xfId="0" applyFill="1" applyBorder="1" applyAlignment="1" applyProtection="1">
      <alignment horizontal="right"/>
      <protection hidden="1"/>
    </xf>
    <xf numFmtId="0" fontId="0" fillId="3" borderId="49" xfId="0" applyFill="1" applyBorder="1" applyAlignment="1" applyProtection="1">
      <alignment horizontal="center"/>
      <protection hidden="1"/>
    </xf>
    <xf numFmtId="0" fontId="0" fillId="3" borderId="50" xfId="0" applyFill="1" applyBorder="1" applyAlignment="1" applyProtection="1">
      <alignment horizontal="center"/>
      <protection hidden="1"/>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7" xfId="0" applyFill="1" applyBorder="1" applyAlignment="1" applyProtection="1">
      <alignment horizontal="center"/>
      <protection hidden="1"/>
    </xf>
    <xf numFmtId="0" fontId="0" fillId="3" borderId="48" xfId="0" applyFill="1" applyBorder="1" applyAlignment="1" applyProtection="1">
      <alignment horizontal="center"/>
      <protection hidden="1"/>
    </xf>
    <xf numFmtId="0" fontId="0" fillId="3" borderId="6" xfId="0" applyFill="1" applyBorder="1" applyAlignment="1" applyProtection="1">
      <alignment horizontal="left" indent="2"/>
      <protection hidden="1"/>
    </xf>
    <xf numFmtId="168" fontId="0" fillId="3" borderId="4" xfId="5" applyNumberFormat="1" applyFont="1" applyFill="1" applyBorder="1" applyProtection="1">
      <protection hidden="1"/>
    </xf>
    <xf numFmtId="168" fontId="0" fillId="3" borderId="51" xfId="5" applyNumberFormat="1" applyFont="1" applyFill="1" applyBorder="1" applyProtection="1">
      <protection hidden="1"/>
    </xf>
    <xf numFmtId="168" fontId="0" fillId="3" borderId="6" xfId="5" applyNumberFormat="1" applyFont="1" applyFill="1" applyBorder="1" applyProtection="1">
      <protection hidden="1"/>
    </xf>
    <xf numFmtId="0" fontId="0" fillId="3" borderId="10" xfId="0" applyFill="1" applyBorder="1" applyAlignment="1" applyProtection="1">
      <alignment horizontal="left" indent="2"/>
      <protection hidden="1"/>
    </xf>
    <xf numFmtId="168" fontId="0" fillId="3" borderId="52" xfId="5" applyNumberFormat="1" applyFont="1" applyFill="1" applyBorder="1" applyProtection="1">
      <protection hidden="1"/>
    </xf>
    <xf numFmtId="168" fontId="0" fillId="3" borderId="0" xfId="5" applyNumberFormat="1" applyFont="1" applyFill="1" applyBorder="1" applyProtection="1">
      <protection hidden="1"/>
    </xf>
    <xf numFmtId="168" fontId="0" fillId="3" borderId="9" xfId="5" applyNumberFormat="1" applyFont="1" applyFill="1" applyBorder="1" applyProtection="1">
      <protection hidden="1"/>
    </xf>
    <xf numFmtId="0" fontId="0" fillId="3" borderId="49" xfId="0" applyFill="1" applyBorder="1" applyAlignment="1" applyProtection="1">
      <alignment horizontal="left" indent="2"/>
      <protection hidden="1"/>
    </xf>
    <xf numFmtId="168" fontId="0" fillId="3" borderId="1" xfId="5" applyNumberFormat="1" applyFont="1" applyFill="1" applyBorder="1" applyProtection="1">
      <protection hidden="1"/>
    </xf>
    <xf numFmtId="168" fontId="0" fillId="3" borderId="2" xfId="5" applyNumberFormat="1" applyFont="1" applyFill="1" applyBorder="1" applyProtection="1">
      <protection hidden="1"/>
    </xf>
    <xf numFmtId="168" fontId="0" fillId="3" borderId="50" xfId="5" applyNumberFormat="1" applyFont="1" applyFill="1" applyBorder="1" applyProtection="1">
      <protection hidden="1"/>
    </xf>
    <xf numFmtId="0" fontId="0" fillId="7" borderId="0" xfId="0" applyFill="1"/>
    <xf numFmtId="9" fontId="0" fillId="3" borderId="0" xfId="1" applyFont="1" applyFill="1" applyAlignment="1">
      <alignment horizontal="center"/>
    </xf>
    <xf numFmtId="2" fontId="0" fillId="0" borderId="0" xfId="0" applyNumberFormat="1" applyAlignment="1">
      <alignment horizontal="center"/>
    </xf>
    <xf numFmtId="0" fontId="9" fillId="0" borderId="25" xfId="0" applyFont="1" applyBorder="1" applyAlignment="1">
      <alignment horizontal="center" vertical="center" wrapText="1"/>
    </xf>
    <xf numFmtId="0" fontId="3" fillId="0" borderId="12" xfId="0" applyFont="1" applyBorder="1" applyAlignment="1">
      <alignment horizontal="center" vertical="center" wrapText="1"/>
    </xf>
    <xf numFmtId="167" fontId="26" fillId="3" borderId="0" xfId="0" applyNumberFormat="1" applyFont="1" applyFill="1" applyProtection="1">
      <protection hidden="1"/>
    </xf>
    <xf numFmtId="0" fontId="8" fillId="10" borderId="0" xfId="0" applyFont="1" applyFill="1" applyAlignment="1" applyProtection="1">
      <alignment horizontal="center"/>
      <protection hidden="1"/>
    </xf>
    <xf numFmtId="0" fontId="31" fillId="12" borderId="0" xfId="0" applyFont="1" applyFill="1" applyAlignment="1" applyProtection="1">
      <alignment vertical="center"/>
      <protection hidden="1"/>
    </xf>
    <xf numFmtId="0" fontId="32" fillId="12" borderId="0" xfId="0" applyFont="1" applyFill="1" applyAlignment="1" applyProtection="1">
      <alignment vertical="center"/>
      <protection hidden="1"/>
    </xf>
    <xf numFmtId="0" fontId="8" fillId="3" borderId="0" xfId="0" applyFont="1" applyFill="1" applyAlignment="1">
      <alignment vertical="center"/>
    </xf>
    <xf numFmtId="0" fontId="25" fillId="6" borderId="39" xfId="0" applyFont="1" applyFill="1" applyBorder="1" applyAlignment="1" applyProtection="1">
      <alignment horizontal="left" vertical="center"/>
      <protection hidden="1"/>
    </xf>
    <xf numFmtId="0" fontId="25" fillId="3" borderId="39" xfId="0" applyFont="1" applyFill="1" applyBorder="1" applyAlignment="1" applyProtection="1">
      <alignment horizontal="left" vertical="center"/>
      <protection hidden="1"/>
    </xf>
    <xf numFmtId="0" fontId="8" fillId="9" borderId="39" xfId="0" applyFont="1" applyFill="1" applyBorder="1" applyAlignment="1" applyProtection="1">
      <alignment horizontal="center" vertical="center"/>
      <protection locked="0"/>
    </xf>
    <xf numFmtId="165" fontId="8" fillId="9" borderId="39" xfId="0" applyNumberFormat="1" applyFont="1" applyFill="1" applyBorder="1" applyAlignment="1" applyProtection="1">
      <alignment horizontal="center" vertical="center"/>
      <protection locked="0"/>
    </xf>
    <xf numFmtId="165" fontId="8" fillId="10" borderId="39" xfId="0" applyNumberFormat="1" applyFont="1" applyFill="1" applyBorder="1" applyAlignment="1" applyProtection="1">
      <alignment horizontal="center" vertical="center"/>
      <protection hidden="1"/>
    </xf>
    <xf numFmtId="1" fontId="8" fillId="10" borderId="39" xfId="0" applyNumberFormat="1" applyFont="1" applyFill="1" applyBorder="1" applyAlignment="1" applyProtection="1">
      <alignment horizontal="center" vertical="distributed"/>
      <protection hidden="1"/>
    </xf>
    <xf numFmtId="0" fontId="25" fillId="6" borderId="0" xfId="0" applyFont="1" applyFill="1" applyAlignment="1" applyProtection="1">
      <alignment horizontal="left" vertical="center"/>
      <protection hidden="1"/>
    </xf>
    <xf numFmtId="0" fontId="35" fillId="0" borderId="0" xfId="0" applyFont="1" applyAlignment="1" applyProtection="1">
      <alignment horizontal="left" indent="1"/>
      <protection hidden="1"/>
    </xf>
    <xf numFmtId="0" fontId="25" fillId="10" borderId="39" xfId="0" applyFont="1" applyFill="1" applyBorder="1" applyAlignment="1" applyProtection="1">
      <alignment horizontal="center" vertical="center"/>
      <protection hidden="1"/>
    </xf>
    <xf numFmtId="0" fontId="25" fillId="9" borderId="39" xfId="0" applyFont="1" applyFill="1" applyBorder="1" applyAlignment="1" applyProtection="1">
      <alignment horizontal="center" vertical="center"/>
      <protection locked="0"/>
    </xf>
    <xf numFmtId="0" fontId="8" fillId="6" borderId="39" xfId="0" quotePrefix="1" applyFont="1" applyFill="1" applyBorder="1" applyAlignment="1" applyProtection="1">
      <alignment horizontal="left" vertical="center"/>
      <protection hidden="1"/>
    </xf>
    <xf numFmtId="1" fontId="8" fillId="9" borderId="39" xfId="0" applyNumberFormat="1" applyFont="1" applyFill="1" applyBorder="1" applyAlignment="1" applyProtection="1">
      <alignment horizontal="center" vertical="distributed"/>
      <protection locked="0"/>
    </xf>
    <xf numFmtId="1" fontId="8" fillId="10" borderId="39" xfId="0" applyNumberFormat="1" applyFont="1" applyFill="1" applyBorder="1" applyAlignment="1" applyProtection="1">
      <alignment horizontal="center" vertical="center"/>
      <protection hidden="1"/>
    </xf>
    <xf numFmtId="9" fontId="8" fillId="9" borderId="39" xfId="1" applyFont="1" applyFill="1" applyBorder="1" applyAlignment="1" applyProtection="1">
      <alignment horizontal="center" vertical="center"/>
      <protection locked="0"/>
    </xf>
    <xf numFmtId="1" fontId="8" fillId="9" borderId="39" xfId="0" applyNumberFormat="1" applyFont="1" applyFill="1" applyBorder="1" applyAlignment="1" applyProtection="1">
      <alignment horizontal="center" vertical="center"/>
      <protection locked="0"/>
    </xf>
    <xf numFmtId="0" fontId="25" fillId="6" borderId="39" xfId="0" quotePrefix="1" applyFont="1" applyFill="1" applyBorder="1" applyAlignment="1" applyProtection="1">
      <alignment horizontal="left" vertical="center"/>
      <protection hidden="1"/>
    </xf>
    <xf numFmtId="3" fontId="8" fillId="9" borderId="39" xfId="0" applyNumberFormat="1" applyFont="1" applyFill="1" applyBorder="1" applyAlignment="1" applyProtection="1">
      <alignment horizontal="center" vertical="center"/>
      <protection locked="0"/>
    </xf>
    <xf numFmtId="166" fontId="8" fillId="10" borderId="0" xfId="5" applyNumberFormat="1" applyFont="1" applyFill="1" applyAlignment="1" applyProtection="1">
      <alignment horizontal="center" vertical="center"/>
      <protection hidden="1"/>
    </xf>
    <xf numFmtId="0" fontId="20" fillId="14" borderId="40" xfId="0" applyFont="1" applyFill="1" applyBorder="1" applyAlignment="1" applyProtection="1">
      <alignment horizontal="center" vertical="center"/>
      <protection hidden="1"/>
    </xf>
    <xf numFmtId="0" fontId="27" fillId="3" borderId="0" xfId="0" applyFont="1" applyFill="1" applyAlignment="1" applyProtection="1">
      <alignment horizontal="center" vertical="center" wrapText="1"/>
      <protection hidden="1"/>
    </xf>
    <xf numFmtId="167" fontId="26" fillId="3" borderId="0" xfId="5" applyNumberFormat="1" applyFont="1" applyFill="1" applyBorder="1" applyAlignment="1" applyProtection="1">
      <alignment horizontal="center" vertical="center"/>
      <protection hidden="1"/>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8" fillId="0" borderId="0" xfId="0" applyFont="1" applyAlignment="1">
      <alignment vertical="center"/>
    </xf>
    <xf numFmtId="9" fontId="9" fillId="3" borderId="22" xfId="0" applyNumberFormat="1" applyFont="1" applyFill="1" applyBorder="1" applyAlignment="1">
      <alignment horizontal="center" vertical="center"/>
    </xf>
    <xf numFmtId="9" fontId="9" fillId="3" borderId="23" xfId="0" applyNumberFormat="1" applyFont="1" applyFill="1" applyBorder="1" applyAlignment="1">
      <alignment horizontal="center" vertical="center"/>
    </xf>
    <xf numFmtId="165" fontId="8" fillId="3" borderId="0" xfId="0" applyNumberFormat="1" applyFont="1" applyFill="1" applyAlignment="1" applyProtection="1">
      <alignment horizontal="center" vertical="center"/>
      <protection hidden="1"/>
    </xf>
    <xf numFmtId="0" fontId="8" fillId="3" borderId="0" xfId="0" applyFont="1" applyFill="1" applyAlignment="1" applyProtection="1">
      <alignment horizontal="center" vertical="center"/>
      <protection hidden="1"/>
    </xf>
    <xf numFmtId="0" fontId="9" fillId="3" borderId="56" xfId="0" applyFont="1" applyFill="1" applyBorder="1" applyAlignment="1">
      <alignment horizontal="center" vertical="center"/>
    </xf>
    <xf numFmtId="0" fontId="9" fillId="3" borderId="19" xfId="0" applyFont="1" applyFill="1" applyBorder="1" applyAlignment="1">
      <alignment horizontal="center" vertical="center"/>
    </xf>
    <xf numFmtId="0" fontId="8" fillId="3" borderId="0" xfId="0" applyFont="1" applyFill="1" applyAlignment="1" applyProtection="1">
      <alignment horizontal="right"/>
      <protection hidden="1"/>
    </xf>
    <xf numFmtId="0" fontId="8" fillId="10" borderId="0" xfId="0" applyFont="1" applyFill="1" applyAlignment="1" applyProtection="1">
      <alignment horizontal="right"/>
      <protection hidden="1"/>
    </xf>
    <xf numFmtId="0" fontId="8" fillId="10" borderId="0" xfId="0" applyFont="1" applyFill="1" applyProtection="1">
      <protection hidden="1"/>
    </xf>
    <xf numFmtId="0" fontId="25" fillId="10" borderId="0" xfId="0" applyFont="1" applyFill="1" applyAlignment="1" applyProtection="1">
      <alignment horizontal="center" vertical="center"/>
      <protection hidden="1"/>
    </xf>
    <xf numFmtId="0" fontId="25" fillId="8" borderId="0" xfId="0" applyFont="1" applyFill="1" applyAlignment="1" applyProtection="1">
      <alignment horizontal="center" vertical="center"/>
      <protection hidden="1"/>
    </xf>
    <xf numFmtId="0" fontId="25" fillId="10" borderId="0" xfId="0" applyFont="1" applyFill="1" applyAlignment="1" applyProtection="1">
      <alignment horizontal="center" vertical="center" wrapText="1"/>
      <protection hidden="1"/>
    </xf>
    <xf numFmtId="0" fontId="25" fillId="9" borderId="0" xfId="0" applyFont="1" applyFill="1" applyAlignment="1" applyProtection="1">
      <alignment horizontal="center" vertical="center" wrapText="1"/>
      <protection hidden="1"/>
    </xf>
    <xf numFmtId="0" fontId="8" fillId="3" borderId="0" xfId="0" applyFont="1" applyFill="1" applyAlignment="1" applyProtection="1">
      <alignment horizontal="center" vertical="justify"/>
      <protection hidden="1"/>
    </xf>
    <xf numFmtId="0" fontId="8" fillId="10" borderId="0" xfId="0" applyFont="1" applyFill="1" applyAlignment="1" applyProtection="1">
      <alignment horizontal="center" vertical="justify"/>
      <protection hidden="1"/>
    </xf>
    <xf numFmtId="0" fontId="8" fillId="10" borderId="0" xfId="0" applyFont="1" applyFill="1" applyAlignment="1" applyProtection="1">
      <alignment horizontal="center" vertical="center"/>
      <protection hidden="1"/>
    </xf>
    <xf numFmtId="0" fontId="8" fillId="10" borderId="0" xfId="0" applyFont="1" applyFill="1" applyAlignment="1" applyProtection="1">
      <alignment horizontal="right" vertical="center"/>
      <protection hidden="1"/>
    </xf>
    <xf numFmtId="0" fontId="9" fillId="10" borderId="0" xfId="0" applyFont="1" applyFill="1" applyAlignment="1" applyProtection="1">
      <alignment horizontal="center"/>
      <protection hidden="1"/>
    </xf>
    <xf numFmtId="0" fontId="38" fillId="10" borderId="0" xfId="0" applyFont="1" applyFill="1" applyAlignment="1" applyProtection="1">
      <alignment horizontal="center" vertical="center"/>
      <protection hidden="1"/>
    </xf>
    <xf numFmtId="9" fontId="8" fillId="10" borderId="0" xfId="1" applyFont="1" applyFill="1" applyAlignment="1" applyProtection="1">
      <alignment horizontal="right"/>
      <protection hidden="1"/>
    </xf>
    <xf numFmtId="43" fontId="8" fillId="10" borderId="0" xfId="5" applyFont="1" applyFill="1" applyProtection="1">
      <protection hidden="1"/>
    </xf>
    <xf numFmtId="0" fontId="43" fillId="8" borderId="0" xfId="0" applyFont="1" applyFill="1" applyAlignment="1" applyProtection="1">
      <alignment horizontal="center" vertical="center"/>
      <protection hidden="1"/>
    </xf>
    <xf numFmtId="165" fontId="43" fillId="8" borderId="0" xfId="0" applyNumberFormat="1" applyFont="1" applyFill="1" applyAlignment="1" applyProtection="1">
      <alignment horizontal="center" vertical="center"/>
      <protection hidden="1"/>
    </xf>
    <xf numFmtId="0" fontId="8" fillId="3" borderId="0" xfId="0" applyFont="1" applyFill="1" applyProtection="1">
      <protection hidden="1"/>
    </xf>
    <xf numFmtId="0" fontId="36" fillId="3" borderId="0" xfId="0" applyFont="1" applyFill="1" applyAlignment="1" applyProtection="1">
      <alignment vertical="top"/>
      <protection hidden="1"/>
    </xf>
    <xf numFmtId="0" fontId="24" fillId="3" borderId="0" xfId="0" applyFont="1" applyFill="1" applyAlignment="1" applyProtection="1">
      <alignment vertical="top"/>
      <protection hidden="1"/>
    </xf>
    <xf numFmtId="0" fontId="23" fillId="3" borderId="0" xfId="0" applyFont="1" applyFill="1" applyAlignment="1" applyProtection="1">
      <alignment vertical="top"/>
      <protection hidden="1"/>
    </xf>
    <xf numFmtId="9" fontId="8" fillId="9" borderId="39" xfId="0" applyNumberFormat="1" applyFont="1" applyFill="1" applyBorder="1" applyAlignment="1" applyProtection="1">
      <alignment horizontal="center" vertical="center"/>
      <protection hidden="1"/>
    </xf>
    <xf numFmtId="0" fontId="25" fillId="3" borderId="0" xfId="0" applyFont="1" applyFill="1" applyAlignment="1" applyProtection="1">
      <alignment horizontal="left" indent="1"/>
      <protection hidden="1"/>
    </xf>
    <xf numFmtId="9" fontId="25" fillId="3" borderId="39" xfId="0" applyNumberFormat="1" applyFont="1" applyFill="1" applyBorder="1" applyAlignment="1" applyProtection="1">
      <alignment horizontal="center" vertical="center"/>
      <protection hidden="1"/>
    </xf>
    <xf numFmtId="0" fontId="25" fillId="3" borderId="0" xfId="0" applyFont="1" applyFill="1" applyProtection="1">
      <protection hidden="1"/>
    </xf>
    <xf numFmtId="0" fontId="25" fillId="3" borderId="39" xfId="0" applyFont="1" applyFill="1" applyBorder="1" applyProtection="1">
      <protection hidden="1"/>
    </xf>
    <xf numFmtId="0" fontId="8" fillId="3" borderId="0" xfId="0" applyFont="1" applyFill="1" applyAlignment="1" applyProtection="1">
      <alignment vertical="center"/>
      <protection hidden="1"/>
    </xf>
    <xf numFmtId="0" fontId="41" fillId="3" borderId="0" xfId="0" applyFont="1" applyFill="1" applyAlignment="1" applyProtection="1">
      <alignment vertical="center"/>
      <protection hidden="1"/>
    </xf>
    <xf numFmtId="0" fontId="23" fillId="3" borderId="0" xfId="0" applyFont="1" applyFill="1" applyAlignment="1" applyProtection="1">
      <alignment vertical="center"/>
      <protection hidden="1"/>
    </xf>
    <xf numFmtId="9" fontId="8" fillId="3" borderId="0" xfId="0" applyNumberFormat="1" applyFont="1" applyFill="1" applyAlignment="1" applyProtection="1">
      <alignment vertical="center"/>
      <protection hidden="1"/>
    </xf>
    <xf numFmtId="0" fontId="27" fillId="3" borderId="0" xfId="0" applyFont="1" applyFill="1" applyAlignment="1" applyProtection="1">
      <alignment horizontal="center" vertical="center"/>
      <protection hidden="1"/>
    </xf>
    <xf numFmtId="0" fontId="25" fillId="3" borderId="42" xfId="0" applyFont="1" applyFill="1" applyBorder="1" applyAlignment="1" applyProtection="1">
      <alignment horizontal="left" vertical="center" indent="2"/>
      <protection hidden="1"/>
    </xf>
    <xf numFmtId="167" fontId="29" fillId="3" borderId="43" xfId="5" applyNumberFormat="1" applyFont="1" applyFill="1" applyBorder="1" applyAlignment="1" applyProtection="1">
      <alignment horizontal="center" vertical="center"/>
      <protection hidden="1"/>
    </xf>
    <xf numFmtId="0" fontId="37" fillId="3" borderId="0" xfId="0" applyFont="1" applyFill="1" applyAlignment="1">
      <alignment horizontal="center" vertical="center" wrapText="1"/>
    </xf>
    <xf numFmtId="0" fontId="26" fillId="3" borderId="0" xfId="0" applyFont="1" applyFill="1"/>
    <xf numFmtId="0" fontId="9" fillId="3" borderId="56" xfId="0" applyFont="1" applyFill="1" applyBorder="1" applyAlignment="1">
      <alignment horizontal="center" vertical="center" wrapText="1"/>
    </xf>
    <xf numFmtId="0" fontId="25" fillId="3" borderId="0" xfId="0" applyFont="1" applyFill="1" applyAlignment="1" applyProtection="1">
      <alignment horizontal="left" vertical="center"/>
      <protection hidden="1"/>
    </xf>
    <xf numFmtId="0" fontId="8" fillId="10" borderId="39" xfId="0" applyFont="1" applyFill="1" applyBorder="1" applyAlignment="1" applyProtection="1">
      <alignment horizontal="center" vertical="center"/>
      <protection hidden="1"/>
    </xf>
    <xf numFmtId="0" fontId="8" fillId="9" borderId="0" xfId="0" applyFont="1" applyFill="1" applyAlignment="1" applyProtection="1">
      <alignment horizontal="center" vertical="center" wrapText="1"/>
      <protection locked="0"/>
    </xf>
    <xf numFmtId="0" fontId="17" fillId="3" borderId="0" xfId="0" applyFont="1" applyFill="1" applyAlignment="1" applyProtection="1">
      <alignment vertical="center"/>
      <protection hidden="1"/>
    </xf>
    <xf numFmtId="9" fontId="8" fillId="9" borderId="0" xfId="0" applyNumberFormat="1" applyFont="1" applyFill="1" applyAlignment="1" applyProtection="1">
      <alignment horizontal="center" vertical="center"/>
      <protection hidden="1"/>
    </xf>
    <xf numFmtId="0" fontId="8" fillId="12" borderId="0" xfId="0" applyFont="1" applyFill="1" applyAlignment="1" applyProtection="1">
      <alignment vertical="center"/>
      <protection hidden="1"/>
    </xf>
    <xf numFmtId="0" fontId="39" fillId="13" borderId="0" xfId="0" applyFont="1" applyFill="1" applyAlignment="1" applyProtection="1">
      <alignment horizontal="center" vertical="center"/>
      <protection hidden="1"/>
    </xf>
    <xf numFmtId="0" fontId="30" fillId="3" borderId="0" xfId="0" applyFont="1" applyFill="1" applyAlignment="1" applyProtection="1">
      <alignment vertical="center"/>
      <protection hidden="1"/>
    </xf>
    <xf numFmtId="0" fontId="25" fillId="3" borderId="0" xfId="0" applyFont="1" applyFill="1" applyAlignment="1" applyProtection="1">
      <alignment vertical="center"/>
      <protection hidden="1"/>
    </xf>
    <xf numFmtId="0" fontId="25" fillId="9" borderId="39" xfId="0" applyFont="1" applyFill="1" applyBorder="1" applyAlignment="1" applyProtection="1">
      <alignment horizontal="center" vertical="center"/>
      <protection hidden="1"/>
    </xf>
    <xf numFmtId="0" fontId="25" fillId="3" borderId="0" xfId="0" applyFont="1" applyFill="1" applyAlignment="1" applyProtection="1">
      <alignment vertical="center"/>
      <protection locked="0"/>
    </xf>
    <xf numFmtId="0" fontId="25" fillId="3" borderId="39" xfId="0" applyFont="1" applyFill="1" applyBorder="1" applyAlignment="1" applyProtection="1">
      <alignment horizontal="center" vertical="center"/>
      <protection locked="0"/>
    </xf>
    <xf numFmtId="0" fontId="8" fillId="3" borderId="0" xfId="0" applyFont="1" applyFill="1" applyAlignment="1" applyProtection="1">
      <alignment vertical="center"/>
      <protection locked="0"/>
    </xf>
    <xf numFmtId="0" fontId="42" fillId="3" borderId="0" xfId="0" applyFont="1" applyFill="1" applyProtection="1">
      <protection hidden="1"/>
    </xf>
    <xf numFmtId="0" fontId="44" fillId="6" borderId="0" xfId="0" applyFont="1" applyFill="1" applyAlignment="1" applyProtection="1">
      <alignment vertical="center"/>
      <protection hidden="1"/>
    </xf>
    <xf numFmtId="0" fontId="49" fillId="3" borderId="0" xfId="0" applyFont="1" applyFill="1" applyAlignment="1" applyProtection="1">
      <alignment horizontal="center" vertical="center"/>
      <protection hidden="1"/>
    </xf>
    <xf numFmtId="0" fontId="44" fillId="3" borderId="0" xfId="0" applyFont="1" applyFill="1" applyAlignment="1" applyProtection="1">
      <alignment horizontal="center" vertical="center"/>
      <protection hidden="1"/>
    </xf>
    <xf numFmtId="0" fontId="43" fillId="3" borderId="0" xfId="0" applyFont="1" applyFill="1" applyProtection="1">
      <protection hidden="1"/>
    </xf>
    <xf numFmtId="0" fontId="43" fillId="3" borderId="0" xfId="0" applyFont="1" applyFill="1" applyAlignment="1" applyProtection="1">
      <alignment horizontal="center" vertical="center"/>
      <protection hidden="1"/>
    </xf>
    <xf numFmtId="0" fontId="8" fillId="0" borderId="0" xfId="0" applyFont="1" applyProtection="1">
      <protection hidden="1"/>
    </xf>
    <xf numFmtId="9" fontId="46" fillId="3" borderId="0" xfId="0" applyNumberFormat="1" applyFont="1" applyFill="1" applyAlignment="1" applyProtection="1">
      <alignment horizontal="center" vertical="center" wrapText="1"/>
      <protection hidden="1"/>
    </xf>
    <xf numFmtId="0" fontId="46" fillId="3" borderId="0" xfId="0" applyFont="1" applyFill="1" applyAlignment="1" applyProtection="1">
      <alignment horizontal="center" vertical="center"/>
      <protection hidden="1"/>
    </xf>
    <xf numFmtId="0" fontId="46" fillId="8" borderId="0" xfId="0" applyFont="1" applyFill="1" applyAlignment="1" applyProtection="1">
      <alignment horizontal="center" vertical="center"/>
      <protection hidden="1"/>
    </xf>
    <xf numFmtId="0" fontId="46" fillId="3" borderId="0" xfId="0" applyFont="1" applyFill="1" applyAlignment="1" applyProtection="1">
      <alignment horizontal="center" vertical="center" wrapText="1"/>
      <protection hidden="1"/>
    </xf>
    <xf numFmtId="0" fontId="43" fillId="3" borderId="0" xfId="0" applyFont="1" applyFill="1" applyAlignment="1" applyProtection="1">
      <alignment vertical="center"/>
      <protection hidden="1"/>
    </xf>
    <xf numFmtId="0" fontId="8" fillId="0" borderId="0" xfId="0" applyFont="1" applyAlignment="1" applyProtection="1">
      <alignment vertical="center"/>
      <protection hidden="1"/>
    </xf>
    <xf numFmtId="9" fontId="46" fillId="8" borderId="0" xfId="0" applyNumberFormat="1" applyFont="1" applyFill="1" applyAlignment="1" applyProtection="1">
      <alignment horizontal="center" vertical="center" wrapText="1"/>
      <protection hidden="1"/>
    </xf>
    <xf numFmtId="9" fontId="46" fillId="3" borderId="0" xfId="0" applyNumberFormat="1" applyFont="1" applyFill="1" applyAlignment="1" applyProtection="1">
      <alignment horizontal="center" vertical="center"/>
      <protection hidden="1"/>
    </xf>
    <xf numFmtId="9" fontId="46" fillId="8" borderId="0" xfId="1" applyFont="1" applyFill="1" applyBorder="1" applyAlignment="1" applyProtection="1">
      <alignment horizontal="center" vertical="center"/>
      <protection hidden="1"/>
    </xf>
    <xf numFmtId="0" fontId="46" fillId="8" borderId="0" xfId="0" applyFont="1" applyFill="1" applyAlignment="1" applyProtection="1">
      <alignment horizontal="center" vertical="center" wrapText="1"/>
      <protection hidden="1"/>
    </xf>
    <xf numFmtId="9" fontId="46" fillId="3" borderId="0" xfId="1" applyFont="1" applyFill="1" applyBorder="1" applyAlignment="1" applyProtection="1">
      <alignment horizontal="center" vertical="center"/>
      <protection hidden="1"/>
    </xf>
    <xf numFmtId="167" fontId="28" fillId="8" borderId="0" xfId="5" applyNumberFormat="1" applyFont="1" applyFill="1" applyBorder="1" applyAlignment="1" applyProtection="1">
      <alignment horizontal="center" vertical="center"/>
      <protection hidden="1"/>
    </xf>
    <xf numFmtId="167" fontId="28" fillId="8" borderId="43" xfId="5" applyNumberFormat="1" applyFont="1" applyFill="1" applyBorder="1" applyAlignment="1" applyProtection="1">
      <alignment horizontal="center" vertical="center"/>
      <protection hidden="1"/>
    </xf>
    <xf numFmtId="167" fontId="28" fillId="3" borderId="0" xfId="5" applyNumberFormat="1" applyFont="1" applyFill="1" applyBorder="1" applyAlignment="1" applyProtection="1">
      <alignment horizontal="center" vertical="center"/>
      <protection hidden="1"/>
    </xf>
    <xf numFmtId="167" fontId="28" fillId="3" borderId="43" xfId="5" applyNumberFormat="1" applyFont="1" applyFill="1" applyBorder="1" applyAlignment="1" applyProtection="1">
      <alignment horizontal="center" vertical="center"/>
      <protection hidden="1"/>
    </xf>
    <xf numFmtId="167" fontId="29" fillId="8" borderId="0" xfId="5" applyNumberFormat="1" applyFont="1" applyFill="1" applyBorder="1" applyAlignment="1" applyProtection="1">
      <alignment horizontal="center" vertical="center"/>
      <protection hidden="1"/>
    </xf>
    <xf numFmtId="167" fontId="29" fillId="8" borderId="43" xfId="5" applyNumberFormat="1" applyFont="1" applyFill="1" applyBorder="1" applyAlignment="1" applyProtection="1">
      <alignment horizontal="center" vertical="center"/>
      <protection hidden="1"/>
    </xf>
    <xf numFmtId="167" fontId="26" fillId="8" borderId="43" xfId="5" applyNumberFormat="1" applyFont="1" applyFill="1" applyBorder="1" applyAlignment="1" applyProtection="1">
      <alignment horizontal="center" vertical="center"/>
      <protection hidden="1"/>
    </xf>
    <xf numFmtId="0" fontId="28" fillId="3" borderId="0" xfId="0" applyFont="1" applyFill="1" applyProtection="1">
      <protection hidden="1"/>
    </xf>
    <xf numFmtId="0" fontId="51" fillId="3" borderId="0" xfId="0" applyFont="1" applyFill="1" applyAlignment="1" applyProtection="1">
      <alignment vertical="center" wrapText="1"/>
      <protection hidden="1"/>
    </xf>
    <xf numFmtId="9" fontId="8" fillId="10" borderId="0" xfId="1" applyFont="1" applyFill="1" applyProtection="1">
      <protection hidden="1"/>
    </xf>
    <xf numFmtId="0" fontId="2" fillId="2" borderId="57"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7"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2" fillId="2" borderId="5" xfId="0" applyFont="1" applyFill="1" applyBorder="1" applyAlignment="1">
      <alignment horizontal="center" vertical="center"/>
    </xf>
    <xf numFmtId="0" fontId="6" fillId="2" borderId="8" xfId="0" applyFont="1" applyFill="1" applyBorder="1" applyAlignment="1">
      <alignment horizontal="center" vertical="center"/>
    </xf>
    <xf numFmtId="0" fontId="6" fillId="2" borderId="8" xfId="0" applyFont="1" applyFill="1" applyBorder="1" applyAlignment="1">
      <alignment horizontal="center" vertical="center" wrapText="1"/>
    </xf>
    <xf numFmtId="0" fontId="2" fillId="2" borderId="8" xfId="0" applyFont="1" applyFill="1" applyBorder="1" applyAlignment="1">
      <alignment horizontal="center" vertical="center"/>
    </xf>
    <xf numFmtId="9" fontId="2" fillId="2" borderId="11" xfId="0" applyNumberFormat="1" applyFont="1" applyFill="1" applyBorder="1" applyAlignment="1">
      <alignment horizontal="center" vertical="center" wrapText="1"/>
    </xf>
    <xf numFmtId="0" fontId="2" fillId="2" borderId="4" xfId="0" applyFont="1" applyFill="1" applyBorder="1" applyAlignment="1">
      <alignment horizontal="center" vertical="center"/>
    </xf>
    <xf numFmtId="0" fontId="10" fillId="3" borderId="16"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19" fillId="0" borderId="0" xfId="0" applyFont="1" applyAlignment="1">
      <alignment vertical="center"/>
    </xf>
    <xf numFmtId="0" fontId="50" fillId="15" borderId="3" xfId="0" applyFont="1" applyFill="1" applyBorder="1" applyAlignment="1">
      <alignment horizontal="center" vertical="center"/>
    </xf>
    <xf numFmtId="0" fontId="8" fillId="6" borderId="0" xfId="0" applyFont="1" applyFill="1" applyAlignment="1" applyProtection="1">
      <alignment horizontal="left" vertical="center"/>
      <protection hidden="1"/>
    </xf>
    <xf numFmtId="0" fontId="24" fillId="0" borderId="39" xfId="0" applyFont="1" applyBorder="1" applyAlignment="1" applyProtection="1">
      <alignment vertical="center"/>
      <protection hidden="1"/>
    </xf>
    <xf numFmtId="167" fontId="26" fillId="0" borderId="0" xfId="0" applyNumberFormat="1" applyFont="1" applyProtection="1">
      <protection hidden="1"/>
    </xf>
    <xf numFmtId="0" fontId="50" fillId="15" borderId="46" xfId="0" applyFont="1" applyFill="1" applyBorder="1" applyAlignment="1">
      <alignment vertical="center"/>
    </xf>
    <xf numFmtId="0" fontId="24" fillId="0" borderId="0" xfId="0" applyFont="1" applyAlignment="1" applyProtection="1">
      <alignment vertical="center"/>
      <protection hidden="1"/>
    </xf>
    <xf numFmtId="0" fontId="51" fillId="11" borderId="64" xfId="0" applyFont="1" applyFill="1" applyBorder="1" applyAlignment="1" applyProtection="1">
      <alignment horizontal="center" vertical="center"/>
      <protection hidden="1"/>
    </xf>
    <xf numFmtId="0" fontId="8" fillId="3" borderId="64" xfId="0" applyFont="1" applyFill="1" applyBorder="1" applyProtection="1">
      <protection hidden="1"/>
    </xf>
    <xf numFmtId="10" fontId="8" fillId="9" borderId="64" xfId="1"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hidden="1"/>
    </xf>
    <xf numFmtId="0" fontId="32" fillId="3" borderId="0" xfId="0" applyFont="1" applyFill="1" applyAlignment="1" applyProtection="1">
      <alignment vertical="top"/>
      <protection hidden="1"/>
    </xf>
    <xf numFmtId="0" fontId="56" fillId="3" borderId="0" xfId="0" applyFont="1" applyFill="1" applyAlignment="1" applyProtection="1">
      <alignment vertical="top"/>
      <protection hidden="1"/>
    </xf>
    <xf numFmtId="0" fontId="55" fillId="3" borderId="0" xfId="0" applyFont="1" applyFill="1" applyProtection="1">
      <protection hidden="1"/>
    </xf>
    <xf numFmtId="0" fontId="57" fillId="3" borderId="0" xfId="0" applyFont="1" applyFill="1" applyAlignment="1" applyProtection="1">
      <alignment vertical="top"/>
      <protection hidden="1"/>
    </xf>
    <xf numFmtId="0" fontId="33" fillId="3" borderId="0" xfId="0" applyFont="1" applyFill="1" applyAlignment="1" applyProtection="1">
      <alignment vertical="top"/>
      <protection hidden="1"/>
    </xf>
    <xf numFmtId="0" fontId="58" fillId="3" borderId="0" xfId="0" applyFont="1" applyFill="1" applyProtection="1">
      <protection hidden="1"/>
    </xf>
    <xf numFmtId="0" fontId="33" fillId="3" borderId="0" xfId="0" applyFont="1" applyFill="1" applyAlignment="1" applyProtection="1">
      <alignment vertical="center"/>
      <protection hidden="1"/>
    </xf>
    <xf numFmtId="0" fontId="58" fillId="3" borderId="0" xfId="0" applyFont="1" applyFill="1" applyAlignment="1" applyProtection="1">
      <alignment vertical="center"/>
      <protection hidden="1"/>
    </xf>
    <xf numFmtId="0" fontId="60" fillId="12" borderId="39" xfId="0" applyFont="1" applyFill="1" applyBorder="1" applyAlignment="1" applyProtection="1">
      <alignment vertical="center"/>
      <protection hidden="1"/>
    </xf>
    <xf numFmtId="167" fontId="62" fillId="3" borderId="0" xfId="0" applyNumberFormat="1" applyFont="1" applyFill="1" applyProtection="1">
      <protection hidden="1"/>
    </xf>
    <xf numFmtId="0" fontId="54" fillId="3" borderId="0" xfId="0" applyFont="1" applyFill="1" applyProtection="1">
      <protection hidden="1"/>
    </xf>
    <xf numFmtId="0" fontId="60" fillId="3" borderId="0" xfId="0" applyFont="1" applyFill="1" applyAlignment="1" applyProtection="1">
      <alignment vertical="top"/>
      <protection hidden="1"/>
    </xf>
    <xf numFmtId="0" fontId="63" fillId="15" borderId="46" xfId="0" applyFont="1" applyFill="1" applyBorder="1" applyAlignment="1">
      <alignment vertical="center"/>
    </xf>
    <xf numFmtId="0" fontId="54" fillId="3" borderId="39" xfId="0" applyFont="1" applyFill="1" applyBorder="1" applyProtection="1">
      <protection hidden="1"/>
    </xf>
    <xf numFmtId="0" fontId="64" fillId="3" borderId="39" xfId="0" applyFont="1" applyFill="1" applyBorder="1" applyAlignment="1" applyProtection="1">
      <alignment horizontal="center" vertical="center" wrapText="1"/>
      <protection hidden="1"/>
    </xf>
    <xf numFmtId="167" fontId="65" fillId="8" borderId="43" xfId="5" applyNumberFormat="1" applyFont="1" applyFill="1" applyBorder="1" applyAlignment="1" applyProtection="1">
      <alignment horizontal="center" vertical="center"/>
      <protection hidden="1"/>
    </xf>
    <xf numFmtId="167" fontId="65" fillId="8" borderId="0" xfId="5" applyNumberFormat="1" applyFont="1" applyFill="1" applyBorder="1" applyAlignment="1" applyProtection="1">
      <alignment horizontal="center" vertical="center"/>
      <protection hidden="1"/>
    </xf>
    <xf numFmtId="167" fontId="66" fillId="8" borderId="0" xfId="5" applyNumberFormat="1" applyFont="1" applyFill="1" applyBorder="1" applyAlignment="1" applyProtection="1">
      <alignment horizontal="center" vertical="center"/>
      <protection hidden="1"/>
    </xf>
    <xf numFmtId="0" fontId="67" fillId="3" borderId="0" xfId="0" applyFont="1" applyFill="1" applyAlignment="1" applyProtection="1">
      <alignment vertical="top"/>
      <protection hidden="1"/>
    </xf>
    <xf numFmtId="0" fontId="61" fillId="3" borderId="0" xfId="0" applyFont="1" applyFill="1" applyProtection="1">
      <protection hidden="1"/>
    </xf>
    <xf numFmtId="0" fontId="67" fillId="3" borderId="0" xfId="0" applyFont="1" applyFill="1" applyAlignment="1" applyProtection="1">
      <alignment vertical="center"/>
      <protection hidden="1"/>
    </xf>
    <xf numFmtId="0" fontId="60" fillId="3" borderId="0" xfId="0" applyFont="1" applyFill="1" applyAlignment="1" applyProtection="1">
      <alignment vertical="center"/>
      <protection hidden="1"/>
    </xf>
    <xf numFmtId="0" fontId="61" fillId="3" borderId="0" xfId="0" applyFont="1" applyFill="1" applyAlignment="1" applyProtection="1">
      <alignment vertical="center"/>
      <protection hidden="1"/>
    </xf>
    <xf numFmtId="167" fontId="65" fillId="3" borderId="0" xfId="5" applyNumberFormat="1" applyFont="1" applyFill="1" applyBorder="1" applyAlignment="1" applyProtection="1">
      <alignment horizontal="center" vertical="center"/>
      <protection hidden="1"/>
    </xf>
    <xf numFmtId="167" fontId="65" fillId="3" borderId="43" xfId="5" applyNumberFormat="1" applyFont="1" applyFill="1" applyBorder="1" applyAlignment="1" applyProtection="1">
      <alignment horizontal="center" vertical="center"/>
      <protection hidden="1"/>
    </xf>
    <xf numFmtId="0" fontId="41" fillId="3" borderId="0" xfId="0" applyFont="1" applyFill="1" applyProtection="1">
      <protection hidden="1"/>
    </xf>
    <xf numFmtId="0" fontId="51" fillId="3" borderId="0" xfId="0" applyFont="1" applyFill="1" applyAlignment="1" applyProtection="1">
      <alignment vertical="top"/>
      <protection hidden="1"/>
    </xf>
    <xf numFmtId="9" fontId="41" fillId="9" borderId="39" xfId="0" applyNumberFormat="1" applyFont="1" applyFill="1" applyBorder="1" applyAlignment="1" applyProtection="1">
      <alignment horizontal="center" vertical="center"/>
      <protection hidden="1"/>
    </xf>
    <xf numFmtId="0" fontId="41" fillId="6" borderId="0" xfId="0" applyFont="1" applyFill="1" applyAlignment="1" applyProtection="1">
      <alignment horizontal="left" vertical="center"/>
      <protection hidden="1"/>
    </xf>
    <xf numFmtId="9" fontId="41" fillId="9" borderId="0" xfId="0" applyNumberFormat="1" applyFont="1" applyFill="1" applyAlignment="1" applyProtection="1">
      <alignment horizontal="center" vertical="center"/>
      <protection hidden="1"/>
    </xf>
    <xf numFmtId="0" fontId="69" fillId="3" borderId="0" xfId="0" applyFont="1" applyFill="1" applyProtection="1">
      <protection hidden="1"/>
    </xf>
    <xf numFmtId="0" fontId="69" fillId="3" borderId="0" xfId="0" applyFont="1" applyFill="1" applyAlignment="1" applyProtection="1">
      <alignment vertical="center"/>
      <protection hidden="1"/>
    </xf>
    <xf numFmtId="9" fontId="0" fillId="0" borderId="0" xfId="0" applyNumberFormat="1"/>
    <xf numFmtId="1" fontId="0" fillId="0" borderId="0" xfId="0" applyNumberFormat="1"/>
    <xf numFmtId="9" fontId="0" fillId="3" borderId="0" xfId="0" applyNumberFormat="1" applyFill="1"/>
    <xf numFmtId="167" fontId="29" fillId="3" borderId="0" xfId="5" applyNumberFormat="1" applyFont="1" applyFill="1" applyBorder="1" applyAlignment="1" applyProtection="1">
      <alignment horizontal="center" vertical="center"/>
      <protection hidden="1"/>
    </xf>
    <xf numFmtId="0" fontId="39" fillId="16" borderId="0" xfId="0" applyFont="1" applyFill="1" applyAlignment="1" applyProtection="1">
      <alignment horizontal="center" vertical="center"/>
      <protection hidden="1"/>
    </xf>
    <xf numFmtId="167" fontId="66" fillId="8" borderId="43" xfId="5" applyNumberFormat="1" applyFont="1" applyFill="1" applyBorder="1" applyAlignment="1" applyProtection="1">
      <alignment horizontal="center" vertical="center"/>
      <protection hidden="1"/>
    </xf>
    <xf numFmtId="167" fontId="66" fillId="3" borderId="43" xfId="5" applyNumberFormat="1" applyFont="1" applyFill="1" applyBorder="1" applyAlignment="1" applyProtection="1">
      <alignment horizontal="center" vertical="center"/>
      <protection hidden="1"/>
    </xf>
    <xf numFmtId="167" fontId="66" fillId="3" borderId="0"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vertical="center"/>
      <protection hidden="1"/>
    </xf>
    <xf numFmtId="0" fontId="70" fillId="3" borderId="0" xfId="0" applyFont="1" applyFill="1" applyProtection="1">
      <protection hidden="1"/>
    </xf>
    <xf numFmtId="0" fontId="72" fillId="3" borderId="0" xfId="0" applyFont="1" applyFill="1" applyProtection="1">
      <protection hidden="1"/>
    </xf>
    <xf numFmtId="0" fontId="70" fillId="3" borderId="39" xfId="0" applyFont="1" applyFill="1" applyBorder="1" applyProtection="1">
      <protection hidden="1"/>
    </xf>
    <xf numFmtId="0" fontId="73" fillId="3" borderId="0" xfId="0" applyFont="1" applyFill="1" applyAlignment="1" applyProtection="1">
      <alignment horizontal="center" vertical="center" wrapText="1"/>
      <protection hidden="1"/>
    </xf>
    <xf numFmtId="0" fontId="71" fillId="15" borderId="3" xfId="0" applyFont="1" applyFill="1" applyBorder="1" applyAlignment="1">
      <alignment horizontal="center" vertical="center"/>
    </xf>
    <xf numFmtId="0" fontId="72" fillId="3" borderId="0" xfId="0" applyFont="1" applyFill="1" applyAlignment="1" applyProtection="1">
      <alignment vertical="center"/>
      <protection hidden="1"/>
    </xf>
    <xf numFmtId="0" fontId="71" fillId="15" borderId="0" xfId="0" applyFont="1" applyFill="1" applyAlignment="1">
      <alignment horizontal="center" vertical="center"/>
    </xf>
    <xf numFmtId="167" fontId="74" fillId="8" borderId="0" xfId="5" applyNumberFormat="1" applyFont="1" applyFill="1" applyBorder="1" applyAlignment="1" applyProtection="1">
      <alignment horizontal="center" vertical="center"/>
      <protection hidden="1"/>
    </xf>
    <xf numFmtId="167" fontId="74" fillId="8" borderId="43" xfId="5" applyNumberFormat="1" applyFont="1" applyFill="1" applyBorder="1" applyAlignment="1" applyProtection="1">
      <alignment horizontal="center" vertical="center"/>
      <protection hidden="1"/>
    </xf>
    <xf numFmtId="167" fontId="74" fillId="3" borderId="0" xfId="5" applyNumberFormat="1" applyFont="1" applyFill="1" applyBorder="1" applyAlignment="1" applyProtection="1">
      <alignment horizontal="center" vertical="center"/>
      <protection hidden="1"/>
    </xf>
    <xf numFmtId="167" fontId="74" fillId="3" borderId="43" xfId="5" applyNumberFormat="1" applyFont="1" applyFill="1" applyBorder="1" applyAlignment="1" applyProtection="1">
      <alignment horizontal="center" vertical="center"/>
      <protection hidden="1"/>
    </xf>
    <xf numFmtId="167" fontId="75" fillId="8" borderId="0" xfId="5" applyNumberFormat="1" applyFont="1" applyFill="1" applyBorder="1" applyAlignment="1" applyProtection="1">
      <alignment horizontal="center" vertical="center"/>
      <protection hidden="1"/>
    </xf>
    <xf numFmtId="167" fontId="75" fillId="8" borderId="43" xfId="5" applyNumberFormat="1" applyFont="1" applyFill="1" applyBorder="1" applyAlignment="1" applyProtection="1">
      <alignment horizontal="center" vertical="center"/>
      <protection hidden="1"/>
    </xf>
    <xf numFmtId="167" fontId="75" fillId="3" borderId="0" xfId="5" applyNumberFormat="1" applyFont="1" applyFill="1" applyBorder="1" applyAlignment="1" applyProtection="1">
      <alignment horizontal="center" vertical="center"/>
      <protection hidden="1"/>
    </xf>
    <xf numFmtId="167" fontId="75" fillId="3" borderId="43" xfId="5" applyNumberFormat="1" applyFont="1" applyFill="1" applyBorder="1" applyAlignment="1" applyProtection="1">
      <alignment horizontal="center" vertical="center"/>
      <protection hidden="1"/>
    </xf>
    <xf numFmtId="0" fontId="73" fillId="3" borderId="0" xfId="0" applyFont="1" applyFill="1" applyAlignment="1" applyProtection="1">
      <alignment horizontal="center" vertical="center"/>
      <protection hidden="1"/>
    </xf>
    <xf numFmtId="0" fontId="70" fillId="3" borderId="42" xfId="0" applyFont="1" applyFill="1" applyBorder="1" applyAlignment="1" applyProtection="1">
      <alignment horizontal="left" vertical="center" indent="2"/>
      <protection hidden="1"/>
    </xf>
    <xf numFmtId="0" fontId="74" fillId="3" borderId="0" xfId="0" applyFont="1" applyFill="1" applyProtection="1">
      <protection hidden="1"/>
    </xf>
    <xf numFmtId="0" fontId="76" fillId="3" borderId="0" xfId="0" applyFont="1" applyFill="1" applyAlignment="1" applyProtection="1">
      <alignment vertical="top"/>
      <protection hidden="1"/>
    </xf>
    <xf numFmtId="0" fontId="76" fillId="3" borderId="0" xfId="0" applyFont="1" applyFill="1" applyAlignment="1" applyProtection="1">
      <alignment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9" fontId="3" fillId="3" borderId="14" xfId="0" applyNumberFormat="1" applyFont="1" applyFill="1" applyBorder="1" applyAlignment="1">
      <alignment horizontal="center" vertical="center"/>
    </xf>
    <xf numFmtId="169" fontId="0" fillId="3" borderId="0" xfId="0" applyNumberFormat="1" applyFill="1"/>
    <xf numFmtId="170" fontId="0" fillId="3" borderId="0" xfId="0" applyNumberFormat="1" applyFill="1"/>
    <xf numFmtId="0" fontId="63" fillId="15" borderId="74" xfId="0" applyFont="1" applyFill="1" applyBorder="1" applyAlignment="1">
      <alignment vertical="center"/>
    </xf>
    <xf numFmtId="0" fontId="78" fillId="3" borderId="0" xfId="0" applyFont="1" applyFill="1" applyAlignment="1" applyProtection="1">
      <alignment vertical="center"/>
      <protection hidden="1"/>
    </xf>
    <xf numFmtId="0" fontId="78" fillId="3" borderId="0" xfId="0" applyFont="1" applyFill="1" applyProtection="1">
      <protection hidden="1"/>
    </xf>
    <xf numFmtId="0" fontId="9" fillId="0" borderId="18" xfId="0" applyFont="1" applyBorder="1" applyAlignment="1">
      <alignment horizontal="center" vertical="center" wrapText="1"/>
    </xf>
    <xf numFmtId="9" fontId="46" fillId="3" borderId="0" xfId="1" applyFont="1" applyFill="1" applyBorder="1" applyAlignment="1" applyProtection="1">
      <alignment horizontal="center" vertical="center" wrapText="1"/>
      <protection hidden="1"/>
    </xf>
    <xf numFmtId="0" fontId="43" fillId="3" borderId="0" xfId="0" applyFont="1" applyFill="1" applyAlignment="1" applyProtection="1">
      <alignment wrapText="1"/>
      <protection hidden="1"/>
    </xf>
    <xf numFmtId="0" fontId="79" fillId="3" borderId="0" xfId="0" applyFont="1" applyFill="1" applyProtection="1">
      <protection hidden="1"/>
    </xf>
    <xf numFmtId="0" fontId="55" fillId="0" borderId="0" xfId="0" applyFont="1" applyProtection="1">
      <protection hidden="1"/>
    </xf>
    <xf numFmtId="0" fontId="55" fillId="3" borderId="0" xfId="0" applyFont="1" applyFill="1" applyAlignment="1" applyProtection="1">
      <alignment vertical="center"/>
      <protection hidden="1"/>
    </xf>
    <xf numFmtId="0" fontId="55" fillId="0" borderId="0" xfId="0" applyFont="1" applyAlignment="1" applyProtection="1">
      <alignment vertical="center"/>
      <protection hidden="1"/>
    </xf>
    <xf numFmtId="0" fontId="80" fillId="3" borderId="0" xfId="0" applyFont="1" applyFill="1" applyAlignment="1" applyProtection="1">
      <alignment horizontal="left"/>
      <protection hidden="1"/>
    </xf>
    <xf numFmtId="0" fontId="81" fillId="3" borderId="0" xfId="0" applyFont="1" applyFill="1" applyProtection="1">
      <protection hidden="1"/>
    </xf>
    <xf numFmtId="165" fontId="43" fillId="3" borderId="0" xfId="0" applyNumberFormat="1" applyFont="1" applyFill="1" applyAlignment="1" applyProtection="1">
      <alignment horizontal="center" vertical="center"/>
      <protection hidden="1"/>
    </xf>
    <xf numFmtId="0" fontId="2" fillId="17" borderId="17" xfId="0" applyFont="1" applyFill="1" applyBorder="1" applyAlignment="1">
      <alignment horizontal="center" vertical="center"/>
    </xf>
    <xf numFmtId="0" fontId="9" fillId="17" borderId="20" xfId="0" applyFont="1" applyFill="1" applyBorder="1" applyAlignment="1">
      <alignment horizontal="center" vertical="center"/>
    </xf>
    <xf numFmtId="0" fontId="9" fillId="17" borderId="21" xfId="0" applyFont="1" applyFill="1" applyBorder="1" applyAlignment="1">
      <alignment horizontal="center" vertical="center"/>
    </xf>
    <xf numFmtId="0" fontId="2" fillId="17" borderId="17" xfId="0" applyFont="1" applyFill="1" applyBorder="1" applyAlignment="1">
      <alignment horizontal="center" vertical="center" wrapText="1"/>
    </xf>
    <xf numFmtId="9" fontId="9" fillId="17" borderId="23" xfId="0" applyNumberFormat="1" applyFont="1" applyFill="1" applyBorder="1" applyAlignment="1">
      <alignment horizontal="center" vertical="center" wrapText="1"/>
    </xf>
    <xf numFmtId="0" fontId="3" fillId="17" borderId="18" xfId="0" applyFont="1" applyFill="1" applyBorder="1" applyAlignment="1">
      <alignment horizontal="center" vertical="center" wrapText="1"/>
    </xf>
    <xf numFmtId="0" fontId="3" fillId="0" borderId="14" xfId="0" applyFont="1" applyBorder="1" applyAlignment="1">
      <alignment horizontal="center" vertical="center" wrapText="1"/>
    </xf>
    <xf numFmtId="9" fontId="3" fillId="0" borderId="14" xfId="0" applyNumberFormat="1" applyFont="1" applyBorder="1" applyAlignment="1">
      <alignment horizontal="center" vertical="center"/>
    </xf>
    <xf numFmtId="0" fontId="9" fillId="0" borderId="56" xfId="0" applyFont="1" applyBorder="1" applyAlignment="1">
      <alignment horizontal="center" vertical="center" wrapText="1"/>
    </xf>
    <xf numFmtId="9" fontId="9" fillId="0" borderId="38" xfId="0" applyNumberFormat="1" applyFont="1" applyBorder="1" applyAlignment="1">
      <alignment horizontal="center" vertical="center" wrapText="1"/>
    </xf>
    <xf numFmtId="0" fontId="83" fillId="0" borderId="0" xfId="0" applyFont="1" applyAlignment="1" applyProtection="1">
      <alignment horizontal="center" vertical="center"/>
      <protection hidden="1"/>
    </xf>
    <xf numFmtId="0" fontId="43" fillId="8" borderId="0" xfId="5" applyNumberFormat="1" applyFont="1" applyFill="1" applyBorder="1" applyAlignment="1" applyProtection="1">
      <alignment horizontal="center" vertical="center" wrapText="1"/>
      <protection hidden="1"/>
    </xf>
    <xf numFmtId="0" fontId="60" fillId="0" borderId="39" xfId="0" applyFont="1" applyBorder="1" applyAlignment="1" applyProtection="1">
      <alignment vertical="center"/>
      <protection hidden="1"/>
    </xf>
    <xf numFmtId="0" fontId="25" fillId="6" borderId="76" xfId="0" applyFont="1" applyFill="1" applyBorder="1" applyAlignment="1" applyProtection="1">
      <alignment horizontal="left" vertical="center"/>
      <protection hidden="1"/>
    </xf>
    <xf numFmtId="0" fontId="8" fillId="9" borderId="75" xfId="0" applyFont="1" applyFill="1" applyBorder="1" applyAlignment="1" applyProtection="1">
      <alignment horizontal="center" vertical="center" wrapText="1"/>
      <protection locked="0"/>
    </xf>
    <xf numFmtId="0" fontId="70" fillId="3" borderId="0" xfId="0" applyFont="1" applyFill="1" applyAlignment="1" applyProtection="1">
      <alignment vertical="top" wrapText="1"/>
      <protection hidden="1"/>
    </xf>
    <xf numFmtId="0" fontId="70" fillId="3" borderId="0" xfId="0" applyFont="1" applyFill="1" applyAlignment="1" applyProtection="1">
      <alignment vertical="center"/>
      <protection hidden="1"/>
    </xf>
    <xf numFmtId="0" fontId="32" fillId="0" borderId="0" xfId="0" applyFont="1" applyProtection="1">
      <protection hidden="1"/>
    </xf>
    <xf numFmtId="0" fontId="45" fillId="2" borderId="0" xfId="0" applyFont="1" applyFill="1" applyAlignment="1" applyProtection="1">
      <alignment horizontal="center" vertical="center" wrapText="1"/>
      <protection hidden="1"/>
    </xf>
    <xf numFmtId="0" fontId="2" fillId="2" borderId="8" xfId="0" applyFont="1" applyFill="1" applyBorder="1" applyAlignment="1">
      <alignment horizontal="center" vertical="center" wrapText="1"/>
    </xf>
    <xf numFmtId="0" fontId="68" fillId="3" borderId="0" xfId="0" applyFont="1" applyFill="1" applyAlignment="1" applyProtection="1">
      <alignment vertical="center" wrapText="1"/>
      <protection hidden="1"/>
    </xf>
    <xf numFmtId="0" fontId="89" fillId="3" borderId="0" xfId="0" applyFont="1" applyFill="1" applyProtection="1">
      <protection hidden="1"/>
    </xf>
    <xf numFmtId="0" fontId="9" fillId="0" borderId="0" xfId="0" applyFont="1" applyAlignment="1" applyProtection="1">
      <alignment horizontal="center" wrapText="1"/>
      <protection locked="0"/>
    </xf>
    <xf numFmtId="171" fontId="9" fillId="0" borderId="0" xfId="0" applyNumberFormat="1" applyFont="1" applyAlignment="1" applyProtection="1">
      <alignment horizontal="center" wrapText="1"/>
      <protection locked="0"/>
    </xf>
    <xf numFmtId="0" fontId="21" fillId="3" borderId="0" xfId="0" applyFont="1" applyFill="1" applyAlignment="1">
      <alignment horizontal="center"/>
    </xf>
    <xf numFmtId="1" fontId="8" fillId="9" borderId="39" xfId="1" applyNumberFormat="1" applyFont="1" applyFill="1" applyBorder="1" applyAlignment="1" applyProtection="1">
      <alignment horizontal="center" vertical="center"/>
      <protection locked="0"/>
    </xf>
    <xf numFmtId="37" fontId="46" fillId="8" borderId="0" xfId="5" applyNumberFormat="1" applyFont="1" applyFill="1" applyBorder="1" applyAlignment="1" applyProtection="1">
      <alignment horizontal="center" vertical="center" wrapText="1"/>
      <protection hidden="1"/>
    </xf>
    <xf numFmtId="0" fontId="9" fillId="0" borderId="19" xfId="0" applyFont="1" applyBorder="1" applyAlignment="1">
      <alignment horizontal="center" vertical="center" wrapText="1"/>
    </xf>
    <xf numFmtId="0" fontId="0" fillId="3" borderId="0" xfId="0" applyFill="1" applyAlignment="1">
      <alignment horizontal="center"/>
    </xf>
    <xf numFmtId="0" fontId="92" fillId="0" borderId="0" xfId="0" applyFont="1"/>
    <xf numFmtId="0" fontId="0" fillId="0" borderId="0" xfId="0" applyAlignment="1">
      <alignment vertical="center"/>
    </xf>
    <xf numFmtId="0" fontId="0" fillId="0" borderId="0" xfId="0" applyAlignment="1">
      <alignment horizontal="center" vertical="center"/>
    </xf>
    <xf numFmtId="0" fontId="93" fillId="0" borderId="0" xfId="0" applyFont="1"/>
    <xf numFmtId="0" fontId="94" fillId="0" borderId="0" xfId="0" applyFont="1"/>
    <xf numFmtId="0" fontId="94" fillId="3" borderId="0" xfId="0" applyFont="1" applyFill="1"/>
    <xf numFmtId="0" fontId="95" fillId="19" borderId="0" xfId="0" applyFont="1" applyFill="1" applyAlignment="1">
      <alignment horizontal="left"/>
    </xf>
    <xf numFmtId="0" fontId="95" fillId="19" borderId="0" xfId="0" applyFont="1" applyFill="1"/>
    <xf numFmtId="0" fontId="96" fillId="3" borderId="0" xfId="0" applyFont="1" applyFill="1" applyProtection="1">
      <protection hidden="1"/>
    </xf>
    <xf numFmtId="0" fontId="97" fillId="3" borderId="0" xfId="0" applyFont="1" applyFill="1"/>
    <xf numFmtId="0" fontId="94" fillId="0" borderId="0" xfId="0" applyFont="1" applyAlignment="1">
      <alignment vertical="center"/>
    </xf>
    <xf numFmtId="0" fontId="97" fillId="3" borderId="0" xfId="0" applyFont="1" applyFill="1" applyAlignment="1">
      <alignment horizontal="center" wrapText="1"/>
    </xf>
    <xf numFmtId="0" fontId="97" fillId="0" borderId="0" xfId="0" applyFont="1" applyAlignment="1">
      <alignment horizontal="left"/>
    </xf>
    <xf numFmtId="0" fontId="97" fillId="3" borderId="0" xfId="0" applyFont="1" applyFill="1" applyAlignment="1">
      <alignment horizontal="left"/>
    </xf>
    <xf numFmtId="0" fontId="97" fillId="6" borderId="39" xfId="0" quotePrefix="1" applyFont="1" applyFill="1" applyBorder="1" applyAlignment="1" applyProtection="1">
      <alignment horizontal="left" vertical="center"/>
      <protection hidden="1"/>
    </xf>
    <xf numFmtId="0" fontId="94" fillId="0" borderId="0" xfId="0" applyFont="1" applyAlignment="1">
      <alignment horizontal="center" vertical="center"/>
    </xf>
    <xf numFmtId="0" fontId="94" fillId="3" borderId="0" xfId="0" applyFont="1" applyFill="1" applyAlignment="1">
      <alignment horizontal="center" wrapText="1"/>
    </xf>
    <xf numFmtId="0" fontId="97" fillId="3" borderId="0" xfId="0" quotePrefix="1" applyFont="1" applyFill="1" applyAlignment="1" applyProtection="1">
      <alignment horizontal="left" vertical="center"/>
      <protection hidden="1"/>
    </xf>
    <xf numFmtId="0" fontId="96" fillId="3" borderId="0" xfId="0" applyFont="1" applyFill="1" applyAlignment="1" applyProtection="1">
      <alignment horizontal="center" vertical="center"/>
      <protection hidden="1"/>
    </xf>
    <xf numFmtId="0" fontId="93" fillId="3" borderId="0" xfId="0" applyFont="1" applyFill="1"/>
    <xf numFmtId="0" fontId="0" fillId="3" borderId="0" xfId="0" applyFill="1" applyAlignment="1">
      <alignment horizontal="right"/>
    </xf>
    <xf numFmtId="0" fontId="95" fillId="19" borderId="0" xfId="0" applyFont="1" applyFill="1" applyAlignment="1">
      <alignment horizontal="right"/>
    </xf>
    <xf numFmtId="0" fontId="24" fillId="3" borderId="39" xfId="0" applyFont="1" applyFill="1" applyBorder="1" applyAlignment="1" applyProtection="1">
      <alignment horizontal="center" vertical="center"/>
      <protection hidden="1"/>
    </xf>
    <xf numFmtId="9" fontId="94" fillId="0" borderId="0" xfId="0" applyNumberFormat="1" applyFont="1" applyAlignment="1">
      <alignment horizontal="right"/>
    </xf>
    <xf numFmtId="9" fontId="97" fillId="0" borderId="0" xfId="0" applyNumberFormat="1" applyFont="1" applyAlignment="1">
      <alignment horizontal="right"/>
    </xf>
    <xf numFmtId="0" fontId="95" fillId="19" borderId="0" xfId="0" applyFont="1" applyFill="1" applyAlignment="1">
      <alignment vertical="center"/>
    </xf>
    <xf numFmtId="0" fontId="95" fillId="19" borderId="0" xfId="0" applyFont="1" applyFill="1" applyAlignment="1">
      <alignment horizontal="right" vertical="center"/>
    </xf>
    <xf numFmtId="0" fontId="0" fillId="3" borderId="0" xfId="0" applyFill="1" applyAlignment="1">
      <alignment horizontal="center" vertical="center"/>
    </xf>
    <xf numFmtId="43" fontId="8" fillId="10" borderId="0" xfId="5" applyFont="1" applyFill="1" applyAlignment="1" applyProtection="1">
      <alignment horizontal="center" vertical="center"/>
      <protection hidden="1"/>
    </xf>
    <xf numFmtId="9" fontId="8" fillId="10" borderId="0" xfId="1" applyFont="1" applyFill="1" applyAlignment="1" applyProtection="1">
      <alignment horizontal="center"/>
      <protection hidden="1"/>
    </xf>
    <xf numFmtId="166" fontId="8" fillId="10" borderId="0" xfId="5" applyNumberFormat="1" applyFont="1" applyFill="1" applyAlignment="1" applyProtection="1">
      <alignment horizontal="center"/>
      <protection hidden="1"/>
    </xf>
    <xf numFmtId="10" fontId="8" fillId="10" borderId="0" xfId="1" applyNumberFormat="1" applyFont="1" applyFill="1" applyAlignment="1" applyProtection="1">
      <alignment horizontal="center"/>
      <protection hidden="1"/>
    </xf>
    <xf numFmtId="0" fontId="98" fillId="3" borderId="0" xfId="0" applyFont="1" applyFill="1"/>
    <xf numFmtId="9" fontId="17" fillId="3" borderId="0" xfId="1" applyFont="1" applyFill="1" applyAlignment="1">
      <alignment horizontal="center"/>
    </xf>
    <xf numFmtId="164" fontId="0" fillId="18" borderId="0" xfId="0" applyNumberFormat="1" applyFill="1"/>
    <xf numFmtId="0" fontId="98" fillId="0" borderId="0" xfId="0" applyFont="1" applyAlignment="1">
      <alignment vertical="center"/>
    </xf>
    <xf numFmtId="9" fontId="0" fillId="18" borderId="0" xfId="0" applyNumberFormat="1" applyFill="1"/>
    <xf numFmtId="0" fontId="35" fillId="0" borderId="0" xfId="0" applyFont="1" applyAlignment="1" applyProtection="1">
      <alignment horizontal="left" vertical="center"/>
      <protection hidden="1"/>
    </xf>
    <xf numFmtId="0" fontId="40" fillId="3" borderId="0" xfId="0" applyFont="1" applyFill="1" applyProtection="1">
      <protection hidden="1"/>
    </xf>
    <xf numFmtId="0" fontId="37" fillId="3" borderId="0" xfId="0" applyFont="1" applyFill="1"/>
    <xf numFmtId="9" fontId="3" fillId="17" borderId="0" xfId="0" applyNumberFormat="1" applyFont="1" applyFill="1" applyAlignment="1">
      <alignment horizontal="center" vertical="center"/>
    </xf>
    <xf numFmtId="0" fontId="3" fillId="17" borderId="0" xfId="0" applyFont="1" applyFill="1" applyAlignment="1">
      <alignment horizontal="center" vertical="center" wrapText="1"/>
    </xf>
    <xf numFmtId="164" fontId="8" fillId="9" borderId="39" xfId="0" applyNumberFormat="1" applyFont="1" applyFill="1" applyBorder="1" applyAlignment="1" applyProtection="1">
      <alignment horizontal="center" vertical="center"/>
      <protection locked="0"/>
    </xf>
    <xf numFmtId="164" fontId="8" fillId="10" borderId="39" xfId="0" applyNumberFormat="1" applyFont="1" applyFill="1" applyBorder="1" applyAlignment="1" applyProtection="1">
      <alignment horizontal="center" vertical="center"/>
      <protection locked="0"/>
    </xf>
    <xf numFmtId="164" fontId="25" fillId="10" borderId="39" xfId="0" applyNumberFormat="1" applyFont="1" applyFill="1" applyBorder="1" applyAlignment="1" applyProtection="1">
      <alignment horizontal="center" vertical="center"/>
      <protection hidden="1"/>
    </xf>
    <xf numFmtId="0" fontId="0" fillId="3" borderId="0" xfId="0" applyFill="1" applyAlignment="1" applyProtection="1">
      <alignment horizontal="left" vertical="top" wrapText="1"/>
      <protection hidden="1"/>
    </xf>
    <xf numFmtId="0" fontId="112" fillId="3" borderId="0" xfId="0" applyFont="1" applyFill="1" applyAlignment="1" applyProtection="1">
      <alignment horizontal="left" vertical="top" wrapText="1"/>
      <protection hidden="1"/>
    </xf>
    <xf numFmtId="0" fontId="0" fillId="3" borderId="0" xfId="0" applyFill="1" applyAlignment="1">
      <alignment horizontal="left" vertical="top" wrapText="1"/>
    </xf>
    <xf numFmtId="0" fontId="112" fillId="3" borderId="0" xfId="0" applyFont="1" applyFill="1" applyAlignment="1" applyProtection="1">
      <alignment vertical="top" wrapText="1"/>
      <protection locked="0"/>
    </xf>
    <xf numFmtId="0" fontId="112" fillId="3" borderId="0" xfId="0" applyFont="1" applyFill="1" applyAlignment="1" applyProtection="1">
      <alignment horizontal="left" vertical="top" wrapText="1"/>
      <protection locked="0"/>
    </xf>
    <xf numFmtId="14" fontId="112" fillId="8" borderId="0" xfId="0" applyNumberFormat="1" applyFont="1" applyFill="1" applyAlignment="1" applyProtection="1">
      <alignment vertical="top" wrapText="1"/>
      <protection locked="0"/>
    </xf>
    <xf numFmtId="0" fontId="114" fillId="3" borderId="0" xfId="0" applyFont="1" applyFill="1" applyAlignment="1" applyProtection="1">
      <alignment vertical="center" wrapText="1"/>
      <protection hidden="1"/>
    </xf>
    <xf numFmtId="0" fontId="14" fillId="3" borderId="0" xfId="0" applyFont="1" applyFill="1" applyAlignment="1" applyProtection="1">
      <alignment horizontal="left" vertical="top" wrapText="1"/>
      <protection hidden="1"/>
    </xf>
    <xf numFmtId="0" fontId="14" fillId="3" borderId="0" xfId="0" applyFont="1" applyFill="1" applyAlignment="1" applyProtection="1">
      <alignment vertical="top" wrapText="1"/>
      <protection hidden="1"/>
    </xf>
    <xf numFmtId="14" fontId="112" fillId="5" borderId="0" xfId="0" applyNumberFormat="1" applyFont="1" applyFill="1" applyAlignment="1" applyProtection="1">
      <alignment vertical="top" wrapText="1"/>
      <protection hidden="1"/>
    </xf>
    <xf numFmtId="0" fontId="112" fillId="3" borderId="0" xfId="0" applyFont="1" applyFill="1" applyAlignment="1" applyProtection="1">
      <alignment vertical="top" wrapText="1"/>
      <protection hidden="1"/>
    </xf>
    <xf numFmtId="0" fontId="112" fillId="3" borderId="0" xfId="0" applyFont="1" applyFill="1" applyAlignment="1">
      <alignment vertical="top" wrapText="1"/>
    </xf>
    <xf numFmtId="0" fontId="116" fillId="0" borderId="0" xfId="0" applyFont="1" applyAlignment="1">
      <alignment vertical="center"/>
    </xf>
    <xf numFmtId="0" fontId="117" fillId="0" borderId="0" xfId="0" applyFont="1" applyAlignment="1">
      <alignment vertical="center"/>
    </xf>
    <xf numFmtId="0" fontId="118" fillId="0" borderId="0" xfId="0" quotePrefix="1" applyFont="1" applyAlignment="1">
      <alignment vertical="center"/>
    </xf>
    <xf numFmtId="0" fontId="119" fillId="0" borderId="0" xfId="0" applyFont="1" applyAlignment="1">
      <alignment vertical="center"/>
    </xf>
    <xf numFmtId="0" fontId="121" fillId="0" borderId="0" xfId="0" applyFont="1" applyAlignment="1">
      <alignment horizontal="center" vertical="center"/>
    </xf>
    <xf numFmtId="0" fontId="122" fillId="0" borderId="0" xfId="0" applyFont="1" applyAlignment="1">
      <alignment vertical="center"/>
    </xf>
    <xf numFmtId="0" fontId="123" fillId="0" borderId="0" xfId="0" applyFont="1" applyAlignment="1">
      <alignment horizontal="left" vertical="center"/>
    </xf>
    <xf numFmtId="0" fontId="122" fillId="0" borderId="0" xfId="0" applyFont="1" applyAlignment="1">
      <alignment horizontal="left" vertical="center"/>
    </xf>
    <xf numFmtId="0" fontId="105" fillId="0" borderId="0" xfId="0" applyFont="1" applyAlignment="1">
      <alignment horizontal="left" vertical="center"/>
    </xf>
    <xf numFmtId="0" fontId="17" fillId="0" borderId="0" xfId="0" applyFont="1" applyAlignment="1">
      <alignment vertical="center"/>
    </xf>
    <xf numFmtId="0" fontId="119" fillId="0" borderId="0" xfId="0" applyFont="1" applyAlignment="1">
      <alignment horizontal="left" vertical="center"/>
    </xf>
    <xf numFmtId="0" fontId="124" fillId="0" borderId="0" xfId="0" applyFont="1" applyAlignment="1">
      <alignment vertical="center"/>
    </xf>
    <xf numFmtId="0" fontId="125" fillId="3" borderId="0" xfId="0" applyFont="1" applyFill="1" applyAlignment="1" applyProtection="1">
      <alignment vertical="center"/>
      <protection hidden="1"/>
    </xf>
    <xf numFmtId="0" fontId="125" fillId="3" borderId="0" xfId="0" applyFont="1" applyFill="1" applyProtection="1">
      <protection hidden="1"/>
    </xf>
    <xf numFmtId="0" fontId="101" fillId="0" borderId="0" xfId="0" applyFont="1" applyProtection="1">
      <protection hidden="1"/>
    </xf>
    <xf numFmtId="0" fontId="0" fillId="0" borderId="0" xfId="0" applyProtection="1">
      <protection hidden="1"/>
    </xf>
    <xf numFmtId="0" fontId="107" fillId="0" borderId="0" xfId="0" applyFont="1" applyAlignment="1" applyProtection="1">
      <alignment vertical="center"/>
      <protection hidden="1"/>
    </xf>
    <xf numFmtId="0" fontId="0" fillId="0" borderId="0" xfId="0" applyAlignment="1" applyProtection="1">
      <alignment vertical="center"/>
      <protection hidden="1"/>
    </xf>
    <xf numFmtId="0" fontId="98" fillId="0" borderId="0" xfId="0" applyFont="1" applyAlignment="1" applyProtection="1">
      <alignment vertical="center"/>
      <protection hidden="1"/>
    </xf>
    <xf numFmtId="0" fontId="106" fillId="3" borderId="0" xfId="0" applyFont="1" applyFill="1" applyAlignment="1" applyProtection="1">
      <alignment horizontal="left" vertical="center"/>
      <protection hidden="1"/>
    </xf>
    <xf numFmtId="0" fontId="0" fillId="0" borderId="0" xfId="0" applyAlignment="1" applyProtection="1">
      <alignment horizontal="right"/>
      <protection hidden="1"/>
    </xf>
    <xf numFmtId="0" fontId="95" fillId="19" borderId="0" xfId="0" applyFont="1" applyFill="1" applyProtection="1">
      <protection hidden="1"/>
    </xf>
    <xf numFmtId="0" fontId="95" fillId="19" borderId="0" xfId="0" applyFont="1" applyFill="1" applyAlignment="1" applyProtection="1">
      <alignment horizontal="right"/>
      <protection hidden="1"/>
    </xf>
    <xf numFmtId="0" fontId="94" fillId="0" borderId="0" xfId="0" applyFont="1" applyProtection="1">
      <protection hidden="1"/>
    </xf>
    <xf numFmtId="0" fontId="95" fillId="19" borderId="0" xfId="0" applyFont="1" applyFill="1" applyAlignment="1" applyProtection="1">
      <alignment vertical="center"/>
      <protection hidden="1"/>
    </xf>
    <xf numFmtId="3" fontId="94" fillId="0" borderId="0" xfId="0" applyNumberFormat="1" applyFont="1" applyAlignment="1" applyProtection="1">
      <alignment horizontal="right" vertical="center"/>
      <protection hidden="1"/>
    </xf>
    <xf numFmtId="0" fontId="5" fillId="3" borderId="0" xfId="0" applyFont="1" applyFill="1" applyAlignment="1" applyProtection="1">
      <alignment horizontal="left" vertical="center"/>
      <protection hidden="1"/>
    </xf>
    <xf numFmtId="3" fontId="94" fillId="3" borderId="0" xfId="0" applyNumberFormat="1" applyFont="1" applyFill="1" applyAlignment="1" applyProtection="1">
      <alignment horizontal="right" vertical="center"/>
      <protection hidden="1"/>
    </xf>
    <xf numFmtId="0" fontId="94" fillId="0" borderId="0" xfId="0" applyFont="1" applyAlignment="1" applyProtection="1">
      <alignment vertical="center"/>
      <protection hidden="1"/>
    </xf>
    <xf numFmtId="0" fontId="5" fillId="8" borderId="0" xfId="0" applyFont="1" applyFill="1" applyAlignment="1" applyProtection="1">
      <alignment horizontal="left" vertical="center"/>
      <protection hidden="1"/>
    </xf>
    <xf numFmtId="3" fontId="94" fillId="3" borderId="0" xfId="0" applyNumberFormat="1" applyFont="1" applyFill="1" applyAlignment="1" applyProtection="1">
      <alignment vertical="center"/>
      <protection hidden="1"/>
    </xf>
    <xf numFmtId="0" fontId="6" fillId="3" borderId="0" xfId="0" applyFont="1" applyFill="1" applyAlignment="1" applyProtection="1">
      <alignment horizontal="center" vertical="center"/>
      <protection hidden="1"/>
    </xf>
    <xf numFmtId="0" fontId="103" fillId="3" borderId="0" xfId="0" applyFont="1" applyFill="1" applyAlignment="1" applyProtection="1">
      <alignment horizontal="left" vertical="center"/>
      <protection hidden="1"/>
    </xf>
    <xf numFmtId="3" fontId="0" fillId="3" borderId="0" xfId="0" applyNumberFormat="1" applyFill="1" applyAlignment="1" applyProtection="1">
      <alignment horizontal="right"/>
      <protection hidden="1"/>
    </xf>
    <xf numFmtId="3" fontId="0" fillId="3" borderId="0" xfId="0" applyNumberFormat="1" applyFill="1" applyProtection="1">
      <protection hidden="1"/>
    </xf>
    <xf numFmtId="3" fontId="108" fillId="8" borderId="0" xfId="0" applyNumberFormat="1" applyFont="1" applyFill="1" applyAlignment="1" applyProtection="1">
      <alignment horizontal="right"/>
      <protection hidden="1"/>
    </xf>
    <xf numFmtId="3" fontId="94" fillId="3" borderId="0" xfId="0" applyNumberFormat="1" applyFont="1" applyFill="1" applyProtection="1">
      <protection hidden="1"/>
    </xf>
    <xf numFmtId="3" fontId="108" fillId="3" borderId="0" xfId="0" applyNumberFormat="1" applyFont="1" applyFill="1" applyAlignment="1" applyProtection="1">
      <alignment horizontal="right"/>
      <protection hidden="1"/>
    </xf>
    <xf numFmtId="9" fontId="108" fillId="8" borderId="0" xfId="1" applyFont="1" applyFill="1" applyAlignment="1" applyProtection="1">
      <alignment horizontal="right"/>
      <protection hidden="1"/>
    </xf>
    <xf numFmtId="0" fontId="104" fillId="3" borderId="0" xfId="0" applyFont="1" applyFill="1" applyAlignment="1" applyProtection="1">
      <alignment horizontal="left" vertical="center"/>
      <protection hidden="1"/>
    </xf>
    <xf numFmtId="3" fontId="102" fillId="3" borderId="0" xfId="0" applyNumberFormat="1" applyFont="1" applyFill="1" applyAlignment="1" applyProtection="1">
      <alignment horizontal="right"/>
      <protection hidden="1"/>
    </xf>
    <xf numFmtId="0" fontId="105" fillId="0" borderId="0" xfId="0" applyFont="1" applyAlignment="1" applyProtection="1">
      <alignment vertical="center"/>
      <protection hidden="1"/>
    </xf>
    <xf numFmtId="0" fontId="95" fillId="3" borderId="0" xfId="0" applyFont="1" applyFill="1" applyAlignment="1" applyProtection="1">
      <alignment horizontal="right"/>
      <protection hidden="1"/>
    </xf>
    <xf numFmtId="3" fontId="94" fillId="0" borderId="0" xfId="0" applyNumberFormat="1" applyFont="1" applyProtection="1">
      <protection hidden="1"/>
    </xf>
    <xf numFmtId="3" fontId="94" fillId="8" borderId="0" xfId="0" applyNumberFormat="1" applyFont="1" applyFill="1" applyProtection="1">
      <protection hidden="1"/>
    </xf>
    <xf numFmtId="0" fontId="108" fillId="3" borderId="0" xfId="0" applyFont="1" applyFill="1" applyAlignment="1" applyProtection="1">
      <alignment horizontal="left"/>
      <protection hidden="1"/>
    </xf>
    <xf numFmtId="9" fontId="0" fillId="0" borderId="0" xfId="0" applyNumberFormat="1" applyProtection="1">
      <protection hidden="1"/>
    </xf>
    <xf numFmtId="9" fontId="94" fillId="0" borderId="0" xfId="0" applyNumberFormat="1" applyFont="1" applyAlignment="1" applyProtection="1">
      <alignment vertical="center"/>
      <protection hidden="1"/>
    </xf>
    <xf numFmtId="0" fontId="94" fillId="0" borderId="0" xfId="0" applyFont="1" applyAlignment="1" applyProtection="1">
      <alignment horizontal="right" vertical="center"/>
      <protection hidden="1"/>
    </xf>
    <xf numFmtId="0" fontId="94" fillId="8" borderId="0" xfId="0" applyFont="1" applyFill="1" applyAlignment="1" applyProtection="1">
      <alignment vertical="center"/>
      <protection hidden="1"/>
    </xf>
    <xf numFmtId="0" fontId="94" fillId="8" borderId="0" xfId="0" applyFont="1" applyFill="1" applyAlignment="1" applyProtection="1">
      <alignment horizontal="right" vertical="center"/>
      <protection hidden="1"/>
    </xf>
    <xf numFmtId="9" fontId="94" fillId="8" borderId="0" xfId="0" applyNumberFormat="1" applyFont="1" applyFill="1" applyAlignment="1" applyProtection="1">
      <alignment vertical="center"/>
      <protection hidden="1"/>
    </xf>
    <xf numFmtId="0" fontId="94" fillId="0" borderId="0" xfId="0" applyFont="1" applyAlignment="1" applyProtection="1">
      <alignment horizontal="right"/>
      <protection hidden="1"/>
    </xf>
    <xf numFmtId="9" fontId="94" fillId="0" borderId="0" xfId="0" applyNumberFormat="1" applyFont="1" applyProtection="1">
      <protection hidden="1"/>
    </xf>
    <xf numFmtId="9" fontId="95" fillId="19" borderId="0" xfId="0" applyNumberFormat="1" applyFont="1" applyFill="1" applyProtection="1">
      <protection hidden="1"/>
    </xf>
    <xf numFmtId="0" fontId="94" fillId="3" borderId="0" xfId="0" applyFont="1" applyFill="1" applyProtection="1">
      <protection hidden="1"/>
    </xf>
    <xf numFmtId="164" fontId="94" fillId="0" borderId="0" xfId="1" applyNumberFormat="1" applyFont="1" applyAlignment="1" applyProtection="1">
      <alignment vertical="center"/>
      <protection hidden="1"/>
    </xf>
    <xf numFmtId="9" fontId="95" fillId="19" borderId="0" xfId="0" applyNumberFormat="1" applyFont="1" applyFill="1" applyAlignment="1" applyProtection="1">
      <alignment horizontal="right"/>
      <protection hidden="1"/>
    </xf>
    <xf numFmtId="164" fontId="94" fillId="0" borderId="0" xfId="0" applyNumberFormat="1" applyFont="1" applyAlignment="1" applyProtection="1">
      <alignment vertical="center"/>
      <protection hidden="1"/>
    </xf>
    <xf numFmtId="164" fontId="94" fillId="8" borderId="0" xfId="0" applyNumberFormat="1" applyFont="1" applyFill="1" applyAlignment="1" applyProtection="1">
      <alignment vertical="center"/>
      <protection hidden="1"/>
    </xf>
    <xf numFmtId="164" fontId="94" fillId="8" borderId="0" xfId="1" applyNumberFormat="1" applyFont="1" applyFill="1" applyAlignment="1" applyProtection="1">
      <alignment vertical="center"/>
      <protection hidden="1"/>
    </xf>
    <xf numFmtId="10" fontId="94" fillId="0" borderId="0" xfId="0" applyNumberFormat="1" applyFont="1" applyAlignment="1" applyProtection="1">
      <alignment vertical="center"/>
      <protection hidden="1"/>
    </xf>
    <xf numFmtId="164" fontId="94" fillId="8" borderId="0" xfId="0" applyNumberFormat="1" applyFont="1" applyFill="1" applyAlignment="1" applyProtection="1">
      <alignment horizontal="right" vertical="center"/>
      <protection hidden="1"/>
    </xf>
    <xf numFmtId="0" fontId="109" fillId="0" borderId="0" xfId="0" applyFont="1" applyProtection="1">
      <protection hidden="1"/>
    </xf>
    <xf numFmtId="0" fontId="123" fillId="0" borderId="0" xfId="0" applyFont="1" applyAlignment="1">
      <alignment vertical="center"/>
    </xf>
    <xf numFmtId="0" fontId="126" fillId="3" borderId="0" xfId="0" applyFont="1" applyFill="1" applyProtection="1">
      <protection hidden="1"/>
    </xf>
    <xf numFmtId="0" fontId="127" fillId="3" borderId="39" xfId="0" applyFont="1" applyFill="1" applyBorder="1" applyAlignment="1" applyProtection="1">
      <alignment horizontal="center" vertical="center"/>
      <protection hidden="1"/>
    </xf>
    <xf numFmtId="0" fontId="128" fillId="3" borderId="0" xfId="0" applyFont="1" applyFill="1" applyAlignment="1">
      <alignment horizontal="left" vertical="center"/>
    </xf>
    <xf numFmtId="0" fontId="45" fillId="2" borderId="79" xfId="0" applyFont="1" applyFill="1" applyBorder="1" applyAlignment="1" applyProtection="1">
      <alignment horizontal="center" vertical="center"/>
      <protection hidden="1"/>
    </xf>
    <xf numFmtId="0" fontId="43" fillId="8" borderId="80" xfId="0" applyFont="1" applyFill="1" applyBorder="1" applyAlignment="1" applyProtection="1">
      <alignment horizontal="center" vertical="center"/>
      <protection hidden="1"/>
    </xf>
    <xf numFmtId="0" fontId="43" fillId="3" borderId="80" xfId="0" applyFont="1" applyFill="1" applyBorder="1" applyAlignment="1" applyProtection="1">
      <alignment horizontal="center" vertical="center"/>
      <protection hidden="1"/>
    </xf>
    <xf numFmtId="0" fontId="43" fillId="3" borderId="80" xfId="0" applyFont="1" applyFill="1" applyBorder="1" applyProtection="1">
      <protection hidden="1"/>
    </xf>
    <xf numFmtId="0" fontId="43" fillId="8" borderId="81"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protection hidden="1"/>
    </xf>
    <xf numFmtId="9" fontId="46" fillId="3" borderId="83" xfId="0" applyNumberFormat="1" applyFont="1" applyFill="1" applyBorder="1" applyAlignment="1" applyProtection="1">
      <alignment horizontal="center" vertical="center" wrapText="1"/>
      <protection hidden="1"/>
    </xf>
    <xf numFmtId="0" fontId="46" fillId="3" borderId="83" xfId="0" applyFont="1" applyFill="1" applyBorder="1" applyAlignment="1" applyProtection="1">
      <alignment horizontal="center" vertical="center"/>
      <protection hidden="1"/>
    </xf>
    <xf numFmtId="0" fontId="43" fillId="3" borderId="83" xfId="0" applyFont="1" applyFill="1" applyBorder="1" applyProtection="1">
      <protection hidden="1"/>
    </xf>
    <xf numFmtId="9" fontId="46" fillId="3" borderId="84"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protection hidden="1"/>
    </xf>
    <xf numFmtId="0" fontId="46" fillId="8" borderId="84" xfId="0" applyFont="1" applyFill="1" applyBorder="1" applyAlignment="1" applyProtection="1">
      <alignment horizontal="center" vertical="center"/>
      <protection hidden="1"/>
    </xf>
    <xf numFmtId="0" fontId="46" fillId="3" borderId="83" xfId="0" applyFont="1" applyFill="1" applyBorder="1" applyAlignment="1" applyProtection="1">
      <alignment horizontal="center" vertical="center" wrapText="1"/>
      <protection hidden="1"/>
    </xf>
    <xf numFmtId="0" fontId="43" fillId="3" borderId="83" xfId="0" applyFont="1" applyFill="1" applyBorder="1" applyAlignment="1" applyProtection="1">
      <alignment vertical="center"/>
      <protection hidden="1"/>
    </xf>
    <xf numFmtId="0" fontId="46" fillId="3" borderId="84" xfId="0" applyFont="1" applyFill="1" applyBorder="1" applyAlignment="1" applyProtection="1">
      <alignment horizontal="center" vertical="center" wrapText="1"/>
      <protection hidden="1"/>
    </xf>
    <xf numFmtId="9" fontId="46" fillId="8" borderId="83" xfId="0" applyNumberFormat="1" applyFont="1" applyFill="1" applyBorder="1" applyAlignment="1" applyProtection="1">
      <alignment horizontal="center" vertical="center" wrapText="1"/>
      <protection hidden="1"/>
    </xf>
    <xf numFmtId="9" fontId="46" fillId="8" borderId="84" xfId="0" applyNumberFormat="1" applyFont="1" applyFill="1" applyBorder="1" applyAlignment="1" applyProtection="1">
      <alignment horizontal="center" vertical="center" wrapText="1"/>
      <protection hidden="1"/>
    </xf>
    <xf numFmtId="9" fontId="46" fillId="3" borderId="83" xfId="0" applyNumberFormat="1" applyFont="1" applyFill="1" applyBorder="1" applyAlignment="1" applyProtection="1">
      <alignment horizontal="center" vertical="center"/>
      <protection hidden="1"/>
    </xf>
    <xf numFmtId="0" fontId="46" fillId="3" borderId="84"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wrapText="1"/>
      <protection hidden="1"/>
    </xf>
    <xf numFmtId="0" fontId="46" fillId="8" borderId="84" xfId="0" applyFont="1" applyFill="1" applyBorder="1" applyAlignment="1" applyProtection="1">
      <alignment horizontal="center" vertical="center" wrapText="1"/>
      <protection hidden="1"/>
    </xf>
    <xf numFmtId="0" fontId="47" fillId="2" borderId="82" xfId="0" applyFont="1" applyFill="1" applyBorder="1" applyAlignment="1" applyProtection="1">
      <alignment horizontal="center" vertical="center"/>
      <protection hidden="1"/>
    </xf>
    <xf numFmtId="9" fontId="46" fillId="8" borderId="83" xfId="1" applyFont="1" applyFill="1" applyBorder="1" applyAlignment="1" applyProtection="1">
      <alignment horizontal="center" vertical="center"/>
      <protection hidden="1"/>
    </xf>
    <xf numFmtId="9" fontId="46" fillId="8" borderId="84" xfId="1" applyFont="1" applyFill="1" applyBorder="1" applyAlignment="1" applyProtection="1">
      <alignment horizontal="center" vertical="center"/>
      <protection hidden="1"/>
    </xf>
    <xf numFmtId="0" fontId="47" fillId="2" borderId="82" xfId="0" applyFont="1" applyFill="1" applyBorder="1" applyAlignment="1" applyProtection="1">
      <alignment horizontal="center" vertical="center" wrapText="1"/>
      <protection hidden="1"/>
    </xf>
    <xf numFmtId="9" fontId="46" fillId="3" borderId="84" xfId="0" applyNumberFormat="1" applyFont="1" applyFill="1" applyBorder="1" applyAlignment="1" applyProtection="1">
      <alignment horizontal="center" vertical="center"/>
      <protection hidden="1"/>
    </xf>
    <xf numFmtId="9" fontId="46" fillId="3" borderId="83" xfId="1" applyFont="1" applyFill="1" applyBorder="1" applyAlignment="1" applyProtection="1">
      <alignment horizontal="center" vertical="center"/>
      <protection hidden="1"/>
    </xf>
    <xf numFmtId="9" fontId="46" fillId="3" borderId="84" xfId="1" applyFont="1" applyFill="1" applyBorder="1" applyAlignment="1" applyProtection="1">
      <alignment horizontal="center" vertical="center"/>
      <protection hidden="1"/>
    </xf>
    <xf numFmtId="9" fontId="45" fillId="2" borderId="82"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wrapText="1"/>
      <protection hidden="1"/>
    </xf>
    <xf numFmtId="9" fontId="46" fillId="3" borderId="83" xfId="0" applyNumberFormat="1" applyFont="1" applyFill="1" applyBorder="1" applyAlignment="1" applyProtection="1">
      <alignment horizontal="center" wrapText="1"/>
      <protection hidden="1"/>
    </xf>
    <xf numFmtId="9" fontId="46" fillId="3" borderId="83" xfId="1" applyFont="1" applyFill="1" applyBorder="1" applyAlignment="1" applyProtection="1">
      <alignment horizontal="center" vertical="center" wrapText="1"/>
      <protection hidden="1"/>
    </xf>
    <xf numFmtId="0" fontId="43" fillId="3" borderId="83" xfId="0" applyFont="1" applyFill="1" applyBorder="1" applyAlignment="1" applyProtection="1">
      <alignment wrapText="1"/>
      <protection hidden="1"/>
    </xf>
    <xf numFmtId="9" fontId="46" fillId="3" borderId="84" xfId="1" applyFont="1" applyFill="1" applyBorder="1" applyAlignment="1" applyProtection="1">
      <alignment horizontal="center" vertical="center" wrapText="1"/>
      <protection hidden="1"/>
    </xf>
    <xf numFmtId="0" fontId="85" fillId="2" borderId="82" xfId="0" applyFont="1" applyFill="1" applyBorder="1" applyAlignment="1" applyProtection="1">
      <alignment horizontal="center" vertical="center" wrapText="1"/>
      <protection hidden="1"/>
    </xf>
    <xf numFmtId="0" fontId="45" fillId="2" borderId="82" xfId="0" applyFont="1" applyFill="1" applyBorder="1" applyAlignment="1">
      <alignment horizontal="center" vertical="center" wrapText="1"/>
    </xf>
    <xf numFmtId="37" fontId="46" fillId="8" borderId="83" xfId="5" applyNumberFormat="1" applyFont="1" applyFill="1" applyBorder="1" applyAlignment="1" applyProtection="1">
      <alignment horizontal="center" vertical="center" wrapText="1"/>
      <protection hidden="1"/>
    </xf>
    <xf numFmtId="37" fontId="46" fillId="8" borderId="84" xfId="5" applyNumberFormat="1" applyFont="1" applyFill="1" applyBorder="1" applyAlignment="1" applyProtection="1">
      <alignment horizontal="center" vertical="center" wrapText="1"/>
      <protection hidden="1"/>
    </xf>
    <xf numFmtId="0" fontId="2" fillId="2" borderId="86" xfId="0" applyFont="1" applyFill="1" applyBorder="1" applyAlignment="1">
      <alignment horizontal="center" vertical="center" wrapText="1"/>
    </xf>
    <xf numFmtId="0" fontId="132" fillId="0" borderId="0" xfId="3" applyFont="1" applyProtection="1">
      <protection locked="0"/>
    </xf>
    <xf numFmtId="173" fontId="18" fillId="0" borderId="0" xfId="6" applyNumberFormat="1" applyFont="1" applyFill="1" applyBorder="1" applyAlignment="1" applyProtection="1">
      <alignment horizontal="center"/>
      <protection locked="0"/>
    </xf>
    <xf numFmtId="0" fontId="60" fillId="12" borderId="0" xfId="0" applyFont="1" applyFill="1" applyAlignment="1" applyProtection="1">
      <alignment horizontal="center" vertical="center"/>
      <protection hidden="1"/>
    </xf>
    <xf numFmtId="167" fontId="66" fillId="8" borderId="50" xfId="5" applyNumberFormat="1" applyFont="1" applyFill="1" applyBorder="1" applyAlignment="1" applyProtection="1">
      <alignment horizontal="center" vertical="center"/>
      <protection hidden="1"/>
    </xf>
    <xf numFmtId="0" fontId="50" fillId="15" borderId="0" xfId="0" applyFont="1" applyFill="1" applyAlignment="1">
      <alignment horizontal="center" vertical="center"/>
    </xf>
    <xf numFmtId="0" fontId="50" fillId="15" borderId="44" xfId="0" applyFont="1" applyFill="1" applyBorder="1" applyAlignment="1">
      <alignment horizontal="center" vertical="center"/>
    </xf>
    <xf numFmtId="0" fontId="50" fillId="15" borderId="46" xfId="0" applyFont="1" applyFill="1" applyBorder="1" applyAlignment="1">
      <alignment horizontal="center" vertical="center"/>
    </xf>
    <xf numFmtId="0" fontId="50" fillId="15" borderId="45" xfId="0" applyFont="1" applyFill="1" applyBorder="1" applyAlignment="1">
      <alignment horizontal="center" vertical="center"/>
    </xf>
    <xf numFmtId="0" fontId="63" fillId="15" borderId="44" xfId="0" applyFont="1" applyFill="1" applyBorder="1" applyAlignment="1">
      <alignment horizontal="center" vertical="center"/>
    </xf>
    <xf numFmtId="3" fontId="0" fillId="22" borderId="0" xfId="0" applyNumberFormat="1" applyFill="1" applyAlignment="1">
      <alignment horizontal="right"/>
    </xf>
    <xf numFmtId="3" fontId="0" fillId="23" borderId="0" xfId="0" applyNumberFormat="1" applyFill="1" applyAlignment="1">
      <alignment horizontal="right"/>
    </xf>
    <xf numFmtId="9" fontId="8" fillId="26" borderId="0" xfId="0" applyNumberFormat="1" applyFont="1" applyFill="1" applyProtection="1">
      <protection hidden="1"/>
    </xf>
    <xf numFmtId="0" fontId="9" fillId="3" borderId="16" xfId="0" applyFont="1" applyFill="1" applyBorder="1" applyAlignment="1">
      <alignment horizontal="center" vertical="center" wrapText="1"/>
    </xf>
    <xf numFmtId="0" fontId="9" fillId="0" borderId="20" xfId="0" applyFont="1" applyBorder="1" applyAlignment="1">
      <alignment horizontal="center" vertical="center" wrapText="1"/>
    </xf>
    <xf numFmtId="0" fontId="45" fillId="2" borderId="87" xfId="0" applyFont="1" applyFill="1" applyBorder="1" applyAlignment="1" applyProtection="1">
      <alignment horizontal="center" vertical="center" wrapText="1"/>
      <protection hidden="1"/>
    </xf>
    <xf numFmtId="0" fontId="90" fillId="0" borderId="88" xfId="0" applyFont="1" applyBorder="1"/>
    <xf numFmtId="0" fontId="90" fillId="0" borderId="89" xfId="0" applyFont="1" applyBorder="1"/>
    <xf numFmtId="3" fontId="0" fillId="3" borderId="92" xfId="0" applyNumberFormat="1" applyFill="1" applyBorder="1"/>
    <xf numFmtId="0" fontId="133" fillId="3" borderId="0" xfId="0" applyFont="1" applyFill="1" applyProtection="1">
      <protection hidden="1"/>
    </xf>
    <xf numFmtId="164" fontId="8" fillId="9" borderId="39" xfId="0" applyNumberFormat="1" applyFont="1" applyFill="1" applyBorder="1" applyAlignment="1">
      <alignment horizontal="center" vertical="center"/>
    </xf>
    <xf numFmtId="0" fontId="8" fillId="10" borderId="24" xfId="0" applyFont="1" applyFill="1" applyBorder="1" applyAlignment="1" applyProtection="1">
      <alignment horizontal="right"/>
      <protection hidden="1"/>
    </xf>
    <xf numFmtId="0" fontId="8" fillId="10" borderId="88" xfId="0" applyFont="1" applyFill="1" applyBorder="1" applyAlignment="1" applyProtection="1">
      <alignment horizontal="right"/>
      <protection hidden="1"/>
    </xf>
    <xf numFmtId="14" fontId="8" fillId="10" borderId="88" xfId="0" applyNumberFormat="1" applyFont="1" applyFill="1" applyBorder="1" applyAlignment="1" applyProtection="1">
      <alignment horizontal="right"/>
      <protection hidden="1"/>
    </xf>
    <xf numFmtId="0" fontId="8" fillId="10" borderId="88" xfId="0" applyFont="1" applyFill="1" applyBorder="1" applyAlignment="1" applyProtection="1">
      <alignment horizontal="center"/>
      <protection hidden="1"/>
    </xf>
    <xf numFmtId="0" fontId="38" fillId="10" borderId="88" xfId="0" applyFont="1" applyFill="1" applyBorder="1" applyAlignment="1" applyProtection="1">
      <alignment horizontal="center" vertical="center"/>
      <protection hidden="1"/>
    </xf>
    <xf numFmtId="0" fontId="8" fillId="10" borderId="90" xfId="0" applyFont="1" applyFill="1" applyBorder="1" applyAlignment="1" applyProtection="1">
      <alignment horizontal="right"/>
      <protection hidden="1"/>
    </xf>
    <xf numFmtId="14" fontId="8" fillId="10" borderId="0" xfId="0" applyNumberFormat="1" applyFont="1" applyFill="1" applyAlignment="1" applyProtection="1">
      <alignment horizontal="right"/>
      <protection hidden="1"/>
    </xf>
    <xf numFmtId="0" fontId="8" fillId="10" borderId="90" xfId="0" applyFont="1" applyFill="1" applyBorder="1" applyAlignment="1" applyProtection="1">
      <alignment horizontal="center"/>
      <protection hidden="1"/>
    </xf>
    <xf numFmtId="0" fontId="8" fillId="10" borderId="26" xfId="0" applyFont="1" applyFill="1" applyBorder="1" applyAlignment="1" applyProtection="1">
      <alignment horizontal="right"/>
      <protection hidden="1"/>
    </xf>
    <xf numFmtId="0" fontId="8" fillId="10" borderId="92" xfId="0" applyFont="1" applyFill="1" applyBorder="1" applyAlignment="1" applyProtection="1">
      <alignment horizontal="right"/>
      <protection hidden="1"/>
    </xf>
    <xf numFmtId="14" fontId="8" fillId="10" borderId="92" xfId="0" applyNumberFormat="1" applyFont="1" applyFill="1" applyBorder="1" applyAlignment="1" applyProtection="1">
      <alignment horizontal="right"/>
      <protection hidden="1"/>
    </xf>
    <xf numFmtId="0" fontId="8" fillId="10" borderId="92" xfId="0" applyFont="1" applyFill="1" applyBorder="1" applyAlignment="1" applyProtection="1">
      <alignment horizontal="center"/>
      <protection hidden="1"/>
    </xf>
    <xf numFmtId="0" fontId="38" fillId="10" borderId="92" xfId="0" applyFont="1" applyFill="1" applyBorder="1" applyAlignment="1" applyProtection="1">
      <alignment horizontal="center" vertical="center"/>
      <protection hidden="1"/>
    </xf>
    <xf numFmtId="14" fontId="9" fillId="0" borderId="0" xfId="0" applyNumberFormat="1" applyFont="1" applyAlignment="1" applyProtection="1">
      <alignment horizontal="center" wrapText="1"/>
      <protection locked="0"/>
    </xf>
    <xf numFmtId="0" fontId="8" fillId="5" borderId="0" xfId="0" applyFont="1" applyFill="1" applyAlignment="1" applyProtection="1">
      <alignment vertical="center"/>
      <protection hidden="1"/>
    </xf>
    <xf numFmtId="0" fontId="130" fillId="3" borderId="0" xfId="0" applyFont="1" applyFill="1" applyAlignment="1" applyProtection="1">
      <alignment vertical="center" wrapText="1"/>
      <protection hidden="1"/>
    </xf>
    <xf numFmtId="0" fontId="136" fillId="3" borderId="0" xfId="0" applyFont="1" applyFill="1" applyAlignment="1" applyProtection="1">
      <alignment vertical="center" wrapText="1"/>
      <protection hidden="1"/>
    </xf>
    <xf numFmtId="0" fontId="8" fillId="28" borderId="39" xfId="0" applyFont="1" applyFill="1" applyBorder="1" applyAlignment="1" applyProtection="1">
      <alignment horizontal="center" vertical="center"/>
      <protection hidden="1"/>
    </xf>
    <xf numFmtId="0" fontId="137" fillId="0" borderId="0" xfId="0" applyFont="1"/>
    <xf numFmtId="0" fontId="2" fillId="2" borderId="87" xfId="0" applyFont="1" applyFill="1" applyBorder="1" applyAlignment="1" applyProtection="1">
      <alignment horizontal="center" vertical="center" wrapText="1"/>
      <protection hidden="1"/>
    </xf>
    <xf numFmtId="0" fontId="24" fillId="2" borderId="87" xfId="0" applyFont="1" applyFill="1" applyBorder="1" applyAlignment="1" applyProtection="1">
      <alignment horizontal="center" vertical="center" wrapText="1"/>
      <protection hidden="1"/>
    </xf>
    <xf numFmtId="0" fontId="2" fillId="2" borderId="24" xfId="0" applyFont="1" applyFill="1" applyBorder="1" applyAlignment="1">
      <alignment horizontal="center" vertical="center" wrapText="1"/>
    </xf>
    <xf numFmtId="0" fontId="140" fillId="29" borderId="0" xfId="0" applyFont="1" applyFill="1"/>
    <xf numFmtId="3" fontId="90" fillId="3" borderId="24" xfId="0" applyNumberFormat="1" applyFont="1" applyFill="1" applyBorder="1" applyAlignment="1">
      <alignment horizontal="right"/>
    </xf>
    <xf numFmtId="3" fontId="90" fillId="3" borderId="90" xfId="0" applyNumberFormat="1" applyFont="1" applyFill="1" applyBorder="1" applyAlignment="1">
      <alignment vertical="center" wrapText="1"/>
    </xf>
    <xf numFmtId="0" fontId="90" fillId="0" borderId="26" xfId="0" applyFont="1" applyBorder="1"/>
    <xf numFmtId="3" fontId="0" fillId="3" borderId="93" xfId="0" applyNumberFormat="1" applyFill="1" applyBorder="1"/>
    <xf numFmtId="0" fontId="23" fillId="3" borderId="0" xfId="0" applyFont="1" applyFill="1" applyAlignment="1" applyProtection="1">
      <alignment vertical="center"/>
      <protection locked="0"/>
    </xf>
    <xf numFmtId="0" fontId="24" fillId="3" borderId="0" xfId="0" applyFont="1" applyFill="1" applyAlignment="1" applyProtection="1">
      <alignment vertical="top"/>
      <protection locked="0"/>
    </xf>
    <xf numFmtId="0" fontId="8" fillId="3" borderId="0" xfId="0" applyFont="1" applyFill="1" applyProtection="1">
      <protection locked="0"/>
    </xf>
    <xf numFmtId="167" fontId="29" fillId="3" borderId="0" xfId="5" applyNumberFormat="1" applyFont="1" applyFill="1" applyBorder="1" applyAlignment="1" applyProtection="1">
      <alignment horizontal="center" vertical="center"/>
      <protection locked="0"/>
    </xf>
    <xf numFmtId="0" fontId="58" fillId="3" borderId="0" xfId="0" applyFont="1" applyFill="1" applyProtection="1">
      <protection locked="0"/>
    </xf>
    <xf numFmtId="0" fontId="58" fillId="3" borderId="0" xfId="0" applyFont="1" applyFill="1" applyAlignment="1" applyProtection="1">
      <alignment vertical="center"/>
      <protection locked="0"/>
    </xf>
    <xf numFmtId="9" fontId="58" fillId="3" borderId="0" xfId="0" applyNumberFormat="1" applyFont="1" applyFill="1" applyAlignment="1" applyProtection="1">
      <alignment vertical="center"/>
      <protection locked="0"/>
    </xf>
    <xf numFmtId="0" fontId="143" fillId="29" borderId="0" xfId="0" applyFont="1" applyFill="1"/>
    <xf numFmtId="9" fontId="144" fillId="29" borderId="3" xfId="0" applyNumberFormat="1" applyFont="1" applyFill="1" applyBorder="1" applyAlignment="1">
      <alignment horizontal="center"/>
    </xf>
    <xf numFmtId="0" fontId="141" fillId="29" borderId="4" xfId="0" applyFont="1" applyFill="1" applyBorder="1" applyAlignment="1">
      <alignment horizontal="center" vertical="center" wrapText="1"/>
    </xf>
    <xf numFmtId="0" fontId="141" fillId="30" borderId="51" xfId="0" applyFont="1" applyFill="1" applyBorder="1" applyAlignment="1">
      <alignment horizontal="center" vertical="center" wrapText="1"/>
    </xf>
    <xf numFmtId="0" fontId="141" fillId="31" borderId="51" xfId="0" applyFont="1" applyFill="1" applyBorder="1" applyAlignment="1">
      <alignment horizontal="center" vertical="center" wrapText="1"/>
    </xf>
    <xf numFmtId="0" fontId="99" fillId="27" borderId="51" xfId="0" applyFont="1" applyFill="1" applyBorder="1" applyAlignment="1">
      <alignment horizontal="left" vertical="center" wrapText="1"/>
    </xf>
    <xf numFmtId="0" fontId="99" fillId="27" borderId="6" xfId="0" applyFont="1" applyFill="1" applyBorder="1" applyAlignment="1">
      <alignment horizontal="left" vertical="center" wrapText="1"/>
    </xf>
    <xf numFmtId="0" fontId="140" fillId="29" borderId="51" xfId="0" applyFont="1" applyFill="1" applyBorder="1" applyAlignment="1">
      <alignment vertical="center" wrapText="1"/>
    </xf>
    <xf numFmtId="0" fontId="140" fillId="0" borderId="6" xfId="0" applyFont="1" applyBorder="1" applyAlignment="1">
      <alignment vertical="center" wrapText="1"/>
    </xf>
    <xf numFmtId="0" fontId="141" fillId="29" borderId="51" xfId="0" applyFont="1" applyFill="1" applyBorder="1" applyAlignment="1">
      <alignment horizontal="left" vertical="center" wrapText="1"/>
    </xf>
    <xf numFmtId="0" fontId="141" fillId="30" borderId="4" xfId="0" applyFont="1" applyFill="1" applyBorder="1" applyAlignment="1">
      <alignment horizontal="center" vertical="center" wrapText="1"/>
    </xf>
    <xf numFmtId="0" fontId="142" fillId="32" borderId="6" xfId="0" applyFont="1" applyFill="1" applyBorder="1" applyAlignment="1">
      <alignment vertical="center" wrapText="1"/>
    </xf>
    <xf numFmtId="0" fontId="145" fillId="29" borderId="0" xfId="0" applyFont="1" applyFill="1"/>
    <xf numFmtId="9" fontId="139" fillId="29" borderId="1" xfId="1" applyFont="1" applyFill="1" applyBorder="1" applyAlignment="1">
      <alignment horizontal="center"/>
    </xf>
    <xf numFmtId="9" fontId="100" fillId="30" borderId="2" xfId="1" applyFont="1" applyFill="1" applyBorder="1" applyAlignment="1">
      <alignment horizontal="center"/>
    </xf>
    <xf numFmtId="9" fontId="100" fillId="31" borderId="2" xfId="1" applyFont="1" applyFill="1" applyBorder="1" applyAlignment="1">
      <alignment horizontal="center"/>
    </xf>
    <xf numFmtId="9" fontId="0" fillId="27" borderId="2" xfId="1" applyFont="1" applyFill="1" applyBorder="1" applyAlignment="1">
      <alignment horizontal="center"/>
    </xf>
    <xf numFmtId="9" fontId="0" fillId="27" borderId="50" xfId="1" applyFont="1" applyFill="1" applyBorder="1" applyAlignment="1">
      <alignment horizontal="center"/>
    </xf>
    <xf numFmtId="0" fontId="140" fillId="29" borderId="2" xfId="0" applyFont="1" applyFill="1" applyBorder="1"/>
    <xf numFmtId="0" fontId="140" fillId="0" borderId="50" xfId="0" applyFont="1" applyBorder="1"/>
    <xf numFmtId="9" fontId="139" fillId="29" borderId="2" xfId="1" applyFont="1" applyFill="1" applyBorder="1" applyAlignment="1">
      <alignment horizontal="center"/>
    </xf>
    <xf numFmtId="9" fontId="100" fillId="30" borderId="1" xfId="1" applyFont="1" applyFill="1" applyBorder="1" applyAlignment="1">
      <alignment horizontal="center"/>
    </xf>
    <xf numFmtId="9" fontId="140" fillId="32" borderId="50" xfId="0" applyNumberFormat="1" applyFont="1" applyFill="1" applyBorder="1" applyAlignment="1">
      <alignment horizontal="center"/>
    </xf>
    <xf numFmtId="0" fontId="141" fillId="29" borderId="52" xfId="0" applyFont="1" applyFill="1" applyBorder="1" applyAlignment="1">
      <alignment horizontal="center" vertical="center" wrapText="1"/>
    </xf>
    <xf numFmtId="0" fontId="141" fillId="30" borderId="0" xfId="0" applyFont="1" applyFill="1" applyAlignment="1">
      <alignment horizontal="center" vertical="center" wrapText="1"/>
    </xf>
    <xf numFmtId="0" fontId="141" fillId="31" borderId="0" xfId="0" applyFont="1" applyFill="1" applyAlignment="1">
      <alignment horizontal="center" vertical="center" wrapText="1"/>
    </xf>
    <xf numFmtId="0" fontId="99" fillId="27" borderId="0" xfId="0" applyFont="1" applyFill="1" applyAlignment="1">
      <alignment horizontal="left" vertical="center" wrapText="1"/>
    </xf>
    <xf numFmtId="0" fontId="99" fillId="27" borderId="9" xfId="0" applyFont="1" applyFill="1" applyBorder="1" applyAlignment="1">
      <alignment horizontal="left" vertical="center" wrapText="1"/>
    </xf>
    <xf numFmtId="0" fontId="141" fillId="29" borderId="0" xfId="0" applyFont="1" applyFill="1" applyAlignment="1">
      <alignment horizontal="center" vertical="center" wrapText="1"/>
    </xf>
    <xf numFmtId="0" fontId="139" fillId="32" borderId="9" xfId="0" applyFont="1" applyFill="1" applyBorder="1" applyAlignment="1">
      <alignment vertical="center" wrapText="1"/>
    </xf>
    <xf numFmtId="9" fontId="100" fillId="32" borderId="50" xfId="0" applyNumberFormat="1" applyFont="1" applyFill="1" applyBorder="1" applyAlignment="1">
      <alignment horizontal="center"/>
    </xf>
    <xf numFmtId="0" fontId="140" fillId="29" borderId="52" xfId="0" applyFont="1" applyFill="1" applyBorder="1"/>
    <xf numFmtId="0" fontId="140" fillId="29" borderId="6" xfId="0" applyFont="1" applyFill="1" applyBorder="1"/>
    <xf numFmtId="0" fontId="140" fillId="29" borderId="9" xfId="0" applyFont="1" applyFill="1" applyBorder="1"/>
    <xf numFmtId="0" fontId="144" fillId="29" borderId="52" xfId="0" applyFont="1" applyFill="1" applyBorder="1" applyAlignment="1">
      <alignment horizontal="center"/>
    </xf>
    <xf numFmtId="0" fontId="139" fillId="29" borderId="0" xfId="0" applyFont="1" applyFill="1" applyAlignment="1">
      <alignment horizontal="center" vertical="center"/>
    </xf>
    <xf numFmtId="0" fontId="139" fillId="29" borderId="9" xfId="0" applyFont="1" applyFill="1" applyBorder="1" applyAlignment="1">
      <alignment horizontal="center" vertical="center"/>
    </xf>
    <xf numFmtId="0" fontId="144" fillId="29" borderId="0" xfId="0" applyFont="1" applyFill="1" applyAlignment="1">
      <alignment horizontal="center" vertical="center"/>
    </xf>
    <xf numFmtId="0" fontId="139" fillId="33" borderId="52" xfId="1" applyNumberFormat="1" applyFont="1" applyFill="1" applyBorder="1" applyAlignment="1">
      <alignment horizontal="center"/>
    </xf>
    <xf numFmtId="164" fontId="142" fillId="33" borderId="0" xfId="1" applyNumberFormat="1" applyFont="1" applyFill="1" applyBorder="1" applyAlignment="1">
      <alignment horizontal="center"/>
    </xf>
    <xf numFmtId="164" fontId="142" fillId="33" borderId="0" xfId="1" applyNumberFormat="1" applyFont="1" applyFill="1" applyBorder="1" applyAlignment="1">
      <alignment horizontal="center" vertical="center"/>
    </xf>
    <xf numFmtId="164" fontId="142" fillId="33" borderId="9" xfId="1" applyNumberFormat="1" applyFont="1" applyFill="1" applyBorder="1" applyAlignment="1">
      <alignment horizontal="center" vertical="center"/>
    </xf>
    <xf numFmtId="0" fontId="139" fillId="29" borderId="52" xfId="0" applyFont="1" applyFill="1" applyBorder="1" applyAlignment="1">
      <alignment horizontal="center" vertical="center"/>
    </xf>
    <xf numFmtId="164" fontId="140" fillId="0" borderId="0" xfId="1" applyNumberFormat="1" applyFont="1" applyFill="1" applyBorder="1" applyAlignment="1">
      <alignment horizontal="center" vertical="center"/>
    </xf>
    <xf numFmtId="164" fontId="140" fillId="0" borderId="9" xfId="1" applyNumberFormat="1" applyFont="1" applyFill="1" applyBorder="1" applyAlignment="1">
      <alignment horizontal="center" vertical="center"/>
    </xf>
    <xf numFmtId="0" fontId="139" fillId="29" borderId="0" xfId="0" applyFont="1" applyFill="1" applyAlignment="1">
      <alignment horizontal="center"/>
    </xf>
    <xf numFmtId="164" fontId="140" fillId="29" borderId="0" xfId="1" applyNumberFormat="1" applyFont="1" applyFill="1" applyBorder="1" applyAlignment="1">
      <alignment horizontal="center" vertical="center"/>
    </xf>
    <xf numFmtId="164" fontId="140" fillId="29" borderId="9" xfId="0" applyNumberFormat="1" applyFont="1" applyFill="1" applyBorder="1"/>
    <xf numFmtId="164" fontId="140" fillId="29" borderId="0" xfId="0" applyNumberFormat="1" applyFont="1" applyFill="1" applyAlignment="1">
      <alignment horizontal="center"/>
    </xf>
    <xf numFmtId="164" fontId="140" fillId="29" borderId="9" xfId="0" applyNumberFormat="1" applyFont="1" applyFill="1" applyBorder="1" applyAlignment="1">
      <alignment horizontal="center"/>
    </xf>
    <xf numFmtId="164" fontId="140" fillId="29" borderId="0" xfId="0" applyNumberFormat="1" applyFont="1" applyFill="1"/>
    <xf numFmtId="0" fontId="139" fillId="29" borderId="1" xfId="0" applyFont="1" applyFill="1" applyBorder="1" applyAlignment="1">
      <alignment horizontal="center" vertical="center"/>
    </xf>
    <xf numFmtId="164" fontId="140" fillId="29" borderId="2" xfId="1" applyNumberFormat="1" applyFont="1" applyFill="1" applyBorder="1" applyAlignment="1">
      <alignment horizontal="center" vertical="center"/>
    </xf>
    <xf numFmtId="164" fontId="140" fillId="29" borderId="50" xfId="0" applyNumberFormat="1" applyFont="1" applyFill="1" applyBorder="1"/>
    <xf numFmtId="0" fontId="139" fillId="29" borderId="2" xfId="0" applyFont="1" applyFill="1" applyBorder="1" applyAlignment="1">
      <alignment horizontal="center"/>
    </xf>
    <xf numFmtId="164" fontId="140" fillId="29" borderId="2" xfId="0" applyNumberFormat="1" applyFont="1" applyFill="1" applyBorder="1"/>
    <xf numFmtId="0" fontId="140" fillId="29" borderId="50" xfId="0" applyFont="1" applyFill="1" applyBorder="1"/>
    <xf numFmtId="9" fontId="139" fillId="29" borderId="52" xfId="0" applyNumberFormat="1" applyFont="1" applyFill="1" applyBorder="1" applyAlignment="1">
      <alignment horizontal="center" vertical="center"/>
    </xf>
    <xf numFmtId="164" fontId="140" fillId="29" borderId="9" xfId="1" applyNumberFormat="1" applyFont="1" applyFill="1" applyBorder="1" applyAlignment="1">
      <alignment horizontal="center" vertical="center"/>
    </xf>
    <xf numFmtId="9" fontId="139" fillId="29" borderId="52" xfId="1" applyFont="1" applyFill="1" applyBorder="1" applyAlignment="1">
      <alignment horizontal="center" vertical="center"/>
    </xf>
    <xf numFmtId="9" fontId="139" fillId="34" borderId="1" xfId="1" applyFont="1" applyFill="1" applyBorder="1" applyAlignment="1">
      <alignment horizontal="center" vertical="center"/>
    </xf>
    <xf numFmtId="164" fontId="142" fillId="34" borderId="50" xfId="1" applyNumberFormat="1" applyFont="1" applyFill="1" applyBorder="1" applyAlignment="1">
      <alignment horizontal="center" vertical="center"/>
    </xf>
    <xf numFmtId="0" fontId="146" fillId="29" borderId="4" xfId="0" applyFont="1" applyFill="1" applyBorder="1"/>
    <xf numFmtId="0" fontId="144" fillId="29" borderId="52" xfId="0" applyFont="1" applyFill="1" applyBorder="1" applyAlignment="1">
      <alignment horizontal="center" vertical="center"/>
    </xf>
    <xf numFmtId="9" fontId="140" fillId="29" borderId="52" xfId="0" applyNumberFormat="1" applyFont="1" applyFill="1" applyBorder="1" applyAlignment="1">
      <alignment horizontal="center"/>
    </xf>
    <xf numFmtId="164" fontId="140" fillId="29" borderId="0" xfId="1" applyNumberFormat="1" applyFont="1" applyFill="1" applyBorder="1" applyAlignment="1">
      <alignment horizontal="center"/>
    </xf>
    <xf numFmtId="9" fontId="100" fillId="29" borderId="52" xfId="1" applyFont="1" applyFill="1" applyBorder="1" applyAlignment="1">
      <alignment horizontal="center"/>
    </xf>
    <xf numFmtId="9" fontId="139" fillId="33" borderId="1" xfId="1" applyFont="1" applyFill="1" applyBorder="1" applyAlignment="1">
      <alignment horizontal="center"/>
    </xf>
    <xf numFmtId="164" fontId="142" fillId="33" borderId="2" xfId="1" applyNumberFormat="1" applyFont="1" applyFill="1" applyBorder="1" applyAlignment="1">
      <alignment horizontal="center"/>
    </xf>
    <xf numFmtId="164" fontId="142" fillId="33" borderId="2" xfId="1" applyNumberFormat="1" applyFont="1" applyFill="1" applyBorder="1" applyAlignment="1">
      <alignment horizontal="center" vertical="center"/>
    </xf>
    <xf numFmtId="164" fontId="142" fillId="33" borderId="50" xfId="1" applyNumberFormat="1" applyFont="1" applyFill="1" applyBorder="1" applyAlignment="1">
      <alignment horizontal="center" vertical="center"/>
    </xf>
    <xf numFmtId="0" fontId="147" fillId="29" borderId="52" xfId="0" applyFont="1" applyFill="1" applyBorder="1"/>
    <xf numFmtId="0" fontId="140" fillId="29" borderId="52" xfId="0" applyFont="1" applyFill="1" applyBorder="1" applyAlignment="1">
      <alignment horizontal="center"/>
    </xf>
    <xf numFmtId="0" fontId="142" fillId="33" borderId="52" xfId="0" applyFont="1" applyFill="1" applyBorder="1" applyAlignment="1">
      <alignment horizontal="center"/>
    </xf>
    <xf numFmtId="164" fontId="142" fillId="33" borderId="9" xfId="0" applyNumberFormat="1" applyFont="1" applyFill="1" applyBorder="1"/>
    <xf numFmtId="0" fontId="142" fillId="33" borderId="1" xfId="0" applyFont="1" applyFill="1" applyBorder="1" applyAlignment="1">
      <alignment horizontal="center"/>
    </xf>
    <xf numFmtId="164" fontId="142" fillId="33" borderId="50" xfId="0" applyNumberFormat="1" applyFont="1" applyFill="1" applyBorder="1"/>
    <xf numFmtId="0" fontId="95" fillId="19" borderId="0" xfId="0" applyFont="1" applyFill="1" applyAlignment="1" applyProtection="1">
      <alignment horizontal="left"/>
      <protection hidden="1"/>
    </xf>
    <xf numFmtId="0" fontId="51" fillId="3" borderId="0" xfId="0" applyFont="1" applyFill="1" applyAlignment="1" applyProtection="1">
      <alignment vertical="center" wrapText="1"/>
      <protection locked="0" hidden="1"/>
    </xf>
    <xf numFmtId="0" fontId="94" fillId="3" borderId="0" xfId="0" applyFont="1" applyFill="1" applyAlignment="1">
      <alignment wrapText="1"/>
    </xf>
    <xf numFmtId="0" fontId="94" fillId="0" borderId="0" xfId="0" applyFont="1" applyAlignment="1">
      <alignment wrapText="1"/>
    </xf>
    <xf numFmtId="0" fontId="97" fillId="3" borderId="0" xfId="0" applyFont="1" applyFill="1" applyAlignment="1">
      <alignment vertical="center" wrapText="1"/>
    </xf>
    <xf numFmtId="3" fontId="131" fillId="24" borderId="0" xfId="0" applyNumberFormat="1" applyFont="1" applyFill="1" applyAlignment="1">
      <alignment horizontal="right"/>
    </xf>
    <xf numFmtId="3" fontId="131" fillId="25" borderId="0" xfId="0" applyNumberFormat="1" applyFont="1" applyFill="1" applyAlignment="1">
      <alignment horizontal="right"/>
    </xf>
    <xf numFmtId="0" fontId="45" fillId="2" borderId="85" xfId="0" applyFont="1" applyFill="1" applyBorder="1" applyAlignment="1" applyProtection="1">
      <alignment horizontal="center" vertical="center" wrapText="1"/>
      <protection hidden="1"/>
    </xf>
    <xf numFmtId="0" fontId="9" fillId="3" borderId="25" xfId="0" applyFont="1" applyFill="1" applyBorder="1" applyAlignment="1">
      <alignment horizontal="center" vertical="center" wrapText="1"/>
    </xf>
    <xf numFmtId="9" fontId="9" fillId="3" borderId="34" xfId="0" applyNumberFormat="1" applyFont="1" applyFill="1" applyBorder="1" applyAlignment="1">
      <alignment horizontal="center" vertical="center" wrapText="1"/>
    </xf>
    <xf numFmtId="9" fontId="9" fillId="3" borderId="77" xfId="0" applyNumberFormat="1" applyFont="1" applyFill="1" applyBorder="1" applyAlignment="1">
      <alignment horizontal="center" vertical="center" wrapText="1"/>
    </xf>
    <xf numFmtId="0" fontId="97" fillId="0" borderId="0" xfId="0" applyFont="1"/>
    <xf numFmtId="3" fontId="94" fillId="0" borderId="0" xfId="0" applyNumberFormat="1" applyFont="1"/>
    <xf numFmtId="3" fontId="94" fillId="3" borderId="0" xfId="0" applyNumberFormat="1" applyFont="1" applyFill="1"/>
    <xf numFmtId="0" fontId="148" fillId="0" borderId="0" xfId="7"/>
    <xf numFmtId="0" fontId="94" fillId="26" borderId="0" xfId="0" applyFont="1" applyFill="1"/>
    <xf numFmtId="0" fontId="96" fillId="3" borderId="0" xfId="0" applyFont="1" applyFill="1" applyAlignment="1" applyProtection="1">
      <alignment horizontal="center"/>
      <protection hidden="1"/>
    </xf>
    <xf numFmtId="9" fontId="46" fillId="0" borderId="83" xfId="0" applyNumberFormat="1" applyFont="1" applyBorder="1" applyAlignment="1" applyProtection="1">
      <alignment horizontal="center" vertical="center" wrapText="1"/>
      <protection hidden="1"/>
    </xf>
    <xf numFmtId="0" fontId="51" fillId="2" borderId="82" xfId="0" applyFont="1" applyFill="1" applyBorder="1" applyAlignment="1" applyProtection="1">
      <alignment horizontal="center" vertical="center" wrapText="1"/>
      <protection hidden="1"/>
    </xf>
    <xf numFmtId="0" fontId="0" fillId="22" borderId="0" xfId="0" applyFill="1" applyAlignment="1">
      <alignment horizontal="center"/>
    </xf>
    <xf numFmtId="0" fontId="0" fillId="0" borderId="0" xfId="0" applyProtection="1">
      <protection locked="0"/>
    </xf>
    <xf numFmtId="1" fontId="28" fillId="3" borderId="0" xfId="0" applyNumberFormat="1" applyFont="1" applyFill="1" applyAlignment="1" applyProtection="1">
      <alignment horizontal="right"/>
      <protection hidden="1"/>
    </xf>
    <xf numFmtId="0" fontId="85" fillId="2" borderId="87" xfId="0" applyFont="1" applyFill="1" applyBorder="1" applyAlignment="1" applyProtection="1">
      <alignment horizontal="center" vertical="center" wrapText="1"/>
      <protection hidden="1"/>
    </xf>
    <xf numFmtId="0" fontId="150" fillId="0" borderId="0" xfId="0" applyFont="1" applyAlignment="1">
      <alignment horizontal="left"/>
    </xf>
    <xf numFmtId="0" fontId="0" fillId="10" borderId="0" xfId="0" applyFill="1"/>
    <xf numFmtId="0" fontId="0" fillId="22" borderId="0" xfId="0" applyFill="1"/>
    <xf numFmtId="14" fontId="0" fillId="0" borderId="0" xfId="0" applyNumberFormat="1"/>
    <xf numFmtId="173" fontId="18" fillId="0" borderId="0" xfId="3" applyNumberFormat="1" applyFont="1" applyAlignment="1" applyProtection="1">
      <alignment horizontal="center"/>
      <protection locked="0"/>
    </xf>
    <xf numFmtId="0" fontId="18" fillId="0" borderId="0" xfId="0" applyFont="1" applyAlignment="1" applyProtection="1">
      <alignment horizontal="center"/>
      <protection locked="0"/>
    </xf>
    <xf numFmtId="14" fontId="0" fillId="0" borderId="0" xfId="0" applyNumberFormat="1" applyProtection="1">
      <protection locked="0"/>
    </xf>
    <xf numFmtId="0" fontId="0" fillId="0" borderId="0" xfId="0" applyAlignment="1" applyProtection="1">
      <alignment horizontal="center"/>
      <protection locked="0"/>
    </xf>
    <xf numFmtId="49" fontId="0" fillId="0" borderId="0" xfId="0" applyNumberFormat="1" applyProtection="1">
      <protection locked="0"/>
    </xf>
    <xf numFmtId="173" fontId="132" fillId="0" borderId="0" xfId="3" applyNumberFormat="1" applyFont="1" applyAlignment="1" applyProtection="1">
      <alignment horizontal="center"/>
      <protection locked="0"/>
    </xf>
    <xf numFmtId="164" fontId="94" fillId="3" borderId="0" xfId="1" applyNumberFormat="1" applyFont="1" applyFill="1" applyAlignment="1" applyProtection="1">
      <alignment horizontal="right" vertical="center"/>
      <protection hidden="1"/>
    </xf>
    <xf numFmtId="9" fontId="8" fillId="10" borderId="0" xfId="1" applyFont="1" applyFill="1" applyAlignment="1" applyProtection="1">
      <alignment horizontal="center" vertical="center"/>
      <protection hidden="1"/>
    </xf>
    <xf numFmtId="164" fontId="142" fillId="33" borderId="46" xfId="1" applyNumberFormat="1" applyFont="1" applyFill="1" applyBorder="1" applyAlignment="1">
      <alignment horizontal="center"/>
    </xf>
    <xf numFmtId="164" fontId="142" fillId="33" borderId="3" xfId="1" applyNumberFormat="1" applyFont="1" applyFill="1" applyBorder="1" applyAlignment="1">
      <alignment horizontal="center"/>
    </xf>
    <xf numFmtId="0" fontId="17" fillId="3" borderId="0" xfId="0" applyFont="1" applyFill="1"/>
    <xf numFmtId="0" fontId="97" fillId="3" borderId="10" xfId="0" applyFont="1" applyFill="1" applyBorder="1"/>
    <xf numFmtId="164" fontId="0" fillId="3" borderId="0" xfId="0" applyNumberFormat="1" applyFill="1"/>
    <xf numFmtId="0" fontId="17" fillId="0" borderId="0" xfId="0" applyFont="1" applyAlignment="1">
      <alignment horizontal="right"/>
    </xf>
    <xf numFmtId="10" fontId="0" fillId="0" borderId="0" xfId="0" applyNumberFormat="1"/>
    <xf numFmtId="43" fontId="0" fillId="0" borderId="0" xfId="5" applyFont="1"/>
    <xf numFmtId="3" fontId="0" fillId="0" borderId="0" xfId="0" applyNumberFormat="1" applyProtection="1">
      <protection hidden="1"/>
    </xf>
    <xf numFmtId="9" fontId="0" fillId="0" borderId="0" xfId="1" applyFont="1"/>
    <xf numFmtId="0" fontId="17" fillId="0" borderId="0" xfId="0" applyFont="1"/>
    <xf numFmtId="0" fontId="99" fillId="26" borderId="0" xfId="0" applyFont="1" applyFill="1" applyAlignment="1">
      <alignment horizontal="left" vertical="center" wrapText="1"/>
    </xf>
    <xf numFmtId="0" fontId="99" fillId="26" borderId="9" xfId="0" applyFont="1" applyFill="1" applyBorder="1" applyAlignment="1">
      <alignment horizontal="left" vertical="center" wrapText="1"/>
    </xf>
    <xf numFmtId="9" fontId="0" fillId="26" borderId="2" xfId="1" applyFont="1" applyFill="1" applyBorder="1" applyAlignment="1">
      <alignment horizontal="center"/>
    </xf>
    <xf numFmtId="9" fontId="0" fillId="26" borderId="50" xfId="1" applyFont="1" applyFill="1" applyBorder="1" applyAlignment="1">
      <alignment horizontal="center"/>
    </xf>
    <xf numFmtId="10" fontId="0" fillId="27" borderId="50" xfId="1" applyNumberFormat="1" applyFont="1" applyFill="1" applyBorder="1" applyAlignment="1">
      <alignment horizontal="center"/>
    </xf>
    <xf numFmtId="10" fontId="0" fillId="3" borderId="0" xfId="1" applyNumberFormat="1" applyFont="1" applyFill="1"/>
    <xf numFmtId="10" fontId="0" fillId="26" borderId="0" xfId="0" applyNumberFormat="1" applyFill="1"/>
    <xf numFmtId="0" fontId="8" fillId="0" borderId="0" xfId="0" applyFont="1" applyAlignment="1" applyProtection="1">
      <alignment horizontal="center"/>
      <protection hidden="1"/>
    </xf>
    <xf numFmtId="0" fontId="8" fillId="0" borderId="0" xfId="0" applyFont="1" applyAlignment="1" applyProtection="1">
      <alignment horizontal="center" vertical="center"/>
      <protection hidden="1"/>
    </xf>
    <xf numFmtId="9" fontId="8" fillId="0" borderId="0" xfId="1" applyFont="1" applyFill="1" applyAlignment="1" applyProtection="1">
      <alignment horizontal="center" vertical="center"/>
      <protection hidden="1"/>
    </xf>
    <xf numFmtId="0" fontId="8" fillId="0" borderId="0" xfId="0" applyFont="1" applyAlignment="1" applyProtection="1">
      <alignment horizontal="right"/>
      <protection hidden="1"/>
    </xf>
    <xf numFmtId="9" fontId="8" fillId="0" borderId="0" xfId="0" applyNumberFormat="1" applyFont="1" applyProtection="1">
      <protection hidden="1"/>
    </xf>
    <xf numFmtId="9" fontId="8" fillId="0" borderId="0" xfId="1" applyFont="1" applyFill="1" applyProtection="1">
      <protection hidden="1"/>
    </xf>
    <xf numFmtId="0" fontId="25" fillId="0" borderId="3" xfId="0" applyFont="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8" fillId="0" borderId="0" xfId="0" applyFont="1" applyAlignment="1" applyProtection="1">
      <alignment horizontal="center" vertical="justify"/>
      <protection hidden="1"/>
    </xf>
    <xf numFmtId="0" fontId="8" fillId="0" borderId="0" xfId="0" applyFont="1" applyAlignment="1" applyProtection="1">
      <alignment horizontal="right" vertical="center"/>
      <protection hidden="1"/>
    </xf>
    <xf numFmtId="0" fontId="8" fillId="0" borderId="7" xfId="0" applyFont="1" applyBorder="1" applyAlignment="1" applyProtection="1">
      <alignment horizontal="center" vertical="center"/>
      <protection hidden="1"/>
    </xf>
    <xf numFmtId="0" fontId="8" fillId="0" borderId="0" xfId="0" applyFont="1" applyAlignment="1" applyProtection="1">
      <alignment wrapText="1"/>
      <protection hidden="1"/>
    </xf>
    <xf numFmtId="43" fontId="8" fillId="0" borderId="0" xfId="5" applyFont="1" applyFill="1" applyAlignment="1" applyProtection="1">
      <alignment horizontal="center" vertical="center"/>
      <protection hidden="1"/>
    </xf>
    <xf numFmtId="9" fontId="8" fillId="0" borderId="0" xfId="1" applyFont="1" applyFill="1" applyAlignment="1" applyProtection="1">
      <alignment horizontal="right"/>
      <protection hidden="1"/>
    </xf>
    <xf numFmtId="43" fontId="8" fillId="0" borderId="0" xfId="5" applyFont="1" applyFill="1" applyProtection="1">
      <protection hidden="1"/>
    </xf>
    <xf numFmtId="9" fontId="8" fillId="0" borderId="0" xfId="1" applyFont="1" applyFill="1" applyAlignment="1" applyProtection="1">
      <alignment horizontal="center"/>
      <protection hidden="1"/>
    </xf>
    <xf numFmtId="166" fontId="8" fillId="0" borderId="0" xfId="5" applyNumberFormat="1" applyFont="1" applyFill="1" applyAlignment="1" applyProtection="1">
      <alignment horizontal="center"/>
      <protection hidden="1"/>
    </xf>
    <xf numFmtId="10" fontId="8" fillId="0" borderId="0" xfId="1" applyNumberFormat="1" applyFont="1" applyFill="1" applyAlignment="1" applyProtection="1">
      <alignment horizontal="center"/>
      <protection hidden="1"/>
    </xf>
    <xf numFmtId="10" fontId="8" fillId="0" borderId="0" xfId="1" applyNumberFormat="1" applyFont="1" applyFill="1" applyProtection="1">
      <protection hidden="1"/>
    </xf>
    <xf numFmtId="0" fontId="8" fillId="0" borderId="10" xfId="0" applyFont="1" applyBorder="1" applyAlignment="1" applyProtection="1">
      <alignment horizontal="center" vertical="center"/>
      <protection hidden="1"/>
    </xf>
    <xf numFmtId="0" fontId="8" fillId="0" borderId="49" xfId="0" applyFont="1" applyBorder="1" applyAlignment="1" applyProtection="1">
      <alignment horizontal="center" vertical="center"/>
      <protection hidden="1"/>
    </xf>
    <xf numFmtId="0" fontId="8" fillId="0" borderId="88" xfId="0" applyFont="1" applyBorder="1" applyAlignment="1" applyProtection="1">
      <alignment horizontal="center"/>
      <protection hidden="1"/>
    </xf>
    <xf numFmtId="0" fontId="8" fillId="0" borderId="88" xfId="0" applyFont="1" applyBorder="1" applyAlignment="1" applyProtection="1">
      <alignment horizontal="center" vertical="center"/>
      <protection hidden="1"/>
    </xf>
    <xf numFmtId="0" fontId="8" fillId="0" borderId="88" xfId="0" applyFont="1" applyBorder="1" applyProtection="1">
      <protection hidden="1"/>
    </xf>
    <xf numFmtId="43" fontId="8" fillId="0" borderId="88" xfId="5" applyFont="1" applyFill="1" applyBorder="1" applyAlignment="1" applyProtection="1">
      <alignment horizontal="center" vertical="center"/>
      <protection hidden="1"/>
    </xf>
    <xf numFmtId="9" fontId="8" fillId="0" borderId="88" xfId="1" applyFont="1" applyFill="1" applyBorder="1" applyAlignment="1" applyProtection="1">
      <alignment horizontal="center" vertical="center"/>
      <protection hidden="1"/>
    </xf>
    <xf numFmtId="9" fontId="8" fillId="0" borderId="88" xfId="1" applyFont="1" applyFill="1" applyBorder="1" applyAlignment="1" applyProtection="1">
      <alignment horizontal="right"/>
      <protection hidden="1"/>
    </xf>
    <xf numFmtId="9" fontId="8" fillId="0" borderId="88" xfId="1" applyFont="1" applyFill="1" applyBorder="1" applyAlignment="1" applyProtection="1">
      <alignment horizontal="center"/>
      <protection hidden="1"/>
    </xf>
    <xf numFmtId="166" fontId="8" fillId="0" borderId="88" xfId="5" applyNumberFormat="1" applyFont="1" applyFill="1" applyBorder="1" applyAlignment="1" applyProtection="1">
      <alignment horizontal="center"/>
      <protection hidden="1"/>
    </xf>
    <xf numFmtId="10" fontId="8" fillId="0" borderId="88" xfId="1" applyNumberFormat="1" applyFont="1" applyFill="1" applyBorder="1" applyAlignment="1" applyProtection="1">
      <alignment horizontal="center"/>
      <protection hidden="1"/>
    </xf>
    <xf numFmtId="9" fontId="8" fillId="0" borderId="89" xfId="1" applyFont="1" applyFill="1" applyBorder="1" applyAlignment="1" applyProtection="1">
      <alignment horizontal="center"/>
      <protection hidden="1"/>
    </xf>
    <xf numFmtId="43" fontId="8" fillId="0" borderId="0" xfId="5" applyFont="1" applyFill="1" applyBorder="1" applyAlignment="1" applyProtection="1">
      <alignment horizontal="center" vertical="center"/>
      <protection hidden="1"/>
    </xf>
    <xf numFmtId="9" fontId="8" fillId="0" borderId="0" xfId="1" applyFont="1" applyFill="1" applyBorder="1" applyAlignment="1" applyProtection="1">
      <alignment horizontal="center" vertical="center"/>
      <protection hidden="1"/>
    </xf>
    <xf numFmtId="9" fontId="8" fillId="0" borderId="0" xfId="1" applyFont="1" applyFill="1" applyBorder="1" applyAlignment="1" applyProtection="1">
      <alignment horizontal="right"/>
      <protection hidden="1"/>
    </xf>
    <xf numFmtId="9" fontId="8" fillId="0" borderId="0" xfId="1" applyFont="1" applyFill="1" applyBorder="1" applyAlignment="1" applyProtection="1">
      <alignment horizontal="center"/>
      <protection hidden="1"/>
    </xf>
    <xf numFmtId="166" fontId="8" fillId="0" borderId="0" xfId="5" applyNumberFormat="1" applyFont="1" applyFill="1" applyBorder="1" applyAlignment="1" applyProtection="1">
      <alignment horizontal="center"/>
      <protection hidden="1"/>
    </xf>
    <xf numFmtId="10" fontId="8" fillId="0" borderId="0" xfId="1" applyNumberFormat="1" applyFont="1" applyFill="1" applyBorder="1" applyAlignment="1" applyProtection="1">
      <alignment horizontal="center"/>
      <protection hidden="1"/>
    </xf>
    <xf numFmtId="9" fontId="8" fillId="0" borderId="91" xfId="1" applyFont="1" applyFill="1" applyBorder="1" applyAlignment="1" applyProtection="1">
      <alignment horizontal="center"/>
      <protection hidden="1"/>
    </xf>
    <xf numFmtId="0" fontId="8" fillId="0" borderId="92" xfId="0" applyFont="1" applyBorder="1" applyAlignment="1" applyProtection="1">
      <alignment horizontal="center"/>
      <protection hidden="1"/>
    </xf>
    <xf numFmtId="0" fontId="8" fillId="0" borderId="92" xfId="0" applyFont="1" applyBorder="1" applyAlignment="1" applyProtection="1">
      <alignment horizontal="center" vertical="center"/>
      <protection hidden="1"/>
    </xf>
    <xf numFmtId="0" fontId="8" fillId="0" borderId="92" xfId="0" applyFont="1" applyBorder="1" applyProtection="1">
      <protection hidden="1"/>
    </xf>
    <xf numFmtId="43" fontId="8" fillId="0" borderId="92" xfId="5" applyFont="1" applyFill="1" applyBorder="1" applyAlignment="1" applyProtection="1">
      <alignment horizontal="center" vertical="center"/>
      <protection hidden="1"/>
    </xf>
    <xf numFmtId="9" fontId="8" fillId="0" borderId="92" xfId="1" applyFont="1" applyFill="1" applyBorder="1" applyAlignment="1" applyProtection="1">
      <alignment horizontal="center" vertical="center"/>
      <protection hidden="1"/>
    </xf>
    <xf numFmtId="9" fontId="8" fillId="0" borderId="92" xfId="1" applyFont="1" applyFill="1" applyBorder="1" applyAlignment="1" applyProtection="1">
      <alignment horizontal="right"/>
      <protection hidden="1"/>
    </xf>
    <xf numFmtId="9" fontId="8" fillId="0" borderId="92" xfId="1" applyFont="1" applyFill="1" applyBorder="1" applyAlignment="1" applyProtection="1">
      <alignment horizontal="center"/>
      <protection hidden="1"/>
    </xf>
    <xf numFmtId="166" fontId="8" fillId="0" borderId="92" xfId="5" applyNumberFormat="1" applyFont="1" applyFill="1" applyBorder="1" applyAlignment="1" applyProtection="1">
      <alignment horizontal="center"/>
      <protection hidden="1"/>
    </xf>
    <xf numFmtId="10" fontId="8" fillId="0" borderId="92" xfId="1" applyNumberFormat="1" applyFont="1" applyFill="1" applyBorder="1" applyAlignment="1" applyProtection="1">
      <alignment horizontal="center"/>
      <protection hidden="1"/>
    </xf>
    <xf numFmtId="9" fontId="8" fillId="0" borderId="93" xfId="1" applyFont="1" applyFill="1" applyBorder="1" applyAlignment="1" applyProtection="1">
      <alignment horizontal="center"/>
      <protection hidden="1"/>
    </xf>
    <xf numFmtId="0" fontId="63" fillId="15" borderId="95" xfId="0" applyFont="1" applyFill="1" applyBorder="1" applyAlignment="1">
      <alignment horizontal="center" vertical="center" wrapText="1"/>
    </xf>
    <xf numFmtId="0" fontId="63" fillId="15" borderId="76" xfId="0" applyFont="1" applyFill="1" applyBorder="1" applyAlignment="1">
      <alignment vertical="center"/>
    </xf>
    <xf numFmtId="0" fontId="63" fillId="15" borderId="76" xfId="0" applyFont="1" applyFill="1" applyBorder="1" applyAlignment="1">
      <alignment horizontal="center" vertical="center" wrapText="1"/>
    </xf>
    <xf numFmtId="0" fontId="63" fillId="15" borderId="76" xfId="0" applyFont="1" applyFill="1" applyBorder="1" applyAlignment="1">
      <alignment horizontal="center" vertical="center"/>
    </xf>
    <xf numFmtId="167" fontId="62" fillId="8" borderId="76" xfId="0" applyNumberFormat="1" applyFont="1" applyFill="1" applyBorder="1" applyProtection="1">
      <protection hidden="1"/>
    </xf>
    <xf numFmtId="0" fontId="60" fillId="12" borderId="76" xfId="0" applyFont="1" applyFill="1" applyBorder="1" applyAlignment="1" applyProtection="1">
      <alignment vertical="center"/>
      <protection hidden="1"/>
    </xf>
    <xf numFmtId="167" fontId="65" fillId="8" borderId="97" xfId="5" applyNumberFormat="1" applyFont="1" applyFill="1" applyBorder="1" applyAlignment="1" applyProtection="1">
      <alignment horizontal="center" vertical="center"/>
      <protection hidden="1"/>
    </xf>
    <xf numFmtId="167" fontId="66" fillId="8" borderId="97" xfId="5" applyNumberFormat="1" applyFont="1" applyFill="1" applyBorder="1" applyAlignment="1" applyProtection="1">
      <alignment horizontal="center" vertical="center"/>
      <protection hidden="1"/>
    </xf>
    <xf numFmtId="167" fontId="65" fillId="3" borderId="97" xfId="5" applyNumberFormat="1" applyFont="1" applyFill="1" applyBorder="1" applyAlignment="1" applyProtection="1">
      <alignment horizontal="center" vertical="center"/>
      <protection hidden="1"/>
    </xf>
    <xf numFmtId="167" fontId="66" fillId="3" borderId="97" xfId="5" applyNumberFormat="1" applyFont="1" applyFill="1" applyBorder="1" applyAlignment="1" applyProtection="1">
      <alignment horizontal="center" vertical="center"/>
      <protection hidden="1"/>
    </xf>
    <xf numFmtId="167" fontId="66" fillId="8" borderId="98" xfId="5" applyNumberFormat="1" applyFont="1" applyFill="1" applyBorder="1" applyAlignment="1" applyProtection="1">
      <alignment horizontal="center" vertical="center"/>
      <protection hidden="1"/>
    </xf>
    <xf numFmtId="167" fontId="66" fillId="8" borderId="99" xfId="5" applyNumberFormat="1" applyFont="1" applyFill="1" applyBorder="1" applyAlignment="1" applyProtection="1">
      <alignment horizontal="center" vertical="center"/>
      <protection hidden="1"/>
    </xf>
    <xf numFmtId="167" fontId="66" fillId="8" borderId="39" xfId="5" applyNumberFormat="1" applyFont="1" applyFill="1" applyBorder="1" applyAlignment="1" applyProtection="1">
      <alignment horizontal="center" vertical="center"/>
      <protection hidden="1"/>
    </xf>
    <xf numFmtId="167" fontId="62" fillId="8" borderId="100" xfId="5" applyNumberFormat="1" applyFont="1" applyFill="1" applyBorder="1" applyAlignment="1" applyProtection="1">
      <alignment horizontal="center" vertical="center"/>
      <protection hidden="1"/>
    </xf>
    <xf numFmtId="0" fontId="63" fillId="15" borderId="76" xfId="0" applyFont="1" applyFill="1" applyBorder="1" applyAlignment="1" applyProtection="1">
      <alignment horizontal="center" vertical="center" wrapText="1"/>
      <protection hidden="1"/>
    </xf>
    <xf numFmtId="0" fontId="50" fillId="15" borderId="76" xfId="0" applyFont="1" applyFill="1" applyBorder="1" applyAlignment="1">
      <alignment horizontal="center" vertical="center"/>
    </xf>
    <xf numFmtId="0" fontId="63" fillId="15" borderId="96" xfId="0" applyFont="1" applyFill="1" applyBorder="1" applyAlignment="1">
      <alignment horizontal="center" vertical="center"/>
    </xf>
    <xf numFmtId="174" fontId="66" fillId="8" borderId="76" xfId="0" applyNumberFormat="1" applyFont="1" applyFill="1" applyBorder="1" applyAlignment="1" applyProtection="1">
      <alignment horizontal="center"/>
      <protection locked="0" hidden="1"/>
    </xf>
    <xf numFmtId="174" fontId="66" fillId="8" borderId="76" xfId="0" applyNumberFormat="1" applyFont="1" applyFill="1" applyBorder="1" applyAlignment="1" applyProtection="1">
      <alignment horizontal="center" vertical="center"/>
      <protection locked="0" hidden="1"/>
    </xf>
    <xf numFmtId="0" fontId="127" fillId="3" borderId="0" xfId="0" applyFont="1" applyFill="1" applyAlignment="1" applyProtection="1">
      <alignment horizontal="right" vertical="center"/>
      <protection hidden="1"/>
    </xf>
    <xf numFmtId="167" fontId="62" fillId="9" borderId="76" xfId="0" applyNumberFormat="1" applyFont="1" applyFill="1" applyBorder="1" applyProtection="1">
      <protection hidden="1"/>
    </xf>
    <xf numFmtId="0" fontId="46" fillId="0" borderId="83" xfId="0" applyFont="1" applyBorder="1" applyAlignment="1" applyProtection="1">
      <alignment horizontal="center" vertical="center" wrapText="1"/>
      <protection hidden="1"/>
    </xf>
    <xf numFmtId="0" fontId="43" fillId="0" borderId="83" xfId="0" applyFont="1" applyBorder="1" applyProtection="1">
      <protection hidden="1"/>
    </xf>
    <xf numFmtId="9" fontId="46" fillId="0" borderId="84" xfId="0" applyNumberFormat="1" applyFont="1" applyBorder="1" applyAlignment="1" applyProtection="1">
      <alignment horizontal="center" vertical="center" wrapText="1"/>
      <protection hidden="1"/>
    </xf>
    <xf numFmtId="0" fontId="44" fillId="0" borderId="0" xfId="0" applyFont="1" applyAlignment="1" applyProtection="1">
      <alignment vertical="center"/>
      <protection hidden="1"/>
    </xf>
    <xf numFmtId="0" fontId="43" fillId="0" borderId="0" xfId="0" applyFont="1" applyAlignment="1" applyProtection="1">
      <alignment horizontal="center" vertical="center"/>
      <protection hidden="1"/>
    </xf>
    <xf numFmtId="165" fontId="43" fillId="0" borderId="0" xfId="0" applyNumberFormat="1" applyFont="1" applyAlignment="1" applyProtection="1">
      <alignment horizontal="center" vertical="center"/>
      <protection hidden="1"/>
    </xf>
    <xf numFmtId="0" fontId="43" fillId="0" borderId="0" xfId="5" applyNumberFormat="1" applyFont="1" applyFill="1" applyBorder="1" applyAlignment="1" applyProtection="1">
      <alignment horizontal="center" vertical="center" wrapText="1"/>
      <protection hidden="1"/>
    </xf>
    <xf numFmtId="166" fontId="94" fillId="0" borderId="0" xfId="5" applyNumberFormat="1" applyFont="1" applyAlignment="1" applyProtection="1">
      <alignment vertical="center"/>
      <protection hidden="1"/>
    </xf>
    <xf numFmtId="0" fontId="8" fillId="3" borderId="0" xfId="0" applyFont="1" applyFill="1" applyAlignment="1" applyProtection="1">
      <alignment horizontal="center"/>
      <protection hidden="1"/>
    </xf>
    <xf numFmtId="15" fontId="137" fillId="0" borderId="0" xfId="0" applyNumberFormat="1" applyFont="1"/>
    <xf numFmtId="3" fontId="151" fillId="0" borderId="41" xfId="0" applyNumberFormat="1" applyFont="1" applyBorder="1" applyProtection="1">
      <protection hidden="1"/>
    </xf>
    <xf numFmtId="3" fontId="151" fillId="35" borderId="0" xfId="0" applyNumberFormat="1" applyFont="1" applyFill="1" applyProtection="1">
      <protection hidden="1"/>
    </xf>
    <xf numFmtId="3" fontId="151" fillId="0" borderId="0" xfId="0" applyNumberFormat="1" applyFont="1" applyProtection="1">
      <protection hidden="1"/>
    </xf>
    <xf numFmtId="168" fontId="140" fillId="0" borderId="0" xfId="5" applyNumberFormat="1" applyFont="1" applyFill="1" applyBorder="1" applyProtection="1">
      <protection hidden="1"/>
    </xf>
    <xf numFmtId="168" fontId="140" fillId="0" borderId="0" xfId="5" applyNumberFormat="1" applyFont="1" applyFill="1" applyBorder="1"/>
    <xf numFmtId="0" fontId="152" fillId="36" borderId="17" xfId="0" applyFont="1" applyFill="1" applyBorder="1" applyAlignment="1">
      <alignment horizontal="center" vertical="center" wrapText="1"/>
    </xf>
    <xf numFmtId="0" fontId="154" fillId="36" borderId="17" xfId="0" applyFont="1" applyFill="1" applyBorder="1" applyAlignment="1">
      <alignment horizontal="center" vertical="center" wrapText="1"/>
    </xf>
    <xf numFmtId="9" fontId="9" fillId="0" borderId="101" xfId="0" applyNumberFormat="1" applyFont="1" applyBorder="1" applyAlignment="1">
      <alignment horizontal="center" vertical="center" wrapText="1"/>
    </xf>
    <xf numFmtId="0" fontId="118" fillId="0" borderId="0" xfId="0" applyFont="1" applyAlignment="1">
      <alignment horizontal="center" vertical="center"/>
    </xf>
    <xf numFmtId="0" fontId="8" fillId="26" borderId="0" xfId="0" applyFont="1" applyFill="1" applyAlignment="1" applyProtection="1">
      <alignment horizontal="center" vertical="center"/>
      <protection hidden="1"/>
    </xf>
    <xf numFmtId="175" fontId="0" fillId="3" borderId="0" xfId="0" applyNumberFormat="1" applyFill="1"/>
    <xf numFmtId="175" fontId="0" fillId="0" borderId="91" xfId="0" applyNumberFormat="1" applyBorder="1"/>
    <xf numFmtId="175" fontId="0" fillId="3" borderId="92" xfId="0" applyNumberFormat="1" applyFill="1" applyBorder="1"/>
    <xf numFmtId="175" fontId="0" fillId="0" borderId="93" xfId="0" applyNumberFormat="1" applyBorder="1"/>
    <xf numFmtId="164" fontId="17" fillId="0" borderId="0" xfId="1" applyNumberFormat="1" applyFont="1"/>
    <xf numFmtId="0" fontId="17" fillId="0" borderId="0" xfId="0" applyFont="1" applyAlignment="1">
      <alignment horizontal="center"/>
    </xf>
    <xf numFmtId="0" fontId="105" fillId="0" borderId="0" xfId="0" applyFont="1" applyAlignment="1">
      <alignment vertical="center"/>
    </xf>
    <xf numFmtId="0" fontId="0" fillId="0" borderId="3" xfId="0" applyBorder="1"/>
    <xf numFmtId="0" fontId="2" fillId="2" borderId="3" xfId="0" applyFont="1" applyFill="1" applyBorder="1" applyAlignment="1">
      <alignment horizontal="center" vertical="center" wrapText="1"/>
    </xf>
    <xf numFmtId="0" fontId="0" fillId="0" borderId="102" xfId="0" applyBorder="1"/>
    <xf numFmtId="0" fontId="17" fillId="0" borderId="103" xfId="0" applyFont="1" applyBorder="1"/>
    <xf numFmtId="0" fontId="0" fillId="0" borderId="103" xfId="0" applyBorder="1"/>
    <xf numFmtId="0" fontId="0" fillId="0" borderId="104" xfId="0" applyBorder="1"/>
    <xf numFmtId="0" fontId="0" fillId="0" borderId="105" xfId="0" applyBorder="1"/>
    <xf numFmtId="0" fontId="0" fillId="0" borderId="107" xfId="0" applyBorder="1"/>
    <xf numFmtId="0" fontId="0" fillId="0" borderId="57" xfId="0" applyBorder="1"/>
    <xf numFmtId="0" fontId="2" fillId="2" borderId="57" xfId="0" applyFont="1" applyFill="1" applyBorder="1" applyAlignment="1">
      <alignment horizontal="center" vertical="center" wrapText="1"/>
    </xf>
    <xf numFmtId="0" fontId="2" fillId="2" borderId="17" xfId="0" applyFont="1" applyFill="1" applyBorder="1" applyAlignment="1" applyProtection="1">
      <alignment horizontal="center" vertical="center" wrapText="1"/>
      <protection hidden="1"/>
    </xf>
    <xf numFmtId="166" fontId="8" fillId="9" borderId="39" xfId="5" applyNumberFormat="1" applyFont="1" applyFill="1" applyBorder="1" applyAlignment="1" applyProtection="1">
      <alignment vertical="center"/>
      <protection locked="0"/>
    </xf>
    <xf numFmtId="0" fontId="0" fillId="0" borderId="0" xfId="0" applyAlignment="1">
      <alignment wrapText="1"/>
    </xf>
    <xf numFmtId="164" fontId="8" fillId="10" borderId="39" xfId="0" applyNumberFormat="1" applyFont="1" applyFill="1" applyBorder="1" applyAlignment="1" applyProtection="1">
      <alignment horizontal="center" vertical="center"/>
      <protection hidden="1"/>
    </xf>
    <xf numFmtId="0" fontId="156" fillId="0" borderId="0" xfId="0" applyFont="1"/>
    <xf numFmtId="164" fontId="0" fillId="0" borderId="0" xfId="1" applyNumberFormat="1" applyFont="1"/>
    <xf numFmtId="0" fontId="157" fillId="3" borderId="0" xfId="0" applyFont="1" applyFill="1" applyProtection="1">
      <protection hidden="1"/>
    </xf>
    <xf numFmtId="0" fontId="158" fillId="3" borderId="0" xfId="0" applyFont="1" applyFill="1" applyAlignment="1" applyProtection="1">
      <alignment vertical="center" wrapText="1"/>
      <protection locked="0" hidden="1"/>
    </xf>
    <xf numFmtId="164" fontId="8" fillId="9" borderId="39" xfId="1" applyNumberFormat="1" applyFont="1" applyFill="1" applyBorder="1" applyAlignment="1" applyProtection="1">
      <alignment vertical="center"/>
      <protection locked="0" hidden="1"/>
    </xf>
    <xf numFmtId="0" fontId="28" fillId="3" borderId="0" xfId="0" applyFont="1" applyFill="1"/>
    <xf numFmtId="0" fontId="8" fillId="3" borderId="0" xfId="0" applyFont="1" applyFill="1" applyAlignment="1">
      <alignment wrapText="1"/>
    </xf>
    <xf numFmtId="0" fontId="107" fillId="0" borderId="0" xfId="0" applyFont="1"/>
    <xf numFmtId="164" fontId="159" fillId="37" borderId="109" xfId="8" applyNumberFormat="1" applyAlignment="1">
      <alignment horizontal="center"/>
    </xf>
    <xf numFmtId="171" fontId="0" fillId="0" borderId="0" xfId="0" applyNumberFormat="1"/>
    <xf numFmtId="0" fontId="17" fillId="0" borderId="0" xfId="0" applyFont="1" applyAlignment="1" applyProtection="1">
      <alignment horizontal="right"/>
      <protection hidden="1"/>
    </xf>
    <xf numFmtId="176" fontId="159" fillId="37" borderId="109" xfId="8" applyNumberFormat="1" applyAlignment="1" applyProtection="1">
      <alignment horizontal="center"/>
      <protection hidden="1"/>
    </xf>
    <xf numFmtId="164" fontId="0" fillId="0" borderId="0" xfId="1" applyNumberFormat="1" applyFont="1" applyAlignment="1" applyProtection="1">
      <alignment horizontal="center"/>
      <protection hidden="1"/>
    </xf>
    <xf numFmtId="0" fontId="40" fillId="3" borderId="0" xfId="0" applyFont="1" applyFill="1" applyAlignment="1" applyProtection="1">
      <alignment horizontal="center"/>
      <protection hidden="1"/>
    </xf>
    <xf numFmtId="0" fontId="34" fillId="3" borderId="41" xfId="0" applyFont="1" applyFill="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25" fillId="0" borderId="44" xfId="0" applyFont="1" applyBorder="1" applyAlignment="1" applyProtection="1">
      <alignment horizontal="center" vertical="center"/>
      <protection hidden="1"/>
    </xf>
    <xf numFmtId="0" fontId="25" fillId="0" borderId="45" xfId="0" applyFont="1" applyBorder="1" applyAlignment="1" applyProtection="1">
      <alignment horizontal="center" vertical="center"/>
      <protection hidden="1"/>
    </xf>
    <xf numFmtId="0" fontId="25" fillId="0" borderId="46" xfId="0" applyFont="1" applyBorder="1" applyAlignment="1" applyProtection="1">
      <alignment horizontal="center" vertical="center"/>
      <protection hidden="1"/>
    </xf>
    <xf numFmtId="0" fontId="25" fillId="6" borderId="0" xfId="0" applyFont="1" applyFill="1" applyAlignment="1" applyProtection="1">
      <alignment horizontal="center" vertical="center"/>
      <protection hidden="1"/>
    </xf>
    <xf numFmtId="0" fontId="17" fillId="9" borderId="0" xfId="0" applyFont="1" applyFill="1" applyAlignment="1" applyProtection="1">
      <alignment horizontal="center" vertical="center"/>
      <protection hidden="1"/>
    </xf>
    <xf numFmtId="0" fontId="17" fillId="9" borderId="42" xfId="0" applyFont="1" applyFill="1" applyBorder="1" applyAlignment="1" applyProtection="1">
      <alignment horizontal="center" vertical="center"/>
      <protection hidden="1"/>
    </xf>
    <xf numFmtId="0" fontId="0" fillId="3" borderId="0" xfId="0" applyFill="1" applyAlignment="1">
      <alignment horizontal="center"/>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6" xfId="0" applyFill="1" applyBorder="1" applyAlignment="1" applyProtection="1">
      <alignment horizontal="center"/>
      <protection hidden="1"/>
    </xf>
    <xf numFmtId="2" fontId="0" fillId="3" borderId="44" xfId="0" applyNumberFormat="1" applyFill="1" applyBorder="1" applyAlignment="1" applyProtection="1">
      <alignment horizontal="center"/>
      <protection hidden="1"/>
    </xf>
    <xf numFmtId="2" fontId="0" fillId="3" borderId="45" xfId="0" applyNumberFormat="1" applyFill="1" applyBorder="1" applyAlignment="1" applyProtection="1">
      <alignment horizontal="center"/>
      <protection hidden="1"/>
    </xf>
    <xf numFmtId="2" fontId="0" fillId="3" borderId="47" xfId="0" applyNumberFormat="1" applyFill="1" applyBorder="1" applyAlignment="1" applyProtection="1">
      <alignment horizontal="center"/>
      <protection hidden="1"/>
    </xf>
    <xf numFmtId="0" fontId="0" fillId="3" borderId="7" xfId="0" applyFill="1" applyBorder="1" applyAlignment="1" applyProtection="1">
      <alignment horizontal="center" vertical="center"/>
      <protection hidden="1"/>
    </xf>
    <xf numFmtId="0" fontId="0" fillId="3" borderId="10" xfId="0" applyFill="1" applyBorder="1" applyAlignment="1" applyProtection="1">
      <alignment horizontal="center" vertical="center"/>
      <protection hidden="1"/>
    </xf>
    <xf numFmtId="0" fontId="0" fillId="3" borderId="49" xfId="0" applyFill="1" applyBorder="1" applyAlignment="1" applyProtection="1">
      <alignment horizontal="center" vertical="center"/>
      <protection hidden="1"/>
    </xf>
    <xf numFmtId="2" fontId="0" fillId="3" borderId="48" xfId="0" applyNumberFormat="1" applyFill="1" applyBorder="1" applyAlignment="1" applyProtection="1">
      <alignment horizontal="center"/>
      <protection hidden="1"/>
    </xf>
    <xf numFmtId="0" fontId="144" fillId="29" borderId="4" xfId="0" applyFont="1" applyFill="1" applyBorder="1" applyAlignment="1">
      <alignment horizontal="center"/>
    </xf>
    <xf numFmtId="0" fontId="144" fillId="29" borderId="51" xfId="0" applyFont="1" applyFill="1" applyBorder="1" applyAlignment="1">
      <alignment horizontal="center"/>
    </xf>
    <xf numFmtId="0" fontId="144" fillId="29" borderId="6" xfId="0" applyFont="1" applyFill="1" applyBorder="1" applyAlignment="1">
      <alignment horizontal="center"/>
    </xf>
    <xf numFmtId="0" fontId="145" fillId="29" borderId="44" xfId="0" applyFont="1" applyFill="1" applyBorder="1" applyAlignment="1">
      <alignment horizontal="center"/>
    </xf>
    <xf numFmtId="0" fontId="145" fillId="29" borderId="45" xfId="0" applyFont="1" applyFill="1" applyBorder="1" applyAlignment="1">
      <alignment horizontal="center"/>
    </xf>
    <xf numFmtId="0" fontId="145" fillId="29" borderId="46" xfId="0" applyFont="1" applyFill="1" applyBorder="1" applyAlignment="1">
      <alignment horizontal="center"/>
    </xf>
    <xf numFmtId="0" fontId="144" fillId="29" borderId="3" xfId="0" applyFont="1" applyFill="1" applyBorder="1" applyAlignment="1">
      <alignment horizontal="center"/>
    </xf>
    <xf numFmtId="0" fontId="144" fillId="29" borderId="44" xfId="0" applyFont="1" applyFill="1" applyBorder="1" applyAlignment="1">
      <alignment horizontal="center"/>
    </xf>
    <xf numFmtId="0" fontId="144" fillId="29" borderId="45" xfId="0" applyFont="1" applyFill="1" applyBorder="1" applyAlignment="1">
      <alignment horizontal="center"/>
    </xf>
    <xf numFmtId="0" fontId="144" fillId="29" borderId="46" xfId="0" applyFont="1" applyFill="1" applyBorder="1" applyAlignment="1">
      <alignment horizontal="center"/>
    </xf>
    <xf numFmtId="9" fontId="144" fillId="29" borderId="44" xfId="0" applyNumberFormat="1" applyFont="1" applyFill="1" applyBorder="1" applyAlignment="1">
      <alignment horizontal="center"/>
    </xf>
    <xf numFmtId="9" fontId="144" fillId="29" borderId="45" xfId="0" applyNumberFormat="1" applyFont="1" applyFill="1" applyBorder="1" applyAlignment="1">
      <alignment horizontal="center"/>
    </xf>
    <xf numFmtId="0" fontId="129" fillId="3" borderId="0" xfId="0" applyFont="1" applyFill="1" applyAlignment="1" applyProtection="1">
      <alignment horizontal="center" vertical="center" wrapText="1"/>
      <protection hidden="1"/>
    </xf>
    <xf numFmtId="0" fontId="63" fillId="15" borderId="76" xfId="0" applyFont="1" applyFill="1" applyBorder="1" applyAlignment="1">
      <alignment horizontal="center" vertical="center"/>
    </xf>
    <xf numFmtId="0" fontId="63" fillId="15" borderId="4" xfId="0" applyFont="1" applyFill="1" applyBorder="1" applyAlignment="1">
      <alignment horizontal="center" vertical="center"/>
    </xf>
    <xf numFmtId="0" fontId="63" fillId="15" borderId="52" xfId="0" applyFont="1" applyFill="1" applyBorder="1" applyAlignment="1">
      <alignment horizontal="center" vertical="center"/>
    </xf>
    <xf numFmtId="0" fontId="63" fillId="15" borderId="1" xfId="0" applyFont="1" applyFill="1" applyBorder="1" applyAlignment="1">
      <alignment horizontal="center" vertical="center"/>
    </xf>
    <xf numFmtId="167" fontId="65" fillId="8" borderId="0" xfId="5" applyNumberFormat="1" applyFont="1" applyFill="1" applyBorder="1" applyAlignment="1" applyProtection="1">
      <alignment horizontal="center" vertical="center"/>
      <protection hidden="1"/>
    </xf>
    <xf numFmtId="167" fontId="65" fillId="8" borderId="42" xfId="5" applyNumberFormat="1" applyFont="1" applyFill="1" applyBorder="1" applyAlignment="1" applyProtection="1">
      <alignment horizontal="center" vertical="center" wrapText="1"/>
      <protection hidden="1"/>
    </xf>
    <xf numFmtId="167" fontId="65" fillId="3" borderId="0" xfId="5" applyNumberFormat="1" applyFont="1" applyFill="1" applyBorder="1" applyAlignment="1" applyProtection="1">
      <alignment horizontal="center" vertical="center"/>
      <protection hidden="1"/>
    </xf>
    <xf numFmtId="167" fontId="65" fillId="3" borderId="42" xfId="5" applyNumberFormat="1" applyFont="1" applyFill="1" applyBorder="1" applyAlignment="1" applyProtection="1">
      <alignment horizontal="center" vertical="center" wrapText="1"/>
      <protection hidden="1"/>
    </xf>
    <xf numFmtId="0" fontId="41" fillId="6" borderId="0" xfId="0" applyFont="1" applyFill="1" applyAlignment="1" applyProtection="1">
      <alignment horizontal="left" vertical="center"/>
      <protection hidden="1"/>
    </xf>
    <xf numFmtId="165" fontId="61" fillId="10" borderId="76" xfId="0" applyNumberFormat="1" applyFont="1" applyFill="1" applyBorder="1" applyAlignment="1" applyProtection="1">
      <alignment horizontal="center" vertical="center"/>
      <protection hidden="1"/>
    </xf>
    <xf numFmtId="0" fontId="127" fillId="3" borderId="0" xfId="0" applyFont="1" applyFill="1" applyAlignment="1">
      <alignment horizontal="center" vertical="center"/>
    </xf>
    <xf numFmtId="165" fontId="61" fillId="0" borderId="0" xfId="0" applyNumberFormat="1" applyFont="1" applyAlignment="1" applyProtection="1">
      <alignment horizontal="center" vertical="center"/>
      <protection hidden="1"/>
    </xf>
    <xf numFmtId="0" fontId="63" fillId="15" borderId="76" xfId="0" applyFont="1" applyFill="1" applyBorder="1" applyAlignment="1" applyProtection="1">
      <alignment horizontal="center" vertical="center"/>
      <protection hidden="1"/>
    </xf>
    <xf numFmtId="0" fontId="59" fillId="3" borderId="0" xfId="0" applyFont="1" applyFill="1" applyAlignment="1" applyProtection="1">
      <alignment horizontal="center" vertical="center"/>
      <protection hidden="1"/>
    </xf>
    <xf numFmtId="0" fontId="61" fillId="10" borderId="76" xfId="0" applyFont="1" applyFill="1" applyBorder="1" applyAlignment="1" applyProtection="1">
      <alignment horizontal="center" vertical="center"/>
      <protection hidden="1"/>
    </xf>
    <xf numFmtId="0" fontId="60" fillId="12" borderId="0" xfId="0" applyFont="1" applyFill="1" applyAlignment="1" applyProtection="1">
      <alignment horizontal="center" vertical="center"/>
      <protection hidden="1"/>
    </xf>
    <xf numFmtId="0" fontId="45" fillId="11" borderId="65" xfId="0" applyFont="1" applyFill="1" applyBorder="1" applyAlignment="1" applyProtection="1">
      <alignment horizontal="center" vertical="center"/>
      <protection hidden="1"/>
    </xf>
    <xf numFmtId="0" fontId="45" fillId="11" borderId="66" xfId="0" applyFont="1" applyFill="1" applyBorder="1" applyAlignment="1" applyProtection="1">
      <alignment horizontal="center" vertical="center"/>
      <protection hidden="1"/>
    </xf>
    <xf numFmtId="0" fontId="45" fillId="11" borderId="67" xfId="0" applyFont="1" applyFill="1" applyBorder="1" applyAlignment="1" applyProtection="1">
      <alignment horizontal="center" vertical="center"/>
      <protection hidden="1"/>
    </xf>
    <xf numFmtId="0" fontId="45" fillId="11" borderId="68" xfId="0" applyFont="1" applyFill="1" applyBorder="1" applyAlignment="1" applyProtection="1">
      <alignment horizontal="center" vertical="center"/>
      <protection hidden="1"/>
    </xf>
    <xf numFmtId="0" fontId="60" fillId="12" borderId="76" xfId="0" applyFont="1" applyFill="1" applyBorder="1" applyAlignment="1" applyProtection="1">
      <alignment horizontal="center" vertical="center"/>
      <protection hidden="1"/>
    </xf>
    <xf numFmtId="167" fontId="65" fillId="3" borderId="9" xfId="5" applyNumberFormat="1" applyFont="1" applyFill="1" applyBorder="1" applyAlignment="1" applyProtection="1">
      <alignment horizontal="center" vertical="center"/>
      <protection hidden="1"/>
    </xf>
    <xf numFmtId="167" fontId="65" fillId="8" borderId="9" xfId="5" applyNumberFormat="1" applyFont="1" applyFill="1" applyBorder="1" applyAlignment="1" applyProtection="1">
      <alignment horizontal="center" vertical="center"/>
      <protection hidden="1"/>
    </xf>
    <xf numFmtId="167" fontId="65" fillId="8" borderId="6" xfId="5" applyNumberFormat="1" applyFont="1" applyFill="1" applyBorder="1" applyAlignment="1" applyProtection="1">
      <alignment horizontal="center" vertical="center"/>
      <protection hidden="1"/>
    </xf>
    <xf numFmtId="0" fontId="60" fillId="12" borderId="75" xfId="0" applyFont="1" applyFill="1" applyBorder="1" applyAlignment="1" applyProtection="1">
      <alignment horizontal="center" vertical="center"/>
      <protection hidden="1"/>
    </xf>
    <xf numFmtId="167" fontId="65" fillId="8" borderId="71" xfId="5" applyNumberFormat="1" applyFont="1" applyFill="1" applyBorder="1" applyAlignment="1" applyProtection="1">
      <alignment horizontal="center" vertical="center"/>
      <protection hidden="1"/>
    </xf>
    <xf numFmtId="167" fontId="65" fillId="8" borderId="69" xfId="5" applyNumberFormat="1" applyFont="1" applyFill="1" applyBorder="1" applyAlignment="1" applyProtection="1">
      <alignment horizontal="center" vertical="center"/>
      <protection hidden="1"/>
    </xf>
    <xf numFmtId="167" fontId="65" fillId="8" borderId="72" xfId="5" applyNumberFormat="1" applyFont="1" applyFill="1" applyBorder="1" applyAlignment="1" applyProtection="1">
      <alignment horizontal="center" vertical="center" wrapText="1"/>
      <protection hidden="1"/>
    </xf>
    <xf numFmtId="167" fontId="65" fillId="8" borderId="70" xfId="5" applyNumberFormat="1" applyFont="1" applyFill="1" applyBorder="1" applyAlignment="1" applyProtection="1">
      <alignment horizontal="center" vertical="center" wrapText="1"/>
      <protection hidden="1"/>
    </xf>
    <xf numFmtId="167" fontId="65" fillId="3" borderId="69" xfId="5" applyNumberFormat="1" applyFont="1" applyFill="1" applyBorder="1" applyAlignment="1" applyProtection="1">
      <alignment horizontal="center" vertical="center"/>
      <protection hidden="1"/>
    </xf>
    <xf numFmtId="167" fontId="65" fillId="3" borderId="7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protection hidden="1"/>
    </xf>
    <xf numFmtId="167" fontId="65" fillId="3" borderId="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wrapText="1"/>
      <protection hidden="1"/>
    </xf>
    <xf numFmtId="0" fontId="71" fillId="15" borderId="0" xfId="0" applyFont="1" applyFill="1" applyAlignment="1">
      <alignment horizontal="center" vertical="center"/>
    </xf>
    <xf numFmtId="0" fontId="77" fillId="3" borderId="0" xfId="0" applyFont="1" applyFill="1" applyAlignment="1" applyProtection="1">
      <alignment horizontal="center" vertical="center"/>
      <protection hidden="1"/>
    </xf>
    <xf numFmtId="0" fontId="8" fillId="6" borderId="0" xfId="0" applyFont="1" applyFill="1" applyAlignment="1" applyProtection="1">
      <alignment horizontal="left" vertical="center"/>
      <protection hidden="1"/>
    </xf>
    <xf numFmtId="0" fontId="25" fillId="3" borderId="0" xfId="0" applyFont="1" applyFill="1" applyAlignment="1" applyProtection="1">
      <alignment horizontal="left" vertical="center"/>
      <protection hidden="1"/>
    </xf>
    <xf numFmtId="0" fontId="71" fillId="15" borderId="44" xfId="0" applyFont="1" applyFill="1" applyBorder="1" applyAlignment="1">
      <alignment horizontal="center" vertical="center"/>
    </xf>
    <xf numFmtId="0" fontId="71" fillId="15" borderId="46" xfId="0" applyFont="1" applyFill="1" applyBorder="1" applyAlignment="1">
      <alignment horizontal="center" vertical="center"/>
    </xf>
    <xf numFmtId="0" fontId="71" fillId="15" borderId="45" xfId="0" applyFont="1" applyFill="1" applyBorder="1" applyAlignment="1">
      <alignment horizontal="center" vertical="center"/>
    </xf>
    <xf numFmtId="0" fontId="130" fillId="3" borderId="0" xfId="0" applyFont="1" applyFill="1" applyAlignment="1" applyProtection="1">
      <alignment horizontal="center" vertical="center" wrapText="1"/>
      <protection hidden="1"/>
    </xf>
    <xf numFmtId="167" fontId="29" fillId="3" borderId="0" xfId="5" applyNumberFormat="1" applyFont="1" applyFill="1" applyBorder="1" applyAlignment="1" applyProtection="1">
      <alignment horizontal="center" vertical="center"/>
      <protection hidden="1"/>
    </xf>
    <xf numFmtId="0" fontId="60" fillId="12" borderId="39" xfId="0" applyFont="1" applyFill="1" applyBorder="1" applyAlignment="1" applyProtection="1">
      <alignment horizontal="center"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8"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41" xfId="5" applyNumberFormat="1" applyFont="1" applyFill="1" applyBorder="1" applyAlignment="1" applyProtection="1">
      <alignment horizontal="center" vertical="center"/>
      <protection hidden="1"/>
    </xf>
    <xf numFmtId="167" fontId="65" fillId="8" borderId="73" xfId="5" applyNumberFormat="1" applyFont="1" applyFill="1" applyBorder="1" applyAlignment="1" applyProtection="1">
      <alignment horizontal="center" vertical="center" wrapText="1"/>
      <protection hidden="1"/>
    </xf>
    <xf numFmtId="0" fontId="45" fillId="2" borderId="85" xfId="0" applyFont="1" applyFill="1" applyBorder="1" applyAlignment="1" applyProtection="1">
      <alignment horizontal="center" vertical="center" wrapText="1"/>
      <protection hidden="1"/>
    </xf>
    <xf numFmtId="0" fontId="45" fillId="2" borderId="79" xfId="0" applyFont="1" applyFill="1" applyBorder="1" applyAlignment="1" applyProtection="1">
      <alignment horizontal="center" vertical="center" wrapText="1"/>
      <protection hidden="1"/>
    </xf>
    <xf numFmtId="0" fontId="37" fillId="3" borderId="0" xfId="0" applyFont="1" applyFill="1" applyAlignment="1" applyProtection="1">
      <alignment horizontal="center" vertical="center" wrapText="1"/>
      <protection hidden="1"/>
    </xf>
    <xf numFmtId="0" fontId="45" fillId="2" borderId="82" xfId="0" applyFont="1" applyFill="1" applyBorder="1" applyAlignment="1" applyProtection="1">
      <alignment horizontal="center" vertical="center" wrapText="1"/>
      <protection hidden="1"/>
    </xf>
    <xf numFmtId="0" fontId="82" fillId="0" borderId="94" xfId="0" applyFont="1" applyBorder="1" applyAlignment="1">
      <alignment horizontal="center" vertical="center" wrapText="1"/>
    </xf>
    <xf numFmtId="9" fontId="9" fillId="3" borderId="53" xfId="0" applyNumberFormat="1" applyFont="1" applyFill="1" applyBorder="1" applyAlignment="1">
      <alignment horizontal="left" vertical="center" wrapText="1"/>
    </xf>
    <xf numFmtId="9" fontId="9" fillId="3" borderId="55" xfId="0" applyNumberFormat="1" applyFont="1" applyFill="1" applyBorder="1" applyAlignment="1">
      <alignment horizontal="left" vertical="center" wrapText="1"/>
    </xf>
    <xf numFmtId="9" fontId="9" fillId="3" borderId="18" xfId="0" applyNumberFormat="1" applyFont="1" applyFill="1" applyBorder="1" applyAlignment="1">
      <alignment horizontal="left" vertical="center" wrapText="1"/>
    </xf>
    <xf numFmtId="9" fontId="9" fillId="0" borderId="58" xfId="0" applyNumberFormat="1" applyFont="1" applyBorder="1" applyAlignment="1">
      <alignment horizontal="center" vertical="center" wrapText="1"/>
    </xf>
    <xf numFmtId="9" fontId="9" fillId="0" borderId="59" xfId="0" applyNumberFormat="1" applyFont="1" applyBorder="1" applyAlignment="1">
      <alignment horizontal="center" vertical="center" wrapText="1"/>
    </xf>
    <xf numFmtId="9" fontId="9" fillId="0" borderId="60" xfId="0" applyNumberFormat="1" applyFont="1" applyBorder="1" applyAlignment="1">
      <alignment horizontal="center" vertical="center" wrapText="1"/>
    </xf>
    <xf numFmtId="9" fontId="9" fillId="3" borderId="53" xfId="0" applyNumberFormat="1" applyFont="1" applyFill="1" applyBorder="1" applyAlignment="1">
      <alignment horizontal="center" vertical="center" wrapText="1"/>
    </xf>
    <xf numFmtId="9" fontId="9" fillId="3" borderId="55" xfId="0" applyNumberFormat="1" applyFont="1" applyFill="1" applyBorder="1" applyAlignment="1">
      <alignment horizontal="center" vertical="center" wrapText="1"/>
    </xf>
    <xf numFmtId="9" fontId="9" fillId="3" borderId="54"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7" fillId="2" borderId="1" xfId="0" applyFont="1" applyFill="1" applyBorder="1" applyAlignment="1">
      <alignment horizontal="center"/>
    </xf>
    <xf numFmtId="0" fontId="7" fillId="2" borderId="2" xfId="0" applyFont="1" applyFill="1" applyBorder="1" applyAlignment="1">
      <alignment horizontal="center"/>
    </xf>
    <xf numFmtId="9" fontId="9" fillId="0" borderId="53" xfId="0" applyNumberFormat="1" applyFont="1" applyBorder="1" applyAlignment="1">
      <alignment horizontal="center" vertical="center" wrapText="1"/>
    </xf>
    <xf numFmtId="9" fontId="9" fillId="0" borderId="55" xfId="0" applyNumberFormat="1" applyFont="1" applyBorder="1" applyAlignment="1">
      <alignment horizontal="center" vertical="center" wrapText="1"/>
    </xf>
    <xf numFmtId="9" fontId="9" fillId="0" borderId="54" xfId="0" applyNumberFormat="1" applyFont="1" applyBorder="1" applyAlignment="1">
      <alignment horizontal="center" vertical="center" wrapText="1"/>
    </xf>
    <xf numFmtId="9" fontId="9" fillId="3" borderId="54" xfId="0" applyNumberFormat="1" applyFont="1" applyFill="1" applyBorder="1" applyAlignment="1">
      <alignment horizontal="left" vertical="center" wrapText="1"/>
    </xf>
    <xf numFmtId="9" fontId="9" fillId="3" borderId="53" xfId="0" applyNumberFormat="1" applyFont="1" applyFill="1" applyBorder="1" applyAlignment="1" applyProtection="1">
      <alignment horizontal="left" vertical="center" wrapText="1"/>
      <protection hidden="1"/>
    </xf>
    <xf numFmtId="9" fontId="9" fillId="3" borderId="55" xfId="0" applyNumberFormat="1" applyFont="1" applyFill="1" applyBorder="1" applyAlignment="1" applyProtection="1">
      <alignment horizontal="left" vertical="center" wrapText="1"/>
      <protection hidden="1"/>
    </xf>
    <xf numFmtId="9" fontId="9" fillId="3" borderId="54" xfId="0" applyNumberFormat="1" applyFont="1" applyFill="1" applyBorder="1" applyAlignment="1" applyProtection="1">
      <alignment horizontal="left" vertical="center" wrapText="1"/>
      <protection hidden="1"/>
    </xf>
    <xf numFmtId="9" fontId="9" fillId="0" borderId="78" xfId="0" applyNumberFormat="1" applyFont="1" applyBorder="1" applyAlignment="1" applyProtection="1">
      <alignment horizontal="left" vertical="center" wrapText="1"/>
      <protection hidden="1"/>
    </xf>
    <xf numFmtId="9" fontId="9" fillId="0" borderId="55" xfId="0" applyNumberFormat="1" applyFont="1" applyBorder="1" applyAlignment="1" applyProtection="1">
      <alignment horizontal="left" vertical="center" wrapText="1"/>
      <protection hidden="1"/>
    </xf>
    <xf numFmtId="9" fontId="9" fillId="0" borderId="18" xfId="0" applyNumberFormat="1" applyFont="1" applyBorder="1" applyAlignment="1" applyProtection="1">
      <alignment horizontal="left" vertical="center" wrapText="1"/>
      <protection hidden="1"/>
    </xf>
    <xf numFmtId="9" fontId="9" fillId="0" borderId="78" xfId="0" applyNumberFormat="1" applyFont="1" applyBorder="1" applyAlignment="1">
      <alignment horizontal="left" vertical="center" wrapText="1"/>
    </xf>
    <xf numFmtId="9" fontId="9" fillId="0" borderId="55" xfId="0" applyNumberFormat="1" applyFont="1" applyBorder="1" applyAlignment="1">
      <alignment horizontal="left" vertical="center" wrapText="1"/>
    </xf>
    <xf numFmtId="9" fontId="9" fillId="0" borderId="18" xfId="0" applyNumberFormat="1" applyFont="1" applyBorder="1" applyAlignment="1">
      <alignment horizontal="left" vertical="center" wrapText="1"/>
    </xf>
    <xf numFmtId="0" fontId="19" fillId="0" borderId="0" xfId="0" applyFont="1" applyAlignment="1">
      <alignment horizontal="left" vertical="center" wrapText="1"/>
    </xf>
    <xf numFmtId="9" fontId="12" fillId="3" borderId="32" xfId="0" applyNumberFormat="1" applyFont="1" applyFill="1" applyBorder="1" applyAlignment="1">
      <alignment horizontal="center" vertical="top" wrapText="1"/>
    </xf>
    <xf numFmtId="9" fontId="12" fillId="3" borderId="33" xfId="0" applyNumberFormat="1" applyFont="1" applyFill="1" applyBorder="1" applyAlignment="1">
      <alignment horizontal="center" vertical="top" wrapText="1"/>
    </xf>
    <xf numFmtId="9" fontId="12" fillId="3" borderId="37" xfId="0" applyNumberFormat="1" applyFont="1" applyFill="1" applyBorder="1" applyAlignment="1">
      <alignment horizontal="center" vertical="top" wrapText="1"/>
    </xf>
    <xf numFmtId="9" fontId="9" fillId="0" borderId="78" xfId="0" applyNumberFormat="1" applyFont="1" applyBorder="1" applyAlignment="1">
      <alignment horizontal="center" vertical="center" wrapText="1"/>
    </xf>
    <xf numFmtId="9" fontId="9" fillId="0" borderId="18" xfId="0" applyNumberFormat="1" applyFont="1" applyBorder="1" applyAlignment="1">
      <alignment horizontal="center" vertical="center" wrapText="1"/>
    </xf>
    <xf numFmtId="0" fontId="2" fillId="2" borderId="28" xfId="0" applyFont="1" applyFill="1" applyBorder="1" applyAlignment="1">
      <alignment horizontal="center" vertical="center" wrapText="1"/>
    </xf>
    <xf numFmtId="0" fontId="2" fillId="2" borderId="31" xfId="0" applyFont="1" applyFill="1" applyBorder="1" applyAlignment="1">
      <alignment horizontal="center" vertical="center" wrapText="1"/>
    </xf>
    <xf numFmtId="9" fontId="11" fillId="3" borderId="29" xfId="0" applyNumberFormat="1" applyFont="1" applyFill="1" applyBorder="1" applyAlignment="1">
      <alignment horizontal="center" vertical="center" wrapText="1"/>
    </xf>
    <xf numFmtId="9" fontId="11" fillId="3" borderId="30" xfId="0" applyNumberFormat="1" applyFont="1" applyFill="1" applyBorder="1" applyAlignment="1">
      <alignment horizontal="center" vertical="center" wrapText="1"/>
    </xf>
    <xf numFmtId="9" fontId="11" fillId="3" borderId="36" xfId="0" applyNumberFormat="1" applyFont="1" applyFill="1" applyBorder="1" applyAlignment="1">
      <alignment horizontal="center" vertical="center" wrapText="1"/>
    </xf>
    <xf numFmtId="9" fontId="9" fillId="3" borderId="3" xfId="0" applyNumberFormat="1" applyFont="1" applyFill="1" applyBorder="1" applyAlignment="1">
      <alignment horizontal="left" vertical="center" wrapText="1"/>
    </xf>
    <xf numFmtId="9" fontId="9" fillId="3" borderId="106" xfId="0" applyNumberFormat="1" applyFont="1" applyFill="1" applyBorder="1" applyAlignment="1">
      <alignment horizontal="left" vertical="center" wrapText="1"/>
    </xf>
    <xf numFmtId="9" fontId="9" fillId="3" borderId="3" xfId="0" applyNumberFormat="1" applyFont="1" applyFill="1" applyBorder="1" applyAlignment="1">
      <alignment horizontal="center" vertical="center" wrapText="1"/>
    </xf>
    <xf numFmtId="9" fontId="9" fillId="3" borderId="106" xfId="0" applyNumberFormat="1" applyFont="1" applyFill="1" applyBorder="1" applyAlignment="1">
      <alignment horizontal="center" vertical="center" wrapText="1"/>
    </xf>
    <xf numFmtId="9" fontId="9" fillId="0" borderId="57" xfId="0" applyNumberFormat="1" applyFont="1" applyBorder="1" applyAlignment="1">
      <alignment horizontal="center" vertical="center" wrapText="1"/>
    </xf>
    <xf numFmtId="9" fontId="9" fillId="0" borderId="108" xfId="0" applyNumberFormat="1" applyFont="1" applyBorder="1" applyAlignment="1">
      <alignment horizontal="center" vertical="center" wrapText="1"/>
    </xf>
    <xf numFmtId="0" fontId="115" fillId="3" borderId="3" xfId="0" applyFont="1" applyFill="1" applyBorder="1" applyAlignment="1" applyProtection="1">
      <alignment horizontal="center" vertical="center" wrapText="1"/>
      <protection hidden="1"/>
    </xf>
    <xf numFmtId="0" fontId="115" fillId="3" borderId="3" xfId="0" applyFont="1" applyFill="1" applyBorder="1" applyAlignment="1">
      <alignment horizontal="center" vertical="center" wrapText="1"/>
    </xf>
    <xf numFmtId="0" fontId="115" fillId="5" borderId="3" xfId="0" applyFont="1" applyFill="1" applyBorder="1" applyAlignment="1">
      <alignment horizontal="center" vertical="center" wrapText="1"/>
    </xf>
    <xf numFmtId="0" fontId="112" fillId="5" borderId="0" xfId="0" applyFont="1" applyFill="1" applyAlignment="1" applyProtection="1">
      <alignment horizontal="center" vertical="top" wrapText="1"/>
      <protection locked="0"/>
    </xf>
    <xf numFmtId="0" fontId="112" fillId="3" borderId="0" xfId="0" applyFont="1" applyFill="1" applyAlignment="1">
      <alignment horizontal="left" vertical="top" wrapText="1"/>
    </xf>
    <xf numFmtId="0" fontId="0" fillId="5" borderId="0" xfId="0" applyFill="1" applyAlignment="1" applyProtection="1">
      <alignment horizontal="center" vertical="top" wrapText="1"/>
      <protection locked="0"/>
    </xf>
    <xf numFmtId="0" fontId="115" fillId="20" borderId="3" xfId="0" applyFont="1" applyFill="1" applyBorder="1" applyAlignment="1" applyProtection="1">
      <alignment horizontal="center" vertical="center" wrapText="1"/>
      <protection hidden="1"/>
    </xf>
    <xf numFmtId="0" fontId="115" fillId="20" borderId="3" xfId="0" applyFont="1" applyFill="1" applyBorder="1" applyAlignment="1">
      <alignment horizontal="center" vertical="center" wrapText="1"/>
    </xf>
    <xf numFmtId="0" fontId="112" fillId="3" borderId="0" xfId="0" applyFont="1" applyFill="1" applyAlignment="1" applyProtection="1">
      <alignment horizontal="left" vertical="top" wrapText="1"/>
      <protection hidden="1"/>
    </xf>
    <xf numFmtId="14" fontId="112" fillId="8" borderId="0" xfId="0" applyNumberFormat="1" applyFont="1" applyFill="1" applyAlignment="1" applyProtection="1">
      <alignment horizontal="left" vertical="top" wrapText="1"/>
      <protection locked="0"/>
    </xf>
    <xf numFmtId="0" fontId="112" fillId="8" borderId="0" xfId="0" applyFont="1" applyFill="1" applyAlignment="1" applyProtection="1">
      <alignment horizontal="left" vertical="top" wrapText="1"/>
      <protection locked="0"/>
    </xf>
    <xf numFmtId="0" fontId="113" fillId="3" borderId="0" xfId="0" applyFont="1" applyFill="1" applyAlignment="1" applyProtection="1">
      <alignment horizontal="left" vertical="top" wrapText="1"/>
      <protection hidden="1"/>
    </xf>
    <xf numFmtId="0" fontId="0" fillId="3" borderId="0" xfId="0" applyFill="1" applyAlignment="1" applyProtection="1">
      <alignment horizontal="center" vertical="top" wrapText="1"/>
      <protection locked="0"/>
    </xf>
    <xf numFmtId="0" fontId="112" fillId="3" borderId="0" xfId="0" applyFont="1" applyFill="1" applyAlignment="1" applyProtection="1">
      <alignment horizontal="center" vertical="top" wrapText="1"/>
      <protection locked="0"/>
    </xf>
    <xf numFmtId="9" fontId="112" fillId="3" borderId="0" xfId="0" applyNumberFormat="1" applyFont="1" applyFill="1" applyAlignment="1" applyProtection="1">
      <alignment horizontal="center" vertical="top" wrapText="1"/>
      <protection hidden="1"/>
    </xf>
    <xf numFmtId="0" fontId="112" fillId="3" borderId="0" xfId="0" applyFont="1" applyFill="1" applyAlignment="1" applyProtection="1">
      <alignment horizontal="center" vertical="top" wrapText="1"/>
      <protection hidden="1"/>
    </xf>
    <xf numFmtId="0" fontId="111" fillId="3" borderId="0" xfId="0" applyFont="1" applyFill="1" applyAlignment="1" applyProtection="1">
      <alignment horizontal="left" vertical="top" wrapText="1"/>
      <protection hidden="1"/>
    </xf>
    <xf numFmtId="0" fontId="112" fillId="8" borderId="0" xfId="0" applyFont="1" applyFill="1" applyAlignment="1" applyProtection="1">
      <alignment horizontal="left" vertical="top" wrapText="1"/>
      <protection hidden="1"/>
    </xf>
    <xf numFmtId="10" fontId="112" fillId="3" borderId="0" xfId="0" applyNumberFormat="1" applyFont="1" applyFill="1" applyAlignment="1" applyProtection="1">
      <alignment horizontal="left" vertical="top" wrapText="1"/>
      <protection hidden="1"/>
    </xf>
    <xf numFmtId="0" fontId="112" fillId="3" borderId="0" xfId="0" applyFont="1" applyFill="1" applyAlignment="1">
      <alignment horizontal="center" vertical="top" wrapText="1"/>
    </xf>
    <xf numFmtId="0" fontId="112" fillId="8" borderId="0" xfId="0" applyFont="1" applyFill="1" applyAlignment="1" applyProtection="1">
      <alignment horizontal="center" vertical="top" wrapText="1"/>
      <protection locked="0"/>
    </xf>
    <xf numFmtId="172" fontId="112" fillId="8" borderId="0" xfId="0" applyNumberFormat="1" applyFont="1" applyFill="1" applyAlignment="1" applyProtection="1">
      <alignment horizontal="left" vertical="top" wrapText="1"/>
      <protection locked="0"/>
    </xf>
    <xf numFmtId="0" fontId="110" fillId="20" borderId="0" xfId="0" applyFont="1" applyFill="1" applyAlignment="1" applyProtection="1">
      <alignment horizontal="center" vertical="top" wrapText="1"/>
      <protection hidden="1"/>
    </xf>
    <xf numFmtId="0" fontId="0" fillId="3" borderId="0" xfId="0" applyFill="1" applyAlignment="1" applyProtection="1">
      <alignment horizontal="left" vertical="top" wrapText="1"/>
      <protection hidden="1"/>
    </xf>
    <xf numFmtId="0" fontId="25" fillId="10" borderId="44" xfId="0" applyFont="1" applyFill="1" applyBorder="1" applyAlignment="1" applyProtection="1">
      <alignment horizontal="center" vertical="center"/>
      <protection hidden="1"/>
    </xf>
    <xf numFmtId="0" fontId="25" fillId="10" borderId="45" xfId="0" applyFont="1" applyFill="1" applyBorder="1" applyAlignment="1" applyProtection="1">
      <alignment horizontal="center" vertical="center"/>
      <protection hidden="1"/>
    </xf>
    <xf numFmtId="0" fontId="25" fillId="10" borderId="46" xfId="0" applyFont="1" applyFill="1" applyBorder="1" applyAlignment="1" applyProtection="1">
      <alignment horizontal="center" vertical="center"/>
      <protection hidden="1"/>
    </xf>
  </cellXfs>
  <cellStyles count="9">
    <cellStyle name="60% - Accent5" xfId="6" builtinId="48"/>
    <cellStyle name="Comma" xfId="5" builtinId="3"/>
    <cellStyle name="Hyperlink" xfId="7" builtinId="8"/>
    <cellStyle name="Input" xfId="8" builtinId="20"/>
    <cellStyle name="Normal" xfId="0" builtinId="0"/>
    <cellStyle name="Normal 2" xfId="2" xr:uid="{00000000-0005-0000-0000-000004000000}"/>
    <cellStyle name="Normal 3" xfId="3" xr:uid="{00000000-0005-0000-0000-000005000000}"/>
    <cellStyle name="Percent" xfId="1" builtinId="5"/>
    <cellStyle name="Percent 2" xfId="4" xr:uid="{00000000-0005-0000-0000-000007000000}"/>
  </cellStyles>
  <dxfs count="22">
    <dxf>
      <fill>
        <patternFill>
          <bgColor theme="5" tint="0.59996337778862885"/>
        </patternFill>
      </fill>
    </dxf>
    <dxf>
      <fill>
        <patternFill>
          <bgColor theme="5" tint="0.39994506668294322"/>
        </patternFill>
      </fill>
    </dxf>
    <dxf>
      <font>
        <color rgb="FF9C0006"/>
      </font>
    </dxf>
    <dxf>
      <font>
        <color rgb="FF9C0006"/>
      </font>
    </dxf>
    <dxf>
      <font>
        <color rgb="FF9C0006"/>
      </font>
    </dxf>
    <dxf>
      <fill>
        <patternFill>
          <bgColor theme="5" tint="0.59996337778862885"/>
        </patternFill>
      </fill>
    </dxf>
    <dxf>
      <fill>
        <patternFill>
          <bgColor theme="5" tint="0.39994506668294322"/>
        </patternFill>
      </fill>
    </dxf>
    <dxf>
      <font>
        <color rgb="FF9C0006"/>
      </font>
    </dxf>
    <dxf>
      <fill>
        <patternFill>
          <bgColor rgb="FFFFC7CE"/>
        </patternFill>
      </fill>
    </dxf>
    <dxf>
      <font>
        <color rgb="FF9C6500"/>
      </font>
      <fill>
        <patternFill>
          <bgColor rgb="FFFFEB9C"/>
        </patternFill>
      </fill>
    </dxf>
    <dxf>
      <fill>
        <patternFill>
          <bgColor rgb="FFFFC7CE"/>
        </patternFill>
      </fill>
    </dxf>
    <dxf>
      <font>
        <color rgb="FF9C6500"/>
      </font>
      <fill>
        <patternFill>
          <bgColor rgb="FFFFEB9C"/>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colors>
    <mruColors>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585215</xdr:colOff>
      <xdr:row>10</xdr:row>
      <xdr:rowOff>19343</xdr:rowOff>
    </xdr:from>
    <xdr:to>
      <xdr:col>13</xdr:col>
      <xdr:colOff>207066</xdr:colOff>
      <xdr:row>12</xdr:row>
      <xdr:rowOff>147174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825411" y="2288778"/>
          <a:ext cx="7598003" cy="6413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35598" y="3528647"/>
          <a:ext cx="8331445" cy="5890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585215</xdr:colOff>
      <xdr:row>10</xdr:row>
      <xdr:rowOff>19343</xdr:rowOff>
    </xdr:from>
    <xdr:to>
      <xdr:col>13</xdr:col>
      <xdr:colOff>207066</xdr:colOff>
      <xdr:row>12</xdr:row>
      <xdr:rowOff>147174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23340" y="2114843"/>
          <a:ext cx="7584751" cy="5278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280415</xdr:colOff>
      <xdr:row>10</xdr:row>
      <xdr:rowOff>19343</xdr:rowOff>
    </xdr:from>
    <xdr:to>
      <xdr:col>14</xdr:col>
      <xdr:colOff>133350</xdr:colOff>
      <xdr:row>12</xdr:row>
      <xdr:rowOff>285750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18540" y="2114843"/>
          <a:ext cx="8425435" cy="6664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1724025</xdr:colOff>
          <xdr:row>2</xdr:row>
          <xdr:rowOff>276225</xdr:rowOff>
        </xdr:from>
        <xdr:to>
          <xdr:col>6</xdr:col>
          <xdr:colOff>1019175</xdr:colOff>
          <xdr:row>4</xdr:row>
          <xdr:rowOff>133350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100-000001C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Clear Quotation</a:t>
              </a:r>
            </a:p>
          </xdr:txBody>
        </xdr:sp>
        <xdr:clientData fPrintsWithSheet="0"/>
      </xdr:twoCellAnchor>
    </mc:Choice>
    <mc:Fallback/>
  </mc:AlternateContent>
  <xdr:twoCellAnchor editAs="oneCell">
    <xdr:from>
      <xdr:col>0</xdr:col>
      <xdr:colOff>302559</xdr:colOff>
      <xdr:row>1</xdr:row>
      <xdr:rowOff>179295</xdr:rowOff>
    </xdr:from>
    <xdr:to>
      <xdr:col>0</xdr:col>
      <xdr:colOff>2793995</xdr:colOff>
      <xdr:row>3</xdr:row>
      <xdr:rowOff>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02559" y="381001"/>
          <a:ext cx="2491436" cy="324970"/>
        </a:xfrm>
        <a:prstGeom prst="rect">
          <a:avLst/>
        </a:prstGeom>
      </xdr:spPr>
    </xdr:pic>
    <xdr:clientData/>
  </xdr:twoCellAnchor>
  <xdr:twoCellAnchor editAs="oneCell">
    <xdr:from>
      <xdr:col>6</xdr:col>
      <xdr:colOff>0</xdr:colOff>
      <xdr:row>0</xdr:row>
      <xdr:rowOff>0</xdr:rowOff>
    </xdr:from>
    <xdr:to>
      <xdr:col>6</xdr:col>
      <xdr:colOff>1859441</xdr:colOff>
      <xdr:row>0</xdr:row>
      <xdr:rowOff>737680</xdr:rowOff>
    </xdr:to>
    <xdr:pic>
      <xdr:nvPicPr>
        <xdr:cNvPr id="3" name="Picture 2">
          <a:extLst>
            <a:ext uri="{FF2B5EF4-FFF2-40B4-BE49-F238E27FC236}">
              <a16:creationId xmlns:a16="http://schemas.microsoft.com/office/drawing/2014/main" id="{1BF6DE91-72E6-B128-FBCC-07E76515E1CA}"/>
            </a:ext>
          </a:extLst>
        </xdr:cNvPr>
        <xdr:cNvPicPr>
          <a:picLocks noChangeAspect="1"/>
        </xdr:cNvPicPr>
      </xdr:nvPicPr>
      <xdr:blipFill>
        <a:blip xmlns:r="http://schemas.openxmlformats.org/officeDocument/2006/relationships" r:embed="rId2"/>
        <a:stretch>
          <a:fillRect/>
        </a:stretch>
      </xdr:blipFill>
      <xdr:spPr>
        <a:xfrm>
          <a:off x="9115425" y="0"/>
          <a:ext cx="1859441" cy="7376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11</xdr:row>
          <xdr:rowOff>114300</xdr:rowOff>
        </xdr:from>
        <xdr:to>
          <xdr:col>13</xdr:col>
          <xdr:colOff>0</xdr:colOff>
          <xdr:row>14</xdr:row>
          <xdr:rowOff>209550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171450</xdr:rowOff>
        </xdr:from>
        <xdr:to>
          <xdr:col>12</xdr:col>
          <xdr:colOff>581025</xdr:colOff>
          <xdr:row>6</xdr:row>
          <xdr:rowOff>95250</xdr:rowOff>
        </xdr:to>
        <xdr:sp macro="" textlink="">
          <xdr:nvSpPr>
            <xdr:cNvPr id="91138" name="CommandButton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7</xdr:row>
          <xdr:rowOff>114300</xdr:rowOff>
        </xdr:from>
        <xdr:to>
          <xdr:col>12</xdr:col>
          <xdr:colOff>581025</xdr:colOff>
          <xdr:row>10</xdr:row>
          <xdr:rowOff>133350</xdr:rowOff>
        </xdr:to>
        <xdr:sp macro="" textlink="">
          <xdr:nvSpPr>
            <xdr:cNvPr id="91139" name="CommandButton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523875</xdr:colOff>
          <xdr:row>2</xdr:row>
          <xdr:rowOff>171450</xdr:rowOff>
        </xdr:from>
        <xdr:to>
          <xdr:col>4</xdr:col>
          <xdr:colOff>295275</xdr:colOff>
          <xdr:row>3</xdr:row>
          <xdr:rowOff>133350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Quotation</a:t>
              </a:r>
            </a:p>
          </xdr:txBody>
        </xdr:sp>
        <xdr:clientData fPrintsWithSheet="0"/>
      </xdr:twoCellAnchor>
    </mc:Choice>
    <mc:Fallback/>
  </mc:AlternateContent>
  <xdr:oneCellAnchor>
    <xdr:from>
      <xdr:col>0</xdr:col>
      <xdr:colOff>571500</xdr:colOff>
      <xdr:row>1</xdr:row>
      <xdr:rowOff>85725</xdr:rowOff>
    </xdr:from>
    <xdr:ext cx="1976872" cy="253061"/>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571500" y="361950"/>
          <a:ext cx="1971429" cy="257143"/>
        </a:xfrm>
        <a:prstGeom prst="rect">
          <a:avLst/>
        </a:prstGeom>
      </xdr:spPr>
    </xdr:pic>
    <xdr:clientData/>
  </xdr:oneCellAnchor>
  <xdr:twoCellAnchor editAs="oneCell">
    <xdr:from>
      <xdr:col>8</xdr:col>
      <xdr:colOff>0</xdr:colOff>
      <xdr:row>0</xdr:row>
      <xdr:rowOff>0</xdr:rowOff>
    </xdr:from>
    <xdr:to>
      <xdr:col>10</xdr:col>
      <xdr:colOff>40166</xdr:colOff>
      <xdr:row>0</xdr:row>
      <xdr:rowOff>737680</xdr:rowOff>
    </xdr:to>
    <xdr:pic>
      <xdr:nvPicPr>
        <xdr:cNvPr id="3" name="Picture 2">
          <a:extLst>
            <a:ext uri="{FF2B5EF4-FFF2-40B4-BE49-F238E27FC236}">
              <a16:creationId xmlns:a16="http://schemas.microsoft.com/office/drawing/2014/main" id="{8EF17BD7-18DC-9628-BF34-5CAC18BA01AE}"/>
            </a:ext>
          </a:extLst>
        </xdr:cNvPr>
        <xdr:cNvPicPr>
          <a:picLocks noChangeAspect="1"/>
        </xdr:cNvPicPr>
      </xdr:nvPicPr>
      <xdr:blipFill>
        <a:blip xmlns:r="http://schemas.openxmlformats.org/officeDocument/2006/relationships" r:embed="rId2"/>
        <a:stretch>
          <a:fillRect/>
        </a:stretch>
      </xdr:blipFill>
      <xdr:spPr>
        <a:xfrm>
          <a:off x="9601200" y="0"/>
          <a:ext cx="1859441" cy="7376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1114425</xdr:colOff>
          <xdr:row>6</xdr:row>
          <xdr:rowOff>95250</xdr:rowOff>
        </xdr:from>
        <xdr:to>
          <xdr:col>6</xdr:col>
          <xdr:colOff>3257550</xdr:colOff>
          <xdr:row>9</xdr:row>
          <xdr:rowOff>276225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Print Quote</a:t>
              </a:r>
            </a:p>
          </xdr:txBody>
        </xdr:sp>
        <xdr:clientData fPrintsWithSheet="0"/>
      </xdr:twoCellAnchor>
    </mc:Choice>
    <mc:Fallback/>
  </mc:AlternateContent>
  <xdr:twoCellAnchor editAs="oneCell">
    <xdr:from>
      <xdr:col>8</xdr:col>
      <xdr:colOff>0</xdr:colOff>
      <xdr:row>1</xdr:row>
      <xdr:rowOff>0</xdr:rowOff>
    </xdr:from>
    <xdr:to>
      <xdr:col>12</xdr:col>
      <xdr:colOff>1859441</xdr:colOff>
      <xdr:row>2</xdr:row>
      <xdr:rowOff>477908</xdr:rowOff>
    </xdr:to>
    <xdr:pic>
      <xdr:nvPicPr>
        <xdr:cNvPr id="2" name="Picture 1">
          <a:extLst>
            <a:ext uri="{FF2B5EF4-FFF2-40B4-BE49-F238E27FC236}">
              <a16:creationId xmlns:a16="http://schemas.microsoft.com/office/drawing/2014/main" id="{0E7C3412-A025-9175-96FC-F7C7DC6070F7}"/>
            </a:ext>
          </a:extLst>
        </xdr:cNvPr>
        <xdr:cNvPicPr>
          <a:picLocks noChangeAspect="1"/>
        </xdr:cNvPicPr>
      </xdr:nvPicPr>
      <xdr:blipFill>
        <a:blip xmlns:r="http://schemas.openxmlformats.org/officeDocument/2006/relationships" r:embed="rId1"/>
        <a:stretch>
          <a:fillRect/>
        </a:stretch>
      </xdr:blipFill>
      <xdr:spPr>
        <a:xfrm>
          <a:off x="18166773" y="259773"/>
          <a:ext cx="1859441" cy="7376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7</xdr:row>
          <xdr:rowOff>9525</xdr:rowOff>
        </xdr:from>
        <xdr:to>
          <xdr:col>8</xdr:col>
          <xdr:colOff>0</xdr:colOff>
          <xdr:row>10</xdr:row>
          <xdr:rowOff>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B00-000001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Print Quote</a:t>
              </a:r>
            </a:p>
          </xdr:txBody>
        </xdr:sp>
        <xdr:clientData fPrintsWithSheet="0"/>
      </xdr:twoCellAnchor>
    </mc:Choice>
    <mc:Fallback/>
  </mc:AlternateContent>
  <xdr:twoCellAnchor editAs="oneCell">
    <xdr:from>
      <xdr:col>12</xdr:col>
      <xdr:colOff>0</xdr:colOff>
      <xdr:row>1</xdr:row>
      <xdr:rowOff>0</xdr:rowOff>
    </xdr:from>
    <xdr:to>
      <xdr:col>12</xdr:col>
      <xdr:colOff>1859441</xdr:colOff>
      <xdr:row>1</xdr:row>
      <xdr:rowOff>737680</xdr:rowOff>
    </xdr:to>
    <xdr:pic>
      <xdr:nvPicPr>
        <xdr:cNvPr id="2" name="Picture 1">
          <a:extLst>
            <a:ext uri="{FF2B5EF4-FFF2-40B4-BE49-F238E27FC236}">
              <a16:creationId xmlns:a16="http://schemas.microsoft.com/office/drawing/2014/main" id="{976AC592-0AA7-42C7-FDB4-B15E8E6BF148}"/>
            </a:ext>
          </a:extLst>
        </xdr:cNvPr>
        <xdr:cNvPicPr>
          <a:picLocks noChangeAspect="1"/>
        </xdr:cNvPicPr>
      </xdr:nvPicPr>
      <xdr:blipFill>
        <a:blip xmlns:r="http://schemas.openxmlformats.org/officeDocument/2006/relationships" r:embed="rId1"/>
        <a:stretch>
          <a:fillRect/>
        </a:stretch>
      </xdr:blipFill>
      <xdr:spPr>
        <a:xfrm>
          <a:off x="23119773" y="259773"/>
          <a:ext cx="1859441" cy="7376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1856266</xdr:colOff>
      <xdr:row>1</xdr:row>
      <xdr:rowOff>4233</xdr:rowOff>
    </xdr:to>
    <xdr:pic>
      <xdr:nvPicPr>
        <xdr:cNvPr id="2" name="Picture 1">
          <a:extLst>
            <a:ext uri="{FF2B5EF4-FFF2-40B4-BE49-F238E27FC236}">
              <a16:creationId xmlns:a16="http://schemas.microsoft.com/office/drawing/2014/main" id="{3DFEA6EC-5311-2E66-42BB-31172B98A91C}"/>
            </a:ext>
          </a:extLst>
        </xdr:cNvPr>
        <xdr:cNvPicPr>
          <a:picLocks/>
        </xdr:cNvPicPr>
      </xdr:nvPicPr>
      <xdr:blipFill>
        <a:blip xmlns:r="http://schemas.openxmlformats.org/officeDocument/2006/relationships" r:embed="rId1"/>
        <a:stretch>
          <a:fillRect/>
        </a:stretch>
      </xdr:blipFill>
      <xdr:spPr>
        <a:xfrm>
          <a:off x="79375" y="0"/>
          <a:ext cx="1856266" cy="10096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1856266</xdr:colOff>
      <xdr:row>0</xdr:row>
      <xdr:rowOff>673100</xdr:rowOff>
    </xdr:to>
    <xdr:pic>
      <xdr:nvPicPr>
        <xdr:cNvPr id="2" name="Picture 1">
          <a:extLst>
            <a:ext uri="{FF2B5EF4-FFF2-40B4-BE49-F238E27FC236}">
              <a16:creationId xmlns:a16="http://schemas.microsoft.com/office/drawing/2014/main" id="{D23ACED1-B7D1-D597-A0A4-FA70A43DF31B}"/>
            </a:ext>
          </a:extLst>
        </xdr:cNvPr>
        <xdr:cNvPicPr>
          <a:picLocks/>
        </xdr:cNvPicPr>
      </xdr:nvPicPr>
      <xdr:blipFill>
        <a:blip xmlns:r="http://schemas.openxmlformats.org/officeDocument/2006/relationships" r:embed="rId1"/>
        <a:stretch>
          <a:fillRect/>
        </a:stretch>
      </xdr:blipFill>
      <xdr:spPr>
        <a:xfrm>
          <a:off x="79375" y="0"/>
          <a:ext cx="1856266" cy="673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4</xdr:row>
          <xdr:rowOff>114300</xdr:rowOff>
        </xdr:from>
        <xdr:to>
          <xdr:col>8</xdr:col>
          <xdr:colOff>314325</xdr:colOff>
          <xdr:row>9</xdr:row>
          <xdr:rowOff>114300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0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581025</xdr:colOff>
          <xdr:row>4</xdr:row>
          <xdr:rowOff>104775</xdr:rowOff>
        </xdr:from>
        <xdr:to>
          <xdr:col>14</xdr:col>
          <xdr:colOff>485775</xdr:colOff>
          <xdr:row>9</xdr:row>
          <xdr:rowOff>180975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0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UnProtect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29</xdr:row>
          <xdr:rowOff>38100</xdr:rowOff>
        </xdr:from>
        <xdr:to>
          <xdr:col>5</xdr:col>
          <xdr:colOff>104775</xdr:colOff>
          <xdr:row>31</xdr:row>
          <xdr:rowOff>28575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29</xdr:row>
          <xdr:rowOff>38100</xdr:rowOff>
        </xdr:from>
        <xdr:to>
          <xdr:col>6</xdr:col>
          <xdr:colOff>95250</xdr:colOff>
          <xdr:row>31</xdr:row>
          <xdr:rowOff>28575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38100</xdr:rowOff>
        </xdr:from>
        <xdr:to>
          <xdr:col>7</xdr:col>
          <xdr:colOff>95250</xdr:colOff>
          <xdr:row>31</xdr:row>
          <xdr:rowOff>28575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1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29</xdr:row>
          <xdr:rowOff>38100</xdr:rowOff>
        </xdr:from>
        <xdr:to>
          <xdr:col>8</xdr:col>
          <xdr:colOff>95250</xdr:colOff>
          <xdr:row>31</xdr:row>
          <xdr:rowOff>28575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1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29</xdr:row>
          <xdr:rowOff>38100</xdr:rowOff>
        </xdr:from>
        <xdr:to>
          <xdr:col>9</xdr:col>
          <xdr:colOff>95250</xdr:colOff>
          <xdr:row>31</xdr:row>
          <xdr:rowOff>28575</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1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29</xdr:row>
          <xdr:rowOff>38100</xdr:rowOff>
        </xdr:from>
        <xdr:to>
          <xdr:col>10</xdr:col>
          <xdr:colOff>95250</xdr:colOff>
          <xdr:row>31</xdr:row>
          <xdr:rowOff>28575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1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29</xdr:row>
          <xdr:rowOff>47625</xdr:rowOff>
        </xdr:from>
        <xdr:to>
          <xdr:col>11</xdr:col>
          <xdr:colOff>9525</xdr:colOff>
          <xdr:row>31</xdr:row>
          <xdr:rowOff>38100</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1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114300</xdr:rowOff>
        </xdr:from>
        <xdr:to>
          <xdr:col>5</xdr:col>
          <xdr:colOff>419100</xdr:colOff>
          <xdr:row>16</xdr:row>
          <xdr:rowOff>66675</xdr:rowOff>
        </xdr:to>
        <xdr:sp macro="" textlink="">
          <xdr:nvSpPr>
            <xdr:cNvPr id="92168" name="Option Button 8" hidden="1">
              <a:extLst>
                <a:ext uri="{63B3BB69-23CF-44E3-9099-C40C66FF867C}">
                  <a14:compatExt spid="_x0000_s92168"/>
                </a:ext>
                <a:ext uri="{FF2B5EF4-FFF2-40B4-BE49-F238E27FC236}">
                  <a16:creationId xmlns:a16="http://schemas.microsoft.com/office/drawing/2014/main" id="{00000000-0008-0000-11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15</xdr:row>
          <xdr:rowOff>0</xdr:rowOff>
        </xdr:from>
        <xdr:to>
          <xdr:col>8</xdr:col>
          <xdr:colOff>342900</xdr:colOff>
          <xdr:row>16</xdr:row>
          <xdr:rowOff>95250</xdr:rowOff>
        </xdr:to>
        <xdr:sp macro="" textlink="">
          <xdr:nvSpPr>
            <xdr:cNvPr id="92169" name="Option Button 9" hidden="1">
              <a:extLst>
                <a:ext uri="{63B3BB69-23CF-44E3-9099-C40C66FF867C}">
                  <a14:compatExt spid="_x0000_s92169"/>
                </a:ext>
                <a:ext uri="{FF2B5EF4-FFF2-40B4-BE49-F238E27FC236}">
                  <a16:creationId xmlns:a16="http://schemas.microsoft.com/office/drawing/2014/main" id="{00000000-0008-0000-11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18</xdr:row>
          <xdr:rowOff>0</xdr:rowOff>
        </xdr:from>
        <xdr:to>
          <xdr:col>5</xdr:col>
          <xdr:colOff>304800</xdr:colOff>
          <xdr:row>19</xdr:row>
          <xdr:rowOff>28575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1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18</xdr:row>
          <xdr:rowOff>0</xdr:rowOff>
        </xdr:from>
        <xdr:to>
          <xdr:col>8</xdr:col>
          <xdr:colOff>142875</xdr:colOff>
          <xdr:row>19</xdr:row>
          <xdr:rowOff>28575</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1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18</xdr:row>
          <xdr:rowOff>0</xdr:rowOff>
        </xdr:from>
        <xdr:to>
          <xdr:col>11</xdr:col>
          <xdr:colOff>142875</xdr:colOff>
          <xdr:row>19</xdr:row>
          <xdr:rowOff>28575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1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21</xdr:row>
          <xdr:rowOff>0</xdr:rowOff>
        </xdr:from>
        <xdr:to>
          <xdr:col>5</xdr:col>
          <xdr:colOff>228600</xdr:colOff>
          <xdr:row>22</xdr:row>
          <xdr:rowOff>28575</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1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21</xdr:row>
          <xdr:rowOff>0</xdr:rowOff>
        </xdr:from>
        <xdr:to>
          <xdr:col>8</xdr:col>
          <xdr:colOff>209550</xdr:colOff>
          <xdr:row>22</xdr:row>
          <xdr:rowOff>28575</xdr:rowOff>
        </xdr:to>
        <xdr:sp macro="" textlink="">
          <xdr:nvSpPr>
            <xdr:cNvPr id="92174" name="Check Box 14" hidden="1">
              <a:extLst>
                <a:ext uri="{63B3BB69-23CF-44E3-9099-C40C66FF867C}">
                  <a14:compatExt spid="_x0000_s92174"/>
                </a:ext>
                <a:ext uri="{FF2B5EF4-FFF2-40B4-BE49-F238E27FC236}">
                  <a16:creationId xmlns:a16="http://schemas.microsoft.com/office/drawing/2014/main" id="{00000000-0008-0000-1100-00000E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64</xdr:row>
          <xdr:rowOff>76200</xdr:rowOff>
        </xdr:from>
        <xdr:to>
          <xdr:col>5</xdr:col>
          <xdr:colOff>161925</xdr:colOff>
          <xdr:row>66</xdr:row>
          <xdr:rowOff>114300</xdr:rowOff>
        </xdr:to>
        <xdr:sp macro="" textlink="">
          <xdr:nvSpPr>
            <xdr:cNvPr id="92175" name="Check Box 15" hidden="1">
              <a:extLst>
                <a:ext uri="{63B3BB69-23CF-44E3-9099-C40C66FF867C}">
                  <a14:compatExt spid="_x0000_s92175"/>
                </a:ext>
                <a:ext uri="{FF2B5EF4-FFF2-40B4-BE49-F238E27FC236}">
                  <a16:creationId xmlns:a16="http://schemas.microsoft.com/office/drawing/2014/main" id="{00000000-0008-0000-1100-00000F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64</xdr:row>
          <xdr:rowOff>95250</xdr:rowOff>
        </xdr:from>
        <xdr:to>
          <xdr:col>10</xdr:col>
          <xdr:colOff>66675</xdr:colOff>
          <xdr:row>66</xdr:row>
          <xdr:rowOff>133350</xdr:rowOff>
        </xdr:to>
        <xdr:sp macro="" textlink="">
          <xdr:nvSpPr>
            <xdr:cNvPr id="92176" name="Check Box 16" hidden="1">
              <a:extLst>
                <a:ext uri="{63B3BB69-23CF-44E3-9099-C40C66FF867C}">
                  <a14:compatExt spid="_x0000_s92176"/>
                </a:ext>
                <a:ext uri="{FF2B5EF4-FFF2-40B4-BE49-F238E27FC236}">
                  <a16:creationId xmlns:a16="http://schemas.microsoft.com/office/drawing/2014/main" id="{00000000-0008-0000-1100-000010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66</xdr:row>
          <xdr:rowOff>85725</xdr:rowOff>
        </xdr:from>
        <xdr:to>
          <xdr:col>5</xdr:col>
          <xdr:colOff>152400</xdr:colOff>
          <xdr:row>68</xdr:row>
          <xdr:rowOff>123825</xdr:rowOff>
        </xdr:to>
        <xdr:sp macro="" textlink="">
          <xdr:nvSpPr>
            <xdr:cNvPr id="92177" name="Check Box 17" hidden="1">
              <a:extLst>
                <a:ext uri="{63B3BB69-23CF-44E3-9099-C40C66FF867C}">
                  <a14:compatExt spid="_x0000_s92177"/>
                </a:ext>
                <a:ext uri="{FF2B5EF4-FFF2-40B4-BE49-F238E27FC236}">
                  <a16:creationId xmlns:a16="http://schemas.microsoft.com/office/drawing/2014/main" id="{00000000-0008-0000-1100-00001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66</xdr:row>
          <xdr:rowOff>85725</xdr:rowOff>
        </xdr:from>
        <xdr:to>
          <xdr:col>10</xdr:col>
          <xdr:colOff>57150</xdr:colOff>
          <xdr:row>68</xdr:row>
          <xdr:rowOff>123825</xdr:rowOff>
        </xdr:to>
        <xdr:sp macro="" textlink="">
          <xdr:nvSpPr>
            <xdr:cNvPr id="92178" name="Check Box 18" hidden="1">
              <a:extLst>
                <a:ext uri="{63B3BB69-23CF-44E3-9099-C40C66FF867C}">
                  <a14:compatExt spid="_x0000_s92178"/>
                </a:ext>
                <a:ext uri="{FF2B5EF4-FFF2-40B4-BE49-F238E27FC236}">
                  <a16:creationId xmlns:a16="http://schemas.microsoft.com/office/drawing/2014/main" id="{00000000-0008-0000-1100-00001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616323</xdr:colOff>
      <xdr:row>1</xdr:row>
      <xdr:rowOff>212913</xdr:rowOff>
    </xdr:from>
    <xdr:to>
      <xdr:col>2</xdr:col>
      <xdr:colOff>223311</xdr:colOff>
      <xdr:row>2</xdr:row>
      <xdr:rowOff>189909</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616323" y="493060"/>
          <a:ext cx="1971429" cy="257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gospringcom-my.sharepoint.com/Users/bayan.ismaeel/Documents/Generating%20Tools/SME/AP%20SME%20TOOL%20-%20Orient%20UNB%20Broker%20-%202024.06.07%20-%20(till%202024.09.30).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ormula"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pping"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nees.Aslam/Desktop/NEW%20SME%20TOOL-simulation-Mehdi_v7%20-%20Copy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ayan.ismaeel/Documents/Generating%20Tools/SME/AP%20SME%20TOOL%20-%20Orient%20UNB%20Broker%20-%202024.06.07%20-%20(till%202024.09.30).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Z:\AGA-RE\Pricing%20tool\Generating%20Tools\SME\20241210%20till%2020250331\Insurer\AP%20SME%20TOOL%20-%202024.12.10%20-%20(till%202025.03.31).xlsm" TargetMode="External"/><Relationship Id="rId1" Type="http://schemas.openxmlformats.org/officeDocument/2006/relationships/externalLinkPath" Target="file:///Z:\AGA-RE\Pricing%20tool\Generating%20Tools\SME\20241210%20till%2020250331\Insurer\AP%20SME%20TOOL%20-%202024.12.10%20-%20(till%202025.03.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lines"/>
      <sheetName val="Inputs"/>
      <sheetName val="Loadings"/>
      <sheetName val="Loading"/>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refreshError="1"/>
      <sheetData sheetId="1">
        <row r="18">
          <cell r="C18" t="str">
            <v/>
          </cell>
        </row>
        <row r="19">
          <cell r="C19">
            <v>0</v>
          </cell>
        </row>
        <row r="20">
          <cell r="C20">
            <v>0</v>
          </cell>
        </row>
        <row r="21">
          <cell r="C21">
            <v>0</v>
          </cell>
          <cell r="H21">
            <v>0.05</v>
          </cell>
        </row>
      </sheetData>
      <sheetData sheetId="2">
        <row r="10">
          <cell r="D10">
            <v>0.1</v>
          </cell>
        </row>
        <row r="19">
          <cell r="D19">
            <v>0.01</v>
          </cell>
        </row>
      </sheetData>
      <sheetData sheetId="3" refreshError="1"/>
      <sheetData sheetId="4">
        <row r="1">
          <cell r="X1">
            <v>0</v>
          </cell>
          <cell r="Y1">
            <v>0</v>
          </cell>
        </row>
      </sheetData>
      <sheetData sheetId="5">
        <row r="5">
          <cell r="AF5" t="str">
            <v>Afghanistan</v>
          </cell>
          <cell r="AG5" t="str">
            <v>Abu Dhabi</v>
          </cell>
        </row>
        <row r="6">
          <cell r="AF6" t="str">
            <v>Albania</v>
          </cell>
          <cell r="AG6" t="str">
            <v>Dubai</v>
          </cell>
        </row>
        <row r="7">
          <cell r="AF7" t="str">
            <v>Algeria</v>
          </cell>
          <cell r="AG7" t="str">
            <v>Sharjah</v>
          </cell>
        </row>
        <row r="8">
          <cell r="AF8" t="str">
            <v>Andorra</v>
          </cell>
          <cell r="AG8" t="str">
            <v>Ajman</v>
          </cell>
        </row>
        <row r="9">
          <cell r="AF9" t="str">
            <v>Angola</v>
          </cell>
          <cell r="AG9" t="str">
            <v>Umm Al Quwain</v>
          </cell>
        </row>
        <row r="10">
          <cell r="AF10" t="str">
            <v>Antigua and Barbuda</v>
          </cell>
          <cell r="AG10" t="str">
            <v>Ras Al Khaimah</v>
          </cell>
        </row>
        <row r="11">
          <cell r="AF11" t="str">
            <v>Argentina</v>
          </cell>
          <cell r="AG11" t="str">
            <v>Fujairah</v>
          </cell>
        </row>
        <row r="12">
          <cell r="AF12" t="str">
            <v>Armenia</v>
          </cell>
        </row>
        <row r="13">
          <cell r="AF13" t="str">
            <v>Australia</v>
          </cell>
        </row>
        <row r="14">
          <cell r="AF14" t="str">
            <v>Austria</v>
          </cell>
        </row>
        <row r="15">
          <cell r="AF15" t="str">
            <v>Azerbaijan</v>
          </cell>
        </row>
        <row r="16">
          <cell r="AF16" t="str">
            <v>Bahamas</v>
          </cell>
        </row>
        <row r="17">
          <cell r="AF17" t="str">
            <v>Bahrain</v>
          </cell>
        </row>
        <row r="18">
          <cell r="AF18" t="str">
            <v>Bangladesh</v>
          </cell>
        </row>
        <row r="19">
          <cell r="AF19" t="str">
            <v>Barbados</v>
          </cell>
        </row>
        <row r="20">
          <cell r="AF20" t="str">
            <v>Belarus</v>
          </cell>
        </row>
        <row r="21">
          <cell r="AF21" t="str">
            <v>Belgium</v>
          </cell>
        </row>
        <row r="22">
          <cell r="AF22" t="str">
            <v>Belize</v>
          </cell>
        </row>
        <row r="23">
          <cell r="AF23" t="str">
            <v>Benin</v>
          </cell>
        </row>
        <row r="24">
          <cell r="AF24" t="str">
            <v>Bhutan</v>
          </cell>
        </row>
        <row r="25">
          <cell r="AF25" t="str">
            <v>Bolivia</v>
          </cell>
        </row>
        <row r="26">
          <cell r="AF26" t="str">
            <v>Bosnia and Herzegovina</v>
          </cell>
        </row>
        <row r="27">
          <cell r="AF27" t="str">
            <v>Botswana</v>
          </cell>
        </row>
        <row r="28">
          <cell r="AF28" t="str">
            <v>Brazil</v>
          </cell>
        </row>
        <row r="29">
          <cell r="AF29" t="str">
            <v>Brunei</v>
          </cell>
        </row>
        <row r="30">
          <cell r="AF30" t="str">
            <v>Bulgaria</v>
          </cell>
        </row>
        <row r="31">
          <cell r="AF31" t="str">
            <v>Burkina Faso</v>
          </cell>
        </row>
        <row r="32">
          <cell r="AF32" t="str">
            <v>Burundi</v>
          </cell>
        </row>
        <row r="33">
          <cell r="AF33" t="str">
            <v>Côte d'Ivoire</v>
          </cell>
        </row>
        <row r="34">
          <cell r="AF34" t="str">
            <v>Cabo Verde</v>
          </cell>
        </row>
        <row r="35">
          <cell r="AF35" t="str">
            <v>Cambodia</v>
          </cell>
        </row>
        <row r="36">
          <cell r="AF36" t="str">
            <v>Cameroon</v>
          </cell>
        </row>
        <row r="37">
          <cell r="AF37" t="str">
            <v>Canada</v>
          </cell>
        </row>
        <row r="38">
          <cell r="AF38" t="str">
            <v>Central African Republic</v>
          </cell>
        </row>
        <row r="39">
          <cell r="AF39" t="str">
            <v>Chad</v>
          </cell>
        </row>
        <row r="40">
          <cell r="AF40" t="str">
            <v>Chile</v>
          </cell>
        </row>
        <row r="41">
          <cell r="AF41" t="str">
            <v>China</v>
          </cell>
        </row>
        <row r="42">
          <cell r="AF42" t="str">
            <v>Colombia</v>
          </cell>
        </row>
        <row r="43">
          <cell r="AF43" t="str">
            <v>Comoros</v>
          </cell>
        </row>
        <row r="44">
          <cell r="AF44" t="str">
            <v>Congo (Congo-Brazzaville)</v>
          </cell>
        </row>
        <row r="45">
          <cell r="AF45" t="str">
            <v>Costa Rica</v>
          </cell>
        </row>
        <row r="46">
          <cell r="AF46" t="str">
            <v>Croatia</v>
          </cell>
        </row>
        <row r="47">
          <cell r="AF47" t="str">
            <v>Cuba</v>
          </cell>
        </row>
        <row r="48">
          <cell r="AF48" t="str">
            <v>Cyprus</v>
          </cell>
        </row>
        <row r="49">
          <cell r="AF49" t="str">
            <v>Czechia (Czech Republic)</v>
          </cell>
        </row>
        <row r="50">
          <cell r="AF50" t="str">
            <v>Democratic Republic of the Congo</v>
          </cell>
        </row>
        <row r="51">
          <cell r="AF51" t="str">
            <v>Denmark</v>
          </cell>
        </row>
        <row r="52">
          <cell r="AF52" t="str">
            <v>Djibouti</v>
          </cell>
        </row>
        <row r="53">
          <cell r="AF53" t="str">
            <v>Dominica</v>
          </cell>
        </row>
        <row r="54">
          <cell r="AF54" t="str">
            <v>Dominican Republic</v>
          </cell>
        </row>
        <row r="55">
          <cell r="AF55" t="str">
            <v>Ecuador</v>
          </cell>
        </row>
        <row r="56">
          <cell r="AF56" t="str">
            <v>Egypt</v>
          </cell>
        </row>
        <row r="57">
          <cell r="AF57" t="str">
            <v>El Salvador</v>
          </cell>
        </row>
        <row r="58">
          <cell r="AF58" t="str">
            <v>Equatorial Guinea</v>
          </cell>
        </row>
        <row r="59">
          <cell r="AF59" t="str">
            <v>Eritrea</v>
          </cell>
        </row>
        <row r="60">
          <cell r="AF60" t="str">
            <v>Estonia</v>
          </cell>
        </row>
        <row r="61">
          <cell r="AF61" t="str">
            <v>Eswatini (fmr. "Swaziland")</v>
          </cell>
        </row>
        <row r="62">
          <cell r="AF62" t="str">
            <v>Ethiopia</v>
          </cell>
        </row>
        <row r="63">
          <cell r="AF63" t="str">
            <v>Fiji</v>
          </cell>
        </row>
        <row r="64">
          <cell r="AF64" t="str">
            <v>Finland</v>
          </cell>
        </row>
        <row r="65">
          <cell r="AF65" t="str">
            <v>France</v>
          </cell>
        </row>
        <row r="66">
          <cell r="AF66" t="str">
            <v>Gabon</v>
          </cell>
        </row>
        <row r="67">
          <cell r="AF67" t="str">
            <v>Gambia</v>
          </cell>
        </row>
        <row r="68">
          <cell r="AF68" t="str">
            <v>Georgia</v>
          </cell>
        </row>
        <row r="69">
          <cell r="AF69" t="str">
            <v>Germany</v>
          </cell>
        </row>
        <row r="70">
          <cell r="AF70" t="str">
            <v>Ghana</v>
          </cell>
        </row>
        <row r="71">
          <cell r="AF71" t="str">
            <v>Greece</v>
          </cell>
        </row>
        <row r="72">
          <cell r="AF72" t="str">
            <v>Grenada</v>
          </cell>
        </row>
        <row r="73">
          <cell r="AF73" t="str">
            <v>Guatemala</v>
          </cell>
        </row>
        <row r="74">
          <cell r="AF74" t="str">
            <v>Guinea</v>
          </cell>
        </row>
        <row r="75">
          <cell r="AF75" t="str">
            <v>Guinea-Bissau</v>
          </cell>
        </row>
        <row r="76">
          <cell r="AF76" t="str">
            <v>Guyana</v>
          </cell>
        </row>
        <row r="77">
          <cell r="AF77" t="str">
            <v>Haiti</v>
          </cell>
        </row>
        <row r="78">
          <cell r="AF78" t="str">
            <v>Holy See</v>
          </cell>
        </row>
        <row r="79">
          <cell r="AF79" t="str">
            <v>Honduras</v>
          </cell>
        </row>
        <row r="80">
          <cell r="AF80" t="str">
            <v>Hungary</v>
          </cell>
        </row>
        <row r="81">
          <cell r="AF81" t="str">
            <v>Iceland</v>
          </cell>
        </row>
        <row r="82">
          <cell r="AF82" t="str">
            <v>India</v>
          </cell>
        </row>
        <row r="83">
          <cell r="AF83" t="str">
            <v>Indonesia</v>
          </cell>
        </row>
        <row r="84">
          <cell r="AF84" t="str">
            <v>Iran</v>
          </cell>
        </row>
        <row r="85">
          <cell r="AF85" t="str">
            <v>Iraq</v>
          </cell>
        </row>
        <row r="86">
          <cell r="AF86" t="str">
            <v>Ireland</v>
          </cell>
        </row>
        <row r="87">
          <cell r="AF87" t="str">
            <v>Israel</v>
          </cell>
        </row>
        <row r="88">
          <cell r="AF88" t="str">
            <v>Italy</v>
          </cell>
        </row>
        <row r="89">
          <cell r="AF89" t="str">
            <v>Jamaica</v>
          </cell>
        </row>
        <row r="90">
          <cell r="AF90" t="str">
            <v>Japan</v>
          </cell>
        </row>
        <row r="91">
          <cell r="AF91" t="str">
            <v>Jordan</v>
          </cell>
        </row>
        <row r="92">
          <cell r="AF92" t="str">
            <v>Kazakhstan</v>
          </cell>
        </row>
        <row r="93">
          <cell r="AF93" t="str">
            <v>Kenya</v>
          </cell>
        </row>
        <row r="94">
          <cell r="AF94" t="str">
            <v>Kiribati</v>
          </cell>
        </row>
        <row r="95">
          <cell r="AF95" t="str">
            <v>Kuwait</v>
          </cell>
        </row>
        <row r="96">
          <cell r="AF96" t="str">
            <v>Kyrgyzstan</v>
          </cell>
        </row>
        <row r="97">
          <cell r="AF97" t="str">
            <v>Laos</v>
          </cell>
        </row>
        <row r="98">
          <cell r="AF98" t="str">
            <v>Latvia</v>
          </cell>
        </row>
        <row r="99">
          <cell r="AF99" t="str">
            <v>Lebanon</v>
          </cell>
        </row>
        <row r="100">
          <cell r="AF100" t="str">
            <v>Lesotho</v>
          </cell>
        </row>
        <row r="101">
          <cell r="AF101" t="str">
            <v>Liberia</v>
          </cell>
        </row>
        <row r="102">
          <cell r="AF102" t="str">
            <v>Libya</v>
          </cell>
        </row>
        <row r="103">
          <cell r="AF103" t="str">
            <v>Liechtenstein</v>
          </cell>
        </row>
        <row r="104">
          <cell r="AF104" t="str">
            <v>Lithuania</v>
          </cell>
        </row>
        <row r="105">
          <cell r="AF105" t="str">
            <v>Luxembourg</v>
          </cell>
        </row>
        <row r="106">
          <cell r="AF106" t="str">
            <v>Madagascar</v>
          </cell>
        </row>
        <row r="107">
          <cell r="AF107" t="str">
            <v>Malawi</v>
          </cell>
        </row>
        <row r="108">
          <cell r="AF108" t="str">
            <v>Malaysia</v>
          </cell>
        </row>
        <row r="109">
          <cell r="AF109" t="str">
            <v>Maldives</v>
          </cell>
        </row>
        <row r="110">
          <cell r="AF110" t="str">
            <v>Mali</v>
          </cell>
        </row>
        <row r="111">
          <cell r="AF111" t="str">
            <v>Malta</v>
          </cell>
        </row>
        <row r="112">
          <cell r="AF112" t="str">
            <v>Marshall Islands</v>
          </cell>
        </row>
        <row r="113">
          <cell r="AF113" t="str">
            <v>Mauritania</v>
          </cell>
        </row>
        <row r="114">
          <cell r="AF114" t="str">
            <v>Mauritius</v>
          </cell>
        </row>
        <row r="115">
          <cell r="AF115" t="str">
            <v>Mexico</v>
          </cell>
        </row>
        <row r="116">
          <cell r="AF116" t="str">
            <v>Micronesia</v>
          </cell>
        </row>
        <row r="117">
          <cell r="AF117" t="str">
            <v>Moldova</v>
          </cell>
        </row>
        <row r="118">
          <cell r="AF118" t="str">
            <v>Monaco</v>
          </cell>
        </row>
        <row r="119">
          <cell r="AF119" t="str">
            <v>Mongolia</v>
          </cell>
        </row>
        <row r="120">
          <cell r="AF120" t="str">
            <v>Montenegro</v>
          </cell>
        </row>
        <row r="121">
          <cell r="AF121" t="str">
            <v>Morocco</v>
          </cell>
        </row>
        <row r="122">
          <cell r="AF122" t="str">
            <v>Mozambique</v>
          </cell>
        </row>
        <row r="123">
          <cell r="AF123" t="str">
            <v>Myanmar (formerly Burma)</v>
          </cell>
        </row>
        <row r="124">
          <cell r="AF124" t="str">
            <v>Namibia</v>
          </cell>
        </row>
        <row r="125">
          <cell r="AF125" t="str">
            <v>Nauru</v>
          </cell>
        </row>
        <row r="126">
          <cell r="AF126" t="str">
            <v>Nepal</v>
          </cell>
        </row>
        <row r="127">
          <cell r="AF127" t="str">
            <v>Netherlands</v>
          </cell>
        </row>
        <row r="128">
          <cell r="AF128" t="str">
            <v>New Zealand</v>
          </cell>
        </row>
        <row r="129">
          <cell r="AF129" t="str">
            <v>Nicaragua</v>
          </cell>
        </row>
        <row r="130">
          <cell r="AF130" t="str">
            <v>Niger</v>
          </cell>
        </row>
        <row r="131">
          <cell r="AF131" t="str">
            <v>Nigeria</v>
          </cell>
        </row>
        <row r="132">
          <cell r="AF132" t="str">
            <v>North Korea</v>
          </cell>
        </row>
        <row r="133">
          <cell r="AF133" t="str">
            <v>North Macedonia</v>
          </cell>
        </row>
        <row r="134">
          <cell r="AF134" t="str">
            <v>Norway</v>
          </cell>
        </row>
        <row r="135">
          <cell r="AF135" t="str">
            <v>Oman</v>
          </cell>
        </row>
        <row r="136">
          <cell r="AF136" t="str">
            <v>Pakistan</v>
          </cell>
        </row>
        <row r="137">
          <cell r="AF137" t="str">
            <v>Palau</v>
          </cell>
        </row>
        <row r="138">
          <cell r="AF138" t="str">
            <v>Palestine</v>
          </cell>
        </row>
        <row r="139">
          <cell r="AF139" t="str">
            <v>Panama</v>
          </cell>
        </row>
        <row r="140">
          <cell r="AF140" t="str">
            <v>Papua New Guinea</v>
          </cell>
        </row>
        <row r="141">
          <cell r="AF141" t="str">
            <v>Paraguay</v>
          </cell>
        </row>
        <row r="142">
          <cell r="AF142" t="str">
            <v>Peru</v>
          </cell>
        </row>
        <row r="143">
          <cell r="AF143" t="str">
            <v>Philippines</v>
          </cell>
        </row>
        <row r="144">
          <cell r="AF144" t="str">
            <v>Poland</v>
          </cell>
        </row>
        <row r="145">
          <cell r="AF145" t="str">
            <v>Portugal</v>
          </cell>
        </row>
        <row r="146">
          <cell r="AF146" t="str">
            <v>Qatar</v>
          </cell>
        </row>
        <row r="147">
          <cell r="AF147" t="str">
            <v>Romania</v>
          </cell>
        </row>
        <row r="148">
          <cell r="AF148" t="str">
            <v>Russia</v>
          </cell>
        </row>
        <row r="149">
          <cell r="AF149" t="str">
            <v>Rwanda</v>
          </cell>
        </row>
        <row r="150">
          <cell r="AF150" t="str">
            <v>Saint Kitts and Nevis</v>
          </cell>
        </row>
        <row r="151">
          <cell r="AF151" t="str">
            <v>Saint Lucia</v>
          </cell>
        </row>
        <row r="152">
          <cell r="AF152" t="str">
            <v>Saint Vincent and the Grenadines</v>
          </cell>
        </row>
        <row r="153">
          <cell r="AF153" t="str">
            <v>Samoa</v>
          </cell>
        </row>
        <row r="154">
          <cell r="AF154" t="str">
            <v>San Marino</v>
          </cell>
        </row>
        <row r="155">
          <cell r="AF155" t="str">
            <v>Sao Tome and Principe</v>
          </cell>
        </row>
        <row r="156">
          <cell r="AF156" t="str">
            <v>Saudi Arabia</v>
          </cell>
        </row>
        <row r="157">
          <cell r="AF157" t="str">
            <v>Senegal</v>
          </cell>
        </row>
        <row r="158">
          <cell r="AF158" t="str">
            <v>Serbia</v>
          </cell>
        </row>
        <row r="159">
          <cell r="AF159" t="str">
            <v>Seychelles</v>
          </cell>
        </row>
        <row r="160">
          <cell r="AF160" t="str">
            <v>Sierra Leone</v>
          </cell>
        </row>
        <row r="161">
          <cell r="AF161" t="str">
            <v>Singapore</v>
          </cell>
        </row>
        <row r="162">
          <cell r="AF162" t="str">
            <v>Slovakia</v>
          </cell>
        </row>
        <row r="163">
          <cell r="AF163" t="str">
            <v>Slovenia</v>
          </cell>
        </row>
        <row r="164">
          <cell r="AF164" t="str">
            <v>Solomon Islands</v>
          </cell>
        </row>
        <row r="165">
          <cell r="AF165" t="str">
            <v>Somalia</v>
          </cell>
        </row>
        <row r="166">
          <cell r="AF166" t="str">
            <v>South Africa</v>
          </cell>
        </row>
        <row r="167">
          <cell r="AF167" t="str">
            <v>South Korea</v>
          </cell>
        </row>
        <row r="168">
          <cell r="AF168" t="str">
            <v>South Sudan</v>
          </cell>
        </row>
        <row r="169">
          <cell r="AF169" t="str">
            <v>Spain</v>
          </cell>
        </row>
        <row r="170">
          <cell r="AF170" t="str">
            <v>Sri Lanka</v>
          </cell>
        </row>
        <row r="171">
          <cell r="AF171" t="str">
            <v>Sudan</v>
          </cell>
        </row>
        <row r="172">
          <cell r="AF172" t="str">
            <v>Suriname</v>
          </cell>
        </row>
        <row r="173">
          <cell r="AF173" t="str">
            <v>Sweden</v>
          </cell>
        </row>
        <row r="174">
          <cell r="AF174" t="str">
            <v>Switzerland</v>
          </cell>
        </row>
        <row r="175">
          <cell r="AF175" t="str">
            <v>Syria</v>
          </cell>
        </row>
        <row r="176">
          <cell r="AF176" t="str">
            <v>Tajikistan</v>
          </cell>
        </row>
        <row r="177">
          <cell r="AF177" t="str">
            <v>Tanzania</v>
          </cell>
        </row>
        <row r="178">
          <cell r="AF178" t="str">
            <v>Thailand</v>
          </cell>
        </row>
        <row r="179">
          <cell r="AF179" t="str">
            <v>Timor-Leste</v>
          </cell>
        </row>
        <row r="180">
          <cell r="AF180" t="str">
            <v>Togo</v>
          </cell>
        </row>
        <row r="181">
          <cell r="AF181" t="str">
            <v>Tonga</v>
          </cell>
        </row>
        <row r="182">
          <cell r="AF182" t="str">
            <v>Trinidad and Tobago</v>
          </cell>
        </row>
        <row r="183">
          <cell r="AF183" t="str">
            <v>Tunisia</v>
          </cell>
        </row>
        <row r="184">
          <cell r="AF184" t="str">
            <v>Turkey</v>
          </cell>
        </row>
        <row r="185">
          <cell r="AF185" t="str">
            <v>Turkmenistan</v>
          </cell>
        </row>
        <row r="186">
          <cell r="AF186" t="str">
            <v>Tuvalu</v>
          </cell>
        </row>
        <row r="187">
          <cell r="AF187" t="str">
            <v>Uganda</v>
          </cell>
        </row>
        <row r="188">
          <cell r="AF188" t="str">
            <v>Ukraine</v>
          </cell>
        </row>
        <row r="189">
          <cell r="AF189" t="str">
            <v>United Arab Emirates</v>
          </cell>
        </row>
        <row r="190">
          <cell r="AF190" t="str">
            <v>United Kingdom</v>
          </cell>
        </row>
        <row r="191">
          <cell r="AF191" t="str">
            <v>United States of America</v>
          </cell>
        </row>
        <row r="192">
          <cell r="AF192" t="str">
            <v>Uruguay</v>
          </cell>
        </row>
        <row r="193">
          <cell r="AF193" t="str">
            <v>Uzbekistan</v>
          </cell>
        </row>
        <row r="194">
          <cell r="AF194" t="str">
            <v>Vanuatu</v>
          </cell>
        </row>
        <row r="195">
          <cell r="AF195" t="str">
            <v>Venezuela</v>
          </cell>
        </row>
        <row r="196">
          <cell r="AF196" t="str">
            <v>Vietnam</v>
          </cell>
        </row>
        <row r="197">
          <cell r="AF197" t="str">
            <v>Yemen</v>
          </cell>
        </row>
        <row r="198">
          <cell r="AF198" t="str">
            <v>Zambia</v>
          </cell>
        </row>
        <row r="199">
          <cell r="AF199" t="str">
            <v>Zimbabwe</v>
          </cell>
        </row>
      </sheetData>
      <sheetData sheetId="6">
        <row r="44">
          <cell r="B44">
            <v>38.85</v>
          </cell>
        </row>
        <row r="45">
          <cell r="B45">
            <v>25.200000000000003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pping"/>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Mapping"/>
    </sheetNames>
    <sheetDataSet>
      <sheetData sheetId="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ding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lines"/>
      <sheetName val="Inputs"/>
      <sheetName val="Loadings"/>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sheetData sheetId="1"/>
      <sheetData sheetId="2"/>
      <sheetData sheetId="3"/>
      <sheetData sheetId="4"/>
      <sheetData sheetId="5"/>
      <sheetData sheetId="6"/>
      <sheetData sheetId="7">
        <row r="8">
          <cell r="C8">
            <v>0.81</v>
          </cell>
          <cell r="L8">
            <v>1</v>
          </cell>
        </row>
        <row r="10">
          <cell r="C10">
            <v>0.86</v>
          </cell>
          <cell r="H10">
            <v>0.62</v>
          </cell>
          <cell r="K10">
            <v>0.68</v>
          </cell>
        </row>
        <row r="16">
          <cell r="D16">
            <v>1.02</v>
          </cell>
          <cell r="G16">
            <v>1.04</v>
          </cell>
        </row>
        <row r="17">
          <cell r="C17">
            <v>0.98</v>
          </cell>
          <cell r="F17">
            <v>1.07</v>
          </cell>
        </row>
        <row r="18">
          <cell r="C18">
            <v>0.96499999999999997</v>
          </cell>
        </row>
        <row r="24">
          <cell r="C24">
            <v>1.06</v>
          </cell>
        </row>
        <row r="25">
          <cell r="C25">
            <v>1.03</v>
          </cell>
        </row>
        <row r="31">
          <cell r="C31">
            <v>1.125</v>
          </cell>
        </row>
        <row r="32">
          <cell r="C32">
            <v>1.0625</v>
          </cell>
        </row>
        <row r="39">
          <cell r="C39">
            <v>1.02</v>
          </cell>
          <cell r="F39">
            <v>1.02</v>
          </cell>
        </row>
        <row r="42">
          <cell r="C42">
            <v>1.0349999999999999</v>
          </cell>
          <cell r="F42">
            <v>1.0349999999999999</v>
          </cell>
        </row>
        <row r="45">
          <cell r="C45">
            <v>1.0449999999999999</v>
          </cell>
          <cell r="F45">
            <v>1.0449999999999999</v>
          </cell>
        </row>
        <row r="48">
          <cell r="C48">
            <v>1.05</v>
          </cell>
        </row>
      </sheetData>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worldometers.info/geography/alphabetical-list-of-countr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9.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10.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13.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C00000"/>
  </sheetPr>
  <dimension ref="A1:W38"/>
  <sheetViews>
    <sheetView showGridLines="0" showRowColHeaders="0" tabSelected="1" workbookViewId="0">
      <selection activeCell="W7" sqref="W7"/>
    </sheetView>
  </sheetViews>
  <sheetFormatPr defaultRowHeight="15" x14ac:dyDescent="0.25"/>
  <cols>
    <col min="1" max="1" width="3.5703125" customWidth="1"/>
    <col min="3" max="7" width="11.5703125" customWidth="1"/>
    <col min="10" max="10" width="6.7109375" customWidth="1"/>
  </cols>
  <sheetData>
    <row r="1" spans="1:23" ht="23.25" x14ac:dyDescent="0.25">
      <c r="A1" s="362" t="s">
        <v>0</v>
      </c>
    </row>
    <row r="3" spans="1:23" s="306" customFormat="1" ht="18.75" x14ac:dyDescent="0.25">
      <c r="A3" s="363" t="s">
        <v>1</v>
      </c>
    </row>
    <row r="4" spans="1:23" s="306" customFormat="1" ht="13.5" customHeight="1" x14ac:dyDescent="0.25"/>
    <row r="5" spans="1:23" s="306" customFormat="1" ht="15.75" x14ac:dyDescent="0.25">
      <c r="A5" s="364" t="s">
        <v>2</v>
      </c>
      <c r="B5" s="365" t="s">
        <v>3</v>
      </c>
      <c r="C5" s="365"/>
      <c r="D5" s="365"/>
      <c r="E5" s="365"/>
      <c r="F5" s="365"/>
      <c r="G5" s="365"/>
      <c r="H5" s="365"/>
      <c r="I5" s="365"/>
      <c r="J5" s="365"/>
      <c r="K5" s="365"/>
      <c r="L5" s="365"/>
      <c r="M5" s="365"/>
      <c r="N5" s="365"/>
      <c r="O5" s="365"/>
      <c r="P5" s="365"/>
      <c r="Q5" s="365"/>
      <c r="T5" s="365"/>
      <c r="U5" s="365"/>
      <c r="V5" s="365"/>
      <c r="W5" s="365"/>
    </row>
    <row r="6" spans="1:23" s="306" customFormat="1" ht="15.75" x14ac:dyDescent="0.25">
      <c r="A6" s="365"/>
      <c r="B6" s="366" t="s">
        <v>4</v>
      </c>
      <c r="C6" s="367" t="s">
        <v>5</v>
      </c>
      <c r="D6" s="365"/>
      <c r="E6" s="365"/>
      <c r="F6" s="365"/>
      <c r="G6" s="365"/>
      <c r="H6" s="365"/>
      <c r="I6" s="365"/>
      <c r="J6" s="365"/>
      <c r="K6" s="368"/>
      <c r="L6" s="365"/>
      <c r="M6" s="365"/>
      <c r="N6" s="365"/>
      <c r="O6" s="365"/>
      <c r="P6" s="365"/>
      <c r="Q6" s="365"/>
      <c r="T6" s="365"/>
      <c r="U6" s="365"/>
      <c r="V6" s="365"/>
      <c r="W6" s="365"/>
    </row>
    <row r="7" spans="1:23" s="306" customFormat="1" ht="15.75" x14ac:dyDescent="0.25">
      <c r="A7" s="365"/>
      <c r="B7" s="366"/>
      <c r="C7" s="373" t="s">
        <v>6</v>
      </c>
      <c r="D7" s="365"/>
      <c r="E7" s="365"/>
      <c r="F7" s="365"/>
      <c r="G7" s="365"/>
      <c r="H7" s="365"/>
      <c r="I7" s="365"/>
      <c r="J7" s="365"/>
      <c r="K7" s="368"/>
      <c r="L7" s="365"/>
      <c r="M7" s="365"/>
      <c r="N7" s="365"/>
      <c r="O7" s="365"/>
      <c r="P7" s="365"/>
      <c r="Q7" s="365"/>
      <c r="T7" s="365"/>
      <c r="U7" s="365"/>
      <c r="V7" s="365"/>
      <c r="W7" s="365"/>
    </row>
    <row r="8" spans="1:23" s="306" customFormat="1" ht="15.75" x14ac:dyDescent="0.25">
      <c r="A8" s="365"/>
      <c r="B8" s="366"/>
      <c r="C8" s="373" t="s">
        <v>7</v>
      </c>
      <c r="D8" s="365"/>
      <c r="E8" s="365"/>
      <c r="F8" s="365"/>
      <c r="G8" s="365"/>
      <c r="H8" s="365"/>
      <c r="I8" s="365"/>
      <c r="J8" s="365"/>
      <c r="K8" s="368"/>
      <c r="L8" s="365"/>
      <c r="M8" s="365"/>
      <c r="N8" s="365"/>
      <c r="O8" s="365"/>
      <c r="P8" s="365"/>
      <c r="Q8" s="365"/>
      <c r="T8" s="365"/>
      <c r="U8" s="365"/>
      <c r="V8" s="365"/>
      <c r="W8" s="365"/>
    </row>
    <row r="9" spans="1:23" s="306" customFormat="1" ht="15.75" x14ac:dyDescent="0.25">
      <c r="A9" s="365"/>
      <c r="B9" s="366"/>
      <c r="C9" s="373" t="s">
        <v>8</v>
      </c>
      <c r="D9" s="365"/>
      <c r="E9" s="365"/>
      <c r="F9" s="365"/>
      <c r="G9" s="365"/>
      <c r="H9" s="365"/>
      <c r="I9" s="365"/>
      <c r="J9" s="365"/>
      <c r="K9" s="368"/>
      <c r="L9" s="365"/>
      <c r="M9" s="365"/>
      <c r="N9" s="365"/>
      <c r="O9" s="365"/>
      <c r="P9" s="365"/>
      <c r="Q9" s="365"/>
      <c r="T9" s="365"/>
      <c r="U9" s="365"/>
      <c r="V9" s="365"/>
      <c r="W9" s="365"/>
    </row>
    <row r="10" spans="1:23" s="306" customFormat="1" ht="15.75" x14ac:dyDescent="0.25">
      <c r="A10" s="365"/>
      <c r="B10" s="366" t="s">
        <v>9</v>
      </c>
      <c r="C10" s="369" t="s">
        <v>10</v>
      </c>
      <c r="D10" s="365"/>
      <c r="E10" s="365"/>
      <c r="F10" s="365"/>
      <c r="G10" s="365"/>
      <c r="H10" s="365"/>
      <c r="I10" s="365"/>
      <c r="J10" s="365"/>
      <c r="K10" s="365"/>
      <c r="L10" s="365"/>
      <c r="M10" s="365"/>
      <c r="N10" s="365"/>
      <c r="O10" s="365"/>
      <c r="P10" s="365"/>
      <c r="Q10" s="365"/>
      <c r="T10" s="365"/>
      <c r="U10" s="365"/>
      <c r="V10" s="365"/>
      <c r="W10" s="365"/>
    </row>
    <row r="11" spans="1:23" s="306" customFormat="1" ht="15.75" x14ac:dyDescent="0.25">
      <c r="A11" s="365"/>
      <c r="B11" s="365"/>
      <c r="C11" s="365"/>
      <c r="D11" s="365"/>
      <c r="E11" s="365"/>
      <c r="F11" s="365"/>
      <c r="G11" s="365"/>
      <c r="H11" s="365"/>
      <c r="I11" s="365"/>
      <c r="J11" s="365"/>
      <c r="K11" s="365"/>
      <c r="L11" s="365"/>
      <c r="M11" s="365"/>
      <c r="N11" s="365"/>
      <c r="O11" s="365"/>
      <c r="P11" s="365"/>
      <c r="Q11" s="365"/>
      <c r="T11" s="365"/>
      <c r="U11" s="365"/>
      <c r="V11" s="365"/>
      <c r="W11" s="365"/>
    </row>
    <row r="12" spans="1:23" s="306" customFormat="1" ht="15.75" x14ac:dyDescent="0.25">
      <c r="A12" s="365"/>
      <c r="B12" s="370"/>
      <c r="C12" s="365"/>
      <c r="D12" s="365"/>
      <c r="E12" s="365"/>
      <c r="F12" s="365"/>
      <c r="G12" s="365"/>
      <c r="H12" s="365"/>
      <c r="I12" s="365"/>
      <c r="J12" s="365"/>
      <c r="K12" s="365"/>
      <c r="L12" s="365"/>
      <c r="M12" s="365"/>
      <c r="N12" s="365"/>
      <c r="O12" s="365"/>
      <c r="P12" s="365"/>
      <c r="Q12" s="365"/>
      <c r="T12" s="365"/>
      <c r="U12" s="365"/>
      <c r="V12" s="365"/>
      <c r="W12" s="365"/>
    </row>
    <row r="13" spans="1:23" s="306" customFormat="1" ht="29.25" customHeight="1" x14ac:dyDescent="0.25">
      <c r="A13" s="365"/>
      <c r="B13" s="365"/>
      <c r="C13" s="365"/>
      <c r="D13" s="365"/>
      <c r="E13" s="365"/>
      <c r="F13" s="365"/>
      <c r="G13" s="365"/>
      <c r="H13" s="365"/>
      <c r="I13" s="365"/>
      <c r="J13" s="365"/>
      <c r="K13" s="365"/>
      <c r="L13" s="365"/>
      <c r="M13" s="365"/>
      <c r="N13" s="365"/>
      <c r="O13" s="365"/>
      <c r="P13" s="365"/>
      <c r="Q13" s="365"/>
      <c r="T13" s="365"/>
      <c r="U13" s="365"/>
      <c r="V13" s="365"/>
      <c r="W13" s="365"/>
    </row>
    <row r="14" spans="1:23" s="306" customFormat="1" ht="15.75" x14ac:dyDescent="0.25">
      <c r="A14" s="365"/>
      <c r="B14" s="366" t="s">
        <v>11</v>
      </c>
      <c r="C14" s="365" t="s">
        <v>12</v>
      </c>
      <c r="D14" s="365"/>
      <c r="E14" s="365"/>
      <c r="F14" s="365"/>
      <c r="G14" s="365"/>
      <c r="H14" s="365"/>
      <c r="I14" s="365"/>
      <c r="J14" s="365"/>
      <c r="K14" s="365"/>
      <c r="L14" s="365"/>
      <c r="M14" s="365"/>
      <c r="N14" s="365"/>
      <c r="O14" s="365"/>
      <c r="P14" s="365"/>
      <c r="Q14" s="365"/>
      <c r="T14" s="365"/>
      <c r="U14" s="365"/>
      <c r="V14" s="365"/>
      <c r="W14" s="365"/>
    </row>
    <row r="15" spans="1:23" s="306" customFormat="1" ht="15.75" x14ac:dyDescent="0.25">
      <c r="A15" s="364" t="s">
        <v>13</v>
      </c>
      <c r="B15" s="367" t="s">
        <v>14</v>
      </c>
      <c r="C15" s="365"/>
      <c r="D15" s="365"/>
      <c r="E15" s="365"/>
      <c r="F15" s="365"/>
      <c r="G15" s="365"/>
      <c r="H15" s="365"/>
      <c r="I15" s="365"/>
      <c r="J15" s="365"/>
      <c r="K15" s="365"/>
      <c r="L15" s="365"/>
      <c r="M15" s="365"/>
      <c r="N15" s="365"/>
      <c r="O15" s="365"/>
      <c r="P15" s="365"/>
      <c r="Q15" s="365"/>
      <c r="T15" s="365"/>
      <c r="U15" s="365"/>
      <c r="V15" s="365"/>
      <c r="W15" s="365"/>
    </row>
    <row r="16" spans="1:23" s="306" customFormat="1" ht="15.75" x14ac:dyDescent="0.25">
      <c r="A16" s="365"/>
      <c r="B16" s="366" t="s">
        <v>4</v>
      </c>
      <c r="C16" s="365" t="s">
        <v>15</v>
      </c>
      <c r="D16" s="365"/>
      <c r="E16" s="365"/>
      <c r="F16" s="365"/>
      <c r="G16" s="365"/>
      <c r="H16" s="365"/>
      <c r="I16" s="365"/>
      <c r="J16" s="365"/>
      <c r="K16" s="365"/>
      <c r="L16" s="365"/>
      <c r="M16" s="365"/>
      <c r="N16" s="365"/>
      <c r="O16" s="365"/>
      <c r="P16" s="365"/>
      <c r="Q16" s="365"/>
      <c r="T16" s="365"/>
      <c r="U16" s="365"/>
      <c r="V16" s="365"/>
      <c r="W16" s="365"/>
    </row>
    <row r="17" spans="1:23" s="306" customFormat="1" ht="15.75" x14ac:dyDescent="0.25">
      <c r="A17" s="365"/>
      <c r="B17" s="366" t="s">
        <v>9</v>
      </c>
      <c r="C17" s="365" t="s">
        <v>16</v>
      </c>
      <c r="D17" s="365"/>
      <c r="E17" s="365"/>
      <c r="F17" s="365"/>
      <c r="G17" s="365"/>
      <c r="H17" s="365"/>
      <c r="I17" s="365"/>
      <c r="J17" s="365"/>
      <c r="K17" s="365"/>
      <c r="L17" s="365"/>
      <c r="M17" s="365"/>
      <c r="N17" s="365"/>
      <c r="O17" s="365"/>
      <c r="P17" s="365"/>
      <c r="Q17" s="365"/>
      <c r="T17" s="365"/>
      <c r="U17" s="365"/>
      <c r="V17" s="365"/>
      <c r="W17" s="365"/>
    </row>
    <row r="18" spans="1:23" s="306" customFormat="1" ht="15.75" x14ac:dyDescent="0.25">
      <c r="A18" s="365"/>
      <c r="B18" s="365"/>
      <c r="C18" s="365"/>
      <c r="D18" s="365"/>
      <c r="E18" s="365"/>
      <c r="F18" s="365"/>
      <c r="G18" s="365"/>
      <c r="H18" s="365"/>
      <c r="I18" s="365"/>
      <c r="J18" s="365"/>
      <c r="K18" s="365"/>
      <c r="L18" s="365"/>
      <c r="M18" s="365"/>
      <c r="N18" s="365"/>
      <c r="O18" s="365"/>
      <c r="P18" s="365"/>
      <c r="Q18" s="365"/>
      <c r="T18" s="365"/>
      <c r="U18" s="365"/>
      <c r="V18" s="365"/>
      <c r="W18" s="365"/>
    </row>
    <row r="19" spans="1:23" s="306" customFormat="1" ht="15.75" x14ac:dyDescent="0.25">
      <c r="A19" s="365"/>
      <c r="B19" s="369"/>
      <c r="C19" s="365"/>
      <c r="D19" s="365"/>
      <c r="E19" s="365"/>
      <c r="F19" s="365"/>
      <c r="G19" s="365"/>
      <c r="H19" s="365"/>
      <c r="I19" s="365"/>
      <c r="J19" s="365"/>
      <c r="K19" s="365"/>
      <c r="L19" s="365"/>
      <c r="M19" s="365"/>
      <c r="N19" s="365"/>
      <c r="O19" s="365"/>
      <c r="P19" s="365"/>
      <c r="Q19" s="365"/>
      <c r="T19" s="365"/>
      <c r="U19" s="365"/>
      <c r="V19" s="365"/>
      <c r="W19" s="365"/>
    </row>
    <row r="20" spans="1:23" s="306" customFormat="1" ht="15.75" x14ac:dyDescent="0.25">
      <c r="A20" s="365"/>
      <c r="B20" s="369"/>
      <c r="C20" s="365"/>
      <c r="D20" s="365"/>
      <c r="E20" s="365"/>
      <c r="F20" s="365"/>
      <c r="G20" s="365"/>
      <c r="H20" s="365"/>
      <c r="I20" s="365"/>
      <c r="J20" s="365"/>
      <c r="K20" s="365"/>
      <c r="L20" s="365"/>
      <c r="M20" s="365"/>
      <c r="N20" s="365"/>
      <c r="O20" s="365"/>
      <c r="P20" s="365"/>
      <c r="Q20" s="365"/>
      <c r="T20" s="365"/>
      <c r="U20" s="365"/>
      <c r="V20" s="365"/>
      <c r="W20" s="365"/>
    </row>
    <row r="21" spans="1:23" s="306" customFormat="1" ht="15.75" x14ac:dyDescent="0.25">
      <c r="A21" s="749" t="str">
        <f>IF(AND(Protection!F26="No",Protection!G26="No"),"3.    This product does not cover Educational Institutes or Medical Providers","")</f>
        <v/>
      </c>
      <c r="B21" s="369"/>
      <c r="C21" s="365"/>
      <c r="D21" s="365"/>
      <c r="E21" s="365"/>
      <c r="F21" s="365"/>
      <c r="G21" s="365"/>
      <c r="H21" s="365"/>
      <c r="I21" s="365"/>
      <c r="J21" s="365"/>
      <c r="K21" s="365"/>
      <c r="L21" s="365"/>
      <c r="M21" s="365"/>
      <c r="N21" s="365"/>
      <c r="O21" s="365"/>
      <c r="P21" s="365"/>
      <c r="Q21" s="365"/>
      <c r="T21" s="365"/>
      <c r="U21" s="365"/>
      <c r="V21" s="365"/>
      <c r="W21" s="365"/>
    </row>
    <row r="22" spans="1:23" s="306" customFormat="1" ht="18.75" x14ac:dyDescent="0.25">
      <c r="A22" s="363" t="s">
        <v>17</v>
      </c>
      <c r="B22" s="371"/>
    </row>
    <row r="23" spans="1:23" s="306" customFormat="1" ht="18.75" x14ac:dyDescent="0.25">
      <c r="A23" s="363"/>
      <c r="B23" s="371"/>
    </row>
    <row r="24" spans="1:23" s="306" customFormat="1" ht="15.75" x14ac:dyDescent="0.25">
      <c r="A24" s="364" t="s">
        <v>2</v>
      </c>
      <c r="B24" s="369" t="s">
        <v>18</v>
      </c>
      <c r="C24" s="365"/>
      <c r="D24" s="365"/>
      <c r="E24" s="365"/>
    </row>
    <row r="25" spans="1:23" s="306" customFormat="1" ht="15.75" x14ac:dyDescent="0.25">
      <c r="A25" s="364" t="s">
        <v>13</v>
      </c>
      <c r="B25" s="372" t="s">
        <v>19</v>
      </c>
      <c r="C25" s="365"/>
      <c r="D25" s="365"/>
      <c r="E25" s="365"/>
    </row>
    <row r="26" spans="1:23" s="306" customFormat="1" ht="15.75" x14ac:dyDescent="0.25">
      <c r="A26" s="364"/>
      <c r="B26" s="741" t="s">
        <v>4</v>
      </c>
      <c r="C26" s="365" t="s">
        <v>20</v>
      </c>
      <c r="D26" s="365"/>
      <c r="E26" s="365"/>
    </row>
    <row r="27" spans="1:23" s="306" customFormat="1" ht="15.75" x14ac:dyDescent="0.25">
      <c r="A27" s="364"/>
      <c r="B27" s="741" t="s">
        <v>9</v>
      </c>
      <c r="C27" s="365" t="s">
        <v>21</v>
      </c>
      <c r="D27" s="365"/>
      <c r="E27" s="365"/>
    </row>
    <row r="28" spans="1:23" s="306" customFormat="1" ht="15.75" x14ac:dyDescent="0.25">
      <c r="A28" s="364"/>
      <c r="B28" s="741" t="s">
        <v>11</v>
      </c>
      <c r="C28" s="365" t="s">
        <v>22</v>
      </c>
      <c r="D28" s="365"/>
      <c r="E28" s="365"/>
    </row>
    <row r="29" spans="1:23" s="306" customFormat="1" ht="15.75" x14ac:dyDescent="0.25">
      <c r="A29" s="364" t="s">
        <v>23</v>
      </c>
      <c r="B29" s="372" t="s">
        <v>24</v>
      </c>
      <c r="C29" s="365"/>
      <c r="D29" s="365"/>
      <c r="E29" s="365"/>
    </row>
    <row r="30" spans="1:23" s="306" customFormat="1" ht="15.75" x14ac:dyDescent="0.25">
      <c r="A30" s="364" t="s">
        <v>25</v>
      </c>
      <c r="B30" s="369" t="s">
        <v>26</v>
      </c>
      <c r="C30" s="365"/>
      <c r="D30" s="365"/>
      <c r="E30" s="365"/>
    </row>
    <row r="31" spans="1:23" s="306" customFormat="1" ht="15.75" x14ac:dyDescent="0.25">
      <c r="A31" s="365"/>
      <c r="B31" s="372" t="s">
        <v>27</v>
      </c>
      <c r="E31" s="365"/>
    </row>
    <row r="32" spans="1:23" s="306" customFormat="1" ht="15.75" x14ac:dyDescent="0.25">
      <c r="A32" s="365"/>
      <c r="B32" s="372" t="s">
        <v>28</v>
      </c>
      <c r="E32" s="365"/>
    </row>
    <row r="33" spans="1:19" s="306" customFormat="1" ht="15.75" x14ac:dyDescent="0.25">
      <c r="A33" s="365"/>
      <c r="B33" s="372" t="s">
        <v>29</v>
      </c>
      <c r="E33" s="365"/>
    </row>
    <row r="34" spans="1:19" s="306" customFormat="1" ht="15.75" x14ac:dyDescent="0.25">
      <c r="A34" s="426" t="s">
        <v>30</v>
      </c>
      <c r="B34" s="365"/>
      <c r="E34" s="365"/>
    </row>
    <row r="35" spans="1:19" s="306" customFormat="1" ht="15.75" x14ac:dyDescent="0.25">
      <c r="A35" s="364"/>
      <c r="B35" s="372"/>
    </row>
    <row r="36" spans="1:19" ht="15.75" x14ac:dyDescent="0.25">
      <c r="A36" s="426" t="s">
        <v>31</v>
      </c>
      <c r="R36" s="306"/>
      <c r="S36" s="306"/>
    </row>
    <row r="37" spans="1:19" x14ac:dyDescent="0.25">
      <c r="R37" s="306"/>
      <c r="S37" s="306"/>
    </row>
    <row r="38" spans="1:19" x14ac:dyDescent="0.25">
      <c r="A38" t="s">
        <v>32</v>
      </c>
      <c r="R38" s="306"/>
      <c r="S38" s="306"/>
    </row>
  </sheetData>
  <sheetProtection algorithmName="SHA-512" hashValue="eTmo9uppah/vGaYRZ09UnosXZYzU2h8g/DEWvuuADpVSoxf73s4knYj+JQE0oR0DZLXT+R14YJM2DQhV1/dIIw==" saltValue="vwNUcGoXcTI19dfBXpSMtw==" spinCount="100000" sheet="1" objects="1" scenarios="1"/>
  <pageMargins left="0.7" right="0.7" top="0.75" bottom="0.75" header="0.3" footer="0.3"/>
  <pageSetup paperSize="9" orientation="landscape" r:id="rId1"/>
  <headerFooter>
    <oddHeader>&amp;C&amp;"Calibri"&amp;10&amp;K000000 Internal&amp;1#_x000D_</oddHeader>
    <oddFooter>&amp;L_x000D_&amp;1#&amp;"Calibri"&amp;10&amp;K737373 Confidential</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sheetPr>
  <dimension ref="A1:AD100"/>
  <sheetViews>
    <sheetView showGridLines="0" showRowColHeaders="0" workbookViewId="0">
      <selection activeCell="A3" sqref="A3:H3"/>
    </sheetView>
  </sheetViews>
  <sheetFormatPr defaultColWidth="0" defaultRowHeight="12.6" customHeight="1" zeroHeight="1" x14ac:dyDescent="0.2"/>
  <cols>
    <col min="1" max="1" width="50.28515625" style="731" customWidth="1"/>
    <col min="2" max="2" width="3.85546875" style="731" customWidth="1"/>
    <col min="3" max="3" width="32.7109375" style="731" customWidth="1"/>
    <col min="4" max="4" width="5.85546875" style="731" customWidth="1"/>
    <col min="5" max="5" width="32.7109375" style="731" customWidth="1"/>
    <col min="6" max="6" width="5" style="731" customWidth="1"/>
    <col min="7" max="7" width="32.7109375" style="731" customWidth="1"/>
    <col min="8" max="8" width="8.85546875" style="731" customWidth="1"/>
    <col min="9" max="30" width="2.5703125" style="731" hidden="1" customWidth="1"/>
    <col min="31" max="16384" width="9.140625" style="731" hidden="1"/>
  </cols>
  <sheetData>
    <row r="1" spans="1:25" s="110" customFormat="1" ht="62.25" customHeight="1" x14ac:dyDescent="0.2"/>
    <row r="2" spans="1:25" s="110" customFormat="1" ht="15.75" customHeight="1" x14ac:dyDescent="0.2"/>
    <row r="3" spans="1:25" s="110" customFormat="1" ht="24" customHeight="1" x14ac:dyDescent="0.4">
      <c r="A3" s="777" t="s">
        <v>33</v>
      </c>
      <c r="B3" s="777"/>
      <c r="C3" s="777"/>
      <c r="D3" s="777"/>
      <c r="E3" s="777"/>
      <c r="F3" s="777"/>
      <c r="G3" s="777"/>
      <c r="H3" s="777"/>
      <c r="I3" s="343"/>
      <c r="J3" s="343"/>
      <c r="K3" s="343"/>
      <c r="L3" s="343"/>
      <c r="M3" s="343"/>
    </row>
    <row r="4" spans="1:25" s="110" customFormat="1" ht="15.75" customHeight="1" x14ac:dyDescent="0.2"/>
    <row r="5" spans="1:25" s="110" customFormat="1" ht="15.75" customHeight="1" x14ac:dyDescent="0.2"/>
    <row r="6" spans="1:25" s="119" customFormat="1" ht="20.25" customHeight="1" x14ac:dyDescent="0.25">
      <c r="A6" s="60" t="s">
        <v>34</v>
      </c>
      <c r="B6" s="61"/>
      <c r="C6" s="134"/>
      <c r="D6" s="134"/>
      <c r="E6" s="134"/>
      <c r="F6" s="134"/>
      <c r="G6" s="60"/>
      <c r="H6" s="134"/>
      <c r="I6" s="134"/>
      <c r="J6" s="134"/>
      <c r="K6" s="134"/>
      <c r="L6" s="134"/>
      <c r="M6" s="134"/>
    </row>
    <row r="7" spans="1:25" s="110" customFormat="1" ht="18.75" customHeight="1" x14ac:dyDescent="0.2">
      <c r="A7" s="63" t="s">
        <v>35</v>
      </c>
      <c r="C7" s="65"/>
      <c r="Y7" s="219"/>
    </row>
    <row r="8" spans="1:25" s="110" customFormat="1" ht="33" customHeight="1" x14ac:dyDescent="0.2">
      <c r="A8" s="63" t="s">
        <v>36</v>
      </c>
      <c r="C8" s="65"/>
    </row>
    <row r="9" spans="1:25" s="110" customFormat="1" ht="18.75" customHeight="1" x14ac:dyDescent="0.2">
      <c r="A9" s="63" t="s">
        <v>37</v>
      </c>
      <c r="C9" s="65"/>
      <c r="G9" s="168"/>
      <c r="H9" s="168"/>
      <c r="I9" s="168"/>
    </row>
    <row r="10" spans="1:25" s="110" customFormat="1" ht="18.75" customHeight="1" x14ac:dyDescent="0.2">
      <c r="A10" s="63" t="s">
        <v>38</v>
      </c>
      <c r="C10" s="290"/>
      <c r="F10" s="63" t="s">
        <v>39</v>
      </c>
      <c r="G10" s="63"/>
      <c r="H10" s="347" t="s">
        <v>40</v>
      </c>
      <c r="I10" s="168"/>
    </row>
    <row r="11" spans="1:25" s="110" customFormat="1" ht="18.75" customHeight="1" x14ac:dyDescent="0.2">
      <c r="A11" s="289" t="s">
        <v>41</v>
      </c>
      <c r="C11" s="290"/>
      <c r="F11" s="63" t="s">
        <v>43</v>
      </c>
      <c r="G11" s="63"/>
      <c r="H11" s="761"/>
      <c r="I11" s="168"/>
    </row>
    <row r="12" spans="1:25" s="110" customFormat="1" ht="18" customHeight="1" x14ac:dyDescent="0.2">
      <c r="A12" s="289" t="s">
        <v>44</v>
      </c>
      <c r="C12" s="131"/>
      <c r="F12" s="219"/>
      <c r="G12" s="168"/>
      <c r="H12" s="168"/>
      <c r="I12" s="168"/>
    </row>
    <row r="13" spans="1:25" s="110" customFormat="1" ht="18.75" customHeight="1" x14ac:dyDescent="0.2">
      <c r="F13" s="219"/>
      <c r="G13" s="219"/>
      <c r="H13" s="219"/>
    </row>
    <row r="14" spans="1:25" s="110" customFormat="1" ht="18.75" customHeight="1" x14ac:dyDescent="0.25">
      <c r="A14" s="63" t="s">
        <v>45</v>
      </c>
      <c r="B14" s="64"/>
      <c r="C14" s="65"/>
      <c r="F14" s="488" t="s">
        <v>46</v>
      </c>
      <c r="G14" s="488"/>
      <c r="H14" s="602"/>
    </row>
    <row r="15" spans="1:25" s="110" customFormat="1" ht="18.75" customHeight="1" x14ac:dyDescent="0.2">
      <c r="A15" s="63" t="s">
        <v>47</v>
      </c>
      <c r="B15" s="64"/>
      <c r="C15" s="65"/>
      <c r="D15" s="135" t="s">
        <v>48</v>
      </c>
      <c r="F15" s="219"/>
      <c r="G15" s="219"/>
      <c r="H15" s="219"/>
      <c r="I15" s="219"/>
    </row>
    <row r="16" spans="1:25" s="110" customFormat="1" ht="18.75" customHeight="1" x14ac:dyDescent="0.2">
      <c r="A16" s="63" t="s">
        <v>49</v>
      </c>
      <c r="B16" s="64"/>
      <c r="C16" s="65"/>
      <c r="D16" s="135" t="s">
        <v>48</v>
      </c>
      <c r="F16" s="219"/>
      <c r="G16" s="219"/>
      <c r="H16" s="219"/>
    </row>
    <row r="17" spans="1:20" s="110" customFormat="1" ht="18.75" customHeight="1" x14ac:dyDescent="0.2">
      <c r="A17" s="63" t="s">
        <v>50</v>
      </c>
      <c r="B17" s="64"/>
      <c r="C17" s="66"/>
      <c r="D17" s="119"/>
      <c r="F17" s="63" t="s">
        <v>51</v>
      </c>
      <c r="G17" s="63"/>
      <c r="H17" s="768"/>
    </row>
    <row r="18" spans="1:20" s="110" customFormat="1" ht="22.5" customHeight="1" x14ac:dyDescent="0.2">
      <c r="A18" s="63" t="s">
        <v>52</v>
      </c>
      <c r="B18" s="64"/>
      <c r="C18" s="67" t="str">
        <f>IFERROR(IF(eff_date="","",DATE(YEAR(eff_date)+1,MONTH(eff_date),DAY(eff_date))-1),"")</f>
        <v/>
      </c>
      <c r="F18" s="219"/>
      <c r="G18" s="219"/>
      <c r="H18" s="219"/>
    </row>
    <row r="19" spans="1:20" s="110" customFormat="1" ht="25.5" customHeight="1" x14ac:dyDescent="0.2">
      <c r="A19" s="63" t="s">
        <v>53</v>
      </c>
      <c r="B19" s="64"/>
      <c r="C19" s="130">
        <f>COUNTA('Census Data'!$C$6:$C$205)</f>
        <v>0</v>
      </c>
      <c r="D19" s="135" t="s">
        <v>48</v>
      </c>
      <c r="F19" s="766" t="str">
        <f>IF(Protection!K26=0,"Please ensure commission does not exceed "&amp;TEXT(Protection!L26,"0.0%"),"Please ensure commission is between "&amp;TEXT(Protection!K26,"0.0%")&amp;" and "&amp;TEXT(Protection!L26,"0.0%"))</f>
        <v>Please ensure commission is between 5.0% and 10.0%</v>
      </c>
      <c r="G19" s="766"/>
      <c r="H19" s="767"/>
    </row>
    <row r="20" spans="1:20" s="110" customFormat="1" ht="18.75" customHeight="1" x14ac:dyDescent="0.25">
      <c r="A20" s="63" t="s">
        <v>54</v>
      </c>
      <c r="B20" s="129"/>
      <c r="C20" s="507">
        <f>COUNTA(C28,E28,G28)</f>
        <v>0</v>
      </c>
      <c r="D20" s="230" t="s">
        <v>48</v>
      </c>
      <c r="E20" s="136"/>
      <c r="F20" s="488" t="s">
        <v>55</v>
      </c>
    </row>
    <row r="21" spans="1:20" s="110" customFormat="1" ht="22.5" customHeight="1" x14ac:dyDescent="0.2">
      <c r="A21" s="69" t="s">
        <v>56</v>
      </c>
      <c r="B21" s="129"/>
      <c r="C21" s="507">
        <f>COUNTA(C46,E46,G46)</f>
        <v>0</v>
      </c>
      <c r="D21" s="230" t="s">
        <v>48</v>
      </c>
      <c r="F21" s="63" t="s">
        <v>57</v>
      </c>
      <c r="G21" s="63"/>
      <c r="H21" s="489">
        <v>0.05</v>
      </c>
    </row>
    <row r="22" spans="1:20" s="119" customFormat="1" ht="20.25" customHeight="1" x14ac:dyDescent="0.25">
      <c r="A22" s="60" t="s">
        <v>58</v>
      </c>
      <c r="B22" s="61"/>
      <c r="C22" s="61"/>
      <c r="D22" s="61"/>
      <c r="E22" s="61"/>
      <c r="F22" s="134"/>
      <c r="G22" s="134"/>
      <c r="H22" s="134"/>
      <c r="I22" s="134"/>
      <c r="J22" s="134"/>
      <c r="K22" s="134"/>
      <c r="L22" s="134"/>
      <c r="M22" s="134"/>
    </row>
    <row r="23" spans="1:20" s="219" customFormat="1" ht="24" customHeight="1" x14ac:dyDescent="0.2">
      <c r="C23" s="327" t="str">
        <f>IF(C28="","","DXB"&amp;"Pharm"&amp;RIGHT(C28,1))</f>
        <v/>
      </c>
      <c r="E23" s="327" t="str">
        <f>IF(E28="","","DXB"&amp;"Pharm"&amp;RIGHT(E28,1))</f>
        <v/>
      </c>
      <c r="G23" s="327" t="str">
        <f>IF(G28="","","DXB"&amp;"Pharm"&amp;RIGHT(G28,1))</f>
        <v/>
      </c>
      <c r="I23" s="327" t="str">
        <f>IF(I28="","","DXB"&amp;"Pharm"&amp;RIGHT(I28,1))</f>
        <v/>
      </c>
      <c r="K23" s="327" t="str">
        <f>IF(K28="","","DXB"&amp;"Pharm"&amp;RIGHT(K28,1))</f>
        <v/>
      </c>
      <c r="M23" s="327" t="str">
        <f>IF(M28="","","DXB"&amp;"Pharm"&amp;RIGHT(M28,1))</f>
        <v/>
      </c>
    </row>
    <row r="24" spans="1:20" s="119" customFormat="1" ht="21" customHeight="1" x14ac:dyDescent="0.25">
      <c r="A24" s="342" t="s">
        <v>59</v>
      </c>
      <c r="B24" s="137"/>
      <c r="C24" s="120" t="str">
        <f>IF(C28="","","Yes")</f>
        <v/>
      </c>
      <c r="D24" s="120"/>
      <c r="E24" s="120" t="str">
        <f>IF(E28="","","Yes")</f>
        <v/>
      </c>
      <c r="F24" s="120"/>
      <c r="G24" s="120" t="str">
        <f>IF(G28="","","Yes")</f>
        <v/>
      </c>
      <c r="H24" s="120"/>
      <c r="I24" s="120" t="str">
        <f>IF(I28="","","Yes")</f>
        <v/>
      </c>
      <c r="J24" s="120"/>
      <c r="K24" s="120" t="str">
        <f>IF(K28="","","Yes")</f>
        <v/>
      </c>
      <c r="L24" s="120"/>
      <c r="M24" s="120" t="str">
        <f>IF(M28="","","Yes")</f>
        <v/>
      </c>
      <c r="S24" s="119" t="s">
        <v>60</v>
      </c>
      <c r="T24" s="119" t="s">
        <v>61</v>
      </c>
    </row>
    <row r="25" spans="1:20" s="110" customFormat="1" ht="6" customHeight="1" x14ac:dyDescent="0.25">
      <c r="A25" s="117"/>
      <c r="B25" s="117"/>
    </row>
    <row r="26" spans="1:20" s="119" customFormat="1" ht="21" customHeight="1" x14ac:dyDescent="0.25">
      <c r="A26" s="63" t="s">
        <v>62</v>
      </c>
      <c r="B26" s="64"/>
      <c r="C26" s="71" t="s">
        <v>63</v>
      </c>
      <c r="D26" s="137"/>
      <c r="E26" s="71" t="s">
        <v>64</v>
      </c>
      <c r="F26" s="137"/>
      <c r="G26" s="71" t="s">
        <v>65</v>
      </c>
      <c r="H26" s="137"/>
      <c r="I26" s="71" t="s">
        <v>66</v>
      </c>
      <c r="K26" s="71" t="s">
        <v>67</v>
      </c>
      <c r="M26" s="71" t="s">
        <v>68</v>
      </c>
      <c r="R26" s="119" t="s">
        <v>63</v>
      </c>
      <c r="S26" s="119">
        <f>1-OR(AND(C28="",OR(C30&lt;&gt;"",C34&lt;&gt;"",C35&lt;&gt;"",C36&lt;&gt;"",C37&lt;&gt;"",C39&lt;&gt;"",C40&lt;&gt;"")),AND(C28&lt;&gt;"",OR(C30="",C34="",C35="",C36="",C37="",C39="",C40="")))</f>
        <v>1</v>
      </c>
      <c r="T26" s="119">
        <f>1-OR(AND(C46="",OR(C49&lt;&gt;"",C53&lt;&gt;"",C54&lt;&gt;"",C55&lt;&gt;"",C56&lt;&gt;"",C58&lt;&gt;"",C59&lt;&gt;"")),AND(C46&lt;&gt;"",OR(C49="",C53="",C54="",C55="",C56="",C58="",C59="")))</f>
        <v>1</v>
      </c>
    </row>
    <row r="27" spans="1:20" s="119" customFormat="1" ht="21" hidden="1" customHeight="1" x14ac:dyDescent="0.25">
      <c r="A27" s="63" t="s">
        <v>69</v>
      </c>
      <c r="B27" s="129"/>
      <c r="C27" s="138" t="str">
        <f>IF(C28="","","DXB"&amp;C28)</f>
        <v/>
      </c>
      <c r="D27" s="137"/>
      <c r="E27" s="138" t="str">
        <f>IF(E28="","","DXB"&amp;E28)</f>
        <v/>
      </c>
      <c r="F27" s="137"/>
      <c r="G27" s="138" t="str">
        <f>IF(G28="","","DXB"&amp;G28)</f>
        <v/>
      </c>
      <c r="H27" s="137"/>
      <c r="I27" s="138" t="str">
        <f>IF(I28="","","DXB"&amp;I28)</f>
        <v/>
      </c>
      <c r="K27" s="138" t="str">
        <f>IF(K28="","","DXB"&amp;K28)</f>
        <v/>
      </c>
      <c r="M27" s="138" t="str">
        <f>IF(M28="","","DXB"&amp;M28)</f>
        <v/>
      </c>
    </row>
    <row r="28" spans="1:20" s="119" customFormat="1" ht="21" customHeight="1" x14ac:dyDescent="0.25">
      <c r="A28" s="63" t="s">
        <v>70</v>
      </c>
      <c r="B28" s="129"/>
      <c r="C28" s="72"/>
      <c r="D28" s="139"/>
      <c r="E28" s="72"/>
      <c r="F28" s="139"/>
      <c r="G28" s="72"/>
      <c r="H28" s="139"/>
      <c r="I28" s="72"/>
      <c r="J28" s="141"/>
      <c r="K28" s="72"/>
      <c r="L28" s="141"/>
      <c r="M28" s="72"/>
      <c r="R28" s="119" t="s">
        <v>64</v>
      </c>
      <c r="S28" s="119">
        <f>1-OR(AND(E28="",OR(E30&lt;&gt;"",E34&lt;&gt;"",E35&lt;&gt;"",E36&lt;&gt;"",E37&lt;&gt;"",E39&lt;&gt;"",E40&lt;&gt;"")),AND(E28&lt;&gt;"",OR(E30="",E34="",E35="",E36="",E37="",E39="",E40="")))</f>
        <v>1</v>
      </c>
      <c r="T28" s="119">
        <f>1-OR(AND(E46="",OR(E49&lt;&gt;"",E53&lt;&gt;"",E54&lt;&gt;"",E55&lt;&gt;"",E56&lt;&gt;"",E58&lt;&gt;"",E59&lt;&gt;"")),AND(E46&lt;&gt;"",OR(E49="",E53="",E54="",E55="",E56="",E58="",E59="")))</f>
        <v>1</v>
      </c>
    </row>
    <row r="29" spans="1:20" s="119" customFormat="1" ht="21" customHeight="1" x14ac:dyDescent="0.25">
      <c r="A29" s="63" t="s">
        <v>74</v>
      </c>
      <c r="B29" s="129"/>
      <c r="C29" s="140"/>
      <c r="D29" s="139"/>
      <c r="E29" s="140"/>
      <c r="F29" s="139"/>
      <c r="G29" s="140"/>
      <c r="H29" s="139"/>
      <c r="I29" s="140"/>
      <c r="J29" s="141"/>
      <c r="K29" s="140"/>
      <c r="L29" s="141"/>
      <c r="M29" s="140"/>
      <c r="R29" s="119" t="s">
        <v>65</v>
      </c>
      <c r="S29" s="119">
        <f>1-OR(AND(G28="",OR(G30&lt;&gt;"",G34&lt;&gt;"",G35&lt;&gt;"",G36&lt;&gt;"",G37&lt;&gt;"",G39&lt;&gt;"",G40&lt;&gt;"")),AND(G28&lt;&gt;"",OR(G30="",G34="",G35="",G36="",G37="",G39="",G40="")))</f>
        <v>1</v>
      </c>
      <c r="T29" s="119">
        <f>1-OR(AND(G46="",OR(G49&lt;&gt;"",G54&lt;&gt;"",G55&lt;&gt;"",G56&lt;&gt;"",G58&lt;&gt;"",G59&lt;&gt;"")),AND(G46&lt;&gt;"",OR(G49="",G54="",G55="",G56="",G58="",G59="")))</f>
        <v>1</v>
      </c>
    </row>
    <row r="30" spans="1:20" s="119" customFormat="1" ht="48" customHeight="1" x14ac:dyDescent="0.25">
      <c r="A30" s="73" t="s">
        <v>75</v>
      </c>
      <c r="B30" s="129"/>
      <c r="C30" s="74"/>
      <c r="D30" s="141"/>
      <c r="E30" s="74"/>
      <c r="F30" s="141"/>
      <c r="G30" s="74"/>
      <c r="H30" s="141"/>
      <c r="I30" s="74"/>
      <c r="J30" s="141"/>
      <c r="K30" s="74"/>
      <c r="L30" s="141"/>
      <c r="M30" s="74"/>
      <c r="S30" s="225"/>
      <c r="T30" s="225"/>
    </row>
    <row r="31" spans="1:20" s="119" customFormat="1" ht="33" customHeight="1" x14ac:dyDescent="0.25">
      <c r="A31" s="73" t="s">
        <v>79</v>
      </c>
      <c r="B31" s="129"/>
      <c r="C31" s="68" t="str">
        <f>IF(C28="","",HLOOKUP(C28,'Inputs Mapping'!$B$18:$G$21,2,0))</f>
        <v/>
      </c>
      <c r="E31" s="68" t="str">
        <f>IF(E28="","",HLOOKUP(E28,'Inputs Mapping'!$B$18:$G$21,2,0))</f>
        <v/>
      </c>
      <c r="G31" s="68" t="str">
        <f>IF(G28="","",HLOOKUP(G28,'Inputs Mapping'!$B$18:$G$21,2,0))</f>
        <v/>
      </c>
      <c r="I31" s="68" t="s">
        <v>80</v>
      </c>
      <c r="K31" s="68" t="s">
        <v>80</v>
      </c>
      <c r="M31" s="68" t="s">
        <v>80</v>
      </c>
      <c r="S31" s="225"/>
      <c r="T31" s="225"/>
    </row>
    <row r="32" spans="1:20" s="119" customFormat="1" ht="25.5" customHeight="1" x14ac:dyDescent="0.25">
      <c r="A32" s="73" t="s">
        <v>81</v>
      </c>
      <c r="B32" s="129"/>
      <c r="C32" s="68" t="str">
        <f>IF(C28="","",HLOOKUP(C28,'Inputs Mapping'!$B$18:$G$21,3,0))</f>
        <v/>
      </c>
      <c r="E32" s="68" t="str">
        <f>IF(E28="","",HLOOKUP(E28,'Inputs Mapping'!$B$18:$G$21,3,0))</f>
        <v/>
      </c>
      <c r="G32" s="68" t="str">
        <f>IF(G28="","",HLOOKUP(G28,'Inputs Mapping'!$B$18:$G$21,3,0))</f>
        <v/>
      </c>
      <c r="I32" s="68" t="s">
        <v>80</v>
      </c>
      <c r="K32" s="68" t="s">
        <v>80</v>
      </c>
      <c r="M32" s="68" t="s">
        <v>80</v>
      </c>
      <c r="S32" s="225"/>
      <c r="T32" s="225"/>
    </row>
    <row r="33" spans="1:23" s="119" customFormat="1" ht="25.5" customHeight="1" x14ac:dyDescent="0.25">
      <c r="A33" s="73" t="s">
        <v>82</v>
      </c>
      <c r="B33" s="129"/>
      <c r="C33" s="75" t="str">
        <f>IF(C28="","","Covered")</f>
        <v/>
      </c>
      <c r="E33" s="75" t="str">
        <f>IF(E28="","","Covered")</f>
        <v/>
      </c>
      <c r="G33" s="75" t="str">
        <f>IF(G28="","","Covered")</f>
        <v/>
      </c>
      <c r="I33" s="75" t="str">
        <f>IF(I28="","","Covered")</f>
        <v/>
      </c>
      <c r="K33" s="75" t="str">
        <f>IF(K28="","","Covered")</f>
        <v/>
      </c>
      <c r="M33" s="75" t="str">
        <f>IF(M28="","","Covered")</f>
        <v/>
      </c>
      <c r="U33" s="119" t="s">
        <v>60</v>
      </c>
      <c r="V33" s="119" t="s">
        <v>61</v>
      </c>
    </row>
    <row r="34" spans="1:23" s="119" customFormat="1" ht="25.5" customHeight="1" x14ac:dyDescent="0.25">
      <c r="A34" s="73" t="s">
        <v>83</v>
      </c>
      <c r="B34" s="129"/>
      <c r="C34" s="76"/>
      <c r="D34" s="141"/>
      <c r="E34" s="76"/>
      <c r="F34" s="141"/>
      <c r="G34" s="76"/>
      <c r="H34" s="141"/>
      <c r="I34" s="76"/>
      <c r="J34" s="141"/>
      <c r="K34" s="76"/>
      <c r="L34" s="141"/>
      <c r="M34" s="76"/>
      <c r="T34" s="504">
        <f>PRODUCT(S26:T32)</f>
        <v>1</v>
      </c>
      <c r="U34" s="504" t="str">
        <f>IF(AND(Number_Of_Schemes_DXB=Number_Of_CAT_DXB),"1","0")</f>
        <v>1</v>
      </c>
      <c r="V34" s="504" t="str">
        <f>IF(AND(Number_Of_Schemes_AUH=Number_Of_CAT_AUH),"1","0")</f>
        <v>1</v>
      </c>
      <c r="W34" s="119" t="s">
        <v>84</v>
      </c>
    </row>
    <row r="35" spans="1:23" s="119" customFormat="1" ht="25.5" customHeight="1" x14ac:dyDescent="0.25">
      <c r="A35" s="73" t="s">
        <v>85</v>
      </c>
      <c r="B35" s="129"/>
      <c r="C35" s="301"/>
      <c r="D35" s="141"/>
      <c r="E35" s="301"/>
      <c r="F35" s="141"/>
      <c r="G35" s="301"/>
      <c r="H35" s="141"/>
      <c r="I35" s="301"/>
      <c r="J35" s="141"/>
      <c r="K35" s="301"/>
      <c r="L35" s="141"/>
      <c r="M35" s="301"/>
    </row>
    <row r="36" spans="1:23" s="119" customFormat="1" ht="25.5" customHeight="1" x14ac:dyDescent="0.25">
      <c r="A36" s="73" t="s">
        <v>86</v>
      </c>
      <c r="B36" s="129"/>
      <c r="C36" s="77"/>
      <c r="D36" s="141"/>
      <c r="E36" s="77"/>
      <c r="F36" s="141"/>
      <c r="G36" s="77"/>
      <c r="H36" s="141"/>
      <c r="I36" s="77"/>
      <c r="J36" s="141"/>
      <c r="K36" s="77"/>
      <c r="L36" s="141"/>
      <c r="M36" s="77"/>
    </row>
    <row r="37" spans="1:23" s="119" customFormat="1" ht="25.5" customHeight="1" x14ac:dyDescent="0.25">
      <c r="A37" s="73" t="s">
        <v>87</v>
      </c>
      <c r="B37" s="129"/>
      <c r="C37" s="76"/>
      <c r="D37" s="141"/>
      <c r="E37" s="76"/>
      <c r="F37" s="141"/>
      <c r="G37" s="76"/>
      <c r="H37" s="141"/>
      <c r="I37" s="76"/>
      <c r="J37" s="141"/>
      <c r="K37" s="76"/>
      <c r="L37" s="141"/>
      <c r="M37" s="76"/>
    </row>
    <row r="38" spans="1:23" s="119" customFormat="1" ht="21" customHeight="1" x14ac:dyDescent="0.25">
      <c r="A38" s="78" t="s">
        <v>88</v>
      </c>
      <c r="B38" s="129"/>
      <c r="C38" s="140"/>
      <c r="D38" s="141"/>
      <c r="E38" s="140"/>
      <c r="F38" s="141"/>
      <c r="G38" s="140"/>
      <c r="H38" s="141"/>
      <c r="I38" s="140"/>
      <c r="J38" s="141"/>
      <c r="K38" s="141"/>
      <c r="L38" s="141"/>
      <c r="M38" s="141"/>
    </row>
    <row r="39" spans="1:23" s="119" customFormat="1" ht="25.5" customHeight="1" x14ac:dyDescent="0.25">
      <c r="A39" s="73" t="s">
        <v>89</v>
      </c>
      <c r="B39" s="129"/>
      <c r="C39" s="79"/>
      <c r="D39" s="141"/>
      <c r="E39" s="79"/>
      <c r="F39" s="141"/>
      <c r="G39" s="79"/>
      <c r="H39" s="141"/>
      <c r="I39" s="79"/>
      <c r="J39" s="141"/>
      <c r="K39" s="79"/>
      <c r="L39" s="141"/>
      <c r="M39" s="79"/>
    </row>
    <row r="40" spans="1:23" s="119" customFormat="1" ht="25.5" customHeight="1" x14ac:dyDescent="0.25">
      <c r="A40" s="73" t="s">
        <v>90</v>
      </c>
      <c r="B40" s="129"/>
      <c r="C40" s="79"/>
      <c r="D40" s="141"/>
      <c r="E40" s="79"/>
      <c r="F40" s="141"/>
      <c r="G40" s="79"/>
      <c r="H40" s="141"/>
      <c r="I40" s="79"/>
      <c r="J40" s="141"/>
      <c r="K40" s="79"/>
      <c r="L40" s="141"/>
      <c r="M40" s="79"/>
    </row>
    <row r="41" spans="1:23" s="119" customFormat="1" ht="33" hidden="1" customHeight="1" x14ac:dyDescent="0.25">
      <c r="A41" s="73" t="s">
        <v>92</v>
      </c>
      <c r="B41" s="129"/>
      <c r="C41" s="79"/>
      <c r="D41" s="141"/>
      <c r="E41" s="79"/>
      <c r="F41" s="141"/>
      <c r="G41" s="79"/>
      <c r="H41" s="141"/>
      <c r="I41" s="79"/>
      <c r="J41" s="141"/>
      <c r="K41" s="79"/>
      <c r="L41" s="141"/>
      <c r="M41" s="79"/>
    </row>
    <row r="42" spans="1:23" s="110" customFormat="1" ht="19.5" hidden="1" customHeight="1" x14ac:dyDescent="0.2">
      <c r="C42" s="428" t="str">
        <f>IF(C46="","","AUH"&amp;"Pharm"&amp;RIGHT(C46,1))</f>
        <v/>
      </c>
      <c r="D42" s="219"/>
      <c r="E42" s="428" t="str">
        <f>IF(E46="","","AUH"&amp;"Pharm"&amp;RIGHT(E46,1))</f>
        <v/>
      </c>
      <c r="F42" s="219"/>
      <c r="G42" s="428" t="str">
        <f>IF(G46="","","AUH"&amp;"Pharm"&amp;RIGHT(G46,1))</f>
        <v/>
      </c>
      <c r="H42" s="219"/>
      <c r="I42" s="327" t="str">
        <f>IF(I46="","","AUH"&amp;"Pharm"&amp;RIGHT(I46,1))</f>
        <v/>
      </c>
      <c r="J42" s="219"/>
      <c r="K42" s="327" t="str">
        <f>IF(K46="","","AUH"&amp;"Pharm"&amp;RIGHT(K46,1))</f>
        <v/>
      </c>
      <c r="L42" s="219"/>
      <c r="M42" s="327" t="str">
        <f>IF(M46="","","AUH"&amp;"Pharm"&amp;RIGHT(M46,1))</f>
        <v/>
      </c>
    </row>
    <row r="43" spans="1:23" s="110" customFormat="1" ht="15.75" customHeight="1" x14ac:dyDescent="0.25">
      <c r="A43" s="70" t="s">
        <v>93</v>
      </c>
      <c r="B43" s="117"/>
      <c r="C43" s="219" t="str">
        <f>IF(C46="","","Yes")</f>
        <v/>
      </c>
      <c r="D43" s="219" t="str">
        <f t="shared" ref="D43:M43" si="0">IF(D46="","","Yes")</f>
        <v/>
      </c>
      <c r="E43" s="219" t="str">
        <f t="shared" si="0"/>
        <v/>
      </c>
      <c r="F43" s="219" t="str">
        <f t="shared" si="0"/>
        <v/>
      </c>
      <c r="G43" s="219" t="str">
        <f t="shared" si="0"/>
        <v/>
      </c>
      <c r="H43" s="219" t="str">
        <f t="shared" si="0"/>
        <v/>
      </c>
      <c r="I43" s="219" t="str">
        <f t="shared" si="0"/>
        <v/>
      </c>
      <c r="J43" s="219" t="str">
        <f t="shared" si="0"/>
        <v/>
      </c>
      <c r="K43" s="219" t="str">
        <f t="shared" si="0"/>
        <v/>
      </c>
      <c r="L43" s="219" t="str">
        <f t="shared" si="0"/>
        <v/>
      </c>
      <c r="M43" s="219" t="str">
        <f t="shared" si="0"/>
        <v/>
      </c>
    </row>
    <row r="44" spans="1:23" s="110" customFormat="1" ht="6" customHeight="1" x14ac:dyDescent="0.25">
      <c r="A44" s="117"/>
      <c r="B44" s="117"/>
    </row>
    <row r="45" spans="1:23" s="119" customFormat="1" ht="21" customHeight="1" x14ac:dyDescent="0.25">
      <c r="A45" s="63" t="s">
        <v>62</v>
      </c>
      <c r="B45" s="64"/>
      <c r="C45" s="71" t="s">
        <v>63</v>
      </c>
      <c r="D45" s="137"/>
      <c r="E45" s="71" t="s">
        <v>64</v>
      </c>
      <c r="F45" s="137"/>
      <c r="G45" s="71" t="s">
        <v>65</v>
      </c>
      <c r="H45" s="137"/>
      <c r="I45" s="71" t="s">
        <v>66</v>
      </c>
      <c r="K45" s="71" t="s">
        <v>67</v>
      </c>
      <c r="M45" s="71" t="s">
        <v>68</v>
      </c>
    </row>
    <row r="46" spans="1:23" s="119" customFormat="1" ht="21" customHeight="1" x14ac:dyDescent="0.25">
      <c r="A46" s="63" t="s">
        <v>70</v>
      </c>
      <c r="B46" s="129"/>
      <c r="C46" s="72"/>
      <c r="D46" s="139"/>
      <c r="E46" s="72"/>
      <c r="F46" s="139"/>
      <c r="G46" s="72"/>
      <c r="H46" s="139"/>
      <c r="I46" s="72"/>
      <c r="J46" s="141"/>
      <c r="K46" s="72"/>
      <c r="L46" s="141"/>
      <c r="M46" s="72"/>
    </row>
    <row r="47" spans="1:23" s="119" customFormat="1" ht="21" hidden="1" customHeight="1" x14ac:dyDescent="0.25">
      <c r="A47" s="63" t="s">
        <v>69</v>
      </c>
      <c r="B47" s="129"/>
      <c r="C47" s="138" t="str">
        <f>IF(C46="","","AUH"&amp;C46)</f>
        <v/>
      </c>
      <c r="D47" s="139"/>
      <c r="E47" s="138" t="str">
        <f>IF(E46="","","AUH"&amp;E46)</f>
        <v/>
      </c>
      <c r="F47" s="139"/>
      <c r="G47" s="138" t="str">
        <f>IF(G46="","","AUH"&amp;G46)</f>
        <v/>
      </c>
      <c r="H47" s="139"/>
      <c r="I47" s="138" t="str">
        <f>IF(I46="","","AUH"&amp;I46)</f>
        <v/>
      </c>
      <c r="J47" s="141"/>
      <c r="K47" s="138" t="str">
        <f>IF(K46="","","AUH"&amp;K46)</f>
        <v/>
      </c>
      <c r="L47" s="141"/>
      <c r="M47" s="138" t="str">
        <f>IF(M46="","","AUH"&amp;M46)</f>
        <v/>
      </c>
    </row>
    <row r="48" spans="1:23" s="119" customFormat="1" ht="21" customHeight="1" x14ac:dyDescent="0.25">
      <c r="A48" s="63" t="s">
        <v>74</v>
      </c>
      <c r="B48" s="129"/>
      <c r="C48" s="140"/>
      <c r="D48" s="139"/>
      <c r="E48" s="140"/>
      <c r="F48" s="139"/>
      <c r="G48" s="140"/>
      <c r="H48" s="139"/>
      <c r="I48" s="140"/>
      <c r="J48" s="141"/>
      <c r="K48" s="140"/>
      <c r="L48" s="141"/>
      <c r="M48" s="140"/>
    </row>
    <row r="49" spans="1:13" s="119" customFormat="1" ht="29.25" customHeight="1" x14ac:dyDescent="0.25">
      <c r="A49" s="73" t="s">
        <v>75</v>
      </c>
      <c r="B49" s="129"/>
      <c r="C49" s="74"/>
      <c r="D49" s="141"/>
      <c r="E49" s="74"/>
      <c r="F49" s="141"/>
      <c r="G49" s="74"/>
      <c r="H49" s="141"/>
      <c r="I49" s="74"/>
      <c r="J49" s="141"/>
      <c r="K49" s="74"/>
      <c r="L49" s="141"/>
      <c r="M49" s="74"/>
    </row>
    <row r="50" spans="1:13" s="119" customFormat="1" ht="46.5" customHeight="1" x14ac:dyDescent="0.25">
      <c r="A50" s="73" t="s">
        <v>79</v>
      </c>
      <c r="B50" s="129"/>
      <c r="C50" s="68" t="str">
        <f>IF(C46="","",HLOOKUP(C46,'Inputs Mapping'!$B$23:$E$26,2,0))</f>
        <v/>
      </c>
      <c r="E50" s="68" t="str">
        <f>IF(E46="","",HLOOKUP(E46,'Inputs Mapping'!$B$23:$E$26,2,0))</f>
        <v/>
      </c>
      <c r="G50" s="68" t="str">
        <f>IF(G46="","",HLOOKUP(G46,'Inputs Mapping'!$B$23:$E$26,2,0))</f>
        <v/>
      </c>
      <c r="I50" s="68" t="s">
        <v>80</v>
      </c>
      <c r="K50" s="68" t="s">
        <v>80</v>
      </c>
      <c r="M50" s="68" t="s">
        <v>80</v>
      </c>
    </row>
    <row r="51" spans="1:13" s="119" customFormat="1" ht="25.5" customHeight="1" x14ac:dyDescent="0.25">
      <c r="A51" s="73" t="s">
        <v>81</v>
      </c>
      <c r="B51" s="129"/>
      <c r="C51" s="68" t="str">
        <f>IF(C46="","",HLOOKUP(C46,'Inputs Mapping'!$B$23:$D$26,3,0))</f>
        <v/>
      </c>
      <c r="E51" s="68" t="str">
        <f>IF(E46="","",HLOOKUP(E46,'Inputs Mapping'!$B$23:$D$26,3,0))</f>
        <v/>
      </c>
      <c r="G51" s="68" t="str">
        <f>IF(G46="","",HLOOKUP(G46,'Inputs Mapping'!$B$23:$D$26,3,0))</f>
        <v/>
      </c>
      <c r="I51" s="68" t="s">
        <v>80</v>
      </c>
      <c r="K51" s="68" t="s">
        <v>80</v>
      </c>
      <c r="M51" s="68" t="s">
        <v>80</v>
      </c>
    </row>
    <row r="52" spans="1:13" s="119" customFormat="1" ht="25.5" customHeight="1" x14ac:dyDescent="0.25">
      <c r="A52" s="73" t="s">
        <v>82</v>
      </c>
      <c r="B52" s="129"/>
      <c r="C52" s="75" t="str">
        <f>IF(C46="","","Covered")</f>
        <v/>
      </c>
      <c r="E52" s="75" t="str">
        <f>IF(E46="","","Covered")</f>
        <v/>
      </c>
      <c r="G52" s="75" t="str">
        <f>IF(G46="","","Covered")</f>
        <v/>
      </c>
      <c r="I52" s="75" t="str">
        <f>IF(I46="","","Covered")</f>
        <v/>
      </c>
      <c r="K52" s="75" t="str">
        <f>IF(K46="","","Covered")</f>
        <v/>
      </c>
      <c r="M52" s="75" t="str">
        <f>IF(M46="","","Covered")</f>
        <v/>
      </c>
    </row>
    <row r="53" spans="1:13" s="119" customFormat="1" ht="25.5" customHeight="1" x14ac:dyDescent="0.25">
      <c r="A53" s="73" t="s">
        <v>83</v>
      </c>
      <c r="B53" s="129"/>
      <c r="C53" s="76"/>
      <c r="D53" s="141"/>
      <c r="E53" s="76"/>
      <c r="F53" s="141"/>
      <c r="G53" s="76"/>
      <c r="H53" s="141"/>
      <c r="I53" s="76"/>
      <c r="J53" s="141"/>
      <c r="K53" s="76"/>
      <c r="L53" s="141"/>
      <c r="M53" s="76"/>
    </row>
    <row r="54" spans="1:13" s="119" customFormat="1" ht="25.5" customHeight="1" x14ac:dyDescent="0.25">
      <c r="A54" s="73" t="s">
        <v>85</v>
      </c>
      <c r="B54" s="129"/>
      <c r="C54" s="301"/>
      <c r="D54" s="141"/>
      <c r="E54" s="301"/>
      <c r="F54" s="141"/>
      <c r="G54" s="301"/>
      <c r="H54" s="141"/>
      <c r="I54" s="301"/>
      <c r="J54" s="141"/>
      <c r="K54" s="301"/>
      <c r="L54" s="141"/>
      <c r="M54" s="301"/>
    </row>
    <row r="55" spans="1:13" s="119" customFormat="1" ht="25.5" customHeight="1" x14ac:dyDescent="0.25">
      <c r="A55" s="73" t="s">
        <v>94</v>
      </c>
      <c r="B55" s="129"/>
      <c r="C55" s="77"/>
      <c r="D55" s="141"/>
      <c r="E55" s="77"/>
      <c r="F55" s="141"/>
      <c r="G55" s="77"/>
      <c r="H55" s="141"/>
      <c r="I55" s="77"/>
      <c r="J55" s="141"/>
      <c r="K55" s="77"/>
      <c r="L55" s="141"/>
      <c r="M55" s="77"/>
    </row>
    <row r="56" spans="1:13" s="119" customFormat="1" ht="25.5" customHeight="1" x14ac:dyDescent="0.25">
      <c r="A56" s="73" t="s">
        <v>87</v>
      </c>
      <c r="B56" s="129"/>
      <c r="C56" s="75" t="str">
        <f>IF(C46="","","0%")</f>
        <v/>
      </c>
      <c r="D56" s="141"/>
      <c r="E56" s="75" t="str">
        <f>IF(E46="","","0%")</f>
        <v/>
      </c>
      <c r="F56" s="141"/>
      <c r="G56" s="75" t="str">
        <f>IF(G46="","","0%")</f>
        <v/>
      </c>
      <c r="H56" s="141"/>
      <c r="I56" s="75" t="str">
        <f>IF(I46="","","0%")</f>
        <v/>
      </c>
      <c r="J56" s="141"/>
      <c r="K56" s="75" t="str">
        <f>IF(K46="","","0%")</f>
        <v/>
      </c>
      <c r="L56" s="141"/>
      <c r="M56" s="75" t="str">
        <f>IF(M46="","","0%")</f>
        <v/>
      </c>
    </row>
    <row r="57" spans="1:13" s="119" customFormat="1" ht="21" customHeight="1" x14ac:dyDescent="0.25">
      <c r="A57" s="78" t="s">
        <v>88</v>
      </c>
      <c r="B57" s="129"/>
      <c r="C57" s="140"/>
      <c r="D57" s="141"/>
      <c r="E57" s="140"/>
      <c r="F57" s="141"/>
      <c r="G57" s="140"/>
      <c r="H57" s="141"/>
      <c r="I57" s="140"/>
      <c r="J57" s="141"/>
      <c r="K57" s="141"/>
      <c r="L57" s="141"/>
      <c r="M57" s="141"/>
    </row>
    <row r="58" spans="1:13" s="119" customFormat="1" ht="25.5" customHeight="1" x14ac:dyDescent="0.25">
      <c r="A58" s="73" t="s">
        <v>95</v>
      </c>
      <c r="B58" s="129"/>
      <c r="C58" s="79"/>
      <c r="D58" s="141"/>
      <c r="E58" s="79"/>
      <c r="F58" s="141"/>
      <c r="G58" s="79"/>
      <c r="H58" s="141"/>
      <c r="I58" s="79"/>
      <c r="J58" s="141"/>
      <c r="K58" s="79"/>
      <c r="L58" s="141"/>
      <c r="M58" s="79"/>
    </row>
    <row r="59" spans="1:13" s="119" customFormat="1" ht="25.5" customHeight="1" x14ac:dyDescent="0.25">
      <c r="A59" s="73" t="s">
        <v>90</v>
      </c>
      <c r="B59" s="129"/>
      <c r="C59" s="79"/>
      <c r="D59" s="141"/>
      <c r="E59" s="79"/>
      <c r="F59" s="141"/>
      <c r="G59" s="79"/>
      <c r="H59" s="141"/>
      <c r="I59" s="79"/>
      <c r="J59" s="141"/>
      <c r="K59" s="79"/>
      <c r="L59" s="141"/>
      <c r="M59" s="79"/>
    </row>
    <row r="60" spans="1:13" s="119" customFormat="1" ht="25.5" hidden="1" customHeight="1" x14ac:dyDescent="0.25">
      <c r="A60" s="73" t="s">
        <v>92</v>
      </c>
      <c r="B60" s="129"/>
      <c r="C60" s="79"/>
      <c r="D60" s="141"/>
      <c r="E60" s="79"/>
      <c r="F60" s="141"/>
      <c r="G60" s="79"/>
      <c r="H60" s="141"/>
      <c r="I60" s="79"/>
      <c r="J60" s="141"/>
      <c r="K60" s="79"/>
      <c r="L60" s="141"/>
      <c r="M60" s="79"/>
    </row>
    <row r="61" spans="1:13" s="110" customFormat="1" ht="14.25" x14ac:dyDescent="0.2">
      <c r="C61" s="427"/>
      <c r="D61" s="427"/>
      <c r="E61" s="427"/>
      <c r="F61" s="427"/>
      <c r="G61" s="427"/>
    </row>
    <row r="62" spans="1:13" s="110" customFormat="1" ht="14.25" hidden="1" x14ac:dyDescent="0.2">
      <c r="C62" s="427"/>
      <c r="D62" s="427"/>
      <c r="E62" s="427"/>
      <c r="F62" s="427"/>
      <c r="G62" s="427"/>
    </row>
    <row r="63" spans="1:13" s="110" customFormat="1" ht="14.25" hidden="1" x14ac:dyDescent="0.2">
      <c r="C63" s="427"/>
      <c r="D63" s="427"/>
      <c r="E63" s="427"/>
      <c r="F63" s="427"/>
      <c r="G63" s="427"/>
    </row>
    <row r="64" spans="1:13" s="110" customFormat="1" ht="14.25" hidden="1" x14ac:dyDescent="0.2">
      <c r="C64" s="427"/>
      <c r="D64" s="427"/>
      <c r="E64" s="427"/>
      <c r="F64" s="427"/>
      <c r="G64" s="427"/>
    </row>
    <row r="65" spans="1:7" s="110" customFormat="1" ht="14.25" hidden="1" x14ac:dyDescent="0.2">
      <c r="C65" s="427"/>
      <c r="D65" s="427"/>
      <c r="E65" s="427"/>
      <c r="F65" s="427"/>
      <c r="G65" s="427"/>
    </row>
    <row r="66" spans="1:7" s="110" customFormat="1" ht="14.25" hidden="1" x14ac:dyDescent="0.2">
      <c r="C66" s="427"/>
      <c r="D66" s="427"/>
      <c r="E66" s="427"/>
      <c r="F66" s="427"/>
      <c r="G66" s="427"/>
    </row>
    <row r="67" spans="1:7" s="110" customFormat="1" ht="14.25" hidden="1" x14ac:dyDescent="0.2">
      <c r="C67" s="427"/>
      <c r="D67" s="427"/>
      <c r="E67" s="427"/>
      <c r="F67" s="427"/>
      <c r="G67" s="427"/>
    </row>
    <row r="68" spans="1:7" s="110" customFormat="1" ht="14.25" hidden="1" x14ac:dyDescent="0.2">
      <c r="C68" s="427"/>
      <c r="D68" s="427"/>
      <c r="E68" s="427"/>
      <c r="F68" s="427"/>
      <c r="G68" s="427"/>
    </row>
    <row r="69" spans="1:7" s="110" customFormat="1" ht="14.25" x14ac:dyDescent="0.2">
      <c r="C69" s="427"/>
      <c r="D69" s="427"/>
      <c r="E69" s="427"/>
      <c r="F69" s="427"/>
      <c r="G69" s="427"/>
    </row>
    <row r="70" spans="1:7" s="110" customFormat="1" ht="22.5" customHeight="1" x14ac:dyDescent="0.2">
      <c r="A70" s="63" t="s">
        <v>96</v>
      </c>
      <c r="B70" s="64"/>
      <c r="C70" s="66"/>
    </row>
    <row r="71" spans="1:7" s="110" customFormat="1" ht="14.25" x14ac:dyDescent="0.2">
      <c r="C71" s="427"/>
      <c r="D71" s="427"/>
      <c r="E71" s="427"/>
      <c r="F71" s="427"/>
      <c r="G71" s="427"/>
    </row>
    <row r="72" spans="1:7" s="110" customFormat="1" ht="14.25" x14ac:dyDescent="0.2">
      <c r="C72" s="427"/>
      <c r="D72" s="427"/>
      <c r="E72" s="427"/>
      <c r="F72" s="427"/>
      <c r="G72" s="427"/>
    </row>
    <row r="73" spans="1:7" s="110" customFormat="1" ht="14.25" x14ac:dyDescent="0.2">
      <c r="C73" s="427"/>
      <c r="D73" s="427"/>
      <c r="E73" s="427"/>
      <c r="F73" s="427"/>
      <c r="G73" s="427"/>
    </row>
    <row r="74" spans="1:7" s="110" customFormat="1" ht="14.25" x14ac:dyDescent="0.2">
      <c r="C74" s="427"/>
      <c r="D74" s="427"/>
      <c r="E74" s="427"/>
      <c r="F74" s="427"/>
      <c r="G74" s="427"/>
    </row>
    <row r="75" spans="1:7" s="110" customFormat="1" ht="14.25" x14ac:dyDescent="0.2">
      <c r="C75" s="427"/>
      <c r="D75" s="427"/>
      <c r="E75" s="427"/>
      <c r="F75" s="427"/>
      <c r="G75" s="427"/>
    </row>
    <row r="76" spans="1:7" s="110" customFormat="1" ht="14.25" x14ac:dyDescent="0.2">
      <c r="C76" s="427"/>
      <c r="D76" s="427"/>
      <c r="E76" s="427"/>
      <c r="F76" s="427"/>
      <c r="G76" s="427"/>
    </row>
    <row r="77" spans="1:7" s="110" customFormat="1" ht="14.25" x14ac:dyDescent="0.2">
      <c r="C77" s="427"/>
      <c r="D77" s="427"/>
      <c r="E77" s="427"/>
      <c r="F77" s="427"/>
      <c r="G77" s="427"/>
    </row>
    <row r="78" spans="1:7" s="110" customFormat="1" ht="14.25" x14ac:dyDescent="0.2">
      <c r="C78" s="427"/>
      <c r="D78" s="427"/>
      <c r="E78" s="427"/>
      <c r="F78" s="427"/>
      <c r="G78" s="427"/>
    </row>
    <row r="79" spans="1:7" s="110" customFormat="1" ht="14.25" x14ac:dyDescent="0.2">
      <c r="C79" s="427"/>
      <c r="D79" s="427"/>
      <c r="E79" s="427"/>
      <c r="F79" s="427"/>
      <c r="G79" s="427"/>
    </row>
    <row r="80" spans="1:7" s="110" customFormat="1" ht="14.25" hidden="1" x14ac:dyDescent="0.2">
      <c r="C80" s="427"/>
      <c r="D80" s="427"/>
      <c r="E80" s="427"/>
      <c r="F80" s="427"/>
      <c r="G80" s="427"/>
    </row>
    <row r="81" spans="3:7" s="110" customFormat="1" ht="14.25" hidden="1" x14ac:dyDescent="0.2">
      <c r="C81" s="427"/>
      <c r="D81" s="427"/>
      <c r="E81" s="427"/>
      <c r="F81" s="427"/>
      <c r="G81" s="427"/>
    </row>
    <row r="82" spans="3:7" s="110" customFormat="1" ht="14.25" hidden="1" x14ac:dyDescent="0.2">
      <c r="C82" s="427"/>
      <c r="D82" s="427"/>
      <c r="E82" s="427"/>
      <c r="F82" s="427"/>
      <c r="G82" s="427"/>
    </row>
    <row r="83" spans="3:7" s="110" customFormat="1" ht="14.25" hidden="1" x14ac:dyDescent="0.2">
      <c r="C83" s="427"/>
      <c r="D83" s="427"/>
      <c r="E83" s="427"/>
      <c r="F83" s="427"/>
      <c r="G83" s="427"/>
    </row>
    <row r="84" spans="3:7" s="110" customFormat="1" ht="14.25" hidden="1" x14ac:dyDescent="0.2">
      <c r="C84" s="110" t="str">
        <f>IF(C46="","","AUH_"&amp;C46)</f>
        <v/>
      </c>
      <c r="E84" s="110" t="str">
        <f>IF(E46="","","AUH_"&amp;E46)</f>
        <v/>
      </c>
      <c r="F84" s="110" t="str">
        <f>IF(F46="","","AUH_"&amp;F46)</f>
        <v/>
      </c>
      <c r="G84" s="110" t="str">
        <f>IF(G46="","","AUH_"&amp;G46)</f>
        <v/>
      </c>
    </row>
    <row r="85" spans="3:7" s="110" customFormat="1" ht="14.25" hidden="1" x14ac:dyDescent="0.2">
      <c r="C85" s="427"/>
      <c r="D85" s="427"/>
      <c r="E85" s="427"/>
      <c r="F85" s="427"/>
      <c r="G85" s="427"/>
    </row>
    <row r="86" spans="3:7" s="110" customFormat="1" ht="14.25" hidden="1" x14ac:dyDescent="0.2">
      <c r="C86" s="427"/>
      <c r="D86" s="427"/>
      <c r="E86" s="427"/>
      <c r="F86" s="427"/>
      <c r="G86" s="427"/>
    </row>
    <row r="87" spans="3:7" s="110" customFormat="1" ht="14.25" hidden="1" x14ac:dyDescent="0.2">
      <c r="C87" s="427"/>
      <c r="D87" s="427"/>
      <c r="E87" s="427"/>
      <c r="F87" s="427"/>
      <c r="G87" s="427"/>
    </row>
    <row r="88" spans="3:7" s="110" customFormat="1" ht="14.25" hidden="1" x14ac:dyDescent="0.2">
      <c r="C88" s="427"/>
      <c r="D88" s="427"/>
      <c r="E88" s="427"/>
      <c r="F88" s="427"/>
      <c r="G88" s="427"/>
    </row>
    <row r="89" spans="3:7" s="110" customFormat="1" ht="14.25" hidden="1" x14ac:dyDescent="0.2">
      <c r="C89" s="427"/>
      <c r="D89" s="427"/>
      <c r="E89" s="427"/>
      <c r="F89" s="427"/>
      <c r="G89" s="427"/>
    </row>
    <row r="90" spans="3:7" s="110" customFormat="1" ht="14.25" hidden="1" x14ac:dyDescent="0.2">
      <c r="C90" s="427"/>
      <c r="D90" s="427"/>
      <c r="E90" s="427"/>
      <c r="F90" s="427"/>
      <c r="G90" s="427"/>
    </row>
    <row r="91" spans="3:7" s="110" customFormat="1" ht="14.25" x14ac:dyDescent="0.2">
      <c r="C91" s="427"/>
      <c r="D91" s="427"/>
      <c r="E91" s="427"/>
      <c r="F91" s="427"/>
      <c r="G91" s="427"/>
    </row>
    <row r="92" spans="3:7" s="110" customFormat="1" ht="14.25" x14ac:dyDescent="0.2">
      <c r="C92" s="427"/>
      <c r="D92" s="427"/>
      <c r="E92" s="427"/>
      <c r="F92" s="427"/>
      <c r="G92" s="427"/>
    </row>
    <row r="93" spans="3:7" s="110" customFormat="1" ht="14.25" x14ac:dyDescent="0.2">
      <c r="C93" s="427"/>
      <c r="D93" s="427"/>
      <c r="E93" s="427"/>
      <c r="F93" s="427"/>
      <c r="G93" s="427"/>
    </row>
    <row r="94" spans="3:7" s="110" customFormat="1" ht="14.25" x14ac:dyDescent="0.2">
      <c r="C94" s="427"/>
      <c r="D94" s="427"/>
      <c r="E94" s="427"/>
      <c r="F94" s="427"/>
      <c r="G94" s="427"/>
    </row>
    <row r="95" spans="3:7" s="110" customFormat="1" ht="14.25" x14ac:dyDescent="0.2">
      <c r="C95" s="427"/>
      <c r="D95" s="427"/>
      <c r="E95" s="427"/>
      <c r="F95" s="427"/>
      <c r="G95" s="427"/>
    </row>
    <row r="96" spans="3:7" s="110" customFormat="1" ht="14.25" x14ac:dyDescent="0.2">
      <c r="C96" s="427"/>
      <c r="D96" s="427"/>
      <c r="E96" s="427"/>
      <c r="F96" s="427"/>
      <c r="G96" s="427"/>
    </row>
    <row r="97" spans="3:7" s="110" customFormat="1" ht="14.25" x14ac:dyDescent="0.2">
      <c r="C97" s="427"/>
      <c r="D97" s="427"/>
      <c r="E97" s="427"/>
      <c r="F97" s="427"/>
      <c r="G97" s="427"/>
    </row>
    <row r="98" spans="3:7" s="110" customFormat="1" ht="14.25" x14ac:dyDescent="0.2">
      <c r="C98" s="427"/>
      <c r="D98" s="427"/>
      <c r="E98" s="427"/>
      <c r="F98" s="427"/>
      <c r="G98" s="427"/>
    </row>
    <row r="99" spans="3:7" s="110" customFormat="1" ht="14.25" x14ac:dyDescent="0.2">
      <c r="C99" s="427"/>
      <c r="D99" s="427"/>
      <c r="E99" s="427"/>
      <c r="F99" s="427"/>
      <c r="G99" s="427"/>
    </row>
    <row r="100" spans="3:7" s="110" customFormat="1" ht="14.25" x14ac:dyDescent="0.2">
      <c r="C100" s="427"/>
      <c r="D100" s="427"/>
      <c r="E100" s="427"/>
      <c r="F100" s="427"/>
      <c r="G100" s="427"/>
    </row>
  </sheetData>
  <sheetProtection algorithmName="SHA-512" hashValue="mgaeywV7kfAyoU009YYh2FsvesoofoI3CoczS/3AoQqnR8KQs/bWKxzbvD8/Zvw8vZjOFfVUQjF4m3tULey3EA==" saltValue="LKOFxPhfMUNMcfsD+z41+Q==" spinCount="100000" sheet="1" objects="1" scenarios="1"/>
  <dataConsolidate/>
  <mergeCells count="1">
    <mergeCell ref="A3:H3"/>
  </mergeCells>
  <conditionalFormatting sqref="D19">
    <cfRule type="cellIs" dxfId="21" priority="16" operator="lessThan">
      <formula>10</formula>
    </cfRule>
  </conditionalFormatting>
  <conditionalFormatting sqref="C19">
    <cfRule type="cellIs" dxfId="20" priority="15" operator="lessThan">
      <formula>10</formula>
    </cfRule>
  </conditionalFormatting>
  <conditionalFormatting sqref="D20">
    <cfRule type="cellIs" dxfId="19" priority="14" operator="lessThan">
      <formula>10</formula>
    </cfRule>
  </conditionalFormatting>
  <conditionalFormatting sqref="D16">
    <cfRule type="cellIs" dxfId="18" priority="13" operator="lessThan">
      <formula>10</formula>
    </cfRule>
  </conditionalFormatting>
  <conditionalFormatting sqref="D21">
    <cfRule type="cellIs" dxfId="17" priority="12" operator="lessThan">
      <formula>10</formula>
    </cfRule>
  </conditionalFormatting>
  <conditionalFormatting sqref="D15">
    <cfRule type="cellIs" dxfId="16" priority="11" operator="lessThan">
      <formula>10</formula>
    </cfRule>
  </conditionalFormatting>
  <conditionalFormatting sqref="F11:H11">
    <cfRule type="expression" dxfId="15" priority="4">
      <formula>$C$11&lt;&gt;"Yes"</formula>
    </cfRule>
  </conditionalFormatting>
  <dataValidations count="23">
    <dataValidation type="list" allowBlank="1" showInputMessage="1" showErrorMessage="1" sqref="C35 M54 G35 I35 K35 M35 C54 E54 G54 I54 K54 E35" xr:uid="{00000000-0002-0000-0100-000000000000}">
      <formula1>INDIRECT(C23)</formula1>
    </dataValidation>
    <dataValidation type="list" allowBlank="1" showInputMessage="1" showErrorMessage="1" sqref="C36 M36 K36 I36 G36 E36" xr:uid="{00000000-0002-0000-0100-000001000000}">
      <formula1>INDIRECT(C27)</formula1>
    </dataValidation>
    <dataValidation type="list" allowBlank="1" showInputMessage="1" showErrorMessage="1" sqref="C55 M55 K55 I55 G55 E55" xr:uid="{00000000-0002-0000-0100-000002000000}">
      <formula1>INDIRECT(C47)</formula1>
    </dataValidation>
    <dataValidation allowBlank="1" showInputMessage="1" showErrorMessage="1" errorTitle="Invalid number of members" error="The numbers of members must be at least 10 members and at most 120. Please refer to the reinsurer." sqref="M27 E27 G27 I27 K27 C27 C23 E23 G23 I23 K23 M23 C42 E42 G42 I42 K42 M42 C47 E47 G47 I47 K47 M47" xr:uid="{00000000-0002-0000-0100-000003000000}"/>
    <dataValidation allowBlank="1" showInputMessage="1" showErrorMessage="1" promptTitle="IMPORTANT" prompt="Please ensure to enter &quot;Yes&quot; if the group are employees an educational institution (ex: University, Schools, Training Centres etc.)_x000a_In case of doubt, please refer to Allianz Partners. _x000a_" sqref="D15" xr:uid="{00000000-0002-0000-0100-000004000000}"/>
    <dataValidation allowBlank="1" showInputMessage="1" showErrorMessage="1" promptTitle="Important " prompt="Please ensure to enter the number of Categories. This is a mandatory field to show the exact columns in the selected TOB_x000a_" sqref="D20:D21" xr:uid="{00000000-0002-0000-0100-000005000000}"/>
    <dataValidation allowBlank="1" showInputMessage="1" showErrorMessage="1" promptTitle="IMPORTANT" prompt="Please ensure to enter &quot;Yes&quot; if the group is a medical provider (ex: Clinics, Hospitals, Pharmaceutical Company’s etc.)_x000a_In case of doubt, please refer to Allianz Partners. _x000a_" sqref="D16" xr:uid="{00000000-0002-0000-0100-000006000000}"/>
    <dataValidation type="list" allowBlank="1" showInputMessage="1" showErrorMessage="1" sqref="C15:C16" xr:uid="{00000000-0002-0000-0100-000007000000}">
      <formula1>"Yes, No"</formula1>
    </dataValidation>
    <dataValidation type="list" allowBlank="1" showInputMessage="1" showErrorMessage="1" sqref="C7 C11" xr:uid="{00000000-0002-0000-0100-000008000000}">
      <formula1>"Yes,No"</formula1>
    </dataValidation>
    <dataValidation type="list" allowBlank="1" showInputMessage="1" showErrorMessage="1" sqref="I49 M49 K49" xr:uid="{00000000-0002-0000-0100-000009000000}">
      <formula1>INDIRECT(I46)</formula1>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0" xr:uid="{00000000-0002-0000-0100-00000A000000}">
      <formula1>0</formula1>
      <formula2>3</formula2>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1" xr:uid="{00000000-0002-0000-0100-00000B000000}">
      <formula1>0</formula1>
      <formula2>3</formula2>
    </dataValidation>
    <dataValidation allowBlank="1" showInputMessage="1" showErrorMessage="1" prompt="Please ensure that the group size entered in the &quot;Census Data&quot; tab is between 5 and 150 members._x000a_" sqref="D19" xr:uid="{00000000-0002-0000-0100-00000C000000}"/>
    <dataValidation type="list" allowBlank="1" showInputMessage="1" showErrorMessage="1" sqref="G46 E46 I46 K46 M46 C46" xr:uid="{00000000-0002-0000-0100-00000D000000}">
      <formula1>Plans_AUH</formula1>
    </dataValidation>
    <dataValidation type="list" allowBlank="1" showInputMessage="1" showErrorMessage="1" sqref="M28 K28 I28" xr:uid="{00000000-0002-0000-0100-00000E000000}">
      <formula1>plans_dxb_new</formula1>
    </dataValidation>
    <dataValidation type="list" allowBlank="1" showInputMessage="1" showErrorMessage="1" sqref="C30 G30 I30 K30 M30 E30" xr:uid="{00000000-0002-0000-0100-00000F000000}">
      <formula1>INDIRECT(C28)</formula1>
    </dataValidation>
    <dataValidation type="list" allowBlank="1" showInputMessage="1" showErrorMessage="1" sqref="E58:E60 M58:M60 C40:C41 M39:M41 G58:G60 E40:E41 C58:C60 I58:I60 I39:I41 K39:K41 K58:K60 G40:G41" xr:uid="{00000000-0002-0000-0100-000010000000}">
      <formula1>"Covered, Not Covered "</formula1>
    </dataValidation>
    <dataValidation type="list" allowBlank="1" showInputMessage="1" showErrorMessage="1" sqref="C28 G28 E28" xr:uid="{00000000-0002-0000-0100-000011000000}">
      <formula1>"Plan1,Plan2,Plan3,Plan4,Plan5"</formula1>
    </dataValidation>
    <dataValidation type="list" allowBlank="1" showInputMessage="1" showErrorMessage="1" sqref="C49 E49 G49" xr:uid="{00000000-0002-0000-0100-000012000000}">
      <formula1>INDIRECT(C84)</formula1>
    </dataValidation>
    <dataValidation type="date" operator="greaterThanOrEqual" allowBlank="1" showInputMessage="1" showErrorMessage="1" sqref="C70" xr:uid="{00000000-0002-0000-0100-000013000000}">
      <formula1>TODAY()</formula1>
    </dataValidation>
    <dataValidation type="decimal" operator="greaterThanOrEqual" allowBlank="1" showInputMessage="1" showErrorMessage="1" sqref="H11 H15:H16" xr:uid="{00000000-0002-0000-0100-000014000000}">
      <formula1>0</formula1>
    </dataValidation>
    <dataValidation type="list" allowBlank="1" showInputMessage="1" showErrorMessage="1" sqref="H10" xr:uid="{00000000-0002-0000-0100-000015000000}">
      <formula1>"Other, Broker"</formula1>
    </dataValidation>
    <dataValidation type="list" allowBlank="1" showInputMessage="1" showErrorMessage="1" sqref="C39 E39 G39" xr:uid="{29D79562-1572-4024-B936-9FAF1D919147}">
      <formula1>"Enhanced, Default"</formula1>
    </dataValidation>
  </dataValidations>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ignoredErrors>
    <ignoredError sqref="C20:C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1_Click">
                <anchor moveWithCells="1" sizeWithCells="1">
                  <from>
                    <xdr:col>4</xdr:col>
                    <xdr:colOff>1724025</xdr:colOff>
                    <xdr:row>2</xdr:row>
                    <xdr:rowOff>276225</xdr:rowOff>
                  </from>
                  <to>
                    <xdr:col>6</xdr:col>
                    <xdr:colOff>1019175</xdr:colOff>
                    <xdr:row>4</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BB25D15-1601-4792-82D4-485FA5FC327E}">
            <xm:f>Protection!$M$26&lt;&gt;"Yes"</xm:f>
            <x14:dxf>
              <font>
                <color theme="0"/>
              </font>
              <fill>
                <patternFill>
                  <bgColor theme="0"/>
                </patternFill>
              </fill>
            </x14:dxf>
          </x14:cfRule>
          <xm:sqref>F17:H17</xm:sqref>
        </x14:conditionalFormatting>
        <x14:conditionalFormatting xmlns:xm="http://schemas.microsoft.com/office/excel/2006/main">
          <x14:cfRule type="expression" priority="2" id="{6F31E53A-3589-4B8E-9AA3-A83D61E63D1D}">
            <xm:f>Protection!$M$26&lt;&gt;"Yes"</xm:f>
            <x14:dxf>
              <font>
                <color theme="0"/>
              </font>
              <fill>
                <patternFill>
                  <bgColor theme="0"/>
                </patternFill>
              </fill>
            </x14:dxf>
          </x14:cfRule>
          <xm:sqref>F14:XFD14</xm:sqref>
        </x14:conditionalFormatting>
        <x14:conditionalFormatting xmlns:xm="http://schemas.microsoft.com/office/excel/2006/main">
          <x14:cfRule type="expression" priority="1" id="{122FA1EC-E6DA-44C5-A0FF-5A656FDEB635}">
            <xm:f>Protection!$M$26&lt;&gt;"Yes"</xm:f>
            <x14:dxf>
              <font>
                <color theme="0"/>
              </font>
              <fill>
                <patternFill>
                  <bgColor theme="0"/>
                </patternFill>
              </fill>
            </x14:dxf>
          </x14:cfRule>
          <xm:sqref>F19:H19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16000000}">
          <x14:formula1>
            <xm:f>'Inputs Mapping'!$L$12:$L$14</xm:f>
          </x14:formula1>
          <xm:sqref>M37 C37 G37 I37 K37 E37</xm:sqref>
        </x14:dataValidation>
        <x14:dataValidation type="list" allowBlank="1" showInputMessage="1" showErrorMessage="1" xr:uid="{00000000-0002-0000-0100-000017000000}">
          <x14:formula1>
            <xm:f>'Inputs Mapping'!$I$12:$I$14</xm:f>
          </x14:formula1>
          <xm:sqref>M53 C34 K53 I34 G34 K34 M34 C53 E53 I53 G53 E34</xm:sqref>
        </x14:dataValidation>
        <x14:dataValidation type="list" allowBlank="1" showInputMessage="1" showErrorMessage="1" xr:uid="{00000000-0002-0000-0100-000018000000}">
          <x14:formula1>
            <xm:f>'C:\Users\Anees.Aslam\Desktop\[NEW SME TOOL-simulation-Mehdi_v7 - Copy1.xlsm]Inputs Mapping'!#REF!</xm:f>
          </x14:formula1>
          <xm:sqref>G48 C48 E48 I48 K48 M48</xm:sqref>
        </x14:dataValidation>
        <x14:dataValidation type="decimal" allowBlank="1" showInputMessage="1" showErrorMessage="1" xr:uid="{00000000-0002-0000-0100-000019000000}">
          <x14:formula1>
            <xm:f>Protection!$K$26</xm:f>
          </x14:formula1>
          <x14:formula2>
            <xm:f>Protection!$L$26</xm:f>
          </x14:formula2>
          <xm:sqref>H17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theme="3" tint="0.39997558519241921"/>
  </sheetPr>
  <dimension ref="B1:D25"/>
  <sheetViews>
    <sheetView workbookViewId="0"/>
  </sheetViews>
  <sheetFormatPr defaultRowHeight="15" outlineLevelRow="1" x14ac:dyDescent="0.25"/>
  <cols>
    <col min="2" max="2" width="36.42578125" customWidth="1"/>
    <col min="3" max="3" width="1.140625" customWidth="1"/>
    <col min="4" max="4" width="10.5703125" customWidth="1"/>
  </cols>
  <sheetData>
    <row r="1" spans="2:4" outlineLevel="1" x14ac:dyDescent="0.25"/>
    <row r="2" spans="2:4" outlineLevel="1" x14ac:dyDescent="0.25"/>
    <row r="3" spans="2:4" outlineLevel="1" x14ac:dyDescent="0.25"/>
    <row r="4" spans="2:4" ht="15.75" customHeight="1" outlineLevel="1" x14ac:dyDescent="0.25"/>
    <row r="5" spans="2:4" ht="21.75" customHeight="1" outlineLevel="1" x14ac:dyDescent="0.25">
      <c r="B5" s="60" t="s">
        <v>97</v>
      </c>
      <c r="C5" s="110"/>
      <c r="D5" s="110"/>
    </row>
    <row r="6" spans="2:4" outlineLevel="1" x14ac:dyDescent="0.25">
      <c r="B6" s="63" t="s">
        <v>98</v>
      </c>
      <c r="C6" s="64"/>
      <c r="D6" s="348">
        <f>Loading!D3</f>
        <v>0.05</v>
      </c>
    </row>
    <row r="7" spans="2:4" outlineLevel="1" x14ac:dyDescent="0.25">
      <c r="B7" s="63" t="s">
        <v>51</v>
      </c>
      <c r="C7" s="64"/>
      <c r="D7" s="348">
        <f>Loading!D4</f>
        <v>0</v>
      </c>
    </row>
    <row r="8" spans="2:4" outlineLevel="1" x14ac:dyDescent="0.25">
      <c r="B8" s="63" t="s">
        <v>99</v>
      </c>
      <c r="C8" s="64"/>
      <c r="D8" s="348">
        <f>Loading!D5</f>
        <v>5.5E-2</v>
      </c>
    </row>
    <row r="9" spans="2:4" outlineLevel="1" x14ac:dyDescent="0.25"/>
    <row r="10" spans="2:4" outlineLevel="1" x14ac:dyDescent="0.25">
      <c r="B10" s="63" t="s">
        <v>100</v>
      </c>
      <c r="C10" s="64"/>
      <c r="D10" s="349">
        <f>IF(SUM(D6:D8)&gt;30%,"ERROR",(SUM(D6:D8)))</f>
        <v>0.10500000000000001</v>
      </c>
    </row>
    <row r="11" spans="2:4" outlineLevel="1" x14ac:dyDescent="0.25"/>
    <row r="12" spans="2:4" outlineLevel="1" x14ac:dyDescent="0.25">
      <c r="B12" s="778" t="s">
        <v>101</v>
      </c>
      <c r="C12" s="778"/>
      <c r="D12" s="778"/>
    </row>
    <row r="13" spans="2:4" outlineLevel="1" x14ac:dyDescent="0.25"/>
    <row r="14" spans="2:4" outlineLevel="1" x14ac:dyDescent="0.25"/>
    <row r="15" spans="2:4" ht="18.75" outlineLevel="1" x14ac:dyDescent="0.25">
      <c r="B15" s="60" t="s">
        <v>55</v>
      </c>
      <c r="C15" s="110"/>
      <c r="D15" s="110"/>
    </row>
    <row r="16" spans="2:4" outlineLevel="1" x14ac:dyDescent="0.25">
      <c r="B16" s="63" t="s">
        <v>57</v>
      </c>
      <c r="C16" s="64"/>
      <c r="D16" s="347">
        <v>0.05</v>
      </c>
    </row>
    <row r="17" spans="2:4" outlineLevel="1" x14ac:dyDescent="0.25"/>
    <row r="18" spans="2:4" ht="18.75" outlineLevel="1" x14ac:dyDescent="0.25">
      <c r="B18" s="60" t="s">
        <v>102</v>
      </c>
    </row>
    <row r="19" spans="2:4" outlineLevel="1" x14ac:dyDescent="0.25">
      <c r="B19" s="63" t="s">
        <v>103</v>
      </c>
      <c r="C19" s="64"/>
      <c r="D19" s="347">
        <f>Protection!E26</f>
        <v>0.01</v>
      </c>
    </row>
    <row r="20" spans="2:4" outlineLevel="1" x14ac:dyDescent="0.25"/>
    <row r="21" spans="2:4" outlineLevel="1" x14ac:dyDescent="0.25"/>
    <row r="22" spans="2:4" outlineLevel="1" x14ac:dyDescent="0.25"/>
    <row r="23" spans="2:4" outlineLevel="1" x14ac:dyDescent="0.25"/>
    <row r="24" spans="2:4" outlineLevel="1" x14ac:dyDescent="0.25"/>
    <row r="25" spans="2:4" outlineLevel="1" x14ac:dyDescent="0.25"/>
  </sheetData>
  <sheetProtection algorithmName="SHA-512" hashValue="ncE4Pv3mc8WkTEM+vBTBIjtsVQEEcjojJyGSMjICDY5JvgcTU2QZmTdXlsJPpd/0AJ6fzHGkkPRbDO1TzZ5T5A==" saltValue="OIT+9Tu/N5saDAgdheSWzg==" spinCount="100000" sheet="1" objects="1" scenarios="1"/>
  <mergeCells count="1">
    <mergeCell ref="B12:D12"/>
  </mergeCells>
  <conditionalFormatting sqref="D10">
    <cfRule type="containsText" dxfId="11" priority="1" operator="containsText" text="ERROR">
      <formula>NOT(ISERROR(SEARCH("ERROR",D10)))</formula>
    </cfRule>
    <cfRule type="containsText" dxfId="10" priority="2" operator="containsText" text="ERROR">
      <formula>NOT(ISERROR(SEARCH("ERROR",D10)))</formula>
    </cfRule>
  </conditionalFormatting>
  <pageMargins left="0.7" right="0.7" top="0.75" bottom="0.75" header="0.3" footer="0.3"/>
  <headerFooter>
    <oddHeader>&amp;C&amp;"Calibri"&amp;10&amp;K000000 Internal&amp;1#_x000D_</oddHeader>
    <oddFooter>&amp;L_x000D_&amp;1#&amp;"Calibri"&amp;10&amp;K737373 Confidential</oddFooter>
  </headerFooter>
  <drawing r:id="rId1"/>
  <legacyDrawing r:id="rId2"/>
  <controls>
    <mc:AlternateContent xmlns:mc="http://schemas.openxmlformats.org/markup-compatibility/2006">
      <mc:Choice Requires="x14">
        <control shapeId="91139" r:id="rId3" name="CommandButton3">
          <controlPr defaultSize="0" autoLine="0" autoPict="0" r:id="rId4">
            <anchor moveWithCells="1">
              <from>
                <xdr:col>10</xdr:col>
                <xdr:colOff>219075</xdr:colOff>
                <xdr:row>7</xdr:row>
                <xdr:rowOff>114300</xdr:rowOff>
              </from>
              <to>
                <xdr:col>12</xdr:col>
                <xdr:colOff>581025</xdr:colOff>
                <xdr:row>10</xdr:row>
                <xdr:rowOff>133350</xdr:rowOff>
              </to>
            </anchor>
          </controlPr>
        </control>
      </mc:Choice>
      <mc:Fallback>
        <control shapeId="91139" r:id="rId3" name="CommandButton3"/>
      </mc:Fallback>
    </mc:AlternateContent>
    <mc:AlternateContent xmlns:mc="http://schemas.openxmlformats.org/markup-compatibility/2006">
      <mc:Choice Requires="x14">
        <control shapeId="91138" r:id="rId5" name="CommandButton2">
          <controlPr defaultSize="0" autoLine="0" autoPict="0" r:id="rId6">
            <anchor moveWithCells="1">
              <from>
                <xdr:col>10</xdr:col>
                <xdr:colOff>219075</xdr:colOff>
                <xdr:row>3</xdr:row>
                <xdr:rowOff>171450</xdr:rowOff>
              </from>
              <to>
                <xdr:col>12</xdr:col>
                <xdr:colOff>581025</xdr:colOff>
                <xdr:row>6</xdr:row>
                <xdr:rowOff>95250</xdr:rowOff>
              </to>
            </anchor>
          </controlPr>
        </control>
      </mc:Choice>
      <mc:Fallback>
        <control shapeId="91138" r:id="rId5" name="CommandButton2"/>
      </mc:Fallback>
    </mc:AlternateContent>
    <mc:AlternateContent xmlns:mc="http://schemas.openxmlformats.org/markup-compatibility/2006">
      <mc:Choice Requires="x14">
        <control shapeId="91137" r:id="rId7" name="CommandButton1">
          <controlPr defaultSize="0" autoLine="0" autoPict="0" r:id="rId8">
            <anchor moveWithCells="1">
              <from>
                <xdr:col>10</xdr:col>
                <xdr:colOff>247650</xdr:colOff>
                <xdr:row>11</xdr:row>
                <xdr:rowOff>114300</xdr:rowOff>
              </from>
              <to>
                <xdr:col>13</xdr:col>
                <xdr:colOff>0</xdr:colOff>
                <xdr:row>14</xdr:row>
                <xdr:rowOff>209550</xdr:rowOff>
              </to>
            </anchor>
          </controlPr>
        </control>
      </mc:Choice>
      <mc:Fallback>
        <control shapeId="91137" r:id="rId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sheetPr>
  <dimension ref="B2:E10"/>
  <sheetViews>
    <sheetView workbookViewId="0"/>
  </sheetViews>
  <sheetFormatPr defaultRowHeight="15" x14ac:dyDescent="0.25"/>
  <cols>
    <col min="2" max="2" width="37.42578125" customWidth="1"/>
    <col min="3" max="4" width="9.140625" customWidth="1"/>
    <col min="5" max="5" width="17.140625" customWidth="1"/>
  </cols>
  <sheetData>
    <row r="2" spans="2:5" ht="18.75" x14ac:dyDescent="0.25">
      <c r="B2" s="60" t="s">
        <v>97</v>
      </c>
      <c r="C2" s="110"/>
      <c r="D2" s="110"/>
    </row>
    <row r="3" spans="2:5" x14ac:dyDescent="0.25">
      <c r="B3" s="63" t="s">
        <v>98</v>
      </c>
      <c r="C3" s="64"/>
      <c r="D3" s="347">
        <f>Protection!C26</f>
        <v>0.05</v>
      </c>
    </row>
    <row r="4" spans="2:5" x14ac:dyDescent="0.25">
      <c r="B4" s="63" t="s">
        <v>51</v>
      </c>
      <c r="C4" s="64"/>
      <c r="D4" s="763">
        <f>Inputs!H17</f>
        <v>0</v>
      </c>
      <c r="E4" s="764" t="s">
        <v>104</v>
      </c>
    </row>
    <row r="5" spans="2:5" x14ac:dyDescent="0.25">
      <c r="B5" s="63" t="s">
        <v>99</v>
      </c>
      <c r="C5" s="64"/>
      <c r="D5" s="347">
        <f>Protection!D26</f>
        <v>5.5E-2</v>
      </c>
    </row>
    <row r="7" spans="2:5" x14ac:dyDescent="0.25">
      <c r="B7" s="63" t="s">
        <v>100</v>
      </c>
      <c r="C7" s="64"/>
      <c r="D7" s="349">
        <f>IF(SUM(D3:D5)&gt;30%,"ERROR",(SUM(D3:D5)))</f>
        <v>0.10500000000000001</v>
      </c>
    </row>
    <row r="10" spans="2:5" x14ac:dyDescent="0.25">
      <c r="B10" s="778" t="s">
        <v>101</v>
      </c>
      <c r="C10" s="778"/>
      <c r="D10" s="778"/>
    </row>
  </sheetData>
  <mergeCells count="1">
    <mergeCell ref="B10:D10"/>
  </mergeCells>
  <pageMargins left="0.7" right="0.7" top="0.75" bottom="0.75" header="0.3" footer="0.3"/>
  <headerFooter>
    <oddHeader>&amp;C&amp;"Calibri"&amp;10&amp;K000000 Internal&amp;1#_x000D_</oddHeader>
    <oddFooter>&amp;L_x000D_&amp;1#&amp;"Calibri"&amp;10&amp;K737373 Confidential</oddFooter>
  </headerFooter>
  <extLst>
    <ext xmlns:x14="http://schemas.microsoft.com/office/spreadsheetml/2009/9/main" uri="{78C0D931-6437-407d-A8EE-F0AAD7539E65}">
      <x14:conditionalFormattings>
        <x14:conditionalFormatting xmlns:xm="http://schemas.microsoft.com/office/excel/2006/main">
          <x14:cfRule type="containsText" priority="1" operator="containsText" text="ERROR" id="{5FFD301A-C7E5-4218-9972-CE7B8D2F7566}">
            <xm:f>NOT(ISERROR(SEARCH("ERROR",'\Users\bayan.ismaeel\Documents\Generating Tools\SME\[AP SME TOOL - Orient UNB Broker - 2024.06.07 - (till 2024.09.30).xlsm]Loadings'!#REF!)))</xm:f>
            <x14:dxf>
              <font>
                <color rgb="FF9C6500"/>
              </font>
              <fill>
                <patternFill>
                  <bgColor rgb="FFFFEB9C"/>
                </patternFill>
              </fill>
            </x14:dxf>
          </x14:cfRule>
          <x14:cfRule type="containsText" priority="2" operator="containsText" text="ERROR" id="{935223F0-A68D-42DB-8E10-E6BD599978DE}">
            <xm:f>NOT(ISERROR(SEARCH("ERROR",'\Users\bayan.ismaeel\Documents\Generating Tools\SME\[AP SME TOOL - Orient UNB Broker - 2024.06.07 - (till 2024.09.30).xlsm]Loadings'!#REF!)))</xm:f>
            <x14:dxf>
              <fill>
                <patternFill>
                  <bgColor rgb="FFFFC7CE"/>
                </patternFill>
              </fill>
            </x14:dxf>
          </x14:cfRule>
          <xm:sqref>D7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3" tint="0.39997558519241921"/>
  </sheetPr>
  <dimension ref="A1:CM310"/>
  <sheetViews>
    <sheetView showGridLines="0" showRowColHeaders="0" workbookViewId="0">
      <selection activeCell="F15" sqref="F15:F27"/>
    </sheetView>
  </sheetViews>
  <sheetFormatPr defaultColWidth="0" defaultRowHeight="12.6" customHeight="1" zeroHeight="1" outlineLevelCol="1" x14ac:dyDescent="0.25"/>
  <cols>
    <col min="1" max="1" width="12.5703125" customWidth="1"/>
    <col min="2" max="2" width="22.85546875" customWidth="1"/>
    <col min="3" max="3" width="13.140625" customWidth="1"/>
    <col min="4" max="4" width="17.5703125" customWidth="1"/>
    <col min="5" max="5" width="20.42578125" customWidth="1"/>
    <col min="6" max="6" width="13.140625" customWidth="1"/>
    <col min="7" max="7" width="24.42578125" customWidth="1"/>
    <col min="8" max="8" width="13.140625" customWidth="1"/>
    <col min="9" max="9" width="16.5703125" customWidth="1"/>
    <col min="10" max="10" width="9.5703125" bestFit="1" customWidth="1"/>
    <col min="11" max="11" width="13.140625" customWidth="1"/>
    <col min="12" max="12" width="9.28515625" customWidth="1"/>
    <col min="13" max="13" width="5.140625" bestFit="1" customWidth="1"/>
    <col min="14" max="14" width="15.28515625" hidden="1" customWidth="1" outlineLevel="1"/>
    <col min="15" max="15" width="12.42578125" hidden="1" customWidth="1" outlineLevel="1"/>
    <col min="16" max="16" width="15.85546875" hidden="1" customWidth="1" outlineLevel="1"/>
    <col min="17" max="17" width="15.5703125" hidden="1" customWidth="1" outlineLevel="1"/>
    <col min="18" max="18" width="17.42578125" hidden="1" customWidth="1" outlineLevel="1"/>
    <col min="19" max="19" width="13.42578125" hidden="1" customWidth="1" outlineLevel="1"/>
    <col min="20" max="22" width="12.7109375" hidden="1" customWidth="1" outlineLevel="1"/>
    <col min="23" max="23" width="14" hidden="1" customWidth="1" outlineLevel="1"/>
    <col min="24" max="24" width="15" hidden="1" customWidth="1" outlineLevel="1"/>
    <col min="25" max="25" width="9.7109375" hidden="1" customWidth="1" outlineLevel="1"/>
    <col min="26" max="26" width="8" hidden="1" customWidth="1" outlineLevel="1"/>
    <col min="27" max="27" width="12.42578125" hidden="1" customWidth="1" outlineLevel="1"/>
    <col min="28" max="28" width="11.5703125" hidden="1" customWidth="1" outlineLevel="1"/>
    <col min="29" max="29" width="12" hidden="1" customWidth="1" outlineLevel="1"/>
    <col min="30" max="30" width="15" hidden="1" customWidth="1" outlineLevel="1"/>
    <col min="31" max="31" width="12.140625" hidden="1" customWidth="1" collapsed="1"/>
    <col min="32" max="33" width="0.140625" hidden="1" customWidth="1"/>
    <col min="34" max="34" width="12.140625" hidden="1" customWidth="1"/>
    <col min="35" max="35" width="25" hidden="1" customWidth="1"/>
    <col min="36" max="36" width="14.5703125" hidden="1" customWidth="1"/>
    <col min="37" max="37" width="32.140625" hidden="1" customWidth="1"/>
    <col min="38" max="38" width="10.28515625" style="102" hidden="1" customWidth="1"/>
    <col min="39" max="39" width="13.7109375" style="102" hidden="1" customWidth="1"/>
    <col min="40" max="40" width="10.7109375" style="102" hidden="1" customWidth="1"/>
    <col min="41" max="41" width="14.5703125" style="59" hidden="1" customWidth="1"/>
    <col min="42" max="42" width="12.140625" style="102" hidden="1" customWidth="1"/>
    <col min="43" max="43" width="9.28515625" style="635" hidden="1" customWidth="1"/>
    <col min="44" max="44" width="12.7109375" style="102" hidden="1" customWidth="1"/>
    <col min="45" max="45" width="9.28515625" style="635" hidden="1" customWidth="1"/>
    <col min="46" max="46" width="12.28515625" style="635" hidden="1" customWidth="1"/>
    <col min="47" max="47" width="9.28515625" style="635" hidden="1" customWidth="1"/>
    <col min="48" max="48" width="13.85546875" style="102" hidden="1" customWidth="1"/>
    <col min="49" max="49" width="9.28515625" style="635" hidden="1" customWidth="1"/>
    <col min="50" max="50" width="18" style="95" hidden="1" customWidth="1"/>
    <col min="51" max="51" width="51.42578125" style="95" hidden="1" customWidth="1"/>
    <col min="52" max="52" width="15.28515625" style="95" hidden="1" customWidth="1"/>
    <col min="53" max="53" width="19.7109375" style="59" hidden="1" customWidth="1"/>
    <col min="54" max="54" width="18.140625" style="59" hidden="1" customWidth="1"/>
    <col min="55" max="55" width="15.42578125" style="59" hidden="1" customWidth="1"/>
    <col min="56" max="56" width="22.28515625" style="59" hidden="1" customWidth="1"/>
    <col min="57" max="57" width="0.140625" style="59" hidden="1" customWidth="1"/>
    <col min="58" max="58" width="24.140625" style="59" hidden="1" customWidth="1"/>
    <col min="59" max="59" width="22.5703125" style="59" hidden="1" customWidth="1"/>
    <col min="60" max="60" width="15.42578125" style="59" hidden="1" customWidth="1"/>
    <col min="61" max="61" width="22.28515625" style="59" hidden="1" customWidth="1"/>
    <col min="62" max="62" width="17" style="95" hidden="1" customWidth="1"/>
    <col min="63" max="63" width="19.42578125" style="95" hidden="1" customWidth="1"/>
    <col min="64" max="65" width="0.140625" style="95" hidden="1" customWidth="1"/>
    <col min="66" max="66" width="6.7109375" style="95" hidden="1" customWidth="1"/>
    <col min="67" max="67" width="14.28515625" style="95" hidden="1" customWidth="1"/>
    <col min="68" max="68" width="14.85546875" style="95" hidden="1" customWidth="1"/>
    <col min="69" max="69" width="15.7109375" style="95" hidden="1" customWidth="1"/>
    <col min="70" max="70" width="13.85546875" style="95" hidden="1" customWidth="1"/>
    <col min="71" max="71" width="2.28515625" style="95" hidden="1" customWidth="1"/>
    <col min="72" max="72" width="14.5703125" style="95" hidden="1" customWidth="1"/>
    <col min="73" max="73" width="27.85546875" hidden="1" customWidth="1"/>
    <col min="74" max="91" width="15.7109375" hidden="1" customWidth="1"/>
    <col min="92" max="16384" width="0.140625" hidden="1"/>
  </cols>
  <sheetData>
    <row r="1" spans="1:73" ht="79.5" customHeight="1" x14ac:dyDescent="0.25">
      <c r="A1" s="93"/>
      <c r="B1" s="93"/>
      <c r="C1" s="93"/>
      <c r="D1" s="784" t="s">
        <v>105</v>
      </c>
      <c r="E1" s="785"/>
      <c r="F1" s="81">
        <f>COUNTIF(M6:M205,"&lt;0")</f>
        <v>0</v>
      </c>
      <c r="G1" s="93"/>
      <c r="H1" s="93"/>
      <c r="I1" s="93"/>
      <c r="J1" s="132"/>
      <c r="K1" s="93"/>
      <c r="L1" s="94"/>
      <c r="M1" s="95"/>
      <c r="N1" s="148">
        <f>COUNTA(F6:F205)</f>
        <v>0</v>
      </c>
      <c r="O1" s="148">
        <f>COUNTIFS($F$6:$F$205,"A",$AE$6:$AE$205,"Dubai")</f>
        <v>0</v>
      </c>
      <c r="P1" s="148">
        <f>COUNTIFS($F$6:$F$205,"B",$AE$6:$AE$205,"Dubai")</f>
        <v>0</v>
      </c>
      <c r="Q1" s="148">
        <f>COUNTIFS($F$6:$F$205,"C",$AE$6:$AE$205,"Dubai")</f>
        <v>0</v>
      </c>
      <c r="R1" s="148">
        <f>COUNTIFS($F$6:$F$205,"A",$AE$6:$AE$205,"Abu Dhabi")</f>
        <v>0</v>
      </c>
      <c r="S1" s="148">
        <f>COUNTIFS($F$6:$F$205,"B",$AE$6:$AE$205,"Abu Dhabi")</f>
        <v>0</v>
      </c>
      <c r="T1" s="148">
        <f>COUNTIFS($F$6:$F$205,"C",$AE$6:$AE$205,"Abu Dhabi")</f>
        <v>0</v>
      </c>
      <c r="U1" s="148">
        <f>COUNTIF($O$1:$T$1,"&gt;"&amp;0)</f>
        <v>0</v>
      </c>
      <c r="V1" s="148">
        <f>COUNTIFS($J$6:$J$205,"&gt;69",$AE$6:$AE$205,"Dubai")</f>
        <v>0</v>
      </c>
      <c r="W1" s="148">
        <f>COUNTIFS($J$6:$J$205,"&gt;69",$AE$6:$AE$205,"Abu Dhabi")</f>
        <v>0</v>
      </c>
      <c r="X1" s="148">
        <f>COUNTIF($O$1:$Q$1,"&gt;"&amp;0)</f>
        <v>0</v>
      </c>
      <c r="Y1" s="148">
        <f>COUNTIF($R$1:$T$1,"&gt;"&amp;0)</f>
        <v>0</v>
      </c>
      <c r="Z1" s="148"/>
      <c r="AA1" s="148"/>
      <c r="AB1" s="148"/>
      <c r="AC1" s="148"/>
      <c r="AD1" s="148"/>
      <c r="AE1" s="148"/>
      <c r="AF1" s="148"/>
      <c r="AG1" s="148"/>
      <c r="AH1" s="148"/>
      <c r="AI1" s="654"/>
      <c r="AJ1" s="654"/>
      <c r="AK1" s="654"/>
      <c r="AL1" s="655"/>
      <c r="AM1" s="655"/>
      <c r="AN1" s="655"/>
      <c r="AO1" s="654"/>
      <c r="AP1" s="655"/>
      <c r="AQ1" s="656"/>
      <c r="AR1" s="655"/>
      <c r="AS1" s="656"/>
      <c r="AT1" s="656"/>
      <c r="AU1" s="656"/>
      <c r="AV1" s="655"/>
      <c r="AW1" s="656"/>
      <c r="AX1" s="148"/>
      <c r="AY1" s="657" t="s">
        <v>106</v>
      </c>
      <c r="AZ1" s="148" t="e">
        <f>Inputs!H11/SUM('Census Data'!BU6:BU205)</f>
        <v>#DIV/0!</v>
      </c>
      <c r="BA1" s="654"/>
      <c r="BB1" s="654"/>
      <c r="BC1" s="654"/>
      <c r="BD1" s="654"/>
      <c r="BE1" s="654"/>
      <c r="BF1" s="654"/>
      <c r="BG1" s="654"/>
      <c r="BH1" s="654"/>
      <c r="BI1" s="654"/>
      <c r="BJ1" s="148"/>
      <c r="BK1" s="148"/>
      <c r="BL1" s="148"/>
      <c r="BM1" s="148"/>
      <c r="BN1" s="148"/>
      <c r="BO1" s="148"/>
      <c r="BP1" s="148"/>
      <c r="BQ1" s="148"/>
      <c r="BR1" s="148"/>
      <c r="BS1" s="148"/>
      <c r="BT1" s="148"/>
    </row>
    <row r="2" spans="1:73" ht="21.75" customHeight="1" x14ac:dyDescent="0.25">
      <c r="A2" s="93"/>
      <c r="B2" s="93"/>
      <c r="C2" s="93"/>
      <c r="D2" s="93"/>
      <c r="E2" s="93"/>
      <c r="F2" s="93"/>
      <c r="G2" s="93"/>
      <c r="H2" s="93"/>
      <c r="I2" s="93"/>
      <c r="J2" s="93"/>
      <c r="K2" s="93"/>
      <c r="L2" s="94"/>
      <c r="M2" s="95"/>
      <c r="N2" s="148">
        <f>IF(Inputs!C28=0,1,IF(COUNTIFS($F$6:$F$205,"A")&lt;3,0,1))*IF(Inputs!E28=0,1,IF(COUNTIFS($F$6:$F$205,"B")&lt;3,0,1))*IF(Inputs!G28=0,1,IF(COUNTIFS($F$6:$F$205,"C")&lt;3,0,1))</f>
        <v>1</v>
      </c>
      <c r="O2" s="148">
        <f t="shared" ref="O2:T2" si="0">IF(O1&gt;0,1,0)</f>
        <v>0</v>
      </c>
      <c r="P2" s="148">
        <f t="shared" si="0"/>
        <v>0</v>
      </c>
      <c r="Q2" s="148">
        <f t="shared" si="0"/>
        <v>0</v>
      </c>
      <c r="R2" s="148">
        <f t="shared" si="0"/>
        <v>0</v>
      </c>
      <c r="S2" s="148">
        <f t="shared" si="0"/>
        <v>0</v>
      </c>
      <c r="T2" s="148">
        <f t="shared" si="0"/>
        <v>0</v>
      </c>
      <c r="U2" s="148"/>
      <c r="V2" s="148"/>
      <c r="W2" s="148"/>
      <c r="X2" s="148"/>
      <c r="Y2" s="148"/>
      <c r="Z2" s="148"/>
      <c r="AA2" s="148"/>
      <c r="AB2" s="148"/>
      <c r="AC2" s="148"/>
      <c r="AD2" s="148"/>
      <c r="AE2" s="148"/>
      <c r="AF2" s="148"/>
      <c r="AG2" s="148"/>
      <c r="AH2" s="148"/>
      <c r="AI2" s="654"/>
      <c r="AJ2" s="654"/>
      <c r="AK2" s="654"/>
      <c r="AL2" s="655"/>
      <c r="AM2" s="655"/>
      <c r="AN2" s="655"/>
      <c r="AO2" s="654"/>
      <c r="AP2" s="655"/>
      <c r="AQ2" s="656"/>
      <c r="AR2" s="655"/>
      <c r="AS2" s="656"/>
      <c r="AT2" s="656"/>
      <c r="AU2" s="656"/>
      <c r="AV2" s="655"/>
      <c r="AW2" s="656"/>
      <c r="AX2" s="148"/>
      <c r="AY2" s="657" t="s">
        <v>107</v>
      </c>
      <c r="AZ2" s="658">
        <v>0.05</v>
      </c>
      <c r="BA2" s="654"/>
      <c r="BB2" s="654"/>
      <c r="BC2" s="654"/>
      <c r="BD2" s="654"/>
      <c r="BE2" s="654"/>
      <c r="BF2" s="654"/>
      <c r="BG2" s="654"/>
      <c r="BH2" s="654"/>
      <c r="BI2" s="654"/>
      <c r="BJ2" s="654"/>
      <c r="BK2" s="148"/>
      <c r="BL2" s="148"/>
      <c r="BM2" s="148"/>
      <c r="BN2" s="148"/>
      <c r="BO2" s="148"/>
      <c r="BP2" s="148"/>
      <c r="BQ2" s="148"/>
      <c r="BR2" s="148"/>
      <c r="BS2" s="148"/>
      <c r="BT2" s="148"/>
    </row>
    <row r="3" spans="1:73" ht="21.75" customHeight="1" x14ac:dyDescent="0.25">
      <c r="A3" s="93"/>
      <c r="B3" s="93"/>
      <c r="C3" s="93"/>
      <c r="D3" s="93"/>
      <c r="E3" s="93"/>
      <c r="F3" s="93"/>
      <c r="G3" s="93"/>
      <c r="H3" s="93"/>
      <c r="I3" s="93"/>
      <c r="J3" s="622"/>
      <c r="K3" s="93"/>
      <c r="L3" s="94"/>
      <c r="M3" s="95"/>
      <c r="N3" s="148">
        <f>COUNTIFS($H$6:$H$205,"Employee")</f>
        <v>0</v>
      </c>
      <c r="O3" s="148"/>
      <c r="P3" s="148"/>
      <c r="Q3" s="148"/>
      <c r="R3" s="148"/>
      <c r="S3" s="148"/>
      <c r="T3" s="148"/>
      <c r="U3" s="148"/>
      <c r="V3" s="148"/>
      <c r="W3" s="148"/>
      <c r="X3" s="148"/>
      <c r="Y3" s="148"/>
      <c r="Z3" s="148"/>
      <c r="AA3" s="148"/>
      <c r="AB3" s="148"/>
      <c r="AC3" s="148"/>
      <c r="AD3" s="148"/>
      <c r="AE3" s="148"/>
      <c r="AF3" s="148"/>
      <c r="AG3" s="148"/>
      <c r="AH3" s="148"/>
      <c r="AI3" s="654"/>
      <c r="AJ3" s="654">
        <v>18</v>
      </c>
      <c r="AK3" s="654">
        <v>18</v>
      </c>
      <c r="AL3" s="655"/>
      <c r="AM3" s="655"/>
      <c r="AN3" s="655"/>
      <c r="AO3" s="654"/>
      <c r="AP3" s="655"/>
      <c r="AQ3" s="656"/>
      <c r="AR3" s="655"/>
      <c r="AS3" s="656"/>
      <c r="AT3" s="656"/>
      <c r="AU3" s="656"/>
      <c r="AV3" s="655"/>
      <c r="AW3" s="656"/>
      <c r="AX3" s="148"/>
      <c r="AY3" s="657" t="s">
        <v>108</v>
      </c>
      <c r="AZ3" s="659">
        <f>IF(OR(Inputs!C16="Yes",Inputs!C15="Yes"),120%,100%)</f>
        <v>1</v>
      </c>
      <c r="BA3" s="654"/>
      <c r="BB3" s="654"/>
      <c r="BC3" s="654"/>
      <c r="BD3" s="654"/>
      <c r="BE3" s="654"/>
      <c r="BF3" s="654"/>
      <c r="BG3" s="654"/>
      <c r="BH3" s="654"/>
      <c r="BI3" s="654"/>
      <c r="BJ3" s="654"/>
      <c r="BK3" s="148"/>
      <c r="BL3" s="148"/>
      <c r="BM3" s="148"/>
      <c r="BN3" s="148"/>
      <c r="BO3" s="148"/>
      <c r="BP3" s="148"/>
      <c r="BQ3" s="148"/>
      <c r="BR3" s="148"/>
      <c r="BS3" s="148"/>
      <c r="BT3" s="148"/>
    </row>
    <row r="4" spans="1:73" ht="21.75" customHeight="1" x14ac:dyDescent="0.25">
      <c r="A4" s="93"/>
      <c r="B4" s="93"/>
      <c r="C4" s="93"/>
      <c r="D4" s="93"/>
      <c r="E4" s="93"/>
      <c r="F4" s="93"/>
      <c r="G4" s="93"/>
      <c r="H4" s="93"/>
      <c r="I4" s="93"/>
      <c r="J4" s="93"/>
      <c r="K4" s="93"/>
      <c r="L4" s="94"/>
      <c r="M4" s="95"/>
      <c r="N4" s="148"/>
      <c r="O4" s="148"/>
      <c r="P4" s="148"/>
      <c r="Q4" s="148"/>
      <c r="R4" s="148"/>
      <c r="S4" s="148"/>
      <c r="T4" s="148"/>
      <c r="U4" s="148"/>
      <c r="V4" s="148"/>
      <c r="W4" s="148"/>
      <c r="X4" s="148"/>
      <c r="Y4" s="148"/>
      <c r="Z4" s="148"/>
      <c r="AA4" s="148"/>
      <c r="AB4" s="148"/>
      <c r="AC4" s="148"/>
      <c r="AD4" s="148"/>
      <c r="AE4" s="148"/>
      <c r="AF4" s="148"/>
      <c r="AG4" s="148"/>
      <c r="AH4" s="148"/>
      <c r="AI4" s="654"/>
      <c r="AJ4" s="654">
        <v>50</v>
      </c>
      <c r="AK4" s="654">
        <v>50</v>
      </c>
      <c r="AL4" s="780" t="s">
        <v>109</v>
      </c>
      <c r="AM4" s="781"/>
      <c r="AN4" s="781"/>
      <c r="AO4" s="781"/>
      <c r="AP4" s="781"/>
      <c r="AQ4" s="781"/>
      <c r="AR4" s="781"/>
      <c r="AS4" s="781"/>
      <c r="AT4" s="781"/>
      <c r="AU4" s="781"/>
      <c r="AV4" s="781"/>
      <c r="AW4" s="781"/>
      <c r="AX4" s="781"/>
      <c r="AY4" s="782"/>
      <c r="AZ4" s="148"/>
      <c r="BA4" s="780" t="s">
        <v>110</v>
      </c>
      <c r="BB4" s="781"/>
      <c r="BC4" s="781"/>
      <c r="BD4" s="782"/>
      <c r="BE4" s="654"/>
      <c r="BF4" s="780" t="s">
        <v>111</v>
      </c>
      <c r="BG4" s="781"/>
      <c r="BH4" s="781"/>
      <c r="BI4" s="782"/>
      <c r="BJ4" s="660" t="s">
        <v>112</v>
      </c>
      <c r="BK4" s="660" t="s">
        <v>113</v>
      </c>
      <c r="BL4" s="148"/>
      <c r="BM4" s="148"/>
      <c r="BN4" s="655"/>
      <c r="BO4" s="661" t="s">
        <v>60</v>
      </c>
      <c r="BP4" s="779" t="s">
        <v>61</v>
      </c>
      <c r="BQ4" s="779"/>
      <c r="BR4" s="779"/>
      <c r="BS4" s="148"/>
      <c r="BT4" s="148"/>
    </row>
    <row r="5" spans="1:73" ht="60" x14ac:dyDescent="0.25">
      <c r="A5" s="96" t="s">
        <v>114</v>
      </c>
      <c r="B5" s="97" t="s">
        <v>115</v>
      </c>
      <c r="C5" s="99" t="s">
        <v>116</v>
      </c>
      <c r="D5" s="99" t="s">
        <v>117</v>
      </c>
      <c r="E5" s="99" t="s">
        <v>118</v>
      </c>
      <c r="F5" s="99" t="s">
        <v>119</v>
      </c>
      <c r="G5" s="99" t="s">
        <v>120</v>
      </c>
      <c r="H5" s="99" t="s">
        <v>121</v>
      </c>
      <c r="I5" s="99" t="s">
        <v>122</v>
      </c>
      <c r="J5" s="98" t="s">
        <v>123</v>
      </c>
      <c r="K5" s="98" t="s">
        <v>124</v>
      </c>
      <c r="L5" s="783" t="s">
        <v>125</v>
      </c>
      <c r="M5" s="783"/>
      <c r="N5" s="662" t="s">
        <v>126</v>
      </c>
      <c r="O5" s="662" t="s">
        <v>127</v>
      </c>
      <c r="P5" s="662" t="s">
        <v>128</v>
      </c>
      <c r="Q5" s="662" t="s">
        <v>129</v>
      </c>
      <c r="R5" s="662" t="s">
        <v>130</v>
      </c>
      <c r="S5" s="662" t="s">
        <v>131</v>
      </c>
      <c r="T5" s="662" t="s">
        <v>132</v>
      </c>
      <c r="U5" s="662" t="s">
        <v>133</v>
      </c>
      <c r="V5" s="662" t="s">
        <v>134</v>
      </c>
      <c r="W5" s="662" t="s">
        <v>135</v>
      </c>
      <c r="X5" s="662" t="s">
        <v>136</v>
      </c>
      <c r="Y5" s="655" t="s">
        <v>137</v>
      </c>
      <c r="Z5" s="655" t="s">
        <v>138</v>
      </c>
      <c r="AA5" s="662" t="s">
        <v>139</v>
      </c>
      <c r="AB5" s="662" t="s">
        <v>39</v>
      </c>
      <c r="AC5" s="662" t="s">
        <v>140</v>
      </c>
      <c r="AD5" s="662" t="s">
        <v>141</v>
      </c>
      <c r="AE5" s="662" t="s">
        <v>142</v>
      </c>
      <c r="AF5" s="662"/>
      <c r="AG5" s="662"/>
      <c r="AH5" s="655"/>
      <c r="AI5" s="655" t="s">
        <v>143</v>
      </c>
      <c r="AJ5" s="655" t="s">
        <v>144</v>
      </c>
      <c r="AK5" s="655" t="s">
        <v>145</v>
      </c>
      <c r="AL5" s="655" t="s">
        <v>70</v>
      </c>
      <c r="AM5" s="655" t="s">
        <v>146</v>
      </c>
      <c r="AN5" s="655" t="s">
        <v>147</v>
      </c>
      <c r="AO5" s="655" t="s">
        <v>148</v>
      </c>
      <c r="AP5" s="655" t="s">
        <v>149</v>
      </c>
      <c r="AQ5" s="656" t="s">
        <v>150</v>
      </c>
      <c r="AR5" s="655" t="s">
        <v>151</v>
      </c>
      <c r="AS5" s="656" t="s">
        <v>150</v>
      </c>
      <c r="AT5" s="656" t="s">
        <v>152</v>
      </c>
      <c r="AU5" s="656" t="s">
        <v>150</v>
      </c>
      <c r="AV5" s="655" t="s">
        <v>153</v>
      </c>
      <c r="AW5" s="656" t="s">
        <v>150</v>
      </c>
      <c r="AX5" s="655" t="s">
        <v>154</v>
      </c>
      <c r="AY5" s="663" t="s">
        <v>155</v>
      </c>
      <c r="AZ5" s="655" t="s">
        <v>156</v>
      </c>
      <c r="BA5" s="655" t="s">
        <v>157</v>
      </c>
      <c r="BB5" s="655" t="s">
        <v>158</v>
      </c>
      <c r="BC5" s="655" t="s">
        <v>159</v>
      </c>
      <c r="BD5" s="655" t="s">
        <v>160</v>
      </c>
      <c r="BE5" s="655"/>
      <c r="BF5" s="655" t="s">
        <v>161</v>
      </c>
      <c r="BG5" s="655" t="s">
        <v>162</v>
      </c>
      <c r="BH5" s="655" t="s">
        <v>159</v>
      </c>
      <c r="BI5" s="655" t="s">
        <v>160</v>
      </c>
      <c r="BJ5" s="148"/>
      <c r="BK5" s="148"/>
      <c r="BL5" s="148"/>
      <c r="BM5" s="148"/>
      <c r="BN5" s="664" t="s">
        <v>163</v>
      </c>
      <c r="BO5" s="655" t="s">
        <v>164</v>
      </c>
      <c r="BP5" s="655" t="s">
        <v>165</v>
      </c>
      <c r="BQ5" s="655" t="s">
        <v>166</v>
      </c>
      <c r="BR5" s="655" t="s">
        <v>153</v>
      </c>
      <c r="BS5" s="148"/>
      <c r="BT5" s="665" t="s">
        <v>167</v>
      </c>
      <c r="BU5" s="762" t="s">
        <v>168</v>
      </c>
    </row>
    <row r="6" spans="1:73" ht="15" x14ac:dyDescent="0.25">
      <c r="A6" s="59">
        <v>1</v>
      </c>
      <c r="B6" s="470"/>
      <c r="C6" s="628"/>
      <c r="D6" s="629"/>
      <c r="E6" s="471"/>
      <c r="F6" s="298"/>
      <c r="G6" s="298"/>
      <c r="H6" s="298"/>
      <c r="I6" s="298"/>
      <c r="J6" s="80" t="str">
        <f>IFERROR(IF(C6="","",DATEDIF('Census Data'!C6,eff_date,"y")),"")</f>
        <v/>
      </c>
      <c r="K6" s="59" t="str">
        <f>IF(F6="","",IF(AE6="Dubai",HLOOKUP(F6,Inputs!$C$26:$M$28,3,0),HLOOKUP(F6,Inputs!$C$45:$M$46,2,0)))</f>
        <v/>
      </c>
      <c r="L6" s="104"/>
      <c r="M6" s="105">
        <f t="shared" ref="M6:M69" si="1">IF(N6,IF(COUNTIF(N6:AD6,"x")=0,1,IF(OR(O6="x",P6="x",Q6="×",R6="x",S6="x",T6="x",V6="x",U6="x",W6="x",X6="x",Y6="x",Z6="x",AC6="x",AD6="x"),-2,-1)),0)</f>
        <v>0</v>
      </c>
      <c r="N6" s="654" t="b">
        <f>NOT(AND(ISBLANK(C6),ISBLANK(D6),ISBLANK(E6),ISBLANK(F6),ISBLANK(G6),ISBLANK(H6),ISBLANK(I6)))</f>
        <v>0</v>
      </c>
      <c r="O6" s="655" t="str">
        <f t="shared" ref="O6:O37" si="2">IF(ISBLANK(C6),"x","")</f>
        <v>x</v>
      </c>
      <c r="P6" s="655" t="str">
        <f t="shared" ref="P6:P37" si="3">IF(ISBLANK(D6),"x","")</f>
        <v>x</v>
      </c>
      <c r="Q6" s="655" t="str">
        <f t="shared" ref="Q6:Q37" si="4">IF(ISBLANK(E6),"x","")</f>
        <v>x</v>
      </c>
      <c r="R6" s="742" t="str">
        <f>IF(OR(ISBLANK(F6),K6=0),"x","")</f>
        <v>x</v>
      </c>
      <c r="S6" s="655" t="str">
        <f t="shared" ref="S6:S37" si="5">IF(ISBLANK(G6),"x","")</f>
        <v>x</v>
      </c>
      <c r="T6" s="655" t="str">
        <f>IF(ISERROR(MATCH(G6,'Inputs Mapping'!$T$4:$T$10,0)),"x","")</f>
        <v>x</v>
      </c>
      <c r="U6" s="655" t="str">
        <f>IF(ISERROR(MATCH(AA6,'Inputs Mapping'!$U$4:$U$5,0)),"x","")</f>
        <v>x</v>
      </c>
      <c r="V6" s="655" t="str">
        <f>IF(ISERROR(MATCH(AB6,'Inputs Mapping'!$V$4:$V$5,0)),"x","")</f>
        <v>x</v>
      </c>
      <c r="W6" s="655" t="str">
        <f>IF(ISERROR(MATCH(F6,'Inputs Mapping'!$W$4:$W$8,0)),"x","")</f>
        <v>x</v>
      </c>
      <c r="X6" s="655" t="str">
        <f t="shared" ref="X6:X37" si="6">IF(ISBLANK(C6),"",IF(OR(ISERROR(J6),NOT(ISNUMBER(C6))),"x",""))</f>
        <v/>
      </c>
      <c r="Y6" s="655" t="str">
        <f t="shared" ref="Y6:Y37" si="7">IF(ISBLANK(C6),"",IF(ISERROR(J6),"",""))</f>
        <v/>
      </c>
      <c r="Z6" s="655" t="str">
        <f t="shared" ref="Z6:Z69" si="8">IF(ISBLANK(C6),"",IF(ISERROR(J6),"",IF(AND(eff_date-C6&lt;0,C6&lt;&gt;""),"x","")))</f>
        <v/>
      </c>
      <c r="AA6" s="655" t="str">
        <f t="shared" ref="AA6:AA69" si="9">IF(D6="","",IF(OR(D6="M",D6="Male"),"M",IF(OR(D6="F",D6="Female"),"F",IF(D6="M/F","M/F",""))))</f>
        <v/>
      </c>
      <c r="AB6" s="655" t="str">
        <f>IF(E6="","",IF(OR(E6="Married",E6="M"),"M",IF(OR(E6="Single",E6="S"),"S","")))</f>
        <v/>
      </c>
      <c r="AC6" s="655" t="str">
        <f>IF(AND(H6="Employee",J6&gt;=18),"",IF(H6="Dependent","","x"))</f>
        <v>x</v>
      </c>
      <c r="AD6" s="655" t="str">
        <f>IF(ISBLANK(I6),"x",IF(ISNUMBER(MATCH(I6,'Inputs Mapping'!$AF$5:$AF$199,0)),"","x"))</f>
        <v>x</v>
      </c>
      <c r="AE6" s="655" t="str">
        <f>IF(D6="","",IF(G6="Abu Dhabi","Abu Dhabi","Dubai"))</f>
        <v/>
      </c>
      <c r="AF6" s="655"/>
      <c r="AG6" s="655"/>
      <c r="AH6" s="148" t="str">
        <f>F6&amp;AE6</f>
        <v/>
      </c>
      <c r="AI6" s="654" t="str">
        <f>IF(J6="","",VLOOKUP(J6,'Inputs Mapping'!$T$27:$V$31,3))</f>
        <v/>
      </c>
      <c r="AJ6" s="654" t="str">
        <f>IF(J6="","",VLOOKUP(J6,'Inputs Mapping'!$T$17:$V$24,3))</f>
        <v/>
      </c>
      <c r="AK6" s="654" t="str">
        <f>IF(AE6="Dubai",IF(J6="","",1*AND(LEFT(AA6)="F",LEFT(AB6)="M",J6&gt;=$AK$3,J6&lt;$AK$4+1)),IF(J6="","",1*AND(LEFT(AA6)="F",LEFT(AB6)="M",J6&gt;=$AJ$3,J6&lt;$AJ$4+1)))</f>
        <v/>
      </c>
      <c r="AL6" s="655" t="str">
        <f t="shared" ref="AL6:AL37" si="10">K6</f>
        <v/>
      </c>
      <c r="AM6" s="655" t="str">
        <f>IF(F6="","",IF(AE6="Dubai",HLOOKUP(F6,Inputs!$C$26:$M$36,5,0),HLOOKUP(F6,Inputs!$C$45:$M$49,5,0)))</f>
        <v/>
      </c>
      <c r="AN6" s="655">
        <f>IF(C6="",0,IF(G6="Abu Dhabi","Abu Dhabi","Dubai"))</f>
        <v>0</v>
      </c>
      <c r="AO6" s="654" t="str">
        <f>IF(AJ6="","",IF(AN6="Dubai",VLOOKUP(AJ6,'Inputs Mapping'!$V$17:$W$24,2,0),VLOOKUP(AI6,'Inputs Mapping'!$V$27:$W$31,2,0)))</f>
        <v/>
      </c>
      <c r="AP6" s="666">
        <f>IFERROR(IF($AN6="","",HLOOKUP($AN6&amp;RIGHT($AL6,1),'input for formula'!$B$16:$I$20,3,0)),0)</f>
        <v>0</v>
      </c>
      <c r="AQ6" s="656">
        <f>IFERROR(IF($AN6="","",HLOOKUP($AN6&amp;$F6,'input for formula'!$B$22:$M$25,2,0)),0)</f>
        <v>0</v>
      </c>
      <c r="AR6" s="666">
        <f>IFERROR(IF($AN6="","",HLOOKUP($AN6&amp;RIGHT($AL6,1),'input for formula'!$B$16:$I$20,4,0)),0)</f>
        <v>0</v>
      </c>
      <c r="AS6" s="656">
        <f>IFERROR(IF($AN6="","",HLOOKUP($AN6&amp;$F6,'input for formula'!$B$22:$M$25,3,0)),0)</f>
        <v>0</v>
      </c>
      <c r="AT6" s="656">
        <f>IFERROR(IF($AN6="","",HLOOKUP($AN6&amp;RIGHT($AL6,1),'input for formula'!$B$16:$I$20,5,0)),0)</f>
        <v>0</v>
      </c>
      <c r="AU6" s="656">
        <f>IFERROR(IF($AN6="","",HLOOKUP($AN6&amp;$F6,'input for formula'!$B$22:$M$25,4,0)),0)</f>
        <v>0</v>
      </c>
      <c r="AV6" s="666">
        <f>IFERROR(IF($AN6="","",IF('Census Data'!$AN6="Abu Dhabi",VLOOKUP('Census Data'!$AM6,'input for formula'!$A$28:$C$41,3,0),VLOOKUP('Census Data'!$AM6,'input for formula'!$A$28:$C$47,2,0))),0)*IFERROR(1+IF(AN6="Dubai",VLOOKUP(F6,'Quotation for Dubai Plans'!$V$6:$X$12,3,FALSE),VLOOKUP(F6,'Quotation for Abu Dhabi Plans'!$W$6:$Y$12,3,FALSE)),0)</f>
        <v>0</v>
      </c>
      <c r="AW6" s="656" t="str">
        <f>AK6</f>
        <v/>
      </c>
      <c r="AX6" s="667" t="str">
        <f>IFERROR(IF(AL6="","",IF(AN6="Dubai",HLOOKUP((AL6&amp;AM6),Deviation!$B$7:$S$8,2,0)*BF6*BH6*BI6*BG6,HLOOKUP((AL6&amp;AM6),Deviation!$B$9:$O$10,2,0)*BF6*BH6*BI6*BG6)),0)</f>
        <v/>
      </c>
      <c r="AY6" s="668" t="str">
        <f>IF(AL6="","",IFERROR(IF(AL6="","",IF(AN6="Dubai",HLOOKUP(AZ6,'input for formula'!$B$3:$F$10,AO6,FALSE), IF(AND(H6="Employee",AN6="Abu Dhabi"),HLOOKUP(AZ6,'input for formula'!$I$3:$K$7,AO6,FALSE),HLOOKUP(AZ6,'input for formula'!$M$3:$O$7,AO6,FALSE)))*AX6+AP6*AQ6+AR6*AS6+AT6*AU6),0)*$AZ$3*BK6*BJ6*IF(AND(Inputs!$C$19&gt;19,Inputs!$C$19&lt;30),(1+$AZ$2),1)*(1+$AZ$1))</f>
        <v/>
      </c>
      <c r="AZ6" s="148" t="str">
        <f>IF(AL6="","",IF(AN6="","",AN6&amp;RIGHT(AL6,1)))</f>
        <v/>
      </c>
      <c r="BA6" s="669" t="str">
        <f>IF(F6="","",IF(AE6="Dubai",HLOOKUP(F6,Inputs!$C$26:$M$37,9,0),HLOOKUP(F6,Inputs!$C$45:$M$56,9,0)))</f>
        <v/>
      </c>
      <c r="BB6" s="670" t="str">
        <f>IF(F6="","",IF(AE6="Dubai",HLOOKUP(F6,Inputs!$C$26:$M$37,10,0),HLOOKUP(F6,Inputs!$C$45:$M$56,10,0)))</f>
        <v/>
      </c>
      <c r="BC6" s="670" t="str">
        <f>IF(F6="","",IF(AE6="Dubai",HLOOKUP(F6,Inputs!$C$26:$M$37,11,0),HLOOKUP(F6,Inputs!$C$45:$M$56,11,0)))</f>
        <v/>
      </c>
      <c r="BD6" s="669" t="str">
        <f>IF(F6="","",IF(AE6="Dubai",HLOOKUP(F6,Inputs!$C$26:$M$37,12,0),HLOOKUP(F6,Inputs!$C$45:$M$56,12,0)))</f>
        <v/>
      </c>
      <c r="BE6" s="654"/>
      <c r="BF6" s="669" t="str">
        <f>IFERROR(IF(AL6="","",IF(AN6="Dubai",IF(OR(AL6="Plan1",AL6="Plan2"),VLOOKUP(BA6,Deviation!$B$31:$D$33,2,FALSE),VLOOKUP(BA6,Deviation!$B$31:$D$33,3,FALSE)),IF(OR(AL6="Plan1",AL6="Plan2"),VLOOKUP(BA6,Deviation!$E$31:$AE$33,2,FALSE),VLOOKUP(BA6,Deviation!$E$31:$AE$33,3,FALSE)))),0)</f>
        <v/>
      </c>
      <c r="BG6" s="671" t="str">
        <f>IFERROR(IF(AL6="","",IF(AN6="Dubai",IF(AL6="Plan1",VLOOKUP(BB6,Deviation!$B$39:$C$40,2,FALSE),IF(AL6="Plan2",VLOOKUP(BB6,Deviation!$B$42:$C$43,2,FALSE),IF(AL6="Plan5",VLOOKUP(BB6,Deviation!$B$48:$C$49,2,FALSE),VLOOKUP(BB6,Deviation!$B$45:$C$46,2,FALSE)))),IF(AL6="Plan1",VLOOKUP(BB6,Deviation!$E$39:$F$40,2,FALSE),IF(AL6="Plan2",VLOOKUP(BB6,Deviation!$E$42:$F$43,2,FALSE),VLOOKUP(BB6,Deviation!$E$45:$F$46,2,FALSE))))),0)</f>
        <v/>
      </c>
      <c r="BH6" s="671" t="str">
        <f>IFERROR(IF(AL6="","",IF(AN6="Dubai",IF(OR(AL6="Plan1",AL6="Plan2"),VLOOKUP(BC6,Deviation!$B$15:$D$19,2,FALSE),VLOOKUP(BC6,Deviation!$B$15:$D$19,3,FALSE)),IF(OR(AL6="Plan1",AL6="Plan2"),VLOOKUP(BC6,Deviation!$E$15:$AE$19,2,FALSE),VLOOKUP(BC6,Deviation!$E$15:$AE$19,3,FALSE)))),0)</f>
        <v/>
      </c>
      <c r="BI6" s="669" t="str">
        <f>IFERROR(IF(AL6="","",IF(AN6="Dubai",VLOOKUP(BD6,Deviation!$B$24:$C$26,2,FALSE),100%)),0)</f>
        <v/>
      </c>
      <c r="BJ6" s="672">
        <f>IF(AE6="Abu Dhabi",1,IFERROR(VLOOKUP(AM6,Deviation!$B$67:$E$79,MATCH('Census Data'!AA6,Deviation!$B$66:$E$66,0),0),1))</f>
        <v>1</v>
      </c>
      <c r="BK6" s="659">
        <f>IFERROR(VLOOKUP(I6,Deviation!$B$54:$C$62,2,0),1)</f>
        <v>1</v>
      </c>
      <c r="BL6" s="148"/>
      <c r="BM6" s="148"/>
      <c r="BN6" s="664" t="s">
        <v>63</v>
      </c>
      <c r="BO6" s="655">
        <f>COUNTIFS($J$6:$J$205,"&gt;69",$AE$6:$AE$205,"Dubai",$F$6:$F$205,"A")</f>
        <v>0</v>
      </c>
      <c r="BP6" s="655">
        <f>COUNTIFS($J$6:$J$205,"&gt;69",$AE$6:$AE$205,"Abu Dhabi",$F$6:$F$205,"A",$H$6:$H$205,"Employee")</f>
        <v>0</v>
      </c>
      <c r="BQ6" s="655">
        <f>COUNTIFS($J$6:$J$205,"&gt;69",$AE$6:$AE$205,"Abu Dhabi",$F$6:$F$205,"A",$H$6:$H$205,"Dependent")</f>
        <v>0</v>
      </c>
      <c r="BR6" s="655">
        <f>COUNTIFS($J$6:$J$205,"&gt;69",$AE$6:$AE$205,"Abu Dhabi",$F$6:$F$205,"A",$AK$6:$AK$205,1)</f>
        <v>0</v>
      </c>
      <c r="BS6" s="148"/>
      <c r="BT6" s="148" t="e">
        <f>IF(AK6=0,AY6,(AY6+AV6))</f>
        <v>#VALUE!</v>
      </c>
      <c r="BU6" t="str">
        <f>IF(AL6="","",IFERROR(IF(AL6="","",IF(AN6="Dubai",HLOOKUP(AZ6,'input for formula'!$B$3:$F$10,AO6,FALSE), IF(AND(H6="Employee",AN6="Abu Dhabi"),HLOOKUP(AZ6,'input for formula'!$I$3:$K$7,AO6,FALSE),HLOOKUP(AZ6,'input for formula'!$M$3:$O$7,AO6,FALSE)))*AX6+AP6*AQ6+AR6*AS6+AT6*AU6),0)*$AZ$3*BK6*BJ6*IF(AND(Inputs!$C$19&gt;19,Inputs!$C$19&lt;30),(1+$AZ$2),1))</f>
        <v/>
      </c>
    </row>
    <row r="7" spans="1:73" ht="15" x14ac:dyDescent="0.25">
      <c r="A7" s="59">
        <v>2</v>
      </c>
      <c r="B7" s="470"/>
      <c r="C7" s="628"/>
      <c r="D7" s="629"/>
      <c r="E7" s="471"/>
      <c r="F7" s="298"/>
      <c r="G7" s="298"/>
      <c r="H7" s="298"/>
      <c r="I7" s="298"/>
      <c r="J7" s="80" t="str">
        <f>IFERROR(IF(C7="","",DATEDIF('Census Data'!C7,eff_date,"y")),"")</f>
        <v/>
      </c>
      <c r="K7" s="59" t="str">
        <f>IF(F7="","",IF(AE7="Dubai",HLOOKUP(F7,Inputs!$C$26:$M$28,3,0),HLOOKUP(F7,Inputs!$C$45:$M$46,2,0)))</f>
        <v/>
      </c>
      <c r="L7" s="104"/>
      <c r="M7" s="105">
        <f t="shared" si="1"/>
        <v>0</v>
      </c>
      <c r="N7" s="654" t="b">
        <f t="shared" ref="N7:N37" si="11">NOT(AND(ISBLANK(C7),ISBLANK(D7),ISBLANK(E7),ISBLANK(F7),ISBLANK(G7)))</f>
        <v>0</v>
      </c>
      <c r="O7" s="655" t="str">
        <f t="shared" si="2"/>
        <v>x</v>
      </c>
      <c r="P7" s="655" t="str">
        <f t="shared" si="3"/>
        <v>x</v>
      </c>
      <c r="Q7" s="655" t="str">
        <f t="shared" si="4"/>
        <v>x</v>
      </c>
      <c r="R7" s="655" t="str">
        <f t="shared" ref="R7:R27" si="12">IF(OR(ISBLANK(F7),K7=0),"x","")</f>
        <v>x</v>
      </c>
      <c r="S7" s="655" t="str">
        <f t="shared" si="5"/>
        <v>x</v>
      </c>
      <c r="T7" s="655" t="str">
        <f>IF(ISERROR(MATCH(G7,'Inputs Mapping'!$T$4:$T$10,0)),"x","")</f>
        <v>x</v>
      </c>
      <c r="U7" s="655" t="str">
        <f>IF(ISERROR(MATCH(AA7,'Inputs Mapping'!$U$4:$U$5,0)),"x","")</f>
        <v>x</v>
      </c>
      <c r="V7" s="655" t="str">
        <f>IF(ISERROR(MATCH(AB7,'Inputs Mapping'!$V$4:$V$5,0)),"x","")</f>
        <v>x</v>
      </c>
      <c r="W7" s="655" t="str">
        <f>IF(ISERROR(MATCH(F7,'Inputs Mapping'!$W$4:$W$8,0)),"x","")</f>
        <v>x</v>
      </c>
      <c r="X7" s="655" t="str">
        <f t="shared" si="6"/>
        <v/>
      </c>
      <c r="Y7" s="655" t="str">
        <f t="shared" si="7"/>
        <v/>
      </c>
      <c r="Z7" s="655" t="str">
        <f t="shared" si="8"/>
        <v/>
      </c>
      <c r="AA7" s="655" t="str">
        <f t="shared" si="9"/>
        <v/>
      </c>
      <c r="AB7" s="655" t="str">
        <f t="shared" ref="AB7:AB70" si="13">IF(E7="","",IF(OR(E7="Married",E7="M"),"M",IF(OR(E7="Single",E7="S"),"S","")))</f>
        <v/>
      </c>
      <c r="AC7" s="655" t="str">
        <f>IF(AND(H7="Employee",J7&gt;=18),"",IF(H7="Dependent","","x"))</f>
        <v>x</v>
      </c>
      <c r="AD7" s="655" t="str">
        <f>IF(ISBLANK(I7),"x",IF(ISNUMBER(MATCH(I7,'Inputs Mapping'!$AF$5:$AF$199,0)),"","x"))</f>
        <v>x</v>
      </c>
      <c r="AE7" s="655" t="str">
        <f t="shared" ref="AE7:AE70" si="14">IF(D7="","",IF(G7="Abu Dhabi","Abu Dhabi","Dubai"))</f>
        <v/>
      </c>
      <c r="AF7" s="148"/>
      <c r="AG7" s="148"/>
      <c r="AH7" s="148" t="str">
        <f t="shared" ref="AH7:AH70" si="15">F7&amp;AE7</f>
        <v/>
      </c>
      <c r="AI7" s="654" t="str">
        <f>IF(J7="","",VLOOKUP(J7,'Inputs Mapping'!$T$27:$V$31,3))</f>
        <v/>
      </c>
      <c r="AJ7" s="654" t="str">
        <f>IF(J7="","",VLOOKUP(J7,'Inputs Mapping'!$T$17:$V$24,3))</f>
        <v/>
      </c>
      <c r="AK7" s="654" t="str">
        <f t="shared" ref="AK7:AK70" si="16">IF(AE7="Dubai",IF(J7="","",1*AND(LEFT(AA7)="F",LEFT(AB7)="M",J7&gt;=$AK$3,J7&lt;$AK$4+1)),IF(J7="","",1*AND(LEFT(AA7)="F",LEFT(AB7)="M",J7&gt;=$AJ$3,J7&lt;$AJ$4+1)))</f>
        <v/>
      </c>
      <c r="AL7" s="655" t="str">
        <f t="shared" si="10"/>
        <v/>
      </c>
      <c r="AM7" s="655" t="str">
        <f>IF(F7="","",IF(AE7="Dubai",HLOOKUP(F7,Inputs!$C$26:$M$36,5,0),HLOOKUP(F7,Inputs!$C$45:$M$49,5,0)))</f>
        <v/>
      </c>
      <c r="AN7" s="655">
        <f t="shared" ref="AN7:AN70" si="17">IF(C7="",0,IF(G7="Abu Dhabi","Abu Dhabi","Dubai"))</f>
        <v>0</v>
      </c>
      <c r="AO7" s="654" t="str">
        <f>IF(AJ7="","",IF(AN7="Dubai",VLOOKUP(AJ7,'Inputs Mapping'!$V$17:$W$24,2,0),VLOOKUP(AI7,'Inputs Mapping'!$V$27:$W$31,2,0)))</f>
        <v/>
      </c>
      <c r="AP7" s="666">
        <f>IFERROR(IF($AN7="","",HLOOKUP($AN7&amp;RIGHT($AL7,1),'input for formula'!$B$16:$I$20,3,0)),0)</f>
        <v>0</v>
      </c>
      <c r="AQ7" s="656">
        <f>IFERROR(IF($AN7="","",HLOOKUP($AN7&amp;$F7,'input for formula'!$B$22:$M$25,2,0)),0)</f>
        <v>0</v>
      </c>
      <c r="AR7" s="666">
        <f>IFERROR(IF($AN7="","",HLOOKUP($AN7&amp;RIGHT($AL7,1),'input for formula'!$B$16:$I$20,4,0)),0)</f>
        <v>0</v>
      </c>
      <c r="AS7" s="656">
        <f>IFERROR(IF($AN7="","",HLOOKUP($AN7&amp;$F7,'input for formula'!$B$22:$M$25,3,0)),0)</f>
        <v>0</v>
      </c>
      <c r="AT7" s="656">
        <f>IFERROR(IF($AN7="","",HLOOKUP($AN7&amp;RIGHT($AL7,1),'input for formula'!$B$16:$I$20,5,0)),0)</f>
        <v>0</v>
      </c>
      <c r="AU7" s="656">
        <f>IFERROR(IF($AN7="","",HLOOKUP($AN7&amp;$F7,'input for formula'!$B$22:$M$25,4,0)),0)</f>
        <v>0</v>
      </c>
      <c r="AV7" s="666">
        <f>IFERROR(IF($AN7="","",IF('Census Data'!$AN7="Abu Dhabi",VLOOKUP('Census Data'!$AM7,'input for formula'!$A$28:$C$41,3,0),VLOOKUP('Census Data'!$AM7,'input for formula'!$A$28:$C$47,2,0))),0)*IFERROR(1+IF(AN7="Dubai",VLOOKUP(F7,'Quotation for Dubai Plans'!$V$6:$X$12,3,FALSE),VLOOKUP(F7,'Quotation for Abu Dhabi Plans'!$W$6:$Y$12,3,FALSE)),0)</f>
        <v>0</v>
      </c>
      <c r="AW7" s="656" t="str">
        <f t="shared" ref="AW7:AW33" si="18">AK7</f>
        <v/>
      </c>
      <c r="AX7" s="667" t="str">
        <f>IFERROR(IF(AL7="","",IF(AN7="Dubai",HLOOKUP((AL7&amp;AM7),Deviation!$B$7:$S$8,2,0)*BF7*BH7*BI7*BG7,HLOOKUP((AL7&amp;AM7),Deviation!$B$9:$O$10,2,0)*BF7*BH7*BI7*BG7)),0)</f>
        <v/>
      </c>
      <c r="AY7" s="668" t="str">
        <f>IF(AL7="","",IFERROR(IF(AL7="","",IF(AN7="Dubai",HLOOKUP(AZ7,'input for formula'!$B$3:$F$10,AO7,FALSE), IF(AND(H7="Employee",AN7="Abu Dhabi"),HLOOKUP(AZ7,'input for formula'!$I$3:$K$7,AO7,FALSE),HLOOKUP(AZ7,'input for formula'!$M$3:$O$7,AO7,FALSE)))*AX7+AP7*AQ7+AR7*AS7+AT7*AU7),0)*$AZ$3*BK7*BJ7*IF(AND(Inputs!$C$19&gt;19,Inputs!$C$19&lt;30),(1+$AZ$2),1)*(1+$AZ$1))</f>
        <v/>
      </c>
      <c r="AZ7" s="148" t="str">
        <f t="shared" ref="AZ7:AZ70" si="19">IF(AL7="","",IF(AN7="","",AN7&amp;RIGHT(AL7,1)))</f>
        <v/>
      </c>
      <c r="BA7" s="669" t="str">
        <f>IF(F7="","",IF(AE7="Dubai",HLOOKUP(F7,Inputs!$C$26:$M$37,9,0),HLOOKUP(F7,Inputs!$C$45:$M$56,9,0)))</f>
        <v/>
      </c>
      <c r="BB7" s="670" t="str">
        <f>IF(F7="","",IF(AE7="Dubai",HLOOKUP(F7,Inputs!$C$26:$M$37,10,0),HLOOKUP(F7,Inputs!$C$45:$M$56,10,0)))</f>
        <v/>
      </c>
      <c r="BC7" s="670" t="str">
        <f>IF(F7="","",IF(AE7="Dubai",HLOOKUP(F7,Inputs!$C$26:$M$37,11,0),HLOOKUP(F7,Inputs!$C$45:$M$56,11,0)))</f>
        <v/>
      </c>
      <c r="BD7" s="669" t="str">
        <f>IF(F7="","",IF(AE7="Dubai",HLOOKUP(F7,Inputs!$C$26:$M$37,12,0),HLOOKUP(F7,Inputs!$C$45:$M$56,12,0)))</f>
        <v/>
      </c>
      <c r="BE7" s="654"/>
      <c r="BF7" s="669" t="str">
        <f>IFERROR(IF(AL7="","",IF(AN7="Dubai",IF(OR(AL7="Plan1",AL7="Plan2"),VLOOKUP(BA7,Deviation!$B$31:$D$33,2,FALSE),VLOOKUP(BA7,Deviation!$B$31:$D$33,3,FALSE)),IF(OR(AL7="Plan1",AL7="Plan2"),VLOOKUP(BA7,Deviation!$E$31:$AE$33,2,FALSE),VLOOKUP(BA7,Deviation!$E$31:$AE$33,3,FALSE)))),0)</f>
        <v/>
      </c>
      <c r="BG7" s="671" t="str">
        <f>IFERROR(IF(AL7="","",IF(AN7="Dubai",IF(AL7="Plan1",VLOOKUP(BB7,Deviation!$B$39:$C$40,2,FALSE),IF(AL7="Plan2",VLOOKUP(BB7,Deviation!$B$42:$C$43,2,FALSE),IF(AL7="Plan5",VLOOKUP(BB7,Deviation!$B$48:$C$49,2,FALSE),VLOOKUP(BB7,Deviation!$B$45:$C$46,2,FALSE)))),IF(AL7="Plan1",VLOOKUP(BB7,Deviation!$E$39:$F$40,2,FALSE),IF(AL7="Plan2",VLOOKUP(BB7,Deviation!$E$42:$F$43,2,FALSE),VLOOKUP(BB7,Deviation!$E$45:$F$46,2,FALSE))))),0)</f>
        <v/>
      </c>
      <c r="BH7" s="671" t="str">
        <f>IFERROR(IF(AL7="","",IF(AN7="Dubai",IF(OR(AL7="Plan1",AL7="Plan2"),VLOOKUP(BC7,Deviation!$B$15:$D$19,2,FALSE),VLOOKUP(BC7,Deviation!$B$15:$D$19,3,FALSE)),IF(OR(AL7="Plan1",AL7="Plan2"),VLOOKUP(BC7,Deviation!$E$15:$AE$19,2,FALSE),VLOOKUP(BC7,Deviation!$E$15:$AE$19,3,FALSE)))),0)</f>
        <v/>
      </c>
      <c r="BI7" s="669" t="str">
        <f>IFERROR(IF(AL7="","",IF(AN7="Dubai",VLOOKUP(BD7,Deviation!$B$24:$C$26,2,FALSE),100%)),0)</f>
        <v/>
      </c>
      <c r="BJ7" s="672">
        <f>IF(AE7="Abu Dhabi",1,IFERROR(VLOOKUP(AM7,Deviation!$B$67:$E$79,MATCH('Census Data'!AA7,Deviation!$B$66:$E$66,0),0),1))</f>
        <v>1</v>
      </c>
      <c r="BK7" s="659">
        <f>IFERROR(VLOOKUP(I7,Deviation!$B$54:$C$62,2,0),1)</f>
        <v>1</v>
      </c>
      <c r="BL7" s="148"/>
      <c r="BM7" s="148"/>
      <c r="BN7" s="673" t="s">
        <v>64</v>
      </c>
      <c r="BO7" s="655">
        <f>COUNTIFS($J$6:$J$205,"&gt;69",$AE$6:$AE$205,"Dubai",$F$6:$F$205,"B")</f>
        <v>0</v>
      </c>
      <c r="BP7" s="655">
        <f>COUNTIFS($J$6:$J$205,"&gt;69",$AE$6:$AE$205,"Abu Dhabi",$F$6:$F$205,"B",$H$6:$H$205,"Employee")</f>
        <v>0</v>
      </c>
      <c r="BQ7" s="655">
        <f>COUNTIFS($J$6:$J$205,"&gt;69",$AE$6:$AE$205,"Abu Dhabi",$F$6:$F$205,"B",$H$6:$H$205,"Dependent")</f>
        <v>0</v>
      </c>
      <c r="BR7" s="655">
        <f>COUNTIFS($J$6:$J$205,"&gt;69",$AE$6:$AE$205,"Abu Dhabi",$F$6:$F$205,"B",$AK$6:$AK$205,1)</f>
        <v>0</v>
      </c>
      <c r="BS7" s="148"/>
      <c r="BT7" s="148" t="e">
        <f t="shared" ref="BT7:BT70" si="20">IF(AK7=0,AY7,(AY7+AV7))</f>
        <v>#VALUE!</v>
      </c>
      <c r="BU7" t="str">
        <f>IF(AL7="","",IFERROR(IF(AL7="","",IF(AN7="Dubai",HLOOKUP(AZ7,'input for formula'!$B$3:$F$10,AO7,FALSE), IF(AND(H7="Employee",AN7="Abu Dhabi"),HLOOKUP(AZ7,'input for formula'!$I$3:$K$7,AO7,FALSE),HLOOKUP(AZ7,'input for formula'!$M$3:$O$7,AO7,FALSE)))*AX7+AP7*AQ7+AR7*AS7+AT7*AU7),0)*$AZ$3*BK7*BJ7*IF(AND(Inputs!$C$19&gt;19,Inputs!$C$19&lt;30),(1+$AZ$2),1))</f>
        <v/>
      </c>
    </row>
    <row r="8" spans="1:73" ht="15" x14ac:dyDescent="0.25">
      <c r="A8" s="59">
        <v>3</v>
      </c>
      <c r="B8" s="470"/>
      <c r="C8" s="628"/>
      <c r="D8" s="629"/>
      <c r="E8" s="471"/>
      <c r="F8" s="298"/>
      <c r="G8" s="298"/>
      <c r="H8" s="298"/>
      <c r="I8" s="298"/>
      <c r="J8" s="80" t="str">
        <f>IFERROR(IF(C8="","",DATEDIF('Census Data'!C8,eff_date,"y")),"")</f>
        <v/>
      </c>
      <c r="K8" s="59" t="str">
        <f>IF(F8="","",IF(AE8="Dubai",HLOOKUP(F8,Inputs!$C$26:$M$28,3,0),HLOOKUP(F8,Inputs!$C$45:$M$46,2,0)))</f>
        <v/>
      </c>
      <c r="L8" s="104"/>
      <c r="M8" s="105">
        <f t="shared" si="1"/>
        <v>0</v>
      </c>
      <c r="N8" s="654" t="b">
        <f t="shared" si="11"/>
        <v>0</v>
      </c>
      <c r="O8" s="655" t="str">
        <f t="shared" si="2"/>
        <v>x</v>
      </c>
      <c r="P8" s="655" t="str">
        <f t="shared" si="3"/>
        <v>x</v>
      </c>
      <c r="Q8" s="655" t="str">
        <f t="shared" si="4"/>
        <v>x</v>
      </c>
      <c r="R8" s="655" t="str">
        <f t="shared" si="12"/>
        <v>x</v>
      </c>
      <c r="S8" s="655" t="str">
        <f t="shared" si="5"/>
        <v>x</v>
      </c>
      <c r="T8" s="655" t="str">
        <f>IF(ISERROR(MATCH(G8,'Inputs Mapping'!$T$4:$T$10,0)),"x","")</f>
        <v>x</v>
      </c>
      <c r="U8" s="655" t="str">
        <f>IF(ISERROR(MATCH(AA8,'Inputs Mapping'!$U$4:$U$5,0)),"x","")</f>
        <v>x</v>
      </c>
      <c r="V8" s="655" t="str">
        <f>IF(ISERROR(MATCH(AB8,'Inputs Mapping'!$V$4:$V$5,0)),"x","")</f>
        <v>x</v>
      </c>
      <c r="W8" s="655" t="str">
        <f>IF(ISERROR(MATCH(F8,'Inputs Mapping'!$W$4:$W$8,0)),"x","")</f>
        <v>x</v>
      </c>
      <c r="X8" s="655" t="str">
        <f t="shared" si="6"/>
        <v/>
      </c>
      <c r="Y8" s="655" t="str">
        <f t="shared" si="7"/>
        <v/>
      </c>
      <c r="Z8" s="655" t="str">
        <f t="shared" si="8"/>
        <v/>
      </c>
      <c r="AA8" s="655" t="str">
        <f t="shared" si="9"/>
        <v/>
      </c>
      <c r="AB8" s="655" t="str">
        <f t="shared" si="13"/>
        <v/>
      </c>
      <c r="AC8" s="655" t="str">
        <f t="shared" ref="AC8:AC71" si="21">IF(AND(H8="Employee",J8&gt;=18),"",IF(H8="Dependent","","x"))</f>
        <v>x</v>
      </c>
      <c r="AD8" s="655" t="str">
        <f>IF(ISBLANK(I8),"x",IF(ISNUMBER(MATCH(I8,'Inputs Mapping'!$AF$5:$AF$199,0)),"","x"))</f>
        <v>x</v>
      </c>
      <c r="AE8" s="655" t="str">
        <f t="shared" si="14"/>
        <v/>
      </c>
      <c r="AF8" s="148"/>
      <c r="AG8" s="148"/>
      <c r="AH8" s="148" t="str">
        <f t="shared" si="15"/>
        <v/>
      </c>
      <c r="AI8" s="654" t="str">
        <f>IF(J8="","",VLOOKUP(J8,'Inputs Mapping'!$T$27:$V$31,3))</f>
        <v/>
      </c>
      <c r="AJ8" s="654" t="str">
        <f>IF(J8="","",VLOOKUP(J8,'Inputs Mapping'!$T$17:$V$24,3))</f>
        <v/>
      </c>
      <c r="AK8" s="654" t="str">
        <f t="shared" si="16"/>
        <v/>
      </c>
      <c r="AL8" s="655" t="str">
        <f t="shared" si="10"/>
        <v/>
      </c>
      <c r="AM8" s="655" t="str">
        <f>IF(F8="","",IF(AE8="Dubai",HLOOKUP(F8,Inputs!$C$26:$M$36,5,0),HLOOKUP(F8,Inputs!$C$45:$M$49,5,0)))</f>
        <v/>
      </c>
      <c r="AN8" s="655">
        <f t="shared" si="17"/>
        <v>0</v>
      </c>
      <c r="AO8" s="654" t="str">
        <f>IF(AJ8="","",IF(AN8="Dubai",VLOOKUP(AJ8,'Inputs Mapping'!$V$17:$W$24,2,0),VLOOKUP(AI8,'Inputs Mapping'!$V$27:$W$31,2,0)))</f>
        <v/>
      </c>
      <c r="AP8" s="666">
        <f>IFERROR(IF($AN8="","",HLOOKUP($AN8&amp;RIGHT($AL8,1),'input for formula'!$B$16:$I$20,3,0)),0)</f>
        <v>0</v>
      </c>
      <c r="AQ8" s="656">
        <f>IFERROR(IF($AN8="","",HLOOKUP($AN8&amp;$F8,'input for formula'!$B$22:$M$25,2,0)),0)</f>
        <v>0</v>
      </c>
      <c r="AR8" s="666">
        <f>IFERROR(IF($AN8="","",HLOOKUP($AN8&amp;RIGHT($AL8,1),'input for formula'!$B$16:$I$20,4,0)),0)</f>
        <v>0</v>
      </c>
      <c r="AS8" s="656">
        <f>IFERROR(IF($AN8="","",HLOOKUP($AN8&amp;$F8,'input for formula'!$B$22:$M$25,3,0)),0)</f>
        <v>0</v>
      </c>
      <c r="AT8" s="656">
        <f>IFERROR(IF($AN8="","",HLOOKUP($AN8&amp;RIGHT($AL8,1),'input for formula'!$B$16:$I$20,5,0)),0)</f>
        <v>0</v>
      </c>
      <c r="AU8" s="656">
        <f>IFERROR(IF($AN8="","",HLOOKUP($AN8&amp;$F8,'input for formula'!$B$22:$M$25,4,0)),0)</f>
        <v>0</v>
      </c>
      <c r="AV8" s="666">
        <f>IFERROR(IF($AN8="","",IF('Census Data'!$AN8="Abu Dhabi",VLOOKUP('Census Data'!$AM8,'input for formula'!$A$28:$C$41,3,0),VLOOKUP('Census Data'!$AM8,'input for formula'!$A$28:$C$47,2,0))),0)*IFERROR(1+IF(AN8="Dubai",VLOOKUP(F8,'Quotation for Dubai Plans'!$V$6:$X$12,3,FALSE),VLOOKUP(F8,'Quotation for Abu Dhabi Plans'!$W$6:$Y$12,3,FALSE)),0)</f>
        <v>0</v>
      </c>
      <c r="AW8" s="656" t="str">
        <f t="shared" si="18"/>
        <v/>
      </c>
      <c r="AX8" s="667" t="str">
        <f>IFERROR(IF(AL8="","",IF(AN8="Dubai",HLOOKUP((AL8&amp;AM8),Deviation!$B$7:$S$8,2,0)*BF8*BH8*BI8*BG8,HLOOKUP((AL8&amp;AM8),Deviation!$B$9:$O$10,2,0)*BF8*BH8*BI8*BG8)),0)</f>
        <v/>
      </c>
      <c r="AY8" s="668" t="str">
        <f>IF(AL8="","",IFERROR(IF(AL8="","",IF(AN8="Dubai",HLOOKUP(AZ8,'input for formula'!$B$3:$F$10,AO8,FALSE), IF(AND(H8="Employee",AN8="Abu Dhabi"),HLOOKUP(AZ8,'input for formula'!$I$3:$K$7,AO8,FALSE),HLOOKUP(AZ8,'input for formula'!$M$3:$O$7,AO8,FALSE)))*AX8+AP8*AQ8+AR8*AS8+AT8*AU8),0)*$AZ$3*BK8*BJ8*IF(AND(Inputs!$C$19&gt;19,Inputs!$C$19&lt;30),(1+$AZ$2),1)*(1+$AZ$1))</f>
        <v/>
      </c>
      <c r="AZ8" s="148" t="str">
        <f t="shared" si="19"/>
        <v/>
      </c>
      <c r="BA8" s="669" t="str">
        <f>IF(F8="","",IF(AE8="Dubai",HLOOKUP(F8,Inputs!$C$26:$M$37,9,0),HLOOKUP(F8,Inputs!$C$45:$M$56,9,0)))</f>
        <v/>
      </c>
      <c r="BB8" s="670" t="str">
        <f>IF(F8="","",IF(AE8="Dubai",HLOOKUP(F8,Inputs!$C$26:$M$37,10,0),HLOOKUP(F8,Inputs!$C$45:$M$56,10,0)))</f>
        <v/>
      </c>
      <c r="BC8" s="670" t="str">
        <f>IF(F8="","",IF(AE8="Dubai",HLOOKUP(F8,Inputs!$C$26:$M$37,11,0),HLOOKUP(F8,Inputs!$C$45:$M$56,11,0)))</f>
        <v/>
      </c>
      <c r="BD8" s="669" t="str">
        <f>IF(F8="","",IF(AE8="Dubai",HLOOKUP(F8,Inputs!$C$26:$M$37,12,0),HLOOKUP(F8,Inputs!$C$45:$M$56,12,0)))</f>
        <v/>
      </c>
      <c r="BE8" s="654"/>
      <c r="BF8" s="669" t="str">
        <f>IFERROR(IF(AL8="","",IF(AN8="Dubai",IF(OR(AL8="Plan1",AL8="Plan2"),VLOOKUP(BA8,Deviation!$B$31:$D$33,2,FALSE),VLOOKUP(BA8,Deviation!$B$31:$D$33,3,FALSE)),IF(OR(AL8="Plan1",AL8="Plan2"),VLOOKUP(BA8,Deviation!$E$31:$AE$33,2,FALSE),VLOOKUP(BA8,Deviation!$E$31:$AE$33,3,FALSE)))),0)</f>
        <v/>
      </c>
      <c r="BG8" s="671" t="str">
        <f>IFERROR(IF(AL8="","",IF(AN8="Dubai",IF(AL8="Plan1",VLOOKUP(BB8,Deviation!$B$39:$C$40,2,FALSE),IF(AL8="Plan2",VLOOKUP(BB8,Deviation!$B$42:$C$43,2,FALSE),IF(AL8="Plan5",VLOOKUP(BB8,Deviation!$B$48:$C$49,2,FALSE),VLOOKUP(BB8,Deviation!$B$45:$C$46,2,FALSE)))),IF(AL8="Plan1",VLOOKUP(BB8,Deviation!$E$39:$F$40,2,FALSE),IF(AL8="Plan2",VLOOKUP(BB8,Deviation!$E$42:$F$43,2,FALSE),VLOOKUP(BB8,Deviation!$E$45:$F$46,2,FALSE))))),0)</f>
        <v/>
      </c>
      <c r="BH8" s="671" t="str">
        <f>IFERROR(IF(AL8="","",IF(AN8="Dubai",IF(OR(AL8="Plan1",AL8="Plan2"),VLOOKUP(BC8,Deviation!$B$15:$D$19,2,FALSE),VLOOKUP(BC8,Deviation!$B$15:$D$19,3,FALSE)),IF(OR(AL8="Plan1",AL8="Plan2"),VLOOKUP(BC8,Deviation!$E$15:$AE$19,2,FALSE),VLOOKUP(BC8,Deviation!$E$15:$AE$19,3,FALSE)))),0)</f>
        <v/>
      </c>
      <c r="BI8" s="669" t="str">
        <f>IFERROR(IF(AL8="","",IF(AN8="Dubai",VLOOKUP(BD8,Deviation!$B$24:$C$26,2,FALSE),100%)),0)</f>
        <v/>
      </c>
      <c r="BJ8" s="672">
        <f>IF(AE8="Abu Dhabi",1,IFERROR(VLOOKUP(AM8,Deviation!$B$67:$E$79,MATCH('Census Data'!AA8,Deviation!$B$66:$E$66,0),0),1))</f>
        <v>1</v>
      </c>
      <c r="BK8" s="659">
        <f>IFERROR(VLOOKUP(I8,Deviation!$B$54:$C$62,2,0),1)</f>
        <v>1</v>
      </c>
      <c r="BL8" s="148"/>
      <c r="BM8" s="148"/>
      <c r="BN8" s="674" t="s">
        <v>65</v>
      </c>
      <c r="BO8" s="655">
        <f>COUNTIFS($J$6:$J$205,"&gt;69",$AE$6:$AE$205,"Dubai",$F$6:$F$205,"C")</f>
        <v>0</v>
      </c>
      <c r="BP8" s="655">
        <f>COUNTIFS($J$6:$J$205,"&gt;69",$AE$6:$AE$205,"Abu Dhabi",$F$6:$F$205,"C",$H$6:$H$205,"Employee")</f>
        <v>0</v>
      </c>
      <c r="BQ8" s="655">
        <f>COUNTIFS($J$6:$J$205,"&gt;69",$AE$6:$AE$205,"Abu Dhabi",$F$6:$F$205,"C",$H$6:$H$205,"Dependent")</f>
        <v>0</v>
      </c>
      <c r="BR8" s="655">
        <f>COUNTIFS($J$6:$J$205,"&gt;69",$AE$6:$AE$205,"Abu Dhabi",$F$6:$F$205,"C",$AK$6:$AK$205,1)</f>
        <v>0</v>
      </c>
      <c r="BS8" s="148"/>
      <c r="BT8" s="148" t="e">
        <f t="shared" si="20"/>
        <v>#VALUE!</v>
      </c>
      <c r="BU8" t="str">
        <f>IF(AL8="","",IFERROR(IF(AL8="","",IF(AN8="Dubai",HLOOKUP(AZ8,'input for formula'!$B$3:$F$10,AO8,FALSE), IF(AND(H8="Employee",AN8="Abu Dhabi"),HLOOKUP(AZ8,'input for formula'!$I$3:$K$7,AO8,FALSE),HLOOKUP(AZ8,'input for formula'!$M$3:$O$7,AO8,FALSE)))*AX8+AP8*AQ8+AR8*AS8+AT8*AU8),0)*$AZ$3*BK8*BJ8*IF(AND(Inputs!$C$19&gt;19,Inputs!$C$19&lt;30),(1+$AZ$2),1))</f>
        <v/>
      </c>
    </row>
    <row r="9" spans="1:73" ht="15" x14ac:dyDescent="0.25">
      <c r="A9" s="59">
        <v>4</v>
      </c>
      <c r="B9" s="470"/>
      <c r="C9" s="628"/>
      <c r="D9" s="629"/>
      <c r="E9" s="471"/>
      <c r="F9" s="298"/>
      <c r="G9" s="298"/>
      <c r="H9" s="298"/>
      <c r="I9" s="298"/>
      <c r="J9" s="80" t="str">
        <f>IFERROR(IF(C9="","",DATEDIF('Census Data'!C9,eff_date,"y")),"")</f>
        <v/>
      </c>
      <c r="K9" s="59" t="str">
        <f>IF(F9="","",IF(AE9="Dubai",HLOOKUP(F9,Inputs!$C$26:$M$28,3,0),HLOOKUP(F9,Inputs!$C$45:$M$46,2,0)))</f>
        <v/>
      </c>
      <c r="L9" s="104"/>
      <c r="M9" s="105">
        <f t="shared" si="1"/>
        <v>0</v>
      </c>
      <c r="N9" s="654" t="b">
        <f t="shared" si="11"/>
        <v>0</v>
      </c>
      <c r="O9" s="655" t="str">
        <f t="shared" si="2"/>
        <v>x</v>
      </c>
      <c r="P9" s="655" t="str">
        <f t="shared" si="3"/>
        <v>x</v>
      </c>
      <c r="Q9" s="655" t="str">
        <f t="shared" si="4"/>
        <v>x</v>
      </c>
      <c r="R9" s="655" t="str">
        <f t="shared" si="12"/>
        <v>x</v>
      </c>
      <c r="S9" s="655" t="str">
        <f t="shared" si="5"/>
        <v>x</v>
      </c>
      <c r="T9" s="655" t="str">
        <f>IF(ISERROR(MATCH(G9,'Inputs Mapping'!$T$4:$T$10,0)),"x","")</f>
        <v>x</v>
      </c>
      <c r="U9" s="655" t="str">
        <f>IF(ISERROR(MATCH(AA9,'Inputs Mapping'!$U$4:$U$5,0)),"x","")</f>
        <v>x</v>
      </c>
      <c r="V9" s="655" t="str">
        <f>IF(ISERROR(MATCH(AB9,'Inputs Mapping'!$V$4:$V$5,0)),"x","")</f>
        <v>x</v>
      </c>
      <c r="W9" s="655" t="str">
        <f>IF(ISERROR(MATCH(F9,'Inputs Mapping'!$W$4:$W$8,0)),"x","")</f>
        <v>x</v>
      </c>
      <c r="X9" s="655" t="str">
        <f t="shared" si="6"/>
        <v/>
      </c>
      <c r="Y9" s="655" t="str">
        <f t="shared" si="7"/>
        <v/>
      </c>
      <c r="Z9" s="655" t="str">
        <f t="shared" si="8"/>
        <v/>
      </c>
      <c r="AA9" s="655" t="str">
        <f t="shared" si="9"/>
        <v/>
      </c>
      <c r="AB9" s="655" t="str">
        <f t="shared" si="13"/>
        <v/>
      </c>
      <c r="AC9" s="655" t="str">
        <f t="shared" si="21"/>
        <v>x</v>
      </c>
      <c r="AD9" s="655" t="str">
        <f>IF(ISBLANK(I9),"x",IF(ISNUMBER(MATCH(I9,'Inputs Mapping'!$AF$5:$AF$199,0)),"","x"))</f>
        <v>x</v>
      </c>
      <c r="AE9" s="655" t="str">
        <f t="shared" si="14"/>
        <v/>
      </c>
      <c r="AF9" s="148"/>
      <c r="AG9" s="148"/>
      <c r="AH9" s="148" t="str">
        <f t="shared" si="15"/>
        <v/>
      </c>
      <c r="AI9" s="654" t="str">
        <f>IF(J9="","",VLOOKUP(J9,'Inputs Mapping'!$T$27:$V$31,3))</f>
        <v/>
      </c>
      <c r="AJ9" s="654" t="str">
        <f>IF(J9="","",VLOOKUP(J9,'Inputs Mapping'!$T$17:$V$24,3))</f>
        <v/>
      </c>
      <c r="AK9" s="654" t="str">
        <f t="shared" si="16"/>
        <v/>
      </c>
      <c r="AL9" s="655" t="str">
        <f t="shared" si="10"/>
        <v/>
      </c>
      <c r="AM9" s="655" t="str">
        <f>IF(F9="","",IF(AE9="Dubai",HLOOKUP(F9,Inputs!$C$26:$M$36,5,0),HLOOKUP(F9,Inputs!$C$45:$M$49,5,0)))</f>
        <v/>
      </c>
      <c r="AN9" s="655">
        <f t="shared" si="17"/>
        <v>0</v>
      </c>
      <c r="AO9" s="654" t="str">
        <f>IF(AJ9="","",IF(AN9="Dubai",VLOOKUP(AJ9,'Inputs Mapping'!$V$17:$W$24,2,0),VLOOKUP(AI9,'Inputs Mapping'!$V$27:$W$31,2,0)))</f>
        <v/>
      </c>
      <c r="AP9" s="666">
        <f>IFERROR(IF($AN9="","",HLOOKUP($AN9&amp;RIGHT($AL9,1),'input for formula'!$B$16:$I$20,3,0)),0)</f>
        <v>0</v>
      </c>
      <c r="AQ9" s="656">
        <f>IFERROR(IF($AN9="","",HLOOKUP($AN9&amp;$F9,'input for formula'!$B$22:$M$25,2,0)),0)</f>
        <v>0</v>
      </c>
      <c r="AR9" s="666">
        <f>IFERROR(IF($AN9="","",HLOOKUP($AN9&amp;RIGHT($AL9,1),'input for formula'!$B$16:$I$20,4,0)),0)</f>
        <v>0</v>
      </c>
      <c r="AS9" s="656">
        <f>IFERROR(IF($AN9="","",HLOOKUP($AN9&amp;$F9,'input for formula'!$B$22:$M$25,3,0)),0)</f>
        <v>0</v>
      </c>
      <c r="AT9" s="656">
        <f>IFERROR(IF($AN9="","",HLOOKUP($AN9&amp;RIGHT($AL9,1),'input for formula'!$B$16:$I$20,5,0)),0)</f>
        <v>0</v>
      </c>
      <c r="AU9" s="656">
        <f>IFERROR(IF($AN9="","",HLOOKUP($AN9&amp;$F9,'input for formula'!$B$22:$M$25,4,0)),0)</f>
        <v>0</v>
      </c>
      <c r="AV9" s="666">
        <f>IFERROR(IF($AN9="","",IF('Census Data'!$AN9="Abu Dhabi",VLOOKUP('Census Data'!$AM9,'input for formula'!$A$28:$C$41,3,0),VLOOKUP('Census Data'!$AM9,'input for formula'!$A$28:$C$47,2,0))),0)*IFERROR(1+IF(AN9="Dubai",VLOOKUP(F9,'Quotation for Dubai Plans'!$V$6:$X$12,3,FALSE),VLOOKUP(F9,'Quotation for Abu Dhabi Plans'!$W$6:$Y$12,3,FALSE)),0)</f>
        <v>0</v>
      </c>
      <c r="AW9" s="656" t="str">
        <f t="shared" si="18"/>
        <v/>
      </c>
      <c r="AX9" s="667" t="str">
        <f>IFERROR(IF(AL9="","",IF(AN9="Dubai",HLOOKUP((AL9&amp;AM9),Deviation!$B$7:$S$8,2,0)*BF9*BH9*BI9*BG9,HLOOKUP((AL9&amp;AM9),Deviation!$B$9:$O$10,2,0)*BF9*BH9*BI9*BG9)),0)</f>
        <v/>
      </c>
      <c r="AY9" s="668" t="str">
        <f>IF(AL9="","",IFERROR(IF(AL9="","",IF(AN9="Dubai",HLOOKUP(AZ9,'input for formula'!$B$3:$F$10,AO9,FALSE), IF(AND(H9="Employee",AN9="Abu Dhabi"),HLOOKUP(AZ9,'input for formula'!$I$3:$K$7,AO9,FALSE),HLOOKUP(AZ9,'input for formula'!$M$3:$O$7,AO9,FALSE)))*AX9+AP9*AQ9+AR9*AS9+AT9*AU9),0)*$AZ$3*BK9*BJ9*IF(AND(Inputs!$C$19&gt;19,Inputs!$C$19&lt;30),(1+$AZ$2),1)*(1+$AZ$1))</f>
        <v/>
      </c>
      <c r="AZ9" s="148" t="str">
        <f t="shared" si="19"/>
        <v/>
      </c>
      <c r="BA9" s="669" t="str">
        <f>IF(F9="","",IF(AE9="Dubai",HLOOKUP(F9,Inputs!$C$26:$M$37,9,0),HLOOKUP(F9,Inputs!$C$45:$M$56,9,0)))</f>
        <v/>
      </c>
      <c r="BB9" s="670" t="str">
        <f>IF(F9="","",IF(AE9="Dubai",HLOOKUP(F9,Inputs!$C$26:$M$37,10,0),HLOOKUP(F9,Inputs!$C$45:$M$56,10,0)))</f>
        <v/>
      </c>
      <c r="BC9" s="670" t="str">
        <f>IF(F9="","",IF(AE9="Dubai",HLOOKUP(F9,Inputs!$C$26:$M$37,11,0),HLOOKUP(F9,Inputs!$C$45:$M$56,11,0)))</f>
        <v/>
      </c>
      <c r="BD9" s="669" t="str">
        <f>IF(F9="","",IF(AE9="Dubai",HLOOKUP(F9,Inputs!$C$26:$M$37,12,0),HLOOKUP(F9,Inputs!$C$45:$M$56,12,0)))</f>
        <v/>
      </c>
      <c r="BE9" s="654"/>
      <c r="BF9" s="669" t="str">
        <f>IFERROR(IF(AL9="","",IF(AN9="Dubai",IF(OR(AL9="Plan1",AL9="Plan2"),VLOOKUP(BA9,Deviation!$B$31:$D$33,2,FALSE),VLOOKUP(BA9,Deviation!$B$31:$D$33,3,FALSE)),IF(OR(AL9="Plan1",AL9="Plan2"),VLOOKUP(BA9,Deviation!$E$31:$AE$33,2,FALSE),VLOOKUP(BA9,Deviation!$E$31:$AE$33,3,FALSE)))),0)</f>
        <v/>
      </c>
      <c r="BG9" s="671" t="str">
        <f>IFERROR(IF(AL9="","",IF(AN9="Dubai",IF(AL9="Plan1",VLOOKUP(BB9,Deviation!$B$39:$C$40,2,FALSE),IF(AL9="Plan2",VLOOKUP(BB9,Deviation!$B$42:$C$43,2,FALSE),IF(AL9="Plan5",VLOOKUP(BB9,Deviation!$B$48:$C$49,2,FALSE),VLOOKUP(BB9,Deviation!$B$45:$C$46,2,FALSE)))),IF(AL9="Plan1",VLOOKUP(BB9,Deviation!$E$39:$F$40,2,FALSE),IF(AL9="Plan2",VLOOKUP(BB9,Deviation!$E$42:$F$43,2,FALSE),VLOOKUP(BB9,Deviation!$E$45:$F$46,2,FALSE))))),0)</f>
        <v/>
      </c>
      <c r="BH9" s="671" t="str">
        <f>IFERROR(IF(AL9="","",IF(AN9="Dubai",IF(OR(AL9="Plan1",AL9="Plan2"),VLOOKUP(BC9,Deviation!$B$15:$D$19,2,FALSE),VLOOKUP(BC9,Deviation!$B$15:$D$19,3,FALSE)),IF(OR(AL9="Plan1",AL9="Plan2"),VLOOKUP(BC9,Deviation!$E$15:$AE$19,2,FALSE),VLOOKUP(BC9,Deviation!$E$15:$AE$19,3,FALSE)))),0)</f>
        <v/>
      </c>
      <c r="BI9" s="669" t="str">
        <f>IFERROR(IF(AL9="","",IF(AN9="Dubai",VLOOKUP(BD9,Deviation!$B$24:$C$26,2,FALSE),100%)),0)</f>
        <v/>
      </c>
      <c r="BJ9" s="672">
        <f>IF(AE9="Abu Dhabi",1,IFERROR(VLOOKUP(AM9,Deviation!$B$67:$E$79,MATCH('Census Data'!AA9,Deviation!$B$66:$E$66,0),0),1))</f>
        <v>1</v>
      </c>
      <c r="BK9" s="659">
        <f>IFERROR(VLOOKUP(I9,Deviation!$B$54:$C$62,2,0),1)</f>
        <v>1</v>
      </c>
      <c r="BL9" s="148"/>
      <c r="BM9" s="148"/>
      <c r="BN9" s="148" t="s">
        <v>172</v>
      </c>
      <c r="BO9" s="655">
        <f>SUM(BO6:BO8)</f>
        <v>0</v>
      </c>
      <c r="BP9" s="655">
        <f>SUM(BP6:BP8)</f>
        <v>0</v>
      </c>
      <c r="BQ9" s="655">
        <f>SUM(BQ6:BQ8)</f>
        <v>0</v>
      </c>
      <c r="BR9" s="655">
        <f>SUM(BR6:BR8)</f>
        <v>0</v>
      </c>
      <c r="BS9" s="148">
        <f>SUM(BP9:BR9)</f>
        <v>0</v>
      </c>
      <c r="BT9" s="148" t="e">
        <f t="shared" si="20"/>
        <v>#VALUE!</v>
      </c>
      <c r="BU9" t="str">
        <f>IF(AL9="","",IFERROR(IF(AL9="","",IF(AN9="Dubai",HLOOKUP(AZ9,'input for formula'!$B$3:$F$10,AO9,FALSE), IF(AND(H9="Employee",AN9="Abu Dhabi"),HLOOKUP(AZ9,'input for formula'!$I$3:$K$7,AO9,FALSE),HLOOKUP(AZ9,'input for formula'!$M$3:$O$7,AO9,FALSE)))*AX9+AP9*AQ9+AR9*AS9+AT9*AU9),0)*$AZ$3*BK9*BJ9*IF(AND(Inputs!$C$19&gt;19,Inputs!$C$19&lt;30),(1+$AZ$2),1))</f>
        <v/>
      </c>
    </row>
    <row r="10" spans="1:73" ht="15" x14ac:dyDescent="0.25">
      <c r="A10" s="59">
        <v>5</v>
      </c>
      <c r="B10" s="470"/>
      <c r="C10" s="628"/>
      <c r="D10" s="629"/>
      <c r="E10" s="471"/>
      <c r="F10" s="298"/>
      <c r="G10" s="298"/>
      <c r="H10" s="298"/>
      <c r="I10" s="298"/>
      <c r="J10" s="80" t="str">
        <f>IFERROR(IF(C10="","",DATEDIF('Census Data'!C10,eff_date,"y")),"")</f>
        <v/>
      </c>
      <c r="K10" s="59" t="str">
        <f>IF(F10="","",IF(AE10="Dubai",HLOOKUP(F10,Inputs!$C$26:$M$28,3,0),HLOOKUP(F10,Inputs!$C$45:$M$46,2,0)))</f>
        <v/>
      </c>
      <c r="L10" s="104"/>
      <c r="M10" s="105">
        <f t="shared" si="1"/>
        <v>0</v>
      </c>
      <c r="N10" s="654" t="b">
        <f t="shared" si="11"/>
        <v>0</v>
      </c>
      <c r="O10" s="655" t="str">
        <f t="shared" si="2"/>
        <v>x</v>
      </c>
      <c r="P10" s="655" t="str">
        <f t="shared" si="3"/>
        <v>x</v>
      </c>
      <c r="Q10" s="655" t="str">
        <f t="shared" si="4"/>
        <v>x</v>
      </c>
      <c r="R10" s="655" t="str">
        <f t="shared" si="12"/>
        <v>x</v>
      </c>
      <c r="S10" s="655" t="str">
        <f t="shared" si="5"/>
        <v>x</v>
      </c>
      <c r="T10" s="655" t="str">
        <f>IF(ISERROR(MATCH(G10,'Inputs Mapping'!$T$4:$T$10,0)),"x","")</f>
        <v>x</v>
      </c>
      <c r="U10" s="655" t="str">
        <f>IF(ISERROR(MATCH(AA10,'Inputs Mapping'!$U$4:$U$5,0)),"x","")</f>
        <v>x</v>
      </c>
      <c r="V10" s="655" t="str">
        <f>IF(ISERROR(MATCH(AB10,'Inputs Mapping'!$V$4:$V$5,0)),"x","")</f>
        <v>x</v>
      </c>
      <c r="W10" s="655" t="str">
        <f>IF(ISERROR(MATCH(F10,'Inputs Mapping'!$W$4:$W$8,0)),"x","")</f>
        <v>x</v>
      </c>
      <c r="X10" s="655" t="str">
        <f t="shared" si="6"/>
        <v/>
      </c>
      <c r="Y10" s="655" t="str">
        <f t="shared" si="7"/>
        <v/>
      </c>
      <c r="Z10" s="655" t="str">
        <f t="shared" si="8"/>
        <v/>
      </c>
      <c r="AA10" s="655" t="str">
        <f t="shared" si="9"/>
        <v/>
      </c>
      <c r="AB10" s="655" t="str">
        <f t="shared" si="13"/>
        <v/>
      </c>
      <c r="AC10" s="655" t="str">
        <f t="shared" si="21"/>
        <v>x</v>
      </c>
      <c r="AD10" s="655" t="str">
        <f>IF(ISBLANK(I10),"x",IF(ISNUMBER(MATCH(I10,'Inputs Mapping'!$AF$5:$AF$199,0)),"","x"))</f>
        <v>x</v>
      </c>
      <c r="AE10" s="655" t="str">
        <f t="shared" si="14"/>
        <v/>
      </c>
      <c r="AF10" s="148"/>
      <c r="AG10" s="148"/>
      <c r="AH10" s="148" t="str">
        <f t="shared" si="15"/>
        <v/>
      </c>
      <c r="AI10" s="654" t="str">
        <f>IF(J10="","",VLOOKUP(J10,'Inputs Mapping'!$T$27:$V$31,3))</f>
        <v/>
      </c>
      <c r="AJ10" s="654" t="str">
        <f>IF(J10="","",VLOOKUP(J10,'Inputs Mapping'!$T$17:$V$24,3))</f>
        <v/>
      </c>
      <c r="AK10" s="654" t="str">
        <f t="shared" si="16"/>
        <v/>
      </c>
      <c r="AL10" s="655" t="str">
        <f t="shared" si="10"/>
        <v/>
      </c>
      <c r="AM10" s="655" t="str">
        <f>IF(F10="","",IF(AE10="Dubai",HLOOKUP(F10,Inputs!$C$26:$M$36,5,0),HLOOKUP(F10,Inputs!$C$45:$M$49,5,0)))</f>
        <v/>
      </c>
      <c r="AN10" s="655">
        <f t="shared" si="17"/>
        <v>0</v>
      </c>
      <c r="AO10" s="654" t="str">
        <f>IF(AJ10="","",IF(AN10="Dubai",VLOOKUP(AJ10,'Inputs Mapping'!$V$17:$W$24,2,0),VLOOKUP(AI10,'Inputs Mapping'!$V$27:$W$31,2,0)))</f>
        <v/>
      </c>
      <c r="AP10" s="666">
        <f>IFERROR(IF($AN10="","",HLOOKUP($AN10&amp;RIGHT($AL10,1),'input for formula'!$B$16:$I$20,3,0)),0)</f>
        <v>0</v>
      </c>
      <c r="AQ10" s="656">
        <f>IFERROR(IF($AN10="","",HLOOKUP($AN10&amp;$F10,'input for formula'!$B$22:$M$25,2,0)),0)</f>
        <v>0</v>
      </c>
      <c r="AR10" s="666">
        <f>IFERROR(IF($AN10="","",HLOOKUP($AN10&amp;RIGHT($AL10,1),'input for formula'!$B$16:$I$20,4,0)),0)</f>
        <v>0</v>
      </c>
      <c r="AS10" s="656">
        <f>IFERROR(IF($AN10="","",HLOOKUP($AN10&amp;$F10,'input for formula'!$B$22:$M$25,3,0)),0)</f>
        <v>0</v>
      </c>
      <c r="AT10" s="656">
        <f>IFERROR(IF($AN10="","",HLOOKUP($AN10&amp;RIGHT($AL10,1),'input for formula'!$B$16:$I$20,5,0)),0)</f>
        <v>0</v>
      </c>
      <c r="AU10" s="656">
        <f>IFERROR(IF($AN10="","",HLOOKUP($AN10&amp;$F10,'input for formula'!$B$22:$M$25,4,0)),0)</f>
        <v>0</v>
      </c>
      <c r="AV10" s="666">
        <f>IFERROR(IF($AN10="","",IF('Census Data'!$AN10="Abu Dhabi",VLOOKUP('Census Data'!$AM10,'input for formula'!$A$28:$C$41,3,0),VLOOKUP('Census Data'!$AM10,'input for formula'!$A$28:$C$47,2,0))),0)*IFERROR(1+IF(AN10="Dubai",VLOOKUP(F10,'Quotation for Dubai Plans'!$V$6:$X$12,3,FALSE),VLOOKUP(F10,'Quotation for Abu Dhabi Plans'!$W$6:$Y$12,3,FALSE)),0)</f>
        <v>0</v>
      </c>
      <c r="AW10" s="656" t="str">
        <f t="shared" si="18"/>
        <v/>
      </c>
      <c r="AX10" s="667" t="str">
        <f>IFERROR(IF(AL10="","",IF(AN10="Dubai",HLOOKUP((AL10&amp;AM10),Deviation!$B$7:$S$8,2,0)*BF10*BH10*BI10*BG10,HLOOKUP((AL10&amp;AM10),Deviation!$B$9:$O$10,2,0)*BF10*BH10*BI10*BG10)),0)</f>
        <v/>
      </c>
      <c r="AY10" s="668" t="str">
        <f>IF(AL10="","",IFERROR(IF(AL10="","",IF(AN10="Dubai",HLOOKUP(AZ10,'input for formula'!$B$3:$F$10,AO10,FALSE), IF(AND(H10="Employee",AN10="Abu Dhabi"),HLOOKUP(AZ10,'input for formula'!$I$3:$K$7,AO10,FALSE),HLOOKUP(AZ10,'input for formula'!$M$3:$O$7,AO10,FALSE)))*AX10+AP10*AQ10+AR10*AS10+AT10*AU10),0)*$AZ$3*BK10*BJ10*IF(AND(Inputs!$C$19&gt;19,Inputs!$C$19&lt;30),(1+$AZ$2),1)*(1+$AZ$1))</f>
        <v/>
      </c>
      <c r="AZ10" s="148" t="str">
        <f t="shared" si="19"/>
        <v/>
      </c>
      <c r="BA10" s="669" t="str">
        <f>IF(F10="","",IF(AE10="Dubai",HLOOKUP(F10,Inputs!$C$26:$M$37,9,0),HLOOKUP(F10,Inputs!$C$45:$M$56,9,0)))</f>
        <v/>
      </c>
      <c r="BB10" s="670" t="str">
        <f>IF(F10="","",IF(AE10="Dubai",HLOOKUP(F10,Inputs!$C$26:$M$37,10,0),HLOOKUP(F10,Inputs!$C$45:$M$56,10,0)))</f>
        <v/>
      </c>
      <c r="BC10" s="670" t="str">
        <f>IF(F10="","",IF(AE10="Dubai",HLOOKUP(F10,Inputs!$C$26:$M$37,11,0),HLOOKUP(F10,Inputs!$C$45:$M$56,11,0)))</f>
        <v/>
      </c>
      <c r="BD10" s="669" t="str">
        <f>IF(F10="","",IF(AE10="Dubai",HLOOKUP(F10,Inputs!$C$26:$M$37,12,0),HLOOKUP(F10,Inputs!$C$45:$M$56,12,0)))</f>
        <v/>
      </c>
      <c r="BE10" s="654"/>
      <c r="BF10" s="669" t="str">
        <f>IFERROR(IF(AL10="","",IF(AN10="Dubai",IF(OR(AL10="Plan1",AL10="Plan2"),VLOOKUP(BA10,Deviation!$B$31:$D$33,2,FALSE),VLOOKUP(BA10,Deviation!$B$31:$D$33,3,FALSE)),IF(OR(AL10="Plan1",AL10="Plan2"),VLOOKUP(BA10,Deviation!$E$31:$AE$33,2,FALSE),VLOOKUP(BA10,Deviation!$E$31:$AE$33,3,FALSE)))),0)</f>
        <v/>
      </c>
      <c r="BG10" s="671" t="str">
        <f>IFERROR(IF(AL10="","",IF(AN10="Dubai",IF(AL10="Plan1",VLOOKUP(BB10,Deviation!$B$39:$C$40,2,FALSE),IF(AL10="Plan2",VLOOKUP(BB10,Deviation!$B$42:$C$43,2,FALSE),IF(AL10="Plan5",VLOOKUP(BB10,Deviation!$B$48:$C$49,2,FALSE),VLOOKUP(BB10,Deviation!$B$45:$C$46,2,FALSE)))),IF(AL10="Plan1",VLOOKUP(BB10,Deviation!$E$39:$F$40,2,FALSE),IF(AL10="Plan2",VLOOKUP(BB10,Deviation!$E$42:$F$43,2,FALSE),VLOOKUP(BB10,Deviation!$E$45:$F$46,2,FALSE))))),0)</f>
        <v/>
      </c>
      <c r="BH10" s="671" t="str">
        <f>IFERROR(IF(AL10="","",IF(AN10="Dubai",IF(OR(AL10="Plan1",AL10="Plan2"),VLOOKUP(BC10,Deviation!$B$15:$D$19,2,FALSE),VLOOKUP(BC10,Deviation!$B$15:$D$19,3,FALSE)),IF(OR(AL10="Plan1",AL10="Plan2"),VLOOKUP(BC10,Deviation!$E$15:$AE$19,2,FALSE),VLOOKUP(BC10,Deviation!$E$15:$AE$19,3,FALSE)))),0)</f>
        <v/>
      </c>
      <c r="BI10" s="669" t="str">
        <f>IFERROR(IF(AL10="","",IF(AN10="Dubai",VLOOKUP(BD10,Deviation!$B$24:$C$26,2,FALSE),100%)),0)</f>
        <v/>
      </c>
      <c r="BJ10" s="672">
        <f>IF(AE10="Abu Dhabi",1,IFERROR(VLOOKUP(AM10,Deviation!$B$67:$E$79,MATCH('Census Data'!AA10,Deviation!$B$66:$E$66,0),0),1))</f>
        <v>1</v>
      </c>
      <c r="BK10" s="659">
        <f>IFERROR(VLOOKUP(I10,Deviation!$B$54:$C$62,2,0),1)</f>
        <v>1</v>
      </c>
      <c r="BL10" s="148"/>
      <c r="BM10" s="148"/>
      <c r="BN10" s="148"/>
      <c r="BO10" s="148"/>
      <c r="BP10" s="148"/>
      <c r="BQ10" s="148"/>
      <c r="BR10" s="148"/>
      <c r="BS10" s="148"/>
      <c r="BT10" s="148" t="e">
        <f t="shared" si="20"/>
        <v>#VALUE!</v>
      </c>
      <c r="BU10" t="str">
        <f>IF(AL10="","",IFERROR(IF(AL10="","",IF(AN10="Dubai",HLOOKUP(AZ10,'input for formula'!$B$3:$F$10,AO10,FALSE), IF(AND(H10="Employee",AN10="Abu Dhabi"),HLOOKUP(AZ10,'input for formula'!$I$3:$K$7,AO10,FALSE),HLOOKUP(AZ10,'input for formula'!$M$3:$O$7,AO10,FALSE)))*AX10+AP10*AQ10+AR10*AS10+AT10*AU10),0)*$AZ$3*BK10*BJ10*IF(AND(Inputs!$C$19&gt;19,Inputs!$C$19&lt;30),(1+$AZ$2),1))</f>
        <v/>
      </c>
    </row>
    <row r="11" spans="1:73" ht="15" x14ac:dyDescent="0.25">
      <c r="A11" s="59">
        <v>6</v>
      </c>
      <c r="B11" s="470"/>
      <c r="C11" s="628"/>
      <c r="D11" s="629"/>
      <c r="E11" s="471"/>
      <c r="F11" s="298"/>
      <c r="G11" s="298"/>
      <c r="H11" s="298"/>
      <c r="I11" s="298"/>
      <c r="J11" s="80" t="str">
        <f>IFERROR(IF(C11="","",DATEDIF('Census Data'!C11,eff_date,"y")),"")</f>
        <v/>
      </c>
      <c r="K11" s="59" t="str">
        <f>IF(F11="","",IF(AE11="Dubai",HLOOKUP(F11,Inputs!$C$26:$M$28,3,0),HLOOKUP(F11,Inputs!$C$45:$M$46,2,0)))</f>
        <v/>
      </c>
      <c r="L11" s="104"/>
      <c r="M11" s="105">
        <f t="shared" si="1"/>
        <v>0</v>
      </c>
      <c r="N11" s="654" t="b">
        <f t="shared" si="11"/>
        <v>0</v>
      </c>
      <c r="O11" s="655" t="str">
        <f t="shared" si="2"/>
        <v>x</v>
      </c>
      <c r="P11" s="655" t="str">
        <f t="shared" si="3"/>
        <v>x</v>
      </c>
      <c r="Q11" s="655" t="str">
        <f t="shared" si="4"/>
        <v>x</v>
      </c>
      <c r="R11" s="655" t="str">
        <f t="shared" si="12"/>
        <v>x</v>
      </c>
      <c r="S11" s="655" t="str">
        <f t="shared" si="5"/>
        <v>x</v>
      </c>
      <c r="T11" s="655" t="str">
        <f>IF(ISERROR(MATCH(G11,'Inputs Mapping'!$T$4:$T$10,0)),"x","")</f>
        <v>x</v>
      </c>
      <c r="U11" s="655" t="str">
        <f>IF(ISERROR(MATCH(AA11,'Inputs Mapping'!$U$4:$U$5,0)),"x","")</f>
        <v>x</v>
      </c>
      <c r="V11" s="655" t="str">
        <f>IF(ISERROR(MATCH(AB11,'Inputs Mapping'!$V$4:$V$5,0)),"x","")</f>
        <v>x</v>
      </c>
      <c r="W11" s="655" t="str">
        <f>IF(ISERROR(MATCH(F11,'Inputs Mapping'!$W$4:$W$8,0)),"x","")</f>
        <v>x</v>
      </c>
      <c r="X11" s="655" t="str">
        <f t="shared" si="6"/>
        <v/>
      </c>
      <c r="Y11" s="655" t="str">
        <f t="shared" si="7"/>
        <v/>
      </c>
      <c r="Z11" s="655" t="str">
        <f t="shared" si="8"/>
        <v/>
      </c>
      <c r="AA11" s="655" t="str">
        <f t="shared" si="9"/>
        <v/>
      </c>
      <c r="AB11" s="655" t="str">
        <f t="shared" si="13"/>
        <v/>
      </c>
      <c r="AC11" s="655" t="str">
        <f t="shared" si="21"/>
        <v>x</v>
      </c>
      <c r="AD11" s="655" t="str">
        <f>IF(ISBLANK(I11),"x",IF(ISNUMBER(MATCH(I11,'Inputs Mapping'!$AF$5:$AF$199,0)),"","x"))</f>
        <v>x</v>
      </c>
      <c r="AE11" s="655" t="str">
        <f t="shared" si="14"/>
        <v/>
      </c>
      <c r="AF11" s="148"/>
      <c r="AG11" s="148"/>
      <c r="AH11" s="148" t="str">
        <f t="shared" si="15"/>
        <v/>
      </c>
      <c r="AI11" s="654" t="str">
        <f>IF(J11="","",VLOOKUP(J11,'Inputs Mapping'!$T$27:$V$31,3))</f>
        <v/>
      </c>
      <c r="AJ11" s="654" t="str">
        <f>IF(J11="","",VLOOKUP(J11,'Inputs Mapping'!$T$17:$V$24,3))</f>
        <v/>
      </c>
      <c r="AK11" s="654" t="str">
        <f t="shared" si="16"/>
        <v/>
      </c>
      <c r="AL11" s="655" t="str">
        <f t="shared" si="10"/>
        <v/>
      </c>
      <c r="AM11" s="655" t="str">
        <f>IF(F11="","",IF(AE11="Dubai",HLOOKUP(F11,Inputs!$C$26:$M$36,5,0),HLOOKUP(F11,Inputs!$C$45:$M$49,5,0)))</f>
        <v/>
      </c>
      <c r="AN11" s="655">
        <f t="shared" si="17"/>
        <v>0</v>
      </c>
      <c r="AO11" s="654" t="str">
        <f>IF(AJ11="","",IF(AN11="Dubai",VLOOKUP(AJ11,'Inputs Mapping'!$V$17:$W$24,2,0),VLOOKUP(AI11,'Inputs Mapping'!$V$27:$W$31,2,0)))</f>
        <v/>
      </c>
      <c r="AP11" s="666">
        <f>IFERROR(IF($AN11="","",HLOOKUP($AN11&amp;RIGHT($AL11,1),'input for formula'!$B$16:$I$20,3,0)),0)</f>
        <v>0</v>
      </c>
      <c r="AQ11" s="656">
        <f>IFERROR(IF($AN11="","",HLOOKUP($AN11&amp;$F11,'input for formula'!$B$22:$M$25,2,0)),0)</f>
        <v>0</v>
      </c>
      <c r="AR11" s="666">
        <f>IFERROR(IF($AN11="","",HLOOKUP($AN11&amp;RIGHT($AL11,1),'input for formula'!$B$16:$I$20,4,0)),0)</f>
        <v>0</v>
      </c>
      <c r="AS11" s="656">
        <f>IFERROR(IF($AN11="","",HLOOKUP($AN11&amp;$F11,'input for formula'!$B$22:$M$25,3,0)),0)</f>
        <v>0</v>
      </c>
      <c r="AT11" s="656">
        <f>IFERROR(IF($AN11="","",HLOOKUP($AN11&amp;RIGHT($AL11,1),'input for formula'!$B$16:$I$20,5,0)),0)</f>
        <v>0</v>
      </c>
      <c r="AU11" s="656">
        <f>IFERROR(IF($AN11="","",HLOOKUP($AN11&amp;$F11,'input for formula'!$B$22:$M$25,4,0)),0)</f>
        <v>0</v>
      </c>
      <c r="AV11" s="666">
        <f>IFERROR(IF($AN11="","",IF('Census Data'!$AN11="Abu Dhabi",VLOOKUP('Census Data'!$AM11,'input for formula'!$A$28:$C$41,3,0),VLOOKUP('Census Data'!$AM11,'input for formula'!$A$28:$C$47,2,0))),0)*IFERROR(1+IF(AN11="Dubai",VLOOKUP(F11,'Quotation for Dubai Plans'!$V$6:$X$12,3,FALSE),VLOOKUP(F11,'Quotation for Abu Dhabi Plans'!$W$6:$Y$12,3,FALSE)),0)</f>
        <v>0</v>
      </c>
      <c r="AW11" s="656" t="str">
        <f t="shared" si="18"/>
        <v/>
      </c>
      <c r="AX11" s="667" t="str">
        <f>IFERROR(IF(AL11="","",IF(AN11="Dubai",HLOOKUP((AL11&amp;AM11),Deviation!$B$7:$S$8,2,0)*BF11*BH11*BI11*BG11,HLOOKUP((AL11&amp;AM11),Deviation!$B$9:$O$10,2,0)*BF11*BH11*BI11*BG11)),0)</f>
        <v/>
      </c>
      <c r="AY11" s="668" t="str">
        <f>IF(AL11="","",IFERROR(IF(AL11="","",IF(AN11="Dubai",HLOOKUP(AZ11,'input for formula'!$B$3:$F$10,AO11,FALSE), IF(AND(H11="Employee",AN11="Abu Dhabi"),HLOOKUP(AZ11,'input for formula'!$I$3:$K$7,AO11,FALSE),HLOOKUP(AZ11,'input for formula'!$M$3:$O$7,AO11,FALSE)))*AX11+AP11*AQ11+AR11*AS11+AT11*AU11),0)*$AZ$3*BK11*BJ11*IF(AND(Inputs!$C$19&gt;19,Inputs!$C$19&lt;30),(1+$AZ$2),1)*(1+$AZ$1))</f>
        <v/>
      </c>
      <c r="AZ11" s="148" t="str">
        <f t="shared" si="19"/>
        <v/>
      </c>
      <c r="BA11" s="669" t="str">
        <f>IF(F11="","",IF(AE11="Dubai",HLOOKUP(F11,Inputs!$C$26:$M$37,9,0),HLOOKUP(F11,Inputs!$C$45:$M$56,9,0)))</f>
        <v/>
      </c>
      <c r="BB11" s="670" t="str">
        <f>IF(F11="","",IF(AE11="Dubai",HLOOKUP(F11,Inputs!$C$26:$M$37,10,0),HLOOKUP(F11,Inputs!$C$45:$M$56,10,0)))</f>
        <v/>
      </c>
      <c r="BC11" s="670" t="str">
        <f>IF(F11="","",IF(AE11="Dubai",HLOOKUP(F11,Inputs!$C$26:$M$37,11,0),HLOOKUP(F11,Inputs!$C$45:$M$56,11,0)))</f>
        <v/>
      </c>
      <c r="BD11" s="669" t="str">
        <f>IF(F11="","",IF(AE11="Dubai",HLOOKUP(F11,Inputs!$C$26:$M$37,12,0),HLOOKUP(F11,Inputs!$C$45:$M$56,12,0)))</f>
        <v/>
      </c>
      <c r="BE11" s="654"/>
      <c r="BF11" s="669" t="str">
        <f>IFERROR(IF(AL11="","",IF(AN11="Dubai",IF(OR(AL11="Plan1",AL11="Plan2"),VLOOKUP(BA11,Deviation!$B$31:$D$33,2,FALSE),VLOOKUP(BA11,Deviation!$B$31:$D$33,3,FALSE)),IF(OR(AL11="Plan1",AL11="Plan2"),VLOOKUP(BA11,Deviation!$E$31:$AE$33,2,FALSE),VLOOKUP(BA11,Deviation!$E$31:$AE$33,3,FALSE)))),0)</f>
        <v/>
      </c>
      <c r="BG11" s="671" t="str">
        <f>IFERROR(IF(AL11="","",IF(AN11="Dubai",IF(AL11="Plan1",VLOOKUP(BB11,Deviation!$B$39:$C$40,2,FALSE),IF(AL11="Plan2",VLOOKUP(BB11,Deviation!$B$42:$C$43,2,FALSE),IF(AL11="Plan5",VLOOKUP(BB11,Deviation!$B$48:$C$49,2,FALSE),VLOOKUP(BB11,Deviation!$B$45:$C$46,2,FALSE)))),IF(AL11="Plan1",VLOOKUP(BB11,Deviation!$E$39:$F$40,2,FALSE),IF(AL11="Plan2",VLOOKUP(BB11,Deviation!$E$42:$F$43,2,FALSE),VLOOKUP(BB11,Deviation!$E$45:$F$46,2,FALSE))))),0)</f>
        <v/>
      </c>
      <c r="BH11" s="671" t="str">
        <f>IFERROR(IF(AL11="","",IF(AN11="Dubai",IF(OR(AL11="Plan1",AL11="Plan2"),VLOOKUP(BC11,Deviation!$B$15:$D$19,2,FALSE),VLOOKUP(BC11,Deviation!$B$15:$D$19,3,FALSE)),IF(OR(AL11="Plan1",AL11="Plan2"),VLOOKUP(BC11,Deviation!$E$15:$AE$19,2,FALSE),VLOOKUP(BC11,Deviation!$E$15:$AE$19,3,FALSE)))),0)</f>
        <v/>
      </c>
      <c r="BI11" s="669" t="str">
        <f>IFERROR(IF(AL11="","",IF(AN11="Dubai",VLOOKUP(BD11,Deviation!$B$24:$C$26,2,FALSE),100%)),0)</f>
        <v/>
      </c>
      <c r="BJ11" s="672">
        <f>IF(AE11="Abu Dhabi",1,IFERROR(VLOOKUP(AM11,Deviation!$B$67:$E$79,MATCH('Census Data'!AA11,Deviation!$B$66:$E$66,0),0),1))</f>
        <v>1</v>
      </c>
      <c r="BK11" s="659">
        <f>IFERROR(VLOOKUP(I11,Deviation!$B$54:$C$62,2,0),1)</f>
        <v>1</v>
      </c>
      <c r="BL11" s="148"/>
      <c r="BM11" s="148"/>
      <c r="BN11" s="148"/>
      <c r="BO11" s="148"/>
      <c r="BP11" s="148"/>
      <c r="BQ11" s="148"/>
      <c r="BR11" s="148"/>
      <c r="BS11" s="148"/>
      <c r="BT11" s="148" t="e">
        <f t="shared" si="20"/>
        <v>#VALUE!</v>
      </c>
      <c r="BU11" t="str">
        <f>IF(AL11="","",IFERROR(IF(AL11="","",IF(AN11="Dubai",HLOOKUP(AZ11,'input for formula'!$B$3:$F$10,AO11,FALSE), IF(AND(H11="Employee",AN11="Abu Dhabi"),HLOOKUP(AZ11,'input for formula'!$I$3:$K$7,AO11,FALSE),HLOOKUP(AZ11,'input for formula'!$M$3:$O$7,AO11,FALSE)))*AX11+AP11*AQ11+AR11*AS11+AT11*AU11),0)*$AZ$3*BK11*BJ11*IF(AND(Inputs!$C$19&gt;19,Inputs!$C$19&lt;30),(1+$AZ$2),1))</f>
        <v/>
      </c>
    </row>
    <row r="12" spans="1:73" ht="15" x14ac:dyDescent="0.25">
      <c r="A12" s="59">
        <v>7</v>
      </c>
      <c r="B12" s="470"/>
      <c r="C12" s="628"/>
      <c r="D12" s="629"/>
      <c r="E12" s="471"/>
      <c r="F12" s="298"/>
      <c r="G12" s="298"/>
      <c r="H12" s="298"/>
      <c r="I12" s="298"/>
      <c r="J12" s="80" t="str">
        <f>IFERROR(IF(C12="","",DATEDIF('Census Data'!C12,eff_date,"y")),"")</f>
        <v/>
      </c>
      <c r="K12" s="59" t="str">
        <f>IF(F12="","",IF(AE12="Dubai",HLOOKUP(F12,Inputs!$C$26:$M$28,3,0),HLOOKUP(F12,Inputs!$C$45:$M$46,2,0)))</f>
        <v/>
      </c>
      <c r="L12" s="104"/>
      <c r="M12" s="105">
        <f t="shared" si="1"/>
        <v>0</v>
      </c>
      <c r="N12" s="654" t="b">
        <f t="shared" si="11"/>
        <v>0</v>
      </c>
      <c r="O12" s="655" t="str">
        <f t="shared" si="2"/>
        <v>x</v>
      </c>
      <c r="P12" s="655" t="str">
        <f t="shared" si="3"/>
        <v>x</v>
      </c>
      <c r="Q12" s="655" t="str">
        <f t="shared" si="4"/>
        <v>x</v>
      </c>
      <c r="R12" s="655" t="str">
        <f t="shared" si="12"/>
        <v>x</v>
      </c>
      <c r="S12" s="655" t="str">
        <f t="shared" si="5"/>
        <v>x</v>
      </c>
      <c r="T12" s="655" t="str">
        <f>IF(ISERROR(MATCH(G12,'Inputs Mapping'!$T$4:$T$10,0)),"x","")</f>
        <v>x</v>
      </c>
      <c r="U12" s="655" t="str">
        <f>IF(ISERROR(MATCH(AA12,'Inputs Mapping'!$U$4:$U$5,0)),"x","")</f>
        <v>x</v>
      </c>
      <c r="V12" s="655" t="str">
        <f>IF(ISERROR(MATCH(AB12,'Inputs Mapping'!$V$4:$V$5,0)),"x","")</f>
        <v>x</v>
      </c>
      <c r="W12" s="655" t="str">
        <f>IF(ISERROR(MATCH(F12,'Inputs Mapping'!$W$4:$W$8,0)),"x","")</f>
        <v>x</v>
      </c>
      <c r="X12" s="655" t="str">
        <f t="shared" si="6"/>
        <v/>
      </c>
      <c r="Y12" s="655" t="str">
        <f t="shared" si="7"/>
        <v/>
      </c>
      <c r="Z12" s="655" t="str">
        <f t="shared" si="8"/>
        <v/>
      </c>
      <c r="AA12" s="655" t="str">
        <f t="shared" si="9"/>
        <v/>
      </c>
      <c r="AB12" s="655" t="str">
        <f t="shared" si="13"/>
        <v/>
      </c>
      <c r="AC12" s="655" t="str">
        <f t="shared" si="21"/>
        <v>x</v>
      </c>
      <c r="AD12" s="655" t="str">
        <f>IF(ISBLANK(I12),"x",IF(ISNUMBER(MATCH(I12,'Inputs Mapping'!$AF$5:$AF$199,0)),"","x"))</f>
        <v>x</v>
      </c>
      <c r="AE12" s="655" t="str">
        <f t="shared" si="14"/>
        <v/>
      </c>
      <c r="AF12" s="148"/>
      <c r="AG12" s="148"/>
      <c r="AH12" s="148" t="str">
        <f t="shared" si="15"/>
        <v/>
      </c>
      <c r="AI12" s="654" t="str">
        <f>IF(J12="","",VLOOKUP(J12,'Inputs Mapping'!$T$27:$V$31,3))</f>
        <v/>
      </c>
      <c r="AJ12" s="654" t="str">
        <f>IF(J12="","",VLOOKUP(J12,'Inputs Mapping'!$T$17:$V$24,3))</f>
        <v/>
      </c>
      <c r="AK12" s="654" t="str">
        <f t="shared" si="16"/>
        <v/>
      </c>
      <c r="AL12" s="655" t="str">
        <f t="shared" si="10"/>
        <v/>
      </c>
      <c r="AM12" s="655" t="str">
        <f>IF(F12="","",IF(AE12="Dubai",HLOOKUP(F12,Inputs!$C$26:$M$36,5,0),HLOOKUP(F12,Inputs!$C$45:$M$49,5,0)))</f>
        <v/>
      </c>
      <c r="AN12" s="655">
        <f t="shared" si="17"/>
        <v>0</v>
      </c>
      <c r="AO12" s="654" t="str">
        <f>IF(AJ12="","",IF(AN12="Dubai",VLOOKUP(AJ12,'Inputs Mapping'!$V$17:$W$24,2,0),VLOOKUP(AI12,'Inputs Mapping'!$V$27:$W$31,2,0)))</f>
        <v/>
      </c>
      <c r="AP12" s="666">
        <f>IFERROR(IF($AN12="","",HLOOKUP($AN12&amp;RIGHT($AL12,1),'input for formula'!$B$16:$I$20,3,0)),0)</f>
        <v>0</v>
      </c>
      <c r="AQ12" s="656">
        <f>IFERROR(IF($AN12="","",HLOOKUP($AN12&amp;$F12,'input for formula'!$B$22:$M$25,2,0)),0)</f>
        <v>0</v>
      </c>
      <c r="AR12" s="666">
        <f>IFERROR(IF($AN12="","",HLOOKUP($AN12&amp;RIGHT($AL12,1),'input for formula'!$B$16:$I$20,4,0)),0)</f>
        <v>0</v>
      </c>
      <c r="AS12" s="656">
        <f>IFERROR(IF($AN12="","",HLOOKUP($AN12&amp;$F12,'input for formula'!$B$22:$M$25,3,0)),0)</f>
        <v>0</v>
      </c>
      <c r="AT12" s="656">
        <f>IFERROR(IF($AN12="","",HLOOKUP($AN12&amp;RIGHT($AL12,1),'input for formula'!$B$16:$I$20,5,0)),0)</f>
        <v>0</v>
      </c>
      <c r="AU12" s="656">
        <f>IFERROR(IF($AN12="","",HLOOKUP($AN12&amp;$F12,'input for formula'!$B$22:$M$25,4,0)),0)</f>
        <v>0</v>
      </c>
      <c r="AV12" s="666">
        <f>IFERROR(IF($AN12="","",IF('Census Data'!$AN12="Abu Dhabi",VLOOKUP('Census Data'!$AM12,'input for formula'!$A$28:$C$41,3,0),VLOOKUP('Census Data'!$AM12,'input for formula'!$A$28:$C$47,2,0))),0)*IFERROR(1+IF(AN12="Dubai",VLOOKUP(F12,'Quotation for Dubai Plans'!$V$6:$X$12,3,FALSE),VLOOKUP(F12,'Quotation for Abu Dhabi Plans'!$W$6:$Y$12,3,FALSE)),0)</f>
        <v>0</v>
      </c>
      <c r="AW12" s="656" t="str">
        <f t="shared" si="18"/>
        <v/>
      </c>
      <c r="AX12" s="667" t="str">
        <f>IFERROR(IF(AL12="","",IF(AN12="Dubai",HLOOKUP((AL12&amp;AM12),Deviation!$B$7:$S$8,2,0)*BF12*BH12*BI12*BG12,HLOOKUP((AL12&amp;AM12),Deviation!$B$9:$O$10,2,0)*BF12*BH12*BI12*BG12)),0)</f>
        <v/>
      </c>
      <c r="AY12" s="668" t="str">
        <f>IF(AL12="","",IFERROR(IF(AL12="","",IF(AN12="Dubai",HLOOKUP(AZ12,'input for formula'!$B$3:$F$10,AO12,FALSE), IF(AND(H12="Employee",AN12="Abu Dhabi"),HLOOKUP(AZ12,'input for formula'!$I$3:$K$7,AO12,FALSE),HLOOKUP(AZ12,'input for formula'!$M$3:$O$7,AO12,FALSE)))*AX12+AP12*AQ12+AR12*AS12+AT12*AU12),0)*$AZ$3*BK12*BJ12*IF(AND(Inputs!$C$19&gt;19,Inputs!$C$19&lt;30),(1+$AZ$2),1)*(1+$AZ$1))</f>
        <v/>
      </c>
      <c r="AZ12" s="148" t="str">
        <f t="shared" si="19"/>
        <v/>
      </c>
      <c r="BA12" s="669" t="str">
        <f>IF(F12="","",IF(AE12="Dubai",HLOOKUP(F12,Inputs!$C$26:$M$37,9,0),HLOOKUP(F12,Inputs!$C$45:$M$56,9,0)))</f>
        <v/>
      </c>
      <c r="BB12" s="670" t="str">
        <f>IF(F12="","",IF(AE12="Dubai",HLOOKUP(F12,Inputs!$C$26:$M$37,10,0),HLOOKUP(F12,Inputs!$C$45:$M$56,10,0)))</f>
        <v/>
      </c>
      <c r="BC12" s="670" t="str">
        <f>IF(F12="","",IF(AE12="Dubai",HLOOKUP(F12,Inputs!$C$26:$M$37,11,0),HLOOKUP(F12,Inputs!$C$45:$M$56,11,0)))</f>
        <v/>
      </c>
      <c r="BD12" s="669" t="str">
        <f>IF(F12="","",IF(AE12="Dubai",HLOOKUP(F12,Inputs!$C$26:$M$37,12,0),HLOOKUP(F12,Inputs!$C$45:$M$56,12,0)))</f>
        <v/>
      </c>
      <c r="BE12" s="654"/>
      <c r="BF12" s="669" t="str">
        <f>IFERROR(IF(AL12="","",IF(AN12="Dubai",IF(OR(AL12="Plan1",AL12="Plan2"),VLOOKUP(BA12,Deviation!$B$31:$D$33,2,FALSE),VLOOKUP(BA12,Deviation!$B$31:$D$33,3,FALSE)),IF(OR(AL12="Plan1",AL12="Plan2"),VLOOKUP(BA12,Deviation!$E$31:$AE$33,2,FALSE),VLOOKUP(BA12,Deviation!$E$31:$AE$33,3,FALSE)))),0)</f>
        <v/>
      </c>
      <c r="BG12" s="671" t="str">
        <f>IFERROR(IF(AL12="","",IF(AN12="Dubai",IF(AL12="Plan1",VLOOKUP(BB12,Deviation!$B$39:$C$40,2,FALSE),IF(AL12="Plan2",VLOOKUP(BB12,Deviation!$B$42:$C$43,2,FALSE),IF(AL12="Plan5",VLOOKUP(BB12,Deviation!$B$48:$C$49,2,FALSE),VLOOKUP(BB12,Deviation!$B$45:$C$46,2,FALSE)))),IF(AL12="Plan1",VLOOKUP(BB12,Deviation!$E$39:$F$40,2,FALSE),IF(AL12="Plan2",VLOOKUP(BB12,Deviation!$E$42:$F$43,2,FALSE),VLOOKUP(BB12,Deviation!$E$45:$F$46,2,FALSE))))),0)</f>
        <v/>
      </c>
      <c r="BH12" s="671" t="str">
        <f>IFERROR(IF(AL12="","",IF(AN12="Dubai",IF(OR(AL12="Plan1",AL12="Plan2"),VLOOKUP(BC12,Deviation!$B$15:$D$19,2,FALSE),VLOOKUP(BC12,Deviation!$B$15:$D$19,3,FALSE)),IF(OR(AL12="Plan1",AL12="Plan2"),VLOOKUP(BC12,Deviation!$E$15:$AE$19,2,FALSE),VLOOKUP(BC12,Deviation!$E$15:$AE$19,3,FALSE)))),0)</f>
        <v/>
      </c>
      <c r="BI12" s="669" t="str">
        <f>IFERROR(IF(AL12="","",IF(AN12="Dubai",VLOOKUP(BD12,Deviation!$B$24:$C$26,2,FALSE),100%)),0)</f>
        <v/>
      </c>
      <c r="BJ12" s="672">
        <f>IF(AE12="Abu Dhabi",1,IFERROR(VLOOKUP(AM12,Deviation!$B$67:$E$79,MATCH('Census Data'!AA12,Deviation!$B$66:$E$66,0),0),1))</f>
        <v>1</v>
      </c>
      <c r="BK12" s="659">
        <f>IFERROR(VLOOKUP(I12,Deviation!$B$54:$C$62,2,0),1)</f>
        <v>1</v>
      </c>
      <c r="BL12" s="148"/>
      <c r="BM12" s="148"/>
      <c r="BN12" s="148"/>
      <c r="BO12" s="148"/>
      <c r="BP12" s="148"/>
      <c r="BQ12" s="148"/>
      <c r="BR12" s="148"/>
      <c r="BS12" s="148"/>
      <c r="BT12" s="148" t="e">
        <f t="shared" si="20"/>
        <v>#VALUE!</v>
      </c>
      <c r="BU12" t="str">
        <f>IF(AL12="","",IFERROR(IF(AL12="","",IF(AN12="Dubai",HLOOKUP(AZ12,'input for formula'!$B$3:$F$10,AO12,FALSE), IF(AND(H12="Employee",AN12="Abu Dhabi"),HLOOKUP(AZ12,'input for formula'!$I$3:$K$7,AO12,FALSE),HLOOKUP(AZ12,'input for formula'!$M$3:$O$7,AO12,FALSE)))*AX12+AP12*AQ12+AR12*AS12+AT12*AU12),0)*$AZ$3*BK12*BJ12*IF(AND(Inputs!$C$19&gt;19,Inputs!$C$19&lt;30),(1+$AZ$2),1))</f>
        <v/>
      </c>
    </row>
    <row r="13" spans="1:73" ht="15" x14ac:dyDescent="0.25">
      <c r="A13" s="59">
        <v>8</v>
      </c>
      <c r="B13" s="470"/>
      <c r="C13" s="628"/>
      <c r="D13" s="629"/>
      <c r="E13" s="471"/>
      <c r="F13" s="298"/>
      <c r="G13" s="298"/>
      <c r="H13" s="298"/>
      <c r="I13" s="298"/>
      <c r="J13" s="80" t="str">
        <f>IFERROR(IF(C13="","",DATEDIF('Census Data'!C13,eff_date,"y")),"")</f>
        <v/>
      </c>
      <c r="K13" s="59" t="str">
        <f>IF(F13="","",IF(AE13="Dubai",HLOOKUP(F13,Inputs!$C$26:$M$28,3,0),HLOOKUP(F13,Inputs!$C$45:$M$46,2,0)))</f>
        <v/>
      </c>
      <c r="L13" s="104"/>
      <c r="M13" s="105">
        <f t="shared" si="1"/>
        <v>0</v>
      </c>
      <c r="N13" s="654" t="b">
        <f t="shared" si="11"/>
        <v>0</v>
      </c>
      <c r="O13" s="655" t="str">
        <f t="shared" si="2"/>
        <v>x</v>
      </c>
      <c r="P13" s="655" t="str">
        <f t="shared" si="3"/>
        <v>x</v>
      </c>
      <c r="Q13" s="655" t="str">
        <f t="shared" si="4"/>
        <v>x</v>
      </c>
      <c r="R13" s="655" t="str">
        <f t="shared" si="12"/>
        <v>x</v>
      </c>
      <c r="S13" s="655" t="str">
        <f t="shared" si="5"/>
        <v>x</v>
      </c>
      <c r="T13" s="655" t="str">
        <f>IF(ISERROR(MATCH(G13,'Inputs Mapping'!$T$4:$T$10,0)),"x","")</f>
        <v>x</v>
      </c>
      <c r="U13" s="655" t="str">
        <f>IF(ISERROR(MATCH(AA13,'Inputs Mapping'!$U$4:$U$5,0)),"x","")</f>
        <v>x</v>
      </c>
      <c r="V13" s="655" t="str">
        <f>IF(ISERROR(MATCH(AB13,'Inputs Mapping'!$V$4:$V$5,0)),"x","")</f>
        <v>x</v>
      </c>
      <c r="W13" s="655" t="str">
        <f>IF(ISERROR(MATCH(F13,'Inputs Mapping'!$W$4:$W$8,0)),"x","")</f>
        <v>x</v>
      </c>
      <c r="X13" s="655" t="str">
        <f t="shared" si="6"/>
        <v/>
      </c>
      <c r="Y13" s="655" t="str">
        <f t="shared" si="7"/>
        <v/>
      </c>
      <c r="Z13" s="655" t="str">
        <f t="shared" si="8"/>
        <v/>
      </c>
      <c r="AA13" s="655" t="str">
        <f t="shared" si="9"/>
        <v/>
      </c>
      <c r="AB13" s="655" t="str">
        <f t="shared" si="13"/>
        <v/>
      </c>
      <c r="AC13" s="655" t="str">
        <f t="shared" si="21"/>
        <v>x</v>
      </c>
      <c r="AD13" s="655" t="str">
        <f>IF(ISBLANK(I13),"x",IF(ISNUMBER(MATCH(I13,'Inputs Mapping'!$AF$5:$AF$199,0)),"","x"))</f>
        <v>x</v>
      </c>
      <c r="AE13" s="655" t="str">
        <f t="shared" si="14"/>
        <v/>
      </c>
      <c r="AF13" s="148"/>
      <c r="AG13" s="148"/>
      <c r="AH13" s="148" t="str">
        <f t="shared" si="15"/>
        <v/>
      </c>
      <c r="AI13" s="654" t="str">
        <f>IF(J13="","",VLOOKUP(J13,'Inputs Mapping'!$T$27:$V$31,3))</f>
        <v/>
      </c>
      <c r="AJ13" s="654" t="str">
        <f>IF(J13="","",VLOOKUP(J13,'Inputs Mapping'!$T$17:$V$24,3))</f>
        <v/>
      </c>
      <c r="AK13" s="654" t="str">
        <f t="shared" si="16"/>
        <v/>
      </c>
      <c r="AL13" s="655" t="str">
        <f t="shared" si="10"/>
        <v/>
      </c>
      <c r="AM13" s="655" t="str">
        <f>IF(F13="","",IF(AE13="Dubai",HLOOKUP(F13,Inputs!$C$26:$M$36,5,0),HLOOKUP(F13,Inputs!$C$45:$M$49,5,0)))</f>
        <v/>
      </c>
      <c r="AN13" s="655">
        <f t="shared" si="17"/>
        <v>0</v>
      </c>
      <c r="AO13" s="654" t="str">
        <f>IF(AJ13="","",IF(AN13="Dubai",VLOOKUP(AJ13,'Inputs Mapping'!$V$17:$W$24,2,0),VLOOKUP(AI13,'Inputs Mapping'!$V$27:$W$31,2,0)))</f>
        <v/>
      </c>
      <c r="AP13" s="666">
        <f>IFERROR(IF($AN13="","",HLOOKUP($AN13&amp;RIGHT($AL13,1),'input for formula'!$B$16:$I$20,3,0)),0)</f>
        <v>0</v>
      </c>
      <c r="AQ13" s="656">
        <f>IFERROR(IF($AN13="","",HLOOKUP($AN13&amp;$F13,'input for formula'!$B$22:$M$25,2,0)),0)</f>
        <v>0</v>
      </c>
      <c r="AR13" s="666">
        <f>IFERROR(IF($AN13="","",HLOOKUP($AN13&amp;RIGHT($AL13,1),'input for formula'!$B$16:$I$20,4,0)),0)</f>
        <v>0</v>
      </c>
      <c r="AS13" s="656">
        <f>IFERROR(IF($AN13="","",HLOOKUP($AN13&amp;$F13,'input for formula'!$B$22:$M$25,3,0)),0)</f>
        <v>0</v>
      </c>
      <c r="AT13" s="656">
        <f>IFERROR(IF($AN13="","",HLOOKUP($AN13&amp;RIGHT($AL13,1),'input for formula'!$B$16:$I$20,5,0)),0)</f>
        <v>0</v>
      </c>
      <c r="AU13" s="656">
        <f>IFERROR(IF($AN13="","",HLOOKUP($AN13&amp;$F13,'input for formula'!$B$22:$M$25,4,0)),0)</f>
        <v>0</v>
      </c>
      <c r="AV13" s="666">
        <f>IFERROR(IF($AN13="","",IF('Census Data'!$AN13="Abu Dhabi",VLOOKUP('Census Data'!$AM13,'input for formula'!$A$28:$C$41,3,0),VLOOKUP('Census Data'!$AM13,'input for formula'!$A$28:$C$47,2,0))),0)*IFERROR(1+IF(AN13="Dubai",VLOOKUP(F13,'Quotation for Dubai Plans'!$V$6:$X$12,3,FALSE),VLOOKUP(F13,'Quotation for Abu Dhabi Plans'!$W$6:$Y$12,3,FALSE)),0)</f>
        <v>0</v>
      </c>
      <c r="AW13" s="656" t="str">
        <f t="shared" si="18"/>
        <v/>
      </c>
      <c r="AX13" s="667" t="str">
        <f>IFERROR(IF(AL13="","",IF(AN13="Dubai",HLOOKUP((AL13&amp;AM13),Deviation!$B$7:$S$8,2,0)*BF13*BH13*BI13*BG13,HLOOKUP((AL13&amp;AM13),Deviation!$B$9:$O$10,2,0)*BF13*BH13*BI13*BG13)),0)</f>
        <v/>
      </c>
      <c r="AY13" s="668" t="str">
        <f>IF(AL13="","",IFERROR(IF(AL13="","",IF(AN13="Dubai",HLOOKUP(AZ13,'input for formula'!$B$3:$F$10,AO13,FALSE), IF(AND(H13="Employee",AN13="Abu Dhabi"),HLOOKUP(AZ13,'input for formula'!$I$3:$K$7,AO13,FALSE),HLOOKUP(AZ13,'input for formula'!$M$3:$O$7,AO13,FALSE)))*AX13+AP13*AQ13+AR13*AS13+AT13*AU13),0)*$AZ$3*BK13*BJ13*IF(AND(Inputs!$C$19&gt;19,Inputs!$C$19&lt;30),(1+$AZ$2),1)*(1+$AZ$1))</f>
        <v/>
      </c>
      <c r="AZ13" s="148" t="str">
        <f t="shared" si="19"/>
        <v/>
      </c>
      <c r="BA13" s="669" t="str">
        <f>IF(F13="","",IF(AE13="Dubai",HLOOKUP(F13,Inputs!$C$26:$M$37,9,0),HLOOKUP(F13,Inputs!$C$45:$M$56,9,0)))</f>
        <v/>
      </c>
      <c r="BB13" s="670" t="str">
        <f>IF(F13="","",IF(AE13="Dubai",HLOOKUP(F13,Inputs!$C$26:$M$37,10,0),HLOOKUP(F13,Inputs!$C$45:$M$56,10,0)))</f>
        <v/>
      </c>
      <c r="BC13" s="670" t="str">
        <f>IF(F13="","",IF(AE13="Dubai",HLOOKUP(F13,Inputs!$C$26:$M$37,11,0),HLOOKUP(F13,Inputs!$C$45:$M$56,11,0)))</f>
        <v/>
      </c>
      <c r="BD13" s="669" t="str">
        <f>IF(F13="","",IF(AE13="Dubai",HLOOKUP(F13,Inputs!$C$26:$M$37,12,0),HLOOKUP(F13,Inputs!$C$45:$M$56,12,0)))</f>
        <v/>
      </c>
      <c r="BE13" s="654"/>
      <c r="BF13" s="669" t="str">
        <f>IFERROR(IF(AL13="","",IF(AN13="Dubai",IF(OR(AL13="Plan1",AL13="Plan2"),VLOOKUP(BA13,Deviation!$B$31:$D$33,2,FALSE),VLOOKUP(BA13,Deviation!$B$31:$D$33,3,FALSE)),IF(OR(AL13="Plan1",AL13="Plan2"),VLOOKUP(BA13,Deviation!$E$31:$AE$33,2,FALSE),VLOOKUP(BA13,Deviation!$E$31:$AE$33,3,FALSE)))),0)</f>
        <v/>
      </c>
      <c r="BG13" s="671" t="str">
        <f>IFERROR(IF(AL13="","",IF(AN13="Dubai",IF(AL13="Plan1",VLOOKUP(BB13,Deviation!$B$39:$C$40,2,FALSE),IF(AL13="Plan2",VLOOKUP(BB13,Deviation!$B$42:$C$43,2,FALSE),IF(AL13="Plan5",VLOOKUP(BB13,Deviation!$B$48:$C$49,2,FALSE),VLOOKUP(BB13,Deviation!$B$45:$C$46,2,FALSE)))),IF(AL13="Plan1",VLOOKUP(BB13,Deviation!$E$39:$F$40,2,FALSE),IF(AL13="Plan2",VLOOKUP(BB13,Deviation!$E$42:$F$43,2,FALSE),VLOOKUP(BB13,Deviation!$E$45:$F$46,2,FALSE))))),0)</f>
        <v/>
      </c>
      <c r="BH13" s="671" t="str">
        <f>IFERROR(IF(AL13="","",IF(AN13="Dubai",IF(OR(AL13="Plan1",AL13="Plan2"),VLOOKUP(BC13,Deviation!$B$15:$D$19,2,FALSE),VLOOKUP(BC13,Deviation!$B$15:$D$19,3,FALSE)),IF(OR(AL13="Plan1",AL13="Plan2"),VLOOKUP(BC13,Deviation!$E$15:$AE$19,2,FALSE),VLOOKUP(BC13,Deviation!$E$15:$AE$19,3,FALSE)))),0)</f>
        <v/>
      </c>
      <c r="BI13" s="669" t="str">
        <f>IFERROR(IF(AL13="","",IF(AN13="Dubai",VLOOKUP(BD13,Deviation!$B$24:$C$26,2,FALSE),100%)),0)</f>
        <v/>
      </c>
      <c r="BJ13" s="672">
        <f>IF(AE13="Abu Dhabi",1,IFERROR(VLOOKUP(AM13,Deviation!$B$67:$E$79,MATCH('Census Data'!AA13,Deviation!$B$66:$E$66,0),0),1))</f>
        <v>1</v>
      </c>
      <c r="BK13" s="659">
        <f>IFERROR(VLOOKUP(I13,Deviation!$B$54:$C$62,2,0),1)</f>
        <v>1</v>
      </c>
      <c r="BL13" s="148"/>
      <c r="BM13" s="148"/>
      <c r="BN13" s="148"/>
      <c r="BO13" s="148"/>
      <c r="BP13" s="148"/>
      <c r="BQ13" s="148"/>
      <c r="BR13" s="148"/>
      <c r="BS13" s="148"/>
      <c r="BT13" s="148" t="e">
        <f t="shared" si="20"/>
        <v>#VALUE!</v>
      </c>
      <c r="BU13" t="str">
        <f>IF(AL13="","",IFERROR(IF(AL13="","",IF(AN13="Dubai",HLOOKUP(AZ13,'input for formula'!$B$3:$F$10,AO13,FALSE), IF(AND(H13="Employee",AN13="Abu Dhabi"),HLOOKUP(AZ13,'input for formula'!$I$3:$K$7,AO13,FALSE),HLOOKUP(AZ13,'input for formula'!$M$3:$O$7,AO13,FALSE)))*AX13+AP13*AQ13+AR13*AS13+AT13*AU13),0)*$AZ$3*BK13*BJ13*IF(AND(Inputs!$C$19&gt;19,Inputs!$C$19&lt;30),(1+$AZ$2),1))</f>
        <v/>
      </c>
    </row>
    <row r="14" spans="1:73" ht="15" x14ac:dyDescent="0.25">
      <c r="A14" s="59">
        <v>9</v>
      </c>
      <c r="B14" s="470"/>
      <c r="C14" s="628"/>
      <c r="D14" s="629"/>
      <c r="E14" s="471"/>
      <c r="F14" s="298"/>
      <c r="G14" s="298"/>
      <c r="H14" s="298"/>
      <c r="I14" s="298"/>
      <c r="J14" s="80" t="str">
        <f>IFERROR(IF(C14="","",DATEDIF('Census Data'!C14,eff_date,"y")),"")</f>
        <v/>
      </c>
      <c r="K14" s="59" t="str">
        <f>IF(F14="","",IF(AE14="Dubai",HLOOKUP(F14,Inputs!$C$26:$M$28,3,0),HLOOKUP(F14,Inputs!$C$45:$M$46,2,0)))</f>
        <v/>
      </c>
      <c r="L14" s="104"/>
      <c r="M14" s="105">
        <f t="shared" si="1"/>
        <v>0</v>
      </c>
      <c r="N14" s="654" t="b">
        <f t="shared" si="11"/>
        <v>0</v>
      </c>
      <c r="O14" s="655" t="str">
        <f t="shared" si="2"/>
        <v>x</v>
      </c>
      <c r="P14" s="655" t="str">
        <f t="shared" si="3"/>
        <v>x</v>
      </c>
      <c r="Q14" s="655" t="str">
        <f t="shared" si="4"/>
        <v>x</v>
      </c>
      <c r="R14" s="655" t="str">
        <f t="shared" si="12"/>
        <v>x</v>
      </c>
      <c r="S14" s="655" t="str">
        <f t="shared" si="5"/>
        <v>x</v>
      </c>
      <c r="T14" s="655" t="str">
        <f>IF(ISERROR(MATCH(G14,'Inputs Mapping'!$T$4:$T$10,0)),"x","")</f>
        <v>x</v>
      </c>
      <c r="U14" s="655" t="str">
        <f>IF(ISERROR(MATCH(AA14,'Inputs Mapping'!$U$4:$U$5,0)),"x","")</f>
        <v>x</v>
      </c>
      <c r="V14" s="655" t="str">
        <f>IF(ISERROR(MATCH(AB14,'Inputs Mapping'!$V$4:$V$5,0)),"x","")</f>
        <v>x</v>
      </c>
      <c r="W14" s="655" t="str">
        <f>IF(ISERROR(MATCH(F14,'Inputs Mapping'!$W$4:$W$8,0)),"x","")</f>
        <v>x</v>
      </c>
      <c r="X14" s="655" t="str">
        <f t="shared" si="6"/>
        <v/>
      </c>
      <c r="Y14" s="655" t="str">
        <f t="shared" si="7"/>
        <v/>
      </c>
      <c r="Z14" s="655" t="str">
        <f t="shared" si="8"/>
        <v/>
      </c>
      <c r="AA14" s="655" t="str">
        <f t="shared" si="9"/>
        <v/>
      </c>
      <c r="AB14" s="655" t="str">
        <f t="shared" si="13"/>
        <v/>
      </c>
      <c r="AC14" s="655" t="str">
        <f t="shared" si="21"/>
        <v>x</v>
      </c>
      <c r="AD14" s="655" t="str">
        <f>IF(ISBLANK(I14),"x",IF(ISNUMBER(MATCH(I14,'Inputs Mapping'!$AF$5:$AF$199,0)),"","x"))</f>
        <v>x</v>
      </c>
      <c r="AE14" s="655" t="str">
        <f t="shared" si="14"/>
        <v/>
      </c>
      <c r="AF14" s="148"/>
      <c r="AG14" s="148"/>
      <c r="AH14" s="148" t="str">
        <f t="shared" si="15"/>
        <v/>
      </c>
      <c r="AI14" s="654" t="str">
        <f>IF(J14="","",VLOOKUP(J14,'Inputs Mapping'!$T$27:$V$31,3))</f>
        <v/>
      </c>
      <c r="AJ14" s="654" t="str">
        <f>IF(J14="","",VLOOKUP(J14,'Inputs Mapping'!$T$17:$V$24,3))</f>
        <v/>
      </c>
      <c r="AK14" s="654" t="str">
        <f t="shared" si="16"/>
        <v/>
      </c>
      <c r="AL14" s="655" t="str">
        <f t="shared" si="10"/>
        <v/>
      </c>
      <c r="AM14" s="655" t="str">
        <f>IF(F14="","",IF(AE14="Dubai",HLOOKUP(F14,Inputs!$C$26:$M$36,5,0),HLOOKUP(F14,Inputs!$C$45:$M$49,5,0)))</f>
        <v/>
      </c>
      <c r="AN14" s="655">
        <f t="shared" si="17"/>
        <v>0</v>
      </c>
      <c r="AO14" s="654" t="str">
        <f>IF(AJ14="","",IF(AN14="Dubai",VLOOKUP(AJ14,'Inputs Mapping'!$V$17:$W$24,2,0),VLOOKUP(AI14,'Inputs Mapping'!$V$27:$W$31,2,0)))</f>
        <v/>
      </c>
      <c r="AP14" s="666">
        <f>IFERROR(IF($AN14="","",HLOOKUP($AN14&amp;RIGHT($AL14,1),'input for formula'!$B$16:$I$20,3,0)),0)</f>
        <v>0</v>
      </c>
      <c r="AQ14" s="656">
        <f>IFERROR(IF($AN14="","",HLOOKUP($AN14&amp;$F14,'input for formula'!$B$22:$M$25,2,0)),0)</f>
        <v>0</v>
      </c>
      <c r="AR14" s="666">
        <f>IFERROR(IF($AN14="","",HLOOKUP($AN14&amp;RIGHT($AL14,1),'input for formula'!$B$16:$I$20,4,0)),0)</f>
        <v>0</v>
      </c>
      <c r="AS14" s="656">
        <f>IFERROR(IF($AN14="","",HLOOKUP($AN14&amp;$F14,'input for formula'!$B$22:$M$25,3,0)),0)</f>
        <v>0</v>
      </c>
      <c r="AT14" s="656">
        <f>IFERROR(IF($AN14="","",HLOOKUP($AN14&amp;RIGHT($AL14,1),'input for formula'!$B$16:$I$20,5,0)),0)</f>
        <v>0</v>
      </c>
      <c r="AU14" s="656">
        <f>IFERROR(IF($AN14="","",HLOOKUP($AN14&amp;$F14,'input for formula'!$B$22:$M$25,4,0)),0)</f>
        <v>0</v>
      </c>
      <c r="AV14" s="666">
        <f>IFERROR(IF($AN14="","",IF('Census Data'!$AN14="Abu Dhabi",VLOOKUP('Census Data'!$AM14,'input for formula'!$A$28:$C$41,3,0),VLOOKUP('Census Data'!$AM14,'input for formula'!$A$28:$C$47,2,0))),0)*IFERROR(1+IF(AN14="Dubai",VLOOKUP(F14,'Quotation for Dubai Plans'!$V$6:$X$12,3,FALSE),VLOOKUP(F14,'Quotation for Abu Dhabi Plans'!$W$6:$Y$12,3,FALSE)),0)</f>
        <v>0</v>
      </c>
      <c r="AW14" s="656" t="str">
        <f t="shared" si="18"/>
        <v/>
      </c>
      <c r="AX14" s="667" t="str">
        <f>IFERROR(IF(AL14="","",IF(AN14="Dubai",HLOOKUP((AL14&amp;AM14),Deviation!$B$7:$S$8,2,0)*BF14*BH14*BI14*BG14,HLOOKUP((AL14&amp;AM14),Deviation!$B$9:$O$10,2,0)*BF14*BH14*BI14*BG14)),0)</f>
        <v/>
      </c>
      <c r="AY14" s="668" t="str">
        <f>IF(AL14="","",IFERROR(IF(AL14="","",IF(AN14="Dubai",HLOOKUP(AZ14,'input for formula'!$B$3:$F$10,AO14,FALSE), IF(AND(H14="Employee",AN14="Abu Dhabi"),HLOOKUP(AZ14,'input for formula'!$I$3:$K$7,AO14,FALSE),HLOOKUP(AZ14,'input for formula'!$M$3:$O$7,AO14,FALSE)))*AX14+AP14*AQ14+AR14*AS14+AT14*AU14),0)*$AZ$3*BK14*BJ14*IF(AND(Inputs!$C$19&gt;19,Inputs!$C$19&lt;30),(1+$AZ$2),1)*(1+$AZ$1))</f>
        <v/>
      </c>
      <c r="AZ14" s="148" t="str">
        <f t="shared" si="19"/>
        <v/>
      </c>
      <c r="BA14" s="669" t="str">
        <f>IF(F14="","",IF(AE14="Dubai",HLOOKUP(F14,Inputs!$C$26:$M$37,9,0),HLOOKUP(F14,Inputs!$C$45:$M$56,9,0)))</f>
        <v/>
      </c>
      <c r="BB14" s="670" t="str">
        <f>IF(F14="","",IF(AE14="Dubai",HLOOKUP(F14,Inputs!$C$26:$M$37,10,0),HLOOKUP(F14,Inputs!$C$45:$M$56,10,0)))</f>
        <v/>
      </c>
      <c r="BC14" s="670" t="str">
        <f>IF(F14="","",IF(AE14="Dubai",HLOOKUP(F14,Inputs!$C$26:$M$37,11,0),HLOOKUP(F14,Inputs!$C$45:$M$56,11,0)))</f>
        <v/>
      </c>
      <c r="BD14" s="669" t="str">
        <f>IF(F14="","",IF(AE14="Dubai",HLOOKUP(F14,Inputs!$C$26:$M$37,12,0),HLOOKUP(F14,Inputs!$C$45:$M$56,12,0)))</f>
        <v/>
      </c>
      <c r="BE14" s="654"/>
      <c r="BF14" s="669" t="str">
        <f>IFERROR(IF(AL14="","",IF(AN14="Dubai",IF(OR(AL14="Plan1",AL14="Plan2"),VLOOKUP(BA14,Deviation!$B$31:$D$33,2,FALSE),VLOOKUP(BA14,Deviation!$B$31:$D$33,3,FALSE)),IF(OR(AL14="Plan1",AL14="Plan2"),VLOOKUP(BA14,Deviation!$E$31:$AE$33,2,FALSE),VLOOKUP(BA14,Deviation!$E$31:$AE$33,3,FALSE)))),0)</f>
        <v/>
      </c>
      <c r="BG14" s="671" t="str">
        <f>IFERROR(IF(AL14="","",IF(AN14="Dubai",IF(AL14="Plan1",VLOOKUP(BB14,Deviation!$B$39:$C$40,2,FALSE),IF(AL14="Plan2",VLOOKUP(BB14,Deviation!$B$42:$C$43,2,FALSE),IF(AL14="Plan5",VLOOKUP(BB14,Deviation!$B$48:$C$49,2,FALSE),VLOOKUP(BB14,Deviation!$B$45:$C$46,2,FALSE)))),IF(AL14="Plan1",VLOOKUP(BB14,Deviation!$E$39:$F$40,2,FALSE),IF(AL14="Plan2",VLOOKUP(BB14,Deviation!$E$42:$F$43,2,FALSE),VLOOKUP(BB14,Deviation!$E$45:$F$46,2,FALSE))))),0)</f>
        <v/>
      </c>
      <c r="BH14" s="671" t="str">
        <f>IFERROR(IF(AL14="","",IF(AN14="Dubai",IF(OR(AL14="Plan1",AL14="Plan2"),VLOOKUP(BC14,Deviation!$B$15:$D$19,2,FALSE),VLOOKUP(BC14,Deviation!$B$15:$D$19,3,FALSE)),IF(OR(AL14="Plan1",AL14="Plan2"),VLOOKUP(BC14,Deviation!$E$15:$AE$19,2,FALSE),VLOOKUP(BC14,Deviation!$E$15:$AE$19,3,FALSE)))),0)</f>
        <v/>
      </c>
      <c r="BI14" s="669" t="str">
        <f>IFERROR(IF(AL14="","",IF(AN14="Dubai",VLOOKUP(BD14,Deviation!$B$24:$C$26,2,FALSE),100%)),0)</f>
        <v/>
      </c>
      <c r="BJ14" s="672">
        <f>IF(AE14="Abu Dhabi",1,IFERROR(VLOOKUP(AM14,Deviation!$B$67:$E$79,MATCH('Census Data'!AA14,Deviation!$B$66:$E$66,0),0),1))</f>
        <v>1</v>
      </c>
      <c r="BK14" s="659">
        <f>IFERROR(VLOOKUP(I14,Deviation!$B$54:$C$62,2,0),1)</f>
        <v>1</v>
      </c>
      <c r="BL14" s="148"/>
      <c r="BM14" s="148"/>
      <c r="BN14" s="148"/>
      <c r="BO14" s="148"/>
      <c r="BP14" s="148"/>
      <c r="BQ14" s="148"/>
      <c r="BR14" s="148"/>
      <c r="BS14" s="148"/>
      <c r="BT14" s="148" t="e">
        <f t="shared" si="20"/>
        <v>#VALUE!</v>
      </c>
      <c r="BU14" t="str">
        <f>IF(AL14="","",IFERROR(IF(AL14="","",IF(AN14="Dubai",HLOOKUP(AZ14,'input for formula'!$B$3:$F$10,AO14,FALSE), IF(AND(H14="Employee",AN14="Abu Dhabi"),HLOOKUP(AZ14,'input for formula'!$I$3:$K$7,AO14,FALSE),HLOOKUP(AZ14,'input for formula'!$M$3:$O$7,AO14,FALSE)))*AX14+AP14*AQ14+AR14*AS14+AT14*AU14),0)*$AZ$3*BK14*BJ14*IF(AND(Inputs!$C$19&gt;19,Inputs!$C$19&lt;30),(1+$AZ$2),1))</f>
        <v/>
      </c>
    </row>
    <row r="15" spans="1:73" ht="15" x14ac:dyDescent="0.25">
      <c r="A15" s="59">
        <v>10</v>
      </c>
      <c r="B15" s="470"/>
      <c r="C15" s="628"/>
      <c r="D15" s="629"/>
      <c r="E15" s="471"/>
      <c r="F15" s="298"/>
      <c r="G15" s="298"/>
      <c r="H15" s="298"/>
      <c r="I15" s="298"/>
      <c r="J15" s="80" t="str">
        <f>IFERROR(IF(C15="","",DATEDIF('Census Data'!C15,eff_date,"y")),"")</f>
        <v/>
      </c>
      <c r="K15" s="59" t="str">
        <f>IF(F15="","",IF(AE15="Dubai",HLOOKUP(F15,Inputs!$C$26:$M$28,3,0),HLOOKUP(F15,Inputs!$C$45:$M$46,2,0)))</f>
        <v/>
      </c>
      <c r="L15" s="104"/>
      <c r="M15" s="105">
        <f t="shared" si="1"/>
        <v>0</v>
      </c>
      <c r="N15" s="654" t="b">
        <f t="shared" si="11"/>
        <v>0</v>
      </c>
      <c r="O15" s="655" t="str">
        <f t="shared" si="2"/>
        <v>x</v>
      </c>
      <c r="P15" s="655" t="str">
        <f t="shared" si="3"/>
        <v>x</v>
      </c>
      <c r="Q15" s="655" t="str">
        <f t="shared" si="4"/>
        <v>x</v>
      </c>
      <c r="R15" s="655" t="str">
        <f t="shared" si="12"/>
        <v>x</v>
      </c>
      <c r="S15" s="655" t="str">
        <f t="shared" si="5"/>
        <v>x</v>
      </c>
      <c r="T15" s="655" t="str">
        <f>IF(ISERROR(MATCH(G15,'Inputs Mapping'!$T$4:$T$10,0)),"x","")</f>
        <v>x</v>
      </c>
      <c r="U15" s="655" t="str">
        <f>IF(ISERROR(MATCH(AA15,'Inputs Mapping'!$U$4:$U$5,0)),"x","")</f>
        <v>x</v>
      </c>
      <c r="V15" s="655" t="str">
        <f>IF(ISERROR(MATCH(AB15,'Inputs Mapping'!$V$4:$V$5,0)),"x","")</f>
        <v>x</v>
      </c>
      <c r="W15" s="655" t="str">
        <f>IF(ISERROR(MATCH(F15,'Inputs Mapping'!$W$4:$W$8,0)),"x","")</f>
        <v>x</v>
      </c>
      <c r="X15" s="655" t="str">
        <f t="shared" si="6"/>
        <v/>
      </c>
      <c r="Y15" s="655" t="str">
        <f t="shared" si="7"/>
        <v/>
      </c>
      <c r="Z15" s="655" t="str">
        <f t="shared" si="8"/>
        <v/>
      </c>
      <c r="AA15" s="655" t="str">
        <f t="shared" si="9"/>
        <v/>
      </c>
      <c r="AB15" s="655" t="str">
        <f t="shared" si="13"/>
        <v/>
      </c>
      <c r="AC15" s="655" t="str">
        <f t="shared" si="21"/>
        <v>x</v>
      </c>
      <c r="AD15" s="655" t="str">
        <f>IF(ISBLANK(I15),"x",IF(ISNUMBER(MATCH(I15,'Inputs Mapping'!$AF$5:$AF$199,0)),"","x"))</f>
        <v>x</v>
      </c>
      <c r="AE15" s="655" t="str">
        <f t="shared" si="14"/>
        <v/>
      </c>
      <c r="AF15" s="148"/>
      <c r="AG15" s="148"/>
      <c r="AH15" s="148" t="str">
        <f t="shared" si="15"/>
        <v/>
      </c>
      <c r="AI15" s="654" t="str">
        <f>IF(J15="","",VLOOKUP(J15,'Inputs Mapping'!$T$27:$V$31,3))</f>
        <v/>
      </c>
      <c r="AJ15" s="654" t="str">
        <f>IF(J15="","",VLOOKUP(J15,'Inputs Mapping'!$T$17:$V$24,3))</f>
        <v/>
      </c>
      <c r="AK15" s="654" t="str">
        <f t="shared" si="16"/>
        <v/>
      </c>
      <c r="AL15" s="655" t="str">
        <f t="shared" si="10"/>
        <v/>
      </c>
      <c r="AM15" s="655" t="str">
        <f>IF(F15="","",IF(AE15="Dubai",HLOOKUP(F15,Inputs!$C$26:$M$36,5,0),HLOOKUP(F15,Inputs!$C$45:$M$49,5,0)))</f>
        <v/>
      </c>
      <c r="AN15" s="655">
        <f t="shared" si="17"/>
        <v>0</v>
      </c>
      <c r="AO15" s="654" t="str">
        <f>IF(AJ15="","",IF(AN15="Dubai",VLOOKUP(AJ15,'Inputs Mapping'!$V$17:$W$24,2,0),VLOOKUP(AI15,'Inputs Mapping'!$V$27:$W$31,2,0)))</f>
        <v/>
      </c>
      <c r="AP15" s="666">
        <f>IFERROR(IF($AN15="","",HLOOKUP($AN15&amp;RIGHT($AL15,1),'input for formula'!$B$16:$I$20,3,0)),0)</f>
        <v>0</v>
      </c>
      <c r="AQ15" s="656">
        <f>IFERROR(IF($AN15="","",HLOOKUP($AN15&amp;$F15,'input for formula'!$B$22:$M$25,2,0)),0)</f>
        <v>0</v>
      </c>
      <c r="AR15" s="666">
        <f>IFERROR(IF($AN15="","",HLOOKUP($AN15&amp;RIGHT($AL15,1),'input for formula'!$B$16:$I$20,4,0)),0)</f>
        <v>0</v>
      </c>
      <c r="AS15" s="656">
        <f>IFERROR(IF($AN15="","",HLOOKUP($AN15&amp;$F15,'input for formula'!$B$22:$M$25,3,0)),0)</f>
        <v>0</v>
      </c>
      <c r="AT15" s="656">
        <f>IFERROR(IF($AN15="","",HLOOKUP($AN15&amp;RIGHT($AL15,1),'input for formula'!$B$16:$I$20,5,0)),0)</f>
        <v>0</v>
      </c>
      <c r="AU15" s="656">
        <f>IFERROR(IF($AN15="","",HLOOKUP($AN15&amp;$F15,'input for formula'!$B$22:$M$25,4,0)),0)</f>
        <v>0</v>
      </c>
      <c r="AV15" s="666">
        <f>IFERROR(IF($AN15="","",IF('Census Data'!$AN15="Abu Dhabi",VLOOKUP('Census Data'!$AM15,'input for formula'!$A$28:$C$41,3,0),VLOOKUP('Census Data'!$AM15,'input for formula'!$A$28:$C$47,2,0))),0)*IFERROR(1+IF(AN15="Dubai",VLOOKUP(F15,'Quotation for Dubai Plans'!$V$6:$X$12,3,FALSE),VLOOKUP(F15,'Quotation for Abu Dhabi Plans'!$W$6:$Y$12,3,FALSE)),0)</f>
        <v>0</v>
      </c>
      <c r="AW15" s="656" t="str">
        <f t="shared" si="18"/>
        <v/>
      </c>
      <c r="AX15" s="667" t="str">
        <f>IFERROR(IF(AL15="","",IF(AN15="Dubai",HLOOKUP((AL15&amp;AM15),Deviation!$B$7:$S$8,2,0)*BF15*BH15*BI15*BG15,HLOOKUP((AL15&amp;AM15),Deviation!$B$9:$O$10,2,0)*BF15*BH15*BI15*BG15)),0)</f>
        <v/>
      </c>
      <c r="AY15" s="668" t="str">
        <f>IF(AL15="","",IFERROR(IF(AL15="","",IF(AN15="Dubai",HLOOKUP(AZ15,'input for formula'!$B$3:$F$10,AO15,FALSE), IF(AND(H15="Employee",AN15="Abu Dhabi"),HLOOKUP(AZ15,'input for formula'!$I$3:$K$7,AO15,FALSE),HLOOKUP(AZ15,'input for formula'!$M$3:$O$7,AO15,FALSE)))*AX15+AP15*AQ15+AR15*AS15+AT15*AU15),0)*$AZ$3*BK15*BJ15*IF(AND(Inputs!$C$19&gt;19,Inputs!$C$19&lt;30),(1+$AZ$2),1)*(1+$AZ$1))</f>
        <v/>
      </c>
      <c r="AZ15" s="148" t="str">
        <f t="shared" si="19"/>
        <v/>
      </c>
      <c r="BA15" s="669" t="str">
        <f>IF(F15="","",IF(AE15="Dubai",HLOOKUP(F15,Inputs!$C$26:$M$37,9,0),HLOOKUP(F15,Inputs!$C$45:$M$56,9,0)))</f>
        <v/>
      </c>
      <c r="BB15" s="670" t="str">
        <f>IF(F15="","",IF(AE15="Dubai",HLOOKUP(F15,Inputs!$C$26:$M$37,10,0),HLOOKUP(F15,Inputs!$C$45:$M$56,10,0)))</f>
        <v/>
      </c>
      <c r="BC15" s="670" t="str">
        <f>IF(F15="","",IF(AE15="Dubai",HLOOKUP(F15,Inputs!$C$26:$M$37,11,0),HLOOKUP(F15,Inputs!$C$45:$M$56,11,0)))</f>
        <v/>
      </c>
      <c r="BD15" s="669" t="str">
        <f>IF(F15="","",IF(AE15="Dubai",HLOOKUP(F15,Inputs!$C$26:$M$37,12,0),HLOOKUP(F15,Inputs!$C$45:$M$56,12,0)))</f>
        <v/>
      </c>
      <c r="BE15" s="654"/>
      <c r="BF15" s="669" t="str">
        <f>IFERROR(IF(AL15="","",IF(AN15="Dubai",IF(OR(AL15="Plan1",AL15="Plan2"),VLOOKUP(BA15,Deviation!$B$31:$D$33,2,FALSE),VLOOKUP(BA15,Deviation!$B$31:$D$33,3,FALSE)),IF(OR(AL15="Plan1",AL15="Plan2"),VLOOKUP(BA15,Deviation!$E$31:$AE$33,2,FALSE),VLOOKUP(BA15,Deviation!$E$31:$AE$33,3,FALSE)))),0)</f>
        <v/>
      </c>
      <c r="BG15" s="671" t="str">
        <f>IFERROR(IF(AL15="","",IF(AN15="Dubai",IF(AL15="Plan1",VLOOKUP(BB15,Deviation!$B$39:$C$40,2,FALSE),IF(AL15="Plan2",VLOOKUP(BB15,Deviation!$B$42:$C$43,2,FALSE),IF(AL15="Plan5",VLOOKUP(BB15,Deviation!$B$48:$C$49,2,FALSE),VLOOKUP(BB15,Deviation!$B$45:$C$46,2,FALSE)))),IF(AL15="Plan1",VLOOKUP(BB15,Deviation!$E$39:$F$40,2,FALSE),IF(AL15="Plan2",VLOOKUP(BB15,Deviation!$E$42:$F$43,2,FALSE),VLOOKUP(BB15,Deviation!$E$45:$F$46,2,FALSE))))),0)</f>
        <v/>
      </c>
      <c r="BH15" s="671" t="str">
        <f>IFERROR(IF(AL15="","",IF(AN15="Dubai",IF(OR(AL15="Plan1",AL15="Plan2"),VLOOKUP(BC15,Deviation!$B$15:$D$19,2,FALSE),VLOOKUP(BC15,Deviation!$B$15:$D$19,3,FALSE)),IF(OR(AL15="Plan1",AL15="Plan2"),VLOOKUP(BC15,Deviation!$E$15:$AE$19,2,FALSE),VLOOKUP(BC15,Deviation!$E$15:$AE$19,3,FALSE)))),0)</f>
        <v/>
      </c>
      <c r="BI15" s="669" t="str">
        <f>IFERROR(IF(AL15="","",IF(AN15="Dubai",VLOOKUP(BD15,Deviation!$B$24:$C$26,2,FALSE),100%)),0)</f>
        <v/>
      </c>
      <c r="BJ15" s="672">
        <f>IF(AE15="Abu Dhabi",1,IFERROR(VLOOKUP(AM15,Deviation!$B$67:$E$79,MATCH('Census Data'!AA15,Deviation!$B$66:$E$66,0),0),1))</f>
        <v>1</v>
      </c>
      <c r="BK15" s="659">
        <f>IFERROR(VLOOKUP(I15,Deviation!$B$54:$C$62,2,0),1)</f>
        <v>1</v>
      </c>
      <c r="BL15" s="148"/>
      <c r="BM15" s="148"/>
      <c r="BN15" s="148"/>
      <c r="BO15" s="148"/>
      <c r="BP15" s="148"/>
      <c r="BQ15" s="148"/>
      <c r="BR15" s="148"/>
      <c r="BS15" s="148"/>
      <c r="BT15" s="148" t="e">
        <f t="shared" si="20"/>
        <v>#VALUE!</v>
      </c>
      <c r="BU15" t="str">
        <f>IF(AL15="","",IFERROR(IF(AL15="","",IF(AN15="Dubai",HLOOKUP(AZ15,'input for formula'!$B$3:$F$10,AO15,FALSE), IF(AND(H15="Employee",AN15="Abu Dhabi"),HLOOKUP(AZ15,'input for formula'!$I$3:$K$7,AO15,FALSE),HLOOKUP(AZ15,'input for formula'!$M$3:$O$7,AO15,FALSE)))*AX15+AP15*AQ15+AR15*AS15+AT15*AU15),0)*$AZ$3*BK15*BJ15*IF(AND(Inputs!$C$19&gt;19,Inputs!$C$19&lt;30),(1+$AZ$2),1))</f>
        <v/>
      </c>
    </row>
    <row r="16" spans="1:73" ht="15" x14ac:dyDescent="0.25">
      <c r="A16" s="59">
        <v>11</v>
      </c>
      <c r="B16" s="470"/>
      <c r="C16" s="628"/>
      <c r="D16" s="629"/>
      <c r="E16" s="471"/>
      <c r="F16" s="298"/>
      <c r="G16" s="298"/>
      <c r="H16" s="298"/>
      <c r="I16" s="298"/>
      <c r="J16" s="80" t="str">
        <f>IFERROR(IF(C16="","",DATEDIF('Census Data'!C16,eff_date,"y")),"")</f>
        <v/>
      </c>
      <c r="K16" s="59" t="str">
        <f>IF(F16="","",IF(AE16="Dubai",HLOOKUP(F16,Inputs!$C$26:$M$28,3,0),HLOOKUP(F16,Inputs!$C$45:$M$46,2,0)))</f>
        <v/>
      </c>
      <c r="L16" s="104"/>
      <c r="M16" s="105">
        <f t="shared" si="1"/>
        <v>0</v>
      </c>
      <c r="N16" s="654" t="b">
        <f t="shared" si="11"/>
        <v>0</v>
      </c>
      <c r="O16" s="655" t="str">
        <f t="shared" si="2"/>
        <v>x</v>
      </c>
      <c r="P16" s="655" t="str">
        <f t="shared" si="3"/>
        <v>x</v>
      </c>
      <c r="Q16" s="655" t="str">
        <f t="shared" si="4"/>
        <v>x</v>
      </c>
      <c r="R16" s="655" t="str">
        <f t="shared" si="12"/>
        <v>x</v>
      </c>
      <c r="S16" s="655" t="str">
        <f t="shared" si="5"/>
        <v>x</v>
      </c>
      <c r="T16" s="655" t="str">
        <f>IF(ISERROR(MATCH(G16,'Inputs Mapping'!$T$4:$T$10,0)),"x","")</f>
        <v>x</v>
      </c>
      <c r="U16" s="655" t="str">
        <f>IF(ISERROR(MATCH(AA16,'Inputs Mapping'!$U$4:$U$5,0)),"x","")</f>
        <v>x</v>
      </c>
      <c r="V16" s="655" t="str">
        <f>IF(ISERROR(MATCH(AB16,'Inputs Mapping'!$V$4:$V$5,0)),"x","")</f>
        <v>x</v>
      </c>
      <c r="W16" s="655" t="str">
        <f>IF(ISERROR(MATCH(F16,'Inputs Mapping'!$W$4:$W$8,0)),"x","")</f>
        <v>x</v>
      </c>
      <c r="X16" s="655" t="str">
        <f t="shared" si="6"/>
        <v/>
      </c>
      <c r="Y16" s="655" t="str">
        <f t="shared" si="7"/>
        <v/>
      </c>
      <c r="Z16" s="655" t="str">
        <f t="shared" si="8"/>
        <v/>
      </c>
      <c r="AA16" s="655" t="str">
        <f t="shared" si="9"/>
        <v/>
      </c>
      <c r="AB16" s="655" t="str">
        <f t="shared" si="13"/>
        <v/>
      </c>
      <c r="AC16" s="655" t="str">
        <f t="shared" si="21"/>
        <v>x</v>
      </c>
      <c r="AD16" s="655" t="str">
        <f>IF(ISBLANK(I16),"x",IF(ISNUMBER(MATCH(I16,'Inputs Mapping'!$AF$5:$AF$199,0)),"","x"))</f>
        <v>x</v>
      </c>
      <c r="AE16" s="655" t="str">
        <f t="shared" si="14"/>
        <v/>
      </c>
      <c r="AF16" s="148"/>
      <c r="AG16" s="148"/>
      <c r="AH16" s="148" t="str">
        <f t="shared" si="15"/>
        <v/>
      </c>
      <c r="AI16" s="654" t="str">
        <f>IF(J16="","",VLOOKUP(J16,'Inputs Mapping'!$T$27:$V$31,3))</f>
        <v/>
      </c>
      <c r="AJ16" s="654" t="str">
        <f>IF(J16="","",VLOOKUP(J16,'Inputs Mapping'!$T$17:$V$24,3))</f>
        <v/>
      </c>
      <c r="AK16" s="654" t="str">
        <f t="shared" si="16"/>
        <v/>
      </c>
      <c r="AL16" s="655" t="str">
        <f t="shared" si="10"/>
        <v/>
      </c>
      <c r="AM16" s="655" t="str">
        <f>IF(F16="","",IF(AE16="Dubai",HLOOKUP(F16,Inputs!$C$26:$M$36,5,0),HLOOKUP(F16,Inputs!$C$45:$M$49,5,0)))</f>
        <v/>
      </c>
      <c r="AN16" s="655">
        <f t="shared" si="17"/>
        <v>0</v>
      </c>
      <c r="AO16" s="654" t="str">
        <f>IF(AJ16="","",IF(AN16="Dubai",VLOOKUP(AJ16,'Inputs Mapping'!$V$17:$W$24,2,0),VLOOKUP(AI16,'Inputs Mapping'!$V$27:$W$31,2,0)))</f>
        <v/>
      </c>
      <c r="AP16" s="666">
        <f>IFERROR(IF($AN16="","",HLOOKUP($AN16&amp;RIGHT($AL16,1),'input for formula'!$B$16:$I$20,3,0)),0)</f>
        <v>0</v>
      </c>
      <c r="AQ16" s="656">
        <f>IFERROR(IF($AN16="","",HLOOKUP($AN16&amp;$F16,'input for formula'!$B$22:$M$25,2,0)),0)</f>
        <v>0</v>
      </c>
      <c r="AR16" s="666">
        <f>IFERROR(IF($AN16="","",HLOOKUP($AN16&amp;RIGHT($AL16,1),'input for formula'!$B$16:$I$20,4,0)),0)</f>
        <v>0</v>
      </c>
      <c r="AS16" s="656">
        <f>IFERROR(IF($AN16="","",HLOOKUP($AN16&amp;$F16,'input for formula'!$B$22:$M$25,3,0)),0)</f>
        <v>0</v>
      </c>
      <c r="AT16" s="656">
        <f>IFERROR(IF($AN16="","",HLOOKUP($AN16&amp;RIGHT($AL16,1),'input for formula'!$B$16:$I$20,5,0)),0)</f>
        <v>0</v>
      </c>
      <c r="AU16" s="656">
        <f>IFERROR(IF($AN16="","",HLOOKUP($AN16&amp;$F16,'input for formula'!$B$22:$M$25,4,0)),0)</f>
        <v>0</v>
      </c>
      <c r="AV16" s="666">
        <f>IFERROR(IF($AN16="","",IF('Census Data'!$AN16="Abu Dhabi",VLOOKUP('Census Data'!$AM16,'input for formula'!$A$28:$C$41,3,0),VLOOKUP('Census Data'!$AM16,'input for formula'!$A$28:$C$47,2,0))),0)*IFERROR(1+IF(AN16="Dubai",VLOOKUP(F16,'Quotation for Dubai Plans'!$V$6:$X$12,3,FALSE),VLOOKUP(F16,'Quotation for Abu Dhabi Plans'!$W$6:$Y$12,3,FALSE)),0)</f>
        <v>0</v>
      </c>
      <c r="AW16" s="656" t="str">
        <f t="shared" si="18"/>
        <v/>
      </c>
      <c r="AX16" s="667" t="str">
        <f>IFERROR(IF(AL16="","",IF(AN16="Dubai",HLOOKUP((AL16&amp;AM16),Deviation!$B$7:$S$8,2,0)*BF16*BH16*BI16*BG16,HLOOKUP((AL16&amp;AM16),Deviation!$B$9:$O$10,2,0)*BF16*BH16*BI16*BG16)),0)</f>
        <v/>
      </c>
      <c r="AY16" s="668" t="str">
        <f>IF(AL16="","",IFERROR(IF(AL16="","",IF(AN16="Dubai",HLOOKUP(AZ16,'input for formula'!$B$3:$F$10,AO16,FALSE), IF(AND(H16="Employee",AN16="Abu Dhabi"),HLOOKUP(AZ16,'input for formula'!$I$3:$K$7,AO16,FALSE),HLOOKUP(AZ16,'input for formula'!$M$3:$O$7,AO16,FALSE)))*AX16+AP16*AQ16+AR16*AS16+AT16*AU16),0)*$AZ$3*BK16*BJ16*IF(AND(Inputs!$C$19&gt;19,Inputs!$C$19&lt;30),(1+$AZ$2),1)*(1+$AZ$1))</f>
        <v/>
      </c>
      <c r="AZ16" s="148" t="str">
        <f t="shared" si="19"/>
        <v/>
      </c>
      <c r="BA16" s="669" t="str">
        <f>IF(F16="","",IF(AE16="Dubai",HLOOKUP(F16,Inputs!$C$26:$M$37,9,0),HLOOKUP(F16,Inputs!$C$45:$M$56,9,0)))</f>
        <v/>
      </c>
      <c r="BB16" s="670" t="str">
        <f>IF(F16="","",IF(AE16="Dubai",HLOOKUP(F16,Inputs!$C$26:$M$37,10,0),HLOOKUP(F16,Inputs!$C$45:$M$56,10,0)))</f>
        <v/>
      </c>
      <c r="BC16" s="670" t="str">
        <f>IF(F16="","",IF(AE16="Dubai",HLOOKUP(F16,Inputs!$C$26:$M$37,11,0),HLOOKUP(F16,Inputs!$C$45:$M$56,11,0)))</f>
        <v/>
      </c>
      <c r="BD16" s="669" t="str">
        <f>IF(F16="","",IF(AE16="Dubai",HLOOKUP(F16,Inputs!$C$26:$M$37,12,0),HLOOKUP(F16,Inputs!$C$45:$M$56,12,0)))</f>
        <v/>
      </c>
      <c r="BE16" s="654"/>
      <c r="BF16" s="669" t="str">
        <f>IFERROR(IF(AL16="","",IF(AN16="Dubai",IF(OR(AL16="Plan1",AL16="Plan2"),VLOOKUP(BA16,Deviation!$B$31:$D$33,2,FALSE),VLOOKUP(BA16,Deviation!$B$31:$D$33,3,FALSE)),IF(OR(AL16="Plan1",AL16="Plan2"),VLOOKUP(BA16,Deviation!$E$31:$AE$33,2,FALSE),VLOOKUP(BA16,Deviation!$E$31:$AE$33,3,FALSE)))),0)</f>
        <v/>
      </c>
      <c r="BG16" s="671" t="str">
        <f>IFERROR(IF(AL16="","",IF(AN16="Dubai",IF(AL16="Plan1",VLOOKUP(BB16,Deviation!$B$39:$C$40,2,FALSE),IF(AL16="Plan2",VLOOKUP(BB16,Deviation!$B$42:$C$43,2,FALSE),IF(AL16="Plan5",VLOOKUP(BB16,Deviation!$B$48:$C$49,2,FALSE),VLOOKUP(BB16,Deviation!$B$45:$C$46,2,FALSE)))),IF(AL16="Plan1",VLOOKUP(BB16,Deviation!$E$39:$F$40,2,FALSE),IF(AL16="Plan2",VLOOKUP(BB16,Deviation!$E$42:$F$43,2,FALSE),VLOOKUP(BB16,Deviation!$E$45:$F$46,2,FALSE))))),0)</f>
        <v/>
      </c>
      <c r="BH16" s="671" t="str">
        <f>IFERROR(IF(AL16="","",IF(AN16="Dubai",IF(OR(AL16="Plan1",AL16="Plan2"),VLOOKUP(BC16,Deviation!$B$15:$D$19,2,FALSE),VLOOKUP(BC16,Deviation!$B$15:$D$19,3,FALSE)),IF(OR(AL16="Plan1",AL16="Plan2"),VLOOKUP(BC16,Deviation!$E$15:$AE$19,2,FALSE),VLOOKUP(BC16,Deviation!$E$15:$AE$19,3,FALSE)))),0)</f>
        <v/>
      </c>
      <c r="BI16" s="669" t="str">
        <f>IFERROR(IF(AL16="","",IF(AN16="Dubai",VLOOKUP(BD16,Deviation!$B$24:$C$26,2,FALSE),100%)),0)</f>
        <v/>
      </c>
      <c r="BJ16" s="672">
        <f>IF(AE16="Abu Dhabi",1,IFERROR(VLOOKUP(AM16,Deviation!$B$67:$E$79,MATCH('Census Data'!AA16,Deviation!$B$66:$E$66,0),0),1))</f>
        <v>1</v>
      </c>
      <c r="BK16" s="659">
        <f>IFERROR(VLOOKUP(I16,Deviation!$B$54:$C$62,2,0),1)</f>
        <v>1</v>
      </c>
      <c r="BL16" s="148"/>
      <c r="BM16" s="148"/>
      <c r="BN16" s="148"/>
      <c r="BO16" s="148"/>
      <c r="BP16" s="148"/>
      <c r="BQ16" s="148"/>
      <c r="BR16" s="148"/>
      <c r="BS16" s="148"/>
      <c r="BT16" s="148" t="e">
        <f t="shared" si="20"/>
        <v>#VALUE!</v>
      </c>
      <c r="BU16" t="str">
        <f>IF(AL16="","",IFERROR(IF(AL16="","",IF(AN16="Dubai",HLOOKUP(AZ16,'input for formula'!$B$3:$F$10,AO16,FALSE), IF(AND(H16="Employee",AN16="Abu Dhabi"),HLOOKUP(AZ16,'input for formula'!$I$3:$K$7,AO16,FALSE),HLOOKUP(AZ16,'input for formula'!$M$3:$O$7,AO16,FALSE)))*AX16+AP16*AQ16+AR16*AS16+AT16*AU16),0)*$AZ$3*BK16*BJ16*IF(AND(Inputs!$C$19&gt;19,Inputs!$C$19&lt;30),(1+$AZ$2),1))</f>
        <v/>
      </c>
    </row>
    <row r="17" spans="1:73" ht="15" x14ac:dyDescent="0.25">
      <c r="A17" s="59">
        <v>12</v>
      </c>
      <c r="B17" s="470"/>
      <c r="C17" s="628"/>
      <c r="D17" s="629"/>
      <c r="E17" s="471"/>
      <c r="F17" s="298"/>
      <c r="G17" s="298"/>
      <c r="H17" s="298"/>
      <c r="I17" s="298"/>
      <c r="J17" s="80" t="str">
        <f>IFERROR(IF(C17="","",DATEDIF('Census Data'!C17,eff_date,"y")),"")</f>
        <v/>
      </c>
      <c r="K17" s="59" t="str">
        <f>IF(F17="","",IF(AE17="Dubai",HLOOKUP(F17,Inputs!$C$26:$M$28,3,0),HLOOKUP(F17,Inputs!$C$45:$M$46,2,0)))</f>
        <v/>
      </c>
      <c r="L17" s="104"/>
      <c r="M17" s="105">
        <f t="shared" si="1"/>
        <v>0</v>
      </c>
      <c r="N17" s="654" t="b">
        <f t="shared" si="11"/>
        <v>0</v>
      </c>
      <c r="O17" s="655" t="str">
        <f t="shared" si="2"/>
        <v>x</v>
      </c>
      <c r="P17" s="655" t="str">
        <f t="shared" si="3"/>
        <v>x</v>
      </c>
      <c r="Q17" s="655" t="str">
        <f t="shared" si="4"/>
        <v>x</v>
      </c>
      <c r="R17" s="655" t="str">
        <f t="shared" si="12"/>
        <v>x</v>
      </c>
      <c r="S17" s="655" t="str">
        <f t="shared" si="5"/>
        <v>x</v>
      </c>
      <c r="T17" s="655" t="str">
        <f>IF(ISERROR(MATCH(G17,'Inputs Mapping'!$T$4:$T$10,0)),"x","")</f>
        <v>x</v>
      </c>
      <c r="U17" s="655" t="str">
        <f>IF(ISERROR(MATCH(AA17,'Inputs Mapping'!$U$4:$U$5,0)),"x","")</f>
        <v>x</v>
      </c>
      <c r="V17" s="655" t="str">
        <f>IF(ISERROR(MATCH(AB17,'Inputs Mapping'!$V$4:$V$5,0)),"x","")</f>
        <v>x</v>
      </c>
      <c r="W17" s="655" t="str">
        <f>IF(ISERROR(MATCH(F17,'Inputs Mapping'!$W$4:$W$8,0)),"x","")</f>
        <v>x</v>
      </c>
      <c r="X17" s="655" t="str">
        <f t="shared" si="6"/>
        <v/>
      </c>
      <c r="Y17" s="655" t="str">
        <f t="shared" si="7"/>
        <v/>
      </c>
      <c r="Z17" s="655" t="str">
        <f t="shared" si="8"/>
        <v/>
      </c>
      <c r="AA17" s="655" t="str">
        <f t="shared" si="9"/>
        <v/>
      </c>
      <c r="AB17" s="655" t="str">
        <f t="shared" si="13"/>
        <v/>
      </c>
      <c r="AC17" s="655" t="str">
        <f t="shared" si="21"/>
        <v>x</v>
      </c>
      <c r="AD17" s="655" t="str">
        <f>IF(ISBLANK(I17),"x",IF(ISNUMBER(MATCH(I17,'Inputs Mapping'!$AF$5:$AF$199,0)),"","x"))</f>
        <v>x</v>
      </c>
      <c r="AE17" s="655" t="str">
        <f t="shared" si="14"/>
        <v/>
      </c>
      <c r="AF17" s="148"/>
      <c r="AG17" s="148"/>
      <c r="AH17" s="148" t="str">
        <f t="shared" si="15"/>
        <v/>
      </c>
      <c r="AI17" s="654" t="str">
        <f>IF(J17="","",VLOOKUP(J17,'Inputs Mapping'!$T$27:$V$31,3))</f>
        <v/>
      </c>
      <c r="AJ17" s="654" t="str">
        <f>IF(J17="","",VLOOKUP(J17,'Inputs Mapping'!$T$17:$V$24,3))</f>
        <v/>
      </c>
      <c r="AK17" s="654" t="str">
        <f t="shared" si="16"/>
        <v/>
      </c>
      <c r="AL17" s="655" t="str">
        <f t="shared" si="10"/>
        <v/>
      </c>
      <c r="AM17" s="655" t="str">
        <f>IF(F17="","",IF(AE17="Dubai",HLOOKUP(F17,Inputs!$C$26:$M$36,5,0),HLOOKUP(F17,Inputs!$C$45:$M$49,5,0)))</f>
        <v/>
      </c>
      <c r="AN17" s="655">
        <f t="shared" si="17"/>
        <v>0</v>
      </c>
      <c r="AO17" s="654" t="str">
        <f>IF(AJ17="","",IF(AN17="Dubai",VLOOKUP(AJ17,'Inputs Mapping'!$V$17:$W$24,2,0),VLOOKUP(AI17,'Inputs Mapping'!$V$27:$W$31,2,0)))</f>
        <v/>
      </c>
      <c r="AP17" s="666">
        <f>IFERROR(IF($AN17="","",HLOOKUP($AN17&amp;RIGHT($AL17,1),'input for formula'!$B$16:$I$20,3,0)),0)</f>
        <v>0</v>
      </c>
      <c r="AQ17" s="656">
        <f>IFERROR(IF($AN17="","",HLOOKUP($AN17&amp;$F17,'input for formula'!$B$22:$M$25,2,0)),0)</f>
        <v>0</v>
      </c>
      <c r="AR17" s="666">
        <f>IFERROR(IF($AN17="","",HLOOKUP($AN17&amp;RIGHT($AL17,1),'input for formula'!$B$16:$I$20,4,0)),0)</f>
        <v>0</v>
      </c>
      <c r="AS17" s="656">
        <f>IFERROR(IF($AN17="","",HLOOKUP($AN17&amp;$F17,'input for formula'!$B$22:$M$25,3,0)),0)</f>
        <v>0</v>
      </c>
      <c r="AT17" s="656">
        <f>IFERROR(IF($AN17="","",HLOOKUP($AN17&amp;RIGHT($AL17,1),'input for formula'!$B$16:$I$20,5,0)),0)</f>
        <v>0</v>
      </c>
      <c r="AU17" s="656">
        <f>IFERROR(IF($AN17="","",HLOOKUP($AN17&amp;$F17,'input for formula'!$B$22:$M$25,4,0)),0)</f>
        <v>0</v>
      </c>
      <c r="AV17" s="666">
        <f>IFERROR(IF($AN17="","",IF('Census Data'!$AN17="Abu Dhabi",VLOOKUP('Census Data'!$AM17,'input for formula'!$A$28:$C$41,3,0),VLOOKUP('Census Data'!$AM17,'input for formula'!$A$28:$C$47,2,0))),0)*IFERROR(1+IF(AN17="Dubai",VLOOKUP(F17,'Quotation for Dubai Plans'!$V$6:$X$12,3,FALSE),VLOOKUP(F17,'Quotation for Abu Dhabi Plans'!$W$6:$Y$12,3,FALSE)),0)</f>
        <v>0</v>
      </c>
      <c r="AW17" s="656" t="str">
        <f t="shared" si="18"/>
        <v/>
      </c>
      <c r="AX17" s="667" t="str">
        <f>IFERROR(IF(AL17="","",IF(AN17="Dubai",HLOOKUP((AL17&amp;AM17),Deviation!$B$7:$S$8,2,0)*BF17*BH17*BI17*BG17,HLOOKUP((AL17&amp;AM17),Deviation!$B$9:$O$10,2,0)*BF17*BH17*BI17*BG17)),0)</f>
        <v/>
      </c>
      <c r="AY17" s="668" t="str">
        <f>IF(AL17="","",IFERROR(IF(AL17="","",IF(AN17="Dubai",HLOOKUP(AZ17,'input for formula'!$B$3:$F$10,AO17,FALSE), IF(AND(H17="Employee",AN17="Abu Dhabi"),HLOOKUP(AZ17,'input for formula'!$I$3:$K$7,AO17,FALSE),HLOOKUP(AZ17,'input for formula'!$M$3:$O$7,AO17,FALSE)))*AX17+AP17*AQ17+AR17*AS17+AT17*AU17),0)*$AZ$3*BK17*BJ17*IF(AND(Inputs!$C$19&gt;19,Inputs!$C$19&lt;30),(1+$AZ$2),1)*(1+$AZ$1))</f>
        <v/>
      </c>
      <c r="AZ17" s="148" t="str">
        <f t="shared" si="19"/>
        <v/>
      </c>
      <c r="BA17" s="669" t="str">
        <f>IF(F17="","",IF(AE17="Dubai",HLOOKUP(F17,Inputs!$C$26:$M$37,9,0),HLOOKUP(F17,Inputs!$C$45:$M$56,9,0)))</f>
        <v/>
      </c>
      <c r="BB17" s="670" t="str">
        <f>IF(F17="","",IF(AE17="Dubai",HLOOKUP(F17,Inputs!$C$26:$M$37,10,0),HLOOKUP(F17,Inputs!$C$45:$M$56,10,0)))</f>
        <v/>
      </c>
      <c r="BC17" s="670" t="str">
        <f>IF(F17="","",IF(AE17="Dubai",HLOOKUP(F17,Inputs!$C$26:$M$37,11,0),HLOOKUP(F17,Inputs!$C$45:$M$56,11,0)))</f>
        <v/>
      </c>
      <c r="BD17" s="669" t="str">
        <f>IF(F17="","",IF(AE17="Dubai",HLOOKUP(F17,Inputs!$C$26:$M$37,12,0),HLOOKUP(F17,Inputs!$C$45:$M$56,12,0)))</f>
        <v/>
      </c>
      <c r="BE17" s="654"/>
      <c r="BF17" s="669" t="str">
        <f>IFERROR(IF(AL17="","",IF(AN17="Dubai",IF(OR(AL17="Plan1",AL17="Plan2"),VLOOKUP(BA17,Deviation!$B$31:$D$33,2,FALSE),VLOOKUP(BA17,Deviation!$B$31:$D$33,3,FALSE)),IF(OR(AL17="Plan1",AL17="Plan2"),VLOOKUP(BA17,Deviation!$E$31:$AE$33,2,FALSE),VLOOKUP(BA17,Deviation!$E$31:$AE$33,3,FALSE)))),0)</f>
        <v/>
      </c>
      <c r="BG17" s="671" t="str">
        <f>IFERROR(IF(AL17="","",IF(AN17="Dubai",IF(AL17="Plan1",VLOOKUP(BB17,Deviation!$B$39:$C$40,2,FALSE),IF(AL17="Plan2",VLOOKUP(BB17,Deviation!$B$42:$C$43,2,FALSE),IF(AL17="Plan5",VLOOKUP(BB17,Deviation!$B$48:$C$49,2,FALSE),VLOOKUP(BB17,Deviation!$B$45:$C$46,2,FALSE)))),IF(AL17="Plan1",VLOOKUP(BB17,Deviation!$E$39:$F$40,2,FALSE),IF(AL17="Plan2",VLOOKUP(BB17,Deviation!$E$42:$F$43,2,FALSE),VLOOKUP(BB17,Deviation!$E$45:$F$46,2,FALSE))))),0)</f>
        <v/>
      </c>
      <c r="BH17" s="671" t="str">
        <f>IFERROR(IF(AL17="","",IF(AN17="Dubai",IF(OR(AL17="Plan1",AL17="Plan2"),VLOOKUP(BC17,Deviation!$B$15:$D$19,2,FALSE),VLOOKUP(BC17,Deviation!$B$15:$D$19,3,FALSE)),IF(OR(AL17="Plan1",AL17="Plan2"),VLOOKUP(BC17,Deviation!$E$15:$AE$19,2,FALSE),VLOOKUP(BC17,Deviation!$E$15:$AE$19,3,FALSE)))),0)</f>
        <v/>
      </c>
      <c r="BI17" s="669" t="str">
        <f>IFERROR(IF(AL17="","",IF(AN17="Dubai",VLOOKUP(BD17,Deviation!$B$24:$C$26,2,FALSE),100%)),0)</f>
        <v/>
      </c>
      <c r="BJ17" s="672">
        <f>IF(AE17="Abu Dhabi",1,IFERROR(VLOOKUP(AM17,Deviation!$B$67:$E$79,MATCH('Census Data'!AA17,Deviation!$B$66:$E$66,0),0),1))</f>
        <v>1</v>
      </c>
      <c r="BK17" s="659">
        <f>IFERROR(VLOOKUP(I17,Deviation!$B$54:$C$62,2,0),1)</f>
        <v>1</v>
      </c>
      <c r="BL17" s="148"/>
      <c r="BM17" s="148"/>
      <c r="BN17" s="148"/>
      <c r="BO17" s="148"/>
      <c r="BP17" s="148"/>
      <c r="BQ17" s="148"/>
      <c r="BR17" s="148"/>
      <c r="BS17" s="148"/>
      <c r="BT17" s="148" t="e">
        <f t="shared" si="20"/>
        <v>#VALUE!</v>
      </c>
      <c r="BU17" t="str">
        <f>IF(AL17="","",IFERROR(IF(AL17="","",IF(AN17="Dubai",HLOOKUP(AZ17,'input for formula'!$B$3:$F$10,AO17,FALSE), IF(AND(H17="Employee",AN17="Abu Dhabi"),HLOOKUP(AZ17,'input for formula'!$I$3:$K$7,AO17,FALSE),HLOOKUP(AZ17,'input for formula'!$M$3:$O$7,AO17,FALSE)))*AX17+AP17*AQ17+AR17*AS17+AT17*AU17),0)*$AZ$3*BK17*BJ17*IF(AND(Inputs!$C$19&gt;19,Inputs!$C$19&lt;30),(1+$AZ$2),1))</f>
        <v/>
      </c>
    </row>
    <row r="18" spans="1:73" ht="15" x14ac:dyDescent="0.25">
      <c r="A18" s="59">
        <v>13</v>
      </c>
      <c r="B18" s="470"/>
      <c r="C18" s="628"/>
      <c r="D18" s="629"/>
      <c r="E18" s="471"/>
      <c r="F18" s="298"/>
      <c r="G18" s="298"/>
      <c r="H18" s="298"/>
      <c r="I18" s="298"/>
      <c r="J18" s="80" t="str">
        <f>IFERROR(IF(C18="","",DATEDIF('Census Data'!C18,eff_date,"y")),"")</f>
        <v/>
      </c>
      <c r="K18" s="59" t="str">
        <f>IF(F18="","",IF(AE18="Dubai",HLOOKUP(F18,Inputs!$C$26:$M$28,3,0),HLOOKUP(F18,Inputs!$C$45:$M$46,2,0)))</f>
        <v/>
      </c>
      <c r="L18" s="104"/>
      <c r="M18" s="105">
        <f t="shared" si="1"/>
        <v>0</v>
      </c>
      <c r="N18" s="654" t="b">
        <f t="shared" si="11"/>
        <v>0</v>
      </c>
      <c r="O18" s="655" t="str">
        <f t="shared" si="2"/>
        <v>x</v>
      </c>
      <c r="P18" s="655" t="str">
        <f t="shared" si="3"/>
        <v>x</v>
      </c>
      <c r="Q18" s="655" t="str">
        <f t="shared" si="4"/>
        <v>x</v>
      </c>
      <c r="R18" s="655" t="str">
        <f t="shared" si="12"/>
        <v>x</v>
      </c>
      <c r="S18" s="655" t="str">
        <f t="shared" si="5"/>
        <v>x</v>
      </c>
      <c r="T18" s="655" t="str">
        <f>IF(ISERROR(MATCH(G18,'Inputs Mapping'!$T$4:$T$10,0)),"x","")</f>
        <v>x</v>
      </c>
      <c r="U18" s="655" t="str">
        <f>IF(ISERROR(MATCH(AA18,'Inputs Mapping'!$U$4:$U$5,0)),"x","")</f>
        <v>x</v>
      </c>
      <c r="V18" s="655" t="str">
        <f>IF(ISERROR(MATCH(AB18,'Inputs Mapping'!$V$4:$V$5,0)),"x","")</f>
        <v>x</v>
      </c>
      <c r="W18" s="655" t="str">
        <f>IF(ISERROR(MATCH(F18,'Inputs Mapping'!$W$4:$W$8,0)),"x","")</f>
        <v>x</v>
      </c>
      <c r="X18" s="655" t="str">
        <f t="shared" si="6"/>
        <v/>
      </c>
      <c r="Y18" s="655" t="str">
        <f t="shared" si="7"/>
        <v/>
      </c>
      <c r="Z18" s="655" t="str">
        <f t="shared" si="8"/>
        <v/>
      </c>
      <c r="AA18" s="655" t="str">
        <f t="shared" si="9"/>
        <v/>
      </c>
      <c r="AB18" s="655" t="str">
        <f t="shared" si="13"/>
        <v/>
      </c>
      <c r="AC18" s="655" t="str">
        <f t="shared" si="21"/>
        <v>x</v>
      </c>
      <c r="AD18" s="655" t="str">
        <f>IF(ISBLANK(I18),"x",IF(ISNUMBER(MATCH(I18,'Inputs Mapping'!$AF$5:$AF$199,0)),"","x"))</f>
        <v>x</v>
      </c>
      <c r="AE18" s="655" t="str">
        <f t="shared" si="14"/>
        <v/>
      </c>
      <c r="AF18" s="148"/>
      <c r="AG18" s="148"/>
      <c r="AH18" s="148" t="str">
        <f t="shared" si="15"/>
        <v/>
      </c>
      <c r="AI18" s="654" t="str">
        <f>IF(J18="","",VLOOKUP(J18,'Inputs Mapping'!$T$27:$V$31,3))</f>
        <v/>
      </c>
      <c r="AJ18" s="654" t="str">
        <f>IF(J18="","",VLOOKUP(J18,'Inputs Mapping'!$T$17:$V$24,3))</f>
        <v/>
      </c>
      <c r="AK18" s="654" t="str">
        <f t="shared" si="16"/>
        <v/>
      </c>
      <c r="AL18" s="655" t="str">
        <f t="shared" si="10"/>
        <v/>
      </c>
      <c r="AM18" s="655" t="str">
        <f>IF(F18="","",IF(AE18="Dubai",HLOOKUP(F18,Inputs!$C$26:$M$36,5,0),HLOOKUP(F18,Inputs!$C$45:$M$49,5,0)))</f>
        <v/>
      </c>
      <c r="AN18" s="655">
        <f t="shared" si="17"/>
        <v>0</v>
      </c>
      <c r="AO18" s="654" t="str">
        <f>IF(AJ18="","",IF(AN18="Dubai",VLOOKUP(AJ18,'Inputs Mapping'!$V$17:$W$24,2,0),VLOOKUP(AI18,'Inputs Mapping'!$V$27:$W$31,2,0)))</f>
        <v/>
      </c>
      <c r="AP18" s="666">
        <f>IFERROR(IF($AN18="","",HLOOKUP($AN18&amp;RIGHT($AL18,1),'input for formula'!$B$16:$I$20,3,0)),0)</f>
        <v>0</v>
      </c>
      <c r="AQ18" s="656">
        <f>IFERROR(IF($AN18="","",HLOOKUP($AN18&amp;$F18,'input for formula'!$B$22:$M$25,2,0)),0)</f>
        <v>0</v>
      </c>
      <c r="AR18" s="666">
        <f>IFERROR(IF($AN18="","",HLOOKUP($AN18&amp;RIGHT($AL18,1),'input for formula'!$B$16:$I$20,4,0)),0)</f>
        <v>0</v>
      </c>
      <c r="AS18" s="656">
        <f>IFERROR(IF($AN18="","",HLOOKUP($AN18&amp;$F18,'input for formula'!$B$22:$M$25,3,0)),0)</f>
        <v>0</v>
      </c>
      <c r="AT18" s="656">
        <f>IFERROR(IF($AN18="","",HLOOKUP($AN18&amp;RIGHT($AL18,1),'input for formula'!$B$16:$I$20,5,0)),0)</f>
        <v>0</v>
      </c>
      <c r="AU18" s="656">
        <f>IFERROR(IF($AN18="","",HLOOKUP($AN18&amp;$F18,'input for formula'!$B$22:$M$25,4,0)),0)</f>
        <v>0</v>
      </c>
      <c r="AV18" s="666">
        <f>IFERROR(IF($AN18="","",IF('Census Data'!$AN18="Abu Dhabi",VLOOKUP('Census Data'!$AM18,'input for formula'!$A$28:$C$41,3,0),VLOOKUP('Census Data'!$AM18,'input for formula'!$A$28:$C$47,2,0))),0)*IFERROR(1+IF(AN18="Dubai",VLOOKUP(F18,'Quotation for Dubai Plans'!$V$6:$X$12,3,FALSE),VLOOKUP(F18,'Quotation for Abu Dhabi Plans'!$W$6:$Y$12,3,FALSE)),0)</f>
        <v>0</v>
      </c>
      <c r="AW18" s="656" t="str">
        <f t="shared" si="18"/>
        <v/>
      </c>
      <c r="AX18" s="667" t="str">
        <f>IFERROR(IF(AL18="","",IF(AN18="Dubai",HLOOKUP((AL18&amp;AM18),Deviation!$B$7:$S$8,2,0)*BF18*BH18*BI18*BG18,HLOOKUP((AL18&amp;AM18),Deviation!$B$9:$O$10,2,0)*BF18*BH18*BI18*BG18)),0)</f>
        <v/>
      </c>
      <c r="AY18" s="668" t="str">
        <f>IF(AL18="","",IFERROR(IF(AL18="","",IF(AN18="Dubai",HLOOKUP(AZ18,'input for formula'!$B$3:$F$10,AO18,FALSE), IF(AND(H18="Employee",AN18="Abu Dhabi"),HLOOKUP(AZ18,'input for formula'!$I$3:$K$7,AO18,FALSE),HLOOKUP(AZ18,'input for formula'!$M$3:$O$7,AO18,FALSE)))*AX18+AP18*AQ18+AR18*AS18+AT18*AU18),0)*$AZ$3*BK18*BJ18*IF(AND(Inputs!$C$19&gt;19,Inputs!$C$19&lt;30),(1+$AZ$2),1)*(1+$AZ$1))</f>
        <v/>
      </c>
      <c r="AZ18" s="148" t="str">
        <f t="shared" si="19"/>
        <v/>
      </c>
      <c r="BA18" s="669" t="str">
        <f>IF(F18="","",IF(AE18="Dubai",HLOOKUP(F18,Inputs!$C$26:$M$37,9,0),HLOOKUP(F18,Inputs!$C$45:$M$56,9,0)))</f>
        <v/>
      </c>
      <c r="BB18" s="670" t="str">
        <f>IF(F18="","",IF(AE18="Dubai",HLOOKUP(F18,Inputs!$C$26:$M$37,10,0),HLOOKUP(F18,Inputs!$C$45:$M$56,10,0)))</f>
        <v/>
      </c>
      <c r="BC18" s="670" t="str">
        <f>IF(F18="","",IF(AE18="Dubai",HLOOKUP(F18,Inputs!$C$26:$M$37,11,0),HLOOKUP(F18,Inputs!$C$45:$M$56,11,0)))</f>
        <v/>
      </c>
      <c r="BD18" s="669" t="str">
        <f>IF(F18="","",IF(AE18="Dubai",HLOOKUP(F18,Inputs!$C$26:$M$37,12,0),HLOOKUP(F18,Inputs!$C$45:$M$56,12,0)))</f>
        <v/>
      </c>
      <c r="BE18" s="654"/>
      <c r="BF18" s="669" t="str">
        <f>IFERROR(IF(AL18="","",IF(AN18="Dubai",IF(OR(AL18="Plan1",AL18="Plan2"),VLOOKUP(BA18,Deviation!$B$31:$D$33,2,FALSE),VLOOKUP(BA18,Deviation!$B$31:$D$33,3,FALSE)),IF(OR(AL18="Plan1",AL18="Plan2"),VLOOKUP(BA18,Deviation!$E$31:$AE$33,2,FALSE),VLOOKUP(BA18,Deviation!$E$31:$AE$33,3,FALSE)))),0)</f>
        <v/>
      </c>
      <c r="BG18" s="671" t="str">
        <f>IFERROR(IF(AL18="","",IF(AN18="Dubai",IF(AL18="Plan1",VLOOKUP(BB18,Deviation!$B$39:$C$40,2,FALSE),IF(AL18="Plan2",VLOOKUP(BB18,Deviation!$B$42:$C$43,2,FALSE),IF(AL18="Plan5",VLOOKUP(BB18,Deviation!$B$48:$C$49,2,FALSE),VLOOKUP(BB18,Deviation!$B$45:$C$46,2,FALSE)))),IF(AL18="Plan1",VLOOKUP(BB18,Deviation!$E$39:$F$40,2,FALSE),IF(AL18="Plan2",VLOOKUP(BB18,Deviation!$E$42:$F$43,2,FALSE),VLOOKUP(BB18,Deviation!$E$45:$F$46,2,FALSE))))),0)</f>
        <v/>
      </c>
      <c r="BH18" s="671" t="str">
        <f>IFERROR(IF(AL18="","",IF(AN18="Dubai",IF(OR(AL18="Plan1",AL18="Plan2"),VLOOKUP(BC18,Deviation!$B$15:$D$19,2,FALSE),VLOOKUP(BC18,Deviation!$B$15:$D$19,3,FALSE)),IF(OR(AL18="Plan1",AL18="Plan2"),VLOOKUP(BC18,Deviation!$E$15:$AE$19,2,FALSE),VLOOKUP(BC18,Deviation!$E$15:$AE$19,3,FALSE)))),0)</f>
        <v/>
      </c>
      <c r="BI18" s="669" t="str">
        <f>IFERROR(IF(AL18="","",IF(AN18="Dubai",VLOOKUP(BD18,Deviation!$B$24:$C$26,2,FALSE),100%)),0)</f>
        <v/>
      </c>
      <c r="BJ18" s="672">
        <f>IF(AE18="Abu Dhabi",1,IFERROR(VLOOKUP(AM18,Deviation!$B$67:$E$79,MATCH('Census Data'!AA18,Deviation!$B$66:$E$66,0),0),1))</f>
        <v>1</v>
      </c>
      <c r="BK18" s="659">
        <f>IFERROR(VLOOKUP(I18,Deviation!$B$54:$C$62,2,0),1)</f>
        <v>1</v>
      </c>
      <c r="BL18" s="148"/>
      <c r="BM18" s="148"/>
      <c r="BN18" s="148"/>
      <c r="BO18" s="148"/>
      <c r="BP18" s="148"/>
      <c r="BQ18" s="148"/>
      <c r="BR18" s="148"/>
      <c r="BS18" s="148"/>
      <c r="BT18" s="148" t="e">
        <f t="shared" si="20"/>
        <v>#VALUE!</v>
      </c>
      <c r="BU18" t="str">
        <f>IF(AL18="","",IFERROR(IF(AL18="","",IF(AN18="Dubai",HLOOKUP(AZ18,'input for formula'!$B$3:$F$10,AO18,FALSE), IF(AND(H18="Employee",AN18="Abu Dhabi"),HLOOKUP(AZ18,'input for formula'!$I$3:$K$7,AO18,FALSE),HLOOKUP(AZ18,'input for formula'!$M$3:$O$7,AO18,FALSE)))*AX18+AP18*AQ18+AR18*AS18+AT18*AU18),0)*$AZ$3*BK18*BJ18*IF(AND(Inputs!$C$19&gt;19,Inputs!$C$19&lt;30),(1+$AZ$2),1))</f>
        <v/>
      </c>
    </row>
    <row r="19" spans="1:73" ht="15" x14ac:dyDescent="0.25">
      <c r="A19" s="59">
        <v>14</v>
      </c>
      <c r="B19" s="470"/>
      <c r="C19" s="628"/>
      <c r="D19" s="629"/>
      <c r="E19" s="471"/>
      <c r="F19" s="298"/>
      <c r="G19" s="298"/>
      <c r="H19" s="298"/>
      <c r="I19" s="298"/>
      <c r="J19" s="80" t="str">
        <f>IFERROR(IF(C19="","",DATEDIF('Census Data'!C19,eff_date,"y")),"")</f>
        <v/>
      </c>
      <c r="K19" s="59" t="str">
        <f>IF(F19="","",IF(AE19="Dubai",HLOOKUP(F19,Inputs!$C$26:$M$28,3,0),HLOOKUP(F19,Inputs!$C$45:$M$46,2,0)))</f>
        <v/>
      </c>
      <c r="L19" s="104"/>
      <c r="M19" s="105">
        <f t="shared" si="1"/>
        <v>0</v>
      </c>
      <c r="N19" s="654" t="b">
        <f t="shared" si="11"/>
        <v>0</v>
      </c>
      <c r="O19" s="655" t="str">
        <f t="shared" si="2"/>
        <v>x</v>
      </c>
      <c r="P19" s="655" t="str">
        <f t="shared" si="3"/>
        <v>x</v>
      </c>
      <c r="Q19" s="655" t="str">
        <f t="shared" si="4"/>
        <v>x</v>
      </c>
      <c r="R19" s="655" t="str">
        <f t="shared" si="12"/>
        <v>x</v>
      </c>
      <c r="S19" s="655" t="str">
        <f t="shared" si="5"/>
        <v>x</v>
      </c>
      <c r="T19" s="655" t="str">
        <f>IF(ISERROR(MATCH(G19,'Inputs Mapping'!$T$4:$T$10,0)),"x","")</f>
        <v>x</v>
      </c>
      <c r="U19" s="655" t="str">
        <f>IF(ISERROR(MATCH(AA19,'Inputs Mapping'!$U$4:$U$5,0)),"x","")</f>
        <v>x</v>
      </c>
      <c r="V19" s="655" t="str">
        <f>IF(ISERROR(MATCH(AB19,'Inputs Mapping'!$V$4:$V$5,0)),"x","")</f>
        <v>x</v>
      </c>
      <c r="W19" s="655" t="str">
        <f>IF(ISERROR(MATCH(F19,'Inputs Mapping'!$W$4:$W$8,0)),"x","")</f>
        <v>x</v>
      </c>
      <c r="X19" s="655" t="str">
        <f t="shared" si="6"/>
        <v/>
      </c>
      <c r="Y19" s="655" t="str">
        <f t="shared" si="7"/>
        <v/>
      </c>
      <c r="Z19" s="655" t="str">
        <f t="shared" si="8"/>
        <v/>
      </c>
      <c r="AA19" s="655" t="str">
        <f t="shared" si="9"/>
        <v/>
      </c>
      <c r="AB19" s="655" t="str">
        <f t="shared" si="13"/>
        <v/>
      </c>
      <c r="AC19" s="655" t="str">
        <f t="shared" si="21"/>
        <v>x</v>
      </c>
      <c r="AD19" s="655" t="str">
        <f>IF(ISBLANK(I19),"x",IF(ISNUMBER(MATCH(I19,'Inputs Mapping'!$AF$5:$AF$199,0)),"","x"))</f>
        <v>x</v>
      </c>
      <c r="AE19" s="655" t="str">
        <f t="shared" si="14"/>
        <v/>
      </c>
      <c r="AF19" s="148"/>
      <c r="AG19" s="148"/>
      <c r="AH19" s="148" t="str">
        <f t="shared" si="15"/>
        <v/>
      </c>
      <c r="AI19" s="654" t="str">
        <f>IF(J19="","",VLOOKUP(J19,'Inputs Mapping'!$T$27:$V$31,3))</f>
        <v/>
      </c>
      <c r="AJ19" s="654" t="str">
        <f>IF(J19="","",VLOOKUP(J19,'Inputs Mapping'!$T$17:$V$24,3))</f>
        <v/>
      </c>
      <c r="AK19" s="654" t="str">
        <f t="shared" si="16"/>
        <v/>
      </c>
      <c r="AL19" s="655" t="str">
        <f t="shared" si="10"/>
        <v/>
      </c>
      <c r="AM19" s="655" t="str">
        <f>IF(F19="","",IF(AE19="Dubai",HLOOKUP(F19,Inputs!$C$26:$M$36,5,0),HLOOKUP(F19,Inputs!$C$45:$M$49,5,0)))</f>
        <v/>
      </c>
      <c r="AN19" s="655">
        <f t="shared" si="17"/>
        <v>0</v>
      </c>
      <c r="AO19" s="654" t="str">
        <f>IF(AJ19="","",IF(AN19="Dubai",VLOOKUP(AJ19,'Inputs Mapping'!$V$17:$W$24,2,0),VLOOKUP(AI19,'Inputs Mapping'!$V$27:$W$31,2,0)))</f>
        <v/>
      </c>
      <c r="AP19" s="666">
        <f>IFERROR(IF($AN19="","",HLOOKUP($AN19&amp;RIGHT($AL19,1),'input for formula'!$B$16:$I$20,3,0)),0)</f>
        <v>0</v>
      </c>
      <c r="AQ19" s="656">
        <f>IFERROR(IF($AN19="","",HLOOKUP($AN19&amp;$F19,'input for formula'!$B$22:$M$25,2,0)),0)</f>
        <v>0</v>
      </c>
      <c r="AR19" s="666">
        <f>IFERROR(IF($AN19="","",HLOOKUP($AN19&amp;RIGHT($AL19,1),'input for formula'!$B$16:$I$20,4,0)),0)</f>
        <v>0</v>
      </c>
      <c r="AS19" s="656">
        <f>IFERROR(IF($AN19="","",HLOOKUP($AN19&amp;$F19,'input for formula'!$B$22:$M$25,3,0)),0)</f>
        <v>0</v>
      </c>
      <c r="AT19" s="656">
        <f>IFERROR(IF($AN19="","",HLOOKUP($AN19&amp;RIGHT($AL19,1),'input for formula'!$B$16:$I$20,5,0)),0)</f>
        <v>0</v>
      </c>
      <c r="AU19" s="656">
        <f>IFERROR(IF($AN19="","",HLOOKUP($AN19&amp;$F19,'input for formula'!$B$22:$M$25,4,0)),0)</f>
        <v>0</v>
      </c>
      <c r="AV19" s="666">
        <f>IFERROR(IF($AN19="","",IF('Census Data'!$AN19="Abu Dhabi",VLOOKUP('Census Data'!$AM19,'input for formula'!$A$28:$C$41,3,0),VLOOKUP('Census Data'!$AM19,'input for formula'!$A$28:$C$47,2,0))),0)*IFERROR(1+IF(AN19="Dubai",VLOOKUP(F19,'Quotation for Dubai Plans'!$V$6:$X$12,3,FALSE),VLOOKUP(F19,'Quotation for Abu Dhabi Plans'!$W$6:$Y$12,3,FALSE)),0)</f>
        <v>0</v>
      </c>
      <c r="AW19" s="656" t="str">
        <f t="shared" si="18"/>
        <v/>
      </c>
      <c r="AX19" s="667" t="str">
        <f>IFERROR(IF(AL19="","",IF(AN19="Dubai",HLOOKUP((AL19&amp;AM19),Deviation!$B$7:$S$8,2,0)*BF19*BH19*BI19*BG19,HLOOKUP((AL19&amp;AM19),Deviation!$B$9:$O$10,2,0)*BF19*BH19*BI19*BG19)),0)</f>
        <v/>
      </c>
      <c r="AY19" s="668" t="str">
        <f>IF(AL19="","",IFERROR(IF(AL19="","",IF(AN19="Dubai",HLOOKUP(AZ19,'input for formula'!$B$3:$F$10,AO19,FALSE), IF(AND(H19="Employee",AN19="Abu Dhabi"),HLOOKUP(AZ19,'input for formula'!$I$3:$K$7,AO19,FALSE),HLOOKUP(AZ19,'input for formula'!$M$3:$O$7,AO19,FALSE)))*AX19+AP19*AQ19+AR19*AS19+AT19*AU19),0)*$AZ$3*BK19*BJ19*IF(AND(Inputs!$C$19&gt;19,Inputs!$C$19&lt;30),(1+$AZ$2),1)*(1+$AZ$1))</f>
        <v/>
      </c>
      <c r="AZ19" s="148" t="str">
        <f t="shared" si="19"/>
        <v/>
      </c>
      <c r="BA19" s="669" t="str">
        <f>IF(F19="","",IF(AE19="Dubai",HLOOKUP(F19,Inputs!$C$26:$M$37,9,0),HLOOKUP(F19,Inputs!$C$45:$M$56,9,0)))</f>
        <v/>
      </c>
      <c r="BB19" s="670" t="str">
        <f>IF(F19="","",IF(AE19="Dubai",HLOOKUP(F19,Inputs!$C$26:$M$37,10,0),HLOOKUP(F19,Inputs!$C$45:$M$56,10,0)))</f>
        <v/>
      </c>
      <c r="BC19" s="670" t="str">
        <f>IF(F19="","",IF(AE19="Dubai",HLOOKUP(F19,Inputs!$C$26:$M$37,11,0),HLOOKUP(F19,Inputs!$C$45:$M$56,11,0)))</f>
        <v/>
      </c>
      <c r="BD19" s="669" t="str">
        <f>IF(F19="","",IF(AE19="Dubai",HLOOKUP(F19,Inputs!$C$26:$M$37,12,0),HLOOKUP(F19,Inputs!$C$45:$M$56,12,0)))</f>
        <v/>
      </c>
      <c r="BE19" s="654"/>
      <c r="BF19" s="669" t="str">
        <f>IFERROR(IF(AL19="","",IF(AN19="Dubai",IF(OR(AL19="Plan1",AL19="Plan2"),VLOOKUP(BA19,Deviation!$B$31:$D$33,2,FALSE),VLOOKUP(BA19,Deviation!$B$31:$D$33,3,FALSE)),IF(OR(AL19="Plan1",AL19="Plan2"),VLOOKUP(BA19,Deviation!$E$31:$AE$33,2,FALSE),VLOOKUP(BA19,Deviation!$E$31:$AE$33,3,FALSE)))),0)</f>
        <v/>
      </c>
      <c r="BG19" s="671" t="str">
        <f>IFERROR(IF(AL19="","",IF(AN19="Dubai",IF(AL19="Plan1",VLOOKUP(BB19,Deviation!$B$39:$C$40,2,FALSE),IF(AL19="Plan2",VLOOKUP(BB19,Deviation!$B$42:$C$43,2,FALSE),IF(AL19="Plan5",VLOOKUP(BB19,Deviation!$B$48:$C$49,2,FALSE),VLOOKUP(BB19,Deviation!$B$45:$C$46,2,FALSE)))),IF(AL19="Plan1",VLOOKUP(BB19,Deviation!$E$39:$F$40,2,FALSE),IF(AL19="Plan2",VLOOKUP(BB19,Deviation!$E$42:$F$43,2,FALSE),VLOOKUP(BB19,Deviation!$E$45:$F$46,2,FALSE))))),0)</f>
        <v/>
      </c>
      <c r="BH19" s="671" t="str">
        <f>IFERROR(IF(AL19="","",IF(AN19="Dubai",IF(OR(AL19="Plan1",AL19="Plan2"),VLOOKUP(BC19,Deviation!$B$15:$D$19,2,FALSE),VLOOKUP(BC19,Deviation!$B$15:$D$19,3,FALSE)),IF(OR(AL19="Plan1",AL19="Plan2"),VLOOKUP(BC19,Deviation!$E$15:$AE$19,2,FALSE),VLOOKUP(BC19,Deviation!$E$15:$AE$19,3,FALSE)))),0)</f>
        <v/>
      </c>
      <c r="BI19" s="669" t="str">
        <f>IFERROR(IF(AL19="","",IF(AN19="Dubai",VLOOKUP(BD19,Deviation!$B$24:$C$26,2,FALSE),100%)),0)</f>
        <v/>
      </c>
      <c r="BJ19" s="672">
        <f>IF(AE19="Abu Dhabi",1,IFERROR(VLOOKUP(AM19,Deviation!$B$67:$E$79,MATCH('Census Data'!AA19,Deviation!$B$66:$E$66,0),0),1))</f>
        <v>1</v>
      </c>
      <c r="BK19" s="659">
        <f>IFERROR(VLOOKUP(I19,Deviation!$B$54:$C$62,2,0),1)</f>
        <v>1</v>
      </c>
      <c r="BL19" s="148"/>
      <c r="BM19" s="148"/>
      <c r="BN19" s="148"/>
      <c r="BO19" s="148"/>
      <c r="BP19" s="148"/>
      <c r="BQ19" s="148"/>
      <c r="BR19" s="148"/>
      <c r="BS19" s="148"/>
      <c r="BT19" s="148" t="e">
        <f t="shared" si="20"/>
        <v>#VALUE!</v>
      </c>
      <c r="BU19" t="str">
        <f>IF(AL19="","",IFERROR(IF(AL19="","",IF(AN19="Dubai",HLOOKUP(AZ19,'input for formula'!$B$3:$F$10,AO19,FALSE), IF(AND(H19="Employee",AN19="Abu Dhabi"),HLOOKUP(AZ19,'input for formula'!$I$3:$K$7,AO19,FALSE),HLOOKUP(AZ19,'input for formula'!$M$3:$O$7,AO19,FALSE)))*AX19+AP19*AQ19+AR19*AS19+AT19*AU19),0)*$AZ$3*BK19*BJ19*IF(AND(Inputs!$C$19&gt;19,Inputs!$C$19&lt;30),(1+$AZ$2),1))</f>
        <v/>
      </c>
    </row>
    <row r="20" spans="1:73" ht="15" x14ac:dyDescent="0.25">
      <c r="A20" s="59">
        <v>15</v>
      </c>
      <c r="B20" s="470"/>
      <c r="C20" s="628"/>
      <c r="D20" s="629"/>
      <c r="E20" s="471"/>
      <c r="F20" s="298"/>
      <c r="G20" s="298"/>
      <c r="H20" s="298"/>
      <c r="I20" s="298"/>
      <c r="J20" s="80" t="str">
        <f>IFERROR(IF(C20="","",DATEDIF('Census Data'!C20,eff_date,"y")),"")</f>
        <v/>
      </c>
      <c r="K20" s="59" t="str">
        <f>IF(F20="","",IF(AE20="Dubai",HLOOKUP(F20,Inputs!$C$26:$M$28,3,0),HLOOKUP(F20,Inputs!$C$45:$M$46,2,0)))</f>
        <v/>
      </c>
      <c r="L20" s="104"/>
      <c r="M20" s="105">
        <f t="shared" si="1"/>
        <v>0</v>
      </c>
      <c r="N20" s="654" t="b">
        <f t="shared" si="11"/>
        <v>0</v>
      </c>
      <c r="O20" s="655" t="str">
        <f t="shared" si="2"/>
        <v>x</v>
      </c>
      <c r="P20" s="655" t="str">
        <f t="shared" si="3"/>
        <v>x</v>
      </c>
      <c r="Q20" s="655" t="str">
        <f t="shared" si="4"/>
        <v>x</v>
      </c>
      <c r="R20" s="655" t="str">
        <f t="shared" si="12"/>
        <v>x</v>
      </c>
      <c r="S20" s="655" t="str">
        <f t="shared" si="5"/>
        <v>x</v>
      </c>
      <c r="T20" s="655" t="str">
        <f>IF(ISERROR(MATCH(G20,'Inputs Mapping'!$T$4:$T$10,0)),"x","")</f>
        <v>x</v>
      </c>
      <c r="U20" s="655" t="str">
        <f>IF(ISERROR(MATCH(AA20,'Inputs Mapping'!$U$4:$U$5,0)),"x","")</f>
        <v>x</v>
      </c>
      <c r="V20" s="655" t="str">
        <f>IF(ISERROR(MATCH(AB20,'Inputs Mapping'!$V$4:$V$5,0)),"x","")</f>
        <v>x</v>
      </c>
      <c r="W20" s="655" t="str">
        <f>IF(ISERROR(MATCH(F20,'Inputs Mapping'!$W$4:$W$8,0)),"x","")</f>
        <v>x</v>
      </c>
      <c r="X20" s="655" t="str">
        <f t="shared" si="6"/>
        <v/>
      </c>
      <c r="Y20" s="655" t="str">
        <f t="shared" si="7"/>
        <v/>
      </c>
      <c r="Z20" s="655" t="str">
        <f t="shared" si="8"/>
        <v/>
      </c>
      <c r="AA20" s="655" t="str">
        <f t="shared" si="9"/>
        <v/>
      </c>
      <c r="AB20" s="655" t="str">
        <f t="shared" si="13"/>
        <v/>
      </c>
      <c r="AC20" s="655" t="str">
        <f t="shared" si="21"/>
        <v>x</v>
      </c>
      <c r="AD20" s="655" t="str">
        <f>IF(ISBLANK(I20),"x",IF(ISNUMBER(MATCH(I20,'Inputs Mapping'!$AF$5:$AF$199,0)),"","x"))</f>
        <v>x</v>
      </c>
      <c r="AE20" s="655" t="str">
        <f t="shared" si="14"/>
        <v/>
      </c>
      <c r="AF20" s="148"/>
      <c r="AG20" s="148"/>
      <c r="AH20" s="148" t="str">
        <f t="shared" si="15"/>
        <v/>
      </c>
      <c r="AI20" s="654" t="str">
        <f>IF(J20="","",VLOOKUP(J20,'Inputs Mapping'!$T$27:$V$31,3))</f>
        <v/>
      </c>
      <c r="AJ20" s="654" t="str">
        <f>IF(J20="","",VLOOKUP(J20,'Inputs Mapping'!$T$17:$V$24,3))</f>
        <v/>
      </c>
      <c r="AK20" s="654" t="str">
        <f t="shared" si="16"/>
        <v/>
      </c>
      <c r="AL20" s="655" t="str">
        <f t="shared" si="10"/>
        <v/>
      </c>
      <c r="AM20" s="655" t="str">
        <f>IF(F20="","",IF(AE20="Dubai",HLOOKUP(F20,Inputs!$C$26:$M$36,5,0),HLOOKUP(F20,Inputs!$C$45:$M$49,5,0)))</f>
        <v/>
      </c>
      <c r="AN20" s="655">
        <f t="shared" si="17"/>
        <v>0</v>
      </c>
      <c r="AO20" s="654" t="str">
        <f>IF(AJ20="","",IF(AN20="Dubai",VLOOKUP(AJ20,'Inputs Mapping'!$V$17:$W$24,2,0),VLOOKUP(AI20,'Inputs Mapping'!$V$27:$W$31,2,0)))</f>
        <v/>
      </c>
      <c r="AP20" s="666">
        <f>IFERROR(IF($AN20="","",HLOOKUP($AN20&amp;RIGHT($AL20,1),'input for formula'!$B$16:$I$20,3,0)),0)</f>
        <v>0</v>
      </c>
      <c r="AQ20" s="656">
        <f>IFERROR(IF($AN20="","",HLOOKUP($AN20&amp;$F20,'input for formula'!$B$22:$M$25,2,0)),0)</f>
        <v>0</v>
      </c>
      <c r="AR20" s="666">
        <f>IFERROR(IF($AN20="","",HLOOKUP($AN20&amp;RIGHT($AL20,1),'input for formula'!$B$16:$I$20,4,0)),0)</f>
        <v>0</v>
      </c>
      <c r="AS20" s="656">
        <f>IFERROR(IF($AN20="","",HLOOKUP($AN20&amp;$F20,'input for formula'!$B$22:$M$25,3,0)),0)</f>
        <v>0</v>
      </c>
      <c r="AT20" s="656">
        <f>IFERROR(IF($AN20="","",HLOOKUP($AN20&amp;RIGHT($AL20,1),'input for formula'!$B$16:$I$20,5,0)),0)</f>
        <v>0</v>
      </c>
      <c r="AU20" s="656">
        <f>IFERROR(IF($AN20="","",HLOOKUP($AN20&amp;$F20,'input for formula'!$B$22:$M$25,4,0)),0)</f>
        <v>0</v>
      </c>
      <c r="AV20" s="666">
        <f>IFERROR(IF($AN20="","",IF('Census Data'!$AN20="Abu Dhabi",VLOOKUP('Census Data'!$AM20,'input for formula'!$A$28:$C$41,3,0),VLOOKUP('Census Data'!$AM20,'input for formula'!$A$28:$C$47,2,0))),0)*IFERROR(1+IF(AN20="Dubai",VLOOKUP(F20,'Quotation for Dubai Plans'!$V$6:$X$12,3,FALSE),VLOOKUP(F20,'Quotation for Abu Dhabi Plans'!$W$6:$Y$12,3,FALSE)),0)</f>
        <v>0</v>
      </c>
      <c r="AW20" s="656" t="str">
        <f t="shared" si="18"/>
        <v/>
      </c>
      <c r="AX20" s="667" t="str">
        <f>IFERROR(IF(AL20="","",IF(AN20="Dubai",HLOOKUP((AL20&amp;AM20),Deviation!$B$7:$S$8,2,0)*BF20*BH20*BI20*BG20,HLOOKUP((AL20&amp;AM20),Deviation!$B$9:$O$10,2,0)*BF20*BH20*BI20*BG20)),0)</f>
        <v/>
      </c>
      <c r="AY20" s="668" t="str">
        <f>IF(AL20="","",IFERROR(IF(AL20="","",IF(AN20="Dubai",HLOOKUP(AZ20,'input for formula'!$B$3:$F$10,AO20,FALSE), IF(AND(H20="Employee",AN20="Abu Dhabi"),HLOOKUP(AZ20,'input for formula'!$I$3:$K$7,AO20,FALSE),HLOOKUP(AZ20,'input for formula'!$M$3:$O$7,AO20,FALSE)))*AX20+AP20*AQ20+AR20*AS20+AT20*AU20),0)*$AZ$3*BK20*BJ20*IF(AND(Inputs!$C$19&gt;19,Inputs!$C$19&lt;30),(1+$AZ$2),1)*(1+$AZ$1))</f>
        <v/>
      </c>
      <c r="AZ20" s="148" t="str">
        <f t="shared" si="19"/>
        <v/>
      </c>
      <c r="BA20" s="669" t="str">
        <f>IF(F20="","",IF(AE20="Dubai",HLOOKUP(F20,Inputs!$C$26:$M$37,9,0),HLOOKUP(F20,Inputs!$C$45:$M$56,9,0)))</f>
        <v/>
      </c>
      <c r="BB20" s="670" t="str">
        <f>IF(F20="","",IF(AE20="Dubai",HLOOKUP(F20,Inputs!$C$26:$M$37,10,0),HLOOKUP(F20,Inputs!$C$45:$M$56,10,0)))</f>
        <v/>
      </c>
      <c r="BC20" s="670" t="str">
        <f>IF(F20="","",IF(AE20="Dubai",HLOOKUP(F20,Inputs!$C$26:$M$37,11,0),HLOOKUP(F20,Inputs!$C$45:$M$56,11,0)))</f>
        <v/>
      </c>
      <c r="BD20" s="669" t="str">
        <f>IF(F20="","",IF(AE20="Dubai",HLOOKUP(F20,Inputs!$C$26:$M$37,12,0),HLOOKUP(F20,Inputs!$C$45:$M$56,12,0)))</f>
        <v/>
      </c>
      <c r="BE20" s="654"/>
      <c r="BF20" s="669" t="str">
        <f>IFERROR(IF(AL20="","",IF(AN20="Dubai",IF(OR(AL20="Plan1",AL20="Plan2"),VLOOKUP(BA20,Deviation!$B$31:$D$33,2,FALSE),VLOOKUP(BA20,Deviation!$B$31:$D$33,3,FALSE)),IF(OR(AL20="Plan1",AL20="Plan2"),VLOOKUP(BA20,Deviation!$E$31:$AE$33,2,FALSE),VLOOKUP(BA20,Deviation!$E$31:$AE$33,3,FALSE)))),0)</f>
        <v/>
      </c>
      <c r="BG20" s="671" t="str">
        <f>IFERROR(IF(AL20="","",IF(AN20="Dubai",IF(AL20="Plan1",VLOOKUP(BB20,Deviation!$B$39:$C$40,2,FALSE),IF(AL20="Plan2",VLOOKUP(BB20,Deviation!$B$42:$C$43,2,FALSE),IF(AL20="Plan5",VLOOKUP(BB20,Deviation!$B$48:$C$49,2,FALSE),VLOOKUP(BB20,Deviation!$B$45:$C$46,2,FALSE)))),IF(AL20="Plan1",VLOOKUP(BB20,Deviation!$E$39:$F$40,2,FALSE),IF(AL20="Plan2",VLOOKUP(BB20,Deviation!$E$42:$F$43,2,FALSE),VLOOKUP(BB20,Deviation!$E$45:$F$46,2,FALSE))))),0)</f>
        <v/>
      </c>
      <c r="BH20" s="671" t="str">
        <f>IFERROR(IF(AL20="","",IF(AN20="Dubai",IF(OR(AL20="Plan1",AL20="Plan2"),VLOOKUP(BC20,Deviation!$B$15:$D$19,2,FALSE),VLOOKUP(BC20,Deviation!$B$15:$D$19,3,FALSE)),IF(OR(AL20="Plan1",AL20="Plan2"),VLOOKUP(BC20,Deviation!$E$15:$AE$19,2,FALSE),VLOOKUP(BC20,Deviation!$E$15:$AE$19,3,FALSE)))),0)</f>
        <v/>
      </c>
      <c r="BI20" s="669" t="str">
        <f>IFERROR(IF(AL20="","",IF(AN20="Dubai",VLOOKUP(BD20,Deviation!$B$24:$C$26,2,FALSE),100%)),0)</f>
        <v/>
      </c>
      <c r="BJ20" s="672">
        <f>IF(AE20="Abu Dhabi",1,IFERROR(VLOOKUP(AM20,Deviation!$B$67:$E$79,MATCH('Census Data'!AA20,Deviation!$B$66:$E$66,0),0),1))</f>
        <v>1</v>
      </c>
      <c r="BK20" s="659">
        <f>IFERROR(VLOOKUP(I20,Deviation!$B$54:$C$62,2,0),1)</f>
        <v>1</v>
      </c>
      <c r="BL20" s="148"/>
      <c r="BM20" s="148"/>
      <c r="BN20" s="148"/>
      <c r="BO20" s="148"/>
      <c r="BP20" s="148"/>
      <c r="BQ20" s="148"/>
      <c r="BR20" s="148"/>
      <c r="BS20" s="148"/>
      <c r="BT20" s="148" t="e">
        <f t="shared" si="20"/>
        <v>#VALUE!</v>
      </c>
      <c r="BU20" t="str">
        <f>IF(AL20="","",IFERROR(IF(AL20="","",IF(AN20="Dubai",HLOOKUP(AZ20,'input for formula'!$B$3:$F$10,AO20,FALSE), IF(AND(H20="Employee",AN20="Abu Dhabi"),HLOOKUP(AZ20,'input for formula'!$I$3:$K$7,AO20,FALSE),HLOOKUP(AZ20,'input for formula'!$M$3:$O$7,AO20,FALSE)))*AX20+AP20*AQ20+AR20*AS20+AT20*AU20),0)*$AZ$3*BK20*BJ20*IF(AND(Inputs!$C$19&gt;19,Inputs!$C$19&lt;30),(1+$AZ$2),1))</f>
        <v/>
      </c>
    </row>
    <row r="21" spans="1:73" ht="15" x14ac:dyDescent="0.25">
      <c r="A21" s="59">
        <v>16</v>
      </c>
      <c r="B21" s="470"/>
      <c r="C21" s="628"/>
      <c r="D21" s="629"/>
      <c r="E21" s="471"/>
      <c r="F21" s="298"/>
      <c r="G21" s="298"/>
      <c r="H21" s="298"/>
      <c r="I21" s="298"/>
      <c r="J21" s="80" t="str">
        <f>IFERROR(IF(C21="","",DATEDIF('Census Data'!C21,eff_date,"y")),"")</f>
        <v/>
      </c>
      <c r="K21" s="59" t="str">
        <f>IF(F21="","",IF(AE21="Dubai",HLOOKUP(F21,Inputs!$C$26:$M$28,3,0),HLOOKUP(F21,Inputs!$C$45:$M$46,2,0)))</f>
        <v/>
      </c>
      <c r="L21" s="104"/>
      <c r="M21" s="105">
        <f t="shared" si="1"/>
        <v>0</v>
      </c>
      <c r="N21" s="654" t="b">
        <f t="shared" si="11"/>
        <v>0</v>
      </c>
      <c r="O21" s="655" t="str">
        <f t="shared" si="2"/>
        <v>x</v>
      </c>
      <c r="P21" s="655" t="str">
        <f t="shared" si="3"/>
        <v>x</v>
      </c>
      <c r="Q21" s="655" t="str">
        <f t="shared" si="4"/>
        <v>x</v>
      </c>
      <c r="R21" s="655" t="str">
        <f t="shared" si="12"/>
        <v>x</v>
      </c>
      <c r="S21" s="655" t="str">
        <f t="shared" si="5"/>
        <v>x</v>
      </c>
      <c r="T21" s="655" t="str">
        <f>IF(ISERROR(MATCH(G21,'Inputs Mapping'!$T$4:$T$10,0)),"x","")</f>
        <v>x</v>
      </c>
      <c r="U21" s="655" t="str">
        <f>IF(ISERROR(MATCH(AA21,'Inputs Mapping'!$U$4:$U$5,0)),"x","")</f>
        <v>x</v>
      </c>
      <c r="V21" s="655" t="str">
        <f>IF(ISERROR(MATCH(AB21,'Inputs Mapping'!$V$4:$V$5,0)),"x","")</f>
        <v>x</v>
      </c>
      <c r="W21" s="655" t="str">
        <f>IF(ISERROR(MATCH(F21,'Inputs Mapping'!$W$4:$W$8,0)),"x","")</f>
        <v>x</v>
      </c>
      <c r="X21" s="655" t="str">
        <f t="shared" si="6"/>
        <v/>
      </c>
      <c r="Y21" s="655" t="str">
        <f t="shared" si="7"/>
        <v/>
      </c>
      <c r="Z21" s="655" t="str">
        <f t="shared" si="8"/>
        <v/>
      </c>
      <c r="AA21" s="655" t="str">
        <f t="shared" si="9"/>
        <v/>
      </c>
      <c r="AB21" s="655" t="str">
        <f t="shared" si="13"/>
        <v/>
      </c>
      <c r="AC21" s="655" t="str">
        <f t="shared" si="21"/>
        <v>x</v>
      </c>
      <c r="AD21" s="655" t="str">
        <f>IF(ISBLANK(I21),"x",IF(ISNUMBER(MATCH(I21,'Inputs Mapping'!$AF$5:$AF$199,0)),"","x"))</f>
        <v>x</v>
      </c>
      <c r="AE21" s="655" t="str">
        <f t="shared" si="14"/>
        <v/>
      </c>
      <c r="AF21" s="148"/>
      <c r="AG21" s="148"/>
      <c r="AH21" s="148" t="str">
        <f t="shared" si="15"/>
        <v/>
      </c>
      <c r="AI21" s="654" t="str">
        <f>IF(J21="","",VLOOKUP(J21,'Inputs Mapping'!$T$27:$V$31,3))</f>
        <v/>
      </c>
      <c r="AJ21" s="654" t="str">
        <f>IF(J21="","",VLOOKUP(J21,'Inputs Mapping'!$T$17:$V$24,3))</f>
        <v/>
      </c>
      <c r="AK21" s="654" t="str">
        <f t="shared" si="16"/>
        <v/>
      </c>
      <c r="AL21" s="655" t="str">
        <f t="shared" si="10"/>
        <v/>
      </c>
      <c r="AM21" s="655" t="str">
        <f>IF(F21="","",IF(AE21="Dubai",HLOOKUP(F21,Inputs!$C$26:$M$36,5,0),HLOOKUP(F21,Inputs!$C$45:$M$49,5,0)))</f>
        <v/>
      </c>
      <c r="AN21" s="655">
        <f t="shared" si="17"/>
        <v>0</v>
      </c>
      <c r="AO21" s="654" t="str">
        <f>IF(AJ21="","",IF(AN21="Dubai",VLOOKUP(AJ21,'Inputs Mapping'!$V$17:$W$24,2,0),VLOOKUP(AI21,'Inputs Mapping'!$V$27:$W$31,2,0)))</f>
        <v/>
      </c>
      <c r="AP21" s="666">
        <f>IFERROR(IF($AN21="","",HLOOKUP($AN21&amp;RIGHT($AL21,1),'input for formula'!$B$16:$I$20,3,0)),0)</f>
        <v>0</v>
      </c>
      <c r="AQ21" s="656">
        <f>IFERROR(IF($AN21="","",HLOOKUP($AN21&amp;$F21,'input for formula'!$B$22:$M$25,2,0)),0)</f>
        <v>0</v>
      </c>
      <c r="AR21" s="666">
        <f>IFERROR(IF($AN21="","",HLOOKUP($AN21&amp;RIGHT($AL21,1),'input for formula'!$B$16:$I$20,4,0)),0)</f>
        <v>0</v>
      </c>
      <c r="AS21" s="656">
        <f>IFERROR(IF($AN21="","",HLOOKUP($AN21&amp;$F21,'input for formula'!$B$22:$M$25,3,0)),0)</f>
        <v>0</v>
      </c>
      <c r="AT21" s="656">
        <f>IFERROR(IF($AN21="","",HLOOKUP($AN21&amp;RIGHT($AL21,1),'input for formula'!$B$16:$I$20,5,0)),0)</f>
        <v>0</v>
      </c>
      <c r="AU21" s="656">
        <f>IFERROR(IF($AN21="","",HLOOKUP($AN21&amp;$F21,'input for formula'!$B$22:$M$25,4,0)),0)</f>
        <v>0</v>
      </c>
      <c r="AV21" s="666">
        <f>IFERROR(IF($AN21="","",IF('Census Data'!$AN21="Abu Dhabi",VLOOKUP('Census Data'!$AM21,'input for formula'!$A$28:$C$41,3,0),VLOOKUP('Census Data'!$AM21,'input for formula'!$A$28:$C$47,2,0))),0)*IFERROR(1+IF(AN21="Dubai",VLOOKUP(F21,'Quotation for Dubai Plans'!$V$6:$X$12,3,FALSE),VLOOKUP(F21,'Quotation for Abu Dhabi Plans'!$W$6:$Y$12,3,FALSE)),0)</f>
        <v>0</v>
      </c>
      <c r="AW21" s="656" t="str">
        <f t="shared" si="18"/>
        <v/>
      </c>
      <c r="AX21" s="667" t="str">
        <f>IFERROR(IF(AL21="","",IF(AN21="Dubai",HLOOKUP((AL21&amp;AM21),Deviation!$B$7:$S$8,2,0)*BF21*BH21*BI21*BG21,HLOOKUP((AL21&amp;AM21),Deviation!$B$9:$O$10,2,0)*BF21*BH21*BI21*BG21)),0)</f>
        <v/>
      </c>
      <c r="AY21" s="668" t="str">
        <f>IF(AL21="","",IFERROR(IF(AL21="","",IF(AN21="Dubai",HLOOKUP(AZ21,'input for formula'!$B$3:$F$10,AO21,FALSE), IF(AND(H21="Employee",AN21="Abu Dhabi"),HLOOKUP(AZ21,'input for formula'!$I$3:$K$7,AO21,FALSE),HLOOKUP(AZ21,'input for formula'!$M$3:$O$7,AO21,FALSE)))*AX21+AP21*AQ21+AR21*AS21+AT21*AU21),0)*$AZ$3*BK21*BJ21*IF(AND(Inputs!$C$19&gt;19,Inputs!$C$19&lt;30),(1+$AZ$2),1)*(1+$AZ$1))</f>
        <v/>
      </c>
      <c r="AZ21" s="148" t="str">
        <f t="shared" si="19"/>
        <v/>
      </c>
      <c r="BA21" s="669" t="str">
        <f>IF(F21="","",IF(AE21="Dubai",HLOOKUP(F21,Inputs!$C$26:$M$37,9,0),HLOOKUP(F21,Inputs!$C$45:$M$56,9,0)))</f>
        <v/>
      </c>
      <c r="BB21" s="670" t="str">
        <f>IF(F21="","",IF(AE21="Dubai",HLOOKUP(F21,Inputs!$C$26:$M$37,10,0),HLOOKUP(F21,Inputs!$C$45:$M$56,10,0)))</f>
        <v/>
      </c>
      <c r="BC21" s="670" t="str">
        <f>IF(F21="","",IF(AE21="Dubai",HLOOKUP(F21,Inputs!$C$26:$M$37,11,0),HLOOKUP(F21,Inputs!$C$45:$M$56,11,0)))</f>
        <v/>
      </c>
      <c r="BD21" s="669" t="str">
        <f>IF(F21="","",IF(AE21="Dubai",HLOOKUP(F21,Inputs!$C$26:$M$37,12,0),HLOOKUP(F21,Inputs!$C$45:$M$56,12,0)))</f>
        <v/>
      </c>
      <c r="BE21" s="654"/>
      <c r="BF21" s="669" t="str">
        <f>IFERROR(IF(AL21="","",IF(AN21="Dubai",IF(OR(AL21="Plan1",AL21="Plan2"),VLOOKUP(BA21,Deviation!$B$31:$D$33,2,FALSE),VLOOKUP(BA21,Deviation!$B$31:$D$33,3,FALSE)),IF(OR(AL21="Plan1",AL21="Plan2"),VLOOKUP(BA21,Deviation!$E$31:$AE$33,2,FALSE),VLOOKUP(BA21,Deviation!$E$31:$AE$33,3,FALSE)))),0)</f>
        <v/>
      </c>
      <c r="BG21" s="671" t="str">
        <f>IFERROR(IF(AL21="","",IF(AN21="Dubai",IF(AL21="Plan1",VLOOKUP(BB21,Deviation!$B$39:$C$40,2,FALSE),IF(AL21="Plan2",VLOOKUP(BB21,Deviation!$B$42:$C$43,2,FALSE),IF(AL21="Plan5",VLOOKUP(BB21,Deviation!$B$48:$C$49,2,FALSE),VLOOKUP(BB21,Deviation!$B$45:$C$46,2,FALSE)))),IF(AL21="Plan1",VLOOKUP(BB21,Deviation!$E$39:$F$40,2,FALSE),IF(AL21="Plan2",VLOOKUP(BB21,Deviation!$E$42:$F$43,2,FALSE),VLOOKUP(BB21,Deviation!$E$45:$F$46,2,FALSE))))),0)</f>
        <v/>
      </c>
      <c r="BH21" s="671" t="str">
        <f>IFERROR(IF(AL21="","",IF(AN21="Dubai",IF(OR(AL21="Plan1",AL21="Plan2"),VLOOKUP(BC21,Deviation!$B$15:$D$19,2,FALSE),VLOOKUP(BC21,Deviation!$B$15:$D$19,3,FALSE)),IF(OR(AL21="Plan1",AL21="Plan2"),VLOOKUP(BC21,Deviation!$E$15:$AE$19,2,FALSE),VLOOKUP(BC21,Deviation!$E$15:$AE$19,3,FALSE)))),0)</f>
        <v/>
      </c>
      <c r="BI21" s="669" t="str">
        <f>IFERROR(IF(AL21="","",IF(AN21="Dubai",VLOOKUP(BD21,Deviation!$B$24:$C$26,2,FALSE),100%)),0)</f>
        <v/>
      </c>
      <c r="BJ21" s="672">
        <f>IF(AE21="Abu Dhabi",1,IFERROR(VLOOKUP(AM21,Deviation!$B$67:$E$79,MATCH('Census Data'!AA21,Deviation!$B$66:$E$66,0),0),1))</f>
        <v>1</v>
      </c>
      <c r="BK21" s="659">
        <f>IFERROR(VLOOKUP(I21,Deviation!$B$54:$C$62,2,0),1)</f>
        <v>1</v>
      </c>
      <c r="BL21" s="148"/>
      <c r="BM21" s="148"/>
      <c r="BN21" s="148"/>
      <c r="BO21" s="148"/>
      <c r="BP21" s="148"/>
      <c r="BQ21" s="148"/>
      <c r="BR21" s="148"/>
      <c r="BS21" s="148"/>
      <c r="BT21" s="148" t="e">
        <f t="shared" si="20"/>
        <v>#VALUE!</v>
      </c>
      <c r="BU21" t="str">
        <f>IF(AL21="","",IFERROR(IF(AL21="","",IF(AN21="Dubai",HLOOKUP(AZ21,'input for formula'!$B$3:$F$10,AO21,FALSE), IF(AND(H21="Employee",AN21="Abu Dhabi"),HLOOKUP(AZ21,'input for formula'!$I$3:$K$7,AO21,FALSE),HLOOKUP(AZ21,'input for formula'!$M$3:$O$7,AO21,FALSE)))*AX21+AP21*AQ21+AR21*AS21+AT21*AU21),0)*$AZ$3*BK21*BJ21*IF(AND(Inputs!$C$19&gt;19,Inputs!$C$19&lt;30),(1+$AZ$2),1))</f>
        <v/>
      </c>
    </row>
    <row r="22" spans="1:73" ht="15" x14ac:dyDescent="0.25">
      <c r="A22" s="59">
        <v>17</v>
      </c>
      <c r="B22" s="470"/>
      <c r="C22" s="628"/>
      <c r="D22" s="629"/>
      <c r="E22" s="471"/>
      <c r="F22" s="298"/>
      <c r="G22" s="298"/>
      <c r="H22" s="298"/>
      <c r="I22" s="298"/>
      <c r="J22" s="80" t="str">
        <f>IFERROR(IF(C22="","",DATEDIF('Census Data'!C22,eff_date,"y")),"")</f>
        <v/>
      </c>
      <c r="K22" s="59" t="str">
        <f>IF(F22="","",IF(AE22="Dubai",HLOOKUP(F22,Inputs!$C$26:$M$28,3,0),HLOOKUP(F22,Inputs!$C$45:$M$46,2,0)))</f>
        <v/>
      </c>
      <c r="L22" s="104"/>
      <c r="M22" s="105">
        <f t="shared" si="1"/>
        <v>0</v>
      </c>
      <c r="N22" s="654" t="b">
        <f>NOT(AND(ISBLANK(C22),ISBLANK(D22),ISBLANK(E22),ISBLANK(F22),ISBLANK(G22)))</f>
        <v>0</v>
      </c>
      <c r="O22" s="655" t="str">
        <f t="shared" si="2"/>
        <v>x</v>
      </c>
      <c r="P22" s="655" t="str">
        <f t="shared" si="3"/>
        <v>x</v>
      </c>
      <c r="Q22" s="655" t="str">
        <f>IF(ISBLANK(E22),"x","")</f>
        <v>x</v>
      </c>
      <c r="R22" s="655" t="str">
        <f t="shared" si="12"/>
        <v>x</v>
      </c>
      <c r="S22" s="655" t="str">
        <f t="shared" si="5"/>
        <v>x</v>
      </c>
      <c r="T22" s="655" t="str">
        <f>IF(ISERROR(MATCH(G22,'Inputs Mapping'!$T$4:$T$10,0)),"x","")</f>
        <v>x</v>
      </c>
      <c r="U22" s="655" t="str">
        <f>IF(ISERROR(MATCH(AA22,'Inputs Mapping'!$U$4:$U$5,0)),"x","")</f>
        <v>x</v>
      </c>
      <c r="V22" s="655" t="str">
        <f>IF(ISERROR(MATCH(AB22,'Inputs Mapping'!$V$4:$V$5,0)),"x","")</f>
        <v>x</v>
      </c>
      <c r="W22" s="655" t="str">
        <f>IF(ISERROR(MATCH(F22,'Inputs Mapping'!$W$4:$W$8,0)),"x","")</f>
        <v>x</v>
      </c>
      <c r="X22" s="655" t="str">
        <f t="shared" si="6"/>
        <v/>
      </c>
      <c r="Y22" s="655" t="str">
        <f t="shared" si="7"/>
        <v/>
      </c>
      <c r="Z22" s="655" t="str">
        <f t="shared" si="8"/>
        <v/>
      </c>
      <c r="AA22" s="655" t="str">
        <f t="shared" si="9"/>
        <v/>
      </c>
      <c r="AB22" s="655" t="str">
        <f t="shared" si="13"/>
        <v/>
      </c>
      <c r="AC22" s="655" t="str">
        <f t="shared" si="21"/>
        <v>x</v>
      </c>
      <c r="AD22" s="655" t="str">
        <f>IF(ISBLANK(I22),"x",IF(ISNUMBER(MATCH(I22,'Inputs Mapping'!$AF$5:$AF$199,0)),"","x"))</f>
        <v>x</v>
      </c>
      <c r="AE22" s="655" t="str">
        <f t="shared" si="14"/>
        <v/>
      </c>
      <c r="AF22" s="148"/>
      <c r="AG22" s="148"/>
      <c r="AH22" s="148" t="str">
        <f t="shared" si="15"/>
        <v/>
      </c>
      <c r="AI22" s="654" t="str">
        <f>IF(J22="","",VLOOKUP(J22,'Inputs Mapping'!$T$27:$V$31,3))</f>
        <v/>
      </c>
      <c r="AJ22" s="654" t="str">
        <f>IF(J22="","",VLOOKUP(J22,'Inputs Mapping'!$T$17:$V$24,3))</f>
        <v/>
      </c>
      <c r="AK22" s="654" t="str">
        <f t="shared" si="16"/>
        <v/>
      </c>
      <c r="AL22" s="655" t="str">
        <f t="shared" si="10"/>
        <v/>
      </c>
      <c r="AM22" s="655" t="str">
        <f>IF(F22="","",IF(AE22="Dubai",HLOOKUP(F22,Inputs!$C$26:$M$36,5,0),HLOOKUP(F22,Inputs!$C$45:$M$49,5,0)))</f>
        <v/>
      </c>
      <c r="AN22" s="655">
        <f t="shared" si="17"/>
        <v>0</v>
      </c>
      <c r="AO22" s="654" t="str">
        <f>IF(AJ22="","",IF(AN22="Dubai",VLOOKUP(AJ22,'Inputs Mapping'!$V$17:$W$24,2,0),VLOOKUP(AI22,'Inputs Mapping'!$V$27:$W$31,2,0)))</f>
        <v/>
      </c>
      <c r="AP22" s="666">
        <f>IFERROR(IF($AN22="","",HLOOKUP($AN22&amp;RIGHT($AL22,1),'input for formula'!$B$16:$I$20,3,0)),0)</f>
        <v>0</v>
      </c>
      <c r="AQ22" s="656">
        <f>IFERROR(IF($AN22="","",HLOOKUP($AN22&amp;$F22,'input for formula'!$B$22:$M$25,2,0)),0)</f>
        <v>0</v>
      </c>
      <c r="AR22" s="666">
        <f>IFERROR(IF($AN22="","",HLOOKUP($AN22&amp;RIGHT($AL22,1),'input for formula'!$B$16:$I$20,4,0)),0)</f>
        <v>0</v>
      </c>
      <c r="AS22" s="656">
        <f>IFERROR(IF($AN22="","",HLOOKUP($AN22&amp;$F22,'input for formula'!$B$22:$M$25,3,0)),0)</f>
        <v>0</v>
      </c>
      <c r="AT22" s="656">
        <f>IFERROR(IF($AN22="","",HLOOKUP($AN22&amp;RIGHT($AL22,1),'input for formula'!$B$16:$I$20,5,0)),0)</f>
        <v>0</v>
      </c>
      <c r="AU22" s="656">
        <f>IFERROR(IF($AN22="","",HLOOKUP($AN22&amp;$F22,'input for formula'!$B$22:$M$25,4,0)),0)</f>
        <v>0</v>
      </c>
      <c r="AV22" s="666">
        <f>IFERROR(IF($AN22="","",IF('Census Data'!$AN22="Abu Dhabi",VLOOKUP('Census Data'!$AM22,'input for formula'!$A$28:$C$41,3,0),VLOOKUP('Census Data'!$AM22,'input for formula'!$A$28:$C$47,2,0))),0)*IFERROR(1+IF(AN22="Dubai",VLOOKUP(F22,'Quotation for Dubai Plans'!$V$6:$X$12,3,FALSE),VLOOKUP(F22,'Quotation for Abu Dhabi Plans'!$W$6:$Y$12,3,FALSE)),0)</f>
        <v>0</v>
      </c>
      <c r="AW22" s="656" t="str">
        <f t="shared" si="18"/>
        <v/>
      </c>
      <c r="AX22" s="667" t="str">
        <f>IFERROR(IF(AL22="","",IF(AN22="Dubai",HLOOKUP((AL22&amp;AM22),Deviation!$B$7:$S$8,2,0)*BF22*BH22*BI22*BG22,HLOOKUP((AL22&amp;AM22),Deviation!$B$9:$O$10,2,0)*BF22*BH22*BI22*BG22)),0)</f>
        <v/>
      </c>
      <c r="AY22" s="668" t="str">
        <f>IF(AL22="","",IFERROR(IF(AL22="","",IF(AN22="Dubai",HLOOKUP(AZ22,'input for formula'!$B$3:$F$10,AO22,FALSE), IF(AND(H22="Employee",AN22="Abu Dhabi"),HLOOKUP(AZ22,'input for formula'!$I$3:$K$7,AO22,FALSE),HLOOKUP(AZ22,'input for formula'!$M$3:$O$7,AO22,FALSE)))*AX22+AP22*AQ22+AR22*AS22+AT22*AU22),0)*$AZ$3*BK22*BJ22*IF(AND(Inputs!$C$19&gt;19,Inputs!$C$19&lt;30),(1+$AZ$2),1)*(1+$AZ$1))</f>
        <v/>
      </c>
      <c r="AZ22" s="148" t="str">
        <f t="shared" si="19"/>
        <v/>
      </c>
      <c r="BA22" s="669" t="str">
        <f>IF(F22="","",IF(AE22="Dubai",HLOOKUP(F22,Inputs!$C$26:$M$37,9,0),HLOOKUP(F22,Inputs!$C$45:$M$56,9,0)))</f>
        <v/>
      </c>
      <c r="BB22" s="670" t="str">
        <f>IF(F22="","",IF(AE22="Dubai",HLOOKUP(F22,Inputs!$C$26:$M$37,10,0),HLOOKUP(F22,Inputs!$C$45:$M$56,10,0)))</f>
        <v/>
      </c>
      <c r="BC22" s="670" t="str">
        <f>IF(F22="","",IF(AE22="Dubai",HLOOKUP(F22,Inputs!$C$26:$M$37,11,0),HLOOKUP(F22,Inputs!$C$45:$M$56,11,0)))</f>
        <v/>
      </c>
      <c r="BD22" s="669" t="str">
        <f>IF(F22="","",IF(AE22="Dubai",HLOOKUP(F22,Inputs!$C$26:$M$37,12,0),HLOOKUP(F22,Inputs!$C$45:$M$56,12,0)))</f>
        <v/>
      </c>
      <c r="BE22" s="654"/>
      <c r="BF22" s="669" t="str">
        <f>IFERROR(IF(AL22="","",IF(AN22="Dubai",IF(OR(AL22="Plan1",AL22="Plan2"),VLOOKUP(BA22,Deviation!$B$31:$D$33,2,FALSE),VLOOKUP(BA22,Deviation!$B$31:$D$33,3,FALSE)),IF(OR(AL22="Plan1",AL22="Plan2"),VLOOKUP(BA22,Deviation!$E$31:$AE$33,2,FALSE),VLOOKUP(BA22,Deviation!$E$31:$AE$33,3,FALSE)))),0)</f>
        <v/>
      </c>
      <c r="BG22" s="671" t="str">
        <f>IFERROR(IF(AL22="","",IF(AN22="Dubai",IF(AL22="Plan1",VLOOKUP(BB22,Deviation!$B$39:$C$40,2,FALSE),IF(AL22="Plan2",VLOOKUP(BB22,Deviation!$B$42:$C$43,2,FALSE),IF(AL22="Plan5",VLOOKUP(BB22,Deviation!$B$48:$C$49,2,FALSE),VLOOKUP(BB22,Deviation!$B$45:$C$46,2,FALSE)))),IF(AL22="Plan1",VLOOKUP(BB22,Deviation!$E$39:$F$40,2,FALSE),IF(AL22="Plan2",VLOOKUP(BB22,Deviation!$E$42:$F$43,2,FALSE),VLOOKUP(BB22,Deviation!$E$45:$F$46,2,FALSE))))),0)</f>
        <v/>
      </c>
      <c r="BH22" s="671" t="str">
        <f>IFERROR(IF(AL22="","",IF(AN22="Dubai",IF(OR(AL22="Plan1",AL22="Plan2"),VLOOKUP(BC22,Deviation!$B$15:$D$19,2,FALSE),VLOOKUP(BC22,Deviation!$B$15:$D$19,3,FALSE)),IF(OR(AL22="Plan1",AL22="Plan2"),VLOOKUP(BC22,Deviation!$E$15:$AE$19,2,FALSE),VLOOKUP(BC22,Deviation!$E$15:$AE$19,3,FALSE)))),0)</f>
        <v/>
      </c>
      <c r="BI22" s="669" t="str">
        <f>IFERROR(IF(AL22="","",IF(AN22="Dubai",VLOOKUP(BD22,Deviation!$B$24:$C$26,2,FALSE),100%)),0)</f>
        <v/>
      </c>
      <c r="BJ22" s="672">
        <f>IF(AE22="Abu Dhabi",1,IFERROR(VLOOKUP(AM22,Deviation!$B$67:$E$79,MATCH('Census Data'!AA22,Deviation!$B$66:$E$66,0),0),1))</f>
        <v>1</v>
      </c>
      <c r="BK22" s="659">
        <f>IFERROR(VLOOKUP(I22,Deviation!$B$54:$C$62,2,0),1)</f>
        <v>1</v>
      </c>
      <c r="BL22" s="148"/>
      <c r="BM22" s="148"/>
      <c r="BN22" s="148"/>
      <c r="BO22" s="148"/>
      <c r="BP22" s="148"/>
      <c r="BQ22" s="148"/>
      <c r="BR22" s="148"/>
      <c r="BS22" s="148"/>
      <c r="BT22" s="148" t="e">
        <f t="shared" si="20"/>
        <v>#VALUE!</v>
      </c>
      <c r="BU22" t="str">
        <f>IF(AL22="","",IFERROR(IF(AL22="","",IF(AN22="Dubai",HLOOKUP(AZ22,'input for formula'!$B$3:$F$10,AO22,FALSE), IF(AND(H22="Employee",AN22="Abu Dhabi"),HLOOKUP(AZ22,'input for formula'!$I$3:$K$7,AO22,FALSE),HLOOKUP(AZ22,'input for formula'!$M$3:$O$7,AO22,FALSE)))*AX22+AP22*AQ22+AR22*AS22+AT22*AU22),0)*$AZ$3*BK22*BJ22*IF(AND(Inputs!$C$19&gt;19,Inputs!$C$19&lt;30),(1+$AZ$2),1))</f>
        <v/>
      </c>
    </row>
    <row r="23" spans="1:73" ht="15" x14ac:dyDescent="0.25">
      <c r="A23" s="59">
        <v>18</v>
      </c>
      <c r="B23" s="470"/>
      <c r="C23" s="628"/>
      <c r="D23" s="629"/>
      <c r="E23" s="471"/>
      <c r="F23" s="298"/>
      <c r="G23" s="298"/>
      <c r="H23" s="298"/>
      <c r="I23" s="298"/>
      <c r="J23" s="80" t="str">
        <f>IFERROR(IF(C23="","",DATEDIF('Census Data'!C23,eff_date,"y")),"")</f>
        <v/>
      </c>
      <c r="K23" s="59" t="str">
        <f>IF(F23="","",IF(AE23="Dubai",HLOOKUP(F23,Inputs!$C$26:$M$28,3,0),HLOOKUP(F23,Inputs!$C$45:$M$46,2,0)))</f>
        <v/>
      </c>
      <c r="L23" s="104"/>
      <c r="M23" s="105">
        <f t="shared" si="1"/>
        <v>0</v>
      </c>
      <c r="N23" s="654" t="b">
        <f t="shared" si="11"/>
        <v>0</v>
      </c>
      <c r="O23" s="655" t="str">
        <f t="shared" si="2"/>
        <v>x</v>
      </c>
      <c r="P23" s="655" t="str">
        <f t="shared" si="3"/>
        <v>x</v>
      </c>
      <c r="Q23" s="655" t="str">
        <f t="shared" si="4"/>
        <v>x</v>
      </c>
      <c r="R23" s="655" t="str">
        <f t="shared" si="12"/>
        <v>x</v>
      </c>
      <c r="S23" s="655" t="str">
        <f t="shared" si="5"/>
        <v>x</v>
      </c>
      <c r="T23" s="655" t="str">
        <f>IF(ISERROR(MATCH(G23,'Inputs Mapping'!$T$4:$T$10,0)),"x","")</f>
        <v>x</v>
      </c>
      <c r="U23" s="655" t="str">
        <f>IF(ISERROR(MATCH(AA23,'Inputs Mapping'!$U$4:$U$5,0)),"x","")</f>
        <v>x</v>
      </c>
      <c r="V23" s="655" t="str">
        <f>IF(ISERROR(MATCH(AB23,'Inputs Mapping'!$V$4:$V$5,0)),"x","")</f>
        <v>x</v>
      </c>
      <c r="W23" s="655" t="str">
        <f>IF(ISERROR(MATCH(F23,'Inputs Mapping'!$W$4:$W$8,0)),"x","")</f>
        <v>x</v>
      </c>
      <c r="X23" s="655" t="str">
        <f t="shared" si="6"/>
        <v/>
      </c>
      <c r="Y23" s="655" t="str">
        <f t="shared" si="7"/>
        <v/>
      </c>
      <c r="Z23" s="655" t="str">
        <f t="shared" si="8"/>
        <v/>
      </c>
      <c r="AA23" s="655" t="str">
        <f t="shared" si="9"/>
        <v/>
      </c>
      <c r="AB23" s="655" t="str">
        <f t="shared" si="13"/>
        <v/>
      </c>
      <c r="AC23" s="655" t="str">
        <f t="shared" si="21"/>
        <v>x</v>
      </c>
      <c r="AD23" s="655" t="str">
        <f>IF(ISBLANK(I23),"x",IF(ISNUMBER(MATCH(I23,'Inputs Mapping'!$AF$5:$AF$199,0)),"","x"))</f>
        <v>x</v>
      </c>
      <c r="AE23" s="655" t="str">
        <f t="shared" si="14"/>
        <v/>
      </c>
      <c r="AF23" s="148"/>
      <c r="AG23" s="148"/>
      <c r="AH23" s="148" t="str">
        <f t="shared" si="15"/>
        <v/>
      </c>
      <c r="AI23" s="654" t="str">
        <f>IF(J23="","",VLOOKUP(J23,'Inputs Mapping'!$T$27:$V$31,3))</f>
        <v/>
      </c>
      <c r="AJ23" s="654" t="str">
        <f>IF(J23="","",VLOOKUP(J23,'Inputs Mapping'!$T$17:$V$24,3))</f>
        <v/>
      </c>
      <c r="AK23" s="654" t="str">
        <f t="shared" si="16"/>
        <v/>
      </c>
      <c r="AL23" s="655" t="str">
        <f t="shared" si="10"/>
        <v/>
      </c>
      <c r="AM23" s="655" t="str">
        <f>IF(F23="","",IF(AE23="Dubai",HLOOKUP(F23,Inputs!$C$26:$M$36,5,0),HLOOKUP(F23,Inputs!$C$45:$M$49,5,0)))</f>
        <v/>
      </c>
      <c r="AN23" s="655">
        <f t="shared" si="17"/>
        <v>0</v>
      </c>
      <c r="AO23" s="654" t="str">
        <f>IF(AJ23="","",IF(AN23="Dubai",VLOOKUP(AJ23,'Inputs Mapping'!$V$17:$W$24,2,0),VLOOKUP(AI23,'Inputs Mapping'!$V$27:$W$31,2,0)))</f>
        <v/>
      </c>
      <c r="AP23" s="666">
        <f>IFERROR(IF($AN23="","",HLOOKUP($AN23&amp;RIGHT($AL23,1),'input for formula'!$B$16:$I$20,3,0)),0)</f>
        <v>0</v>
      </c>
      <c r="AQ23" s="656">
        <f>IFERROR(IF($AN23="","",HLOOKUP($AN23&amp;$F23,'input for formula'!$B$22:$M$25,2,0)),0)</f>
        <v>0</v>
      </c>
      <c r="AR23" s="666">
        <f>IFERROR(IF($AN23="","",HLOOKUP($AN23&amp;RIGHT($AL23,1),'input for formula'!$B$16:$I$20,4,0)),0)</f>
        <v>0</v>
      </c>
      <c r="AS23" s="656">
        <f>IFERROR(IF($AN23="","",HLOOKUP($AN23&amp;$F23,'input for formula'!$B$22:$M$25,3,0)),0)</f>
        <v>0</v>
      </c>
      <c r="AT23" s="656">
        <f>IFERROR(IF($AN23="","",HLOOKUP($AN23&amp;RIGHT($AL23,1),'input for formula'!$B$16:$I$20,5,0)),0)</f>
        <v>0</v>
      </c>
      <c r="AU23" s="656">
        <f>IFERROR(IF($AN23="","",HLOOKUP($AN23&amp;$F23,'input for formula'!$B$22:$M$25,4,0)),0)</f>
        <v>0</v>
      </c>
      <c r="AV23" s="666">
        <f>IFERROR(IF($AN23="","",IF('Census Data'!$AN23="Abu Dhabi",VLOOKUP('Census Data'!$AM23,'input for formula'!$A$28:$C$41,3,0),VLOOKUP('Census Data'!$AM23,'input for formula'!$A$28:$C$47,2,0))),0)*IFERROR(1+IF(AN23="Dubai",VLOOKUP(F23,'Quotation for Dubai Plans'!$V$6:$X$12,3,FALSE),VLOOKUP(F23,'Quotation for Abu Dhabi Plans'!$W$6:$Y$12,3,FALSE)),0)</f>
        <v>0</v>
      </c>
      <c r="AW23" s="656" t="str">
        <f t="shared" si="18"/>
        <v/>
      </c>
      <c r="AX23" s="667" t="str">
        <f>IFERROR(IF(AL23="","",IF(AN23="Dubai",HLOOKUP((AL23&amp;AM23),Deviation!$B$7:$S$8,2,0)*BF23*BH23*BI23*BG23,HLOOKUP((AL23&amp;AM23),Deviation!$B$9:$O$10,2,0)*BF23*BH23*BI23*BG23)),0)</f>
        <v/>
      </c>
      <c r="AY23" s="668" t="str">
        <f>IF(AL23="","",IFERROR(IF(AL23="","",IF(AN23="Dubai",HLOOKUP(AZ23,'input for formula'!$B$3:$F$10,AO23,FALSE), IF(AND(H23="Employee",AN23="Abu Dhabi"),HLOOKUP(AZ23,'input for formula'!$I$3:$K$7,AO23,FALSE),HLOOKUP(AZ23,'input for formula'!$M$3:$O$7,AO23,FALSE)))*AX23+AP23*AQ23+AR23*AS23+AT23*AU23),0)*$AZ$3*BK23*BJ23*IF(AND(Inputs!$C$19&gt;19,Inputs!$C$19&lt;30),(1+$AZ$2),1)*(1+$AZ$1))</f>
        <v/>
      </c>
      <c r="AZ23" s="148" t="str">
        <f t="shared" si="19"/>
        <v/>
      </c>
      <c r="BA23" s="669" t="str">
        <f>IF(F23="","",IF(AE23="Dubai",HLOOKUP(F23,Inputs!$C$26:$M$37,9,0),HLOOKUP(F23,Inputs!$C$45:$M$56,9,0)))</f>
        <v/>
      </c>
      <c r="BB23" s="670" t="str">
        <f>IF(F23="","",IF(AE23="Dubai",HLOOKUP(F23,Inputs!$C$26:$M$37,10,0),HLOOKUP(F23,Inputs!$C$45:$M$56,10,0)))</f>
        <v/>
      </c>
      <c r="BC23" s="670" t="str">
        <f>IF(F23="","",IF(AE23="Dubai",HLOOKUP(F23,Inputs!$C$26:$M$37,11,0),HLOOKUP(F23,Inputs!$C$45:$M$56,11,0)))</f>
        <v/>
      </c>
      <c r="BD23" s="669" t="str">
        <f>IF(F23="","",IF(AE23="Dubai",HLOOKUP(F23,Inputs!$C$26:$M$37,12,0),HLOOKUP(F23,Inputs!$C$45:$M$56,12,0)))</f>
        <v/>
      </c>
      <c r="BE23" s="654"/>
      <c r="BF23" s="669" t="str">
        <f>IFERROR(IF(AL23="","",IF(AN23="Dubai",IF(OR(AL23="Plan1",AL23="Plan2"),VLOOKUP(BA23,Deviation!$B$31:$D$33,2,FALSE),VLOOKUP(BA23,Deviation!$B$31:$D$33,3,FALSE)),IF(OR(AL23="Plan1",AL23="Plan2"),VLOOKUP(BA23,Deviation!$E$31:$AE$33,2,FALSE),VLOOKUP(BA23,Deviation!$E$31:$AE$33,3,FALSE)))),0)</f>
        <v/>
      </c>
      <c r="BG23" s="671" t="str">
        <f>IFERROR(IF(AL23="","",IF(AN23="Dubai",IF(AL23="Plan1",VLOOKUP(BB23,Deviation!$B$39:$C$40,2,FALSE),IF(AL23="Plan2",VLOOKUP(BB23,Deviation!$B$42:$C$43,2,FALSE),IF(AL23="Plan5",VLOOKUP(BB23,Deviation!$B$48:$C$49,2,FALSE),VLOOKUP(BB23,Deviation!$B$45:$C$46,2,FALSE)))),IF(AL23="Plan1",VLOOKUP(BB23,Deviation!$E$39:$F$40,2,FALSE),IF(AL23="Plan2",VLOOKUP(BB23,Deviation!$E$42:$F$43,2,FALSE),VLOOKUP(BB23,Deviation!$E$45:$F$46,2,FALSE))))),0)</f>
        <v/>
      </c>
      <c r="BH23" s="671" t="str">
        <f>IFERROR(IF(AL23="","",IF(AN23="Dubai",IF(OR(AL23="Plan1",AL23="Plan2"),VLOOKUP(BC23,Deviation!$B$15:$D$19,2,FALSE),VLOOKUP(BC23,Deviation!$B$15:$D$19,3,FALSE)),IF(OR(AL23="Plan1",AL23="Plan2"),VLOOKUP(BC23,Deviation!$E$15:$AE$19,2,FALSE),VLOOKUP(BC23,Deviation!$E$15:$AE$19,3,FALSE)))),0)</f>
        <v/>
      </c>
      <c r="BI23" s="669" t="str">
        <f>IFERROR(IF(AL23="","",IF(AN23="Dubai",VLOOKUP(BD23,Deviation!$B$24:$C$26,2,FALSE),100%)),0)</f>
        <v/>
      </c>
      <c r="BJ23" s="672">
        <f>IF(AE23="Abu Dhabi",1,IFERROR(VLOOKUP(AM23,Deviation!$B$67:$E$79,MATCH('Census Data'!AA23,Deviation!$B$66:$E$66,0),0),1))</f>
        <v>1</v>
      </c>
      <c r="BK23" s="659">
        <f>IFERROR(VLOOKUP(I23,Deviation!$B$54:$C$62,2,0),1)</f>
        <v>1</v>
      </c>
      <c r="BL23" s="148"/>
      <c r="BM23" s="148"/>
      <c r="BN23" s="148"/>
      <c r="BO23" s="148"/>
      <c r="BP23" s="148"/>
      <c r="BQ23" s="148"/>
      <c r="BR23" s="148"/>
      <c r="BS23" s="148"/>
      <c r="BT23" s="148" t="e">
        <f t="shared" si="20"/>
        <v>#VALUE!</v>
      </c>
      <c r="BU23" t="str">
        <f>IF(AL23="","",IFERROR(IF(AL23="","",IF(AN23="Dubai",HLOOKUP(AZ23,'input for formula'!$B$3:$F$10,AO23,FALSE), IF(AND(H23="Employee",AN23="Abu Dhabi"),HLOOKUP(AZ23,'input for formula'!$I$3:$K$7,AO23,FALSE),HLOOKUP(AZ23,'input for formula'!$M$3:$O$7,AO23,FALSE)))*AX23+AP23*AQ23+AR23*AS23+AT23*AU23),0)*$AZ$3*BK23*BJ23*IF(AND(Inputs!$C$19&gt;19,Inputs!$C$19&lt;30),(1+$AZ$2),1))</f>
        <v/>
      </c>
    </row>
    <row r="24" spans="1:73" ht="15" x14ac:dyDescent="0.25">
      <c r="A24" s="59">
        <v>19</v>
      </c>
      <c r="B24" s="470"/>
      <c r="C24" s="628"/>
      <c r="D24" s="629"/>
      <c r="E24" s="471"/>
      <c r="F24" s="298"/>
      <c r="G24" s="298"/>
      <c r="H24" s="298"/>
      <c r="I24" s="298"/>
      <c r="J24" s="80" t="str">
        <f>IFERROR(IF(C24="","",DATEDIF('Census Data'!C24,eff_date,"y")),"")</f>
        <v/>
      </c>
      <c r="K24" s="59" t="str">
        <f>IF(F24="","",IF(AE24="Dubai",HLOOKUP(F24,Inputs!$C$26:$M$28,3,0),HLOOKUP(F24,Inputs!$C$45:$M$46,2,0)))</f>
        <v/>
      </c>
      <c r="L24" s="104"/>
      <c r="M24" s="105">
        <f t="shared" si="1"/>
        <v>0</v>
      </c>
      <c r="N24" s="654" t="b">
        <f t="shared" si="11"/>
        <v>0</v>
      </c>
      <c r="O24" s="655" t="str">
        <f t="shared" si="2"/>
        <v>x</v>
      </c>
      <c r="P24" s="655" t="str">
        <f t="shared" si="3"/>
        <v>x</v>
      </c>
      <c r="Q24" s="655" t="str">
        <f t="shared" si="4"/>
        <v>x</v>
      </c>
      <c r="R24" s="655" t="str">
        <f t="shared" si="12"/>
        <v>x</v>
      </c>
      <c r="S24" s="655" t="str">
        <f t="shared" si="5"/>
        <v>x</v>
      </c>
      <c r="T24" s="655" t="str">
        <f>IF(ISERROR(MATCH(G24,'Inputs Mapping'!$T$4:$T$10,0)),"x","")</f>
        <v>x</v>
      </c>
      <c r="U24" s="655" t="str">
        <f>IF(ISERROR(MATCH(AA24,'Inputs Mapping'!$U$4:$U$5,0)),"x","")</f>
        <v>x</v>
      </c>
      <c r="V24" s="655" t="str">
        <f>IF(ISERROR(MATCH(AB24,'Inputs Mapping'!$V$4:$V$5,0)),"x","")</f>
        <v>x</v>
      </c>
      <c r="W24" s="655" t="str">
        <f>IF(ISERROR(MATCH(F24,'Inputs Mapping'!$W$4:$W$8,0)),"x","")</f>
        <v>x</v>
      </c>
      <c r="X24" s="655" t="str">
        <f t="shared" si="6"/>
        <v/>
      </c>
      <c r="Y24" s="655" t="str">
        <f t="shared" si="7"/>
        <v/>
      </c>
      <c r="Z24" s="655" t="str">
        <f t="shared" si="8"/>
        <v/>
      </c>
      <c r="AA24" s="655" t="str">
        <f t="shared" si="9"/>
        <v/>
      </c>
      <c r="AB24" s="655" t="str">
        <f t="shared" si="13"/>
        <v/>
      </c>
      <c r="AC24" s="655" t="str">
        <f t="shared" si="21"/>
        <v>x</v>
      </c>
      <c r="AD24" s="655" t="str">
        <f>IF(ISBLANK(I24),"x",IF(ISNUMBER(MATCH(I24,'Inputs Mapping'!$AF$5:$AF$199,0)),"","x"))</f>
        <v>x</v>
      </c>
      <c r="AE24" s="655" t="str">
        <f t="shared" si="14"/>
        <v/>
      </c>
      <c r="AF24" s="148"/>
      <c r="AG24" s="148"/>
      <c r="AH24" s="148" t="str">
        <f t="shared" si="15"/>
        <v/>
      </c>
      <c r="AI24" s="654" t="str">
        <f>IF(J24="","",VLOOKUP(J24,'Inputs Mapping'!$T$27:$V$31,3))</f>
        <v/>
      </c>
      <c r="AJ24" s="654" t="str">
        <f>IF(J24="","",VLOOKUP(J24,'Inputs Mapping'!$T$17:$V$24,3))</f>
        <v/>
      </c>
      <c r="AK24" s="654" t="str">
        <f t="shared" si="16"/>
        <v/>
      </c>
      <c r="AL24" s="655" t="str">
        <f t="shared" si="10"/>
        <v/>
      </c>
      <c r="AM24" s="655" t="str">
        <f>IF(F24="","",IF(AE24="Dubai",HLOOKUP(F24,Inputs!$C$26:$M$36,5,0),HLOOKUP(F24,Inputs!$C$45:$M$49,5,0)))</f>
        <v/>
      </c>
      <c r="AN24" s="655">
        <f t="shared" si="17"/>
        <v>0</v>
      </c>
      <c r="AO24" s="654" t="str">
        <f>IF(AJ24="","",IF(AN24="Dubai",VLOOKUP(AJ24,'Inputs Mapping'!$V$17:$W$24,2,0),VLOOKUP(AI24,'Inputs Mapping'!$V$27:$W$31,2,0)))</f>
        <v/>
      </c>
      <c r="AP24" s="666">
        <f>IFERROR(IF($AN24="","",HLOOKUP($AN24&amp;RIGHT($AL24,1),'input for formula'!$B$16:$I$20,3,0)),0)</f>
        <v>0</v>
      </c>
      <c r="AQ24" s="656">
        <f>IFERROR(IF($AN24="","",HLOOKUP($AN24&amp;$F24,'input for formula'!$B$22:$M$25,2,0)),0)</f>
        <v>0</v>
      </c>
      <c r="AR24" s="666">
        <f>IFERROR(IF($AN24="","",HLOOKUP($AN24&amp;RIGHT($AL24,1),'input for formula'!$B$16:$I$20,4,0)),0)</f>
        <v>0</v>
      </c>
      <c r="AS24" s="656">
        <f>IFERROR(IF($AN24="","",HLOOKUP($AN24&amp;$F24,'input for formula'!$B$22:$M$25,3,0)),0)</f>
        <v>0</v>
      </c>
      <c r="AT24" s="656">
        <f>IFERROR(IF($AN24="","",HLOOKUP($AN24&amp;RIGHT($AL24,1),'input for formula'!$B$16:$I$20,5,0)),0)</f>
        <v>0</v>
      </c>
      <c r="AU24" s="656">
        <f>IFERROR(IF($AN24="","",HLOOKUP($AN24&amp;$F24,'input for formula'!$B$22:$M$25,4,0)),0)</f>
        <v>0</v>
      </c>
      <c r="AV24" s="666">
        <f>IFERROR(IF($AN24="","",IF('Census Data'!$AN24="Abu Dhabi",VLOOKUP('Census Data'!$AM24,'input for formula'!$A$28:$C$41,3,0),VLOOKUP('Census Data'!$AM24,'input for formula'!$A$28:$C$47,2,0))),0)*IFERROR(1+IF(AN24="Dubai",VLOOKUP(F24,'Quotation for Dubai Plans'!$V$6:$X$12,3,FALSE),VLOOKUP(F24,'Quotation for Abu Dhabi Plans'!$W$6:$Y$12,3,FALSE)),0)</f>
        <v>0</v>
      </c>
      <c r="AW24" s="656" t="str">
        <f t="shared" si="18"/>
        <v/>
      </c>
      <c r="AX24" s="667" t="str">
        <f>IFERROR(IF(AL24="","",IF(AN24="Dubai",HLOOKUP((AL24&amp;AM24),Deviation!$B$7:$S$8,2,0)*BF24*BH24*BI24*BG24,HLOOKUP((AL24&amp;AM24),Deviation!$B$9:$O$10,2,0)*BF24*BH24*BI24*BG24)),0)</f>
        <v/>
      </c>
      <c r="AY24" s="668" t="str">
        <f>IF(AL24="","",IFERROR(IF(AL24="","",IF(AN24="Dubai",HLOOKUP(AZ24,'input for formula'!$B$3:$F$10,AO24,FALSE), IF(AND(H24="Employee",AN24="Abu Dhabi"),HLOOKUP(AZ24,'input for formula'!$I$3:$K$7,AO24,FALSE),HLOOKUP(AZ24,'input for formula'!$M$3:$O$7,AO24,FALSE)))*AX24+AP24*AQ24+AR24*AS24+AT24*AU24),0)*$AZ$3*BK24*BJ24*IF(AND(Inputs!$C$19&gt;19,Inputs!$C$19&lt;30),(1+$AZ$2),1)*(1+$AZ$1))</f>
        <v/>
      </c>
      <c r="AZ24" s="148" t="str">
        <f t="shared" si="19"/>
        <v/>
      </c>
      <c r="BA24" s="669" t="str">
        <f>IF(F24="","",IF(AE24="Dubai",HLOOKUP(F24,Inputs!$C$26:$M$37,9,0),HLOOKUP(F24,Inputs!$C$45:$M$56,9,0)))</f>
        <v/>
      </c>
      <c r="BB24" s="670" t="str">
        <f>IF(F24="","",IF(AE24="Dubai",HLOOKUP(F24,Inputs!$C$26:$M$37,10,0),HLOOKUP(F24,Inputs!$C$45:$M$56,10,0)))</f>
        <v/>
      </c>
      <c r="BC24" s="670" t="str">
        <f>IF(F24="","",IF(AE24="Dubai",HLOOKUP(F24,Inputs!$C$26:$M$37,11,0),HLOOKUP(F24,Inputs!$C$45:$M$56,11,0)))</f>
        <v/>
      </c>
      <c r="BD24" s="669" t="str">
        <f>IF(F24="","",IF(AE24="Dubai",HLOOKUP(F24,Inputs!$C$26:$M$37,12,0),HLOOKUP(F24,Inputs!$C$45:$M$56,12,0)))</f>
        <v/>
      </c>
      <c r="BE24" s="654"/>
      <c r="BF24" s="669" t="str">
        <f>IFERROR(IF(AL24="","",IF(AN24="Dubai",IF(OR(AL24="Plan1",AL24="Plan2"),VLOOKUP(BA24,Deviation!$B$31:$D$33,2,FALSE),VLOOKUP(BA24,Deviation!$B$31:$D$33,3,FALSE)),IF(OR(AL24="Plan1",AL24="Plan2"),VLOOKUP(BA24,Deviation!$E$31:$AE$33,2,FALSE),VLOOKUP(BA24,Deviation!$E$31:$AE$33,3,FALSE)))),0)</f>
        <v/>
      </c>
      <c r="BG24" s="671" t="str">
        <f>IFERROR(IF(AL24="","",IF(AN24="Dubai",IF(AL24="Plan1",VLOOKUP(BB24,Deviation!$B$39:$C$40,2,FALSE),IF(AL24="Plan2",VLOOKUP(BB24,Deviation!$B$42:$C$43,2,FALSE),IF(AL24="Plan5",VLOOKUP(BB24,Deviation!$B$48:$C$49,2,FALSE),VLOOKUP(BB24,Deviation!$B$45:$C$46,2,FALSE)))),IF(AL24="Plan1",VLOOKUP(BB24,Deviation!$E$39:$F$40,2,FALSE),IF(AL24="Plan2",VLOOKUP(BB24,Deviation!$E$42:$F$43,2,FALSE),VLOOKUP(BB24,Deviation!$E$45:$F$46,2,FALSE))))),0)</f>
        <v/>
      </c>
      <c r="BH24" s="671" t="str">
        <f>IFERROR(IF(AL24="","",IF(AN24="Dubai",IF(OR(AL24="Plan1",AL24="Plan2"),VLOOKUP(BC24,Deviation!$B$15:$D$19,2,FALSE),VLOOKUP(BC24,Deviation!$B$15:$D$19,3,FALSE)),IF(OR(AL24="Plan1",AL24="Plan2"),VLOOKUP(BC24,Deviation!$E$15:$AE$19,2,FALSE),VLOOKUP(BC24,Deviation!$E$15:$AE$19,3,FALSE)))),0)</f>
        <v/>
      </c>
      <c r="BI24" s="669" t="str">
        <f>IFERROR(IF(AL24="","",IF(AN24="Dubai",VLOOKUP(BD24,Deviation!$B$24:$C$26,2,FALSE),100%)),0)</f>
        <v/>
      </c>
      <c r="BJ24" s="672">
        <f>IF(AE24="Abu Dhabi",1,IFERROR(VLOOKUP(AM24,Deviation!$B$67:$E$79,MATCH('Census Data'!AA24,Deviation!$B$66:$E$66,0),0),1))</f>
        <v>1</v>
      </c>
      <c r="BK24" s="659">
        <f>IFERROR(VLOOKUP(I24,Deviation!$B$54:$C$62,2,0),1)</f>
        <v>1</v>
      </c>
      <c r="BL24" s="148"/>
      <c r="BM24" s="148"/>
      <c r="BN24" s="148"/>
      <c r="BO24" s="148"/>
      <c r="BP24" s="148"/>
      <c r="BQ24" s="148"/>
      <c r="BR24" s="148"/>
      <c r="BS24" s="148"/>
      <c r="BT24" s="148" t="e">
        <f t="shared" si="20"/>
        <v>#VALUE!</v>
      </c>
      <c r="BU24" t="str">
        <f>IF(AL24="","",IFERROR(IF(AL24="","",IF(AN24="Dubai",HLOOKUP(AZ24,'input for formula'!$B$3:$F$10,AO24,FALSE), IF(AND(H24="Employee",AN24="Abu Dhabi"),HLOOKUP(AZ24,'input for formula'!$I$3:$K$7,AO24,FALSE),HLOOKUP(AZ24,'input for formula'!$M$3:$O$7,AO24,FALSE)))*AX24+AP24*AQ24+AR24*AS24+AT24*AU24),0)*$AZ$3*BK24*BJ24*IF(AND(Inputs!$C$19&gt;19,Inputs!$C$19&lt;30),(1+$AZ$2),1))</f>
        <v/>
      </c>
    </row>
    <row r="25" spans="1:73" ht="15" x14ac:dyDescent="0.25">
      <c r="A25" s="59">
        <v>20</v>
      </c>
      <c r="B25" s="470"/>
      <c r="C25" s="628"/>
      <c r="D25" s="629"/>
      <c r="E25" s="471"/>
      <c r="F25" s="298"/>
      <c r="G25" s="298"/>
      <c r="H25" s="298"/>
      <c r="I25" s="298"/>
      <c r="J25" s="80" t="str">
        <f>IFERROR(IF(C25="","",DATEDIF('Census Data'!C25,eff_date,"y")),"")</f>
        <v/>
      </c>
      <c r="K25" s="59" t="str">
        <f>IF(F25="","",IF(AE25="Dubai",HLOOKUP(F25,Inputs!$C$26:$M$28,3,0),HLOOKUP(F25,Inputs!$C$45:$M$46,2,0)))</f>
        <v/>
      </c>
      <c r="L25" s="104"/>
      <c r="M25" s="105">
        <f t="shared" si="1"/>
        <v>0</v>
      </c>
      <c r="N25" s="654" t="b">
        <f t="shared" si="11"/>
        <v>0</v>
      </c>
      <c r="O25" s="655" t="str">
        <f t="shared" si="2"/>
        <v>x</v>
      </c>
      <c r="P25" s="655" t="str">
        <f t="shared" si="3"/>
        <v>x</v>
      </c>
      <c r="Q25" s="655" t="str">
        <f t="shared" si="4"/>
        <v>x</v>
      </c>
      <c r="R25" s="655" t="str">
        <f t="shared" si="12"/>
        <v>x</v>
      </c>
      <c r="S25" s="655" t="str">
        <f t="shared" si="5"/>
        <v>x</v>
      </c>
      <c r="T25" s="655" t="str">
        <f>IF(ISERROR(MATCH(G25,'Inputs Mapping'!$T$4:$T$10,0)),"x","")</f>
        <v>x</v>
      </c>
      <c r="U25" s="655" t="str">
        <f>IF(ISERROR(MATCH(AA25,'Inputs Mapping'!$U$4:$U$5,0)),"x","")</f>
        <v>x</v>
      </c>
      <c r="V25" s="655" t="str">
        <f>IF(ISERROR(MATCH(AB25,'Inputs Mapping'!$V$4:$V$5,0)),"x","")</f>
        <v>x</v>
      </c>
      <c r="W25" s="655" t="str">
        <f>IF(ISERROR(MATCH(F25,'Inputs Mapping'!$W$4:$W$8,0)),"x","")</f>
        <v>x</v>
      </c>
      <c r="X25" s="655" t="str">
        <f t="shared" si="6"/>
        <v/>
      </c>
      <c r="Y25" s="655" t="str">
        <f t="shared" si="7"/>
        <v/>
      </c>
      <c r="Z25" s="655" t="str">
        <f t="shared" si="8"/>
        <v/>
      </c>
      <c r="AA25" s="655" t="str">
        <f t="shared" si="9"/>
        <v/>
      </c>
      <c r="AB25" s="655" t="str">
        <f t="shared" si="13"/>
        <v/>
      </c>
      <c r="AC25" s="655" t="str">
        <f t="shared" si="21"/>
        <v>x</v>
      </c>
      <c r="AD25" s="655" t="str">
        <f>IF(ISBLANK(I25),"x",IF(ISNUMBER(MATCH(I25,'Inputs Mapping'!$AF$5:$AF$199,0)),"","x"))</f>
        <v>x</v>
      </c>
      <c r="AE25" s="655" t="str">
        <f t="shared" si="14"/>
        <v/>
      </c>
      <c r="AF25" s="148"/>
      <c r="AG25" s="148"/>
      <c r="AH25" s="148" t="str">
        <f t="shared" si="15"/>
        <v/>
      </c>
      <c r="AI25" s="654" t="str">
        <f>IF(J25="","",VLOOKUP(J25,'Inputs Mapping'!$T$27:$V$31,3))</f>
        <v/>
      </c>
      <c r="AJ25" s="654" t="str">
        <f>IF(J25="","",VLOOKUP(J25,'Inputs Mapping'!$T$17:$V$24,3))</f>
        <v/>
      </c>
      <c r="AK25" s="654" t="str">
        <f t="shared" si="16"/>
        <v/>
      </c>
      <c r="AL25" s="655" t="str">
        <f t="shared" si="10"/>
        <v/>
      </c>
      <c r="AM25" s="655" t="str">
        <f>IF(F25="","",IF(AE25="Dubai",HLOOKUP(F25,Inputs!$C$26:$M$36,5,0),HLOOKUP(F25,Inputs!$C$45:$M$49,5,0)))</f>
        <v/>
      </c>
      <c r="AN25" s="655">
        <f t="shared" si="17"/>
        <v>0</v>
      </c>
      <c r="AO25" s="654" t="str">
        <f>IF(AJ25="","",IF(AN25="Dubai",VLOOKUP(AJ25,'Inputs Mapping'!$V$17:$W$24,2,0),VLOOKUP(AI25,'Inputs Mapping'!$V$27:$W$31,2,0)))</f>
        <v/>
      </c>
      <c r="AP25" s="666">
        <f>IFERROR(IF($AN25="","",HLOOKUP($AN25&amp;RIGHT($AL25,1),'input for formula'!$B$16:$I$20,3,0)),0)</f>
        <v>0</v>
      </c>
      <c r="AQ25" s="656">
        <f>IFERROR(IF($AN25="","",HLOOKUP($AN25&amp;$F25,'input for formula'!$B$22:$M$25,2,0)),0)</f>
        <v>0</v>
      </c>
      <c r="AR25" s="666">
        <f>IFERROR(IF($AN25="","",HLOOKUP($AN25&amp;RIGHT($AL25,1),'input for formula'!$B$16:$I$20,4,0)),0)</f>
        <v>0</v>
      </c>
      <c r="AS25" s="656">
        <f>IFERROR(IF($AN25="","",HLOOKUP($AN25&amp;$F25,'input for formula'!$B$22:$M$25,3,0)),0)</f>
        <v>0</v>
      </c>
      <c r="AT25" s="656">
        <f>IFERROR(IF($AN25="","",HLOOKUP($AN25&amp;RIGHT($AL25,1),'input for formula'!$B$16:$I$20,5,0)),0)</f>
        <v>0</v>
      </c>
      <c r="AU25" s="656">
        <f>IFERROR(IF($AN25="","",HLOOKUP($AN25&amp;$F25,'input for formula'!$B$22:$M$25,4,0)),0)</f>
        <v>0</v>
      </c>
      <c r="AV25" s="666">
        <f>IFERROR(IF($AN25="","",IF('Census Data'!$AN25="Abu Dhabi",VLOOKUP('Census Data'!$AM25,'input for formula'!$A$28:$C$41,3,0),VLOOKUP('Census Data'!$AM25,'input for formula'!$A$28:$C$47,2,0))),0)*IFERROR(1+IF(AN25="Dubai",VLOOKUP(F25,'Quotation for Dubai Plans'!$V$6:$X$12,3,FALSE),VLOOKUP(F25,'Quotation for Abu Dhabi Plans'!$W$6:$Y$12,3,FALSE)),0)</f>
        <v>0</v>
      </c>
      <c r="AW25" s="656" t="str">
        <f t="shared" si="18"/>
        <v/>
      </c>
      <c r="AX25" s="667" t="str">
        <f>IFERROR(IF(AL25="","",IF(AN25="Dubai",HLOOKUP((AL25&amp;AM25),Deviation!$B$7:$S$8,2,0)*BF25*BH25*BI25*BG25,HLOOKUP((AL25&amp;AM25),Deviation!$B$9:$O$10,2,0)*BF25*BH25*BI25*BG25)),0)</f>
        <v/>
      </c>
      <c r="AY25" s="668" t="str">
        <f>IF(AL25="","",IFERROR(IF(AL25="","",IF(AN25="Dubai",HLOOKUP(AZ25,'input for formula'!$B$3:$F$10,AO25,FALSE), IF(AND(H25="Employee",AN25="Abu Dhabi"),HLOOKUP(AZ25,'input for formula'!$I$3:$K$7,AO25,FALSE),HLOOKUP(AZ25,'input for formula'!$M$3:$O$7,AO25,FALSE)))*AX25+AP25*AQ25+AR25*AS25+AT25*AU25),0)*$AZ$3*BK25*BJ25*IF(AND(Inputs!$C$19&gt;19,Inputs!$C$19&lt;30),(1+$AZ$2),1)*(1+$AZ$1))</f>
        <v/>
      </c>
      <c r="AZ25" s="148" t="str">
        <f t="shared" si="19"/>
        <v/>
      </c>
      <c r="BA25" s="669" t="str">
        <f>IF(F25="","",IF(AE25="Dubai",HLOOKUP(F25,Inputs!$C$26:$M$37,9,0),HLOOKUP(F25,Inputs!$C$45:$M$56,9,0)))</f>
        <v/>
      </c>
      <c r="BB25" s="670" t="str">
        <f>IF(F25="","",IF(AE25="Dubai",HLOOKUP(F25,Inputs!$C$26:$M$37,10,0),HLOOKUP(F25,Inputs!$C$45:$M$56,10,0)))</f>
        <v/>
      </c>
      <c r="BC25" s="670" t="str">
        <f>IF(F25="","",IF(AE25="Dubai",HLOOKUP(F25,Inputs!$C$26:$M$37,11,0),HLOOKUP(F25,Inputs!$C$45:$M$56,11,0)))</f>
        <v/>
      </c>
      <c r="BD25" s="669" t="str">
        <f>IF(F25="","",IF(AE25="Dubai",HLOOKUP(F25,Inputs!$C$26:$M$37,12,0),HLOOKUP(F25,Inputs!$C$45:$M$56,12,0)))</f>
        <v/>
      </c>
      <c r="BE25" s="654"/>
      <c r="BF25" s="669" t="str">
        <f>IFERROR(IF(AL25="","",IF(AN25="Dubai",IF(OR(AL25="Plan1",AL25="Plan2"),VLOOKUP(BA25,Deviation!$B$31:$D$33,2,FALSE),VLOOKUP(BA25,Deviation!$B$31:$D$33,3,FALSE)),IF(OR(AL25="Plan1",AL25="Plan2"),VLOOKUP(BA25,Deviation!$E$31:$AE$33,2,FALSE),VLOOKUP(BA25,Deviation!$E$31:$AE$33,3,FALSE)))),0)</f>
        <v/>
      </c>
      <c r="BG25" s="671" t="str">
        <f>IFERROR(IF(AL25="","",IF(AN25="Dubai",IF(AL25="Plan1",VLOOKUP(BB25,Deviation!$B$39:$C$40,2,FALSE),IF(AL25="Plan2",VLOOKUP(BB25,Deviation!$B$42:$C$43,2,FALSE),IF(AL25="Plan5",VLOOKUP(BB25,Deviation!$B$48:$C$49,2,FALSE),VLOOKUP(BB25,Deviation!$B$45:$C$46,2,FALSE)))),IF(AL25="Plan1",VLOOKUP(BB25,Deviation!$E$39:$F$40,2,FALSE),IF(AL25="Plan2",VLOOKUP(BB25,Deviation!$E$42:$F$43,2,FALSE),VLOOKUP(BB25,Deviation!$E$45:$F$46,2,FALSE))))),0)</f>
        <v/>
      </c>
      <c r="BH25" s="671" t="str">
        <f>IFERROR(IF(AL25="","",IF(AN25="Dubai",IF(OR(AL25="Plan1",AL25="Plan2"),VLOOKUP(BC25,Deviation!$B$15:$D$19,2,FALSE),VLOOKUP(BC25,Deviation!$B$15:$D$19,3,FALSE)),IF(OR(AL25="Plan1",AL25="Plan2"),VLOOKUP(BC25,Deviation!$E$15:$AE$19,2,FALSE),VLOOKUP(BC25,Deviation!$E$15:$AE$19,3,FALSE)))),0)</f>
        <v/>
      </c>
      <c r="BI25" s="669" t="str">
        <f>IFERROR(IF(AL25="","",IF(AN25="Dubai",VLOOKUP(BD25,Deviation!$B$24:$C$26,2,FALSE),100%)),0)</f>
        <v/>
      </c>
      <c r="BJ25" s="672">
        <f>IF(AE25="Abu Dhabi",1,IFERROR(VLOOKUP(AM25,Deviation!$B$67:$E$79,MATCH('Census Data'!AA25,Deviation!$B$66:$E$66,0),0),1))</f>
        <v>1</v>
      </c>
      <c r="BK25" s="659">
        <f>IFERROR(VLOOKUP(I25,Deviation!$B$54:$C$62,2,0),1)</f>
        <v>1</v>
      </c>
      <c r="BL25" s="148"/>
      <c r="BM25" s="148"/>
      <c r="BN25" s="148"/>
      <c r="BO25" s="148"/>
      <c r="BP25" s="148"/>
      <c r="BQ25" s="148"/>
      <c r="BR25" s="148"/>
      <c r="BS25" s="148"/>
      <c r="BT25" s="148" t="e">
        <f t="shared" si="20"/>
        <v>#VALUE!</v>
      </c>
      <c r="BU25" t="str">
        <f>IF(AL25="","",IFERROR(IF(AL25="","",IF(AN25="Dubai",HLOOKUP(AZ25,'input for formula'!$B$3:$F$10,AO25,FALSE), IF(AND(H25="Employee",AN25="Abu Dhabi"),HLOOKUP(AZ25,'input for formula'!$I$3:$K$7,AO25,FALSE),HLOOKUP(AZ25,'input for formula'!$M$3:$O$7,AO25,FALSE)))*AX25+AP25*AQ25+AR25*AS25+AT25*AU25),0)*$AZ$3*BK25*BJ25*IF(AND(Inputs!$C$19&gt;19,Inputs!$C$19&lt;30),(1+$AZ$2),1))</f>
        <v/>
      </c>
    </row>
    <row r="26" spans="1:73" ht="15" x14ac:dyDescent="0.25">
      <c r="A26" s="59">
        <v>21</v>
      </c>
      <c r="B26" s="470"/>
      <c r="C26" s="628"/>
      <c r="D26" s="629"/>
      <c r="E26" s="471"/>
      <c r="F26" s="298"/>
      <c r="G26" s="298"/>
      <c r="H26" s="298"/>
      <c r="I26" s="298"/>
      <c r="J26" s="80" t="str">
        <f>IFERROR(IF(C26="","",DATEDIF('Census Data'!C26,eff_date,"y")),"")</f>
        <v/>
      </c>
      <c r="K26" s="59" t="str">
        <f>IF(F26="","",IF(AE26="Dubai",HLOOKUP(F26,Inputs!$C$26:$M$28,3,0),HLOOKUP(F26,Inputs!$C$45:$M$46,2,0)))</f>
        <v/>
      </c>
      <c r="L26" s="104"/>
      <c r="M26" s="105">
        <f t="shared" si="1"/>
        <v>0</v>
      </c>
      <c r="N26" s="654" t="b">
        <f t="shared" si="11"/>
        <v>0</v>
      </c>
      <c r="O26" s="655" t="str">
        <f t="shared" si="2"/>
        <v>x</v>
      </c>
      <c r="P26" s="655" t="str">
        <f t="shared" si="3"/>
        <v>x</v>
      </c>
      <c r="Q26" s="655" t="str">
        <f t="shared" si="4"/>
        <v>x</v>
      </c>
      <c r="R26" s="655" t="str">
        <f t="shared" si="12"/>
        <v>x</v>
      </c>
      <c r="S26" s="655" t="str">
        <f t="shared" si="5"/>
        <v>x</v>
      </c>
      <c r="T26" s="655" t="str">
        <f>IF(ISERROR(MATCH(G26,'Inputs Mapping'!$T$4:$T$10,0)),"x","")</f>
        <v>x</v>
      </c>
      <c r="U26" s="655" t="str">
        <f>IF(ISERROR(MATCH(AA26,'Inputs Mapping'!$U$4:$U$5,0)),"x","")</f>
        <v>x</v>
      </c>
      <c r="V26" s="655" t="str">
        <f>IF(ISERROR(MATCH(AB26,'Inputs Mapping'!$V$4:$V$5,0)),"x","")</f>
        <v>x</v>
      </c>
      <c r="W26" s="655" t="str">
        <f>IF(ISERROR(MATCH(F26,'Inputs Mapping'!$W$4:$W$8,0)),"x","")</f>
        <v>x</v>
      </c>
      <c r="X26" s="655" t="str">
        <f t="shared" si="6"/>
        <v/>
      </c>
      <c r="Y26" s="655" t="str">
        <f t="shared" si="7"/>
        <v/>
      </c>
      <c r="Z26" s="655" t="str">
        <f t="shared" si="8"/>
        <v/>
      </c>
      <c r="AA26" s="655" t="str">
        <f t="shared" si="9"/>
        <v/>
      </c>
      <c r="AB26" s="655" t="str">
        <f t="shared" si="13"/>
        <v/>
      </c>
      <c r="AC26" s="655" t="str">
        <f t="shared" si="21"/>
        <v>x</v>
      </c>
      <c r="AD26" s="655" t="str">
        <f>IF(ISBLANK(I26),"x",IF(ISNUMBER(MATCH(I26,'Inputs Mapping'!$AF$5:$AF$199,0)),"","x"))</f>
        <v>x</v>
      </c>
      <c r="AE26" s="655" t="str">
        <f t="shared" si="14"/>
        <v/>
      </c>
      <c r="AF26" s="148"/>
      <c r="AG26" s="148"/>
      <c r="AH26" s="148" t="str">
        <f t="shared" si="15"/>
        <v/>
      </c>
      <c r="AI26" s="654" t="str">
        <f>IF(J26="","",VLOOKUP(J26,'Inputs Mapping'!$T$27:$V$31,3))</f>
        <v/>
      </c>
      <c r="AJ26" s="654" t="str">
        <f>IF(J26="","",VLOOKUP(J26,'Inputs Mapping'!$T$17:$V$24,3))</f>
        <v/>
      </c>
      <c r="AK26" s="654" t="str">
        <f t="shared" si="16"/>
        <v/>
      </c>
      <c r="AL26" s="655" t="str">
        <f t="shared" si="10"/>
        <v/>
      </c>
      <c r="AM26" s="655" t="str">
        <f>IF(F26="","",IF(AE26="Dubai",HLOOKUP(F26,Inputs!$C$26:$M$36,5,0),HLOOKUP(F26,Inputs!$C$45:$M$49,5,0)))</f>
        <v/>
      </c>
      <c r="AN26" s="655">
        <f t="shared" si="17"/>
        <v>0</v>
      </c>
      <c r="AO26" s="654" t="str">
        <f>IF(AJ26="","",IF(AN26="Dubai",VLOOKUP(AJ26,'Inputs Mapping'!$V$17:$W$24,2,0),VLOOKUP(AI26,'Inputs Mapping'!$V$27:$W$31,2,0)))</f>
        <v/>
      </c>
      <c r="AP26" s="666">
        <f>IFERROR(IF($AN26="","",HLOOKUP($AN26&amp;RIGHT($AL26,1),'input for formula'!$B$16:$I$20,3,0)),0)</f>
        <v>0</v>
      </c>
      <c r="AQ26" s="656">
        <f>IFERROR(IF($AN26="","",HLOOKUP($AN26&amp;$F26,'input for formula'!$B$22:$M$25,2,0)),0)</f>
        <v>0</v>
      </c>
      <c r="AR26" s="666">
        <f>IFERROR(IF($AN26="","",HLOOKUP($AN26&amp;RIGHT($AL26,1),'input for formula'!$B$16:$I$20,4,0)),0)</f>
        <v>0</v>
      </c>
      <c r="AS26" s="656">
        <f>IFERROR(IF($AN26="","",HLOOKUP($AN26&amp;$F26,'input for formula'!$B$22:$M$25,3,0)),0)</f>
        <v>0</v>
      </c>
      <c r="AT26" s="656">
        <f>IFERROR(IF($AN26="","",HLOOKUP($AN26&amp;RIGHT($AL26,1),'input for formula'!$B$16:$I$20,5,0)),0)</f>
        <v>0</v>
      </c>
      <c r="AU26" s="656">
        <f>IFERROR(IF($AN26="","",HLOOKUP($AN26&amp;$F26,'input for formula'!$B$22:$M$25,4,0)),0)</f>
        <v>0</v>
      </c>
      <c r="AV26" s="666">
        <f>IFERROR(IF($AN26="","",IF('Census Data'!$AN26="Abu Dhabi",VLOOKUP('Census Data'!$AM26,'input for formula'!$A$28:$C$41,3,0),VLOOKUP('Census Data'!$AM26,'input for formula'!$A$28:$C$47,2,0))),0)*IFERROR(1+IF(AN26="Dubai",VLOOKUP(F26,'Quotation for Dubai Plans'!$V$6:$X$12,3,FALSE),VLOOKUP(F26,'Quotation for Abu Dhabi Plans'!$W$6:$Y$12,3,FALSE)),0)</f>
        <v>0</v>
      </c>
      <c r="AW26" s="656" t="str">
        <f t="shared" si="18"/>
        <v/>
      </c>
      <c r="AX26" s="667" t="str">
        <f>IFERROR(IF(AL26="","",IF(AN26="Dubai",HLOOKUP((AL26&amp;AM26),Deviation!$B$7:$S$8,2,0)*BF26*BH26*BI26*BG26,HLOOKUP((AL26&amp;AM26),Deviation!$B$9:$O$10,2,0)*BF26*BH26*BI26*BG26)),0)</f>
        <v/>
      </c>
      <c r="AY26" s="668" t="str">
        <f>IF(AL26="","",IFERROR(IF(AL26="","",IF(AN26="Dubai",HLOOKUP(AZ26,'input for formula'!$B$3:$F$10,AO26,FALSE), IF(AND(H26="Employee",AN26="Abu Dhabi"),HLOOKUP(AZ26,'input for formula'!$I$3:$K$7,AO26,FALSE),HLOOKUP(AZ26,'input for formula'!$M$3:$O$7,AO26,FALSE)))*AX26+AP26*AQ26+AR26*AS26+AT26*AU26),0)*$AZ$3*BK26*BJ26*IF(AND(Inputs!$C$19&gt;19,Inputs!$C$19&lt;30),(1+$AZ$2),1)*(1+$AZ$1))</f>
        <v/>
      </c>
      <c r="AZ26" s="148" t="str">
        <f t="shared" si="19"/>
        <v/>
      </c>
      <c r="BA26" s="669" t="str">
        <f>IF(F26="","",IF(AE26="Dubai",HLOOKUP(F26,Inputs!$C$26:$M$37,9,0),HLOOKUP(F26,Inputs!$C$45:$M$56,9,0)))</f>
        <v/>
      </c>
      <c r="BB26" s="670" t="str">
        <f>IF(F26="","",IF(AE26="Dubai",HLOOKUP(F26,Inputs!$C$26:$M$37,10,0),HLOOKUP(F26,Inputs!$C$45:$M$56,10,0)))</f>
        <v/>
      </c>
      <c r="BC26" s="670" t="str">
        <f>IF(F26="","",IF(AE26="Dubai",HLOOKUP(F26,Inputs!$C$26:$M$37,11,0),HLOOKUP(F26,Inputs!$C$45:$M$56,11,0)))</f>
        <v/>
      </c>
      <c r="BD26" s="669" t="str">
        <f>IF(F26="","",IF(AE26="Dubai",HLOOKUP(F26,Inputs!$C$26:$M$37,12,0),HLOOKUP(F26,Inputs!$C$45:$M$56,12,0)))</f>
        <v/>
      </c>
      <c r="BE26" s="654"/>
      <c r="BF26" s="669" t="str">
        <f>IFERROR(IF(AL26="","",IF(AN26="Dubai",IF(OR(AL26="Plan1",AL26="Plan2"),VLOOKUP(BA26,Deviation!$B$31:$D$33,2,FALSE),VLOOKUP(BA26,Deviation!$B$31:$D$33,3,FALSE)),IF(OR(AL26="Plan1",AL26="Plan2"),VLOOKUP(BA26,Deviation!$E$31:$AE$33,2,FALSE),VLOOKUP(BA26,Deviation!$E$31:$AE$33,3,FALSE)))),0)</f>
        <v/>
      </c>
      <c r="BG26" s="671" t="str">
        <f>IFERROR(IF(AL26="","",IF(AN26="Dubai",IF(AL26="Plan1",VLOOKUP(BB26,Deviation!$B$39:$C$40,2,FALSE),IF(AL26="Plan2",VLOOKUP(BB26,Deviation!$B$42:$C$43,2,FALSE),IF(AL26="Plan5",VLOOKUP(BB26,Deviation!$B$48:$C$49,2,FALSE),VLOOKUP(BB26,Deviation!$B$45:$C$46,2,FALSE)))),IF(AL26="Plan1",VLOOKUP(BB26,Deviation!$E$39:$F$40,2,FALSE),IF(AL26="Plan2",VLOOKUP(BB26,Deviation!$E$42:$F$43,2,FALSE),VLOOKUP(BB26,Deviation!$E$45:$F$46,2,FALSE))))),0)</f>
        <v/>
      </c>
      <c r="BH26" s="671" t="str">
        <f>IFERROR(IF(AL26="","",IF(AN26="Dubai",IF(OR(AL26="Plan1",AL26="Plan2"),VLOOKUP(BC26,Deviation!$B$15:$D$19,2,FALSE),VLOOKUP(BC26,Deviation!$B$15:$D$19,3,FALSE)),IF(OR(AL26="Plan1",AL26="Plan2"),VLOOKUP(BC26,Deviation!$E$15:$AE$19,2,FALSE),VLOOKUP(BC26,Deviation!$E$15:$AE$19,3,FALSE)))),0)</f>
        <v/>
      </c>
      <c r="BI26" s="669" t="str">
        <f>IFERROR(IF(AL26="","",IF(AN26="Dubai",VLOOKUP(BD26,Deviation!$B$24:$C$26,2,FALSE),100%)),0)</f>
        <v/>
      </c>
      <c r="BJ26" s="672">
        <f>IF(AE26="Abu Dhabi",1,IFERROR(VLOOKUP(AM26,Deviation!$B$67:$E$79,MATCH('Census Data'!AA26,Deviation!$B$66:$E$66,0),0),1))</f>
        <v>1</v>
      </c>
      <c r="BK26" s="659">
        <f>IFERROR(VLOOKUP(I26,Deviation!$B$54:$C$62,2,0),1)</f>
        <v>1</v>
      </c>
      <c r="BL26" s="148"/>
      <c r="BM26" s="148"/>
      <c r="BN26" s="148"/>
      <c r="BO26" s="148"/>
      <c r="BP26" s="148"/>
      <c r="BQ26" s="148"/>
      <c r="BR26" s="148"/>
      <c r="BS26" s="148"/>
      <c r="BT26" s="148" t="e">
        <f t="shared" si="20"/>
        <v>#VALUE!</v>
      </c>
      <c r="BU26" t="str">
        <f>IF(AL26="","",IFERROR(IF(AL26="","",IF(AN26="Dubai",HLOOKUP(AZ26,'input for formula'!$B$3:$F$10,AO26,FALSE), IF(AND(H26="Employee",AN26="Abu Dhabi"),HLOOKUP(AZ26,'input for formula'!$I$3:$K$7,AO26,FALSE),HLOOKUP(AZ26,'input for formula'!$M$3:$O$7,AO26,FALSE)))*AX26+AP26*AQ26+AR26*AS26+AT26*AU26),0)*$AZ$3*BK26*BJ26*IF(AND(Inputs!$C$19&gt;19,Inputs!$C$19&lt;30),(1+$AZ$2),1))</f>
        <v/>
      </c>
    </row>
    <row r="27" spans="1:73" ht="15" x14ac:dyDescent="0.25">
      <c r="A27" s="59">
        <v>22</v>
      </c>
      <c r="B27" s="470"/>
      <c r="C27" s="628"/>
      <c r="D27" s="629"/>
      <c r="E27" s="471"/>
      <c r="F27" s="298"/>
      <c r="G27" s="298"/>
      <c r="H27" s="298"/>
      <c r="I27" s="298"/>
      <c r="J27" s="80" t="str">
        <f>IFERROR(IF(C27="","",DATEDIF('Census Data'!C27,eff_date,"y")),"")</f>
        <v/>
      </c>
      <c r="K27" s="59" t="str">
        <f>IF(F27="","",IF(AE27="Dubai",HLOOKUP(F27,Inputs!$C$26:$M$28,3,0),HLOOKUP(F27,Inputs!$C$45:$M$46,2,0)))</f>
        <v/>
      </c>
      <c r="L27" s="104"/>
      <c r="M27" s="105">
        <f t="shared" si="1"/>
        <v>0</v>
      </c>
      <c r="N27" s="654" t="b">
        <f t="shared" si="11"/>
        <v>0</v>
      </c>
      <c r="O27" s="655" t="str">
        <f t="shared" si="2"/>
        <v>x</v>
      </c>
      <c r="P27" s="655" t="str">
        <f t="shared" si="3"/>
        <v>x</v>
      </c>
      <c r="Q27" s="655" t="str">
        <f t="shared" si="4"/>
        <v>x</v>
      </c>
      <c r="R27" s="655" t="str">
        <f t="shared" si="12"/>
        <v>x</v>
      </c>
      <c r="S27" s="655" t="str">
        <f t="shared" si="5"/>
        <v>x</v>
      </c>
      <c r="T27" s="655" t="str">
        <f>IF(ISERROR(MATCH(G27,'Inputs Mapping'!$T$4:$T$10,0)),"x","")</f>
        <v>x</v>
      </c>
      <c r="U27" s="655" t="str">
        <f>IF(ISERROR(MATCH(AA27,'Inputs Mapping'!$U$4:$U$5,0)),"x","")</f>
        <v>x</v>
      </c>
      <c r="V27" s="655" t="str">
        <f>IF(ISERROR(MATCH(AB27,'Inputs Mapping'!$V$4:$V$5,0)),"x","")</f>
        <v>x</v>
      </c>
      <c r="W27" s="655" t="str">
        <f>IF(ISERROR(MATCH(F27,'Inputs Mapping'!$W$4:$W$8,0)),"x","")</f>
        <v>x</v>
      </c>
      <c r="X27" s="655" t="str">
        <f t="shared" si="6"/>
        <v/>
      </c>
      <c r="Y27" s="655" t="str">
        <f t="shared" si="7"/>
        <v/>
      </c>
      <c r="Z27" s="655" t="str">
        <f t="shared" si="8"/>
        <v/>
      </c>
      <c r="AA27" s="655" t="str">
        <f t="shared" si="9"/>
        <v/>
      </c>
      <c r="AB27" s="655" t="str">
        <f t="shared" si="13"/>
        <v/>
      </c>
      <c r="AC27" s="655" t="str">
        <f t="shared" si="21"/>
        <v>x</v>
      </c>
      <c r="AD27" s="655" t="str">
        <f>IF(ISBLANK(I27),"x",IF(ISNUMBER(MATCH(I27,'Inputs Mapping'!$AF$5:$AF$199,0)),"","x"))</f>
        <v>x</v>
      </c>
      <c r="AE27" s="655" t="str">
        <f t="shared" si="14"/>
        <v/>
      </c>
      <c r="AF27" s="148"/>
      <c r="AG27" s="148"/>
      <c r="AH27" s="148" t="str">
        <f t="shared" si="15"/>
        <v/>
      </c>
      <c r="AI27" s="654" t="str">
        <f>IF(J27="","",VLOOKUP(J27,'Inputs Mapping'!$T$27:$V$31,3))</f>
        <v/>
      </c>
      <c r="AJ27" s="654" t="str">
        <f>IF(J27="","",VLOOKUP(J27,'Inputs Mapping'!$T$17:$V$24,3))</f>
        <v/>
      </c>
      <c r="AK27" s="654" t="str">
        <f t="shared" si="16"/>
        <v/>
      </c>
      <c r="AL27" s="655" t="str">
        <f t="shared" si="10"/>
        <v/>
      </c>
      <c r="AM27" s="655" t="str">
        <f>IF(F27="","",IF(AE27="Dubai",HLOOKUP(F27,Inputs!$C$26:$M$36,5,0),HLOOKUP(F27,Inputs!$C$45:$M$49,5,0)))</f>
        <v/>
      </c>
      <c r="AN27" s="655">
        <f t="shared" si="17"/>
        <v>0</v>
      </c>
      <c r="AO27" s="654" t="str">
        <f>IF(AJ27="","",IF(AN27="Dubai",VLOOKUP(AJ27,'Inputs Mapping'!$V$17:$W$24,2,0),VLOOKUP(AI27,'Inputs Mapping'!$V$27:$W$31,2,0)))</f>
        <v/>
      </c>
      <c r="AP27" s="666">
        <f>IFERROR(IF($AN27="","",HLOOKUP($AN27&amp;RIGHT($AL27,1),'input for formula'!$B$16:$I$20,3,0)),0)</f>
        <v>0</v>
      </c>
      <c r="AQ27" s="656">
        <f>IFERROR(IF($AN27="","",HLOOKUP($AN27&amp;$F27,'input for formula'!$B$22:$M$25,2,0)),0)</f>
        <v>0</v>
      </c>
      <c r="AR27" s="666">
        <f>IFERROR(IF($AN27="","",HLOOKUP($AN27&amp;RIGHT($AL27,1),'input for formula'!$B$16:$I$20,4,0)),0)</f>
        <v>0</v>
      </c>
      <c r="AS27" s="656">
        <f>IFERROR(IF($AN27="","",HLOOKUP($AN27&amp;$F27,'input for formula'!$B$22:$M$25,3,0)),0)</f>
        <v>0</v>
      </c>
      <c r="AT27" s="656">
        <f>IFERROR(IF($AN27="","",HLOOKUP($AN27&amp;RIGHT($AL27,1),'input for formula'!$B$16:$I$20,5,0)),0)</f>
        <v>0</v>
      </c>
      <c r="AU27" s="656">
        <f>IFERROR(IF($AN27="","",HLOOKUP($AN27&amp;$F27,'input for formula'!$B$22:$M$25,4,0)),0)</f>
        <v>0</v>
      </c>
      <c r="AV27" s="666">
        <f>IFERROR(IF($AN27="","",IF('Census Data'!$AN27="Abu Dhabi",VLOOKUP('Census Data'!$AM27,'input for formula'!$A$28:$C$41,3,0),VLOOKUP('Census Data'!$AM27,'input for formula'!$A$28:$C$47,2,0))),0)*IFERROR(1+IF(AN27="Dubai",VLOOKUP(F27,'Quotation for Dubai Plans'!$V$6:$X$12,3,FALSE),VLOOKUP(F27,'Quotation for Abu Dhabi Plans'!$W$6:$Y$12,3,FALSE)),0)</f>
        <v>0</v>
      </c>
      <c r="AW27" s="656" t="str">
        <f t="shared" si="18"/>
        <v/>
      </c>
      <c r="AX27" s="667" t="str">
        <f>IFERROR(IF(AL27="","",IF(AN27="Dubai",HLOOKUP((AL27&amp;AM27),Deviation!$B$7:$S$8,2,0)*BF27*BH27*BI27*BG27,HLOOKUP((AL27&amp;AM27),Deviation!$B$9:$O$10,2,0)*BF27*BH27*BI27*BG27)),0)</f>
        <v/>
      </c>
      <c r="AY27" s="668" t="str">
        <f>IF(AL27="","",IFERROR(IF(AL27="","",IF(AN27="Dubai",HLOOKUP(AZ27,'input for formula'!$B$3:$F$10,AO27,FALSE), IF(AND(H27="Employee",AN27="Abu Dhabi"),HLOOKUP(AZ27,'input for formula'!$I$3:$K$7,AO27,FALSE),HLOOKUP(AZ27,'input for formula'!$M$3:$O$7,AO27,FALSE)))*AX27+AP27*AQ27+AR27*AS27+AT27*AU27),0)*$AZ$3*BK27*BJ27*IF(AND(Inputs!$C$19&gt;19,Inputs!$C$19&lt;30),(1+$AZ$2),1)*(1+$AZ$1))</f>
        <v/>
      </c>
      <c r="AZ27" s="148" t="str">
        <f t="shared" si="19"/>
        <v/>
      </c>
      <c r="BA27" s="669" t="str">
        <f>IF(F27="","",IF(AE27="Dubai",HLOOKUP(F27,Inputs!$C$26:$M$37,9,0),HLOOKUP(F27,Inputs!$C$45:$M$56,9,0)))</f>
        <v/>
      </c>
      <c r="BB27" s="670" t="str">
        <f>IF(F27="","",IF(AE27="Dubai",HLOOKUP(F27,Inputs!$C$26:$M$37,10,0),HLOOKUP(F27,Inputs!$C$45:$M$56,10,0)))</f>
        <v/>
      </c>
      <c r="BC27" s="670" t="str">
        <f>IF(F27="","",IF(AE27="Dubai",HLOOKUP(F27,Inputs!$C$26:$M$37,11,0),HLOOKUP(F27,Inputs!$C$45:$M$56,11,0)))</f>
        <v/>
      </c>
      <c r="BD27" s="669" t="str">
        <f>IF(F27="","",IF(AE27="Dubai",HLOOKUP(F27,Inputs!$C$26:$M$37,12,0),HLOOKUP(F27,Inputs!$C$45:$M$56,12,0)))</f>
        <v/>
      </c>
      <c r="BE27" s="654"/>
      <c r="BF27" s="669" t="str">
        <f>IFERROR(IF(AL27="","",IF(AN27="Dubai",IF(OR(AL27="Plan1",AL27="Plan2"),VLOOKUP(BA27,Deviation!$B$31:$D$33,2,FALSE),VLOOKUP(BA27,Deviation!$B$31:$D$33,3,FALSE)),IF(OR(AL27="Plan1",AL27="Plan2"),VLOOKUP(BA27,Deviation!$E$31:$AE$33,2,FALSE),VLOOKUP(BA27,Deviation!$E$31:$AE$33,3,FALSE)))),0)</f>
        <v/>
      </c>
      <c r="BG27" s="671" t="str">
        <f>IFERROR(IF(AL27="","",IF(AN27="Dubai",IF(AL27="Plan1",VLOOKUP(BB27,Deviation!$B$39:$C$40,2,FALSE),IF(AL27="Plan2",VLOOKUP(BB27,Deviation!$B$42:$C$43,2,FALSE),IF(AL27="Plan5",VLOOKUP(BB27,Deviation!$B$48:$C$49,2,FALSE),VLOOKUP(BB27,Deviation!$B$45:$C$46,2,FALSE)))),IF(AL27="Plan1",VLOOKUP(BB27,Deviation!$E$39:$F$40,2,FALSE),IF(AL27="Plan2",VLOOKUP(BB27,Deviation!$E$42:$F$43,2,FALSE),VLOOKUP(BB27,Deviation!$E$45:$F$46,2,FALSE))))),0)</f>
        <v/>
      </c>
      <c r="BH27" s="671" t="str">
        <f>IFERROR(IF(AL27="","",IF(AN27="Dubai",IF(OR(AL27="Plan1",AL27="Plan2"),VLOOKUP(BC27,Deviation!$B$15:$D$19,2,FALSE),VLOOKUP(BC27,Deviation!$B$15:$D$19,3,FALSE)),IF(OR(AL27="Plan1",AL27="Plan2"),VLOOKUP(BC27,Deviation!$E$15:$AE$19,2,FALSE),VLOOKUP(BC27,Deviation!$E$15:$AE$19,3,FALSE)))),0)</f>
        <v/>
      </c>
      <c r="BI27" s="669" t="str">
        <f>IFERROR(IF(AL27="","",IF(AN27="Dubai",VLOOKUP(BD27,Deviation!$B$24:$C$26,2,FALSE),100%)),0)</f>
        <v/>
      </c>
      <c r="BJ27" s="672">
        <f>IF(AE27="Abu Dhabi",1,IFERROR(VLOOKUP(AM27,Deviation!$B$67:$E$79,MATCH('Census Data'!AA27,Deviation!$B$66:$E$66,0),0),1))</f>
        <v>1</v>
      </c>
      <c r="BK27" s="659">
        <f>IFERROR(VLOOKUP(I27,Deviation!$B$54:$C$62,2,0),1)</f>
        <v>1</v>
      </c>
      <c r="BL27" s="148"/>
      <c r="BM27" s="148"/>
      <c r="BN27" s="148"/>
      <c r="BO27" s="148"/>
      <c r="BP27" s="148"/>
      <c r="BQ27" s="148"/>
      <c r="BR27" s="148"/>
      <c r="BS27" s="148"/>
      <c r="BT27" s="148" t="e">
        <f t="shared" si="20"/>
        <v>#VALUE!</v>
      </c>
      <c r="BU27" t="str">
        <f>IF(AL27="","",IFERROR(IF(AL27="","",IF(AN27="Dubai",HLOOKUP(AZ27,'input for formula'!$B$3:$F$10,AO27,FALSE), IF(AND(H27="Employee",AN27="Abu Dhabi"),HLOOKUP(AZ27,'input for formula'!$I$3:$K$7,AO27,FALSE),HLOOKUP(AZ27,'input for formula'!$M$3:$O$7,AO27,FALSE)))*AX27+AP27*AQ27+AR27*AS27+AT27*AU27),0)*$AZ$3*BK27*BJ27*IF(AND(Inputs!$C$19&gt;19,Inputs!$C$19&lt;30),(1+$AZ$2),1))</f>
        <v/>
      </c>
    </row>
    <row r="28" spans="1:73" ht="15" x14ac:dyDescent="0.25">
      <c r="A28" s="59">
        <v>23</v>
      </c>
      <c r="B28" s="470"/>
      <c r="C28" s="628"/>
      <c r="D28" s="629"/>
      <c r="E28" s="471"/>
      <c r="F28" s="298"/>
      <c r="G28" s="298"/>
      <c r="H28" s="298"/>
      <c r="I28" s="298"/>
      <c r="J28" s="80" t="str">
        <f>IFERROR(IF(C28="","",DATEDIF('Census Data'!C28,eff_date,"y")),"")</f>
        <v/>
      </c>
      <c r="K28" s="59" t="str">
        <f>IF(F28="","",IF(AE28="Dubai",HLOOKUP(F28,Inputs!$C$26:$M$28,3,0),HLOOKUP(F28,Inputs!$C$45:$M$46,2,0)))</f>
        <v/>
      </c>
      <c r="L28" s="104"/>
      <c r="M28" s="105">
        <f t="shared" si="1"/>
        <v>0</v>
      </c>
      <c r="N28" s="654" t="b">
        <f t="shared" si="11"/>
        <v>0</v>
      </c>
      <c r="O28" s="655" t="str">
        <f t="shared" si="2"/>
        <v>x</v>
      </c>
      <c r="P28" s="655" t="str">
        <f t="shared" si="3"/>
        <v>x</v>
      </c>
      <c r="Q28" s="655" t="str">
        <f t="shared" si="4"/>
        <v>x</v>
      </c>
      <c r="R28" s="655" t="str">
        <f t="shared" ref="R28:R91" si="22">IF(OR(ISBLANK(F28),K28=0),"x","")</f>
        <v>x</v>
      </c>
      <c r="S28" s="655" t="str">
        <f t="shared" si="5"/>
        <v>x</v>
      </c>
      <c r="T28" s="655" t="str">
        <f>IF(ISERROR(MATCH(G28,'Inputs Mapping'!$T$4:$T$10,0)),"x","")</f>
        <v>x</v>
      </c>
      <c r="U28" s="655" t="str">
        <f>IF(ISERROR(MATCH(AA28,'Inputs Mapping'!$U$4:$U$5,0)),"x","")</f>
        <v>x</v>
      </c>
      <c r="V28" s="655" t="str">
        <f>IF(ISERROR(MATCH(AB28,'Inputs Mapping'!$V$4:$V$5,0)),"x","")</f>
        <v>x</v>
      </c>
      <c r="W28" s="655" t="str">
        <f>IF(ISERROR(MATCH(F28,'Inputs Mapping'!$W$4:$W$8,0)),"x","")</f>
        <v>x</v>
      </c>
      <c r="X28" s="655" t="str">
        <f t="shared" si="6"/>
        <v/>
      </c>
      <c r="Y28" s="655" t="str">
        <f t="shared" si="7"/>
        <v/>
      </c>
      <c r="Z28" s="655" t="str">
        <f t="shared" si="8"/>
        <v/>
      </c>
      <c r="AA28" s="655" t="str">
        <f t="shared" si="9"/>
        <v/>
      </c>
      <c r="AB28" s="655" t="str">
        <f t="shared" si="13"/>
        <v/>
      </c>
      <c r="AC28" s="655" t="str">
        <f t="shared" si="21"/>
        <v>x</v>
      </c>
      <c r="AD28" s="655" t="str">
        <f>IF(ISBLANK(I28),"x",IF(ISNUMBER(MATCH(I28,'Inputs Mapping'!$AF$5:$AF$199,0)),"","x"))</f>
        <v>x</v>
      </c>
      <c r="AE28" s="655" t="str">
        <f t="shared" si="14"/>
        <v/>
      </c>
      <c r="AF28" s="148"/>
      <c r="AG28" s="148"/>
      <c r="AH28" s="148" t="str">
        <f t="shared" si="15"/>
        <v/>
      </c>
      <c r="AI28" s="654" t="str">
        <f>IF(J28="","",VLOOKUP(J28,'Inputs Mapping'!$T$27:$V$31,3))</f>
        <v/>
      </c>
      <c r="AJ28" s="654" t="str">
        <f>IF(J28="","",VLOOKUP(J28,'Inputs Mapping'!$T$17:$V$24,3))</f>
        <v/>
      </c>
      <c r="AK28" s="654" t="str">
        <f t="shared" si="16"/>
        <v/>
      </c>
      <c r="AL28" s="655" t="str">
        <f t="shared" si="10"/>
        <v/>
      </c>
      <c r="AM28" s="655" t="str">
        <f>IF(F28="","",IF(AE28="Dubai",HLOOKUP(F28,Inputs!$C$26:$M$36,5,0),HLOOKUP(F28,Inputs!$C$45:$M$49,5,0)))</f>
        <v/>
      </c>
      <c r="AN28" s="655">
        <f t="shared" si="17"/>
        <v>0</v>
      </c>
      <c r="AO28" s="654" t="str">
        <f>IF(AJ28="","",IF(AN28="Dubai",VLOOKUP(AJ28,'Inputs Mapping'!$V$17:$W$24,2,0),VLOOKUP(AI28,'Inputs Mapping'!$V$27:$W$31,2,0)))</f>
        <v/>
      </c>
      <c r="AP28" s="666">
        <f>IFERROR(IF($AN28="","",HLOOKUP($AN28&amp;RIGHT($AL28,1),'input for formula'!$B$16:$I$20,3,0)),0)</f>
        <v>0</v>
      </c>
      <c r="AQ28" s="656">
        <f>IFERROR(IF($AN28="","",HLOOKUP($AN28&amp;$F28,'input for formula'!$B$22:$M$25,2,0)),0)</f>
        <v>0</v>
      </c>
      <c r="AR28" s="666">
        <f>IFERROR(IF($AN28="","",HLOOKUP($AN28&amp;RIGHT($AL28,1),'input for formula'!$B$16:$I$20,4,0)),0)</f>
        <v>0</v>
      </c>
      <c r="AS28" s="656">
        <f>IFERROR(IF($AN28="","",HLOOKUP($AN28&amp;$F28,'input for formula'!$B$22:$M$25,3,0)),0)</f>
        <v>0</v>
      </c>
      <c r="AT28" s="656">
        <f>IFERROR(IF($AN28="","",HLOOKUP($AN28&amp;RIGHT($AL28,1),'input for formula'!$B$16:$I$20,5,0)),0)</f>
        <v>0</v>
      </c>
      <c r="AU28" s="656">
        <f>IFERROR(IF($AN28="","",HLOOKUP($AN28&amp;$F28,'input for formula'!$B$22:$M$25,4,0)),0)</f>
        <v>0</v>
      </c>
      <c r="AV28" s="666">
        <f>IFERROR(IF($AN28="","",IF('Census Data'!$AN28="Abu Dhabi",VLOOKUP('Census Data'!$AM28,'input for formula'!$A$28:$C$41,3,0),VLOOKUP('Census Data'!$AM28,'input for formula'!$A$28:$C$47,2,0))),0)*IFERROR(1+IF(AN28="Dubai",VLOOKUP(F28,'Quotation for Dubai Plans'!$V$6:$X$12,3,FALSE),VLOOKUP(F28,'Quotation for Abu Dhabi Plans'!$W$6:$Y$12,3,FALSE)),0)</f>
        <v>0</v>
      </c>
      <c r="AW28" s="656" t="str">
        <f t="shared" si="18"/>
        <v/>
      </c>
      <c r="AX28" s="667" t="str">
        <f>IFERROR(IF(AL28="","",IF(AN28="Dubai",HLOOKUP((AL28&amp;AM28),Deviation!$B$7:$S$8,2,0)*BF28*BH28*BI28*BG28,HLOOKUP((AL28&amp;AM28),Deviation!$B$9:$O$10,2,0)*BF28*BH28*BI28*BG28)),0)</f>
        <v/>
      </c>
      <c r="AY28" s="668" t="str">
        <f>IF(AL28="","",IFERROR(IF(AL28="","",IF(AN28="Dubai",HLOOKUP(AZ28,'input for formula'!$B$3:$F$10,AO28,FALSE), IF(AND(H28="Employee",AN28="Abu Dhabi"),HLOOKUP(AZ28,'input for formula'!$I$3:$K$7,AO28,FALSE),HLOOKUP(AZ28,'input for formula'!$M$3:$O$7,AO28,FALSE)))*AX28+AP28*AQ28+AR28*AS28+AT28*AU28),0)*$AZ$3*BK28*BJ28*IF(AND(Inputs!$C$19&gt;19,Inputs!$C$19&lt;30),(1+$AZ$2),1)*(1+$AZ$1))</f>
        <v/>
      </c>
      <c r="AZ28" s="148" t="str">
        <f t="shared" si="19"/>
        <v/>
      </c>
      <c r="BA28" s="669" t="str">
        <f>IF(F28="","",IF(AE28="Dubai",HLOOKUP(F28,Inputs!$C$26:$M$37,9,0),HLOOKUP(F28,Inputs!$C$45:$M$56,9,0)))</f>
        <v/>
      </c>
      <c r="BB28" s="670" t="str">
        <f>IF(F28="","",IF(AE28="Dubai",HLOOKUP(F28,Inputs!$C$26:$M$37,10,0),HLOOKUP(F28,Inputs!$C$45:$M$56,10,0)))</f>
        <v/>
      </c>
      <c r="BC28" s="670" t="str">
        <f>IF(F28="","",IF(AE28="Dubai",HLOOKUP(F28,Inputs!$C$26:$M$37,11,0),HLOOKUP(F28,Inputs!$C$45:$M$56,11,0)))</f>
        <v/>
      </c>
      <c r="BD28" s="669" t="str">
        <f>IF(F28="","",IF(AE28="Dubai",HLOOKUP(F28,Inputs!$C$26:$M$37,12,0),HLOOKUP(F28,Inputs!$C$45:$M$56,12,0)))</f>
        <v/>
      </c>
      <c r="BE28" s="654"/>
      <c r="BF28" s="669" t="str">
        <f>IFERROR(IF(AL28="","",IF(AN28="Dubai",IF(OR(AL28="Plan1",AL28="Plan2"),VLOOKUP(BA28,Deviation!$B$31:$D$33,2,FALSE),VLOOKUP(BA28,Deviation!$B$31:$D$33,3,FALSE)),IF(OR(AL28="Plan1",AL28="Plan2"),VLOOKUP(BA28,Deviation!$E$31:$AE$33,2,FALSE),VLOOKUP(BA28,Deviation!$E$31:$AE$33,3,FALSE)))),0)</f>
        <v/>
      </c>
      <c r="BG28" s="671" t="str">
        <f>IFERROR(IF(AL28="","",IF(AN28="Dubai",IF(AL28="Plan1",VLOOKUP(BB28,Deviation!$B$39:$C$40,2,FALSE),IF(AL28="Plan2",VLOOKUP(BB28,Deviation!$B$42:$C$43,2,FALSE),IF(AL28="Plan5",VLOOKUP(BB28,Deviation!$B$48:$C$49,2,FALSE),VLOOKUP(BB28,Deviation!$B$45:$C$46,2,FALSE)))),IF(AL28="Plan1",VLOOKUP(BB28,Deviation!$E$39:$F$40,2,FALSE),IF(AL28="Plan2",VLOOKUP(BB28,Deviation!$E$42:$F$43,2,FALSE),VLOOKUP(BB28,Deviation!$E$45:$F$46,2,FALSE))))),0)</f>
        <v/>
      </c>
      <c r="BH28" s="671" t="str">
        <f>IFERROR(IF(AL28="","",IF(AN28="Dubai",IF(OR(AL28="Plan1",AL28="Plan2"),VLOOKUP(BC28,Deviation!$B$15:$D$19,2,FALSE),VLOOKUP(BC28,Deviation!$B$15:$D$19,3,FALSE)),IF(OR(AL28="Plan1",AL28="Plan2"),VLOOKUP(BC28,Deviation!$E$15:$AE$19,2,FALSE),VLOOKUP(BC28,Deviation!$E$15:$AE$19,3,FALSE)))),0)</f>
        <v/>
      </c>
      <c r="BI28" s="669" t="str">
        <f>IFERROR(IF(AL28="","",IF(AN28="Dubai",VLOOKUP(BD28,Deviation!$B$24:$C$26,2,FALSE),100%)),0)</f>
        <v/>
      </c>
      <c r="BJ28" s="672">
        <f>IF(AE28="Abu Dhabi",1,IFERROR(VLOOKUP(AM28,Deviation!$B$67:$E$79,MATCH('Census Data'!AA28,Deviation!$B$66:$E$66,0),0),1))</f>
        <v>1</v>
      </c>
      <c r="BK28" s="659">
        <f>IFERROR(VLOOKUP(I28,Deviation!$B$54:$C$62,2,0),1)</f>
        <v>1</v>
      </c>
      <c r="BL28" s="148"/>
      <c r="BM28" s="148"/>
      <c r="BN28" s="148"/>
      <c r="BO28" s="148"/>
      <c r="BP28" s="148"/>
      <c r="BQ28" s="148"/>
      <c r="BR28" s="148"/>
      <c r="BS28" s="148"/>
      <c r="BT28" s="148" t="e">
        <f t="shared" si="20"/>
        <v>#VALUE!</v>
      </c>
      <c r="BU28" t="str">
        <f>IF(AL28="","",IFERROR(IF(AL28="","",IF(AN28="Dubai",HLOOKUP(AZ28,'input for formula'!$B$3:$F$10,AO28,FALSE), IF(AND(H28="Employee",AN28="Abu Dhabi"),HLOOKUP(AZ28,'input for formula'!$I$3:$K$7,AO28,FALSE),HLOOKUP(AZ28,'input for formula'!$M$3:$O$7,AO28,FALSE)))*AX28+AP28*AQ28+AR28*AS28+AT28*AU28),0)*$AZ$3*BK28*BJ28*IF(AND(Inputs!$C$19&gt;19,Inputs!$C$19&lt;30),(1+$AZ$2),1))</f>
        <v/>
      </c>
    </row>
    <row r="29" spans="1:73" ht="15" x14ac:dyDescent="0.25">
      <c r="A29" s="59">
        <v>24</v>
      </c>
      <c r="B29" s="470"/>
      <c r="C29" s="628"/>
      <c r="D29" s="629"/>
      <c r="E29" s="471"/>
      <c r="F29" s="298"/>
      <c r="G29" s="298"/>
      <c r="H29" s="298"/>
      <c r="I29" s="298"/>
      <c r="J29" s="80" t="str">
        <f>IFERROR(IF(C29="","",DATEDIF('Census Data'!C29,eff_date,"y")),"")</f>
        <v/>
      </c>
      <c r="K29" s="59" t="str">
        <f>IF(F29="","",IF(AE29="Dubai",HLOOKUP(F29,Inputs!$C$26:$M$28,3,0),HLOOKUP(F29,Inputs!$C$45:$M$46,2,0)))</f>
        <v/>
      </c>
      <c r="L29" s="104"/>
      <c r="M29" s="105">
        <f t="shared" si="1"/>
        <v>0</v>
      </c>
      <c r="N29" s="654" t="b">
        <f t="shared" si="11"/>
        <v>0</v>
      </c>
      <c r="O29" s="655" t="str">
        <f t="shared" si="2"/>
        <v>x</v>
      </c>
      <c r="P29" s="655" t="str">
        <f t="shared" si="3"/>
        <v>x</v>
      </c>
      <c r="Q29" s="655" t="str">
        <f t="shared" si="4"/>
        <v>x</v>
      </c>
      <c r="R29" s="655" t="str">
        <f t="shared" si="22"/>
        <v>x</v>
      </c>
      <c r="S29" s="655" t="str">
        <f t="shared" si="5"/>
        <v>x</v>
      </c>
      <c r="T29" s="655" t="str">
        <f>IF(ISERROR(MATCH(G29,'Inputs Mapping'!$T$4:$T$10,0)),"x","")</f>
        <v>x</v>
      </c>
      <c r="U29" s="655" t="str">
        <f>IF(ISERROR(MATCH(AA29,'Inputs Mapping'!$U$4:$U$5,0)),"x","")</f>
        <v>x</v>
      </c>
      <c r="V29" s="655" t="str">
        <f>IF(ISERROR(MATCH(AB29,'Inputs Mapping'!$V$4:$V$5,0)),"x","")</f>
        <v>x</v>
      </c>
      <c r="W29" s="655" t="str">
        <f>IF(ISERROR(MATCH(F29,'Inputs Mapping'!$W$4:$W$8,0)),"x","")</f>
        <v>x</v>
      </c>
      <c r="X29" s="655" t="str">
        <f t="shared" si="6"/>
        <v/>
      </c>
      <c r="Y29" s="655" t="str">
        <f t="shared" si="7"/>
        <v/>
      </c>
      <c r="Z29" s="655" t="str">
        <f t="shared" si="8"/>
        <v/>
      </c>
      <c r="AA29" s="655" t="str">
        <f t="shared" si="9"/>
        <v/>
      </c>
      <c r="AB29" s="655" t="str">
        <f t="shared" si="13"/>
        <v/>
      </c>
      <c r="AC29" s="655" t="str">
        <f t="shared" si="21"/>
        <v>x</v>
      </c>
      <c r="AD29" s="655" t="str">
        <f>IF(ISBLANK(I29),"x",IF(ISNUMBER(MATCH(I29,'Inputs Mapping'!$AF$5:$AF$199,0)),"","x"))</f>
        <v>x</v>
      </c>
      <c r="AE29" s="655" t="str">
        <f t="shared" si="14"/>
        <v/>
      </c>
      <c r="AF29" s="148"/>
      <c r="AG29" s="148"/>
      <c r="AH29" s="148" t="str">
        <f t="shared" si="15"/>
        <v/>
      </c>
      <c r="AI29" s="654" t="str">
        <f>IF(J29="","",VLOOKUP(J29,'Inputs Mapping'!$T$27:$V$31,3))</f>
        <v/>
      </c>
      <c r="AJ29" s="654" t="str">
        <f>IF(J29="","",VLOOKUP(J29,'Inputs Mapping'!$T$17:$V$24,3))</f>
        <v/>
      </c>
      <c r="AK29" s="654" t="str">
        <f t="shared" si="16"/>
        <v/>
      </c>
      <c r="AL29" s="655" t="str">
        <f t="shared" si="10"/>
        <v/>
      </c>
      <c r="AM29" s="655" t="str">
        <f>IF(F29="","",IF(AE29="Dubai",HLOOKUP(F29,Inputs!$C$26:$M$36,5,0),HLOOKUP(F29,Inputs!$C$45:$M$49,5,0)))</f>
        <v/>
      </c>
      <c r="AN29" s="655">
        <f t="shared" si="17"/>
        <v>0</v>
      </c>
      <c r="AO29" s="654" t="str">
        <f>IF(AJ29="","",IF(AN29="Dubai",VLOOKUP(AJ29,'Inputs Mapping'!$V$17:$W$24,2,0),VLOOKUP(AI29,'Inputs Mapping'!$V$27:$W$31,2,0)))</f>
        <v/>
      </c>
      <c r="AP29" s="666">
        <f>IFERROR(IF($AN29="","",HLOOKUP($AN29&amp;RIGHT($AL29,1),'input for formula'!$B$16:$I$20,3,0)),0)</f>
        <v>0</v>
      </c>
      <c r="AQ29" s="656">
        <f>IFERROR(IF($AN29="","",HLOOKUP($AN29&amp;$F29,'input for formula'!$B$22:$M$25,2,0)),0)</f>
        <v>0</v>
      </c>
      <c r="AR29" s="666">
        <f>IFERROR(IF($AN29="","",HLOOKUP($AN29&amp;RIGHT($AL29,1),'input for formula'!$B$16:$I$20,4,0)),0)</f>
        <v>0</v>
      </c>
      <c r="AS29" s="656">
        <f>IFERROR(IF($AN29="","",HLOOKUP($AN29&amp;$F29,'input for formula'!$B$22:$M$25,3,0)),0)</f>
        <v>0</v>
      </c>
      <c r="AT29" s="656">
        <f>IFERROR(IF($AN29="","",HLOOKUP($AN29&amp;RIGHT($AL29,1),'input for formula'!$B$16:$I$20,5,0)),0)</f>
        <v>0</v>
      </c>
      <c r="AU29" s="656">
        <f>IFERROR(IF($AN29="","",HLOOKUP($AN29&amp;$F29,'input for formula'!$B$22:$M$25,4,0)),0)</f>
        <v>0</v>
      </c>
      <c r="AV29" s="666">
        <f>IFERROR(IF($AN29="","",IF('Census Data'!$AN29="Abu Dhabi",VLOOKUP('Census Data'!$AM29,'input for formula'!$A$28:$C$41,3,0),VLOOKUP('Census Data'!$AM29,'input for formula'!$A$28:$C$47,2,0))),0)*IFERROR(1+IF(AN29="Dubai",VLOOKUP(F29,'Quotation for Dubai Plans'!$V$6:$X$12,3,FALSE),VLOOKUP(F29,'Quotation for Abu Dhabi Plans'!$W$6:$Y$12,3,FALSE)),0)</f>
        <v>0</v>
      </c>
      <c r="AW29" s="656" t="str">
        <f t="shared" si="18"/>
        <v/>
      </c>
      <c r="AX29" s="667" t="str">
        <f>IFERROR(IF(AL29="","",IF(AN29="Dubai",HLOOKUP((AL29&amp;AM29),Deviation!$B$7:$S$8,2,0)*BF29*BH29*BI29*BG29,HLOOKUP((AL29&amp;AM29),Deviation!$B$9:$O$10,2,0)*BF29*BH29*BI29*BG29)),0)</f>
        <v/>
      </c>
      <c r="AY29" s="668" t="str">
        <f>IF(AL29="","",IFERROR(IF(AL29="","",IF(AN29="Dubai",HLOOKUP(AZ29,'input for formula'!$B$3:$F$10,AO29,FALSE), IF(AND(H29="Employee",AN29="Abu Dhabi"),HLOOKUP(AZ29,'input for formula'!$I$3:$K$7,AO29,FALSE),HLOOKUP(AZ29,'input for formula'!$M$3:$O$7,AO29,FALSE)))*AX29+AP29*AQ29+AR29*AS29+AT29*AU29),0)*$AZ$3*BK29*BJ29*IF(AND(Inputs!$C$19&gt;19,Inputs!$C$19&lt;30),(1+$AZ$2),1)*(1+$AZ$1))</f>
        <v/>
      </c>
      <c r="AZ29" s="148" t="str">
        <f t="shared" si="19"/>
        <v/>
      </c>
      <c r="BA29" s="669" t="str">
        <f>IF(F29="","",IF(AE29="Dubai",HLOOKUP(F29,Inputs!$C$26:$M$37,9,0),HLOOKUP(F29,Inputs!$C$45:$M$56,9,0)))</f>
        <v/>
      </c>
      <c r="BB29" s="670" t="str">
        <f>IF(F29="","",IF(AE29="Dubai",HLOOKUP(F29,Inputs!$C$26:$M$37,10,0),HLOOKUP(F29,Inputs!$C$45:$M$56,10,0)))</f>
        <v/>
      </c>
      <c r="BC29" s="670" t="str">
        <f>IF(F29="","",IF(AE29="Dubai",HLOOKUP(F29,Inputs!$C$26:$M$37,11,0),HLOOKUP(F29,Inputs!$C$45:$M$56,11,0)))</f>
        <v/>
      </c>
      <c r="BD29" s="669" t="str">
        <f>IF(F29="","",IF(AE29="Dubai",HLOOKUP(F29,Inputs!$C$26:$M$37,12,0),HLOOKUP(F29,Inputs!$C$45:$M$56,12,0)))</f>
        <v/>
      </c>
      <c r="BE29" s="654"/>
      <c r="BF29" s="669" t="str">
        <f>IFERROR(IF(AL29="","",IF(AN29="Dubai",IF(OR(AL29="Plan1",AL29="Plan2"),VLOOKUP(BA29,Deviation!$B$31:$D$33,2,FALSE),VLOOKUP(BA29,Deviation!$B$31:$D$33,3,FALSE)),IF(OR(AL29="Plan1",AL29="Plan2"),VLOOKUP(BA29,Deviation!$E$31:$AE$33,2,FALSE),VLOOKUP(BA29,Deviation!$E$31:$AE$33,3,FALSE)))),0)</f>
        <v/>
      </c>
      <c r="BG29" s="671" t="str">
        <f>IFERROR(IF(AL29="","",IF(AN29="Dubai",IF(AL29="Plan1",VLOOKUP(BB29,Deviation!$B$39:$C$40,2,FALSE),IF(AL29="Plan2",VLOOKUP(BB29,Deviation!$B$42:$C$43,2,FALSE),IF(AL29="Plan5",VLOOKUP(BB29,Deviation!$B$48:$C$49,2,FALSE),VLOOKUP(BB29,Deviation!$B$45:$C$46,2,FALSE)))),IF(AL29="Plan1",VLOOKUP(BB29,Deviation!$E$39:$F$40,2,FALSE),IF(AL29="Plan2",VLOOKUP(BB29,Deviation!$E$42:$F$43,2,FALSE),VLOOKUP(BB29,Deviation!$E$45:$F$46,2,FALSE))))),0)</f>
        <v/>
      </c>
      <c r="BH29" s="671" t="str">
        <f>IFERROR(IF(AL29="","",IF(AN29="Dubai",IF(OR(AL29="Plan1",AL29="Plan2"),VLOOKUP(BC29,Deviation!$B$15:$D$19,2,FALSE),VLOOKUP(BC29,Deviation!$B$15:$D$19,3,FALSE)),IF(OR(AL29="Plan1",AL29="Plan2"),VLOOKUP(BC29,Deviation!$E$15:$AE$19,2,FALSE),VLOOKUP(BC29,Deviation!$E$15:$AE$19,3,FALSE)))),0)</f>
        <v/>
      </c>
      <c r="BI29" s="669" t="str">
        <f>IFERROR(IF(AL29="","",IF(AN29="Dubai",VLOOKUP(BD29,Deviation!$B$24:$C$26,2,FALSE),100%)),0)</f>
        <v/>
      </c>
      <c r="BJ29" s="672">
        <f>IF(AE29="Abu Dhabi",1,IFERROR(VLOOKUP(AM29,Deviation!$B$67:$E$79,MATCH('Census Data'!AA29,Deviation!$B$66:$E$66,0),0),1))</f>
        <v>1</v>
      </c>
      <c r="BK29" s="659">
        <f>IFERROR(VLOOKUP(I29,Deviation!$B$54:$C$62,2,0),1)</f>
        <v>1</v>
      </c>
      <c r="BL29" s="148"/>
      <c r="BM29" s="148"/>
      <c r="BN29" s="148"/>
      <c r="BO29" s="148"/>
      <c r="BP29" s="148"/>
      <c r="BQ29" s="148"/>
      <c r="BR29" s="148"/>
      <c r="BS29" s="148"/>
      <c r="BT29" s="148" t="e">
        <f t="shared" si="20"/>
        <v>#VALUE!</v>
      </c>
      <c r="BU29" t="str">
        <f>IF(AL29="","",IFERROR(IF(AL29="","",IF(AN29="Dubai",HLOOKUP(AZ29,'input for formula'!$B$3:$F$10,AO29,FALSE), IF(AND(H29="Employee",AN29="Abu Dhabi"),HLOOKUP(AZ29,'input for formula'!$I$3:$K$7,AO29,FALSE),HLOOKUP(AZ29,'input for formula'!$M$3:$O$7,AO29,FALSE)))*AX29+AP29*AQ29+AR29*AS29+AT29*AU29),0)*$AZ$3*BK29*BJ29*IF(AND(Inputs!$C$19&gt;19,Inputs!$C$19&lt;30),(1+$AZ$2),1))</f>
        <v/>
      </c>
    </row>
    <row r="30" spans="1:73" ht="15" x14ac:dyDescent="0.25">
      <c r="A30" s="59">
        <v>25</v>
      </c>
      <c r="B30" s="470"/>
      <c r="C30" s="628"/>
      <c r="D30" s="629"/>
      <c r="E30" s="471"/>
      <c r="F30" s="298"/>
      <c r="G30" s="298"/>
      <c r="H30" s="298"/>
      <c r="I30" s="298"/>
      <c r="J30" s="80" t="str">
        <f>IFERROR(IF(C30="","",DATEDIF('Census Data'!C30,eff_date,"y")),"")</f>
        <v/>
      </c>
      <c r="K30" s="59" t="str">
        <f>IF(F30="","",IF(AE30="Dubai",HLOOKUP(F30,Inputs!$C$26:$M$28,3,0),HLOOKUP(F30,Inputs!$C$45:$M$46,2,0)))</f>
        <v/>
      </c>
      <c r="L30" s="104"/>
      <c r="M30" s="105">
        <f t="shared" si="1"/>
        <v>0</v>
      </c>
      <c r="N30" s="654" t="b">
        <f t="shared" si="11"/>
        <v>0</v>
      </c>
      <c r="O30" s="655" t="str">
        <f t="shared" si="2"/>
        <v>x</v>
      </c>
      <c r="P30" s="655" t="str">
        <f t="shared" si="3"/>
        <v>x</v>
      </c>
      <c r="Q30" s="655" t="str">
        <f t="shared" si="4"/>
        <v>x</v>
      </c>
      <c r="R30" s="655" t="str">
        <f t="shared" si="22"/>
        <v>x</v>
      </c>
      <c r="S30" s="655" t="str">
        <f t="shared" si="5"/>
        <v>x</v>
      </c>
      <c r="T30" s="655" t="str">
        <f>IF(ISERROR(MATCH(G30,'Inputs Mapping'!$T$4:$T$10,0)),"x","")</f>
        <v>x</v>
      </c>
      <c r="U30" s="655" t="str">
        <f>IF(ISERROR(MATCH(AA30,'Inputs Mapping'!$U$4:$U$5,0)),"x","")</f>
        <v>x</v>
      </c>
      <c r="V30" s="655" t="str">
        <f>IF(ISERROR(MATCH(AB30,'Inputs Mapping'!$V$4:$V$5,0)),"x","")</f>
        <v>x</v>
      </c>
      <c r="W30" s="655" t="str">
        <f>IF(ISERROR(MATCH(F30,'Inputs Mapping'!$W$4:$W$8,0)),"x","")</f>
        <v>x</v>
      </c>
      <c r="X30" s="655" t="str">
        <f t="shared" si="6"/>
        <v/>
      </c>
      <c r="Y30" s="655" t="str">
        <f t="shared" si="7"/>
        <v/>
      </c>
      <c r="Z30" s="655" t="str">
        <f t="shared" si="8"/>
        <v/>
      </c>
      <c r="AA30" s="655" t="str">
        <f t="shared" si="9"/>
        <v/>
      </c>
      <c r="AB30" s="655" t="str">
        <f t="shared" si="13"/>
        <v/>
      </c>
      <c r="AC30" s="655" t="str">
        <f t="shared" si="21"/>
        <v>x</v>
      </c>
      <c r="AD30" s="655" t="str">
        <f>IF(ISBLANK(I30),"x",IF(ISNUMBER(MATCH(I30,'Inputs Mapping'!$AF$5:$AF$199,0)),"","x"))</f>
        <v>x</v>
      </c>
      <c r="AE30" s="655" t="str">
        <f t="shared" si="14"/>
        <v/>
      </c>
      <c r="AF30" s="148"/>
      <c r="AG30" s="148"/>
      <c r="AH30" s="148" t="str">
        <f t="shared" si="15"/>
        <v/>
      </c>
      <c r="AI30" s="654" t="str">
        <f>IF(J30="","",VLOOKUP(J30,'Inputs Mapping'!$T$27:$V$31,3))</f>
        <v/>
      </c>
      <c r="AJ30" s="654" t="str">
        <f>IF(J30="","",VLOOKUP(J30,'Inputs Mapping'!$T$17:$V$24,3))</f>
        <v/>
      </c>
      <c r="AK30" s="654" t="str">
        <f t="shared" si="16"/>
        <v/>
      </c>
      <c r="AL30" s="655" t="str">
        <f t="shared" si="10"/>
        <v/>
      </c>
      <c r="AM30" s="655" t="str">
        <f>IF(F30="","",IF(AE30="Dubai",HLOOKUP(F30,Inputs!$C$26:$M$36,5,0),HLOOKUP(F30,Inputs!$C$45:$M$49,5,0)))</f>
        <v/>
      </c>
      <c r="AN30" s="655">
        <f t="shared" si="17"/>
        <v>0</v>
      </c>
      <c r="AO30" s="654" t="str">
        <f>IF(AJ30="","",IF(AN30="Dubai",VLOOKUP(AJ30,'Inputs Mapping'!$V$17:$W$24,2,0),VLOOKUP(AI30,'Inputs Mapping'!$V$27:$W$31,2,0)))</f>
        <v/>
      </c>
      <c r="AP30" s="666">
        <f>IFERROR(IF($AN30="","",HLOOKUP($AN30&amp;RIGHT($AL30,1),'input for formula'!$B$16:$I$20,3,0)),0)</f>
        <v>0</v>
      </c>
      <c r="AQ30" s="656">
        <f>IFERROR(IF($AN30="","",HLOOKUP($AN30&amp;$F30,'input for formula'!$B$22:$M$25,2,0)),0)</f>
        <v>0</v>
      </c>
      <c r="AR30" s="666">
        <f>IFERROR(IF($AN30="","",HLOOKUP($AN30&amp;RIGHT($AL30,1),'input for formula'!$B$16:$I$20,4,0)),0)</f>
        <v>0</v>
      </c>
      <c r="AS30" s="656">
        <f>IFERROR(IF($AN30="","",HLOOKUP($AN30&amp;$F30,'input for formula'!$B$22:$M$25,3,0)),0)</f>
        <v>0</v>
      </c>
      <c r="AT30" s="656">
        <f>IFERROR(IF($AN30="","",HLOOKUP($AN30&amp;RIGHT($AL30,1),'input for formula'!$B$16:$I$20,5,0)),0)</f>
        <v>0</v>
      </c>
      <c r="AU30" s="656">
        <f>IFERROR(IF($AN30="","",HLOOKUP($AN30&amp;$F30,'input for formula'!$B$22:$M$25,4,0)),0)</f>
        <v>0</v>
      </c>
      <c r="AV30" s="666">
        <f>IFERROR(IF($AN30="","",IF('Census Data'!$AN30="Abu Dhabi",VLOOKUP('Census Data'!$AM30,'input for formula'!$A$28:$C$41,3,0),VLOOKUP('Census Data'!$AM30,'input for formula'!$A$28:$C$47,2,0))),0)*IFERROR(1+IF(AN30="Dubai",VLOOKUP(F30,'Quotation for Dubai Plans'!$V$6:$X$12,3,FALSE),VLOOKUP(F30,'Quotation for Abu Dhabi Plans'!$W$6:$Y$12,3,FALSE)),0)</f>
        <v>0</v>
      </c>
      <c r="AW30" s="656" t="str">
        <f t="shared" si="18"/>
        <v/>
      </c>
      <c r="AX30" s="667" t="str">
        <f>IFERROR(IF(AL30="","",IF(AN30="Dubai",HLOOKUP((AL30&amp;AM30),Deviation!$B$7:$S$8,2,0)*BF30*BH30*BI30*BG30,HLOOKUP((AL30&amp;AM30),Deviation!$B$9:$O$10,2,0)*BF30*BH30*BI30*BG30)),0)</f>
        <v/>
      </c>
      <c r="AY30" s="668" t="str">
        <f>IF(AL30="","",IFERROR(IF(AL30="","",IF(AN30="Dubai",HLOOKUP(AZ30,'input for formula'!$B$3:$F$10,AO30,FALSE), IF(AND(H30="Employee",AN30="Abu Dhabi"),HLOOKUP(AZ30,'input for formula'!$I$3:$K$7,AO30,FALSE),HLOOKUP(AZ30,'input for formula'!$M$3:$O$7,AO30,FALSE)))*AX30+AP30*AQ30+AR30*AS30+AT30*AU30),0)*$AZ$3*BK30*BJ30*IF(AND(Inputs!$C$19&gt;19,Inputs!$C$19&lt;30),(1+$AZ$2),1)*(1+$AZ$1))</f>
        <v/>
      </c>
      <c r="AZ30" s="148" t="str">
        <f t="shared" si="19"/>
        <v/>
      </c>
      <c r="BA30" s="669" t="str">
        <f>IF(F30="","",IF(AE30="Dubai",HLOOKUP(F30,Inputs!$C$26:$M$37,9,0),HLOOKUP(F30,Inputs!$C$45:$M$56,9,0)))</f>
        <v/>
      </c>
      <c r="BB30" s="670" t="str">
        <f>IF(F30="","",IF(AE30="Dubai",HLOOKUP(F30,Inputs!$C$26:$M$37,10,0),HLOOKUP(F30,Inputs!$C$45:$M$56,10,0)))</f>
        <v/>
      </c>
      <c r="BC30" s="670" t="str">
        <f>IF(F30="","",IF(AE30="Dubai",HLOOKUP(F30,Inputs!$C$26:$M$37,11,0),HLOOKUP(F30,Inputs!$C$45:$M$56,11,0)))</f>
        <v/>
      </c>
      <c r="BD30" s="669" t="str">
        <f>IF(F30="","",IF(AE30="Dubai",HLOOKUP(F30,Inputs!$C$26:$M$37,12,0),HLOOKUP(F30,Inputs!$C$45:$M$56,12,0)))</f>
        <v/>
      </c>
      <c r="BE30" s="654"/>
      <c r="BF30" s="669" t="str">
        <f>IFERROR(IF(AL30="","",IF(AN30="Dubai",IF(OR(AL30="Plan1",AL30="Plan2"),VLOOKUP(BA30,Deviation!$B$31:$D$33,2,FALSE),VLOOKUP(BA30,Deviation!$B$31:$D$33,3,FALSE)),IF(OR(AL30="Plan1",AL30="Plan2"),VLOOKUP(BA30,Deviation!$E$31:$AE$33,2,FALSE),VLOOKUP(BA30,Deviation!$E$31:$AE$33,3,FALSE)))),0)</f>
        <v/>
      </c>
      <c r="BG30" s="671" t="str">
        <f>IFERROR(IF(AL30="","",IF(AN30="Dubai",IF(AL30="Plan1",VLOOKUP(BB30,Deviation!$B$39:$C$40,2,FALSE),IF(AL30="Plan2",VLOOKUP(BB30,Deviation!$B$42:$C$43,2,FALSE),IF(AL30="Plan5",VLOOKUP(BB30,Deviation!$B$48:$C$49,2,FALSE),VLOOKUP(BB30,Deviation!$B$45:$C$46,2,FALSE)))),IF(AL30="Plan1",VLOOKUP(BB30,Deviation!$E$39:$F$40,2,FALSE),IF(AL30="Plan2",VLOOKUP(BB30,Deviation!$E$42:$F$43,2,FALSE),VLOOKUP(BB30,Deviation!$E$45:$F$46,2,FALSE))))),0)</f>
        <v/>
      </c>
      <c r="BH30" s="671" t="str">
        <f>IFERROR(IF(AL30="","",IF(AN30="Dubai",IF(OR(AL30="Plan1",AL30="Plan2"),VLOOKUP(BC30,Deviation!$B$15:$D$19,2,FALSE),VLOOKUP(BC30,Deviation!$B$15:$D$19,3,FALSE)),IF(OR(AL30="Plan1",AL30="Plan2"),VLOOKUP(BC30,Deviation!$E$15:$AE$19,2,FALSE),VLOOKUP(BC30,Deviation!$E$15:$AE$19,3,FALSE)))),0)</f>
        <v/>
      </c>
      <c r="BI30" s="669" t="str">
        <f>IFERROR(IF(AL30="","",IF(AN30="Dubai",VLOOKUP(BD30,Deviation!$B$24:$C$26,2,FALSE),100%)),0)</f>
        <v/>
      </c>
      <c r="BJ30" s="672">
        <f>IF(AE30="Abu Dhabi",1,IFERROR(VLOOKUP(AM30,Deviation!$B$67:$E$79,MATCH('Census Data'!AA30,Deviation!$B$66:$E$66,0),0),1))</f>
        <v>1</v>
      </c>
      <c r="BK30" s="659">
        <f>IFERROR(VLOOKUP(I30,Deviation!$B$54:$C$62,2,0),1)</f>
        <v>1</v>
      </c>
      <c r="BL30" s="148"/>
      <c r="BM30" s="148"/>
      <c r="BN30" s="148"/>
      <c r="BO30" s="148"/>
      <c r="BP30" s="148"/>
      <c r="BQ30" s="148"/>
      <c r="BR30" s="148"/>
      <c r="BS30" s="148"/>
      <c r="BT30" s="148" t="e">
        <f t="shared" si="20"/>
        <v>#VALUE!</v>
      </c>
      <c r="BU30" t="str">
        <f>IF(AL30="","",IFERROR(IF(AL30="","",IF(AN30="Dubai",HLOOKUP(AZ30,'input for formula'!$B$3:$F$10,AO30,FALSE), IF(AND(H30="Employee",AN30="Abu Dhabi"),HLOOKUP(AZ30,'input for formula'!$I$3:$K$7,AO30,FALSE),HLOOKUP(AZ30,'input for formula'!$M$3:$O$7,AO30,FALSE)))*AX30+AP30*AQ30+AR30*AS30+AT30*AU30),0)*$AZ$3*BK30*BJ30*IF(AND(Inputs!$C$19&gt;19,Inputs!$C$19&lt;30),(1+$AZ$2),1))</f>
        <v/>
      </c>
    </row>
    <row r="31" spans="1:73" ht="15" x14ac:dyDescent="0.25">
      <c r="A31" s="59">
        <v>26</v>
      </c>
      <c r="B31" s="470"/>
      <c r="C31" s="628"/>
      <c r="D31" s="629"/>
      <c r="E31" s="471"/>
      <c r="F31" s="298"/>
      <c r="G31" s="298"/>
      <c r="H31" s="298"/>
      <c r="I31" s="298"/>
      <c r="J31" s="80" t="str">
        <f>IFERROR(IF(C31="","",DATEDIF('Census Data'!C31,eff_date,"y")),"")</f>
        <v/>
      </c>
      <c r="K31" s="59" t="str">
        <f>IF(F31="","",IF(AE31="Dubai",HLOOKUP(F31,Inputs!$C$26:$M$28,3,0),HLOOKUP(F31,Inputs!$C$45:$M$46,2,0)))</f>
        <v/>
      </c>
      <c r="L31" s="104"/>
      <c r="M31" s="105">
        <f t="shared" si="1"/>
        <v>0</v>
      </c>
      <c r="N31" s="654" t="b">
        <f t="shared" si="11"/>
        <v>0</v>
      </c>
      <c r="O31" s="655" t="str">
        <f t="shared" si="2"/>
        <v>x</v>
      </c>
      <c r="P31" s="655" t="str">
        <f t="shared" si="3"/>
        <v>x</v>
      </c>
      <c r="Q31" s="655" t="str">
        <f t="shared" si="4"/>
        <v>x</v>
      </c>
      <c r="R31" s="655" t="str">
        <f t="shared" si="22"/>
        <v>x</v>
      </c>
      <c r="S31" s="655" t="str">
        <f t="shared" si="5"/>
        <v>x</v>
      </c>
      <c r="T31" s="655" t="str">
        <f>IF(ISERROR(MATCH(G31,'Inputs Mapping'!$T$4:$T$10,0)),"x","")</f>
        <v>x</v>
      </c>
      <c r="U31" s="655" t="str">
        <f>IF(ISERROR(MATCH(AA31,'Inputs Mapping'!$U$4:$U$5,0)),"x","")</f>
        <v>x</v>
      </c>
      <c r="V31" s="655" t="str">
        <f>IF(ISERROR(MATCH(AB31,'Inputs Mapping'!$V$4:$V$5,0)),"x","")</f>
        <v>x</v>
      </c>
      <c r="W31" s="655" t="str">
        <f>IF(ISERROR(MATCH(F31,'Inputs Mapping'!$W$4:$W$8,0)),"x","")</f>
        <v>x</v>
      </c>
      <c r="X31" s="655" t="str">
        <f t="shared" si="6"/>
        <v/>
      </c>
      <c r="Y31" s="655" t="str">
        <f t="shared" si="7"/>
        <v/>
      </c>
      <c r="Z31" s="655" t="str">
        <f t="shared" si="8"/>
        <v/>
      </c>
      <c r="AA31" s="655" t="str">
        <f t="shared" si="9"/>
        <v/>
      </c>
      <c r="AB31" s="655" t="str">
        <f t="shared" si="13"/>
        <v/>
      </c>
      <c r="AC31" s="655" t="str">
        <f t="shared" si="21"/>
        <v>x</v>
      </c>
      <c r="AD31" s="655" t="str">
        <f>IF(ISBLANK(I31),"x",IF(ISNUMBER(MATCH(I31,'Inputs Mapping'!$AF$5:$AF$199,0)),"","x"))</f>
        <v>x</v>
      </c>
      <c r="AE31" s="655" t="str">
        <f t="shared" si="14"/>
        <v/>
      </c>
      <c r="AF31" s="148"/>
      <c r="AG31" s="148"/>
      <c r="AH31" s="148" t="str">
        <f t="shared" si="15"/>
        <v/>
      </c>
      <c r="AI31" s="654" t="str">
        <f>IF(J31="","",VLOOKUP(J31,'Inputs Mapping'!$T$27:$V$31,3))</f>
        <v/>
      </c>
      <c r="AJ31" s="654" t="str">
        <f>IF(J31="","",VLOOKUP(J31,'Inputs Mapping'!$T$17:$V$24,3))</f>
        <v/>
      </c>
      <c r="AK31" s="654" t="str">
        <f t="shared" si="16"/>
        <v/>
      </c>
      <c r="AL31" s="655" t="str">
        <f t="shared" si="10"/>
        <v/>
      </c>
      <c r="AM31" s="655" t="str">
        <f>IF(F31="","",IF(AE31="Dubai",HLOOKUP(F31,Inputs!$C$26:$M$36,5,0),HLOOKUP(F31,Inputs!$C$45:$M$49,5,0)))</f>
        <v/>
      </c>
      <c r="AN31" s="655">
        <f t="shared" si="17"/>
        <v>0</v>
      </c>
      <c r="AO31" s="654" t="str">
        <f>IF(AJ31="","",IF(AN31="Dubai",VLOOKUP(AJ31,'Inputs Mapping'!$V$17:$W$24,2,0),VLOOKUP(AI31,'Inputs Mapping'!$V$27:$W$31,2,0)))</f>
        <v/>
      </c>
      <c r="AP31" s="666">
        <f>IFERROR(IF($AN31="","",HLOOKUP($AN31&amp;RIGHT($AL31,1),'input for formula'!$B$16:$I$20,3,0)),0)</f>
        <v>0</v>
      </c>
      <c r="AQ31" s="656">
        <f>IFERROR(IF($AN31="","",HLOOKUP($AN31&amp;$F31,'input for formula'!$B$22:$M$25,2,0)),0)</f>
        <v>0</v>
      </c>
      <c r="AR31" s="666">
        <f>IFERROR(IF($AN31="","",HLOOKUP($AN31&amp;RIGHT($AL31,1),'input for formula'!$B$16:$I$20,4,0)),0)</f>
        <v>0</v>
      </c>
      <c r="AS31" s="656">
        <f>IFERROR(IF($AN31="","",HLOOKUP($AN31&amp;$F31,'input for formula'!$B$22:$M$25,3,0)),0)</f>
        <v>0</v>
      </c>
      <c r="AT31" s="656">
        <f>IFERROR(IF($AN31="","",HLOOKUP($AN31&amp;RIGHT($AL31,1),'input for formula'!$B$16:$I$20,5,0)),0)</f>
        <v>0</v>
      </c>
      <c r="AU31" s="656">
        <f>IFERROR(IF($AN31="","",HLOOKUP($AN31&amp;$F31,'input for formula'!$B$22:$M$25,4,0)),0)</f>
        <v>0</v>
      </c>
      <c r="AV31" s="666">
        <f>IFERROR(IF($AN31="","",IF('Census Data'!$AN31="Abu Dhabi",VLOOKUP('Census Data'!$AM31,'input for formula'!$A$28:$C$41,3,0),VLOOKUP('Census Data'!$AM31,'input for formula'!$A$28:$C$47,2,0))),0)*IFERROR(1+IF(AN31="Dubai",VLOOKUP(F31,'Quotation for Dubai Plans'!$V$6:$X$12,3,FALSE),VLOOKUP(F31,'Quotation for Abu Dhabi Plans'!$W$6:$Y$12,3,FALSE)),0)</f>
        <v>0</v>
      </c>
      <c r="AW31" s="656" t="str">
        <f t="shared" si="18"/>
        <v/>
      </c>
      <c r="AX31" s="667" t="str">
        <f>IFERROR(IF(AL31="","",IF(AN31="Dubai",HLOOKUP((AL31&amp;AM31),Deviation!$B$7:$S$8,2,0)*BF31*BH31*BI31*BG31,HLOOKUP((AL31&amp;AM31),Deviation!$B$9:$O$10,2,0)*BF31*BH31*BI31*BG31)),0)</f>
        <v/>
      </c>
      <c r="AY31" s="668" t="str">
        <f>IF(AL31="","",IFERROR(IF(AL31="","",IF(AN31="Dubai",HLOOKUP(AZ31,'input for formula'!$B$3:$F$10,AO31,FALSE), IF(AND(H31="Employee",AN31="Abu Dhabi"),HLOOKUP(AZ31,'input for formula'!$I$3:$K$7,AO31,FALSE),HLOOKUP(AZ31,'input for formula'!$M$3:$O$7,AO31,FALSE)))*AX31+AP31*AQ31+AR31*AS31+AT31*AU31),0)*$AZ$3*BK31*BJ31*IF(AND(Inputs!$C$19&gt;19,Inputs!$C$19&lt;30),(1+$AZ$2),1)*(1+$AZ$1))</f>
        <v/>
      </c>
      <c r="AZ31" s="148" t="str">
        <f t="shared" si="19"/>
        <v/>
      </c>
      <c r="BA31" s="669" t="str">
        <f>IF(F31="","",IF(AE31="Dubai",HLOOKUP(F31,Inputs!$C$26:$M$37,9,0),HLOOKUP(F31,Inputs!$C$45:$M$56,9,0)))</f>
        <v/>
      </c>
      <c r="BB31" s="670" t="str">
        <f>IF(F31="","",IF(AE31="Dubai",HLOOKUP(F31,Inputs!$C$26:$M$37,10,0),HLOOKUP(F31,Inputs!$C$45:$M$56,10,0)))</f>
        <v/>
      </c>
      <c r="BC31" s="670" t="str">
        <f>IF(F31="","",IF(AE31="Dubai",HLOOKUP(F31,Inputs!$C$26:$M$37,11,0),HLOOKUP(F31,Inputs!$C$45:$M$56,11,0)))</f>
        <v/>
      </c>
      <c r="BD31" s="669" t="str">
        <f>IF(F31="","",IF(AE31="Dubai",HLOOKUP(F31,Inputs!$C$26:$M$37,12,0),HLOOKUP(F31,Inputs!$C$45:$M$56,12,0)))</f>
        <v/>
      </c>
      <c r="BE31" s="654"/>
      <c r="BF31" s="669" t="str">
        <f>IFERROR(IF(AL31="","",IF(AN31="Dubai",IF(OR(AL31="Plan1",AL31="Plan2"),VLOOKUP(BA31,Deviation!$B$31:$D$33,2,FALSE),VLOOKUP(BA31,Deviation!$B$31:$D$33,3,FALSE)),IF(OR(AL31="Plan1",AL31="Plan2"),VLOOKUP(BA31,Deviation!$E$31:$AE$33,2,FALSE),VLOOKUP(BA31,Deviation!$E$31:$AE$33,3,FALSE)))),0)</f>
        <v/>
      </c>
      <c r="BG31" s="671" t="str">
        <f>IFERROR(IF(AL31="","",IF(AN31="Dubai",IF(AL31="Plan1",VLOOKUP(BB31,Deviation!$B$39:$C$40,2,FALSE),IF(AL31="Plan2",VLOOKUP(BB31,Deviation!$B$42:$C$43,2,FALSE),IF(AL31="Plan5",VLOOKUP(BB31,Deviation!$B$48:$C$49,2,FALSE),VLOOKUP(BB31,Deviation!$B$45:$C$46,2,FALSE)))),IF(AL31="Plan1",VLOOKUP(BB31,Deviation!$E$39:$F$40,2,FALSE),IF(AL31="Plan2",VLOOKUP(BB31,Deviation!$E$42:$F$43,2,FALSE),VLOOKUP(BB31,Deviation!$E$45:$F$46,2,FALSE))))),0)</f>
        <v/>
      </c>
      <c r="BH31" s="671" t="str">
        <f>IFERROR(IF(AL31="","",IF(AN31="Dubai",IF(OR(AL31="Plan1",AL31="Plan2"),VLOOKUP(BC31,Deviation!$B$15:$D$19,2,FALSE),VLOOKUP(BC31,Deviation!$B$15:$D$19,3,FALSE)),IF(OR(AL31="Plan1",AL31="Plan2"),VLOOKUP(BC31,Deviation!$E$15:$AE$19,2,FALSE),VLOOKUP(BC31,Deviation!$E$15:$AE$19,3,FALSE)))),0)</f>
        <v/>
      </c>
      <c r="BI31" s="669" t="str">
        <f>IFERROR(IF(AL31="","",IF(AN31="Dubai",VLOOKUP(BD31,Deviation!$B$24:$C$26,2,FALSE),100%)),0)</f>
        <v/>
      </c>
      <c r="BJ31" s="672">
        <f>IF(AE31="Abu Dhabi",1,IFERROR(VLOOKUP(AM31,Deviation!$B$67:$E$79,MATCH('Census Data'!AA31,Deviation!$B$66:$E$66,0),0),1))</f>
        <v>1</v>
      </c>
      <c r="BK31" s="659">
        <f>IFERROR(VLOOKUP(I31,Deviation!$B$54:$C$62,2,0),1)</f>
        <v>1</v>
      </c>
      <c r="BL31" s="148"/>
      <c r="BM31" s="148"/>
      <c r="BN31" s="148"/>
      <c r="BO31" s="148"/>
      <c r="BP31" s="148"/>
      <c r="BQ31" s="148"/>
      <c r="BR31" s="148"/>
      <c r="BS31" s="148"/>
      <c r="BT31" s="148" t="e">
        <f t="shared" si="20"/>
        <v>#VALUE!</v>
      </c>
      <c r="BU31" t="str">
        <f>IF(AL31="","",IFERROR(IF(AL31="","",IF(AN31="Dubai",HLOOKUP(AZ31,'input for formula'!$B$3:$F$10,AO31,FALSE), IF(AND(H31="Employee",AN31="Abu Dhabi"),HLOOKUP(AZ31,'input for formula'!$I$3:$K$7,AO31,FALSE),HLOOKUP(AZ31,'input for formula'!$M$3:$O$7,AO31,FALSE)))*AX31+AP31*AQ31+AR31*AS31+AT31*AU31),0)*$AZ$3*BK31*BJ31*IF(AND(Inputs!$C$19&gt;19,Inputs!$C$19&lt;30),(1+$AZ$2),1))</f>
        <v/>
      </c>
    </row>
    <row r="32" spans="1:73" ht="15" x14ac:dyDescent="0.25">
      <c r="A32" s="59">
        <v>27</v>
      </c>
      <c r="B32" s="470"/>
      <c r="C32" s="628"/>
      <c r="D32" s="629"/>
      <c r="E32" s="471"/>
      <c r="F32" s="298"/>
      <c r="G32" s="298"/>
      <c r="H32" s="298"/>
      <c r="I32" s="298"/>
      <c r="J32" s="80" t="str">
        <f>IFERROR(IF(C32="","",DATEDIF('Census Data'!C32,eff_date,"y")),"")</f>
        <v/>
      </c>
      <c r="K32" s="59" t="str">
        <f>IF(F32="","",IF(AE32="Dubai",HLOOKUP(F32,Inputs!$C$26:$M$28,3,0),HLOOKUP(F32,Inputs!$C$45:$M$46,2,0)))</f>
        <v/>
      </c>
      <c r="L32" s="104"/>
      <c r="M32" s="105">
        <f t="shared" si="1"/>
        <v>0</v>
      </c>
      <c r="N32" s="654" t="b">
        <f t="shared" si="11"/>
        <v>0</v>
      </c>
      <c r="O32" s="655" t="str">
        <f t="shared" si="2"/>
        <v>x</v>
      </c>
      <c r="P32" s="655" t="str">
        <f t="shared" si="3"/>
        <v>x</v>
      </c>
      <c r="Q32" s="655" t="str">
        <f t="shared" si="4"/>
        <v>x</v>
      </c>
      <c r="R32" s="655" t="str">
        <f t="shared" si="22"/>
        <v>x</v>
      </c>
      <c r="S32" s="655" t="str">
        <f t="shared" si="5"/>
        <v>x</v>
      </c>
      <c r="T32" s="655" t="str">
        <f>IF(ISERROR(MATCH(G32,'Inputs Mapping'!$T$4:$T$10,0)),"x","")</f>
        <v>x</v>
      </c>
      <c r="U32" s="655" t="str">
        <f>IF(ISERROR(MATCH(AA32,'Inputs Mapping'!$U$4:$U$5,0)),"x","")</f>
        <v>x</v>
      </c>
      <c r="V32" s="655" t="str">
        <f>IF(ISERROR(MATCH(AB32,'Inputs Mapping'!$V$4:$V$5,0)),"x","")</f>
        <v>x</v>
      </c>
      <c r="W32" s="655" t="str">
        <f>IF(ISERROR(MATCH(F32,'Inputs Mapping'!$W$4:$W$8,0)),"x","")</f>
        <v>x</v>
      </c>
      <c r="X32" s="655" t="str">
        <f t="shared" si="6"/>
        <v/>
      </c>
      <c r="Y32" s="655" t="str">
        <f t="shared" si="7"/>
        <v/>
      </c>
      <c r="Z32" s="655" t="str">
        <f t="shared" si="8"/>
        <v/>
      </c>
      <c r="AA32" s="655" t="str">
        <f t="shared" si="9"/>
        <v/>
      </c>
      <c r="AB32" s="655" t="str">
        <f t="shared" si="13"/>
        <v/>
      </c>
      <c r="AC32" s="655" t="str">
        <f t="shared" si="21"/>
        <v>x</v>
      </c>
      <c r="AD32" s="655" t="str">
        <f>IF(ISBLANK(I32),"x",IF(ISNUMBER(MATCH(I32,'Inputs Mapping'!$AF$5:$AF$199,0)),"","x"))</f>
        <v>x</v>
      </c>
      <c r="AE32" s="655" t="str">
        <f t="shared" si="14"/>
        <v/>
      </c>
      <c r="AF32" s="148"/>
      <c r="AG32" s="148"/>
      <c r="AH32" s="148" t="str">
        <f t="shared" si="15"/>
        <v/>
      </c>
      <c r="AI32" s="654" t="str">
        <f>IF(J32="","",VLOOKUP(J32,'Inputs Mapping'!$T$27:$V$31,3))</f>
        <v/>
      </c>
      <c r="AJ32" s="654" t="str">
        <f>IF(J32="","",VLOOKUP(J32,'Inputs Mapping'!$T$17:$V$24,3))</f>
        <v/>
      </c>
      <c r="AK32" s="654" t="str">
        <f t="shared" si="16"/>
        <v/>
      </c>
      <c r="AL32" s="655" t="str">
        <f t="shared" si="10"/>
        <v/>
      </c>
      <c r="AM32" s="655" t="str">
        <f>IF(F32="","",IF(AE32="Dubai",HLOOKUP(F32,Inputs!$C$26:$M$36,5,0),HLOOKUP(F32,Inputs!$C$45:$M$49,5,0)))</f>
        <v/>
      </c>
      <c r="AN32" s="655">
        <f t="shared" si="17"/>
        <v>0</v>
      </c>
      <c r="AO32" s="654" t="str">
        <f>IF(AJ32="","",IF(AN32="Dubai",VLOOKUP(AJ32,'Inputs Mapping'!$V$17:$W$24,2,0),VLOOKUP(AI32,'Inputs Mapping'!$V$27:$W$31,2,0)))</f>
        <v/>
      </c>
      <c r="AP32" s="666">
        <f>IFERROR(IF($AN32="","",HLOOKUP($AN32&amp;RIGHT($AL32,1),'input for formula'!$B$16:$I$20,3,0)),0)</f>
        <v>0</v>
      </c>
      <c r="AQ32" s="656">
        <f>IFERROR(IF($AN32="","",HLOOKUP($AN32&amp;$F32,'input for formula'!$B$22:$M$25,2,0)),0)</f>
        <v>0</v>
      </c>
      <c r="AR32" s="666">
        <f>IFERROR(IF($AN32="","",HLOOKUP($AN32&amp;RIGHT($AL32,1),'input for formula'!$B$16:$I$20,4,0)),0)</f>
        <v>0</v>
      </c>
      <c r="AS32" s="656">
        <f>IFERROR(IF($AN32="","",HLOOKUP($AN32&amp;$F32,'input for formula'!$B$22:$M$25,3,0)),0)</f>
        <v>0</v>
      </c>
      <c r="AT32" s="656">
        <f>IFERROR(IF($AN32="","",HLOOKUP($AN32&amp;RIGHT($AL32,1),'input for formula'!$B$16:$I$20,5,0)),0)</f>
        <v>0</v>
      </c>
      <c r="AU32" s="656">
        <f>IFERROR(IF($AN32="","",HLOOKUP($AN32&amp;$F32,'input for formula'!$B$22:$M$25,4,0)),0)</f>
        <v>0</v>
      </c>
      <c r="AV32" s="666">
        <f>IFERROR(IF($AN32="","",IF('Census Data'!$AN32="Abu Dhabi",VLOOKUP('Census Data'!$AM32,'input for formula'!$A$28:$C$41,3,0),VLOOKUP('Census Data'!$AM32,'input for formula'!$A$28:$C$47,2,0))),0)*IFERROR(1+IF(AN32="Dubai",VLOOKUP(F32,'Quotation for Dubai Plans'!$V$6:$X$12,3,FALSE),VLOOKUP(F32,'Quotation for Abu Dhabi Plans'!$W$6:$Y$12,3,FALSE)),0)</f>
        <v>0</v>
      </c>
      <c r="AW32" s="656" t="str">
        <f t="shared" si="18"/>
        <v/>
      </c>
      <c r="AX32" s="667" t="str">
        <f>IFERROR(IF(AL32="","",IF(AN32="Dubai",HLOOKUP((AL32&amp;AM32),Deviation!$B$7:$S$8,2,0)*BF32*BH32*BI32*BG32,HLOOKUP((AL32&amp;AM32),Deviation!$B$9:$O$10,2,0)*BF32*BH32*BI32*BG32)),0)</f>
        <v/>
      </c>
      <c r="AY32" s="668" t="str">
        <f>IF(AL32="","",IFERROR(IF(AL32="","",IF(AN32="Dubai",HLOOKUP(AZ32,'input for formula'!$B$3:$F$10,AO32,FALSE), IF(AND(H32="Employee",AN32="Abu Dhabi"),HLOOKUP(AZ32,'input for formula'!$I$3:$K$7,AO32,FALSE),HLOOKUP(AZ32,'input for formula'!$M$3:$O$7,AO32,FALSE)))*AX32+AP32*AQ32+AR32*AS32+AT32*AU32),0)*$AZ$3*BK32*BJ32*IF(AND(Inputs!$C$19&gt;19,Inputs!$C$19&lt;30),(1+$AZ$2),1)*(1+$AZ$1))</f>
        <v/>
      </c>
      <c r="AZ32" s="148" t="str">
        <f t="shared" si="19"/>
        <v/>
      </c>
      <c r="BA32" s="669" t="str">
        <f>IF(F32="","",IF(AE32="Dubai",HLOOKUP(F32,Inputs!$C$26:$M$37,9,0),HLOOKUP(F32,Inputs!$C$45:$M$56,9,0)))</f>
        <v/>
      </c>
      <c r="BB32" s="670" t="str">
        <f>IF(F32="","",IF(AE32="Dubai",HLOOKUP(F32,Inputs!$C$26:$M$37,10,0),HLOOKUP(F32,Inputs!$C$45:$M$56,10,0)))</f>
        <v/>
      </c>
      <c r="BC32" s="670" t="str">
        <f>IF(F32="","",IF(AE32="Dubai",HLOOKUP(F32,Inputs!$C$26:$M$37,11,0),HLOOKUP(F32,Inputs!$C$45:$M$56,11,0)))</f>
        <v/>
      </c>
      <c r="BD32" s="669" t="str">
        <f>IF(F32="","",IF(AE32="Dubai",HLOOKUP(F32,Inputs!$C$26:$M$37,12,0),HLOOKUP(F32,Inputs!$C$45:$M$56,12,0)))</f>
        <v/>
      </c>
      <c r="BE32" s="654"/>
      <c r="BF32" s="669" t="str">
        <f>IFERROR(IF(AL32="","",IF(AN32="Dubai",IF(OR(AL32="Plan1",AL32="Plan2"),VLOOKUP(BA32,Deviation!$B$31:$D$33,2,FALSE),VLOOKUP(BA32,Deviation!$B$31:$D$33,3,FALSE)),IF(OR(AL32="Plan1",AL32="Plan2"),VLOOKUP(BA32,Deviation!$E$31:$AE$33,2,FALSE),VLOOKUP(BA32,Deviation!$E$31:$AE$33,3,FALSE)))),0)</f>
        <v/>
      </c>
      <c r="BG32" s="671" t="str">
        <f>IFERROR(IF(AL32="","",IF(AN32="Dubai",IF(AL32="Plan1",VLOOKUP(BB32,Deviation!$B$39:$C$40,2,FALSE),IF(AL32="Plan2",VLOOKUP(BB32,Deviation!$B$42:$C$43,2,FALSE),IF(AL32="Plan5",VLOOKUP(BB32,Deviation!$B$48:$C$49,2,FALSE),VLOOKUP(BB32,Deviation!$B$45:$C$46,2,FALSE)))),IF(AL32="Plan1",VLOOKUP(BB32,Deviation!$E$39:$F$40,2,FALSE),IF(AL32="Plan2",VLOOKUP(BB32,Deviation!$E$42:$F$43,2,FALSE),VLOOKUP(BB32,Deviation!$E$45:$F$46,2,FALSE))))),0)</f>
        <v/>
      </c>
      <c r="BH32" s="671" t="str">
        <f>IFERROR(IF(AL32="","",IF(AN32="Dubai",IF(OR(AL32="Plan1",AL32="Plan2"),VLOOKUP(BC32,Deviation!$B$15:$D$19,2,FALSE),VLOOKUP(BC32,Deviation!$B$15:$D$19,3,FALSE)),IF(OR(AL32="Plan1",AL32="Plan2"),VLOOKUP(BC32,Deviation!$E$15:$AE$19,2,FALSE),VLOOKUP(BC32,Deviation!$E$15:$AE$19,3,FALSE)))),0)</f>
        <v/>
      </c>
      <c r="BI32" s="669" t="str">
        <f>IFERROR(IF(AL32="","",IF(AN32="Dubai",VLOOKUP(BD32,Deviation!$B$24:$C$26,2,FALSE),100%)),0)</f>
        <v/>
      </c>
      <c r="BJ32" s="672">
        <f>IF(AE32="Abu Dhabi",1,IFERROR(VLOOKUP(AM32,Deviation!$B$67:$E$79,MATCH('Census Data'!AA32,Deviation!$B$66:$E$66,0),0),1))</f>
        <v>1</v>
      </c>
      <c r="BK32" s="659">
        <f>IFERROR(VLOOKUP(I32,Deviation!$B$54:$C$62,2,0),1)</f>
        <v>1</v>
      </c>
      <c r="BL32" s="148"/>
      <c r="BM32" s="148"/>
      <c r="BN32" s="148"/>
      <c r="BO32" s="148"/>
      <c r="BP32" s="148"/>
      <c r="BQ32" s="148"/>
      <c r="BR32" s="148"/>
      <c r="BS32" s="148"/>
      <c r="BT32" s="148" t="e">
        <f t="shared" si="20"/>
        <v>#VALUE!</v>
      </c>
      <c r="BU32" t="str">
        <f>IF(AL32="","",IFERROR(IF(AL32="","",IF(AN32="Dubai",HLOOKUP(AZ32,'input for formula'!$B$3:$F$10,AO32,FALSE), IF(AND(H32="Employee",AN32="Abu Dhabi"),HLOOKUP(AZ32,'input for formula'!$I$3:$K$7,AO32,FALSE),HLOOKUP(AZ32,'input for formula'!$M$3:$O$7,AO32,FALSE)))*AX32+AP32*AQ32+AR32*AS32+AT32*AU32),0)*$AZ$3*BK32*BJ32*IF(AND(Inputs!$C$19&gt;19,Inputs!$C$19&lt;30),(1+$AZ$2),1))</f>
        <v/>
      </c>
    </row>
    <row r="33" spans="1:73" ht="15" x14ac:dyDescent="0.25">
      <c r="A33" s="59">
        <v>28</v>
      </c>
      <c r="B33" s="470"/>
      <c r="C33" s="628"/>
      <c r="D33" s="629"/>
      <c r="E33" s="471"/>
      <c r="F33" s="298"/>
      <c r="G33" s="298"/>
      <c r="H33" s="298"/>
      <c r="I33" s="298"/>
      <c r="J33" s="80" t="str">
        <f>IFERROR(IF(C33="","",DATEDIF('Census Data'!C33,eff_date,"y")),"")</f>
        <v/>
      </c>
      <c r="K33" s="59" t="str">
        <f>IF(F33="","",IF(AE33="Dubai",HLOOKUP(F33,Inputs!$C$26:$M$28,3,0),HLOOKUP(F33,Inputs!$C$45:$M$46,2,0)))</f>
        <v/>
      </c>
      <c r="L33" s="104"/>
      <c r="M33" s="105">
        <f t="shared" si="1"/>
        <v>0</v>
      </c>
      <c r="N33" s="654" t="b">
        <f t="shared" si="11"/>
        <v>0</v>
      </c>
      <c r="O33" s="655" t="str">
        <f t="shared" si="2"/>
        <v>x</v>
      </c>
      <c r="P33" s="655" t="str">
        <f t="shared" si="3"/>
        <v>x</v>
      </c>
      <c r="Q33" s="655" t="str">
        <f t="shared" si="4"/>
        <v>x</v>
      </c>
      <c r="R33" s="655" t="str">
        <f t="shared" si="22"/>
        <v>x</v>
      </c>
      <c r="S33" s="655" t="str">
        <f t="shared" si="5"/>
        <v>x</v>
      </c>
      <c r="T33" s="655" t="str">
        <f>IF(ISERROR(MATCH(G33,'Inputs Mapping'!$T$4:$T$10,0)),"x","")</f>
        <v>x</v>
      </c>
      <c r="U33" s="655" t="str">
        <f>IF(ISERROR(MATCH(AA33,'Inputs Mapping'!$U$4:$U$5,0)),"x","")</f>
        <v>x</v>
      </c>
      <c r="V33" s="655" t="str">
        <f>IF(ISERROR(MATCH(AB33,'Inputs Mapping'!$V$4:$V$5,0)),"x","")</f>
        <v>x</v>
      </c>
      <c r="W33" s="655" t="str">
        <f>IF(ISERROR(MATCH(F33,'Inputs Mapping'!$W$4:$W$8,0)),"x","")</f>
        <v>x</v>
      </c>
      <c r="X33" s="655" t="str">
        <f t="shared" si="6"/>
        <v/>
      </c>
      <c r="Y33" s="655" t="str">
        <f t="shared" si="7"/>
        <v/>
      </c>
      <c r="Z33" s="655" t="str">
        <f t="shared" si="8"/>
        <v/>
      </c>
      <c r="AA33" s="655" t="str">
        <f t="shared" si="9"/>
        <v/>
      </c>
      <c r="AB33" s="655" t="str">
        <f t="shared" si="13"/>
        <v/>
      </c>
      <c r="AC33" s="655" t="str">
        <f t="shared" si="21"/>
        <v>x</v>
      </c>
      <c r="AD33" s="655" t="str">
        <f>IF(ISBLANK(I33),"x",IF(ISNUMBER(MATCH(I33,'Inputs Mapping'!$AF$5:$AF$199,0)),"","x"))</f>
        <v>x</v>
      </c>
      <c r="AE33" s="655" t="str">
        <f t="shared" si="14"/>
        <v/>
      </c>
      <c r="AF33" s="148"/>
      <c r="AG33" s="148"/>
      <c r="AH33" s="148" t="str">
        <f t="shared" si="15"/>
        <v/>
      </c>
      <c r="AI33" s="654" t="str">
        <f>IF(J33="","",VLOOKUP(J33,'Inputs Mapping'!$T$27:$V$31,3))</f>
        <v/>
      </c>
      <c r="AJ33" s="654" t="str">
        <f>IF(J33="","",VLOOKUP(J33,'Inputs Mapping'!$T$17:$V$24,3))</f>
        <v/>
      </c>
      <c r="AK33" s="654" t="str">
        <f t="shared" si="16"/>
        <v/>
      </c>
      <c r="AL33" s="655" t="str">
        <f t="shared" si="10"/>
        <v/>
      </c>
      <c r="AM33" s="655" t="str">
        <f>IF(F33="","",IF(AE33="Dubai",HLOOKUP(F33,Inputs!$C$26:$M$36,5,0),HLOOKUP(F33,Inputs!$C$45:$M$49,5,0)))</f>
        <v/>
      </c>
      <c r="AN33" s="655">
        <f t="shared" si="17"/>
        <v>0</v>
      </c>
      <c r="AO33" s="654" t="str">
        <f>IF(AJ33="","",IF(AN33="Dubai",VLOOKUP(AJ33,'Inputs Mapping'!$V$17:$W$24,2,0),VLOOKUP(AI33,'Inputs Mapping'!$V$27:$W$31,2,0)))</f>
        <v/>
      </c>
      <c r="AP33" s="666">
        <f>IFERROR(IF($AN33="","",HLOOKUP($AN33&amp;RIGHT($AL33,1),'input for formula'!$B$16:$I$20,3,0)),0)</f>
        <v>0</v>
      </c>
      <c r="AQ33" s="656">
        <f>IFERROR(IF($AN33="","",HLOOKUP($AN33&amp;$F33,'input for formula'!$B$22:$M$25,2,0)),0)</f>
        <v>0</v>
      </c>
      <c r="AR33" s="666">
        <f>IFERROR(IF($AN33="","",HLOOKUP($AN33&amp;RIGHT($AL33,1),'input for formula'!$B$16:$I$20,4,0)),0)</f>
        <v>0</v>
      </c>
      <c r="AS33" s="656">
        <f>IFERROR(IF($AN33="","",HLOOKUP($AN33&amp;$F33,'input for formula'!$B$22:$M$25,3,0)),0)</f>
        <v>0</v>
      </c>
      <c r="AT33" s="656">
        <f>IFERROR(IF($AN33="","",HLOOKUP($AN33&amp;RIGHT($AL33,1),'input for formula'!$B$16:$I$20,5,0)),0)</f>
        <v>0</v>
      </c>
      <c r="AU33" s="656">
        <f>IFERROR(IF($AN33="","",HLOOKUP($AN33&amp;$F33,'input for formula'!$B$22:$M$25,4,0)),0)</f>
        <v>0</v>
      </c>
      <c r="AV33" s="666">
        <f>IFERROR(IF($AN33="","",IF('Census Data'!$AN33="Abu Dhabi",VLOOKUP('Census Data'!$AM33,'input for formula'!$A$28:$C$41,3,0),VLOOKUP('Census Data'!$AM33,'input for formula'!$A$28:$C$47,2,0))),0)*IFERROR(1+IF(AN33="Dubai",VLOOKUP(F33,'Quotation for Dubai Plans'!$V$6:$X$12,3,FALSE),VLOOKUP(F33,'Quotation for Abu Dhabi Plans'!$W$6:$Y$12,3,FALSE)),0)</f>
        <v>0</v>
      </c>
      <c r="AW33" s="656" t="str">
        <f t="shared" si="18"/>
        <v/>
      </c>
      <c r="AX33" s="667" t="str">
        <f>IFERROR(IF(AL33="","",IF(AN33="Dubai",HLOOKUP((AL33&amp;AM33),Deviation!$B$7:$S$8,2,0)*BF33*BH33*BI33*BG33,HLOOKUP((AL33&amp;AM33),Deviation!$B$9:$O$10,2,0)*BF33*BH33*BI33*BG33)),0)</f>
        <v/>
      </c>
      <c r="AY33" s="668" t="str">
        <f>IF(AL33="","",IFERROR(IF(AL33="","",IF(AN33="Dubai",HLOOKUP(AZ33,'input for formula'!$B$3:$F$10,AO33,FALSE), IF(AND(H33="Employee",AN33="Abu Dhabi"),HLOOKUP(AZ33,'input for formula'!$I$3:$K$7,AO33,FALSE),HLOOKUP(AZ33,'input for formula'!$M$3:$O$7,AO33,FALSE)))*AX33+AP33*AQ33+AR33*AS33+AT33*AU33),0)*$AZ$3*BK33*BJ33*IF(AND(Inputs!$C$19&gt;19,Inputs!$C$19&lt;30),(1+$AZ$2),1)*(1+$AZ$1))</f>
        <v/>
      </c>
      <c r="AZ33" s="148" t="str">
        <f t="shared" si="19"/>
        <v/>
      </c>
      <c r="BA33" s="669" t="str">
        <f>IF(F33="","",IF(AE33="Dubai",HLOOKUP(F33,Inputs!$C$26:$M$37,9,0),HLOOKUP(F33,Inputs!$C$45:$M$56,9,0)))</f>
        <v/>
      </c>
      <c r="BB33" s="670" t="str">
        <f>IF(F33="","",IF(AE33="Dubai",HLOOKUP(F33,Inputs!$C$26:$M$37,10,0),HLOOKUP(F33,Inputs!$C$45:$M$56,10,0)))</f>
        <v/>
      </c>
      <c r="BC33" s="670" t="str">
        <f>IF(F33="","",IF(AE33="Dubai",HLOOKUP(F33,Inputs!$C$26:$M$37,11,0),HLOOKUP(F33,Inputs!$C$45:$M$56,11,0)))</f>
        <v/>
      </c>
      <c r="BD33" s="669" t="str">
        <f>IF(F33="","",IF(AE33="Dubai",HLOOKUP(F33,Inputs!$C$26:$M$37,12,0),HLOOKUP(F33,Inputs!$C$45:$M$56,12,0)))</f>
        <v/>
      </c>
      <c r="BE33" s="654"/>
      <c r="BF33" s="669" t="str">
        <f>IFERROR(IF(AL33="","",IF(AN33="Dubai",IF(OR(AL33="Plan1",AL33="Plan2"),VLOOKUP(BA33,Deviation!$B$31:$D$33,2,FALSE),VLOOKUP(BA33,Deviation!$B$31:$D$33,3,FALSE)),IF(OR(AL33="Plan1",AL33="Plan2"),VLOOKUP(BA33,Deviation!$E$31:$AE$33,2,FALSE),VLOOKUP(BA33,Deviation!$E$31:$AE$33,3,FALSE)))),0)</f>
        <v/>
      </c>
      <c r="BG33" s="671" t="str">
        <f>IFERROR(IF(AL33="","",IF(AN33="Dubai",IF(AL33="Plan1",VLOOKUP(BB33,Deviation!$B$39:$C$40,2,FALSE),IF(AL33="Plan2",VLOOKUP(BB33,Deviation!$B$42:$C$43,2,FALSE),IF(AL33="Plan5",VLOOKUP(BB33,Deviation!$B$48:$C$49,2,FALSE),VLOOKUP(BB33,Deviation!$B$45:$C$46,2,FALSE)))),IF(AL33="Plan1",VLOOKUP(BB33,Deviation!$E$39:$F$40,2,FALSE),IF(AL33="Plan2",VLOOKUP(BB33,Deviation!$E$42:$F$43,2,FALSE),VLOOKUP(BB33,Deviation!$E$45:$F$46,2,FALSE))))),0)</f>
        <v/>
      </c>
      <c r="BH33" s="671" t="str">
        <f>IFERROR(IF(AL33="","",IF(AN33="Dubai",IF(OR(AL33="Plan1",AL33="Plan2"),VLOOKUP(BC33,Deviation!$B$15:$D$19,2,FALSE),VLOOKUP(BC33,Deviation!$B$15:$D$19,3,FALSE)),IF(OR(AL33="Plan1",AL33="Plan2"),VLOOKUP(BC33,Deviation!$E$15:$AE$19,2,FALSE),VLOOKUP(BC33,Deviation!$E$15:$AE$19,3,FALSE)))),0)</f>
        <v/>
      </c>
      <c r="BI33" s="669" t="str">
        <f>IFERROR(IF(AL33="","",IF(AN33="Dubai",VLOOKUP(BD33,Deviation!$B$24:$C$26,2,FALSE),100%)),0)</f>
        <v/>
      </c>
      <c r="BJ33" s="672">
        <f>IF(AE33="Abu Dhabi",1,IFERROR(VLOOKUP(AM33,Deviation!$B$67:$E$79,MATCH('Census Data'!AA33,Deviation!$B$66:$E$66,0),0),1))</f>
        <v>1</v>
      </c>
      <c r="BK33" s="659">
        <f>IFERROR(VLOOKUP(I33,Deviation!$B$54:$C$62,2,0),1)</f>
        <v>1</v>
      </c>
      <c r="BL33" s="148"/>
      <c r="BM33" s="148"/>
      <c r="BN33" s="148"/>
      <c r="BO33" s="148"/>
      <c r="BP33" s="148"/>
      <c r="BQ33" s="148"/>
      <c r="BR33" s="148"/>
      <c r="BS33" s="148"/>
      <c r="BT33" s="148" t="e">
        <f t="shared" si="20"/>
        <v>#VALUE!</v>
      </c>
      <c r="BU33" t="str">
        <f>IF(AL33="","",IFERROR(IF(AL33="","",IF(AN33="Dubai",HLOOKUP(AZ33,'input for formula'!$B$3:$F$10,AO33,FALSE), IF(AND(H33="Employee",AN33="Abu Dhabi"),HLOOKUP(AZ33,'input for formula'!$I$3:$K$7,AO33,FALSE),HLOOKUP(AZ33,'input for formula'!$M$3:$O$7,AO33,FALSE)))*AX33+AP33*AQ33+AR33*AS33+AT33*AU33),0)*$AZ$3*BK33*BJ33*IF(AND(Inputs!$C$19&gt;19,Inputs!$C$19&lt;30),(1+$AZ$2),1))</f>
        <v/>
      </c>
    </row>
    <row r="34" spans="1:73" ht="15" x14ac:dyDescent="0.25">
      <c r="A34" s="59">
        <v>29</v>
      </c>
      <c r="B34" s="470"/>
      <c r="C34" s="628"/>
      <c r="D34" s="629"/>
      <c r="E34" s="471"/>
      <c r="F34" s="298"/>
      <c r="G34" s="298"/>
      <c r="H34" s="298"/>
      <c r="I34" s="298"/>
      <c r="J34" s="80" t="str">
        <f>IFERROR(IF(C34="","",DATEDIF('Census Data'!C34,eff_date,"y")),"")</f>
        <v/>
      </c>
      <c r="K34" s="59" t="str">
        <f>IF(F34="","",IF(AE34="Dubai",HLOOKUP(F34,Inputs!$C$26:$M$28,3,0),HLOOKUP(F34,Inputs!$C$45:$M$46,2,0)))</f>
        <v/>
      </c>
      <c r="L34" s="104"/>
      <c r="M34" s="105">
        <f t="shared" si="1"/>
        <v>0</v>
      </c>
      <c r="N34" s="654" t="b">
        <f t="shared" si="11"/>
        <v>0</v>
      </c>
      <c r="O34" s="655" t="str">
        <f t="shared" si="2"/>
        <v>x</v>
      </c>
      <c r="P34" s="655" t="str">
        <f t="shared" si="3"/>
        <v>x</v>
      </c>
      <c r="Q34" s="655" t="str">
        <f t="shared" si="4"/>
        <v>x</v>
      </c>
      <c r="R34" s="655" t="str">
        <f t="shared" si="22"/>
        <v>x</v>
      </c>
      <c r="S34" s="655" t="str">
        <f t="shared" si="5"/>
        <v>x</v>
      </c>
      <c r="T34" s="655" t="str">
        <f>IF(ISERROR(MATCH(G34,'Inputs Mapping'!$T$4:$T$10,0)),"x","")</f>
        <v>x</v>
      </c>
      <c r="U34" s="655" t="str">
        <f>IF(ISERROR(MATCH(AA34,'Inputs Mapping'!$U$4:$U$5,0)),"x","")</f>
        <v>x</v>
      </c>
      <c r="V34" s="655" t="str">
        <f>IF(ISERROR(MATCH(AB34,'Inputs Mapping'!$V$4:$V$5,0)),"x","")</f>
        <v>x</v>
      </c>
      <c r="W34" s="655" t="str">
        <f>IF(ISERROR(MATCH(F34,'Inputs Mapping'!$W$4:$W$8,0)),"x","")</f>
        <v>x</v>
      </c>
      <c r="X34" s="655" t="str">
        <f t="shared" si="6"/>
        <v/>
      </c>
      <c r="Y34" s="655" t="str">
        <f t="shared" si="7"/>
        <v/>
      </c>
      <c r="Z34" s="655" t="str">
        <f t="shared" si="8"/>
        <v/>
      </c>
      <c r="AA34" s="655" t="str">
        <f t="shared" si="9"/>
        <v/>
      </c>
      <c r="AB34" s="655" t="str">
        <f t="shared" si="13"/>
        <v/>
      </c>
      <c r="AC34" s="655" t="str">
        <f t="shared" si="21"/>
        <v>x</v>
      </c>
      <c r="AD34" s="655" t="str">
        <f>IF(ISBLANK(I34),"x",IF(ISNUMBER(MATCH(I34,'Inputs Mapping'!$AF$5:$AF$199,0)),"","x"))</f>
        <v>x</v>
      </c>
      <c r="AE34" s="655" t="str">
        <f t="shared" si="14"/>
        <v/>
      </c>
      <c r="AF34" s="148"/>
      <c r="AG34" s="148"/>
      <c r="AH34" s="148" t="str">
        <f t="shared" si="15"/>
        <v/>
      </c>
      <c r="AI34" s="654" t="str">
        <f>IF(J34="","",VLOOKUP(J34,'Inputs Mapping'!$T$27:$V$31,3))</f>
        <v/>
      </c>
      <c r="AJ34" s="654" t="str">
        <f>IF(J34="","",VLOOKUP(J34,'Inputs Mapping'!$T$17:$V$24,3))</f>
        <v/>
      </c>
      <c r="AK34" s="654" t="str">
        <f t="shared" si="16"/>
        <v/>
      </c>
      <c r="AL34" s="655" t="str">
        <f t="shared" si="10"/>
        <v/>
      </c>
      <c r="AM34" s="655" t="str">
        <f>IF(F34="","",IF(AE34="Dubai",HLOOKUP(F34,Inputs!$C$26:$M$36,5,0),HLOOKUP(F34,Inputs!$C$45:$M$49,5,0)))</f>
        <v/>
      </c>
      <c r="AN34" s="655">
        <f t="shared" si="17"/>
        <v>0</v>
      </c>
      <c r="AO34" s="654" t="str">
        <f>IF(AJ34="","",IF(AN34="Dubai",VLOOKUP(AJ34,'Inputs Mapping'!$V$17:$W$24,2,0),VLOOKUP(AI34,'Inputs Mapping'!$V$27:$W$31,2,0)))</f>
        <v/>
      </c>
      <c r="AP34" s="666">
        <f>IFERROR(IF($AN34="","",HLOOKUP($AN34&amp;RIGHT($AL34,1),'input for formula'!$B$16:$I$20,3,0)),0)</f>
        <v>0</v>
      </c>
      <c r="AQ34" s="656">
        <f>IFERROR(IF($AN34="","",HLOOKUP($AN34&amp;$F34,'input for formula'!$B$22:$M$25,2,0)),0)</f>
        <v>0</v>
      </c>
      <c r="AR34" s="666">
        <f>IFERROR(IF($AN34="","",HLOOKUP($AN34&amp;RIGHT($AL34,1),'input for formula'!$B$16:$I$20,4,0)),0)</f>
        <v>0</v>
      </c>
      <c r="AS34" s="656">
        <f>IFERROR(IF($AN34="","",HLOOKUP($AN34&amp;$F34,'input for formula'!$B$22:$M$25,3,0)),0)</f>
        <v>0</v>
      </c>
      <c r="AT34" s="656">
        <f>IFERROR(IF($AN34="","",HLOOKUP($AN34&amp;RIGHT($AL34,1),'input for formula'!$B$16:$I$20,5,0)),0)</f>
        <v>0</v>
      </c>
      <c r="AU34" s="656">
        <f>IFERROR(IF($AN34="","",HLOOKUP($AN34&amp;$F34,'input for formula'!$B$22:$M$25,4,0)),0)</f>
        <v>0</v>
      </c>
      <c r="AV34" s="666">
        <f>IFERROR(IF($AN34="","",IF('Census Data'!$AN34="Abu Dhabi",VLOOKUP('Census Data'!$AM34,'input for formula'!$A$28:$C$41,3,0),VLOOKUP('Census Data'!$AM34,'input for formula'!$A$28:$C$47,2,0))),0)*IFERROR(1+IF(AN34="Dubai",VLOOKUP(F34,'Quotation for Dubai Plans'!$V$6:$X$12,3,FALSE),VLOOKUP(F34,'Quotation for Abu Dhabi Plans'!$W$6:$Y$12,3,FALSE)),0)</f>
        <v>0</v>
      </c>
      <c r="AW34" s="656" t="str">
        <f>AK34</f>
        <v/>
      </c>
      <c r="AX34" s="667" t="str">
        <f>IFERROR(IF(AL34="","",IF(AN34="Dubai",HLOOKUP((AL34&amp;AM34),Deviation!$B$7:$S$8,2,0)*BF34*BH34*BI34*BG34,HLOOKUP((AL34&amp;AM34),Deviation!$B$9:$O$10,2,0)*BF34*BH34*BI34*BG34)),0)</f>
        <v/>
      </c>
      <c r="AY34" s="668" t="str">
        <f>IF(AL34="","",IFERROR(IF(AL34="","",IF(AN34="Dubai",HLOOKUP(AZ34,'input for formula'!$B$3:$F$10,AO34,FALSE), IF(AND(H34="Employee",AN34="Abu Dhabi"),HLOOKUP(AZ34,'input for formula'!$I$3:$K$7,AO34,FALSE),HLOOKUP(AZ34,'input for formula'!$M$3:$O$7,AO34,FALSE)))*AX34+AP34*AQ34+AR34*AS34+AT34*AU34),0)*$AZ$3*BK34*BJ34*IF(AND(Inputs!$C$19&gt;19,Inputs!$C$19&lt;30),(1+$AZ$2),1)*(1+$AZ$1))</f>
        <v/>
      </c>
      <c r="AZ34" s="148" t="str">
        <f t="shared" si="19"/>
        <v/>
      </c>
      <c r="BA34" s="669" t="str">
        <f>IF(F34="","",IF(AE34="Dubai",HLOOKUP(F34,Inputs!$C$26:$M$37,9,0),HLOOKUP(F34,Inputs!$C$45:$M$56,9,0)))</f>
        <v/>
      </c>
      <c r="BB34" s="670" t="str">
        <f>IF(F34="","",IF(AE34="Dubai",HLOOKUP(F34,Inputs!$C$26:$M$37,10,0),HLOOKUP(F34,Inputs!$C$45:$M$56,10,0)))</f>
        <v/>
      </c>
      <c r="BC34" s="670" t="str">
        <f>IF(F34="","",IF(AE34="Dubai",HLOOKUP(F34,Inputs!$C$26:$M$37,11,0),HLOOKUP(F34,Inputs!$C$45:$M$56,11,0)))</f>
        <v/>
      </c>
      <c r="BD34" s="669" t="str">
        <f>IF(F34="","",IF(AE34="Dubai",HLOOKUP(F34,Inputs!$C$26:$M$37,12,0),HLOOKUP(F34,Inputs!$C$45:$M$56,12,0)))</f>
        <v/>
      </c>
      <c r="BE34" s="654"/>
      <c r="BF34" s="669" t="str">
        <f>IFERROR(IF(AL34="","",IF(AN34="Dubai",IF(OR(AL34="Plan1",AL34="Plan2"),VLOOKUP(BA34,Deviation!$B$31:$D$33,2,FALSE),VLOOKUP(BA34,Deviation!$B$31:$D$33,3,FALSE)),IF(OR(AL34="Plan1",AL34="Plan2"),VLOOKUP(BA34,Deviation!$E$31:$AE$33,2,FALSE),VLOOKUP(BA34,Deviation!$E$31:$AE$33,3,FALSE)))),0)</f>
        <v/>
      </c>
      <c r="BG34" s="671" t="str">
        <f>IFERROR(IF(AL34="","",IF(AN34="Dubai",IF(AL34="Plan1",VLOOKUP(BB34,Deviation!$B$39:$C$40,2,FALSE),IF(AL34="Plan2",VLOOKUP(BB34,Deviation!$B$42:$C$43,2,FALSE),IF(AL34="Plan5",VLOOKUP(BB34,Deviation!$B$48:$C$49,2,FALSE),VLOOKUP(BB34,Deviation!$B$45:$C$46,2,FALSE)))),IF(AL34="Plan1",VLOOKUP(BB34,Deviation!$E$39:$F$40,2,FALSE),IF(AL34="Plan2",VLOOKUP(BB34,Deviation!$E$42:$F$43,2,FALSE),VLOOKUP(BB34,Deviation!$E$45:$F$46,2,FALSE))))),0)</f>
        <v/>
      </c>
      <c r="BH34" s="671" t="str">
        <f>IFERROR(IF(AL34="","",IF(AN34="Dubai",IF(OR(AL34="Plan1",AL34="Plan2"),VLOOKUP(BC34,Deviation!$B$15:$D$19,2,FALSE),VLOOKUP(BC34,Deviation!$B$15:$D$19,3,FALSE)),IF(OR(AL34="Plan1",AL34="Plan2"),VLOOKUP(BC34,Deviation!$E$15:$AE$19,2,FALSE),VLOOKUP(BC34,Deviation!$E$15:$AE$19,3,FALSE)))),0)</f>
        <v/>
      </c>
      <c r="BI34" s="669" t="str">
        <f>IFERROR(IF(AL34="","",IF(AN34="Dubai",VLOOKUP(BD34,Deviation!$B$24:$C$26,2,FALSE),100%)),0)</f>
        <v/>
      </c>
      <c r="BJ34" s="672">
        <f>IF(AE34="Abu Dhabi",1,IFERROR(VLOOKUP(AM34,Deviation!$B$67:$E$79,MATCH('Census Data'!AA34,Deviation!$B$66:$E$66,0),0),1))</f>
        <v>1</v>
      </c>
      <c r="BK34" s="659">
        <f>IFERROR(VLOOKUP(I34,Deviation!$B$54:$C$62,2,0),1)</f>
        <v>1</v>
      </c>
      <c r="BL34" s="148"/>
      <c r="BM34" s="148"/>
      <c r="BN34" s="148"/>
      <c r="BO34" s="148"/>
      <c r="BP34" s="148"/>
      <c r="BQ34" s="148"/>
      <c r="BR34" s="148"/>
      <c r="BS34" s="148"/>
      <c r="BT34" s="148" t="e">
        <f t="shared" si="20"/>
        <v>#VALUE!</v>
      </c>
      <c r="BU34" t="str">
        <f>IF(AL34="","",IFERROR(IF(AL34="","",IF(AN34="Dubai",HLOOKUP(AZ34,'input for formula'!$B$3:$F$10,AO34,FALSE), IF(AND(H34="Employee",AN34="Abu Dhabi"),HLOOKUP(AZ34,'input for formula'!$I$3:$K$7,AO34,FALSE),HLOOKUP(AZ34,'input for formula'!$M$3:$O$7,AO34,FALSE)))*AX34+AP34*AQ34+AR34*AS34+AT34*AU34),0)*$AZ$3*BK34*BJ34*IF(AND(Inputs!$C$19&gt;19,Inputs!$C$19&lt;30),(1+$AZ$2),1))</f>
        <v/>
      </c>
    </row>
    <row r="35" spans="1:73" ht="15" x14ac:dyDescent="0.25">
      <c r="A35" s="59">
        <v>30</v>
      </c>
      <c r="B35" s="470"/>
      <c r="C35" s="628"/>
      <c r="D35" s="629"/>
      <c r="E35" s="471"/>
      <c r="F35" s="298"/>
      <c r="G35" s="298"/>
      <c r="H35" s="298"/>
      <c r="I35" s="298"/>
      <c r="J35" s="80" t="str">
        <f>IFERROR(IF(C35="","",DATEDIF('Census Data'!C35,eff_date,"y")),"")</f>
        <v/>
      </c>
      <c r="K35" s="59" t="str">
        <f>IF(F35="","",IF(AE35="Dubai",HLOOKUP(F35,Inputs!$C$26:$M$28,3,0),HLOOKUP(F35,Inputs!$C$45:$M$46,2,0)))</f>
        <v/>
      </c>
      <c r="L35" s="104"/>
      <c r="M35" s="105">
        <f t="shared" si="1"/>
        <v>0</v>
      </c>
      <c r="N35" s="654" t="b">
        <f t="shared" si="11"/>
        <v>0</v>
      </c>
      <c r="O35" s="655" t="str">
        <f t="shared" si="2"/>
        <v>x</v>
      </c>
      <c r="P35" s="655" t="str">
        <f t="shared" si="3"/>
        <v>x</v>
      </c>
      <c r="Q35" s="655" t="str">
        <f t="shared" si="4"/>
        <v>x</v>
      </c>
      <c r="R35" s="655" t="str">
        <f t="shared" si="22"/>
        <v>x</v>
      </c>
      <c r="S35" s="655" t="str">
        <f t="shared" si="5"/>
        <v>x</v>
      </c>
      <c r="T35" s="655" t="str">
        <f>IF(ISERROR(MATCH(G35,'Inputs Mapping'!$T$4:$T$10,0)),"x","")</f>
        <v>x</v>
      </c>
      <c r="U35" s="655" t="str">
        <f>IF(ISERROR(MATCH(AA35,'Inputs Mapping'!$U$4:$U$5,0)),"x","")</f>
        <v>x</v>
      </c>
      <c r="V35" s="655" t="str">
        <f>IF(ISERROR(MATCH(AB35,'Inputs Mapping'!$V$4:$V$5,0)),"x","")</f>
        <v>x</v>
      </c>
      <c r="W35" s="655" t="str">
        <f>IF(ISERROR(MATCH(F35,'Inputs Mapping'!$W$4:$W$8,0)),"x","")</f>
        <v>x</v>
      </c>
      <c r="X35" s="655" t="str">
        <f t="shared" si="6"/>
        <v/>
      </c>
      <c r="Y35" s="655" t="str">
        <f t="shared" si="7"/>
        <v/>
      </c>
      <c r="Z35" s="655" t="str">
        <f t="shared" si="8"/>
        <v/>
      </c>
      <c r="AA35" s="655" t="str">
        <f t="shared" si="9"/>
        <v/>
      </c>
      <c r="AB35" s="655" t="str">
        <f t="shared" si="13"/>
        <v/>
      </c>
      <c r="AC35" s="655" t="str">
        <f t="shared" si="21"/>
        <v>x</v>
      </c>
      <c r="AD35" s="655" t="str">
        <f>IF(ISBLANK(I35),"x",IF(ISNUMBER(MATCH(I35,'Inputs Mapping'!$AF$5:$AF$199,0)),"","x"))</f>
        <v>x</v>
      </c>
      <c r="AE35" s="655" t="str">
        <f t="shared" si="14"/>
        <v/>
      </c>
      <c r="AF35" s="148"/>
      <c r="AG35" s="148"/>
      <c r="AH35" s="148" t="str">
        <f t="shared" si="15"/>
        <v/>
      </c>
      <c r="AI35" s="654" t="str">
        <f>IF(J35="","",VLOOKUP(J35,'Inputs Mapping'!$T$27:$V$31,3))</f>
        <v/>
      </c>
      <c r="AJ35" s="654" t="str">
        <f>IF(J35="","",VLOOKUP(J35,'Inputs Mapping'!$T$17:$V$24,3))</f>
        <v/>
      </c>
      <c r="AK35" s="654" t="str">
        <f t="shared" si="16"/>
        <v/>
      </c>
      <c r="AL35" s="655" t="str">
        <f t="shared" si="10"/>
        <v/>
      </c>
      <c r="AM35" s="655" t="str">
        <f>IF(F35="","",IF(AE35="Dubai",HLOOKUP(F35,Inputs!$C$26:$M$36,5,0),HLOOKUP(F35,Inputs!$C$45:$M$49,5,0)))</f>
        <v/>
      </c>
      <c r="AN35" s="655">
        <f t="shared" si="17"/>
        <v>0</v>
      </c>
      <c r="AO35" s="654" t="str">
        <f>IF(AJ35="","",IF(AN35="Dubai",VLOOKUP(AJ35,'Inputs Mapping'!$V$17:$W$24,2,0),VLOOKUP(AI35,'Inputs Mapping'!$V$27:$W$31,2,0)))</f>
        <v/>
      </c>
      <c r="AP35" s="666">
        <f>IFERROR(IF($AN35="","",HLOOKUP($AN35&amp;RIGHT($AL35,1),'input for formula'!$B$16:$I$20,3,0)),0)</f>
        <v>0</v>
      </c>
      <c r="AQ35" s="656">
        <f>IFERROR(IF($AN35="","",HLOOKUP($AN35&amp;$F35,'input for formula'!$B$22:$M$25,2,0)),0)</f>
        <v>0</v>
      </c>
      <c r="AR35" s="666">
        <f>IFERROR(IF($AN35="","",HLOOKUP($AN35&amp;RIGHT($AL35,1),'input for formula'!$B$16:$I$20,4,0)),0)</f>
        <v>0</v>
      </c>
      <c r="AS35" s="656">
        <f>IFERROR(IF($AN35="","",HLOOKUP($AN35&amp;$F35,'input for formula'!$B$22:$M$25,3,0)),0)</f>
        <v>0</v>
      </c>
      <c r="AT35" s="656">
        <f>IFERROR(IF($AN35="","",HLOOKUP($AN35&amp;RIGHT($AL35,1),'input for formula'!$B$16:$I$20,5,0)),0)</f>
        <v>0</v>
      </c>
      <c r="AU35" s="656">
        <f>IFERROR(IF($AN35="","",HLOOKUP($AN35&amp;$F35,'input for formula'!$B$22:$M$25,4,0)),0)</f>
        <v>0</v>
      </c>
      <c r="AV35" s="666">
        <f>IFERROR(IF($AN35="","",IF('Census Data'!$AN35="Abu Dhabi",VLOOKUP('Census Data'!$AM35,'input for formula'!$A$28:$C$41,3,0),VLOOKUP('Census Data'!$AM35,'input for formula'!$A$28:$C$47,2,0))),0)*IFERROR(1+IF(AN35="Dubai",VLOOKUP(F35,'Quotation for Dubai Plans'!$V$6:$X$12,3,FALSE),VLOOKUP(F35,'Quotation for Abu Dhabi Plans'!$W$6:$Y$12,3,FALSE)),0)</f>
        <v>0</v>
      </c>
      <c r="AW35" s="656" t="str">
        <f>AK35</f>
        <v/>
      </c>
      <c r="AX35" s="667" t="str">
        <f>IFERROR(IF(AL35="","",IF(AN35="Dubai",HLOOKUP((AL35&amp;AM35),Deviation!$B$7:$S$8,2,0)*BF35*BH35*BI35*BG35,HLOOKUP((AL35&amp;AM35),Deviation!$B$9:$O$10,2,0)*BF35*BH35*BI35*BG35)),0)</f>
        <v/>
      </c>
      <c r="AY35" s="668" t="str">
        <f>IF(AL35="","",IFERROR(IF(AL35="","",IF(AN35="Dubai",HLOOKUP(AZ35,'input for formula'!$B$3:$F$10,AO35,FALSE), IF(AND(H35="Employee",AN35="Abu Dhabi"),HLOOKUP(AZ35,'input for formula'!$I$3:$K$7,AO35,FALSE),HLOOKUP(AZ35,'input for formula'!$M$3:$O$7,AO35,FALSE)))*AX35+AP35*AQ35+AR35*AS35+AT35*AU35),0)*$AZ$3*BK35*BJ35*IF(AND(Inputs!$C$19&gt;19,Inputs!$C$19&lt;30),(1+$AZ$2),1)*(1+$AZ$1))</f>
        <v/>
      </c>
      <c r="AZ35" s="148" t="str">
        <f t="shared" si="19"/>
        <v/>
      </c>
      <c r="BA35" s="669" t="str">
        <f>IF(F35="","",IF(AE35="Dubai",HLOOKUP(F35,Inputs!$C$26:$M$37,9,0),HLOOKUP(F35,Inputs!$C$45:$M$56,9,0)))</f>
        <v/>
      </c>
      <c r="BB35" s="670" t="str">
        <f>IF(F35="","",IF(AE35="Dubai",HLOOKUP(F35,Inputs!$C$26:$M$37,10,0),HLOOKUP(F35,Inputs!$C$45:$M$56,10,0)))</f>
        <v/>
      </c>
      <c r="BC35" s="670" t="str">
        <f>IF(F35="","",IF(AE35="Dubai",HLOOKUP(F35,Inputs!$C$26:$M$37,11,0),HLOOKUP(F35,Inputs!$C$45:$M$56,11,0)))</f>
        <v/>
      </c>
      <c r="BD35" s="669" t="str">
        <f>IF(F35="","",IF(AE35="Dubai",HLOOKUP(F35,Inputs!$C$26:$M$37,12,0),HLOOKUP(F35,Inputs!$C$45:$M$56,12,0)))</f>
        <v/>
      </c>
      <c r="BE35" s="654"/>
      <c r="BF35" s="669" t="str">
        <f>IFERROR(IF(AL35="","",IF(AN35="Dubai",IF(OR(AL35="Plan1",AL35="Plan2"),VLOOKUP(BA35,Deviation!$B$31:$D$33,2,FALSE),VLOOKUP(BA35,Deviation!$B$31:$D$33,3,FALSE)),IF(OR(AL35="Plan1",AL35="Plan2"),VLOOKUP(BA35,Deviation!$E$31:$AE$33,2,FALSE),VLOOKUP(BA35,Deviation!$E$31:$AE$33,3,FALSE)))),0)</f>
        <v/>
      </c>
      <c r="BG35" s="671" t="str">
        <f>IFERROR(IF(AL35="","",IF(AN35="Dubai",IF(AL35="Plan1",VLOOKUP(BB35,Deviation!$B$39:$C$40,2,FALSE),IF(AL35="Plan2",VLOOKUP(BB35,Deviation!$B$42:$C$43,2,FALSE),IF(AL35="Plan5",VLOOKUP(BB35,Deviation!$B$48:$C$49,2,FALSE),VLOOKUP(BB35,Deviation!$B$45:$C$46,2,FALSE)))),IF(AL35="Plan1",VLOOKUP(BB35,Deviation!$E$39:$F$40,2,FALSE),IF(AL35="Plan2",VLOOKUP(BB35,Deviation!$E$42:$F$43,2,FALSE),VLOOKUP(BB35,Deviation!$E$45:$F$46,2,FALSE))))),0)</f>
        <v/>
      </c>
      <c r="BH35" s="671" t="str">
        <f>IFERROR(IF(AL35="","",IF(AN35="Dubai",IF(OR(AL35="Plan1",AL35="Plan2"),VLOOKUP(BC35,Deviation!$B$15:$D$19,2,FALSE),VLOOKUP(BC35,Deviation!$B$15:$D$19,3,FALSE)),IF(OR(AL35="Plan1",AL35="Plan2"),VLOOKUP(BC35,Deviation!$E$15:$AE$19,2,FALSE),VLOOKUP(BC35,Deviation!$E$15:$AE$19,3,FALSE)))),0)</f>
        <v/>
      </c>
      <c r="BI35" s="669" t="str">
        <f>IFERROR(IF(AL35="","",IF(AN35="Dubai",VLOOKUP(BD35,Deviation!$B$24:$C$26,2,FALSE),100%)),0)</f>
        <v/>
      </c>
      <c r="BJ35" s="672">
        <f>IF(AE35="Abu Dhabi",1,IFERROR(VLOOKUP(AM35,Deviation!$B$67:$E$79,MATCH('Census Data'!AA35,Deviation!$B$66:$E$66,0),0),1))</f>
        <v>1</v>
      </c>
      <c r="BK35" s="659">
        <f>IFERROR(VLOOKUP(I35,Deviation!$B$54:$C$62,2,0),1)</f>
        <v>1</v>
      </c>
      <c r="BL35" s="148"/>
      <c r="BM35" s="148"/>
      <c r="BN35" s="148"/>
      <c r="BO35" s="148"/>
      <c r="BP35" s="148"/>
      <c r="BQ35" s="148"/>
      <c r="BR35" s="148"/>
      <c r="BS35" s="148"/>
      <c r="BT35" s="148" t="e">
        <f t="shared" si="20"/>
        <v>#VALUE!</v>
      </c>
      <c r="BU35" t="str">
        <f>IF(AL35="","",IFERROR(IF(AL35="","",IF(AN35="Dubai",HLOOKUP(AZ35,'input for formula'!$B$3:$F$10,AO35,FALSE), IF(AND(H35="Employee",AN35="Abu Dhabi"),HLOOKUP(AZ35,'input for formula'!$I$3:$K$7,AO35,FALSE),HLOOKUP(AZ35,'input for formula'!$M$3:$O$7,AO35,FALSE)))*AX35+AP35*AQ35+AR35*AS35+AT35*AU35),0)*$AZ$3*BK35*BJ35*IF(AND(Inputs!$C$19&gt;19,Inputs!$C$19&lt;30),(1+$AZ$2),1))</f>
        <v/>
      </c>
    </row>
    <row r="36" spans="1:73" ht="15" x14ac:dyDescent="0.25">
      <c r="A36" s="59">
        <v>31</v>
      </c>
      <c r="B36" s="621"/>
      <c r="C36" s="628"/>
      <c r="D36" s="629"/>
      <c r="E36" s="471"/>
      <c r="F36" s="298"/>
      <c r="G36" s="298"/>
      <c r="H36" s="298"/>
      <c r="I36" s="298"/>
      <c r="J36" s="80" t="str">
        <f>IFERROR(IF(C36="","",DATEDIF('Census Data'!C36,eff_date,"y")),"")</f>
        <v/>
      </c>
      <c r="K36" s="59" t="str">
        <f>IF(F36="","",IF(AE36="Dubai",HLOOKUP(F36,Inputs!$C$26:$M$28,3,0),HLOOKUP(F36,Inputs!$C$45:$M$46,2,0)))</f>
        <v/>
      </c>
      <c r="L36" s="104"/>
      <c r="M36" s="105">
        <f t="shared" si="1"/>
        <v>0</v>
      </c>
      <c r="N36" s="654" t="b">
        <f t="shared" si="11"/>
        <v>0</v>
      </c>
      <c r="O36" s="655" t="str">
        <f t="shared" si="2"/>
        <v>x</v>
      </c>
      <c r="P36" s="655" t="str">
        <f t="shared" si="3"/>
        <v>x</v>
      </c>
      <c r="Q36" s="655" t="str">
        <f t="shared" si="4"/>
        <v>x</v>
      </c>
      <c r="R36" s="655" t="str">
        <f t="shared" si="22"/>
        <v>x</v>
      </c>
      <c r="S36" s="655" t="str">
        <f t="shared" si="5"/>
        <v>x</v>
      </c>
      <c r="T36" s="655" t="str">
        <f>IF(ISERROR(MATCH(G36,'Inputs Mapping'!$T$4:$T$10,0)),"x","")</f>
        <v>x</v>
      </c>
      <c r="U36" s="655" t="str">
        <f>IF(ISERROR(MATCH(AA36,'Inputs Mapping'!$U$4:$U$5,0)),"x","")</f>
        <v>x</v>
      </c>
      <c r="V36" s="655" t="str">
        <f>IF(ISERROR(MATCH(AB36,'Inputs Mapping'!$V$4:$V$5,0)),"x","")</f>
        <v>x</v>
      </c>
      <c r="W36" s="655" t="str">
        <f>IF(ISERROR(MATCH(F36,'Inputs Mapping'!$W$4:$W$8,0)),"x","")</f>
        <v>x</v>
      </c>
      <c r="X36" s="655" t="str">
        <f t="shared" si="6"/>
        <v/>
      </c>
      <c r="Y36" s="655" t="str">
        <f t="shared" si="7"/>
        <v/>
      </c>
      <c r="Z36" s="655" t="str">
        <f t="shared" si="8"/>
        <v/>
      </c>
      <c r="AA36" s="655" t="str">
        <f t="shared" si="9"/>
        <v/>
      </c>
      <c r="AB36" s="655" t="str">
        <f t="shared" si="13"/>
        <v/>
      </c>
      <c r="AC36" s="655" t="str">
        <f t="shared" si="21"/>
        <v>x</v>
      </c>
      <c r="AD36" s="655" t="str">
        <f>IF(ISBLANK(I36),"x",IF(ISNUMBER(MATCH(I36,'Inputs Mapping'!$AF$5:$AF$199,0)),"","x"))</f>
        <v>x</v>
      </c>
      <c r="AE36" s="655" t="str">
        <f t="shared" si="14"/>
        <v/>
      </c>
      <c r="AF36" s="148"/>
      <c r="AG36" s="148"/>
      <c r="AH36" s="148" t="str">
        <f t="shared" si="15"/>
        <v/>
      </c>
      <c r="AI36" s="654" t="str">
        <f>IF(J36="","",VLOOKUP(J36,'Inputs Mapping'!$T$27:$V$31,3))</f>
        <v/>
      </c>
      <c r="AJ36" s="654" t="str">
        <f>IF(J36="","",VLOOKUP(J36,'Inputs Mapping'!$T$17:$V$24,3))</f>
        <v/>
      </c>
      <c r="AK36" s="654" t="str">
        <f t="shared" si="16"/>
        <v/>
      </c>
      <c r="AL36" s="655" t="str">
        <f t="shared" si="10"/>
        <v/>
      </c>
      <c r="AM36" s="655" t="str">
        <f>IF(F36="","",IF(AE36="Dubai",HLOOKUP(F36,Inputs!$C$26:$M$36,5,0),HLOOKUP(F36,Inputs!$C$45:$M$49,5,0)))</f>
        <v/>
      </c>
      <c r="AN36" s="655">
        <f t="shared" si="17"/>
        <v>0</v>
      </c>
      <c r="AO36" s="654" t="str">
        <f>IF(AJ36="","",IF(AN36="Dubai",VLOOKUP(AJ36,'Inputs Mapping'!$V$17:$W$24,2,0),VLOOKUP(AI36,'Inputs Mapping'!$V$27:$W$31,2,0)))</f>
        <v/>
      </c>
      <c r="AP36" s="666">
        <f>IFERROR(IF($AN36="","",HLOOKUP($AN36&amp;RIGHT($AL36,1),'input for formula'!$B$16:$I$20,3,0)),0)</f>
        <v>0</v>
      </c>
      <c r="AQ36" s="656">
        <f>IFERROR(IF($AN36="","",HLOOKUP($AN36&amp;$F36,'input for formula'!$B$22:$M$25,2,0)),0)</f>
        <v>0</v>
      </c>
      <c r="AR36" s="666">
        <f>IFERROR(IF($AN36="","",HLOOKUP($AN36&amp;RIGHT($AL36,1),'input for formula'!$B$16:$I$20,4,0)),0)</f>
        <v>0</v>
      </c>
      <c r="AS36" s="656">
        <f>IFERROR(IF($AN36="","",HLOOKUP($AN36&amp;$F36,'input for formula'!$B$22:$M$25,3,0)),0)</f>
        <v>0</v>
      </c>
      <c r="AT36" s="656">
        <f>IFERROR(IF($AN36="","",HLOOKUP($AN36&amp;RIGHT($AL36,1),'input for formula'!$B$16:$I$20,5,0)),0)</f>
        <v>0</v>
      </c>
      <c r="AU36" s="656">
        <f>IFERROR(IF($AN36="","",HLOOKUP($AN36&amp;$F36,'input for formula'!$B$22:$M$25,4,0)),0)</f>
        <v>0</v>
      </c>
      <c r="AV36" s="666">
        <f>IFERROR(IF($AN36="","",IF('Census Data'!$AN36="Abu Dhabi",VLOOKUP('Census Data'!$AM36,'input for formula'!$A$28:$C$41,3,0),VLOOKUP('Census Data'!$AM36,'input for formula'!$A$28:$C$47,2,0))),0)*IFERROR(1+IF(AN36="Dubai",VLOOKUP(F36,'Quotation for Dubai Plans'!$V$6:$X$12,3,FALSE),VLOOKUP(F36,'Quotation for Abu Dhabi Plans'!$W$6:$Y$12,3,FALSE)),0)</f>
        <v>0</v>
      </c>
      <c r="AW36" s="656" t="str">
        <f t="shared" ref="AW36:AW99" si="23">AK36</f>
        <v/>
      </c>
      <c r="AX36" s="667" t="str">
        <f>IFERROR(IF(AL36="","",IF(AN36="Dubai",HLOOKUP((AL36&amp;AM36),Deviation!$B$7:$S$8,2,0)*BF36*BH36*BI36*BG36,HLOOKUP((AL36&amp;AM36),Deviation!$B$9:$O$10,2,0)*BF36*BH36*BI36*BG36)),0)</f>
        <v/>
      </c>
      <c r="AY36" s="668" t="str">
        <f>IF(AL36="","",IFERROR(IF(AL36="","",IF(AN36="Dubai",HLOOKUP(AZ36,'input for formula'!$B$3:$F$10,AO36,FALSE), IF(AND(H36="Employee",AN36="Abu Dhabi"),HLOOKUP(AZ36,'input for formula'!$I$3:$K$7,AO36,FALSE),HLOOKUP(AZ36,'input for formula'!$M$3:$O$7,AO36,FALSE)))*AX36+AP36*AQ36+AR36*AS36+AT36*AU36),0)*$AZ$3*BK36*BJ36*IF(AND(Inputs!$C$19&gt;19,Inputs!$C$19&lt;30),(1+$AZ$2),1)*(1+$AZ$1))</f>
        <v/>
      </c>
      <c r="AZ36" s="148" t="str">
        <f t="shared" si="19"/>
        <v/>
      </c>
      <c r="BA36" s="669" t="str">
        <f>IF(F36="","",IF(AE36="Dubai",HLOOKUP(F36,Inputs!$C$26:$M$37,9,0),HLOOKUP(F36,Inputs!$C$45:$M$56,9,0)))</f>
        <v/>
      </c>
      <c r="BB36" s="670" t="str">
        <f>IF(F36="","",IF(AE36="Dubai",HLOOKUP(F36,Inputs!$C$26:$M$37,10,0),HLOOKUP(F36,Inputs!$C$45:$M$56,10,0)))</f>
        <v/>
      </c>
      <c r="BC36" s="670" t="str">
        <f>IF(F36="","",IF(AE36="Dubai",HLOOKUP(F36,Inputs!$C$26:$M$37,11,0),HLOOKUP(F36,Inputs!$C$45:$M$56,11,0)))</f>
        <v/>
      </c>
      <c r="BD36" s="669" t="str">
        <f>IF(F36="","",IF(AE36="Dubai",HLOOKUP(F36,Inputs!$C$26:$M$37,12,0),HLOOKUP(F36,Inputs!$C$45:$M$56,12,0)))</f>
        <v/>
      </c>
      <c r="BE36" s="654"/>
      <c r="BF36" s="669" t="str">
        <f>IFERROR(IF(AL36="","",IF(AN36="Dubai",IF(OR(AL36="Plan1",AL36="Plan2"),VLOOKUP(BA36,Deviation!$B$31:$D$33,2,FALSE),VLOOKUP(BA36,Deviation!$B$31:$D$33,3,FALSE)),IF(OR(AL36="Plan1",AL36="Plan2"),VLOOKUP(BA36,Deviation!$E$31:$AE$33,2,FALSE),VLOOKUP(BA36,Deviation!$E$31:$AE$33,3,FALSE)))),0)</f>
        <v/>
      </c>
      <c r="BG36" s="671" t="str">
        <f>IFERROR(IF(AL36="","",IF(AN36="Dubai",IF(AL36="Plan1",VLOOKUP(BB36,Deviation!$B$39:$C$40,2,FALSE),IF(AL36="Plan2",VLOOKUP(BB36,Deviation!$B$42:$C$43,2,FALSE),IF(AL36="Plan5",VLOOKUP(BB36,Deviation!$B$48:$C$49,2,FALSE),VLOOKUP(BB36,Deviation!$B$45:$C$46,2,FALSE)))),IF(AL36="Plan1",VLOOKUP(BB36,Deviation!$E$39:$F$40,2,FALSE),IF(AL36="Plan2",VLOOKUP(BB36,Deviation!$E$42:$F$43,2,FALSE),VLOOKUP(BB36,Deviation!$E$45:$F$46,2,FALSE))))),0)</f>
        <v/>
      </c>
      <c r="BH36" s="671" t="str">
        <f>IFERROR(IF(AL36="","",IF(AN36="Dubai",IF(OR(AL36="Plan1",AL36="Plan2"),VLOOKUP(BC36,Deviation!$B$15:$D$19,2,FALSE),VLOOKUP(BC36,Deviation!$B$15:$D$19,3,FALSE)),IF(OR(AL36="Plan1",AL36="Plan2"),VLOOKUP(BC36,Deviation!$E$15:$AE$19,2,FALSE),VLOOKUP(BC36,Deviation!$E$15:$AE$19,3,FALSE)))),0)</f>
        <v/>
      </c>
      <c r="BI36" s="669" t="str">
        <f>IFERROR(IF(AL36="","",IF(AN36="Dubai",VLOOKUP(BD36,Deviation!$B$24:$C$26,2,FALSE),100%)),0)</f>
        <v/>
      </c>
      <c r="BJ36" s="672">
        <f>IF(AE36="Abu Dhabi",1,IFERROR(VLOOKUP(AM36,Deviation!$B$67:$E$79,MATCH('Census Data'!AA36,Deviation!$B$66:$E$66,0),0),1))</f>
        <v>1</v>
      </c>
      <c r="BK36" s="659">
        <f>IFERROR(VLOOKUP(I36,Deviation!$B$54:$C$62,2,0),1)</f>
        <v>1</v>
      </c>
      <c r="BL36" s="148"/>
      <c r="BM36" s="148"/>
      <c r="BN36" s="148"/>
      <c r="BO36" s="148"/>
      <c r="BP36" s="148"/>
      <c r="BQ36" s="148"/>
      <c r="BR36" s="148"/>
      <c r="BS36" s="148"/>
      <c r="BT36" s="148" t="e">
        <f t="shared" si="20"/>
        <v>#VALUE!</v>
      </c>
      <c r="BU36" t="str">
        <f>IF(AL36="","",IFERROR(IF(AL36="","",IF(AN36="Dubai",HLOOKUP(AZ36,'input for formula'!$B$3:$F$10,AO36,FALSE), IF(AND(H36="Employee",AN36="Abu Dhabi"),HLOOKUP(AZ36,'input for formula'!$I$3:$K$7,AO36,FALSE),HLOOKUP(AZ36,'input for formula'!$M$3:$O$7,AO36,FALSE)))*AX36+AP36*AQ36+AR36*AS36+AT36*AU36),0)*$AZ$3*BK36*BJ36*IF(AND(Inputs!$C$19&gt;19,Inputs!$C$19&lt;30),(1+$AZ$2),1))</f>
        <v/>
      </c>
    </row>
    <row r="37" spans="1:73" ht="15" x14ac:dyDescent="0.25">
      <c r="A37" s="59">
        <v>32</v>
      </c>
      <c r="B37" s="621"/>
      <c r="C37" s="628"/>
      <c r="D37" s="629"/>
      <c r="E37" s="471"/>
      <c r="F37" s="298"/>
      <c r="G37" s="298"/>
      <c r="H37" s="298"/>
      <c r="I37" s="298"/>
      <c r="J37" s="80" t="str">
        <f>IFERROR(IF(C37="","",DATEDIF('Census Data'!C37,eff_date,"y")),"")</f>
        <v/>
      </c>
      <c r="K37" s="59" t="str">
        <f>IF(F37="","",IF(AE37="Dubai",HLOOKUP(F37,Inputs!$C$26:$M$28,3,0),HLOOKUP(F37,Inputs!$C$45:$M$46,2,0)))</f>
        <v/>
      </c>
      <c r="L37" s="104"/>
      <c r="M37" s="105">
        <f t="shared" si="1"/>
        <v>0</v>
      </c>
      <c r="N37" s="654" t="b">
        <f t="shared" si="11"/>
        <v>0</v>
      </c>
      <c r="O37" s="655" t="str">
        <f t="shared" si="2"/>
        <v>x</v>
      </c>
      <c r="P37" s="655" t="str">
        <f t="shared" si="3"/>
        <v>x</v>
      </c>
      <c r="Q37" s="655" t="str">
        <f t="shared" si="4"/>
        <v>x</v>
      </c>
      <c r="R37" s="655" t="str">
        <f t="shared" si="22"/>
        <v>x</v>
      </c>
      <c r="S37" s="655" t="str">
        <f t="shared" si="5"/>
        <v>x</v>
      </c>
      <c r="T37" s="655" t="str">
        <f>IF(ISERROR(MATCH(G37,'Inputs Mapping'!$T$4:$T$10,0)),"x","")</f>
        <v>x</v>
      </c>
      <c r="U37" s="655" t="str">
        <f>IF(ISERROR(MATCH(AA37,'Inputs Mapping'!$U$4:$U$5,0)),"x","")</f>
        <v>x</v>
      </c>
      <c r="V37" s="655" t="str">
        <f>IF(ISERROR(MATCH(AB37,'Inputs Mapping'!$V$4:$V$5,0)),"x","")</f>
        <v>x</v>
      </c>
      <c r="W37" s="655" t="str">
        <f>IF(ISERROR(MATCH(F37,'Inputs Mapping'!$W$4:$W$8,0)),"x","")</f>
        <v>x</v>
      </c>
      <c r="X37" s="655" t="str">
        <f t="shared" si="6"/>
        <v/>
      </c>
      <c r="Y37" s="655" t="str">
        <f t="shared" si="7"/>
        <v/>
      </c>
      <c r="Z37" s="655" t="str">
        <f t="shared" si="8"/>
        <v/>
      </c>
      <c r="AA37" s="655" t="str">
        <f t="shared" si="9"/>
        <v/>
      </c>
      <c r="AB37" s="655" t="str">
        <f t="shared" si="13"/>
        <v/>
      </c>
      <c r="AC37" s="655" t="str">
        <f t="shared" si="21"/>
        <v>x</v>
      </c>
      <c r="AD37" s="655" t="str">
        <f>IF(ISBLANK(I37),"x",IF(ISNUMBER(MATCH(I37,'Inputs Mapping'!$AF$5:$AF$199,0)),"","x"))</f>
        <v>x</v>
      </c>
      <c r="AE37" s="655" t="str">
        <f t="shared" si="14"/>
        <v/>
      </c>
      <c r="AF37" s="148"/>
      <c r="AG37" s="148"/>
      <c r="AH37" s="148" t="str">
        <f t="shared" si="15"/>
        <v/>
      </c>
      <c r="AI37" s="654" t="str">
        <f>IF(J37="","",VLOOKUP(J37,'Inputs Mapping'!$T$27:$V$31,3))</f>
        <v/>
      </c>
      <c r="AJ37" s="654" t="str">
        <f>IF(J37="","",VLOOKUP(J37,'Inputs Mapping'!$T$17:$V$24,3))</f>
        <v/>
      </c>
      <c r="AK37" s="654" t="str">
        <f t="shared" si="16"/>
        <v/>
      </c>
      <c r="AL37" s="655" t="str">
        <f t="shared" si="10"/>
        <v/>
      </c>
      <c r="AM37" s="655" t="str">
        <f>IF(F37="","",IF(AE37="Dubai",HLOOKUP(F37,Inputs!$C$26:$M$36,5,0),HLOOKUP(F37,Inputs!$C$45:$M$49,5,0)))</f>
        <v/>
      </c>
      <c r="AN37" s="655">
        <f t="shared" si="17"/>
        <v>0</v>
      </c>
      <c r="AO37" s="654" t="str">
        <f>IF(AJ37="","",IF(AN37="Dubai",VLOOKUP(AJ37,'Inputs Mapping'!$V$17:$W$24,2,0),VLOOKUP(AI37,'Inputs Mapping'!$V$27:$W$31,2,0)))</f>
        <v/>
      </c>
      <c r="AP37" s="666">
        <f>IFERROR(IF($AN37="","",HLOOKUP($AN37&amp;RIGHT($AL37,1),'input for formula'!$B$16:$I$20,3,0)),0)</f>
        <v>0</v>
      </c>
      <c r="AQ37" s="656">
        <f>IFERROR(IF($AN37="","",HLOOKUP($AN37&amp;$F37,'input for formula'!$B$22:$M$25,2,0)),0)</f>
        <v>0</v>
      </c>
      <c r="AR37" s="666">
        <f>IFERROR(IF($AN37="","",HLOOKUP($AN37&amp;RIGHT($AL37,1),'input for formula'!$B$16:$I$20,4,0)),0)</f>
        <v>0</v>
      </c>
      <c r="AS37" s="656">
        <f>IFERROR(IF($AN37="","",HLOOKUP($AN37&amp;$F37,'input for formula'!$B$22:$M$25,3,0)),0)</f>
        <v>0</v>
      </c>
      <c r="AT37" s="656">
        <f>IFERROR(IF($AN37="","",HLOOKUP($AN37&amp;RIGHT($AL37,1),'input for formula'!$B$16:$I$20,5,0)),0)</f>
        <v>0</v>
      </c>
      <c r="AU37" s="656">
        <f>IFERROR(IF($AN37="","",HLOOKUP($AN37&amp;$F37,'input for formula'!$B$22:$M$25,4,0)),0)</f>
        <v>0</v>
      </c>
      <c r="AV37" s="666">
        <f>IFERROR(IF($AN37="","",IF('Census Data'!$AN37="Abu Dhabi",VLOOKUP('Census Data'!$AM37,'input for formula'!$A$28:$C$41,3,0),VLOOKUP('Census Data'!$AM37,'input for formula'!$A$28:$C$47,2,0))),0)*IFERROR(1+IF(AN37="Dubai",VLOOKUP(F37,'Quotation for Dubai Plans'!$V$6:$X$12,3,FALSE),VLOOKUP(F37,'Quotation for Abu Dhabi Plans'!$W$6:$Y$12,3,FALSE)),0)</f>
        <v>0</v>
      </c>
      <c r="AW37" s="656" t="str">
        <f t="shared" si="23"/>
        <v/>
      </c>
      <c r="AX37" s="667" t="str">
        <f>IFERROR(IF(AL37="","",IF(AN37="Dubai",HLOOKUP((AL37&amp;AM37),Deviation!$B$7:$S$8,2,0)*BF37*BH37*BI37*BG37,HLOOKUP((AL37&amp;AM37),Deviation!$B$9:$O$10,2,0)*BF37*BH37*BI37*BG37)),0)</f>
        <v/>
      </c>
      <c r="AY37" s="668" t="str">
        <f>IF(AL37="","",IFERROR(IF(AL37="","",IF(AN37="Dubai",HLOOKUP(AZ37,'input for formula'!$B$3:$F$10,AO37,FALSE), IF(AND(H37="Employee",AN37="Abu Dhabi"),HLOOKUP(AZ37,'input for formula'!$I$3:$K$7,AO37,FALSE),HLOOKUP(AZ37,'input for formula'!$M$3:$O$7,AO37,FALSE)))*AX37+AP37*AQ37+AR37*AS37+AT37*AU37),0)*$AZ$3*BK37*BJ37*IF(AND(Inputs!$C$19&gt;19,Inputs!$C$19&lt;30),(1+$AZ$2),1)*(1+$AZ$1))</f>
        <v/>
      </c>
      <c r="AZ37" s="148" t="str">
        <f t="shared" si="19"/>
        <v/>
      </c>
      <c r="BA37" s="669" t="str">
        <f>IF(F37="","",IF(AE37="Dubai",HLOOKUP(F37,Inputs!$C$26:$M$37,9,0),HLOOKUP(F37,Inputs!$C$45:$M$56,9,0)))</f>
        <v/>
      </c>
      <c r="BB37" s="670" t="str">
        <f>IF(F37="","",IF(AE37="Dubai",HLOOKUP(F37,Inputs!$C$26:$M$37,10,0),HLOOKUP(F37,Inputs!$C$45:$M$56,10,0)))</f>
        <v/>
      </c>
      <c r="BC37" s="670" t="str">
        <f>IF(F37="","",IF(AE37="Dubai",HLOOKUP(F37,Inputs!$C$26:$M$37,11,0),HLOOKUP(F37,Inputs!$C$45:$M$56,11,0)))</f>
        <v/>
      </c>
      <c r="BD37" s="669" t="str">
        <f>IF(F37="","",IF(AE37="Dubai",HLOOKUP(F37,Inputs!$C$26:$M$37,12,0),HLOOKUP(F37,Inputs!$C$45:$M$56,12,0)))</f>
        <v/>
      </c>
      <c r="BE37" s="654"/>
      <c r="BF37" s="669" t="str">
        <f>IFERROR(IF(AL37="","",IF(AN37="Dubai",IF(OR(AL37="Plan1",AL37="Plan2"),VLOOKUP(BA37,Deviation!$B$31:$D$33,2,FALSE),VLOOKUP(BA37,Deviation!$B$31:$D$33,3,FALSE)),IF(OR(AL37="Plan1",AL37="Plan2"),VLOOKUP(BA37,Deviation!$E$31:$AE$33,2,FALSE),VLOOKUP(BA37,Deviation!$E$31:$AE$33,3,FALSE)))),0)</f>
        <v/>
      </c>
      <c r="BG37" s="671" t="str">
        <f>IFERROR(IF(AL37="","",IF(AN37="Dubai",IF(AL37="Plan1",VLOOKUP(BB37,Deviation!$B$39:$C$40,2,FALSE),IF(AL37="Plan2",VLOOKUP(BB37,Deviation!$B$42:$C$43,2,FALSE),IF(AL37="Plan5",VLOOKUP(BB37,Deviation!$B$48:$C$49,2,FALSE),VLOOKUP(BB37,Deviation!$B$45:$C$46,2,FALSE)))),IF(AL37="Plan1",VLOOKUP(BB37,Deviation!$E$39:$F$40,2,FALSE),IF(AL37="Plan2",VLOOKUP(BB37,Deviation!$E$42:$F$43,2,FALSE),VLOOKUP(BB37,Deviation!$E$45:$F$46,2,FALSE))))),0)</f>
        <v/>
      </c>
      <c r="BH37" s="671" t="str">
        <f>IFERROR(IF(AL37="","",IF(AN37="Dubai",IF(OR(AL37="Plan1",AL37="Plan2"),VLOOKUP(BC37,Deviation!$B$15:$D$19,2,FALSE),VLOOKUP(BC37,Deviation!$B$15:$D$19,3,FALSE)),IF(OR(AL37="Plan1",AL37="Plan2"),VLOOKUP(BC37,Deviation!$E$15:$AE$19,2,FALSE),VLOOKUP(BC37,Deviation!$E$15:$AE$19,3,FALSE)))),0)</f>
        <v/>
      </c>
      <c r="BI37" s="669" t="str">
        <f>IFERROR(IF(AL37="","",IF(AN37="Dubai",VLOOKUP(BD37,Deviation!$B$24:$C$26,2,FALSE),100%)),0)</f>
        <v/>
      </c>
      <c r="BJ37" s="672">
        <f>IF(AE37="Abu Dhabi",1,IFERROR(VLOOKUP(AM37,Deviation!$B$67:$E$79,MATCH('Census Data'!AA37,Deviation!$B$66:$E$66,0),0),1))</f>
        <v>1</v>
      </c>
      <c r="BK37" s="659">
        <f>IFERROR(VLOOKUP(I37,Deviation!$B$54:$C$62,2,0),1)</f>
        <v>1</v>
      </c>
      <c r="BL37" s="148"/>
      <c r="BM37" s="148"/>
      <c r="BN37" s="148"/>
      <c r="BO37" s="148"/>
      <c r="BP37" s="148"/>
      <c r="BQ37" s="148"/>
      <c r="BR37" s="148"/>
      <c r="BS37" s="148"/>
      <c r="BT37" s="148" t="e">
        <f t="shared" si="20"/>
        <v>#VALUE!</v>
      </c>
      <c r="BU37" t="str">
        <f>IF(AL37="","",IFERROR(IF(AL37="","",IF(AN37="Dubai",HLOOKUP(AZ37,'input for formula'!$B$3:$F$10,AO37,FALSE), IF(AND(H37="Employee",AN37="Abu Dhabi"),HLOOKUP(AZ37,'input for formula'!$I$3:$K$7,AO37,FALSE),HLOOKUP(AZ37,'input for formula'!$M$3:$O$7,AO37,FALSE)))*AX37+AP37*AQ37+AR37*AS37+AT37*AU37),0)*$AZ$3*BK37*BJ37*IF(AND(Inputs!$C$19&gt;19,Inputs!$C$19&lt;30),(1+$AZ$2),1))</f>
        <v/>
      </c>
    </row>
    <row r="38" spans="1:73" ht="15" x14ac:dyDescent="0.25">
      <c r="A38" s="59">
        <v>33</v>
      </c>
      <c r="B38" s="621"/>
      <c r="C38" s="628"/>
      <c r="D38" s="629"/>
      <c r="E38" s="471"/>
      <c r="F38" s="298"/>
      <c r="G38" s="298"/>
      <c r="H38" s="298"/>
      <c r="I38" s="298"/>
      <c r="J38" s="80" t="str">
        <f>IFERROR(IF(C38="","",DATEDIF('Census Data'!C38,eff_date,"y")),"")</f>
        <v/>
      </c>
      <c r="K38" s="59" t="str">
        <f>IF(F38="","",IF(AE38="Dubai",HLOOKUP(F38,Inputs!$C$26:$M$28,3,0),HLOOKUP(F38,Inputs!$C$45:$M$46,2,0)))</f>
        <v/>
      </c>
      <c r="L38" s="104"/>
      <c r="M38" s="105">
        <f t="shared" si="1"/>
        <v>0</v>
      </c>
      <c r="N38" s="654" t="b">
        <f t="shared" ref="N38:N69" si="24">NOT(AND(ISBLANK(C38),ISBLANK(D38),ISBLANK(E38),ISBLANK(F38),ISBLANK(G38)))</f>
        <v>0</v>
      </c>
      <c r="O38" s="655" t="str">
        <f t="shared" ref="O38:O69" si="25">IF(ISBLANK(C38),"x","")</f>
        <v>x</v>
      </c>
      <c r="P38" s="655" t="str">
        <f t="shared" ref="P38:P69" si="26">IF(ISBLANK(D38),"x","")</f>
        <v>x</v>
      </c>
      <c r="Q38" s="655" t="str">
        <f t="shared" ref="Q38:Q69" si="27">IF(ISBLANK(E38),"x","")</f>
        <v>x</v>
      </c>
      <c r="R38" s="655" t="str">
        <f t="shared" si="22"/>
        <v>x</v>
      </c>
      <c r="S38" s="655" t="str">
        <f t="shared" ref="S38:S69" si="28">IF(ISBLANK(G38),"x","")</f>
        <v>x</v>
      </c>
      <c r="T38" s="655" t="str">
        <f>IF(ISERROR(MATCH(G38,'Inputs Mapping'!$T$4:$T$10,0)),"x","")</f>
        <v>x</v>
      </c>
      <c r="U38" s="655" t="str">
        <f>IF(ISERROR(MATCH(AA38,'Inputs Mapping'!$U$4:$U$5,0)),"x","")</f>
        <v>x</v>
      </c>
      <c r="V38" s="655" t="str">
        <f>IF(ISERROR(MATCH(AB38,'Inputs Mapping'!$V$4:$V$5,0)),"x","")</f>
        <v>x</v>
      </c>
      <c r="W38" s="655" t="str">
        <f>IF(ISERROR(MATCH(F38,'Inputs Mapping'!$W$4:$W$8,0)),"x","")</f>
        <v>x</v>
      </c>
      <c r="X38" s="655" t="str">
        <f t="shared" ref="X38:X69" si="29">IF(ISBLANK(C38),"",IF(OR(ISERROR(J38),NOT(ISNUMBER(C38))),"x",""))</f>
        <v/>
      </c>
      <c r="Y38" s="655" t="str">
        <f t="shared" ref="Y38:Y69" si="30">IF(ISBLANK(C38),"",IF(ISERROR(J38),"",""))</f>
        <v/>
      </c>
      <c r="Z38" s="655" t="str">
        <f t="shared" si="8"/>
        <v/>
      </c>
      <c r="AA38" s="655" t="str">
        <f t="shared" si="9"/>
        <v/>
      </c>
      <c r="AB38" s="655" t="str">
        <f t="shared" si="13"/>
        <v/>
      </c>
      <c r="AC38" s="655" t="str">
        <f t="shared" si="21"/>
        <v>x</v>
      </c>
      <c r="AD38" s="655" t="str">
        <f>IF(ISBLANK(I38),"x",IF(ISNUMBER(MATCH(I38,'Inputs Mapping'!$AF$5:$AF$199,0)),"","x"))</f>
        <v>x</v>
      </c>
      <c r="AE38" s="655" t="str">
        <f t="shared" si="14"/>
        <v/>
      </c>
      <c r="AF38" s="148"/>
      <c r="AG38" s="148"/>
      <c r="AH38" s="148" t="str">
        <f t="shared" si="15"/>
        <v/>
      </c>
      <c r="AI38" s="654" t="str">
        <f>IF(J38="","",VLOOKUP(J38,'Inputs Mapping'!$T$27:$V$31,3))</f>
        <v/>
      </c>
      <c r="AJ38" s="654" t="str">
        <f>IF(J38="","",VLOOKUP(J38,'Inputs Mapping'!$T$17:$V$24,3))</f>
        <v/>
      </c>
      <c r="AK38" s="654" t="str">
        <f t="shared" si="16"/>
        <v/>
      </c>
      <c r="AL38" s="655" t="str">
        <f t="shared" ref="AL38:AL69" si="31">K38</f>
        <v/>
      </c>
      <c r="AM38" s="655" t="str">
        <f>IF(F38="","",IF(AE38="Dubai",HLOOKUP(F38,Inputs!$C$26:$M$36,5,0),HLOOKUP(F38,Inputs!$C$45:$M$49,5,0)))</f>
        <v/>
      </c>
      <c r="AN38" s="655">
        <f t="shared" si="17"/>
        <v>0</v>
      </c>
      <c r="AO38" s="654" t="str">
        <f>IF(AJ38="","",IF(AN38="Dubai",VLOOKUP(AJ38,'Inputs Mapping'!$V$17:$W$24,2,0),VLOOKUP(AI38,'Inputs Mapping'!$V$27:$W$31,2,0)))</f>
        <v/>
      </c>
      <c r="AP38" s="666">
        <f>IFERROR(IF($AN38="","",HLOOKUP($AN38&amp;RIGHT($AL38,1),'input for formula'!$B$16:$I$20,3,0)),0)</f>
        <v>0</v>
      </c>
      <c r="AQ38" s="656">
        <f>IFERROR(IF($AN38="","",HLOOKUP($AN38&amp;$F38,'input for formula'!$B$22:$M$25,2,0)),0)</f>
        <v>0</v>
      </c>
      <c r="AR38" s="666">
        <f>IFERROR(IF($AN38="","",HLOOKUP($AN38&amp;RIGHT($AL38,1),'input for formula'!$B$16:$I$20,4,0)),0)</f>
        <v>0</v>
      </c>
      <c r="AS38" s="656">
        <f>IFERROR(IF($AN38="","",HLOOKUP($AN38&amp;$F38,'input for formula'!$B$22:$M$25,3,0)),0)</f>
        <v>0</v>
      </c>
      <c r="AT38" s="656">
        <f>IFERROR(IF($AN38="","",HLOOKUP($AN38&amp;RIGHT($AL38,1),'input for formula'!$B$16:$I$20,5,0)),0)</f>
        <v>0</v>
      </c>
      <c r="AU38" s="656">
        <f>IFERROR(IF($AN38="","",HLOOKUP($AN38&amp;$F38,'input for formula'!$B$22:$M$25,4,0)),0)</f>
        <v>0</v>
      </c>
      <c r="AV38" s="666">
        <f>IFERROR(IF($AN38="","",IF('Census Data'!$AN38="Abu Dhabi",VLOOKUP('Census Data'!$AM38,'input for formula'!$A$28:$C$41,3,0),VLOOKUP('Census Data'!$AM38,'input for formula'!$A$28:$C$47,2,0))),0)*IFERROR(1+IF(AN38="Dubai",VLOOKUP(F38,'Quotation for Dubai Plans'!$V$6:$X$12,3,FALSE),VLOOKUP(F38,'Quotation for Abu Dhabi Plans'!$W$6:$Y$12,3,FALSE)),0)</f>
        <v>0</v>
      </c>
      <c r="AW38" s="656" t="str">
        <f t="shared" si="23"/>
        <v/>
      </c>
      <c r="AX38" s="667" t="str">
        <f>IFERROR(IF(AL38="","",IF(AN38="Dubai",HLOOKUP((AL38&amp;AM38),Deviation!$B$7:$S$8,2,0)*BF38*BH38*BI38*BG38,HLOOKUP((AL38&amp;AM38),Deviation!$B$9:$O$10,2,0)*BF38*BH38*BI38*BG38)),0)</f>
        <v/>
      </c>
      <c r="AY38" s="668" t="str">
        <f>IF(AL38="","",IFERROR(IF(AL38="","",IF(AN38="Dubai",HLOOKUP(AZ38,'input for formula'!$B$3:$F$10,AO38,FALSE), IF(AND(H38="Employee",AN38="Abu Dhabi"),HLOOKUP(AZ38,'input for formula'!$I$3:$K$7,AO38,FALSE),HLOOKUP(AZ38,'input for formula'!$M$3:$O$7,AO38,FALSE)))*AX38+AP38*AQ38+AR38*AS38+AT38*AU38),0)*$AZ$3*BK38*BJ38*IF(AND(Inputs!$C$19&gt;19,Inputs!$C$19&lt;30),(1+$AZ$2),1)*(1+$AZ$1))</f>
        <v/>
      </c>
      <c r="AZ38" s="148" t="str">
        <f t="shared" si="19"/>
        <v/>
      </c>
      <c r="BA38" s="669" t="str">
        <f>IF(F38="","",IF(AE38="Dubai",HLOOKUP(F38,Inputs!$C$26:$M$37,9,0),HLOOKUP(F38,Inputs!$C$45:$M$56,9,0)))</f>
        <v/>
      </c>
      <c r="BB38" s="670" t="str">
        <f>IF(F38="","",IF(AE38="Dubai",HLOOKUP(F38,Inputs!$C$26:$M$37,10,0),HLOOKUP(F38,Inputs!$C$45:$M$56,10,0)))</f>
        <v/>
      </c>
      <c r="BC38" s="670" t="str">
        <f>IF(F38="","",IF(AE38="Dubai",HLOOKUP(F38,Inputs!$C$26:$M$37,11,0),HLOOKUP(F38,Inputs!$C$45:$M$56,11,0)))</f>
        <v/>
      </c>
      <c r="BD38" s="669" t="str">
        <f>IF(F38="","",IF(AE38="Dubai",HLOOKUP(F38,Inputs!$C$26:$M$37,12,0),HLOOKUP(F38,Inputs!$C$45:$M$56,12,0)))</f>
        <v/>
      </c>
      <c r="BE38" s="654"/>
      <c r="BF38" s="669" t="str">
        <f>IFERROR(IF(AL38="","",IF(AN38="Dubai",IF(OR(AL38="Plan1",AL38="Plan2"),VLOOKUP(BA38,Deviation!$B$31:$D$33,2,FALSE),VLOOKUP(BA38,Deviation!$B$31:$D$33,3,FALSE)),IF(OR(AL38="Plan1",AL38="Plan2"),VLOOKUP(BA38,Deviation!$E$31:$AE$33,2,FALSE),VLOOKUP(BA38,Deviation!$E$31:$AE$33,3,FALSE)))),0)</f>
        <v/>
      </c>
      <c r="BG38" s="671" t="str">
        <f>IFERROR(IF(AL38="","",IF(AN38="Dubai",IF(AL38="Plan1",VLOOKUP(BB38,Deviation!$B$39:$C$40,2,FALSE),IF(AL38="Plan2",VLOOKUP(BB38,Deviation!$B$42:$C$43,2,FALSE),IF(AL38="Plan5",VLOOKUP(BB38,Deviation!$B$48:$C$49,2,FALSE),VLOOKUP(BB38,Deviation!$B$45:$C$46,2,FALSE)))),IF(AL38="Plan1",VLOOKUP(BB38,Deviation!$E$39:$F$40,2,FALSE),IF(AL38="Plan2",VLOOKUP(BB38,Deviation!$E$42:$F$43,2,FALSE),VLOOKUP(BB38,Deviation!$E$45:$F$46,2,FALSE))))),0)</f>
        <v/>
      </c>
      <c r="BH38" s="671" t="str">
        <f>IFERROR(IF(AL38="","",IF(AN38="Dubai",IF(OR(AL38="Plan1",AL38="Plan2"),VLOOKUP(BC38,Deviation!$B$15:$D$19,2,FALSE),VLOOKUP(BC38,Deviation!$B$15:$D$19,3,FALSE)),IF(OR(AL38="Plan1",AL38="Plan2"),VLOOKUP(BC38,Deviation!$E$15:$AE$19,2,FALSE),VLOOKUP(BC38,Deviation!$E$15:$AE$19,3,FALSE)))),0)</f>
        <v/>
      </c>
      <c r="BI38" s="669" t="str">
        <f>IFERROR(IF(AL38="","",IF(AN38="Dubai",VLOOKUP(BD38,Deviation!$B$24:$C$26,2,FALSE),100%)),0)</f>
        <v/>
      </c>
      <c r="BJ38" s="672">
        <f>IF(AE38="Abu Dhabi",1,IFERROR(VLOOKUP(AM38,Deviation!$B$67:$E$79,MATCH('Census Data'!AA38,Deviation!$B$66:$E$66,0),0),1))</f>
        <v>1</v>
      </c>
      <c r="BK38" s="659">
        <f>IFERROR(VLOOKUP(I38,Deviation!$B$54:$C$62,2,0),1)</f>
        <v>1</v>
      </c>
      <c r="BL38" s="148"/>
      <c r="BM38" s="148"/>
      <c r="BN38" s="148"/>
      <c r="BO38" s="148"/>
      <c r="BP38" s="148"/>
      <c r="BQ38" s="148"/>
      <c r="BR38" s="148"/>
      <c r="BS38" s="148"/>
      <c r="BT38" s="148" t="e">
        <f t="shared" si="20"/>
        <v>#VALUE!</v>
      </c>
      <c r="BU38" t="str">
        <f>IF(AL38="","",IFERROR(IF(AL38="","",IF(AN38="Dubai",HLOOKUP(AZ38,'input for formula'!$B$3:$F$10,AO38,FALSE), IF(AND(H38="Employee",AN38="Abu Dhabi"),HLOOKUP(AZ38,'input for formula'!$I$3:$K$7,AO38,FALSE),HLOOKUP(AZ38,'input for formula'!$M$3:$O$7,AO38,FALSE)))*AX38+AP38*AQ38+AR38*AS38+AT38*AU38),0)*$AZ$3*BK38*BJ38*IF(AND(Inputs!$C$19&gt;19,Inputs!$C$19&lt;30),(1+$AZ$2),1))</f>
        <v/>
      </c>
    </row>
    <row r="39" spans="1:73" ht="15" x14ac:dyDescent="0.25">
      <c r="A39" s="59">
        <v>34</v>
      </c>
      <c r="B39" s="621"/>
      <c r="C39" s="628"/>
      <c r="D39" s="629"/>
      <c r="E39" s="471"/>
      <c r="F39" s="298"/>
      <c r="G39" s="298"/>
      <c r="H39" s="298"/>
      <c r="I39" s="298"/>
      <c r="J39" s="80" t="str">
        <f>IFERROR(IF(C39="","",DATEDIF('Census Data'!C39,eff_date,"y")),"")</f>
        <v/>
      </c>
      <c r="K39" s="59" t="str">
        <f>IF(F39="","",IF(AE39="Dubai",HLOOKUP(F39,Inputs!$C$26:$M$28,3,0),HLOOKUP(F39,Inputs!$C$45:$M$46,2,0)))</f>
        <v/>
      </c>
      <c r="L39" s="104"/>
      <c r="M39" s="105">
        <f t="shared" si="1"/>
        <v>0</v>
      </c>
      <c r="N39" s="654" t="b">
        <f t="shared" si="24"/>
        <v>0</v>
      </c>
      <c r="O39" s="655" t="str">
        <f t="shared" si="25"/>
        <v>x</v>
      </c>
      <c r="P39" s="655" t="str">
        <f t="shared" si="26"/>
        <v>x</v>
      </c>
      <c r="Q39" s="655" t="str">
        <f t="shared" si="27"/>
        <v>x</v>
      </c>
      <c r="R39" s="655" t="str">
        <f t="shared" si="22"/>
        <v>x</v>
      </c>
      <c r="S39" s="655" t="str">
        <f t="shared" si="28"/>
        <v>x</v>
      </c>
      <c r="T39" s="655" t="str">
        <f>IF(ISERROR(MATCH(G39,'Inputs Mapping'!$T$4:$T$10,0)),"x","")</f>
        <v>x</v>
      </c>
      <c r="U39" s="655" t="str">
        <f>IF(ISERROR(MATCH(AA39,'Inputs Mapping'!$U$4:$U$5,0)),"x","")</f>
        <v>x</v>
      </c>
      <c r="V39" s="655" t="str">
        <f>IF(ISERROR(MATCH(AB39,'Inputs Mapping'!$V$4:$V$5,0)),"x","")</f>
        <v>x</v>
      </c>
      <c r="W39" s="655" t="str">
        <f>IF(ISERROR(MATCH(F39,'Inputs Mapping'!$W$4:$W$8,0)),"x","")</f>
        <v>x</v>
      </c>
      <c r="X39" s="655" t="str">
        <f t="shared" si="29"/>
        <v/>
      </c>
      <c r="Y39" s="655" t="str">
        <f t="shared" si="30"/>
        <v/>
      </c>
      <c r="Z39" s="655" t="str">
        <f t="shared" si="8"/>
        <v/>
      </c>
      <c r="AA39" s="655" t="str">
        <f t="shared" si="9"/>
        <v/>
      </c>
      <c r="AB39" s="655" t="str">
        <f t="shared" si="13"/>
        <v/>
      </c>
      <c r="AC39" s="655" t="str">
        <f t="shared" si="21"/>
        <v>x</v>
      </c>
      <c r="AD39" s="655" t="str">
        <f>IF(ISBLANK(I39),"x",IF(ISNUMBER(MATCH(I39,'Inputs Mapping'!$AF$5:$AF$199,0)),"","x"))</f>
        <v>x</v>
      </c>
      <c r="AE39" s="655" t="str">
        <f t="shared" si="14"/>
        <v/>
      </c>
      <c r="AF39" s="148"/>
      <c r="AG39" s="148"/>
      <c r="AH39" s="148" t="str">
        <f t="shared" si="15"/>
        <v/>
      </c>
      <c r="AI39" s="654" t="str">
        <f>IF(J39="","",VLOOKUP(J39,'Inputs Mapping'!$T$27:$V$31,3))</f>
        <v/>
      </c>
      <c r="AJ39" s="654" t="str">
        <f>IF(J39="","",VLOOKUP(J39,'Inputs Mapping'!$T$17:$V$24,3))</f>
        <v/>
      </c>
      <c r="AK39" s="654" t="str">
        <f t="shared" si="16"/>
        <v/>
      </c>
      <c r="AL39" s="655" t="str">
        <f t="shared" si="31"/>
        <v/>
      </c>
      <c r="AM39" s="655" t="str">
        <f>IF(F39="","",IF(AE39="Dubai",HLOOKUP(F39,Inputs!$C$26:$M$36,5,0),HLOOKUP(F39,Inputs!$C$45:$M$49,5,0)))</f>
        <v/>
      </c>
      <c r="AN39" s="655">
        <f t="shared" si="17"/>
        <v>0</v>
      </c>
      <c r="AO39" s="654" t="str">
        <f>IF(AJ39="","",IF(AN39="Dubai",VLOOKUP(AJ39,'Inputs Mapping'!$V$17:$W$24,2,0),VLOOKUP(AI39,'Inputs Mapping'!$V$27:$W$31,2,0)))</f>
        <v/>
      </c>
      <c r="AP39" s="666">
        <f>IFERROR(IF($AN39="","",HLOOKUP($AN39&amp;RIGHT($AL39,1),'input for formula'!$B$16:$I$20,3,0)),0)</f>
        <v>0</v>
      </c>
      <c r="AQ39" s="656">
        <f>IFERROR(IF($AN39="","",HLOOKUP($AN39&amp;$F39,'input for formula'!$B$22:$M$25,2,0)),0)</f>
        <v>0</v>
      </c>
      <c r="AR39" s="666">
        <f>IFERROR(IF($AN39="","",HLOOKUP($AN39&amp;RIGHT($AL39,1),'input for formula'!$B$16:$I$20,4,0)),0)</f>
        <v>0</v>
      </c>
      <c r="AS39" s="656">
        <f>IFERROR(IF($AN39="","",HLOOKUP($AN39&amp;$F39,'input for formula'!$B$22:$M$25,3,0)),0)</f>
        <v>0</v>
      </c>
      <c r="AT39" s="656">
        <f>IFERROR(IF($AN39="","",HLOOKUP($AN39&amp;RIGHT($AL39,1),'input for formula'!$B$16:$I$20,5,0)),0)</f>
        <v>0</v>
      </c>
      <c r="AU39" s="656">
        <f>IFERROR(IF($AN39="","",HLOOKUP($AN39&amp;$F39,'input for formula'!$B$22:$M$25,4,0)),0)</f>
        <v>0</v>
      </c>
      <c r="AV39" s="666">
        <f>IFERROR(IF($AN39="","",IF('Census Data'!$AN39="Abu Dhabi",VLOOKUP('Census Data'!$AM39,'input for formula'!$A$28:$C$41,3,0),VLOOKUP('Census Data'!$AM39,'input for formula'!$A$28:$C$47,2,0))),0)*IFERROR(1+IF(AN39="Dubai",VLOOKUP(F39,'Quotation for Dubai Plans'!$V$6:$X$12,3,FALSE),VLOOKUP(F39,'Quotation for Abu Dhabi Plans'!$W$6:$Y$12,3,FALSE)),0)</f>
        <v>0</v>
      </c>
      <c r="AW39" s="656" t="str">
        <f t="shared" si="23"/>
        <v/>
      </c>
      <c r="AX39" s="667" t="str">
        <f>IFERROR(IF(AL39="","",IF(AN39="Dubai",HLOOKUP((AL39&amp;AM39),Deviation!$B$7:$S$8,2,0)*BF39*BH39*BI39*BG39,HLOOKUP((AL39&amp;AM39),Deviation!$B$9:$O$10,2,0)*BF39*BH39*BI39*BG39)),0)</f>
        <v/>
      </c>
      <c r="AY39" s="668" t="str">
        <f>IF(AL39="","",IFERROR(IF(AL39="","",IF(AN39="Dubai",HLOOKUP(AZ39,'input for formula'!$B$3:$F$10,AO39,FALSE), IF(AND(H39="Employee",AN39="Abu Dhabi"),HLOOKUP(AZ39,'input for formula'!$I$3:$K$7,AO39,FALSE),HLOOKUP(AZ39,'input for formula'!$M$3:$O$7,AO39,FALSE)))*AX39+AP39*AQ39+AR39*AS39+AT39*AU39),0)*$AZ$3*BK39*BJ39*IF(AND(Inputs!$C$19&gt;19,Inputs!$C$19&lt;30),(1+$AZ$2),1)*(1+$AZ$1))</f>
        <v/>
      </c>
      <c r="AZ39" s="148" t="str">
        <f t="shared" si="19"/>
        <v/>
      </c>
      <c r="BA39" s="669" t="str">
        <f>IF(F39="","",IF(AE39="Dubai",HLOOKUP(F39,Inputs!$C$26:$M$37,9,0),HLOOKUP(F39,Inputs!$C$45:$M$56,9,0)))</f>
        <v/>
      </c>
      <c r="BB39" s="670" t="str">
        <f>IF(F39="","",IF(AE39="Dubai",HLOOKUP(F39,Inputs!$C$26:$M$37,10,0),HLOOKUP(F39,Inputs!$C$45:$M$56,10,0)))</f>
        <v/>
      </c>
      <c r="BC39" s="670" t="str">
        <f>IF(F39="","",IF(AE39="Dubai",HLOOKUP(F39,Inputs!$C$26:$M$37,11,0),HLOOKUP(F39,Inputs!$C$45:$M$56,11,0)))</f>
        <v/>
      </c>
      <c r="BD39" s="669" t="str">
        <f>IF(F39="","",IF(AE39="Dubai",HLOOKUP(F39,Inputs!$C$26:$M$37,12,0),HLOOKUP(F39,Inputs!$C$45:$M$56,12,0)))</f>
        <v/>
      </c>
      <c r="BE39" s="654"/>
      <c r="BF39" s="669" t="str">
        <f>IFERROR(IF(AL39="","",IF(AN39="Dubai",IF(OR(AL39="Plan1",AL39="Plan2"),VLOOKUP(BA39,Deviation!$B$31:$D$33,2,FALSE),VLOOKUP(BA39,Deviation!$B$31:$D$33,3,FALSE)),IF(OR(AL39="Plan1",AL39="Plan2"),VLOOKUP(BA39,Deviation!$E$31:$AE$33,2,FALSE),VLOOKUP(BA39,Deviation!$E$31:$AE$33,3,FALSE)))),0)</f>
        <v/>
      </c>
      <c r="BG39" s="671" t="str">
        <f>IFERROR(IF(AL39="","",IF(AN39="Dubai",IF(AL39="Plan1",VLOOKUP(BB39,Deviation!$B$39:$C$40,2,FALSE),IF(AL39="Plan2",VLOOKUP(BB39,Deviation!$B$42:$C$43,2,FALSE),IF(AL39="Plan5",VLOOKUP(BB39,Deviation!$B$48:$C$49,2,FALSE),VLOOKUP(BB39,Deviation!$B$45:$C$46,2,FALSE)))),IF(AL39="Plan1",VLOOKUP(BB39,Deviation!$E$39:$F$40,2,FALSE),IF(AL39="Plan2",VLOOKUP(BB39,Deviation!$E$42:$F$43,2,FALSE),VLOOKUP(BB39,Deviation!$E$45:$F$46,2,FALSE))))),0)</f>
        <v/>
      </c>
      <c r="BH39" s="671" t="str">
        <f>IFERROR(IF(AL39="","",IF(AN39="Dubai",IF(OR(AL39="Plan1",AL39="Plan2"),VLOOKUP(BC39,Deviation!$B$15:$D$19,2,FALSE),VLOOKUP(BC39,Deviation!$B$15:$D$19,3,FALSE)),IF(OR(AL39="Plan1",AL39="Plan2"),VLOOKUP(BC39,Deviation!$E$15:$AE$19,2,FALSE),VLOOKUP(BC39,Deviation!$E$15:$AE$19,3,FALSE)))),0)</f>
        <v/>
      </c>
      <c r="BI39" s="669" t="str">
        <f>IFERROR(IF(AL39="","",IF(AN39="Dubai",VLOOKUP(BD39,Deviation!$B$24:$C$26,2,FALSE),100%)),0)</f>
        <v/>
      </c>
      <c r="BJ39" s="672">
        <f>IF(AE39="Abu Dhabi",1,IFERROR(VLOOKUP(AM39,Deviation!$B$67:$E$79,MATCH('Census Data'!AA39,Deviation!$B$66:$E$66,0),0),1))</f>
        <v>1</v>
      </c>
      <c r="BK39" s="659">
        <f>IFERROR(VLOOKUP(I39,Deviation!$B$54:$C$62,2,0),1)</f>
        <v>1</v>
      </c>
      <c r="BL39" s="148"/>
      <c r="BM39" s="148"/>
      <c r="BN39" s="148"/>
      <c r="BO39" s="148"/>
      <c r="BP39" s="148"/>
      <c r="BQ39" s="148"/>
      <c r="BR39" s="148"/>
      <c r="BS39" s="148"/>
      <c r="BT39" s="148" t="e">
        <f t="shared" si="20"/>
        <v>#VALUE!</v>
      </c>
      <c r="BU39" t="str">
        <f>IF(AL39="","",IFERROR(IF(AL39="","",IF(AN39="Dubai",HLOOKUP(AZ39,'input for formula'!$B$3:$F$10,AO39,FALSE), IF(AND(H39="Employee",AN39="Abu Dhabi"),HLOOKUP(AZ39,'input for formula'!$I$3:$K$7,AO39,FALSE),HLOOKUP(AZ39,'input for formula'!$M$3:$O$7,AO39,FALSE)))*AX39+AP39*AQ39+AR39*AS39+AT39*AU39),0)*$AZ$3*BK39*BJ39*IF(AND(Inputs!$C$19&gt;19,Inputs!$C$19&lt;30),(1+$AZ$2),1))</f>
        <v/>
      </c>
    </row>
    <row r="40" spans="1:73" ht="15" x14ac:dyDescent="0.25">
      <c r="A40" s="59">
        <v>35</v>
      </c>
      <c r="B40" s="621"/>
      <c r="C40" s="628"/>
      <c r="D40" s="629"/>
      <c r="E40" s="471"/>
      <c r="F40" s="298"/>
      <c r="G40" s="298"/>
      <c r="H40" s="298"/>
      <c r="I40" s="298"/>
      <c r="J40" s="80" t="str">
        <f>IFERROR(IF(C40="","",DATEDIF('Census Data'!C40,eff_date,"y")),"")</f>
        <v/>
      </c>
      <c r="K40" s="59" t="str">
        <f>IF(F40="","",IF(AE40="Dubai",HLOOKUP(F40,Inputs!$C$26:$M$28,3,0),HLOOKUP(F40,Inputs!$C$45:$M$46,2,0)))</f>
        <v/>
      </c>
      <c r="L40" s="104"/>
      <c r="M40" s="105">
        <f t="shared" si="1"/>
        <v>0</v>
      </c>
      <c r="N40" s="654" t="b">
        <f>NOT(AND(ISBLANK(C40),ISBLANK(D40),ISBLANK(E40),ISBLANK(F40),ISBLANK(G40)))</f>
        <v>0</v>
      </c>
      <c r="O40" s="655" t="str">
        <f>IF(ISBLANK(C40),"x","")</f>
        <v>x</v>
      </c>
      <c r="P40" s="655" t="str">
        <f>IF(ISBLANK(D40),"x","")</f>
        <v>x</v>
      </c>
      <c r="Q40" s="655" t="str">
        <f>IF(ISBLANK(E40),"x","")</f>
        <v>x</v>
      </c>
      <c r="R40" s="655" t="str">
        <f t="shared" si="22"/>
        <v>x</v>
      </c>
      <c r="S40" s="655" t="str">
        <f>IF(ISBLANK(G40),"x","")</f>
        <v>x</v>
      </c>
      <c r="T40" s="655" t="str">
        <f>IF(ISERROR(MATCH(G40,'Inputs Mapping'!$T$4:$T$10,0)),"x","")</f>
        <v>x</v>
      </c>
      <c r="U40" s="655" t="str">
        <f>IF(ISERROR(MATCH(AA40,'Inputs Mapping'!$U$4:$U$5,0)),"x","")</f>
        <v>x</v>
      </c>
      <c r="V40" s="655" t="str">
        <f>IF(ISERROR(MATCH(AB40,'Inputs Mapping'!$V$4:$V$5,0)),"x","")</f>
        <v>x</v>
      </c>
      <c r="W40" s="655" t="str">
        <f>IF(ISERROR(MATCH(F40,'Inputs Mapping'!$W$4:$W$8,0)),"x","")</f>
        <v>x</v>
      </c>
      <c r="X40" s="655" t="str">
        <f>IF(ISBLANK(C40),"",IF(OR(ISERROR(J40),NOT(ISNUMBER(C40))),"x",""))</f>
        <v/>
      </c>
      <c r="Y40" s="655" t="str">
        <f>IF(ISBLANK(C40),"",IF(ISERROR(J40),"",""))</f>
        <v/>
      </c>
      <c r="Z40" s="655" t="str">
        <f t="shared" si="8"/>
        <v/>
      </c>
      <c r="AA40" s="655" t="str">
        <f t="shared" si="9"/>
        <v/>
      </c>
      <c r="AB40" s="655" t="str">
        <f t="shared" si="13"/>
        <v/>
      </c>
      <c r="AC40" s="655" t="str">
        <f t="shared" si="21"/>
        <v>x</v>
      </c>
      <c r="AD40" s="655" t="str">
        <f>IF(ISBLANK(I40),"x",IF(ISNUMBER(MATCH(I40,'Inputs Mapping'!$AF$5:$AF$199,0)),"","x"))</f>
        <v>x</v>
      </c>
      <c r="AE40" s="655" t="str">
        <f t="shared" si="14"/>
        <v/>
      </c>
      <c r="AF40" s="148"/>
      <c r="AG40" s="148"/>
      <c r="AH40" s="148" t="str">
        <f t="shared" si="15"/>
        <v/>
      </c>
      <c r="AI40" s="654" t="str">
        <f>IF(J40="","",VLOOKUP(J40,'Inputs Mapping'!$T$27:$V$31,3))</f>
        <v/>
      </c>
      <c r="AJ40" s="654" t="str">
        <f>IF(J40="","",VLOOKUP(J40,'Inputs Mapping'!$T$17:$V$24,3))</f>
        <v/>
      </c>
      <c r="AK40" s="654" t="str">
        <f t="shared" si="16"/>
        <v/>
      </c>
      <c r="AL40" s="655" t="str">
        <f t="shared" si="31"/>
        <v/>
      </c>
      <c r="AM40" s="655" t="str">
        <f>IF(F40="","",IF(AE40="Dubai",HLOOKUP(F40,Inputs!$C$26:$M$36,5,0),HLOOKUP(F40,Inputs!$C$45:$M$49,5,0)))</f>
        <v/>
      </c>
      <c r="AN40" s="655">
        <f t="shared" si="17"/>
        <v>0</v>
      </c>
      <c r="AO40" s="654" t="str">
        <f>IF(AJ40="","",IF(AN40="Dubai",VLOOKUP(AJ40,'Inputs Mapping'!$V$17:$W$24,2,0),VLOOKUP(AI40,'Inputs Mapping'!$V$27:$W$31,2,0)))</f>
        <v/>
      </c>
      <c r="AP40" s="666">
        <f>IFERROR(IF($AN40="","",HLOOKUP($AN40&amp;RIGHT($AL40,1),'input for formula'!$B$16:$I$20,3,0)),0)</f>
        <v>0</v>
      </c>
      <c r="AQ40" s="656">
        <f>IFERROR(IF($AN40="","",HLOOKUP($AN40&amp;$F40,'input for formula'!$B$22:$M$25,2,0)),0)</f>
        <v>0</v>
      </c>
      <c r="AR40" s="666">
        <f>IFERROR(IF($AN40="","",HLOOKUP($AN40&amp;RIGHT($AL40,1),'input for formula'!$B$16:$I$20,4,0)),0)</f>
        <v>0</v>
      </c>
      <c r="AS40" s="656">
        <f>IFERROR(IF($AN40="","",HLOOKUP($AN40&amp;$F40,'input for formula'!$B$22:$M$25,3,0)),0)</f>
        <v>0</v>
      </c>
      <c r="AT40" s="656">
        <f>IFERROR(IF($AN40="","",HLOOKUP($AN40&amp;RIGHT($AL40,1),'input for formula'!$B$16:$I$20,5,0)),0)</f>
        <v>0</v>
      </c>
      <c r="AU40" s="656">
        <f>IFERROR(IF($AN40="","",HLOOKUP($AN40&amp;$F40,'input for formula'!$B$22:$M$25,4,0)),0)</f>
        <v>0</v>
      </c>
      <c r="AV40" s="666">
        <f>IFERROR(IF($AN40="","",IF('Census Data'!$AN40="Abu Dhabi",VLOOKUP('Census Data'!$AM40,'input for formula'!$A$28:$C$41,3,0),VLOOKUP('Census Data'!$AM40,'input for formula'!$A$28:$C$47,2,0))),0)*IFERROR(1+IF(AN40="Dubai",VLOOKUP(F40,'Quotation for Dubai Plans'!$V$6:$X$12,3,FALSE),VLOOKUP(F40,'Quotation for Abu Dhabi Plans'!$W$6:$Y$12,3,FALSE)),0)</f>
        <v>0</v>
      </c>
      <c r="AW40" s="656" t="str">
        <f t="shared" si="23"/>
        <v/>
      </c>
      <c r="AX40" s="667" t="str">
        <f>IFERROR(IF(AL40="","",IF(AN40="Dubai",HLOOKUP((AL40&amp;AM40),Deviation!$B$7:$S$8,2,0)*BF40*BH40*BI40*BG40,HLOOKUP((AL40&amp;AM40),Deviation!$B$9:$O$10,2,0)*BF40*BH40*BI40*BG40)),0)</f>
        <v/>
      </c>
      <c r="AY40" s="668" t="str">
        <f>IF(AL40="","",IFERROR(IF(AL40="","",IF(AN40="Dubai",HLOOKUP(AZ40,'input for formula'!$B$3:$F$10,AO40,FALSE), IF(AND(H40="Employee",AN40="Abu Dhabi"),HLOOKUP(AZ40,'input for formula'!$I$3:$K$7,AO40,FALSE),HLOOKUP(AZ40,'input for formula'!$M$3:$O$7,AO40,FALSE)))*AX40+AP40*AQ40+AR40*AS40+AT40*AU40),0)*$AZ$3*BK40*BJ40*IF(AND(Inputs!$C$19&gt;19,Inputs!$C$19&lt;30),(1+$AZ$2),1)*(1+$AZ$1))</f>
        <v/>
      </c>
      <c r="AZ40" s="148" t="str">
        <f t="shared" si="19"/>
        <v/>
      </c>
      <c r="BA40" s="669" t="str">
        <f>IF(F40="","",IF(AE40="Dubai",HLOOKUP(F40,Inputs!$C$26:$M$37,9,0),HLOOKUP(F40,Inputs!$C$45:$M$56,9,0)))</f>
        <v/>
      </c>
      <c r="BB40" s="670" t="str">
        <f>IF(F40="","",IF(AE40="Dubai",HLOOKUP(F40,Inputs!$C$26:$M$37,10,0),HLOOKUP(F40,Inputs!$C$45:$M$56,10,0)))</f>
        <v/>
      </c>
      <c r="BC40" s="670" t="str">
        <f>IF(F40="","",IF(AE40="Dubai",HLOOKUP(F40,Inputs!$C$26:$M$37,11,0),HLOOKUP(F40,Inputs!$C$45:$M$56,11,0)))</f>
        <v/>
      </c>
      <c r="BD40" s="669" t="str">
        <f>IF(F40="","",IF(AE40="Dubai",HLOOKUP(F40,Inputs!$C$26:$M$37,12,0),HLOOKUP(F40,Inputs!$C$45:$M$56,12,0)))</f>
        <v/>
      </c>
      <c r="BE40" s="654"/>
      <c r="BF40" s="669" t="str">
        <f>IFERROR(IF(AL40="","",IF(AN40="Dubai",IF(OR(AL40="Plan1",AL40="Plan2"),VLOOKUP(BA40,Deviation!$B$31:$D$33,2,FALSE),VLOOKUP(BA40,Deviation!$B$31:$D$33,3,FALSE)),IF(OR(AL40="Plan1",AL40="Plan2"),VLOOKUP(BA40,Deviation!$E$31:$AE$33,2,FALSE),VLOOKUP(BA40,Deviation!$E$31:$AE$33,3,FALSE)))),0)</f>
        <v/>
      </c>
      <c r="BG40" s="671" t="str">
        <f>IFERROR(IF(AL40="","",IF(AN40="Dubai",IF(AL40="Plan1",VLOOKUP(BB40,Deviation!$B$39:$C$40,2,FALSE),IF(AL40="Plan2",VLOOKUP(BB40,Deviation!$B$42:$C$43,2,FALSE),IF(AL40="Plan5",VLOOKUP(BB40,Deviation!$B$48:$C$49,2,FALSE),VLOOKUP(BB40,Deviation!$B$45:$C$46,2,FALSE)))),IF(AL40="Plan1",VLOOKUP(BB40,Deviation!$E$39:$F$40,2,FALSE),IF(AL40="Plan2",VLOOKUP(BB40,Deviation!$E$42:$F$43,2,FALSE),VLOOKUP(BB40,Deviation!$E$45:$F$46,2,FALSE))))),0)</f>
        <v/>
      </c>
      <c r="BH40" s="671" t="str">
        <f>IFERROR(IF(AL40="","",IF(AN40="Dubai",IF(OR(AL40="Plan1",AL40="Plan2"),VLOOKUP(BC40,Deviation!$B$15:$D$19,2,FALSE),VLOOKUP(BC40,Deviation!$B$15:$D$19,3,FALSE)),IF(OR(AL40="Plan1",AL40="Plan2"),VLOOKUP(BC40,Deviation!$E$15:$AE$19,2,FALSE),VLOOKUP(BC40,Deviation!$E$15:$AE$19,3,FALSE)))),0)</f>
        <v/>
      </c>
      <c r="BI40" s="669" t="str">
        <f>IFERROR(IF(AL40="","",IF(AN40="Dubai",VLOOKUP(BD40,Deviation!$B$24:$C$26,2,FALSE),100%)),0)</f>
        <v/>
      </c>
      <c r="BJ40" s="672">
        <f>IF(AE40="Abu Dhabi",1,IFERROR(VLOOKUP(AM40,Deviation!$B$67:$E$79,MATCH('Census Data'!AA40,Deviation!$B$66:$E$66,0),0),1))</f>
        <v>1</v>
      </c>
      <c r="BK40" s="659">
        <f>IFERROR(VLOOKUP(I40,Deviation!$B$54:$C$62,2,0),1)</f>
        <v>1</v>
      </c>
      <c r="BL40" s="148"/>
      <c r="BM40" s="148"/>
      <c r="BN40" s="148"/>
      <c r="BO40" s="148"/>
      <c r="BP40" s="148"/>
      <c r="BQ40" s="148"/>
      <c r="BR40" s="148"/>
      <c r="BS40" s="148"/>
      <c r="BT40" s="148" t="e">
        <f t="shared" si="20"/>
        <v>#VALUE!</v>
      </c>
      <c r="BU40" t="str">
        <f>IF(AL40="","",IFERROR(IF(AL40="","",IF(AN40="Dubai",HLOOKUP(AZ40,'input for formula'!$B$3:$F$10,AO40,FALSE), IF(AND(H40="Employee",AN40="Abu Dhabi"),HLOOKUP(AZ40,'input for formula'!$I$3:$K$7,AO40,FALSE),HLOOKUP(AZ40,'input for formula'!$M$3:$O$7,AO40,FALSE)))*AX40+AP40*AQ40+AR40*AS40+AT40*AU40),0)*$AZ$3*BK40*BJ40*IF(AND(Inputs!$C$19&gt;19,Inputs!$C$19&lt;30),(1+$AZ$2),1))</f>
        <v/>
      </c>
    </row>
    <row r="41" spans="1:73" ht="15" x14ac:dyDescent="0.25">
      <c r="A41" s="59">
        <v>36</v>
      </c>
      <c r="B41" s="621"/>
      <c r="C41" s="628"/>
      <c r="D41" s="629"/>
      <c r="E41" s="471"/>
      <c r="F41" s="298"/>
      <c r="G41" s="298"/>
      <c r="H41" s="298"/>
      <c r="I41" s="298"/>
      <c r="J41" s="80" t="str">
        <f>IFERROR(IF(C41="","",DATEDIF('Census Data'!C41,eff_date,"y")),"")</f>
        <v/>
      </c>
      <c r="K41" s="59" t="str">
        <f>IF(F41="","",IF(AE41="Dubai",HLOOKUP(F41,Inputs!$C$26:$M$28,3,0),HLOOKUP(F41,Inputs!$C$45:$M$46,2,0)))</f>
        <v/>
      </c>
      <c r="L41" s="104"/>
      <c r="M41" s="105">
        <f t="shared" si="1"/>
        <v>0</v>
      </c>
      <c r="N41" s="654" t="b">
        <f t="shared" si="24"/>
        <v>0</v>
      </c>
      <c r="O41" s="655" t="str">
        <f t="shared" si="25"/>
        <v>x</v>
      </c>
      <c r="P41" s="655" t="str">
        <f t="shared" si="26"/>
        <v>x</v>
      </c>
      <c r="Q41" s="655" t="str">
        <f t="shared" si="27"/>
        <v>x</v>
      </c>
      <c r="R41" s="655" t="str">
        <f t="shared" si="22"/>
        <v>x</v>
      </c>
      <c r="S41" s="655" t="str">
        <f t="shared" si="28"/>
        <v>x</v>
      </c>
      <c r="T41" s="655" t="str">
        <f>IF(ISERROR(MATCH(G41,'Inputs Mapping'!$T$4:$T$10,0)),"x","")</f>
        <v>x</v>
      </c>
      <c r="U41" s="655" t="str">
        <f>IF(ISERROR(MATCH(AA41,'Inputs Mapping'!$U$4:$U$5,0)),"x","")</f>
        <v>x</v>
      </c>
      <c r="V41" s="655" t="str">
        <f>IF(ISERROR(MATCH(AB41,'Inputs Mapping'!$V$4:$V$5,0)),"x","")</f>
        <v>x</v>
      </c>
      <c r="W41" s="655" t="str">
        <f>IF(ISERROR(MATCH(F41,'Inputs Mapping'!$W$4:$W$8,0)),"x","")</f>
        <v>x</v>
      </c>
      <c r="X41" s="655" t="str">
        <f t="shared" si="29"/>
        <v/>
      </c>
      <c r="Y41" s="655" t="str">
        <f t="shared" si="30"/>
        <v/>
      </c>
      <c r="Z41" s="655" t="str">
        <f t="shared" si="8"/>
        <v/>
      </c>
      <c r="AA41" s="655" t="str">
        <f t="shared" si="9"/>
        <v/>
      </c>
      <c r="AB41" s="655" t="str">
        <f t="shared" si="13"/>
        <v/>
      </c>
      <c r="AC41" s="655" t="str">
        <f t="shared" si="21"/>
        <v>x</v>
      </c>
      <c r="AD41" s="655" t="str">
        <f>IF(ISBLANK(I41),"x",IF(ISNUMBER(MATCH(I41,'Inputs Mapping'!$AF$5:$AF$199,0)),"","x"))</f>
        <v>x</v>
      </c>
      <c r="AE41" s="655" t="str">
        <f t="shared" si="14"/>
        <v/>
      </c>
      <c r="AF41" s="148"/>
      <c r="AG41" s="148"/>
      <c r="AH41" s="148" t="str">
        <f t="shared" si="15"/>
        <v/>
      </c>
      <c r="AI41" s="654" t="str">
        <f>IF(J41="","",VLOOKUP(J41,'Inputs Mapping'!$T$27:$V$31,3))</f>
        <v/>
      </c>
      <c r="AJ41" s="654" t="str">
        <f>IF(J41="","",VLOOKUP(J41,'Inputs Mapping'!$T$17:$V$24,3))</f>
        <v/>
      </c>
      <c r="AK41" s="654" t="str">
        <f t="shared" si="16"/>
        <v/>
      </c>
      <c r="AL41" s="655" t="str">
        <f t="shared" si="31"/>
        <v/>
      </c>
      <c r="AM41" s="655" t="str">
        <f>IF(F41="","",IF(AE41="Dubai",HLOOKUP(F41,Inputs!$C$26:$M$36,5,0),HLOOKUP(F41,Inputs!$C$45:$M$49,5,0)))</f>
        <v/>
      </c>
      <c r="AN41" s="655">
        <f t="shared" si="17"/>
        <v>0</v>
      </c>
      <c r="AO41" s="654" t="str">
        <f>IF(AJ41="","",IF(AN41="Dubai",VLOOKUP(AJ41,'Inputs Mapping'!$V$17:$W$24,2,0),VLOOKUP(AI41,'Inputs Mapping'!$V$27:$W$31,2,0)))</f>
        <v/>
      </c>
      <c r="AP41" s="666">
        <f>IFERROR(IF($AN41="","",HLOOKUP($AN41&amp;RIGHT($AL41,1),'input for formula'!$B$16:$I$20,3,0)),0)</f>
        <v>0</v>
      </c>
      <c r="AQ41" s="656">
        <f>IFERROR(IF($AN41="","",HLOOKUP($AN41&amp;$F41,'input for formula'!$B$22:$M$25,2,0)),0)</f>
        <v>0</v>
      </c>
      <c r="AR41" s="666">
        <f>IFERROR(IF($AN41="","",HLOOKUP($AN41&amp;RIGHT($AL41,1),'input for formula'!$B$16:$I$20,4,0)),0)</f>
        <v>0</v>
      </c>
      <c r="AS41" s="656">
        <f>IFERROR(IF($AN41="","",HLOOKUP($AN41&amp;$F41,'input for formula'!$B$22:$M$25,3,0)),0)</f>
        <v>0</v>
      </c>
      <c r="AT41" s="656">
        <f>IFERROR(IF($AN41="","",HLOOKUP($AN41&amp;RIGHT($AL41,1),'input for formula'!$B$16:$I$20,5,0)),0)</f>
        <v>0</v>
      </c>
      <c r="AU41" s="656">
        <f>IFERROR(IF($AN41="","",HLOOKUP($AN41&amp;$F41,'input for formula'!$B$22:$M$25,4,0)),0)</f>
        <v>0</v>
      </c>
      <c r="AV41" s="666">
        <f>IFERROR(IF($AN41="","",IF('Census Data'!$AN41="Abu Dhabi",VLOOKUP('Census Data'!$AM41,'input for formula'!$A$28:$C$41,3,0),VLOOKUP('Census Data'!$AM41,'input for formula'!$A$28:$C$47,2,0))),0)*IFERROR(1+IF(AN41="Dubai",VLOOKUP(F41,'Quotation for Dubai Plans'!$V$6:$X$12,3,FALSE),VLOOKUP(F41,'Quotation for Abu Dhabi Plans'!$W$6:$Y$12,3,FALSE)),0)</f>
        <v>0</v>
      </c>
      <c r="AW41" s="656" t="str">
        <f t="shared" si="23"/>
        <v/>
      </c>
      <c r="AX41" s="667" t="str">
        <f>IFERROR(IF(AL41="","",IF(AN41="Dubai",HLOOKUP((AL41&amp;AM41),Deviation!$B$7:$S$8,2,0)*BF41*BH41*BI41*BG41,HLOOKUP((AL41&amp;AM41),Deviation!$B$9:$O$10,2,0)*BF41*BH41*BI41*BG41)),0)</f>
        <v/>
      </c>
      <c r="AY41" s="668" t="str">
        <f>IF(AL41="","",IFERROR(IF(AL41="","",IF(AN41="Dubai",HLOOKUP(AZ41,'input for formula'!$B$3:$F$10,AO41,FALSE), IF(AND(H41="Employee",AN41="Abu Dhabi"),HLOOKUP(AZ41,'input for formula'!$I$3:$K$7,AO41,FALSE),HLOOKUP(AZ41,'input for formula'!$M$3:$O$7,AO41,FALSE)))*AX41+AP41*AQ41+AR41*AS41+AT41*AU41),0)*$AZ$3*BK41*BJ41*IF(AND(Inputs!$C$19&gt;19,Inputs!$C$19&lt;30),(1+$AZ$2),1)*(1+$AZ$1))</f>
        <v/>
      </c>
      <c r="AZ41" s="148" t="str">
        <f t="shared" si="19"/>
        <v/>
      </c>
      <c r="BA41" s="669" t="str">
        <f>IF(F41="","",IF(AE41="Dubai",HLOOKUP(F41,Inputs!$C$26:$M$37,9,0),HLOOKUP(F41,Inputs!$C$45:$M$56,9,0)))</f>
        <v/>
      </c>
      <c r="BB41" s="670" t="str">
        <f>IF(F41="","",IF(AE41="Dubai",HLOOKUP(F41,Inputs!$C$26:$M$37,10,0),HLOOKUP(F41,Inputs!$C$45:$M$56,10,0)))</f>
        <v/>
      </c>
      <c r="BC41" s="670" t="str">
        <f>IF(F41="","",IF(AE41="Dubai",HLOOKUP(F41,Inputs!$C$26:$M$37,11,0),HLOOKUP(F41,Inputs!$C$45:$M$56,11,0)))</f>
        <v/>
      </c>
      <c r="BD41" s="669" t="str">
        <f>IF(F41="","",IF(AE41="Dubai",HLOOKUP(F41,Inputs!$C$26:$M$37,12,0),HLOOKUP(F41,Inputs!$C$45:$M$56,12,0)))</f>
        <v/>
      </c>
      <c r="BE41" s="654"/>
      <c r="BF41" s="669" t="str">
        <f>IFERROR(IF(AL41="","",IF(AN41="Dubai",IF(OR(AL41="Plan1",AL41="Plan2"),VLOOKUP(BA41,Deviation!$B$31:$D$33,2,FALSE),VLOOKUP(BA41,Deviation!$B$31:$D$33,3,FALSE)),IF(OR(AL41="Plan1",AL41="Plan2"),VLOOKUP(BA41,Deviation!$E$31:$AE$33,2,FALSE),VLOOKUP(BA41,Deviation!$E$31:$AE$33,3,FALSE)))),0)</f>
        <v/>
      </c>
      <c r="BG41" s="671" t="str">
        <f>IFERROR(IF(AL41="","",IF(AN41="Dubai",IF(AL41="Plan1",VLOOKUP(BB41,Deviation!$B$39:$C$40,2,FALSE),IF(AL41="Plan2",VLOOKUP(BB41,Deviation!$B$42:$C$43,2,FALSE),IF(AL41="Plan5",VLOOKUP(BB41,Deviation!$B$48:$C$49,2,FALSE),VLOOKUP(BB41,Deviation!$B$45:$C$46,2,FALSE)))),IF(AL41="Plan1",VLOOKUP(BB41,Deviation!$E$39:$F$40,2,FALSE),IF(AL41="Plan2",VLOOKUP(BB41,Deviation!$E$42:$F$43,2,FALSE),VLOOKUP(BB41,Deviation!$E$45:$F$46,2,FALSE))))),0)</f>
        <v/>
      </c>
      <c r="BH41" s="671" t="str">
        <f>IFERROR(IF(AL41="","",IF(AN41="Dubai",IF(OR(AL41="Plan1",AL41="Plan2"),VLOOKUP(BC41,Deviation!$B$15:$D$19,2,FALSE),VLOOKUP(BC41,Deviation!$B$15:$D$19,3,FALSE)),IF(OR(AL41="Plan1",AL41="Plan2"),VLOOKUP(BC41,Deviation!$E$15:$AE$19,2,FALSE),VLOOKUP(BC41,Deviation!$E$15:$AE$19,3,FALSE)))),0)</f>
        <v/>
      </c>
      <c r="BI41" s="669" t="str">
        <f>IFERROR(IF(AL41="","",IF(AN41="Dubai",VLOOKUP(BD41,Deviation!$B$24:$C$26,2,FALSE),100%)),0)</f>
        <v/>
      </c>
      <c r="BJ41" s="672">
        <f>IF(AE41="Abu Dhabi",1,IFERROR(VLOOKUP(AM41,Deviation!$B$67:$E$79,MATCH('Census Data'!AA41,Deviation!$B$66:$E$66,0),0),1))</f>
        <v>1</v>
      </c>
      <c r="BK41" s="659">
        <f>IFERROR(VLOOKUP(I41,Deviation!$B$54:$C$62,2,0),1)</f>
        <v>1</v>
      </c>
      <c r="BL41" s="148"/>
      <c r="BM41" s="148"/>
      <c r="BN41" s="148"/>
      <c r="BO41" s="148"/>
      <c r="BP41" s="148"/>
      <c r="BQ41" s="148"/>
      <c r="BR41" s="148"/>
      <c r="BS41" s="148"/>
      <c r="BT41" s="148" t="e">
        <f t="shared" si="20"/>
        <v>#VALUE!</v>
      </c>
      <c r="BU41" t="str">
        <f>IF(AL41="","",IFERROR(IF(AL41="","",IF(AN41="Dubai",HLOOKUP(AZ41,'input for formula'!$B$3:$F$10,AO41,FALSE), IF(AND(H41="Employee",AN41="Abu Dhabi"),HLOOKUP(AZ41,'input for formula'!$I$3:$K$7,AO41,FALSE),HLOOKUP(AZ41,'input for formula'!$M$3:$O$7,AO41,FALSE)))*AX41+AP41*AQ41+AR41*AS41+AT41*AU41),0)*$AZ$3*BK41*BJ41*IF(AND(Inputs!$C$19&gt;19,Inputs!$C$19&lt;30),(1+$AZ$2),1))</f>
        <v/>
      </c>
    </row>
    <row r="42" spans="1:73" ht="15" x14ac:dyDescent="0.25">
      <c r="A42" s="59">
        <v>37</v>
      </c>
      <c r="B42" s="621"/>
      <c r="C42" s="628"/>
      <c r="D42" s="629"/>
      <c r="E42" s="471"/>
      <c r="F42" s="298"/>
      <c r="G42" s="298"/>
      <c r="H42" s="298"/>
      <c r="I42" s="298"/>
      <c r="J42" s="80" t="str">
        <f>IFERROR(IF(C42="","",DATEDIF('Census Data'!C42,eff_date,"y")),"")</f>
        <v/>
      </c>
      <c r="K42" s="59" t="str">
        <f>IF(F42="","",IF(AE42="Dubai",HLOOKUP(F42,Inputs!$C$26:$M$28,3,0),HLOOKUP(F42,Inputs!$C$45:$M$46,2,0)))</f>
        <v/>
      </c>
      <c r="L42" s="104"/>
      <c r="M42" s="105">
        <f t="shared" si="1"/>
        <v>0</v>
      </c>
      <c r="N42" s="654" t="b">
        <f t="shared" si="24"/>
        <v>0</v>
      </c>
      <c r="O42" s="655" t="str">
        <f t="shared" si="25"/>
        <v>x</v>
      </c>
      <c r="P42" s="655" t="str">
        <f t="shared" si="26"/>
        <v>x</v>
      </c>
      <c r="Q42" s="655" t="str">
        <f t="shared" si="27"/>
        <v>x</v>
      </c>
      <c r="R42" s="655" t="str">
        <f t="shared" si="22"/>
        <v>x</v>
      </c>
      <c r="S42" s="655" t="str">
        <f t="shared" si="28"/>
        <v>x</v>
      </c>
      <c r="T42" s="655" t="str">
        <f>IF(ISERROR(MATCH(G42,'Inputs Mapping'!$T$4:$T$10,0)),"x","")</f>
        <v>x</v>
      </c>
      <c r="U42" s="655" t="str">
        <f>IF(ISERROR(MATCH(AA42,'Inputs Mapping'!$U$4:$U$5,0)),"x","")</f>
        <v>x</v>
      </c>
      <c r="V42" s="655" t="str">
        <f>IF(ISERROR(MATCH(AB42,'Inputs Mapping'!$V$4:$V$5,0)),"x","")</f>
        <v>x</v>
      </c>
      <c r="W42" s="655" t="str">
        <f>IF(ISERROR(MATCH(F42,'Inputs Mapping'!$W$4:$W$8,0)),"x","")</f>
        <v>x</v>
      </c>
      <c r="X42" s="655" t="str">
        <f t="shared" si="29"/>
        <v/>
      </c>
      <c r="Y42" s="655" t="str">
        <f t="shared" si="30"/>
        <v/>
      </c>
      <c r="Z42" s="655" t="str">
        <f t="shared" si="8"/>
        <v/>
      </c>
      <c r="AA42" s="655" t="str">
        <f t="shared" si="9"/>
        <v/>
      </c>
      <c r="AB42" s="655" t="str">
        <f t="shared" si="13"/>
        <v/>
      </c>
      <c r="AC42" s="655" t="str">
        <f t="shared" si="21"/>
        <v>x</v>
      </c>
      <c r="AD42" s="655" t="str">
        <f>IF(ISBLANK(I42),"x",IF(ISNUMBER(MATCH(I42,'Inputs Mapping'!$AF$5:$AF$199,0)),"","x"))</f>
        <v>x</v>
      </c>
      <c r="AE42" s="655" t="str">
        <f t="shared" si="14"/>
        <v/>
      </c>
      <c r="AF42" s="148"/>
      <c r="AG42" s="148"/>
      <c r="AH42" s="148" t="str">
        <f t="shared" si="15"/>
        <v/>
      </c>
      <c r="AI42" s="654" t="str">
        <f>IF(J42="","",VLOOKUP(J42,'Inputs Mapping'!$T$27:$V$31,3))</f>
        <v/>
      </c>
      <c r="AJ42" s="654" t="str">
        <f>IF(J42="","",VLOOKUP(J42,'Inputs Mapping'!$T$17:$V$24,3))</f>
        <v/>
      </c>
      <c r="AK42" s="654" t="str">
        <f t="shared" si="16"/>
        <v/>
      </c>
      <c r="AL42" s="655" t="str">
        <f t="shared" si="31"/>
        <v/>
      </c>
      <c r="AM42" s="655" t="str">
        <f>IF(F42="","",IF(AE42="Dubai",HLOOKUP(F42,Inputs!$C$26:$M$36,5,0),HLOOKUP(F42,Inputs!$C$45:$M$49,5,0)))</f>
        <v/>
      </c>
      <c r="AN42" s="655">
        <f t="shared" si="17"/>
        <v>0</v>
      </c>
      <c r="AO42" s="654" t="str">
        <f>IF(AJ42="","",IF(AN42="Dubai",VLOOKUP(AJ42,'Inputs Mapping'!$V$17:$W$24,2,0),VLOOKUP(AI42,'Inputs Mapping'!$V$27:$W$31,2,0)))</f>
        <v/>
      </c>
      <c r="AP42" s="666">
        <f>IFERROR(IF($AN42="","",HLOOKUP($AN42&amp;RIGHT($AL42,1),'input for formula'!$B$16:$I$20,3,0)),0)</f>
        <v>0</v>
      </c>
      <c r="AQ42" s="656">
        <f>IFERROR(IF($AN42="","",HLOOKUP($AN42&amp;$F42,'input for formula'!$B$22:$M$25,2,0)),0)</f>
        <v>0</v>
      </c>
      <c r="AR42" s="666">
        <f>IFERROR(IF($AN42="","",HLOOKUP($AN42&amp;RIGHT($AL42,1),'input for formula'!$B$16:$I$20,4,0)),0)</f>
        <v>0</v>
      </c>
      <c r="AS42" s="656">
        <f>IFERROR(IF($AN42="","",HLOOKUP($AN42&amp;$F42,'input for formula'!$B$22:$M$25,3,0)),0)</f>
        <v>0</v>
      </c>
      <c r="AT42" s="656">
        <f>IFERROR(IF($AN42="","",HLOOKUP($AN42&amp;RIGHT($AL42,1),'input for formula'!$B$16:$I$20,5,0)),0)</f>
        <v>0</v>
      </c>
      <c r="AU42" s="656">
        <f>IFERROR(IF($AN42="","",HLOOKUP($AN42&amp;$F42,'input for formula'!$B$22:$M$25,4,0)),0)</f>
        <v>0</v>
      </c>
      <c r="AV42" s="666">
        <f>IFERROR(IF($AN42="","",IF('Census Data'!$AN42="Abu Dhabi",VLOOKUP('Census Data'!$AM42,'input for formula'!$A$28:$C$41,3,0),VLOOKUP('Census Data'!$AM42,'input for formula'!$A$28:$C$47,2,0))),0)*IFERROR(1+IF(AN42="Dubai",VLOOKUP(F42,'Quotation for Dubai Plans'!$V$6:$X$12,3,FALSE),VLOOKUP(F42,'Quotation for Abu Dhabi Plans'!$W$6:$Y$12,3,FALSE)),0)</f>
        <v>0</v>
      </c>
      <c r="AW42" s="656" t="str">
        <f t="shared" si="23"/>
        <v/>
      </c>
      <c r="AX42" s="667" t="str">
        <f>IFERROR(IF(AL42="","",IF(AN42="Dubai",HLOOKUP((AL42&amp;AM42),Deviation!$B$7:$S$8,2,0)*BF42*BH42*BI42*BG42,HLOOKUP((AL42&amp;AM42),Deviation!$B$9:$O$10,2,0)*BF42*BH42*BI42*BG42)),0)</f>
        <v/>
      </c>
      <c r="AY42" s="668" t="str">
        <f>IF(AL42="","",IFERROR(IF(AL42="","",IF(AN42="Dubai",HLOOKUP(AZ42,'input for formula'!$B$3:$F$10,AO42,FALSE), IF(AND(H42="Employee",AN42="Abu Dhabi"),HLOOKUP(AZ42,'input for formula'!$I$3:$K$7,AO42,FALSE),HLOOKUP(AZ42,'input for formula'!$M$3:$O$7,AO42,FALSE)))*AX42+AP42*AQ42+AR42*AS42+AT42*AU42),0)*$AZ$3*BK42*BJ42*IF(AND(Inputs!$C$19&gt;19,Inputs!$C$19&lt;30),(1+$AZ$2),1)*(1+$AZ$1))</f>
        <v/>
      </c>
      <c r="AZ42" s="148" t="str">
        <f t="shared" si="19"/>
        <v/>
      </c>
      <c r="BA42" s="669" t="str">
        <f>IF(F42="","",IF(AE42="Dubai",HLOOKUP(F42,Inputs!$C$26:$M$37,9,0),HLOOKUP(F42,Inputs!$C$45:$M$56,9,0)))</f>
        <v/>
      </c>
      <c r="BB42" s="670" t="str">
        <f>IF(F42="","",IF(AE42="Dubai",HLOOKUP(F42,Inputs!$C$26:$M$37,10,0),HLOOKUP(F42,Inputs!$C$45:$M$56,10,0)))</f>
        <v/>
      </c>
      <c r="BC42" s="670" t="str">
        <f>IF(F42="","",IF(AE42="Dubai",HLOOKUP(F42,Inputs!$C$26:$M$37,11,0),HLOOKUP(F42,Inputs!$C$45:$M$56,11,0)))</f>
        <v/>
      </c>
      <c r="BD42" s="669" t="str">
        <f>IF(F42="","",IF(AE42="Dubai",HLOOKUP(F42,Inputs!$C$26:$M$37,12,0),HLOOKUP(F42,Inputs!$C$45:$M$56,12,0)))</f>
        <v/>
      </c>
      <c r="BE42" s="654"/>
      <c r="BF42" s="669" t="str">
        <f>IFERROR(IF(AL42="","",IF(AN42="Dubai",IF(OR(AL42="Plan1",AL42="Plan2"),VLOOKUP(BA42,Deviation!$B$31:$D$33,2,FALSE),VLOOKUP(BA42,Deviation!$B$31:$D$33,3,FALSE)),IF(OR(AL42="Plan1",AL42="Plan2"),VLOOKUP(BA42,Deviation!$E$31:$AE$33,2,FALSE),VLOOKUP(BA42,Deviation!$E$31:$AE$33,3,FALSE)))),0)</f>
        <v/>
      </c>
      <c r="BG42" s="671" t="str">
        <f>IFERROR(IF(AL42="","",IF(AN42="Dubai",IF(AL42="Plan1",VLOOKUP(BB42,Deviation!$B$39:$C$40,2,FALSE),IF(AL42="Plan2",VLOOKUP(BB42,Deviation!$B$42:$C$43,2,FALSE),IF(AL42="Plan5",VLOOKUP(BB42,Deviation!$B$48:$C$49,2,FALSE),VLOOKUP(BB42,Deviation!$B$45:$C$46,2,FALSE)))),IF(AL42="Plan1",VLOOKUP(BB42,Deviation!$E$39:$F$40,2,FALSE),IF(AL42="Plan2",VLOOKUP(BB42,Deviation!$E$42:$F$43,2,FALSE),VLOOKUP(BB42,Deviation!$E$45:$F$46,2,FALSE))))),0)</f>
        <v/>
      </c>
      <c r="BH42" s="671" t="str">
        <f>IFERROR(IF(AL42="","",IF(AN42="Dubai",IF(OR(AL42="Plan1",AL42="Plan2"),VLOOKUP(BC42,Deviation!$B$15:$D$19,2,FALSE),VLOOKUP(BC42,Deviation!$B$15:$D$19,3,FALSE)),IF(OR(AL42="Plan1",AL42="Plan2"),VLOOKUP(BC42,Deviation!$E$15:$AE$19,2,FALSE),VLOOKUP(BC42,Deviation!$E$15:$AE$19,3,FALSE)))),0)</f>
        <v/>
      </c>
      <c r="BI42" s="669" t="str">
        <f>IFERROR(IF(AL42="","",IF(AN42="Dubai",VLOOKUP(BD42,Deviation!$B$24:$C$26,2,FALSE),100%)),0)</f>
        <v/>
      </c>
      <c r="BJ42" s="672">
        <f>IF(AE42="Abu Dhabi",1,IFERROR(VLOOKUP(AM42,Deviation!$B$67:$E$79,MATCH('Census Data'!AA42,Deviation!$B$66:$E$66,0),0),1))</f>
        <v>1</v>
      </c>
      <c r="BK42" s="659">
        <f>IFERROR(VLOOKUP(I42,Deviation!$B$54:$C$62,2,0),1)</f>
        <v>1</v>
      </c>
      <c r="BL42" s="148"/>
      <c r="BM42" s="148"/>
      <c r="BN42" s="148"/>
      <c r="BO42" s="148"/>
      <c r="BP42" s="148"/>
      <c r="BQ42" s="148"/>
      <c r="BR42" s="148"/>
      <c r="BS42" s="148"/>
      <c r="BT42" s="148" t="e">
        <f t="shared" si="20"/>
        <v>#VALUE!</v>
      </c>
      <c r="BU42" t="str">
        <f>IF(AL42="","",IFERROR(IF(AL42="","",IF(AN42="Dubai",HLOOKUP(AZ42,'input for formula'!$B$3:$F$10,AO42,FALSE), IF(AND(H42="Employee",AN42="Abu Dhabi"),HLOOKUP(AZ42,'input for formula'!$I$3:$K$7,AO42,FALSE),HLOOKUP(AZ42,'input for formula'!$M$3:$O$7,AO42,FALSE)))*AX42+AP42*AQ42+AR42*AS42+AT42*AU42),0)*$AZ$3*BK42*BJ42*IF(AND(Inputs!$C$19&gt;19,Inputs!$C$19&lt;30),(1+$AZ$2),1))</f>
        <v/>
      </c>
    </row>
    <row r="43" spans="1:73" ht="15" x14ac:dyDescent="0.25">
      <c r="A43" s="59">
        <v>38</v>
      </c>
      <c r="B43" s="621"/>
      <c r="C43" s="628"/>
      <c r="D43" s="629"/>
      <c r="E43" s="471"/>
      <c r="F43" s="298"/>
      <c r="G43" s="298"/>
      <c r="H43" s="298"/>
      <c r="I43" s="298"/>
      <c r="J43" s="80" t="str">
        <f>IFERROR(IF(C43="","",DATEDIF('Census Data'!C43,eff_date,"y")),"")</f>
        <v/>
      </c>
      <c r="K43" s="59" t="str">
        <f>IF(F43="","",IF(AE43="Dubai",HLOOKUP(F43,Inputs!$C$26:$M$28,3,0),HLOOKUP(F43,Inputs!$C$45:$M$46,2,0)))</f>
        <v/>
      </c>
      <c r="L43" s="104"/>
      <c r="M43" s="105">
        <f t="shared" si="1"/>
        <v>0</v>
      </c>
      <c r="N43" s="654" t="b">
        <f t="shared" si="24"/>
        <v>0</v>
      </c>
      <c r="O43" s="655" t="str">
        <f t="shared" si="25"/>
        <v>x</v>
      </c>
      <c r="P43" s="655" t="str">
        <f t="shared" si="26"/>
        <v>x</v>
      </c>
      <c r="Q43" s="655" t="str">
        <f t="shared" si="27"/>
        <v>x</v>
      </c>
      <c r="R43" s="655" t="str">
        <f t="shared" si="22"/>
        <v>x</v>
      </c>
      <c r="S43" s="655" t="str">
        <f t="shared" si="28"/>
        <v>x</v>
      </c>
      <c r="T43" s="655" t="str">
        <f>IF(ISERROR(MATCH(G43,'Inputs Mapping'!$T$4:$T$10,0)),"x","")</f>
        <v>x</v>
      </c>
      <c r="U43" s="655" t="str">
        <f>IF(ISERROR(MATCH(AA43,'Inputs Mapping'!$U$4:$U$5,0)),"x","")</f>
        <v>x</v>
      </c>
      <c r="V43" s="655" t="str">
        <f>IF(ISERROR(MATCH(AB43,'Inputs Mapping'!$V$4:$V$5,0)),"x","")</f>
        <v>x</v>
      </c>
      <c r="W43" s="655" t="str">
        <f>IF(ISERROR(MATCH(F43,'Inputs Mapping'!$W$4:$W$8,0)),"x","")</f>
        <v>x</v>
      </c>
      <c r="X43" s="655" t="str">
        <f t="shared" si="29"/>
        <v/>
      </c>
      <c r="Y43" s="655" t="str">
        <f t="shared" si="30"/>
        <v/>
      </c>
      <c r="Z43" s="655" t="str">
        <f t="shared" si="8"/>
        <v/>
      </c>
      <c r="AA43" s="655" t="str">
        <f t="shared" si="9"/>
        <v/>
      </c>
      <c r="AB43" s="655" t="str">
        <f t="shared" si="13"/>
        <v/>
      </c>
      <c r="AC43" s="655" t="str">
        <f t="shared" si="21"/>
        <v>x</v>
      </c>
      <c r="AD43" s="655" t="str">
        <f>IF(ISBLANK(I43),"x",IF(ISNUMBER(MATCH(I43,'Inputs Mapping'!$AF$5:$AF$199,0)),"","x"))</f>
        <v>x</v>
      </c>
      <c r="AE43" s="655" t="str">
        <f t="shared" si="14"/>
        <v/>
      </c>
      <c r="AF43" s="148"/>
      <c r="AG43" s="148"/>
      <c r="AH43" s="148" t="str">
        <f t="shared" si="15"/>
        <v/>
      </c>
      <c r="AI43" s="654" t="str">
        <f>IF(J43="","",VLOOKUP(J43,'Inputs Mapping'!$T$27:$V$31,3))</f>
        <v/>
      </c>
      <c r="AJ43" s="654" t="str">
        <f>IF(J43="","",VLOOKUP(J43,'Inputs Mapping'!$T$17:$V$24,3))</f>
        <v/>
      </c>
      <c r="AK43" s="654" t="str">
        <f t="shared" si="16"/>
        <v/>
      </c>
      <c r="AL43" s="655" t="str">
        <f t="shared" si="31"/>
        <v/>
      </c>
      <c r="AM43" s="655" t="str">
        <f>IF(F43="","",IF(AE43="Dubai",HLOOKUP(F43,Inputs!$C$26:$M$36,5,0),HLOOKUP(F43,Inputs!$C$45:$M$49,5,0)))</f>
        <v/>
      </c>
      <c r="AN43" s="655">
        <f t="shared" si="17"/>
        <v>0</v>
      </c>
      <c r="AO43" s="654" t="str">
        <f>IF(AJ43="","",IF(AN43="Dubai",VLOOKUP(AJ43,'Inputs Mapping'!$V$17:$W$24,2,0),VLOOKUP(AI43,'Inputs Mapping'!$V$27:$W$31,2,0)))</f>
        <v/>
      </c>
      <c r="AP43" s="666">
        <f>IFERROR(IF($AN43="","",HLOOKUP($AN43&amp;RIGHT($AL43,1),'input for formula'!$B$16:$I$20,3,0)),0)</f>
        <v>0</v>
      </c>
      <c r="AQ43" s="656">
        <f>IFERROR(IF($AN43="","",HLOOKUP($AN43&amp;$F43,'input for formula'!$B$22:$M$25,2,0)),0)</f>
        <v>0</v>
      </c>
      <c r="AR43" s="666">
        <f>IFERROR(IF($AN43="","",HLOOKUP($AN43&amp;RIGHT($AL43,1),'input for formula'!$B$16:$I$20,4,0)),0)</f>
        <v>0</v>
      </c>
      <c r="AS43" s="656">
        <f>IFERROR(IF($AN43="","",HLOOKUP($AN43&amp;$F43,'input for formula'!$B$22:$M$25,3,0)),0)</f>
        <v>0</v>
      </c>
      <c r="AT43" s="656">
        <f>IFERROR(IF($AN43="","",HLOOKUP($AN43&amp;RIGHT($AL43,1),'input for formula'!$B$16:$I$20,5,0)),0)</f>
        <v>0</v>
      </c>
      <c r="AU43" s="656">
        <f>IFERROR(IF($AN43="","",HLOOKUP($AN43&amp;$F43,'input for formula'!$B$22:$M$25,4,0)),0)</f>
        <v>0</v>
      </c>
      <c r="AV43" s="666">
        <f>IFERROR(IF($AN43="","",IF('Census Data'!$AN43="Abu Dhabi",VLOOKUP('Census Data'!$AM43,'input for formula'!$A$28:$C$41,3,0),VLOOKUP('Census Data'!$AM43,'input for formula'!$A$28:$C$47,2,0))),0)*IFERROR(1+IF(AN43="Dubai",VLOOKUP(F43,'Quotation for Dubai Plans'!$V$6:$X$12,3,FALSE),VLOOKUP(F43,'Quotation for Abu Dhabi Plans'!$W$6:$Y$12,3,FALSE)),0)</f>
        <v>0</v>
      </c>
      <c r="AW43" s="656" t="str">
        <f t="shared" si="23"/>
        <v/>
      </c>
      <c r="AX43" s="667" t="str">
        <f>IFERROR(IF(AL43="","",IF(AN43="Dubai",HLOOKUP((AL43&amp;AM43),Deviation!$B$7:$S$8,2,0)*BF43*BH43*BI43*BG43,HLOOKUP((AL43&amp;AM43),Deviation!$B$9:$O$10,2,0)*BF43*BH43*BI43*BG43)),0)</f>
        <v/>
      </c>
      <c r="AY43" s="668" t="str">
        <f>IF(AL43="","",IFERROR(IF(AL43="","",IF(AN43="Dubai",HLOOKUP(AZ43,'input for formula'!$B$3:$F$10,AO43,FALSE), IF(AND(H43="Employee",AN43="Abu Dhabi"),HLOOKUP(AZ43,'input for formula'!$I$3:$K$7,AO43,FALSE),HLOOKUP(AZ43,'input for formula'!$M$3:$O$7,AO43,FALSE)))*AX43+AP43*AQ43+AR43*AS43+AT43*AU43),0)*$AZ$3*BK43*BJ43*IF(AND(Inputs!$C$19&gt;19,Inputs!$C$19&lt;30),(1+$AZ$2),1)*(1+$AZ$1))</f>
        <v/>
      </c>
      <c r="AZ43" s="148" t="str">
        <f t="shared" si="19"/>
        <v/>
      </c>
      <c r="BA43" s="669" t="str">
        <f>IF(F43="","",IF(AE43="Dubai",HLOOKUP(F43,Inputs!$C$26:$M$37,9,0),HLOOKUP(F43,Inputs!$C$45:$M$56,9,0)))</f>
        <v/>
      </c>
      <c r="BB43" s="670" t="str">
        <f>IF(F43="","",IF(AE43="Dubai",HLOOKUP(F43,Inputs!$C$26:$M$37,10,0),HLOOKUP(F43,Inputs!$C$45:$M$56,10,0)))</f>
        <v/>
      </c>
      <c r="BC43" s="670" t="str">
        <f>IF(F43="","",IF(AE43="Dubai",HLOOKUP(F43,Inputs!$C$26:$M$37,11,0),HLOOKUP(F43,Inputs!$C$45:$M$56,11,0)))</f>
        <v/>
      </c>
      <c r="BD43" s="669" t="str">
        <f>IF(F43="","",IF(AE43="Dubai",HLOOKUP(F43,Inputs!$C$26:$M$37,12,0),HLOOKUP(F43,Inputs!$C$45:$M$56,12,0)))</f>
        <v/>
      </c>
      <c r="BE43" s="654"/>
      <c r="BF43" s="669" t="str">
        <f>IFERROR(IF(AL43="","",IF(AN43="Dubai",IF(OR(AL43="Plan1",AL43="Plan2"),VLOOKUP(BA43,Deviation!$B$31:$D$33,2,FALSE),VLOOKUP(BA43,Deviation!$B$31:$D$33,3,FALSE)),IF(OR(AL43="Plan1",AL43="Plan2"),VLOOKUP(BA43,Deviation!$E$31:$AE$33,2,FALSE),VLOOKUP(BA43,Deviation!$E$31:$AE$33,3,FALSE)))),0)</f>
        <v/>
      </c>
      <c r="BG43" s="671" t="str">
        <f>IFERROR(IF(AL43="","",IF(AN43="Dubai",IF(AL43="Plan1",VLOOKUP(BB43,Deviation!$B$39:$C$40,2,FALSE),IF(AL43="Plan2",VLOOKUP(BB43,Deviation!$B$42:$C$43,2,FALSE),IF(AL43="Plan5",VLOOKUP(BB43,Deviation!$B$48:$C$49,2,FALSE),VLOOKUP(BB43,Deviation!$B$45:$C$46,2,FALSE)))),IF(AL43="Plan1",VLOOKUP(BB43,Deviation!$E$39:$F$40,2,FALSE),IF(AL43="Plan2",VLOOKUP(BB43,Deviation!$E$42:$F$43,2,FALSE),VLOOKUP(BB43,Deviation!$E$45:$F$46,2,FALSE))))),0)</f>
        <v/>
      </c>
      <c r="BH43" s="671" t="str">
        <f>IFERROR(IF(AL43="","",IF(AN43="Dubai",IF(OR(AL43="Plan1",AL43="Plan2"),VLOOKUP(BC43,Deviation!$B$15:$D$19,2,FALSE),VLOOKUP(BC43,Deviation!$B$15:$D$19,3,FALSE)),IF(OR(AL43="Plan1",AL43="Plan2"),VLOOKUP(BC43,Deviation!$E$15:$AE$19,2,FALSE),VLOOKUP(BC43,Deviation!$E$15:$AE$19,3,FALSE)))),0)</f>
        <v/>
      </c>
      <c r="BI43" s="669" t="str">
        <f>IFERROR(IF(AL43="","",IF(AN43="Dubai",VLOOKUP(BD43,Deviation!$B$24:$C$26,2,FALSE),100%)),0)</f>
        <v/>
      </c>
      <c r="BJ43" s="672">
        <f>IF(AE43="Abu Dhabi",1,IFERROR(VLOOKUP(AM43,Deviation!$B$67:$E$79,MATCH('Census Data'!AA43,Deviation!$B$66:$E$66,0),0),1))</f>
        <v>1</v>
      </c>
      <c r="BK43" s="659">
        <f>IFERROR(VLOOKUP(I43,Deviation!$B$54:$C$62,2,0),1)</f>
        <v>1</v>
      </c>
      <c r="BL43" s="148"/>
      <c r="BM43" s="148"/>
      <c r="BN43" s="148"/>
      <c r="BO43" s="148"/>
      <c r="BP43" s="148"/>
      <c r="BQ43" s="148"/>
      <c r="BR43" s="148"/>
      <c r="BS43" s="148"/>
      <c r="BT43" s="148" t="e">
        <f t="shared" si="20"/>
        <v>#VALUE!</v>
      </c>
      <c r="BU43" t="str">
        <f>IF(AL43="","",IFERROR(IF(AL43="","",IF(AN43="Dubai",HLOOKUP(AZ43,'input for formula'!$B$3:$F$10,AO43,FALSE), IF(AND(H43="Employee",AN43="Abu Dhabi"),HLOOKUP(AZ43,'input for formula'!$I$3:$K$7,AO43,FALSE),HLOOKUP(AZ43,'input for formula'!$M$3:$O$7,AO43,FALSE)))*AX43+AP43*AQ43+AR43*AS43+AT43*AU43),0)*$AZ$3*BK43*BJ43*IF(AND(Inputs!$C$19&gt;19,Inputs!$C$19&lt;30),(1+$AZ$2),1))</f>
        <v/>
      </c>
    </row>
    <row r="44" spans="1:73" ht="15" x14ac:dyDescent="0.25">
      <c r="A44" s="59">
        <v>39</v>
      </c>
      <c r="B44" s="621"/>
      <c r="C44" s="628"/>
      <c r="D44" s="629"/>
      <c r="E44" s="471"/>
      <c r="F44" s="298"/>
      <c r="G44" s="298"/>
      <c r="H44" s="298"/>
      <c r="I44" s="298"/>
      <c r="J44" s="80" t="str">
        <f>IFERROR(IF(C44="","",DATEDIF('Census Data'!C44,eff_date,"y")),"")</f>
        <v/>
      </c>
      <c r="K44" s="59" t="str">
        <f>IF(F44="","",IF(AE44="Dubai",HLOOKUP(F44,Inputs!$C$26:$M$28,3,0),HLOOKUP(F44,Inputs!$C$45:$M$46,2,0)))</f>
        <v/>
      </c>
      <c r="L44" s="104"/>
      <c r="M44" s="105">
        <f t="shared" si="1"/>
        <v>0</v>
      </c>
      <c r="N44" s="654" t="b">
        <f t="shared" si="24"/>
        <v>0</v>
      </c>
      <c r="O44" s="655" t="str">
        <f t="shared" si="25"/>
        <v>x</v>
      </c>
      <c r="P44" s="655" t="str">
        <f t="shared" si="26"/>
        <v>x</v>
      </c>
      <c r="Q44" s="655" t="str">
        <f t="shared" si="27"/>
        <v>x</v>
      </c>
      <c r="R44" s="655" t="str">
        <f t="shared" si="22"/>
        <v>x</v>
      </c>
      <c r="S44" s="655" t="str">
        <f t="shared" si="28"/>
        <v>x</v>
      </c>
      <c r="T44" s="655" t="str">
        <f>IF(ISERROR(MATCH(G44,'Inputs Mapping'!$T$4:$T$10,0)),"x","")</f>
        <v>x</v>
      </c>
      <c r="U44" s="655" t="str">
        <f>IF(ISERROR(MATCH(AA44,'Inputs Mapping'!$U$4:$U$5,0)),"x","")</f>
        <v>x</v>
      </c>
      <c r="V44" s="655" t="str">
        <f>IF(ISERROR(MATCH(AB44,'Inputs Mapping'!$V$4:$V$5,0)),"x","")</f>
        <v>x</v>
      </c>
      <c r="W44" s="655" t="str">
        <f>IF(ISERROR(MATCH(F44,'Inputs Mapping'!$W$4:$W$8,0)),"x","")</f>
        <v>x</v>
      </c>
      <c r="X44" s="655" t="str">
        <f t="shared" si="29"/>
        <v/>
      </c>
      <c r="Y44" s="655" t="str">
        <f t="shared" si="30"/>
        <v/>
      </c>
      <c r="Z44" s="655" t="str">
        <f t="shared" si="8"/>
        <v/>
      </c>
      <c r="AA44" s="655" t="str">
        <f t="shared" si="9"/>
        <v/>
      </c>
      <c r="AB44" s="655" t="str">
        <f t="shared" si="13"/>
        <v/>
      </c>
      <c r="AC44" s="655" t="str">
        <f t="shared" si="21"/>
        <v>x</v>
      </c>
      <c r="AD44" s="655" t="str">
        <f>IF(ISBLANK(I44),"x",IF(ISNUMBER(MATCH(I44,'Inputs Mapping'!$AF$5:$AF$199,0)),"","x"))</f>
        <v>x</v>
      </c>
      <c r="AE44" s="655" t="str">
        <f t="shared" si="14"/>
        <v/>
      </c>
      <c r="AF44" s="148"/>
      <c r="AG44" s="148"/>
      <c r="AH44" s="148" t="str">
        <f t="shared" si="15"/>
        <v/>
      </c>
      <c r="AI44" s="654" t="str">
        <f>IF(J44="","",VLOOKUP(J44,'Inputs Mapping'!$T$27:$V$31,3))</f>
        <v/>
      </c>
      <c r="AJ44" s="654" t="str">
        <f>IF(J44="","",VLOOKUP(J44,'Inputs Mapping'!$T$17:$V$24,3))</f>
        <v/>
      </c>
      <c r="AK44" s="654" t="str">
        <f t="shared" si="16"/>
        <v/>
      </c>
      <c r="AL44" s="655" t="str">
        <f t="shared" si="31"/>
        <v/>
      </c>
      <c r="AM44" s="655" t="str">
        <f>IF(F44="","",IF(AE44="Dubai",HLOOKUP(F44,Inputs!$C$26:$M$36,5,0),HLOOKUP(F44,Inputs!$C$45:$M$49,5,0)))</f>
        <v/>
      </c>
      <c r="AN44" s="655">
        <f t="shared" si="17"/>
        <v>0</v>
      </c>
      <c r="AO44" s="654" t="str">
        <f>IF(AJ44="","",IF(AN44="Dubai",VLOOKUP(AJ44,'Inputs Mapping'!$V$17:$W$24,2,0),VLOOKUP(AI44,'Inputs Mapping'!$V$27:$W$31,2,0)))</f>
        <v/>
      </c>
      <c r="AP44" s="666">
        <f>IFERROR(IF($AN44="","",HLOOKUP($AN44&amp;RIGHT($AL44,1),'input for formula'!$B$16:$I$20,3,0)),0)</f>
        <v>0</v>
      </c>
      <c r="AQ44" s="656">
        <f>IFERROR(IF($AN44="","",HLOOKUP($AN44&amp;$F44,'input for formula'!$B$22:$M$25,2,0)),0)</f>
        <v>0</v>
      </c>
      <c r="AR44" s="666">
        <f>IFERROR(IF($AN44="","",HLOOKUP($AN44&amp;RIGHT($AL44,1),'input for formula'!$B$16:$I$20,4,0)),0)</f>
        <v>0</v>
      </c>
      <c r="AS44" s="656">
        <f>IFERROR(IF($AN44="","",HLOOKUP($AN44&amp;$F44,'input for formula'!$B$22:$M$25,3,0)),0)</f>
        <v>0</v>
      </c>
      <c r="AT44" s="656">
        <f>IFERROR(IF($AN44="","",HLOOKUP($AN44&amp;RIGHT($AL44,1),'input for formula'!$B$16:$I$20,5,0)),0)</f>
        <v>0</v>
      </c>
      <c r="AU44" s="656">
        <f>IFERROR(IF($AN44="","",HLOOKUP($AN44&amp;$F44,'input for formula'!$B$22:$M$25,4,0)),0)</f>
        <v>0</v>
      </c>
      <c r="AV44" s="666">
        <f>IFERROR(IF($AN44="","",IF('Census Data'!$AN44="Abu Dhabi",VLOOKUP('Census Data'!$AM44,'input for formula'!$A$28:$C$41,3,0),VLOOKUP('Census Data'!$AM44,'input for formula'!$A$28:$C$47,2,0))),0)*IFERROR(1+IF(AN44="Dubai",VLOOKUP(F44,'Quotation for Dubai Plans'!$V$6:$X$12,3,FALSE),VLOOKUP(F44,'Quotation for Abu Dhabi Plans'!$W$6:$Y$12,3,FALSE)),0)</f>
        <v>0</v>
      </c>
      <c r="AW44" s="656" t="str">
        <f t="shared" si="23"/>
        <v/>
      </c>
      <c r="AX44" s="667" t="str">
        <f>IFERROR(IF(AL44="","",IF(AN44="Dubai",HLOOKUP((AL44&amp;AM44),Deviation!$B$7:$S$8,2,0)*BF44*BH44*BI44*BG44,HLOOKUP((AL44&amp;AM44),Deviation!$B$9:$O$10,2,0)*BF44*BH44*BI44*BG44)),0)</f>
        <v/>
      </c>
      <c r="AY44" s="668" t="str">
        <f>IF(AL44="","",IFERROR(IF(AL44="","",IF(AN44="Dubai",HLOOKUP(AZ44,'input for formula'!$B$3:$F$10,AO44,FALSE), IF(AND(H44="Employee",AN44="Abu Dhabi"),HLOOKUP(AZ44,'input for formula'!$I$3:$K$7,AO44,FALSE),HLOOKUP(AZ44,'input for formula'!$M$3:$O$7,AO44,FALSE)))*AX44+AP44*AQ44+AR44*AS44+AT44*AU44),0)*$AZ$3*BK44*BJ44*IF(AND(Inputs!$C$19&gt;19,Inputs!$C$19&lt;30),(1+$AZ$2),1)*(1+$AZ$1))</f>
        <v/>
      </c>
      <c r="AZ44" s="148" t="str">
        <f t="shared" si="19"/>
        <v/>
      </c>
      <c r="BA44" s="669" t="str">
        <f>IF(F44="","",IF(AE44="Dubai",HLOOKUP(F44,Inputs!$C$26:$M$37,9,0),HLOOKUP(F44,Inputs!$C$45:$M$56,9,0)))</f>
        <v/>
      </c>
      <c r="BB44" s="670" t="str">
        <f>IF(F44="","",IF(AE44="Dubai",HLOOKUP(F44,Inputs!$C$26:$M$37,10,0),HLOOKUP(F44,Inputs!$C$45:$M$56,10,0)))</f>
        <v/>
      </c>
      <c r="BC44" s="670" t="str">
        <f>IF(F44="","",IF(AE44="Dubai",HLOOKUP(F44,Inputs!$C$26:$M$37,11,0),HLOOKUP(F44,Inputs!$C$45:$M$56,11,0)))</f>
        <v/>
      </c>
      <c r="BD44" s="669" t="str">
        <f>IF(F44="","",IF(AE44="Dubai",HLOOKUP(F44,Inputs!$C$26:$M$37,12,0),HLOOKUP(F44,Inputs!$C$45:$M$56,12,0)))</f>
        <v/>
      </c>
      <c r="BE44" s="654"/>
      <c r="BF44" s="669" t="str">
        <f>IFERROR(IF(AL44="","",IF(AN44="Dubai",IF(OR(AL44="Plan1",AL44="Plan2"),VLOOKUP(BA44,Deviation!$B$31:$D$33,2,FALSE),VLOOKUP(BA44,Deviation!$B$31:$D$33,3,FALSE)),IF(OR(AL44="Plan1",AL44="Plan2"),VLOOKUP(BA44,Deviation!$E$31:$AE$33,2,FALSE),VLOOKUP(BA44,Deviation!$E$31:$AE$33,3,FALSE)))),0)</f>
        <v/>
      </c>
      <c r="BG44" s="671" t="str">
        <f>IFERROR(IF(AL44="","",IF(AN44="Dubai",IF(AL44="Plan1",VLOOKUP(BB44,Deviation!$B$39:$C$40,2,FALSE),IF(AL44="Plan2",VLOOKUP(BB44,Deviation!$B$42:$C$43,2,FALSE),IF(AL44="Plan5",VLOOKUP(BB44,Deviation!$B$48:$C$49,2,FALSE),VLOOKUP(BB44,Deviation!$B$45:$C$46,2,FALSE)))),IF(AL44="Plan1",VLOOKUP(BB44,Deviation!$E$39:$F$40,2,FALSE),IF(AL44="Plan2",VLOOKUP(BB44,Deviation!$E$42:$F$43,2,FALSE),VLOOKUP(BB44,Deviation!$E$45:$F$46,2,FALSE))))),0)</f>
        <v/>
      </c>
      <c r="BH44" s="671" t="str">
        <f>IFERROR(IF(AL44="","",IF(AN44="Dubai",IF(OR(AL44="Plan1",AL44="Plan2"),VLOOKUP(BC44,Deviation!$B$15:$D$19,2,FALSE),VLOOKUP(BC44,Deviation!$B$15:$D$19,3,FALSE)),IF(OR(AL44="Plan1",AL44="Plan2"),VLOOKUP(BC44,Deviation!$E$15:$AE$19,2,FALSE),VLOOKUP(BC44,Deviation!$E$15:$AE$19,3,FALSE)))),0)</f>
        <v/>
      </c>
      <c r="BI44" s="669" t="str">
        <f>IFERROR(IF(AL44="","",IF(AN44="Dubai",VLOOKUP(BD44,Deviation!$B$24:$C$26,2,FALSE),100%)),0)</f>
        <v/>
      </c>
      <c r="BJ44" s="672">
        <f>IF(AE44="Abu Dhabi",1,IFERROR(VLOOKUP(AM44,Deviation!$B$67:$E$79,MATCH('Census Data'!AA44,Deviation!$B$66:$E$66,0),0),1))</f>
        <v>1</v>
      </c>
      <c r="BK44" s="659">
        <f>IFERROR(VLOOKUP(I44,Deviation!$B$54:$C$62,2,0),1)</f>
        <v>1</v>
      </c>
      <c r="BL44" s="148"/>
      <c r="BM44" s="148"/>
      <c r="BN44" s="148"/>
      <c r="BO44" s="148"/>
      <c r="BP44" s="148"/>
      <c r="BQ44" s="148"/>
      <c r="BR44" s="148"/>
      <c r="BS44" s="148"/>
      <c r="BT44" s="148" t="e">
        <f t="shared" si="20"/>
        <v>#VALUE!</v>
      </c>
      <c r="BU44" t="str">
        <f>IF(AL44="","",IFERROR(IF(AL44="","",IF(AN44="Dubai",HLOOKUP(AZ44,'input for formula'!$B$3:$F$10,AO44,FALSE), IF(AND(H44="Employee",AN44="Abu Dhabi"),HLOOKUP(AZ44,'input for formula'!$I$3:$K$7,AO44,FALSE),HLOOKUP(AZ44,'input for formula'!$M$3:$O$7,AO44,FALSE)))*AX44+AP44*AQ44+AR44*AS44+AT44*AU44),0)*$AZ$3*BK44*BJ44*IF(AND(Inputs!$C$19&gt;19,Inputs!$C$19&lt;30),(1+$AZ$2),1))</f>
        <v/>
      </c>
    </row>
    <row r="45" spans="1:73" ht="15" x14ac:dyDescent="0.25">
      <c r="A45" s="59">
        <v>40</v>
      </c>
      <c r="B45" s="621"/>
      <c r="C45" s="628"/>
      <c r="D45" s="629"/>
      <c r="E45" s="471"/>
      <c r="F45" s="298"/>
      <c r="G45" s="298"/>
      <c r="H45" s="298"/>
      <c r="I45" s="298"/>
      <c r="J45" s="80" t="str">
        <f>IFERROR(IF(C45="","",DATEDIF('Census Data'!C45,eff_date,"y")),"")</f>
        <v/>
      </c>
      <c r="K45" s="59" t="str">
        <f>IF(F45="","",IF(AE45="Dubai",HLOOKUP(F45,Inputs!$C$26:$M$28,3,0),HLOOKUP(F45,Inputs!$C$45:$M$46,2,0)))</f>
        <v/>
      </c>
      <c r="L45" s="104"/>
      <c r="M45" s="105">
        <f t="shared" si="1"/>
        <v>0</v>
      </c>
      <c r="N45" s="654" t="b">
        <f t="shared" si="24"/>
        <v>0</v>
      </c>
      <c r="O45" s="655" t="str">
        <f t="shared" si="25"/>
        <v>x</v>
      </c>
      <c r="P45" s="655" t="str">
        <f t="shared" si="26"/>
        <v>x</v>
      </c>
      <c r="Q45" s="655" t="str">
        <f t="shared" si="27"/>
        <v>x</v>
      </c>
      <c r="R45" s="655" t="str">
        <f t="shared" si="22"/>
        <v>x</v>
      </c>
      <c r="S45" s="655" t="str">
        <f t="shared" si="28"/>
        <v>x</v>
      </c>
      <c r="T45" s="655" t="str">
        <f>IF(ISERROR(MATCH(G45,'Inputs Mapping'!$T$4:$T$10,0)),"x","")</f>
        <v>x</v>
      </c>
      <c r="U45" s="655" t="str">
        <f>IF(ISERROR(MATCH(AA45,'Inputs Mapping'!$U$4:$U$5,0)),"x","")</f>
        <v>x</v>
      </c>
      <c r="V45" s="655" t="str">
        <f>IF(ISERROR(MATCH(AB45,'Inputs Mapping'!$V$4:$V$5,0)),"x","")</f>
        <v>x</v>
      </c>
      <c r="W45" s="655" t="str">
        <f>IF(ISERROR(MATCH(F45,'Inputs Mapping'!$W$4:$W$8,0)),"x","")</f>
        <v>x</v>
      </c>
      <c r="X45" s="655" t="str">
        <f t="shared" si="29"/>
        <v/>
      </c>
      <c r="Y45" s="655" t="str">
        <f t="shared" si="30"/>
        <v/>
      </c>
      <c r="Z45" s="655" t="str">
        <f t="shared" si="8"/>
        <v/>
      </c>
      <c r="AA45" s="655" t="str">
        <f t="shared" si="9"/>
        <v/>
      </c>
      <c r="AB45" s="655" t="str">
        <f t="shared" si="13"/>
        <v/>
      </c>
      <c r="AC45" s="655" t="str">
        <f t="shared" si="21"/>
        <v>x</v>
      </c>
      <c r="AD45" s="655" t="str">
        <f>IF(ISBLANK(I45),"x",IF(ISNUMBER(MATCH(I45,'Inputs Mapping'!$AF$5:$AF$199,0)),"","x"))</f>
        <v>x</v>
      </c>
      <c r="AE45" s="655" t="str">
        <f t="shared" si="14"/>
        <v/>
      </c>
      <c r="AF45" s="148"/>
      <c r="AG45" s="148"/>
      <c r="AH45" s="148" t="str">
        <f t="shared" si="15"/>
        <v/>
      </c>
      <c r="AI45" s="654" t="str">
        <f>IF(J45="","",VLOOKUP(J45,'Inputs Mapping'!$T$27:$V$31,3))</f>
        <v/>
      </c>
      <c r="AJ45" s="654" t="str">
        <f>IF(J45="","",VLOOKUP(J45,'Inputs Mapping'!$T$17:$V$24,3))</f>
        <v/>
      </c>
      <c r="AK45" s="654" t="str">
        <f t="shared" si="16"/>
        <v/>
      </c>
      <c r="AL45" s="655" t="str">
        <f t="shared" si="31"/>
        <v/>
      </c>
      <c r="AM45" s="655" t="str">
        <f>IF(F45="","",IF(AE45="Dubai",HLOOKUP(F45,Inputs!$C$26:$M$36,5,0),HLOOKUP(F45,Inputs!$C$45:$M$49,5,0)))</f>
        <v/>
      </c>
      <c r="AN45" s="655">
        <f t="shared" si="17"/>
        <v>0</v>
      </c>
      <c r="AO45" s="654" t="str">
        <f>IF(AJ45="","",IF(AN45="Dubai",VLOOKUP(AJ45,'Inputs Mapping'!$V$17:$W$24,2,0),VLOOKUP(AI45,'Inputs Mapping'!$V$27:$W$31,2,0)))</f>
        <v/>
      </c>
      <c r="AP45" s="666">
        <f>IFERROR(IF($AN45="","",HLOOKUP($AN45&amp;RIGHT($AL45,1),'input for formula'!$B$16:$I$20,3,0)),0)</f>
        <v>0</v>
      </c>
      <c r="AQ45" s="656">
        <f>IFERROR(IF($AN45="","",HLOOKUP($AN45&amp;$F45,'input for formula'!$B$22:$M$25,2,0)),0)</f>
        <v>0</v>
      </c>
      <c r="AR45" s="666">
        <f>IFERROR(IF($AN45="","",HLOOKUP($AN45&amp;RIGHT($AL45,1),'input for formula'!$B$16:$I$20,4,0)),0)</f>
        <v>0</v>
      </c>
      <c r="AS45" s="656">
        <f>IFERROR(IF($AN45="","",HLOOKUP($AN45&amp;$F45,'input for formula'!$B$22:$M$25,3,0)),0)</f>
        <v>0</v>
      </c>
      <c r="AT45" s="656">
        <f>IFERROR(IF($AN45="","",HLOOKUP($AN45&amp;RIGHT($AL45,1),'input for formula'!$B$16:$I$20,5,0)),0)</f>
        <v>0</v>
      </c>
      <c r="AU45" s="656">
        <f>IFERROR(IF($AN45="","",HLOOKUP($AN45&amp;$F45,'input for formula'!$B$22:$M$25,4,0)),0)</f>
        <v>0</v>
      </c>
      <c r="AV45" s="666">
        <f>IFERROR(IF($AN45="","",IF('Census Data'!$AN45="Abu Dhabi",VLOOKUP('Census Data'!$AM45,'input for formula'!$A$28:$C$41,3,0),VLOOKUP('Census Data'!$AM45,'input for formula'!$A$28:$C$47,2,0))),0)*IFERROR(1+IF(AN45="Dubai",VLOOKUP(F45,'Quotation for Dubai Plans'!$V$6:$X$12,3,FALSE),VLOOKUP(F45,'Quotation for Abu Dhabi Plans'!$W$6:$Y$12,3,FALSE)),0)</f>
        <v>0</v>
      </c>
      <c r="AW45" s="656" t="str">
        <f t="shared" si="23"/>
        <v/>
      </c>
      <c r="AX45" s="667" t="str">
        <f>IFERROR(IF(AL45="","",IF(AN45="Dubai",HLOOKUP((AL45&amp;AM45),Deviation!$B$7:$S$8,2,0)*BF45*BH45*BI45*BG45,HLOOKUP((AL45&amp;AM45),Deviation!$B$9:$O$10,2,0)*BF45*BH45*BI45*BG45)),0)</f>
        <v/>
      </c>
      <c r="AY45" s="668" t="str">
        <f>IF(AL45="","",IFERROR(IF(AL45="","",IF(AN45="Dubai",HLOOKUP(AZ45,'input for formula'!$B$3:$F$10,AO45,FALSE), IF(AND(H45="Employee",AN45="Abu Dhabi"),HLOOKUP(AZ45,'input for formula'!$I$3:$K$7,AO45,FALSE),HLOOKUP(AZ45,'input for formula'!$M$3:$O$7,AO45,FALSE)))*AX45+AP45*AQ45+AR45*AS45+AT45*AU45),0)*$AZ$3*BK45*BJ45*IF(AND(Inputs!$C$19&gt;19,Inputs!$C$19&lt;30),(1+$AZ$2),1)*(1+$AZ$1))</f>
        <v/>
      </c>
      <c r="AZ45" s="148" t="str">
        <f t="shared" si="19"/>
        <v/>
      </c>
      <c r="BA45" s="669" t="str">
        <f>IF(F45="","",IF(AE45="Dubai",HLOOKUP(F45,Inputs!$C$26:$M$37,9,0),HLOOKUP(F45,Inputs!$C$45:$M$56,9,0)))</f>
        <v/>
      </c>
      <c r="BB45" s="670" t="str">
        <f>IF(F45="","",IF(AE45="Dubai",HLOOKUP(F45,Inputs!$C$26:$M$37,10,0),HLOOKUP(F45,Inputs!$C$45:$M$56,10,0)))</f>
        <v/>
      </c>
      <c r="BC45" s="670" t="str">
        <f>IF(F45="","",IF(AE45="Dubai",HLOOKUP(F45,Inputs!$C$26:$M$37,11,0),HLOOKUP(F45,Inputs!$C$45:$M$56,11,0)))</f>
        <v/>
      </c>
      <c r="BD45" s="669" t="str">
        <f>IF(F45="","",IF(AE45="Dubai",HLOOKUP(F45,Inputs!$C$26:$M$37,12,0),HLOOKUP(F45,Inputs!$C$45:$M$56,12,0)))</f>
        <v/>
      </c>
      <c r="BE45" s="654"/>
      <c r="BF45" s="669" t="str">
        <f>IFERROR(IF(AL45="","",IF(AN45="Dubai",IF(OR(AL45="Plan1",AL45="Plan2"),VLOOKUP(BA45,Deviation!$B$31:$D$33,2,FALSE),VLOOKUP(BA45,Deviation!$B$31:$D$33,3,FALSE)),IF(OR(AL45="Plan1",AL45="Plan2"),VLOOKUP(BA45,Deviation!$E$31:$AE$33,2,FALSE),VLOOKUP(BA45,Deviation!$E$31:$AE$33,3,FALSE)))),0)</f>
        <v/>
      </c>
      <c r="BG45" s="671" t="str">
        <f>IFERROR(IF(AL45="","",IF(AN45="Dubai",IF(AL45="Plan1",VLOOKUP(BB45,Deviation!$B$39:$C$40,2,FALSE),IF(AL45="Plan2",VLOOKUP(BB45,Deviation!$B$42:$C$43,2,FALSE),IF(AL45="Plan5",VLOOKUP(BB45,Deviation!$B$48:$C$49,2,FALSE),VLOOKUP(BB45,Deviation!$B$45:$C$46,2,FALSE)))),IF(AL45="Plan1",VLOOKUP(BB45,Deviation!$E$39:$F$40,2,FALSE),IF(AL45="Plan2",VLOOKUP(BB45,Deviation!$E$42:$F$43,2,FALSE),VLOOKUP(BB45,Deviation!$E$45:$F$46,2,FALSE))))),0)</f>
        <v/>
      </c>
      <c r="BH45" s="671" t="str">
        <f>IFERROR(IF(AL45="","",IF(AN45="Dubai",IF(OR(AL45="Plan1",AL45="Plan2"),VLOOKUP(BC45,Deviation!$B$15:$D$19,2,FALSE),VLOOKUP(BC45,Deviation!$B$15:$D$19,3,FALSE)),IF(OR(AL45="Plan1",AL45="Plan2"),VLOOKUP(BC45,Deviation!$E$15:$AE$19,2,FALSE),VLOOKUP(BC45,Deviation!$E$15:$AE$19,3,FALSE)))),0)</f>
        <v/>
      </c>
      <c r="BI45" s="669" t="str">
        <f>IFERROR(IF(AL45="","",IF(AN45="Dubai",VLOOKUP(BD45,Deviation!$B$24:$C$26,2,FALSE),100%)),0)</f>
        <v/>
      </c>
      <c r="BJ45" s="672">
        <f>IF(AE45="Abu Dhabi",1,IFERROR(VLOOKUP(AM45,Deviation!$B$67:$E$79,MATCH('Census Data'!AA45,Deviation!$B$66:$E$66,0),0),1))</f>
        <v>1</v>
      </c>
      <c r="BK45" s="659">
        <f>IFERROR(VLOOKUP(I45,Deviation!$B$54:$C$62,2,0),1)</f>
        <v>1</v>
      </c>
      <c r="BL45" s="148"/>
      <c r="BM45" s="148"/>
      <c r="BN45" s="148"/>
      <c r="BO45" s="148"/>
      <c r="BP45" s="148"/>
      <c r="BQ45" s="148"/>
      <c r="BR45" s="148"/>
      <c r="BS45" s="148"/>
      <c r="BT45" s="148" t="e">
        <f t="shared" si="20"/>
        <v>#VALUE!</v>
      </c>
      <c r="BU45" t="str">
        <f>IF(AL45="","",IFERROR(IF(AL45="","",IF(AN45="Dubai",HLOOKUP(AZ45,'input for formula'!$B$3:$F$10,AO45,FALSE), IF(AND(H45="Employee",AN45="Abu Dhabi"),HLOOKUP(AZ45,'input for formula'!$I$3:$K$7,AO45,FALSE),HLOOKUP(AZ45,'input for formula'!$M$3:$O$7,AO45,FALSE)))*AX45+AP45*AQ45+AR45*AS45+AT45*AU45),0)*$AZ$3*BK45*BJ45*IF(AND(Inputs!$C$19&gt;19,Inputs!$C$19&lt;30),(1+$AZ$2),1))</f>
        <v/>
      </c>
    </row>
    <row r="46" spans="1:73" ht="15" x14ac:dyDescent="0.25">
      <c r="A46" s="59">
        <v>41</v>
      </c>
      <c r="B46" s="621"/>
      <c r="C46" s="628"/>
      <c r="D46" s="629"/>
      <c r="E46" s="471"/>
      <c r="F46" s="298"/>
      <c r="G46" s="298"/>
      <c r="H46" s="298"/>
      <c r="I46" s="298"/>
      <c r="J46" s="80" t="str">
        <f>IFERROR(IF(C46="","",DATEDIF('Census Data'!C46,eff_date,"y")),"")</f>
        <v/>
      </c>
      <c r="K46" s="59" t="str">
        <f>IF(F46="","",IF(AE46="Dubai",HLOOKUP(F46,Inputs!$C$26:$M$28,3,0),HLOOKUP(F46,Inputs!$C$45:$M$46,2,0)))</f>
        <v/>
      </c>
      <c r="L46" s="104"/>
      <c r="M46" s="105">
        <f t="shared" si="1"/>
        <v>0</v>
      </c>
      <c r="N46" s="654" t="b">
        <f t="shared" si="24"/>
        <v>0</v>
      </c>
      <c r="O46" s="655" t="str">
        <f t="shared" si="25"/>
        <v>x</v>
      </c>
      <c r="P46" s="655" t="str">
        <f t="shared" si="26"/>
        <v>x</v>
      </c>
      <c r="Q46" s="655" t="str">
        <f t="shared" si="27"/>
        <v>x</v>
      </c>
      <c r="R46" s="655" t="str">
        <f t="shared" si="22"/>
        <v>x</v>
      </c>
      <c r="S46" s="655" t="str">
        <f t="shared" si="28"/>
        <v>x</v>
      </c>
      <c r="T46" s="655" t="str">
        <f>IF(ISERROR(MATCH(G46,'Inputs Mapping'!$T$4:$T$10,0)),"x","")</f>
        <v>x</v>
      </c>
      <c r="U46" s="655" t="str">
        <f>IF(ISERROR(MATCH(AA46,'Inputs Mapping'!$U$4:$U$5,0)),"x","")</f>
        <v>x</v>
      </c>
      <c r="V46" s="655" t="str">
        <f>IF(ISERROR(MATCH(AB46,'Inputs Mapping'!$V$4:$V$5,0)),"x","")</f>
        <v>x</v>
      </c>
      <c r="W46" s="655" t="str">
        <f>IF(ISERROR(MATCH(F46,'Inputs Mapping'!$W$4:$W$8,0)),"x","")</f>
        <v>x</v>
      </c>
      <c r="X46" s="655" t="str">
        <f t="shared" si="29"/>
        <v/>
      </c>
      <c r="Y46" s="655" t="str">
        <f t="shared" si="30"/>
        <v/>
      </c>
      <c r="Z46" s="655" t="str">
        <f t="shared" si="8"/>
        <v/>
      </c>
      <c r="AA46" s="655" t="str">
        <f t="shared" si="9"/>
        <v/>
      </c>
      <c r="AB46" s="655" t="str">
        <f t="shared" si="13"/>
        <v/>
      </c>
      <c r="AC46" s="655" t="str">
        <f t="shared" si="21"/>
        <v>x</v>
      </c>
      <c r="AD46" s="655" t="str">
        <f>IF(ISBLANK(I46),"x",IF(ISNUMBER(MATCH(I46,'Inputs Mapping'!$AF$5:$AF$199,0)),"","x"))</f>
        <v>x</v>
      </c>
      <c r="AE46" s="655" t="str">
        <f t="shared" si="14"/>
        <v/>
      </c>
      <c r="AF46" s="148"/>
      <c r="AG46" s="148"/>
      <c r="AH46" s="148" t="str">
        <f t="shared" si="15"/>
        <v/>
      </c>
      <c r="AI46" s="654" t="str">
        <f>IF(J46="","",VLOOKUP(J46,'Inputs Mapping'!$T$27:$V$31,3))</f>
        <v/>
      </c>
      <c r="AJ46" s="654" t="str">
        <f>IF(J46="","",VLOOKUP(J46,'Inputs Mapping'!$T$17:$V$24,3))</f>
        <v/>
      </c>
      <c r="AK46" s="654" t="str">
        <f t="shared" si="16"/>
        <v/>
      </c>
      <c r="AL46" s="655" t="str">
        <f t="shared" si="31"/>
        <v/>
      </c>
      <c r="AM46" s="655" t="str">
        <f>IF(F46="","",IF(AE46="Dubai",HLOOKUP(F46,Inputs!$C$26:$M$36,5,0),HLOOKUP(F46,Inputs!$C$45:$M$49,5,0)))</f>
        <v/>
      </c>
      <c r="AN46" s="655">
        <f t="shared" si="17"/>
        <v>0</v>
      </c>
      <c r="AO46" s="654" t="str">
        <f>IF(AJ46="","",IF(AN46="Dubai",VLOOKUP(AJ46,'Inputs Mapping'!$V$17:$W$24,2,0),VLOOKUP(AI46,'Inputs Mapping'!$V$27:$W$31,2,0)))</f>
        <v/>
      </c>
      <c r="AP46" s="666">
        <f>IFERROR(IF($AN46="","",HLOOKUP($AN46&amp;RIGHT($AL46,1),'input for formula'!$B$16:$I$20,3,0)),0)</f>
        <v>0</v>
      </c>
      <c r="AQ46" s="656">
        <f>IFERROR(IF($AN46="","",HLOOKUP($AN46&amp;$F46,'input for formula'!$B$22:$M$25,2,0)),0)</f>
        <v>0</v>
      </c>
      <c r="AR46" s="666">
        <f>IFERROR(IF($AN46="","",HLOOKUP($AN46&amp;RIGHT($AL46,1),'input for formula'!$B$16:$I$20,4,0)),0)</f>
        <v>0</v>
      </c>
      <c r="AS46" s="656">
        <f>IFERROR(IF($AN46="","",HLOOKUP($AN46&amp;$F46,'input for formula'!$B$22:$M$25,3,0)),0)</f>
        <v>0</v>
      </c>
      <c r="AT46" s="656">
        <f>IFERROR(IF($AN46="","",HLOOKUP($AN46&amp;RIGHT($AL46,1),'input for formula'!$B$16:$I$20,5,0)),0)</f>
        <v>0</v>
      </c>
      <c r="AU46" s="656">
        <f>IFERROR(IF($AN46="","",HLOOKUP($AN46&amp;$F46,'input for formula'!$B$22:$M$25,4,0)),0)</f>
        <v>0</v>
      </c>
      <c r="AV46" s="666">
        <f>IFERROR(IF($AN46="","",IF('Census Data'!$AN46="Abu Dhabi",VLOOKUP('Census Data'!$AM46,'input for formula'!$A$28:$C$41,3,0),VLOOKUP('Census Data'!$AM46,'input for formula'!$A$28:$C$47,2,0))),0)*IFERROR(1+IF(AN46="Dubai",VLOOKUP(F46,'Quotation for Dubai Plans'!$V$6:$X$12,3,FALSE),VLOOKUP(F46,'Quotation for Abu Dhabi Plans'!$W$6:$Y$12,3,FALSE)),0)</f>
        <v>0</v>
      </c>
      <c r="AW46" s="656" t="str">
        <f t="shared" si="23"/>
        <v/>
      </c>
      <c r="AX46" s="667" t="str">
        <f>IFERROR(IF(AL46="","",IF(AN46="Dubai",HLOOKUP((AL46&amp;AM46),Deviation!$B$7:$S$8,2,0)*BF46*BH46*BI46*BG46,HLOOKUP((AL46&amp;AM46),Deviation!$B$9:$O$10,2,0)*BF46*BH46*BI46*BG46)),0)</f>
        <v/>
      </c>
      <c r="AY46" s="668" t="str">
        <f>IF(AL46="","",IFERROR(IF(AL46="","",IF(AN46="Dubai",HLOOKUP(AZ46,'input for formula'!$B$3:$F$10,AO46,FALSE), IF(AND(H46="Employee",AN46="Abu Dhabi"),HLOOKUP(AZ46,'input for formula'!$I$3:$K$7,AO46,FALSE),HLOOKUP(AZ46,'input for formula'!$M$3:$O$7,AO46,FALSE)))*AX46+AP46*AQ46+AR46*AS46+AT46*AU46),0)*$AZ$3*BK46*BJ46*IF(AND(Inputs!$C$19&gt;19,Inputs!$C$19&lt;30),(1+$AZ$2),1)*(1+$AZ$1))</f>
        <v/>
      </c>
      <c r="AZ46" s="148" t="str">
        <f t="shared" si="19"/>
        <v/>
      </c>
      <c r="BA46" s="669" t="str">
        <f>IF(F46="","",IF(AE46="Dubai",HLOOKUP(F46,Inputs!$C$26:$M$37,9,0),HLOOKUP(F46,Inputs!$C$45:$M$56,9,0)))</f>
        <v/>
      </c>
      <c r="BB46" s="670" t="str">
        <f>IF(F46="","",IF(AE46="Dubai",HLOOKUP(F46,Inputs!$C$26:$M$37,10,0),HLOOKUP(F46,Inputs!$C$45:$M$56,10,0)))</f>
        <v/>
      </c>
      <c r="BC46" s="670" t="str">
        <f>IF(F46="","",IF(AE46="Dubai",HLOOKUP(F46,Inputs!$C$26:$M$37,11,0),HLOOKUP(F46,Inputs!$C$45:$M$56,11,0)))</f>
        <v/>
      </c>
      <c r="BD46" s="669" t="str">
        <f>IF(F46="","",IF(AE46="Dubai",HLOOKUP(F46,Inputs!$C$26:$M$37,12,0),HLOOKUP(F46,Inputs!$C$45:$M$56,12,0)))</f>
        <v/>
      </c>
      <c r="BE46" s="654"/>
      <c r="BF46" s="669" t="str">
        <f>IFERROR(IF(AL46="","",IF(AN46="Dubai",IF(OR(AL46="Plan1",AL46="Plan2"),VLOOKUP(BA46,Deviation!$B$31:$D$33,2,FALSE),VLOOKUP(BA46,Deviation!$B$31:$D$33,3,FALSE)),IF(OR(AL46="Plan1",AL46="Plan2"),VLOOKUP(BA46,Deviation!$E$31:$AE$33,2,FALSE),VLOOKUP(BA46,Deviation!$E$31:$AE$33,3,FALSE)))),0)</f>
        <v/>
      </c>
      <c r="BG46" s="671" t="str">
        <f>IFERROR(IF(AL46="","",IF(AN46="Dubai",IF(AL46="Plan1",VLOOKUP(BB46,Deviation!$B$39:$C$40,2,FALSE),IF(AL46="Plan2",VLOOKUP(BB46,Deviation!$B$42:$C$43,2,FALSE),IF(AL46="Plan5",VLOOKUP(BB46,Deviation!$B$48:$C$49,2,FALSE),VLOOKUP(BB46,Deviation!$B$45:$C$46,2,FALSE)))),IF(AL46="Plan1",VLOOKUP(BB46,Deviation!$E$39:$F$40,2,FALSE),IF(AL46="Plan2",VLOOKUP(BB46,Deviation!$E$42:$F$43,2,FALSE),VLOOKUP(BB46,Deviation!$E$45:$F$46,2,FALSE))))),0)</f>
        <v/>
      </c>
      <c r="BH46" s="671" t="str">
        <f>IFERROR(IF(AL46="","",IF(AN46="Dubai",IF(OR(AL46="Plan1",AL46="Plan2"),VLOOKUP(BC46,Deviation!$B$15:$D$19,2,FALSE),VLOOKUP(BC46,Deviation!$B$15:$D$19,3,FALSE)),IF(OR(AL46="Plan1",AL46="Plan2"),VLOOKUP(BC46,Deviation!$E$15:$AE$19,2,FALSE),VLOOKUP(BC46,Deviation!$E$15:$AE$19,3,FALSE)))),0)</f>
        <v/>
      </c>
      <c r="BI46" s="669" t="str">
        <f>IFERROR(IF(AL46="","",IF(AN46="Dubai",VLOOKUP(BD46,Deviation!$B$24:$C$26,2,FALSE),100%)),0)</f>
        <v/>
      </c>
      <c r="BJ46" s="672">
        <f>IF(AE46="Abu Dhabi",1,IFERROR(VLOOKUP(AM46,Deviation!$B$67:$E$79,MATCH('Census Data'!AA46,Deviation!$B$66:$E$66,0),0),1))</f>
        <v>1</v>
      </c>
      <c r="BK46" s="659">
        <f>IFERROR(VLOOKUP(I46,Deviation!$B$54:$C$62,2,0),1)</f>
        <v>1</v>
      </c>
      <c r="BL46" s="148"/>
      <c r="BM46" s="148"/>
      <c r="BN46" s="148"/>
      <c r="BO46" s="148"/>
      <c r="BP46" s="148"/>
      <c r="BQ46" s="148"/>
      <c r="BR46" s="148"/>
      <c r="BS46" s="148"/>
      <c r="BT46" s="148" t="e">
        <f t="shared" si="20"/>
        <v>#VALUE!</v>
      </c>
      <c r="BU46" t="str">
        <f>IF(AL46="","",IFERROR(IF(AL46="","",IF(AN46="Dubai",HLOOKUP(AZ46,'input for formula'!$B$3:$F$10,AO46,FALSE), IF(AND(H46="Employee",AN46="Abu Dhabi"),HLOOKUP(AZ46,'input for formula'!$I$3:$K$7,AO46,FALSE),HLOOKUP(AZ46,'input for formula'!$M$3:$O$7,AO46,FALSE)))*AX46+AP46*AQ46+AR46*AS46+AT46*AU46),0)*$AZ$3*BK46*BJ46*IF(AND(Inputs!$C$19&gt;19,Inputs!$C$19&lt;30),(1+$AZ$2),1))</f>
        <v/>
      </c>
    </row>
    <row r="47" spans="1:73" ht="15" x14ac:dyDescent="0.25">
      <c r="A47" s="59">
        <v>42</v>
      </c>
      <c r="B47" s="621"/>
      <c r="C47" s="628"/>
      <c r="D47" s="629"/>
      <c r="E47" s="471"/>
      <c r="F47" s="298"/>
      <c r="G47" s="298"/>
      <c r="H47" s="298"/>
      <c r="I47" s="298"/>
      <c r="J47" s="80" t="str">
        <f>IFERROR(IF(C47="","",DATEDIF('Census Data'!C47,eff_date,"y")),"")</f>
        <v/>
      </c>
      <c r="K47" s="59" t="str">
        <f>IF(F47="","",IF(AE47="Dubai",HLOOKUP(F47,Inputs!$C$26:$M$28,3,0),HLOOKUP(F47,Inputs!$C$45:$M$46,2,0)))</f>
        <v/>
      </c>
      <c r="L47" s="104"/>
      <c r="M47" s="105">
        <f t="shared" si="1"/>
        <v>0</v>
      </c>
      <c r="N47" s="654" t="b">
        <f t="shared" si="24"/>
        <v>0</v>
      </c>
      <c r="O47" s="655" t="str">
        <f t="shared" si="25"/>
        <v>x</v>
      </c>
      <c r="P47" s="655" t="str">
        <f t="shared" si="26"/>
        <v>x</v>
      </c>
      <c r="Q47" s="655" t="str">
        <f t="shared" si="27"/>
        <v>x</v>
      </c>
      <c r="R47" s="655" t="str">
        <f t="shared" si="22"/>
        <v>x</v>
      </c>
      <c r="S47" s="655" t="str">
        <f t="shared" si="28"/>
        <v>x</v>
      </c>
      <c r="T47" s="655" t="str">
        <f>IF(ISERROR(MATCH(G47,'Inputs Mapping'!$T$4:$T$10,0)),"x","")</f>
        <v>x</v>
      </c>
      <c r="U47" s="655" t="str">
        <f>IF(ISERROR(MATCH(AA47,'Inputs Mapping'!$U$4:$U$5,0)),"x","")</f>
        <v>x</v>
      </c>
      <c r="V47" s="655" t="str">
        <f>IF(ISERROR(MATCH(AB47,'Inputs Mapping'!$V$4:$V$5,0)),"x","")</f>
        <v>x</v>
      </c>
      <c r="W47" s="655" t="str">
        <f>IF(ISERROR(MATCH(F47,'Inputs Mapping'!$W$4:$W$8,0)),"x","")</f>
        <v>x</v>
      </c>
      <c r="X47" s="655" t="str">
        <f t="shared" si="29"/>
        <v/>
      </c>
      <c r="Y47" s="655" t="str">
        <f t="shared" si="30"/>
        <v/>
      </c>
      <c r="Z47" s="655" t="str">
        <f t="shared" si="8"/>
        <v/>
      </c>
      <c r="AA47" s="655" t="str">
        <f t="shared" si="9"/>
        <v/>
      </c>
      <c r="AB47" s="655" t="str">
        <f t="shared" si="13"/>
        <v/>
      </c>
      <c r="AC47" s="655" t="str">
        <f t="shared" si="21"/>
        <v>x</v>
      </c>
      <c r="AD47" s="655" t="str">
        <f>IF(ISBLANK(I47),"x",IF(ISNUMBER(MATCH(I47,'Inputs Mapping'!$AF$5:$AF$199,0)),"","x"))</f>
        <v>x</v>
      </c>
      <c r="AE47" s="655" t="str">
        <f t="shared" si="14"/>
        <v/>
      </c>
      <c r="AF47" s="148"/>
      <c r="AG47" s="148"/>
      <c r="AH47" s="148" t="str">
        <f t="shared" si="15"/>
        <v/>
      </c>
      <c r="AI47" s="654" t="str">
        <f>IF(J47="","",VLOOKUP(J47,'Inputs Mapping'!$T$27:$V$31,3))</f>
        <v/>
      </c>
      <c r="AJ47" s="654" t="str">
        <f>IF(J47="","",VLOOKUP(J47,'Inputs Mapping'!$T$17:$V$24,3))</f>
        <v/>
      </c>
      <c r="AK47" s="654" t="str">
        <f t="shared" si="16"/>
        <v/>
      </c>
      <c r="AL47" s="655" t="str">
        <f t="shared" si="31"/>
        <v/>
      </c>
      <c r="AM47" s="655" t="str">
        <f>IF(F47="","",IF(AE47="Dubai",HLOOKUP(F47,Inputs!$C$26:$M$36,5,0),HLOOKUP(F47,Inputs!$C$45:$M$49,5,0)))</f>
        <v/>
      </c>
      <c r="AN47" s="655">
        <f t="shared" si="17"/>
        <v>0</v>
      </c>
      <c r="AO47" s="654" t="str">
        <f>IF(AJ47="","",IF(AN47="Dubai",VLOOKUP(AJ47,'Inputs Mapping'!$V$17:$W$24,2,0),VLOOKUP(AI47,'Inputs Mapping'!$V$27:$W$31,2,0)))</f>
        <v/>
      </c>
      <c r="AP47" s="666">
        <f>IFERROR(IF($AN47="","",HLOOKUP($AN47&amp;RIGHT($AL47,1),'input for formula'!$B$16:$I$20,3,0)),0)</f>
        <v>0</v>
      </c>
      <c r="AQ47" s="656">
        <f>IFERROR(IF($AN47="","",HLOOKUP($AN47&amp;$F47,'input for formula'!$B$22:$M$25,2,0)),0)</f>
        <v>0</v>
      </c>
      <c r="AR47" s="666">
        <f>IFERROR(IF($AN47="","",HLOOKUP($AN47&amp;RIGHT($AL47,1),'input for formula'!$B$16:$I$20,4,0)),0)</f>
        <v>0</v>
      </c>
      <c r="AS47" s="656">
        <f>IFERROR(IF($AN47="","",HLOOKUP($AN47&amp;$F47,'input for formula'!$B$22:$M$25,3,0)),0)</f>
        <v>0</v>
      </c>
      <c r="AT47" s="656">
        <f>IFERROR(IF($AN47="","",HLOOKUP($AN47&amp;RIGHT($AL47,1),'input for formula'!$B$16:$I$20,5,0)),0)</f>
        <v>0</v>
      </c>
      <c r="AU47" s="656">
        <f>IFERROR(IF($AN47="","",HLOOKUP($AN47&amp;$F47,'input for formula'!$B$22:$M$25,4,0)),0)</f>
        <v>0</v>
      </c>
      <c r="AV47" s="666">
        <f>IFERROR(IF($AN47="","",IF('Census Data'!$AN47="Abu Dhabi",VLOOKUP('Census Data'!$AM47,'input for formula'!$A$28:$C$41,3,0),VLOOKUP('Census Data'!$AM47,'input for formula'!$A$28:$C$47,2,0))),0)*IFERROR(1+IF(AN47="Dubai",VLOOKUP(F47,'Quotation for Dubai Plans'!$V$6:$X$12,3,FALSE),VLOOKUP(F47,'Quotation for Abu Dhabi Plans'!$W$6:$Y$12,3,FALSE)),0)</f>
        <v>0</v>
      </c>
      <c r="AW47" s="656" t="str">
        <f t="shared" si="23"/>
        <v/>
      </c>
      <c r="AX47" s="667" t="str">
        <f>IFERROR(IF(AL47="","",IF(AN47="Dubai",HLOOKUP((AL47&amp;AM47),Deviation!$B$7:$S$8,2,0)*BF47*BH47*BI47*BG47,HLOOKUP((AL47&amp;AM47),Deviation!$B$9:$O$10,2,0)*BF47*BH47*BI47*BG47)),0)</f>
        <v/>
      </c>
      <c r="AY47" s="668" t="str">
        <f>IF(AL47="","",IFERROR(IF(AL47="","",IF(AN47="Dubai",HLOOKUP(AZ47,'input for formula'!$B$3:$F$10,AO47,FALSE), IF(AND(H47="Employee",AN47="Abu Dhabi"),HLOOKUP(AZ47,'input for formula'!$I$3:$K$7,AO47,FALSE),HLOOKUP(AZ47,'input for formula'!$M$3:$O$7,AO47,FALSE)))*AX47+AP47*AQ47+AR47*AS47+AT47*AU47),0)*$AZ$3*BK47*BJ47*IF(AND(Inputs!$C$19&gt;19,Inputs!$C$19&lt;30),(1+$AZ$2),1)*(1+$AZ$1))</f>
        <v/>
      </c>
      <c r="AZ47" s="148" t="str">
        <f t="shared" si="19"/>
        <v/>
      </c>
      <c r="BA47" s="669" t="str">
        <f>IF(F47="","",IF(AE47="Dubai",HLOOKUP(F47,Inputs!$C$26:$M$37,9,0),HLOOKUP(F47,Inputs!$C$45:$M$56,9,0)))</f>
        <v/>
      </c>
      <c r="BB47" s="670" t="str">
        <f>IF(F47="","",IF(AE47="Dubai",HLOOKUP(F47,Inputs!$C$26:$M$37,10,0),HLOOKUP(F47,Inputs!$C$45:$M$56,10,0)))</f>
        <v/>
      </c>
      <c r="BC47" s="670" t="str">
        <f>IF(F47="","",IF(AE47="Dubai",HLOOKUP(F47,Inputs!$C$26:$M$37,11,0),HLOOKUP(F47,Inputs!$C$45:$M$56,11,0)))</f>
        <v/>
      </c>
      <c r="BD47" s="669" t="str">
        <f>IF(F47="","",IF(AE47="Dubai",HLOOKUP(F47,Inputs!$C$26:$M$37,12,0),HLOOKUP(F47,Inputs!$C$45:$M$56,12,0)))</f>
        <v/>
      </c>
      <c r="BE47" s="654"/>
      <c r="BF47" s="669" t="str">
        <f>IFERROR(IF(AL47="","",IF(AN47="Dubai",IF(OR(AL47="Plan1",AL47="Plan2"),VLOOKUP(BA47,Deviation!$B$31:$D$33,2,FALSE),VLOOKUP(BA47,Deviation!$B$31:$D$33,3,FALSE)),IF(OR(AL47="Plan1",AL47="Plan2"),VLOOKUP(BA47,Deviation!$E$31:$AE$33,2,FALSE),VLOOKUP(BA47,Deviation!$E$31:$AE$33,3,FALSE)))),0)</f>
        <v/>
      </c>
      <c r="BG47" s="671" t="str">
        <f>IFERROR(IF(AL47="","",IF(AN47="Dubai",IF(AL47="Plan1",VLOOKUP(BB47,Deviation!$B$39:$C$40,2,FALSE),IF(AL47="Plan2",VLOOKUP(BB47,Deviation!$B$42:$C$43,2,FALSE),IF(AL47="Plan5",VLOOKUP(BB47,Deviation!$B$48:$C$49,2,FALSE),VLOOKUP(BB47,Deviation!$B$45:$C$46,2,FALSE)))),IF(AL47="Plan1",VLOOKUP(BB47,Deviation!$E$39:$F$40,2,FALSE),IF(AL47="Plan2",VLOOKUP(BB47,Deviation!$E$42:$F$43,2,FALSE),VLOOKUP(BB47,Deviation!$E$45:$F$46,2,FALSE))))),0)</f>
        <v/>
      </c>
      <c r="BH47" s="671" t="str">
        <f>IFERROR(IF(AL47="","",IF(AN47="Dubai",IF(OR(AL47="Plan1",AL47="Plan2"),VLOOKUP(BC47,Deviation!$B$15:$D$19,2,FALSE),VLOOKUP(BC47,Deviation!$B$15:$D$19,3,FALSE)),IF(OR(AL47="Plan1",AL47="Plan2"),VLOOKUP(BC47,Deviation!$E$15:$AE$19,2,FALSE),VLOOKUP(BC47,Deviation!$E$15:$AE$19,3,FALSE)))),0)</f>
        <v/>
      </c>
      <c r="BI47" s="669" t="str">
        <f>IFERROR(IF(AL47="","",IF(AN47="Dubai",VLOOKUP(BD47,Deviation!$B$24:$C$26,2,FALSE),100%)),0)</f>
        <v/>
      </c>
      <c r="BJ47" s="672">
        <f>IF(AE47="Abu Dhabi",1,IFERROR(VLOOKUP(AM47,Deviation!$B$67:$E$79,MATCH('Census Data'!AA47,Deviation!$B$66:$E$66,0),0),1))</f>
        <v>1</v>
      </c>
      <c r="BK47" s="659">
        <f>IFERROR(VLOOKUP(I47,Deviation!$B$54:$C$62,2,0),1)</f>
        <v>1</v>
      </c>
      <c r="BL47" s="148"/>
      <c r="BM47" s="148"/>
      <c r="BN47" s="148"/>
      <c r="BO47" s="148"/>
      <c r="BP47" s="148"/>
      <c r="BQ47" s="148"/>
      <c r="BR47" s="148"/>
      <c r="BS47" s="148"/>
      <c r="BT47" s="148" t="e">
        <f t="shared" si="20"/>
        <v>#VALUE!</v>
      </c>
      <c r="BU47" t="str">
        <f>IF(AL47="","",IFERROR(IF(AL47="","",IF(AN47="Dubai",HLOOKUP(AZ47,'input for formula'!$B$3:$F$10,AO47,FALSE), IF(AND(H47="Employee",AN47="Abu Dhabi"),HLOOKUP(AZ47,'input for formula'!$I$3:$K$7,AO47,FALSE),HLOOKUP(AZ47,'input for formula'!$M$3:$O$7,AO47,FALSE)))*AX47+AP47*AQ47+AR47*AS47+AT47*AU47),0)*$AZ$3*BK47*BJ47*IF(AND(Inputs!$C$19&gt;19,Inputs!$C$19&lt;30),(1+$AZ$2),1))</f>
        <v/>
      </c>
    </row>
    <row r="48" spans="1:73" ht="15" x14ac:dyDescent="0.25">
      <c r="A48" s="59">
        <v>43</v>
      </c>
      <c r="B48" s="621"/>
      <c r="C48" s="628"/>
      <c r="D48" s="629"/>
      <c r="E48" s="471"/>
      <c r="F48" s="298"/>
      <c r="G48" s="298"/>
      <c r="H48" s="298"/>
      <c r="I48" s="298"/>
      <c r="J48" s="80" t="str">
        <f>IFERROR(IF(C48="","",DATEDIF('Census Data'!C48,eff_date,"y")),"")</f>
        <v/>
      </c>
      <c r="K48" s="59" t="str">
        <f>IF(F48="","",IF(AE48="Dubai",HLOOKUP(F48,Inputs!$C$26:$M$28,3,0),HLOOKUP(F48,Inputs!$C$45:$M$46,2,0)))</f>
        <v/>
      </c>
      <c r="L48" s="104"/>
      <c r="M48" s="105">
        <f t="shared" si="1"/>
        <v>0</v>
      </c>
      <c r="N48" s="654" t="b">
        <f t="shared" si="24"/>
        <v>0</v>
      </c>
      <c r="O48" s="655" t="str">
        <f t="shared" si="25"/>
        <v>x</v>
      </c>
      <c r="P48" s="655" t="str">
        <f t="shared" si="26"/>
        <v>x</v>
      </c>
      <c r="Q48" s="655" t="str">
        <f t="shared" si="27"/>
        <v>x</v>
      </c>
      <c r="R48" s="655" t="str">
        <f t="shared" si="22"/>
        <v>x</v>
      </c>
      <c r="S48" s="655" t="str">
        <f t="shared" si="28"/>
        <v>x</v>
      </c>
      <c r="T48" s="655" t="str">
        <f>IF(ISERROR(MATCH(G48,'Inputs Mapping'!$T$4:$T$10,0)),"x","")</f>
        <v>x</v>
      </c>
      <c r="U48" s="655" t="str">
        <f>IF(ISERROR(MATCH(AA48,'Inputs Mapping'!$U$4:$U$5,0)),"x","")</f>
        <v>x</v>
      </c>
      <c r="V48" s="655" t="str">
        <f>IF(ISERROR(MATCH(AB48,'Inputs Mapping'!$V$4:$V$5,0)),"x","")</f>
        <v>x</v>
      </c>
      <c r="W48" s="655" t="str">
        <f>IF(ISERROR(MATCH(F48,'Inputs Mapping'!$W$4:$W$8,0)),"x","")</f>
        <v>x</v>
      </c>
      <c r="X48" s="655" t="str">
        <f t="shared" si="29"/>
        <v/>
      </c>
      <c r="Y48" s="655" t="str">
        <f t="shared" si="30"/>
        <v/>
      </c>
      <c r="Z48" s="655" t="str">
        <f t="shared" si="8"/>
        <v/>
      </c>
      <c r="AA48" s="655" t="str">
        <f t="shared" si="9"/>
        <v/>
      </c>
      <c r="AB48" s="655" t="str">
        <f t="shared" si="13"/>
        <v/>
      </c>
      <c r="AC48" s="655" t="str">
        <f t="shared" si="21"/>
        <v>x</v>
      </c>
      <c r="AD48" s="655" t="str">
        <f>IF(ISBLANK(I48),"x",IF(ISNUMBER(MATCH(I48,'Inputs Mapping'!$AF$5:$AF$199,0)),"","x"))</f>
        <v>x</v>
      </c>
      <c r="AE48" s="655" t="str">
        <f t="shared" si="14"/>
        <v/>
      </c>
      <c r="AF48" s="148"/>
      <c r="AG48" s="148"/>
      <c r="AH48" s="148" t="str">
        <f t="shared" si="15"/>
        <v/>
      </c>
      <c r="AI48" s="654" t="str">
        <f>IF(J48="","",VLOOKUP(J48,'Inputs Mapping'!$T$27:$V$31,3))</f>
        <v/>
      </c>
      <c r="AJ48" s="654" t="str">
        <f>IF(J48="","",VLOOKUP(J48,'Inputs Mapping'!$T$17:$V$24,3))</f>
        <v/>
      </c>
      <c r="AK48" s="654" t="str">
        <f t="shared" si="16"/>
        <v/>
      </c>
      <c r="AL48" s="655" t="str">
        <f t="shared" si="31"/>
        <v/>
      </c>
      <c r="AM48" s="655" t="str">
        <f>IF(F48="","",IF(AE48="Dubai",HLOOKUP(F48,Inputs!$C$26:$M$36,5,0),HLOOKUP(F48,Inputs!$C$45:$M$49,5,0)))</f>
        <v/>
      </c>
      <c r="AN48" s="655">
        <f t="shared" si="17"/>
        <v>0</v>
      </c>
      <c r="AO48" s="654" t="str">
        <f>IF(AJ48="","",IF(AN48="Dubai",VLOOKUP(AJ48,'Inputs Mapping'!$V$17:$W$24,2,0),VLOOKUP(AI48,'Inputs Mapping'!$V$27:$W$31,2,0)))</f>
        <v/>
      </c>
      <c r="AP48" s="666">
        <f>IFERROR(IF($AN48="","",HLOOKUP($AN48&amp;RIGHT($AL48,1),'input for formula'!$B$16:$I$20,3,0)),0)</f>
        <v>0</v>
      </c>
      <c r="AQ48" s="656">
        <f>IFERROR(IF($AN48="","",HLOOKUP($AN48&amp;$F48,'input for formula'!$B$22:$M$25,2,0)),0)</f>
        <v>0</v>
      </c>
      <c r="AR48" s="666">
        <f>IFERROR(IF($AN48="","",HLOOKUP($AN48&amp;RIGHT($AL48,1),'input for formula'!$B$16:$I$20,4,0)),0)</f>
        <v>0</v>
      </c>
      <c r="AS48" s="656">
        <f>IFERROR(IF($AN48="","",HLOOKUP($AN48&amp;$F48,'input for formula'!$B$22:$M$25,3,0)),0)</f>
        <v>0</v>
      </c>
      <c r="AT48" s="656">
        <f>IFERROR(IF($AN48="","",HLOOKUP($AN48&amp;RIGHT($AL48,1),'input for formula'!$B$16:$I$20,5,0)),0)</f>
        <v>0</v>
      </c>
      <c r="AU48" s="656">
        <f>IFERROR(IF($AN48="","",HLOOKUP($AN48&amp;$F48,'input for formula'!$B$22:$M$25,4,0)),0)</f>
        <v>0</v>
      </c>
      <c r="AV48" s="666">
        <f>IFERROR(IF($AN48="","",IF('Census Data'!$AN48="Abu Dhabi",VLOOKUP('Census Data'!$AM48,'input for formula'!$A$28:$C$41,3,0),VLOOKUP('Census Data'!$AM48,'input for formula'!$A$28:$C$47,2,0))),0)*IFERROR(1+IF(AN48="Dubai",VLOOKUP(F48,'Quotation for Dubai Plans'!$V$6:$X$12,3,FALSE),VLOOKUP(F48,'Quotation for Abu Dhabi Plans'!$W$6:$Y$12,3,FALSE)),0)</f>
        <v>0</v>
      </c>
      <c r="AW48" s="656" t="str">
        <f t="shared" si="23"/>
        <v/>
      </c>
      <c r="AX48" s="667" t="str">
        <f>IFERROR(IF(AL48="","",IF(AN48="Dubai",HLOOKUP((AL48&amp;AM48),Deviation!$B$7:$S$8,2,0)*BF48*BH48*BI48*BG48,HLOOKUP((AL48&amp;AM48),Deviation!$B$9:$O$10,2,0)*BF48*BH48*BI48*BG48)),0)</f>
        <v/>
      </c>
      <c r="AY48" s="668" t="str">
        <f>IF(AL48="","",IFERROR(IF(AL48="","",IF(AN48="Dubai",HLOOKUP(AZ48,'input for formula'!$B$3:$F$10,AO48,FALSE), IF(AND(H48="Employee",AN48="Abu Dhabi"),HLOOKUP(AZ48,'input for formula'!$I$3:$K$7,AO48,FALSE),HLOOKUP(AZ48,'input for formula'!$M$3:$O$7,AO48,FALSE)))*AX48+AP48*AQ48+AR48*AS48+AT48*AU48),0)*$AZ$3*BK48*BJ48*IF(AND(Inputs!$C$19&gt;19,Inputs!$C$19&lt;30),(1+$AZ$2),1)*(1+$AZ$1))</f>
        <v/>
      </c>
      <c r="AZ48" s="148" t="str">
        <f t="shared" si="19"/>
        <v/>
      </c>
      <c r="BA48" s="669" t="str">
        <f>IF(F48="","",IF(AE48="Dubai",HLOOKUP(F48,Inputs!$C$26:$M$37,9,0),HLOOKUP(F48,Inputs!$C$45:$M$56,9,0)))</f>
        <v/>
      </c>
      <c r="BB48" s="670" t="str">
        <f>IF(F48="","",IF(AE48="Dubai",HLOOKUP(F48,Inputs!$C$26:$M$37,10,0),HLOOKUP(F48,Inputs!$C$45:$M$56,10,0)))</f>
        <v/>
      </c>
      <c r="BC48" s="670" t="str">
        <f>IF(F48="","",IF(AE48="Dubai",HLOOKUP(F48,Inputs!$C$26:$M$37,11,0),HLOOKUP(F48,Inputs!$C$45:$M$56,11,0)))</f>
        <v/>
      </c>
      <c r="BD48" s="669" t="str">
        <f>IF(F48="","",IF(AE48="Dubai",HLOOKUP(F48,Inputs!$C$26:$M$37,12,0),HLOOKUP(F48,Inputs!$C$45:$M$56,12,0)))</f>
        <v/>
      </c>
      <c r="BE48" s="654"/>
      <c r="BF48" s="669" t="str">
        <f>IFERROR(IF(AL48="","",IF(AN48="Dubai",IF(OR(AL48="Plan1",AL48="Plan2"),VLOOKUP(BA48,Deviation!$B$31:$D$33,2,FALSE),VLOOKUP(BA48,Deviation!$B$31:$D$33,3,FALSE)),IF(OR(AL48="Plan1",AL48="Plan2"),VLOOKUP(BA48,Deviation!$E$31:$AE$33,2,FALSE),VLOOKUP(BA48,Deviation!$E$31:$AE$33,3,FALSE)))),0)</f>
        <v/>
      </c>
      <c r="BG48" s="671" t="str">
        <f>IFERROR(IF(AL48="","",IF(AN48="Dubai",IF(AL48="Plan1",VLOOKUP(BB48,Deviation!$B$39:$C$40,2,FALSE),IF(AL48="Plan2",VLOOKUP(BB48,Deviation!$B$42:$C$43,2,FALSE),IF(AL48="Plan5",VLOOKUP(BB48,Deviation!$B$48:$C$49,2,FALSE),VLOOKUP(BB48,Deviation!$B$45:$C$46,2,FALSE)))),IF(AL48="Plan1",VLOOKUP(BB48,Deviation!$E$39:$F$40,2,FALSE),IF(AL48="Plan2",VLOOKUP(BB48,Deviation!$E$42:$F$43,2,FALSE),VLOOKUP(BB48,Deviation!$E$45:$F$46,2,FALSE))))),0)</f>
        <v/>
      </c>
      <c r="BH48" s="671" t="str">
        <f>IFERROR(IF(AL48="","",IF(AN48="Dubai",IF(OR(AL48="Plan1",AL48="Plan2"),VLOOKUP(BC48,Deviation!$B$15:$D$19,2,FALSE),VLOOKUP(BC48,Deviation!$B$15:$D$19,3,FALSE)),IF(OR(AL48="Plan1",AL48="Plan2"),VLOOKUP(BC48,Deviation!$E$15:$AE$19,2,FALSE),VLOOKUP(BC48,Deviation!$E$15:$AE$19,3,FALSE)))),0)</f>
        <v/>
      </c>
      <c r="BI48" s="669" t="str">
        <f>IFERROR(IF(AL48="","",IF(AN48="Dubai",VLOOKUP(BD48,Deviation!$B$24:$C$26,2,FALSE),100%)),0)</f>
        <v/>
      </c>
      <c r="BJ48" s="672">
        <f>IF(AE48="Abu Dhabi",1,IFERROR(VLOOKUP(AM48,Deviation!$B$67:$E$79,MATCH('Census Data'!AA48,Deviation!$B$66:$E$66,0),0),1))</f>
        <v>1</v>
      </c>
      <c r="BK48" s="659">
        <f>IFERROR(VLOOKUP(I48,Deviation!$B$54:$C$62,2,0),1)</f>
        <v>1</v>
      </c>
      <c r="BL48" s="148"/>
      <c r="BM48" s="148"/>
      <c r="BN48" s="148"/>
      <c r="BO48" s="148"/>
      <c r="BP48" s="148"/>
      <c r="BQ48" s="148"/>
      <c r="BR48" s="148"/>
      <c r="BS48" s="148"/>
      <c r="BT48" s="148" t="e">
        <f t="shared" si="20"/>
        <v>#VALUE!</v>
      </c>
      <c r="BU48" t="str">
        <f>IF(AL48="","",IFERROR(IF(AL48="","",IF(AN48="Dubai",HLOOKUP(AZ48,'input for formula'!$B$3:$F$10,AO48,FALSE), IF(AND(H48="Employee",AN48="Abu Dhabi"),HLOOKUP(AZ48,'input for formula'!$I$3:$K$7,AO48,FALSE),HLOOKUP(AZ48,'input for formula'!$M$3:$O$7,AO48,FALSE)))*AX48+AP48*AQ48+AR48*AS48+AT48*AU48),0)*$AZ$3*BK48*BJ48*IF(AND(Inputs!$C$19&gt;19,Inputs!$C$19&lt;30),(1+$AZ$2),1))</f>
        <v/>
      </c>
    </row>
    <row r="49" spans="1:73" ht="15" x14ac:dyDescent="0.25">
      <c r="A49" s="59">
        <v>44</v>
      </c>
      <c r="B49" s="621"/>
      <c r="C49" s="628"/>
      <c r="D49" s="629"/>
      <c r="E49" s="471"/>
      <c r="F49" s="298"/>
      <c r="G49" s="298"/>
      <c r="H49" s="298"/>
      <c r="I49" s="298"/>
      <c r="J49" s="80" t="str">
        <f>IFERROR(IF(C49="","",DATEDIF('Census Data'!C49,eff_date,"y")),"")</f>
        <v/>
      </c>
      <c r="K49" s="59" t="str">
        <f>IF(F49="","",IF(AE49="Dubai",HLOOKUP(F49,Inputs!$C$26:$M$28,3,0),HLOOKUP(F49,Inputs!$C$45:$M$46,2,0)))</f>
        <v/>
      </c>
      <c r="L49" s="104"/>
      <c r="M49" s="105">
        <f t="shared" si="1"/>
        <v>0</v>
      </c>
      <c r="N49" s="654" t="b">
        <f t="shared" si="24"/>
        <v>0</v>
      </c>
      <c r="O49" s="655" t="str">
        <f t="shared" si="25"/>
        <v>x</v>
      </c>
      <c r="P49" s="655" t="str">
        <f t="shared" si="26"/>
        <v>x</v>
      </c>
      <c r="Q49" s="655" t="str">
        <f t="shared" si="27"/>
        <v>x</v>
      </c>
      <c r="R49" s="655" t="str">
        <f t="shared" si="22"/>
        <v>x</v>
      </c>
      <c r="S49" s="655" t="str">
        <f t="shared" si="28"/>
        <v>x</v>
      </c>
      <c r="T49" s="655" t="str">
        <f>IF(ISERROR(MATCH(G49,'Inputs Mapping'!$T$4:$T$10,0)),"x","")</f>
        <v>x</v>
      </c>
      <c r="U49" s="655" t="str">
        <f>IF(ISERROR(MATCH(AA49,'Inputs Mapping'!$U$4:$U$5,0)),"x","")</f>
        <v>x</v>
      </c>
      <c r="V49" s="655" t="str">
        <f>IF(ISERROR(MATCH(AB49,'Inputs Mapping'!$V$4:$V$5,0)),"x","")</f>
        <v>x</v>
      </c>
      <c r="W49" s="655" t="str">
        <f>IF(ISERROR(MATCH(F49,'Inputs Mapping'!$W$4:$W$8,0)),"x","")</f>
        <v>x</v>
      </c>
      <c r="X49" s="655" t="str">
        <f t="shared" si="29"/>
        <v/>
      </c>
      <c r="Y49" s="655" t="str">
        <f t="shared" si="30"/>
        <v/>
      </c>
      <c r="Z49" s="655" t="str">
        <f t="shared" si="8"/>
        <v/>
      </c>
      <c r="AA49" s="655" t="str">
        <f t="shared" si="9"/>
        <v/>
      </c>
      <c r="AB49" s="655" t="str">
        <f t="shared" si="13"/>
        <v/>
      </c>
      <c r="AC49" s="655" t="str">
        <f t="shared" si="21"/>
        <v>x</v>
      </c>
      <c r="AD49" s="655" t="str">
        <f>IF(ISBLANK(I49),"x",IF(ISNUMBER(MATCH(I49,'Inputs Mapping'!$AF$5:$AF$199,0)),"","x"))</f>
        <v>x</v>
      </c>
      <c r="AE49" s="655" t="str">
        <f t="shared" si="14"/>
        <v/>
      </c>
      <c r="AF49" s="148"/>
      <c r="AG49" s="148"/>
      <c r="AH49" s="148" t="str">
        <f t="shared" si="15"/>
        <v/>
      </c>
      <c r="AI49" s="654" t="str">
        <f>IF(J49="","",VLOOKUP(J49,'Inputs Mapping'!$T$27:$V$31,3))</f>
        <v/>
      </c>
      <c r="AJ49" s="654" t="str">
        <f>IF(J49="","",VLOOKUP(J49,'Inputs Mapping'!$T$17:$V$24,3))</f>
        <v/>
      </c>
      <c r="AK49" s="654" t="str">
        <f t="shared" si="16"/>
        <v/>
      </c>
      <c r="AL49" s="655" t="str">
        <f t="shared" si="31"/>
        <v/>
      </c>
      <c r="AM49" s="655" t="str">
        <f>IF(F49="","",IF(AE49="Dubai",HLOOKUP(F49,Inputs!$C$26:$M$36,5,0),HLOOKUP(F49,Inputs!$C$45:$M$49,5,0)))</f>
        <v/>
      </c>
      <c r="AN49" s="655">
        <f t="shared" si="17"/>
        <v>0</v>
      </c>
      <c r="AO49" s="654" t="str">
        <f>IF(AJ49="","",IF(AN49="Dubai",VLOOKUP(AJ49,'Inputs Mapping'!$V$17:$W$24,2,0),VLOOKUP(AI49,'Inputs Mapping'!$V$27:$W$31,2,0)))</f>
        <v/>
      </c>
      <c r="AP49" s="666">
        <f>IFERROR(IF($AN49="","",HLOOKUP($AN49&amp;RIGHT($AL49,1),'input for formula'!$B$16:$I$20,3,0)),0)</f>
        <v>0</v>
      </c>
      <c r="AQ49" s="656">
        <f>IFERROR(IF($AN49="","",HLOOKUP($AN49&amp;$F49,'input for formula'!$B$22:$M$25,2,0)),0)</f>
        <v>0</v>
      </c>
      <c r="AR49" s="666">
        <f>IFERROR(IF($AN49="","",HLOOKUP($AN49&amp;RIGHT($AL49,1),'input for formula'!$B$16:$I$20,4,0)),0)</f>
        <v>0</v>
      </c>
      <c r="AS49" s="656">
        <f>IFERROR(IF($AN49="","",HLOOKUP($AN49&amp;$F49,'input for formula'!$B$22:$M$25,3,0)),0)</f>
        <v>0</v>
      </c>
      <c r="AT49" s="656">
        <f>IFERROR(IF($AN49="","",HLOOKUP($AN49&amp;RIGHT($AL49,1),'input for formula'!$B$16:$I$20,5,0)),0)</f>
        <v>0</v>
      </c>
      <c r="AU49" s="656">
        <f>IFERROR(IF($AN49="","",HLOOKUP($AN49&amp;$F49,'input for formula'!$B$22:$M$25,4,0)),0)</f>
        <v>0</v>
      </c>
      <c r="AV49" s="666">
        <f>IFERROR(IF($AN49="","",IF('Census Data'!$AN49="Abu Dhabi",VLOOKUP('Census Data'!$AM49,'input for formula'!$A$28:$C$41,3,0),VLOOKUP('Census Data'!$AM49,'input for formula'!$A$28:$C$47,2,0))),0)*IFERROR(1+IF(AN49="Dubai",VLOOKUP(F49,'Quotation for Dubai Plans'!$V$6:$X$12,3,FALSE),VLOOKUP(F49,'Quotation for Abu Dhabi Plans'!$W$6:$Y$12,3,FALSE)),0)</f>
        <v>0</v>
      </c>
      <c r="AW49" s="656" t="str">
        <f t="shared" si="23"/>
        <v/>
      </c>
      <c r="AX49" s="667" t="str">
        <f>IFERROR(IF(AL49="","",IF(AN49="Dubai",HLOOKUP((AL49&amp;AM49),Deviation!$B$7:$S$8,2,0)*BF49*BH49*BI49*BG49,HLOOKUP((AL49&amp;AM49),Deviation!$B$9:$O$10,2,0)*BF49*BH49*BI49*BG49)),0)</f>
        <v/>
      </c>
      <c r="AY49" s="668" t="str">
        <f>IF(AL49="","",IFERROR(IF(AL49="","",IF(AN49="Dubai",HLOOKUP(AZ49,'input for formula'!$B$3:$F$10,AO49,FALSE), IF(AND(H49="Employee",AN49="Abu Dhabi"),HLOOKUP(AZ49,'input for formula'!$I$3:$K$7,AO49,FALSE),HLOOKUP(AZ49,'input for formula'!$M$3:$O$7,AO49,FALSE)))*AX49+AP49*AQ49+AR49*AS49+AT49*AU49),0)*$AZ$3*BK49*BJ49*IF(AND(Inputs!$C$19&gt;19,Inputs!$C$19&lt;30),(1+$AZ$2),1)*(1+$AZ$1))</f>
        <v/>
      </c>
      <c r="AZ49" s="148" t="str">
        <f t="shared" si="19"/>
        <v/>
      </c>
      <c r="BA49" s="669" t="str">
        <f>IF(F49="","",IF(AE49="Dubai",HLOOKUP(F49,Inputs!$C$26:$M$37,9,0),HLOOKUP(F49,Inputs!$C$45:$M$56,9,0)))</f>
        <v/>
      </c>
      <c r="BB49" s="670" t="str">
        <f>IF(F49="","",IF(AE49="Dubai",HLOOKUP(F49,Inputs!$C$26:$M$37,10,0),HLOOKUP(F49,Inputs!$C$45:$M$56,10,0)))</f>
        <v/>
      </c>
      <c r="BC49" s="670" t="str">
        <f>IF(F49="","",IF(AE49="Dubai",HLOOKUP(F49,Inputs!$C$26:$M$37,11,0),HLOOKUP(F49,Inputs!$C$45:$M$56,11,0)))</f>
        <v/>
      </c>
      <c r="BD49" s="669" t="str">
        <f>IF(F49="","",IF(AE49="Dubai",HLOOKUP(F49,Inputs!$C$26:$M$37,12,0),HLOOKUP(F49,Inputs!$C$45:$M$56,12,0)))</f>
        <v/>
      </c>
      <c r="BE49" s="654"/>
      <c r="BF49" s="669" t="str">
        <f>IFERROR(IF(AL49="","",IF(AN49="Dubai",IF(OR(AL49="Plan1",AL49="Plan2"),VLOOKUP(BA49,Deviation!$B$31:$D$33,2,FALSE),VLOOKUP(BA49,Deviation!$B$31:$D$33,3,FALSE)),IF(OR(AL49="Plan1",AL49="Plan2"),VLOOKUP(BA49,Deviation!$E$31:$AE$33,2,FALSE),VLOOKUP(BA49,Deviation!$E$31:$AE$33,3,FALSE)))),0)</f>
        <v/>
      </c>
      <c r="BG49" s="671" t="str">
        <f>IFERROR(IF(AL49="","",IF(AN49="Dubai",IF(AL49="Plan1",VLOOKUP(BB49,Deviation!$B$39:$C$40,2,FALSE),IF(AL49="Plan2",VLOOKUP(BB49,Deviation!$B$42:$C$43,2,FALSE),IF(AL49="Plan5",VLOOKUP(BB49,Deviation!$B$48:$C$49,2,FALSE),VLOOKUP(BB49,Deviation!$B$45:$C$46,2,FALSE)))),IF(AL49="Plan1",VLOOKUP(BB49,Deviation!$E$39:$F$40,2,FALSE),IF(AL49="Plan2",VLOOKUP(BB49,Deviation!$E$42:$F$43,2,FALSE),VLOOKUP(BB49,Deviation!$E$45:$F$46,2,FALSE))))),0)</f>
        <v/>
      </c>
      <c r="BH49" s="671" t="str">
        <f>IFERROR(IF(AL49="","",IF(AN49="Dubai",IF(OR(AL49="Plan1",AL49="Plan2"),VLOOKUP(BC49,Deviation!$B$15:$D$19,2,FALSE),VLOOKUP(BC49,Deviation!$B$15:$D$19,3,FALSE)),IF(OR(AL49="Plan1",AL49="Plan2"),VLOOKUP(BC49,Deviation!$E$15:$AE$19,2,FALSE),VLOOKUP(BC49,Deviation!$E$15:$AE$19,3,FALSE)))),0)</f>
        <v/>
      </c>
      <c r="BI49" s="669" t="str">
        <f>IFERROR(IF(AL49="","",IF(AN49="Dubai",VLOOKUP(BD49,Deviation!$B$24:$C$26,2,FALSE),100%)),0)</f>
        <v/>
      </c>
      <c r="BJ49" s="672">
        <f>IF(AE49="Abu Dhabi",1,IFERROR(VLOOKUP(AM49,Deviation!$B$67:$E$79,MATCH('Census Data'!AA49,Deviation!$B$66:$E$66,0),0),1))</f>
        <v>1</v>
      </c>
      <c r="BK49" s="659">
        <f>IFERROR(VLOOKUP(I49,Deviation!$B$54:$C$62,2,0),1)</f>
        <v>1</v>
      </c>
      <c r="BL49" s="148"/>
      <c r="BM49" s="148"/>
      <c r="BN49" s="148"/>
      <c r="BO49" s="148"/>
      <c r="BP49" s="148"/>
      <c r="BQ49" s="148"/>
      <c r="BR49" s="148"/>
      <c r="BS49" s="148"/>
      <c r="BT49" s="148" t="e">
        <f t="shared" si="20"/>
        <v>#VALUE!</v>
      </c>
      <c r="BU49" t="str">
        <f>IF(AL49="","",IFERROR(IF(AL49="","",IF(AN49="Dubai",HLOOKUP(AZ49,'input for formula'!$B$3:$F$10,AO49,FALSE), IF(AND(H49="Employee",AN49="Abu Dhabi"),HLOOKUP(AZ49,'input for formula'!$I$3:$K$7,AO49,FALSE),HLOOKUP(AZ49,'input for formula'!$M$3:$O$7,AO49,FALSE)))*AX49+AP49*AQ49+AR49*AS49+AT49*AU49),0)*$AZ$3*BK49*BJ49*IF(AND(Inputs!$C$19&gt;19,Inputs!$C$19&lt;30),(1+$AZ$2),1))</f>
        <v/>
      </c>
    </row>
    <row r="50" spans="1:73" ht="15" x14ac:dyDescent="0.25">
      <c r="A50" s="59">
        <v>45</v>
      </c>
      <c r="B50" s="621"/>
      <c r="C50" s="628"/>
      <c r="D50" s="629"/>
      <c r="E50" s="471"/>
      <c r="F50" s="298"/>
      <c r="G50" s="298"/>
      <c r="H50" s="298"/>
      <c r="I50" s="298"/>
      <c r="J50" s="80" t="str">
        <f>IFERROR(IF(C50="","",DATEDIF('Census Data'!C50,eff_date,"y")),"")</f>
        <v/>
      </c>
      <c r="K50" s="59" t="str">
        <f>IF(F50="","",IF(AE50="Dubai",HLOOKUP(F50,Inputs!$C$26:$M$28,3,0),HLOOKUP(F50,Inputs!$C$45:$M$46,2,0)))</f>
        <v/>
      </c>
      <c r="L50" s="104"/>
      <c r="M50" s="105">
        <f t="shared" si="1"/>
        <v>0</v>
      </c>
      <c r="N50" s="654" t="b">
        <f t="shared" si="24"/>
        <v>0</v>
      </c>
      <c r="O50" s="655" t="str">
        <f t="shared" si="25"/>
        <v>x</v>
      </c>
      <c r="P50" s="655" t="str">
        <f t="shared" si="26"/>
        <v>x</v>
      </c>
      <c r="Q50" s="655" t="str">
        <f t="shared" si="27"/>
        <v>x</v>
      </c>
      <c r="R50" s="655" t="str">
        <f t="shared" si="22"/>
        <v>x</v>
      </c>
      <c r="S50" s="655" t="str">
        <f t="shared" si="28"/>
        <v>x</v>
      </c>
      <c r="T50" s="655" t="str">
        <f>IF(ISERROR(MATCH(G50,'Inputs Mapping'!$T$4:$T$10,0)),"x","")</f>
        <v>x</v>
      </c>
      <c r="U50" s="655" t="str">
        <f>IF(ISERROR(MATCH(AA50,'Inputs Mapping'!$U$4:$U$5,0)),"x","")</f>
        <v>x</v>
      </c>
      <c r="V50" s="655" t="str">
        <f>IF(ISERROR(MATCH(AB50,'Inputs Mapping'!$V$4:$V$5,0)),"x","")</f>
        <v>x</v>
      </c>
      <c r="W50" s="655" t="str">
        <f>IF(ISERROR(MATCH(F50,'Inputs Mapping'!$W$4:$W$8,0)),"x","")</f>
        <v>x</v>
      </c>
      <c r="X50" s="655" t="str">
        <f t="shared" si="29"/>
        <v/>
      </c>
      <c r="Y50" s="655" t="str">
        <f t="shared" si="30"/>
        <v/>
      </c>
      <c r="Z50" s="655" t="str">
        <f t="shared" si="8"/>
        <v/>
      </c>
      <c r="AA50" s="655" t="str">
        <f t="shared" si="9"/>
        <v/>
      </c>
      <c r="AB50" s="655" t="str">
        <f t="shared" si="13"/>
        <v/>
      </c>
      <c r="AC50" s="655" t="str">
        <f t="shared" si="21"/>
        <v>x</v>
      </c>
      <c r="AD50" s="655" t="str">
        <f>IF(ISBLANK(I50),"x",IF(ISNUMBER(MATCH(I50,'Inputs Mapping'!$AF$5:$AF$199,0)),"","x"))</f>
        <v>x</v>
      </c>
      <c r="AE50" s="655" t="str">
        <f t="shared" si="14"/>
        <v/>
      </c>
      <c r="AF50" s="148"/>
      <c r="AG50" s="148"/>
      <c r="AH50" s="148" t="str">
        <f t="shared" si="15"/>
        <v/>
      </c>
      <c r="AI50" s="654" t="str">
        <f>IF(J50="","",VLOOKUP(J50,'Inputs Mapping'!$T$27:$V$31,3))</f>
        <v/>
      </c>
      <c r="AJ50" s="654" t="str">
        <f>IF(J50="","",VLOOKUP(J50,'Inputs Mapping'!$T$17:$V$24,3))</f>
        <v/>
      </c>
      <c r="AK50" s="654" t="str">
        <f t="shared" si="16"/>
        <v/>
      </c>
      <c r="AL50" s="655" t="str">
        <f t="shared" si="31"/>
        <v/>
      </c>
      <c r="AM50" s="655" t="str">
        <f>IF(F50="","",IF(AE50="Dubai",HLOOKUP(F50,Inputs!$C$26:$M$36,5,0),HLOOKUP(F50,Inputs!$C$45:$M$49,5,0)))</f>
        <v/>
      </c>
      <c r="AN50" s="655">
        <f t="shared" si="17"/>
        <v>0</v>
      </c>
      <c r="AO50" s="654" t="str">
        <f>IF(AJ50="","",IF(AN50="Dubai",VLOOKUP(AJ50,'Inputs Mapping'!$V$17:$W$24,2,0),VLOOKUP(AI50,'Inputs Mapping'!$V$27:$W$31,2,0)))</f>
        <v/>
      </c>
      <c r="AP50" s="666">
        <f>IFERROR(IF($AN50="","",HLOOKUP($AN50&amp;RIGHT($AL50,1),'input for formula'!$B$16:$I$20,3,0)),0)</f>
        <v>0</v>
      </c>
      <c r="AQ50" s="656">
        <f>IFERROR(IF($AN50="","",HLOOKUP($AN50&amp;$F50,'input for formula'!$B$22:$M$25,2,0)),0)</f>
        <v>0</v>
      </c>
      <c r="AR50" s="666">
        <f>IFERROR(IF($AN50="","",HLOOKUP($AN50&amp;RIGHT($AL50,1),'input for formula'!$B$16:$I$20,4,0)),0)</f>
        <v>0</v>
      </c>
      <c r="AS50" s="656">
        <f>IFERROR(IF($AN50="","",HLOOKUP($AN50&amp;$F50,'input for formula'!$B$22:$M$25,3,0)),0)</f>
        <v>0</v>
      </c>
      <c r="AT50" s="656">
        <f>IFERROR(IF($AN50="","",HLOOKUP($AN50&amp;RIGHT($AL50,1),'input for formula'!$B$16:$I$20,5,0)),0)</f>
        <v>0</v>
      </c>
      <c r="AU50" s="656">
        <f>IFERROR(IF($AN50="","",HLOOKUP($AN50&amp;$F50,'input for formula'!$B$22:$M$25,4,0)),0)</f>
        <v>0</v>
      </c>
      <c r="AV50" s="666">
        <f>IFERROR(IF($AN50="","",IF('Census Data'!$AN50="Abu Dhabi",VLOOKUP('Census Data'!$AM50,'input for formula'!$A$28:$C$41,3,0),VLOOKUP('Census Data'!$AM50,'input for formula'!$A$28:$C$47,2,0))),0)*IFERROR(1+IF(AN50="Dubai",VLOOKUP(F50,'Quotation for Dubai Plans'!$V$6:$X$12,3,FALSE),VLOOKUP(F50,'Quotation for Abu Dhabi Plans'!$W$6:$Y$12,3,FALSE)),0)</f>
        <v>0</v>
      </c>
      <c r="AW50" s="656" t="str">
        <f t="shared" si="23"/>
        <v/>
      </c>
      <c r="AX50" s="667" t="str">
        <f>IFERROR(IF(AL50="","",IF(AN50="Dubai",HLOOKUP((AL50&amp;AM50),Deviation!$B$7:$S$8,2,0)*BF50*BH50*BI50*BG50,HLOOKUP((AL50&amp;AM50),Deviation!$B$9:$O$10,2,0)*BF50*BH50*BI50*BG50)),0)</f>
        <v/>
      </c>
      <c r="AY50" s="668" t="str">
        <f>IF(AL50="","",IFERROR(IF(AL50="","",IF(AN50="Dubai",HLOOKUP(AZ50,'input for formula'!$B$3:$F$10,AO50,FALSE), IF(AND(H50="Employee",AN50="Abu Dhabi"),HLOOKUP(AZ50,'input for formula'!$I$3:$K$7,AO50,FALSE),HLOOKUP(AZ50,'input for formula'!$M$3:$O$7,AO50,FALSE)))*AX50+AP50*AQ50+AR50*AS50+AT50*AU50),0)*$AZ$3*BK50*BJ50*IF(AND(Inputs!$C$19&gt;19,Inputs!$C$19&lt;30),(1+$AZ$2),1)*(1+$AZ$1))</f>
        <v/>
      </c>
      <c r="AZ50" s="148" t="str">
        <f t="shared" si="19"/>
        <v/>
      </c>
      <c r="BA50" s="669" t="str">
        <f>IF(F50="","",IF(AE50="Dubai",HLOOKUP(F50,Inputs!$C$26:$M$37,9,0),HLOOKUP(F50,Inputs!$C$45:$M$56,9,0)))</f>
        <v/>
      </c>
      <c r="BB50" s="670" t="str">
        <f>IF(F50="","",IF(AE50="Dubai",HLOOKUP(F50,Inputs!$C$26:$M$37,10,0),HLOOKUP(F50,Inputs!$C$45:$M$56,10,0)))</f>
        <v/>
      </c>
      <c r="BC50" s="670" t="str">
        <f>IF(F50="","",IF(AE50="Dubai",HLOOKUP(F50,Inputs!$C$26:$M$37,11,0),HLOOKUP(F50,Inputs!$C$45:$M$56,11,0)))</f>
        <v/>
      </c>
      <c r="BD50" s="669" t="str">
        <f>IF(F50="","",IF(AE50="Dubai",HLOOKUP(F50,Inputs!$C$26:$M$37,12,0),HLOOKUP(F50,Inputs!$C$45:$M$56,12,0)))</f>
        <v/>
      </c>
      <c r="BE50" s="654"/>
      <c r="BF50" s="669" t="str">
        <f>IFERROR(IF(AL50="","",IF(AN50="Dubai",IF(OR(AL50="Plan1",AL50="Plan2"),VLOOKUP(BA50,Deviation!$B$31:$D$33,2,FALSE),VLOOKUP(BA50,Deviation!$B$31:$D$33,3,FALSE)),IF(OR(AL50="Plan1",AL50="Plan2"),VLOOKUP(BA50,Deviation!$E$31:$AE$33,2,FALSE),VLOOKUP(BA50,Deviation!$E$31:$AE$33,3,FALSE)))),0)</f>
        <v/>
      </c>
      <c r="BG50" s="671" t="str">
        <f>IFERROR(IF(AL50="","",IF(AN50="Dubai",IF(AL50="Plan1",VLOOKUP(BB50,Deviation!$B$39:$C$40,2,FALSE),IF(AL50="Plan2",VLOOKUP(BB50,Deviation!$B$42:$C$43,2,FALSE),IF(AL50="Plan5",VLOOKUP(BB50,Deviation!$B$48:$C$49,2,FALSE),VLOOKUP(BB50,Deviation!$B$45:$C$46,2,FALSE)))),IF(AL50="Plan1",VLOOKUP(BB50,Deviation!$E$39:$F$40,2,FALSE),IF(AL50="Plan2",VLOOKUP(BB50,Deviation!$E$42:$F$43,2,FALSE),VLOOKUP(BB50,Deviation!$E$45:$F$46,2,FALSE))))),0)</f>
        <v/>
      </c>
      <c r="BH50" s="671" t="str">
        <f>IFERROR(IF(AL50="","",IF(AN50="Dubai",IF(OR(AL50="Plan1",AL50="Plan2"),VLOOKUP(BC50,Deviation!$B$15:$D$19,2,FALSE),VLOOKUP(BC50,Deviation!$B$15:$D$19,3,FALSE)),IF(OR(AL50="Plan1",AL50="Plan2"),VLOOKUP(BC50,Deviation!$E$15:$AE$19,2,FALSE),VLOOKUP(BC50,Deviation!$E$15:$AE$19,3,FALSE)))),0)</f>
        <v/>
      </c>
      <c r="BI50" s="669" t="str">
        <f>IFERROR(IF(AL50="","",IF(AN50="Dubai",VLOOKUP(BD50,Deviation!$B$24:$C$26,2,FALSE),100%)),0)</f>
        <v/>
      </c>
      <c r="BJ50" s="672">
        <f>IF(AE50="Abu Dhabi",1,IFERROR(VLOOKUP(AM50,Deviation!$B$67:$E$79,MATCH('Census Data'!AA50,Deviation!$B$66:$E$66,0),0),1))</f>
        <v>1</v>
      </c>
      <c r="BK50" s="659">
        <f>IFERROR(VLOOKUP(I50,Deviation!$B$54:$C$62,2,0),1)</f>
        <v>1</v>
      </c>
      <c r="BL50" s="148"/>
      <c r="BM50" s="148"/>
      <c r="BN50" s="148"/>
      <c r="BO50" s="148"/>
      <c r="BP50" s="148"/>
      <c r="BQ50" s="148"/>
      <c r="BR50" s="148"/>
      <c r="BS50" s="148"/>
      <c r="BT50" s="148" t="e">
        <f t="shared" si="20"/>
        <v>#VALUE!</v>
      </c>
      <c r="BU50" t="str">
        <f>IF(AL50="","",IFERROR(IF(AL50="","",IF(AN50="Dubai",HLOOKUP(AZ50,'input for formula'!$B$3:$F$10,AO50,FALSE), IF(AND(H50="Employee",AN50="Abu Dhabi"),HLOOKUP(AZ50,'input for formula'!$I$3:$K$7,AO50,FALSE),HLOOKUP(AZ50,'input for formula'!$M$3:$O$7,AO50,FALSE)))*AX50+AP50*AQ50+AR50*AS50+AT50*AU50),0)*$AZ$3*BK50*BJ50*IF(AND(Inputs!$C$19&gt;19,Inputs!$C$19&lt;30),(1+$AZ$2),1))</f>
        <v/>
      </c>
    </row>
    <row r="51" spans="1:73" ht="15" x14ac:dyDescent="0.25">
      <c r="A51" s="59">
        <v>46</v>
      </c>
      <c r="B51" s="621"/>
      <c r="C51" s="628"/>
      <c r="D51" s="629"/>
      <c r="E51" s="471"/>
      <c r="F51" s="298"/>
      <c r="G51" s="298"/>
      <c r="H51" s="298"/>
      <c r="I51" s="298"/>
      <c r="J51" s="80" t="str">
        <f>IFERROR(IF(C51="","",DATEDIF('Census Data'!C51,eff_date,"y")),"")</f>
        <v/>
      </c>
      <c r="K51" s="59" t="str">
        <f>IF(F51="","",IF(AE51="Dubai",HLOOKUP(F51,Inputs!$C$26:$M$28,3,0),HLOOKUP(F51,Inputs!$C$45:$M$46,2,0)))</f>
        <v/>
      </c>
      <c r="L51" s="104"/>
      <c r="M51" s="105">
        <f t="shared" si="1"/>
        <v>0</v>
      </c>
      <c r="N51" s="654" t="b">
        <f t="shared" si="24"/>
        <v>0</v>
      </c>
      <c r="O51" s="655" t="str">
        <f t="shared" si="25"/>
        <v>x</v>
      </c>
      <c r="P51" s="655" t="str">
        <f t="shared" si="26"/>
        <v>x</v>
      </c>
      <c r="Q51" s="655" t="str">
        <f t="shared" si="27"/>
        <v>x</v>
      </c>
      <c r="R51" s="655" t="str">
        <f t="shared" si="22"/>
        <v>x</v>
      </c>
      <c r="S51" s="655" t="str">
        <f t="shared" si="28"/>
        <v>x</v>
      </c>
      <c r="T51" s="655" t="str">
        <f>IF(ISERROR(MATCH(G51,'Inputs Mapping'!$T$4:$T$10,0)),"x","")</f>
        <v>x</v>
      </c>
      <c r="U51" s="655" t="str">
        <f>IF(ISERROR(MATCH(AA51,'Inputs Mapping'!$U$4:$U$5,0)),"x","")</f>
        <v>x</v>
      </c>
      <c r="V51" s="655" t="str">
        <f>IF(ISERROR(MATCH(AB51,'Inputs Mapping'!$V$4:$V$5,0)),"x","")</f>
        <v>x</v>
      </c>
      <c r="W51" s="655" t="str">
        <f>IF(ISERROR(MATCH(F51,'Inputs Mapping'!$W$4:$W$8,0)),"x","")</f>
        <v>x</v>
      </c>
      <c r="X51" s="655" t="str">
        <f t="shared" si="29"/>
        <v/>
      </c>
      <c r="Y51" s="655" t="str">
        <f t="shared" si="30"/>
        <v/>
      </c>
      <c r="Z51" s="655" t="str">
        <f t="shared" si="8"/>
        <v/>
      </c>
      <c r="AA51" s="655" t="str">
        <f t="shared" si="9"/>
        <v/>
      </c>
      <c r="AB51" s="655" t="str">
        <f t="shared" si="13"/>
        <v/>
      </c>
      <c r="AC51" s="655" t="str">
        <f t="shared" si="21"/>
        <v>x</v>
      </c>
      <c r="AD51" s="655" t="str">
        <f>IF(ISBLANK(I51),"x",IF(ISNUMBER(MATCH(I51,'Inputs Mapping'!$AF$5:$AF$199,0)),"","x"))</f>
        <v>x</v>
      </c>
      <c r="AE51" s="655" t="str">
        <f t="shared" si="14"/>
        <v/>
      </c>
      <c r="AF51" s="148"/>
      <c r="AG51" s="148"/>
      <c r="AH51" s="148" t="str">
        <f t="shared" si="15"/>
        <v/>
      </c>
      <c r="AI51" s="654" t="str">
        <f>IF(J51="","",VLOOKUP(J51,'Inputs Mapping'!$T$27:$V$31,3))</f>
        <v/>
      </c>
      <c r="AJ51" s="654" t="str">
        <f>IF(J51="","",VLOOKUP(J51,'Inputs Mapping'!$T$17:$V$24,3))</f>
        <v/>
      </c>
      <c r="AK51" s="654" t="str">
        <f t="shared" si="16"/>
        <v/>
      </c>
      <c r="AL51" s="655" t="str">
        <f t="shared" si="31"/>
        <v/>
      </c>
      <c r="AM51" s="655" t="str">
        <f>IF(F51="","",IF(AE51="Dubai",HLOOKUP(F51,Inputs!$C$26:$M$36,5,0),HLOOKUP(F51,Inputs!$C$45:$M$49,5,0)))</f>
        <v/>
      </c>
      <c r="AN51" s="655">
        <f t="shared" si="17"/>
        <v>0</v>
      </c>
      <c r="AO51" s="654" t="str">
        <f>IF(AJ51="","",IF(AN51="Dubai",VLOOKUP(AJ51,'Inputs Mapping'!$V$17:$W$24,2,0),VLOOKUP(AI51,'Inputs Mapping'!$V$27:$W$31,2,0)))</f>
        <v/>
      </c>
      <c r="AP51" s="666">
        <f>IFERROR(IF($AN51="","",HLOOKUP($AN51&amp;RIGHT($AL51,1),'input for formula'!$B$16:$I$20,3,0)),0)</f>
        <v>0</v>
      </c>
      <c r="AQ51" s="656">
        <f>IFERROR(IF($AN51="","",HLOOKUP($AN51&amp;$F51,'input for formula'!$B$22:$M$25,2,0)),0)</f>
        <v>0</v>
      </c>
      <c r="AR51" s="666">
        <f>IFERROR(IF($AN51="","",HLOOKUP($AN51&amp;RIGHT($AL51,1),'input for formula'!$B$16:$I$20,4,0)),0)</f>
        <v>0</v>
      </c>
      <c r="AS51" s="656">
        <f>IFERROR(IF($AN51="","",HLOOKUP($AN51&amp;$F51,'input for formula'!$B$22:$M$25,3,0)),0)</f>
        <v>0</v>
      </c>
      <c r="AT51" s="656">
        <f>IFERROR(IF($AN51="","",HLOOKUP($AN51&amp;RIGHT($AL51,1),'input for formula'!$B$16:$I$20,5,0)),0)</f>
        <v>0</v>
      </c>
      <c r="AU51" s="656">
        <f>IFERROR(IF($AN51="","",HLOOKUP($AN51&amp;$F51,'input for formula'!$B$22:$M$25,4,0)),0)</f>
        <v>0</v>
      </c>
      <c r="AV51" s="666">
        <f>IFERROR(IF($AN51="","",IF('Census Data'!$AN51="Abu Dhabi",VLOOKUP('Census Data'!$AM51,'input for formula'!$A$28:$C$41,3,0),VLOOKUP('Census Data'!$AM51,'input for formula'!$A$28:$C$47,2,0))),0)*IFERROR(1+IF(AN51="Dubai",VLOOKUP(F51,'Quotation for Dubai Plans'!$V$6:$X$12,3,FALSE),VLOOKUP(F51,'Quotation for Abu Dhabi Plans'!$W$6:$Y$12,3,FALSE)),0)</f>
        <v>0</v>
      </c>
      <c r="AW51" s="656" t="str">
        <f t="shared" si="23"/>
        <v/>
      </c>
      <c r="AX51" s="667" t="str">
        <f>IFERROR(IF(AL51="","",IF(AN51="Dubai",HLOOKUP((AL51&amp;AM51),Deviation!$B$7:$S$8,2,0)*BF51*BH51*BI51*BG51,HLOOKUP((AL51&amp;AM51),Deviation!$B$9:$O$10,2,0)*BF51*BH51*BI51*BG51)),0)</f>
        <v/>
      </c>
      <c r="AY51" s="668" t="str">
        <f>IF(AL51="","",IFERROR(IF(AL51="","",IF(AN51="Dubai",HLOOKUP(AZ51,'input for formula'!$B$3:$F$10,AO51,FALSE), IF(AND(H51="Employee",AN51="Abu Dhabi"),HLOOKUP(AZ51,'input for formula'!$I$3:$K$7,AO51,FALSE),HLOOKUP(AZ51,'input for formula'!$M$3:$O$7,AO51,FALSE)))*AX51+AP51*AQ51+AR51*AS51+AT51*AU51),0)*$AZ$3*BK51*BJ51*IF(AND(Inputs!$C$19&gt;19,Inputs!$C$19&lt;30),(1+$AZ$2),1)*(1+$AZ$1))</f>
        <v/>
      </c>
      <c r="AZ51" s="148" t="str">
        <f t="shared" si="19"/>
        <v/>
      </c>
      <c r="BA51" s="669" t="str">
        <f>IF(F51="","",IF(AE51="Dubai",HLOOKUP(F51,Inputs!$C$26:$M$37,9,0),HLOOKUP(F51,Inputs!$C$45:$M$56,9,0)))</f>
        <v/>
      </c>
      <c r="BB51" s="670" t="str">
        <f>IF(F51="","",IF(AE51="Dubai",HLOOKUP(F51,Inputs!$C$26:$M$37,10,0),HLOOKUP(F51,Inputs!$C$45:$M$56,10,0)))</f>
        <v/>
      </c>
      <c r="BC51" s="670" t="str">
        <f>IF(F51="","",IF(AE51="Dubai",HLOOKUP(F51,Inputs!$C$26:$M$37,11,0),HLOOKUP(F51,Inputs!$C$45:$M$56,11,0)))</f>
        <v/>
      </c>
      <c r="BD51" s="669" t="str">
        <f>IF(F51="","",IF(AE51="Dubai",HLOOKUP(F51,Inputs!$C$26:$M$37,12,0),HLOOKUP(F51,Inputs!$C$45:$M$56,12,0)))</f>
        <v/>
      </c>
      <c r="BE51" s="654"/>
      <c r="BF51" s="669" t="str">
        <f>IFERROR(IF(AL51="","",IF(AN51="Dubai",IF(OR(AL51="Plan1",AL51="Plan2"),VLOOKUP(BA51,Deviation!$B$31:$D$33,2,FALSE),VLOOKUP(BA51,Deviation!$B$31:$D$33,3,FALSE)),IF(OR(AL51="Plan1",AL51="Plan2"),VLOOKUP(BA51,Deviation!$E$31:$AE$33,2,FALSE),VLOOKUP(BA51,Deviation!$E$31:$AE$33,3,FALSE)))),0)</f>
        <v/>
      </c>
      <c r="BG51" s="671" t="str">
        <f>IFERROR(IF(AL51="","",IF(AN51="Dubai",IF(AL51="Plan1",VLOOKUP(BB51,Deviation!$B$39:$C$40,2,FALSE),IF(AL51="Plan2",VLOOKUP(BB51,Deviation!$B$42:$C$43,2,FALSE),IF(AL51="Plan5",VLOOKUP(BB51,Deviation!$B$48:$C$49,2,FALSE),VLOOKUP(BB51,Deviation!$B$45:$C$46,2,FALSE)))),IF(AL51="Plan1",VLOOKUP(BB51,Deviation!$E$39:$F$40,2,FALSE),IF(AL51="Plan2",VLOOKUP(BB51,Deviation!$E$42:$F$43,2,FALSE),VLOOKUP(BB51,Deviation!$E$45:$F$46,2,FALSE))))),0)</f>
        <v/>
      </c>
      <c r="BH51" s="671" t="str">
        <f>IFERROR(IF(AL51="","",IF(AN51="Dubai",IF(OR(AL51="Plan1",AL51="Plan2"),VLOOKUP(BC51,Deviation!$B$15:$D$19,2,FALSE),VLOOKUP(BC51,Deviation!$B$15:$D$19,3,FALSE)),IF(OR(AL51="Plan1",AL51="Plan2"),VLOOKUP(BC51,Deviation!$E$15:$AE$19,2,FALSE),VLOOKUP(BC51,Deviation!$E$15:$AE$19,3,FALSE)))),0)</f>
        <v/>
      </c>
      <c r="BI51" s="669" t="str">
        <f>IFERROR(IF(AL51="","",IF(AN51="Dubai",VLOOKUP(BD51,Deviation!$B$24:$C$26,2,FALSE),100%)),0)</f>
        <v/>
      </c>
      <c r="BJ51" s="672">
        <f>IF(AE51="Abu Dhabi",1,IFERROR(VLOOKUP(AM51,Deviation!$B$67:$E$79,MATCH('Census Data'!AA51,Deviation!$B$66:$E$66,0),0),1))</f>
        <v>1</v>
      </c>
      <c r="BK51" s="659">
        <f>IFERROR(VLOOKUP(I51,Deviation!$B$54:$C$62,2,0),1)</f>
        <v>1</v>
      </c>
      <c r="BL51" s="148"/>
      <c r="BM51" s="148"/>
      <c r="BN51" s="148"/>
      <c r="BO51" s="148"/>
      <c r="BP51" s="148"/>
      <c r="BQ51" s="148"/>
      <c r="BR51" s="148"/>
      <c r="BS51" s="148"/>
      <c r="BT51" s="148" t="e">
        <f t="shared" si="20"/>
        <v>#VALUE!</v>
      </c>
      <c r="BU51" t="str">
        <f>IF(AL51="","",IFERROR(IF(AL51="","",IF(AN51="Dubai",HLOOKUP(AZ51,'input for formula'!$B$3:$F$10,AO51,FALSE), IF(AND(H51="Employee",AN51="Abu Dhabi"),HLOOKUP(AZ51,'input for formula'!$I$3:$K$7,AO51,FALSE),HLOOKUP(AZ51,'input for formula'!$M$3:$O$7,AO51,FALSE)))*AX51+AP51*AQ51+AR51*AS51+AT51*AU51),0)*$AZ$3*BK51*BJ51*IF(AND(Inputs!$C$19&gt;19,Inputs!$C$19&lt;30),(1+$AZ$2),1))</f>
        <v/>
      </c>
    </row>
    <row r="52" spans="1:73" ht="15" x14ac:dyDescent="0.25">
      <c r="A52" s="59">
        <v>47</v>
      </c>
      <c r="B52" s="621"/>
      <c r="C52" s="628"/>
      <c r="D52" s="629"/>
      <c r="E52" s="471"/>
      <c r="F52" s="298"/>
      <c r="G52" s="298"/>
      <c r="H52" s="298"/>
      <c r="I52" s="298"/>
      <c r="J52" s="80" t="str">
        <f>IFERROR(IF(C52="","",DATEDIF('Census Data'!C52,eff_date,"y")),"")</f>
        <v/>
      </c>
      <c r="K52" s="59" t="str">
        <f>IF(F52="","",IF(AE52="Dubai",HLOOKUP(F52,Inputs!$C$26:$M$28,3,0),HLOOKUP(F52,Inputs!$C$45:$M$46,2,0)))</f>
        <v/>
      </c>
      <c r="L52" s="104"/>
      <c r="M52" s="105">
        <f t="shared" si="1"/>
        <v>0</v>
      </c>
      <c r="N52" s="654" t="b">
        <f t="shared" si="24"/>
        <v>0</v>
      </c>
      <c r="O52" s="655" t="str">
        <f t="shared" si="25"/>
        <v>x</v>
      </c>
      <c r="P52" s="655" t="str">
        <f t="shared" si="26"/>
        <v>x</v>
      </c>
      <c r="Q52" s="655" t="str">
        <f t="shared" si="27"/>
        <v>x</v>
      </c>
      <c r="R52" s="655" t="str">
        <f t="shared" si="22"/>
        <v>x</v>
      </c>
      <c r="S52" s="655" t="str">
        <f t="shared" si="28"/>
        <v>x</v>
      </c>
      <c r="T52" s="655" t="str">
        <f>IF(ISERROR(MATCH(G52,'Inputs Mapping'!$T$4:$T$10,0)),"x","")</f>
        <v>x</v>
      </c>
      <c r="U52" s="655" t="str">
        <f>IF(ISERROR(MATCH(AA52,'Inputs Mapping'!$U$4:$U$5,0)),"x","")</f>
        <v>x</v>
      </c>
      <c r="V52" s="655" t="str">
        <f>IF(ISERROR(MATCH(AB52,'Inputs Mapping'!$V$4:$V$5,0)),"x","")</f>
        <v>x</v>
      </c>
      <c r="W52" s="655" t="str">
        <f>IF(ISERROR(MATCH(F52,'Inputs Mapping'!$W$4:$W$8,0)),"x","")</f>
        <v>x</v>
      </c>
      <c r="X52" s="655" t="str">
        <f t="shared" si="29"/>
        <v/>
      </c>
      <c r="Y52" s="655" t="str">
        <f t="shared" si="30"/>
        <v/>
      </c>
      <c r="Z52" s="655" t="str">
        <f t="shared" si="8"/>
        <v/>
      </c>
      <c r="AA52" s="655" t="str">
        <f t="shared" si="9"/>
        <v/>
      </c>
      <c r="AB52" s="655" t="str">
        <f t="shared" si="13"/>
        <v/>
      </c>
      <c r="AC52" s="655" t="str">
        <f t="shared" si="21"/>
        <v>x</v>
      </c>
      <c r="AD52" s="655" t="str">
        <f>IF(ISBLANK(I52),"x",IF(ISNUMBER(MATCH(I52,'Inputs Mapping'!$AF$5:$AF$199,0)),"","x"))</f>
        <v>x</v>
      </c>
      <c r="AE52" s="655" t="str">
        <f t="shared" si="14"/>
        <v/>
      </c>
      <c r="AF52" s="148"/>
      <c r="AG52" s="148"/>
      <c r="AH52" s="148" t="str">
        <f t="shared" si="15"/>
        <v/>
      </c>
      <c r="AI52" s="654" t="str">
        <f>IF(J52="","",VLOOKUP(J52,'Inputs Mapping'!$T$27:$V$31,3))</f>
        <v/>
      </c>
      <c r="AJ52" s="654" t="str">
        <f>IF(J52="","",VLOOKUP(J52,'Inputs Mapping'!$T$17:$V$24,3))</f>
        <v/>
      </c>
      <c r="AK52" s="654" t="str">
        <f t="shared" si="16"/>
        <v/>
      </c>
      <c r="AL52" s="655" t="str">
        <f t="shared" si="31"/>
        <v/>
      </c>
      <c r="AM52" s="655" t="str">
        <f>IF(F52="","",IF(AE52="Dubai",HLOOKUP(F52,Inputs!$C$26:$M$36,5,0),HLOOKUP(F52,Inputs!$C$45:$M$49,5,0)))</f>
        <v/>
      </c>
      <c r="AN52" s="655">
        <f t="shared" si="17"/>
        <v>0</v>
      </c>
      <c r="AO52" s="654" t="str">
        <f>IF(AJ52="","",IF(AN52="Dubai",VLOOKUP(AJ52,'Inputs Mapping'!$V$17:$W$24,2,0),VLOOKUP(AI52,'Inputs Mapping'!$V$27:$W$31,2,0)))</f>
        <v/>
      </c>
      <c r="AP52" s="666">
        <f>IFERROR(IF($AN52="","",HLOOKUP($AN52&amp;RIGHT($AL52,1),'input for formula'!$B$16:$I$20,3,0)),0)</f>
        <v>0</v>
      </c>
      <c r="AQ52" s="656">
        <f>IFERROR(IF($AN52="","",HLOOKUP($AN52&amp;$F52,'input for formula'!$B$22:$M$25,2,0)),0)</f>
        <v>0</v>
      </c>
      <c r="AR52" s="666">
        <f>IFERROR(IF($AN52="","",HLOOKUP($AN52&amp;RIGHT($AL52,1),'input for formula'!$B$16:$I$20,4,0)),0)</f>
        <v>0</v>
      </c>
      <c r="AS52" s="656">
        <f>IFERROR(IF($AN52="","",HLOOKUP($AN52&amp;$F52,'input for formula'!$B$22:$M$25,3,0)),0)</f>
        <v>0</v>
      </c>
      <c r="AT52" s="656">
        <f>IFERROR(IF($AN52="","",HLOOKUP($AN52&amp;RIGHT($AL52,1),'input for formula'!$B$16:$I$20,5,0)),0)</f>
        <v>0</v>
      </c>
      <c r="AU52" s="656">
        <f>IFERROR(IF($AN52="","",HLOOKUP($AN52&amp;$F52,'input for formula'!$B$22:$M$25,4,0)),0)</f>
        <v>0</v>
      </c>
      <c r="AV52" s="666">
        <f>IFERROR(IF($AN52="","",IF('Census Data'!$AN52="Abu Dhabi",VLOOKUP('Census Data'!$AM52,'input for formula'!$A$28:$C$41,3,0),VLOOKUP('Census Data'!$AM52,'input for formula'!$A$28:$C$47,2,0))),0)*IFERROR(1+IF(AN52="Dubai",VLOOKUP(F52,'Quotation for Dubai Plans'!$V$6:$X$12,3,FALSE),VLOOKUP(F52,'Quotation for Abu Dhabi Plans'!$W$6:$Y$12,3,FALSE)),0)</f>
        <v>0</v>
      </c>
      <c r="AW52" s="656" t="str">
        <f t="shared" si="23"/>
        <v/>
      </c>
      <c r="AX52" s="667" t="str">
        <f>IFERROR(IF(AL52="","",IF(AN52="Dubai",HLOOKUP((AL52&amp;AM52),Deviation!$B$7:$S$8,2,0)*BF52*BH52*BI52*BG52,HLOOKUP((AL52&amp;AM52),Deviation!$B$9:$O$10,2,0)*BF52*BH52*BI52*BG52)),0)</f>
        <v/>
      </c>
      <c r="AY52" s="668" t="str">
        <f>IF(AL52="","",IFERROR(IF(AL52="","",IF(AN52="Dubai",HLOOKUP(AZ52,'input for formula'!$B$3:$F$10,AO52,FALSE), IF(AND(H52="Employee",AN52="Abu Dhabi"),HLOOKUP(AZ52,'input for formula'!$I$3:$K$7,AO52,FALSE),HLOOKUP(AZ52,'input for formula'!$M$3:$O$7,AO52,FALSE)))*AX52+AP52*AQ52+AR52*AS52+AT52*AU52),0)*$AZ$3*BK52*BJ52*IF(AND(Inputs!$C$19&gt;19,Inputs!$C$19&lt;30),(1+$AZ$2),1)*(1+$AZ$1))</f>
        <v/>
      </c>
      <c r="AZ52" s="148" t="str">
        <f t="shared" si="19"/>
        <v/>
      </c>
      <c r="BA52" s="669" t="str">
        <f>IF(F52="","",IF(AE52="Dubai",HLOOKUP(F52,Inputs!$C$26:$M$37,9,0),HLOOKUP(F52,Inputs!$C$45:$M$56,9,0)))</f>
        <v/>
      </c>
      <c r="BB52" s="670" t="str">
        <f>IF(F52="","",IF(AE52="Dubai",HLOOKUP(F52,Inputs!$C$26:$M$37,10,0),HLOOKUP(F52,Inputs!$C$45:$M$56,10,0)))</f>
        <v/>
      </c>
      <c r="BC52" s="670" t="str">
        <f>IF(F52="","",IF(AE52="Dubai",HLOOKUP(F52,Inputs!$C$26:$M$37,11,0),HLOOKUP(F52,Inputs!$C$45:$M$56,11,0)))</f>
        <v/>
      </c>
      <c r="BD52" s="669" t="str">
        <f>IF(F52="","",IF(AE52="Dubai",HLOOKUP(F52,Inputs!$C$26:$M$37,12,0),HLOOKUP(F52,Inputs!$C$45:$M$56,12,0)))</f>
        <v/>
      </c>
      <c r="BE52" s="654"/>
      <c r="BF52" s="669" t="str">
        <f>IFERROR(IF(AL52="","",IF(AN52="Dubai",IF(OR(AL52="Plan1",AL52="Plan2"),VLOOKUP(BA52,Deviation!$B$31:$D$33,2,FALSE),VLOOKUP(BA52,Deviation!$B$31:$D$33,3,FALSE)),IF(OR(AL52="Plan1",AL52="Plan2"),VLOOKUP(BA52,Deviation!$E$31:$AE$33,2,FALSE),VLOOKUP(BA52,Deviation!$E$31:$AE$33,3,FALSE)))),0)</f>
        <v/>
      </c>
      <c r="BG52" s="671" t="str">
        <f>IFERROR(IF(AL52="","",IF(AN52="Dubai",IF(AL52="Plan1",VLOOKUP(BB52,Deviation!$B$39:$C$40,2,FALSE),IF(AL52="Plan2",VLOOKUP(BB52,Deviation!$B$42:$C$43,2,FALSE),IF(AL52="Plan5",VLOOKUP(BB52,Deviation!$B$48:$C$49,2,FALSE),VLOOKUP(BB52,Deviation!$B$45:$C$46,2,FALSE)))),IF(AL52="Plan1",VLOOKUP(BB52,Deviation!$E$39:$F$40,2,FALSE),IF(AL52="Plan2",VLOOKUP(BB52,Deviation!$E$42:$F$43,2,FALSE),VLOOKUP(BB52,Deviation!$E$45:$F$46,2,FALSE))))),0)</f>
        <v/>
      </c>
      <c r="BH52" s="671" t="str">
        <f>IFERROR(IF(AL52="","",IF(AN52="Dubai",IF(OR(AL52="Plan1",AL52="Plan2"),VLOOKUP(BC52,Deviation!$B$15:$D$19,2,FALSE),VLOOKUP(BC52,Deviation!$B$15:$D$19,3,FALSE)),IF(OR(AL52="Plan1",AL52="Plan2"),VLOOKUP(BC52,Deviation!$E$15:$AE$19,2,FALSE),VLOOKUP(BC52,Deviation!$E$15:$AE$19,3,FALSE)))),0)</f>
        <v/>
      </c>
      <c r="BI52" s="669" t="str">
        <f>IFERROR(IF(AL52="","",IF(AN52="Dubai",VLOOKUP(BD52,Deviation!$B$24:$C$26,2,FALSE),100%)),0)</f>
        <v/>
      </c>
      <c r="BJ52" s="672">
        <f>IF(AE52="Abu Dhabi",1,IFERROR(VLOOKUP(AM52,Deviation!$B$67:$E$79,MATCH('Census Data'!AA52,Deviation!$B$66:$E$66,0),0),1))</f>
        <v>1</v>
      </c>
      <c r="BK52" s="659">
        <f>IFERROR(VLOOKUP(I52,Deviation!$B$54:$C$62,2,0),1)</f>
        <v>1</v>
      </c>
      <c r="BL52" s="148"/>
      <c r="BM52" s="148"/>
      <c r="BN52" s="148"/>
      <c r="BO52" s="148"/>
      <c r="BP52" s="148"/>
      <c r="BQ52" s="148"/>
      <c r="BR52" s="148"/>
      <c r="BS52" s="148"/>
      <c r="BT52" s="148" t="e">
        <f t="shared" si="20"/>
        <v>#VALUE!</v>
      </c>
      <c r="BU52" t="str">
        <f>IF(AL52="","",IFERROR(IF(AL52="","",IF(AN52="Dubai",HLOOKUP(AZ52,'input for formula'!$B$3:$F$10,AO52,FALSE), IF(AND(H52="Employee",AN52="Abu Dhabi"),HLOOKUP(AZ52,'input for formula'!$I$3:$K$7,AO52,FALSE),HLOOKUP(AZ52,'input for formula'!$M$3:$O$7,AO52,FALSE)))*AX52+AP52*AQ52+AR52*AS52+AT52*AU52),0)*$AZ$3*BK52*BJ52*IF(AND(Inputs!$C$19&gt;19,Inputs!$C$19&lt;30),(1+$AZ$2),1))</f>
        <v/>
      </c>
    </row>
    <row r="53" spans="1:73" ht="15" x14ac:dyDescent="0.25">
      <c r="A53" s="59">
        <v>48</v>
      </c>
      <c r="B53" s="621"/>
      <c r="C53" s="628"/>
      <c r="D53" s="629"/>
      <c r="E53" s="471"/>
      <c r="F53" s="298"/>
      <c r="G53" s="298"/>
      <c r="H53" s="298"/>
      <c r="I53" s="298"/>
      <c r="J53" s="80" t="str">
        <f>IFERROR(IF(C53="","",DATEDIF('Census Data'!C53,eff_date,"y")),"")</f>
        <v/>
      </c>
      <c r="K53" s="59" t="str">
        <f>IF(F53="","",IF(AE53="Dubai",HLOOKUP(F53,Inputs!$C$26:$M$28,3,0),HLOOKUP(F53,Inputs!$C$45:$M$46,2,0)))</f>
        <v/>
      </c>
      <c r="L53" s="104"/>
      <c r="M53" s="105">
        <f t="shared" si="1"/>
        <v>0</v>
      </c>
      <c r="N53" s="654" t="b">
        <f t="shared" si="24"/>
        <v>0</v>
      </c>
      <c r="O53" s="655" t="str">
        <f t="shared" si="25"/>
        <v>x</v>
      </c>
      <c r="P53" s="655" t="str">
        <f t="shared" si="26"/>
        <v>x</v>
      </c>
      <c r="Q53" s="655" t="str">
        <f t="shared" si="27"/>
        <v>x</v>
      </c>
      <c r="R53" s="655" t="str">
        <f t="shared" si="22"/>
        <v>x</v>
      </c>
      <c r="S53" s="655" t="str">
        <f t="shared" si="28"/>
        <v>x</v>
      </c>
      <c r="T53" s="655" t="str">
        <f>IF(ISERROR(MATCH(G53,'Inputs Mapping'!$T$4:$T$10,0)),"x","")</f>
        <v>x</v>
      </c>
      <c r="U53" s="655" t="str">
        <f>IF(ISERROR(MATCH(AA53,'Inputs Mapping'!$U$4:$U$5,0)),"x","")</f>
        <v>x</v>
      </c>
      <c r="V53" s="655" t="str">
        <f>IF(ISERROR(MATCH(AB53,'Inputs Mapping'!$V$4:$V$5,0)),"x","")</f>
        <v>x</v>
      </c>
      <c r="W53" s="655" t="str">
        <f>IF(ISERROR(MATCH(F53,'Inputs Mapping'!$W$4:$W$8,0)),"x","")</f>
        <v>x</v>
      </c>
      <c r="X53" s="655" t="str">
        <f t="shared" si="29"/>
        <v/>
      </c>
      <c r="Y53" s="655" t="str">
        <f t="shared" si="30"/>
        <v/>
      </c>
      <c r="Z53" s="655" t="str">
        <f t="shared" si="8"/>
        <v/>
      </c>
      <c r="AA53" s="655" t="str">
        <f t="shared" si="9"/>
        <v/>
      </c>
      <c r="AB53" s="655" t="str">
        <f t="shared" si="13"/>
        <v/>
      </c>
      <c r="AC53" s="655" t="str">
        <f t="shared" si="21"/>
        <v>x</v>
      </c>
      <c r="AD53" s="655" t="str">
        <f>IF(ISBLANK(I53),"x",IF(ISNUMBER(MATCH(I53,'Inputs Mapping'!$AF$5:$AF$199,0)),"","x"))</f>
        <v>x</v>
      </c>
      <c r="AE53" s="655" t="str">
        <f t="shared" si="14"/>
        <v/>
      </c>
      <c r="AF53" s="148"/>
      <c r="AG53" s="148"/>
      <c r="AH53" s="148" t="str">
        <f t="shared" si="15"/>
        <v/>
      </c>
      <c r="AI53" s="654" t="str">
        <f>IF(J53="","",VLOOKUP(J53,'Inputs Mapping'!$T$27:$V$31,3))</f>
        <v/>
      </c>
      <c r="AJ53" s="654" t="str">
        <f>IF(J53="","",VLOOKUP(J53,'Inputs Mapping'!$T$17:$V$24,3))</f>
        <v/>
      </c>
      <c r="AK53" s="654" t="str">
        <f t="shared" si="16"/>
        <v/>
      </c>
      <c r="AL53" s="655" t="str">
        <f t="shared" si="31"/>
        <v/>
      </c>
      <c r="AM53" s="655" t="str">
        <f>IF(F53="","",IF(AE53="Dubai",HLOOKUP(F53,Inputs!$C$26:$M$36,5,0),HLOOKUP(F53,Inputs!$C$45:$M$49,5,0)))</f>
        <v/>
      </c>
      <c r="AN53" s="655">
        <f t="shared" si="17"/>
        <v>0</v>
      </c>
      <c r="AO53" s="654" t="str">
        <f>IF(AJ53="","",IF(AN53="Dubai",VLOOKUP(AJ53,'Inputs Mapping'!$V$17:$W$24,2,0),VLOOKUP(AI53,'Inputs Mapping'!$V$27:$W$31,2,0)))</f>
        <v/>
      </c>
      <c r="AP53" s="666">
        <f>IFERROR(IF($AN53="","",HLOOKUP($AN53&amp;RIGHT($AL53,1),'input for formula'!$B$16:$I$20,3,0)),0)</f>
        <v>0</v>
      </c>
      <c r="AQ53" s="656">
        <f>IFERROR(IF($AN53="","",HLOOKUP($AN53&amp;$F53,'input for formula'!$B$22:$M$25,2,0)),0)</f>
        <v>0</v>
      </c>
      <c r="AR53" s="666">
        <f>IFERROR(IF($AN53="","",HLOOKUP($AN53&amp;RIGHT($AL53,1),'input for formula'!$B$16:$I$20,4,0)),0)</f>
        <v>0</v>
      </c>
      <c r="AS53" s="656">
        <f>IFERROR(IF($AN53="","",HLOOKUP($AN53&amp;$F53,'input for formula'!$B$22:$M$25,3,0)),0)</f>
        <v>0</v>
      </c>
      <c r="AT53" s="656">
        <f>IFERROR(IF($AN53="","",HLOOKUP($AN53&amp;RIGHT($AL53,1),'input for formula'!$B$16:$I$20,5,0)),0)</f>
        <v>0</v>
      </c>
      <c r="AU53" s="656">
        <f>IFERROR(IF($AN53="","",HLOOKUP($AN53&amp;$F53,'input for formula'!$B$22:$M$25,4,0)),0)</f>
        <v>0</v>
      </c>
      <c r="AV53" s="666">
        <f>IFERROR(IF($AN53="","",IF('Census Data'!$AN53="Abu Dhabi",VLOOKUP('Census Data'!$AM53,'input for formula'!$A$28:$C$41,3,0),VLOOKUP('Census Data'!$AM53,'input for formula'!$A$28:$C$47,2,0))),0)*IFERROR(1+IF(AN53="Dubai",VLOOKUP(F53,'Quotation for Dubai Plans'!$V$6:$X$12,3,FALSE),VLOOKUP(F53,'Quotation for Abu Dhabi Plans'!$W$6:$Y$12,3,FALSE)),0)</f>
        <v>0</v>
      </c>
      <c r="AW53" s="656" t="str">
        <f t="shared" si="23"/>
        <v/>
      </c>
      <c r="AX53" s="667" t="str">
        <f>IFERROR(IF(AL53="","",IF(AN53="Dubai",HLOOKUP((AL53&amp;AM53),Deviation!$B$7:$S$8,2,0)*BF53*BH53*BI53*BG53,HLOOKUP((AL53&amp;AM53),Deviation!$B$9:$O$10,2,0)*BF53*BH53*BI53*BG53)),0)</f>
        <v/>
      </c>
      <c r="AY53" s="668" t="str">
        <f>IF(AL53="","",IFERROR(IF(AL53="","",IF(AN53="Dubai",HLOOKUP(AZ53,'input for formula'!$B$3:$F$10,AO53,FALSE), IF(AND(H53="Employee",AN53="Abu Dhabi"),HLOOKUP(AZ53,'input for formula'!$I$3:$K$7,AO53,FALSE),HLOOKUP(AZ53,'input for formula'!$M$3:$O$7,AO53,FALSE)))*AX53+AP53*AQ53+AR53*AS53+AT53*AU53),0)*$AZ$3*BK53*BJ53*IF(AND(Inputs!$C$19&gt;19,Inputs!$C$19&lt;30),(1+$AZ$2),1)*(1+$AZ$1))</f>
        <v/>
      </c>
      <c r="AZ53" s="148" t="str">
        <f t="shared" si="19"/>
        <v/>
      </c>
      <c r="BA53" s="669" t="str">
        <f>IF(F53="","",IF(AE53="Dubai",HLOOKUP(F53,Inputs!$C$26:$M$37,9,0),HLOOKUP(F53,Inputs!$C$45:$M$56,9,0)))</f>
        <v/>
      </c>
      <c r="BB53" s="670" t="str">
        <f>IF(F53="","",IF(AE53="Dubai",HLOOKUP(F53,Inputs!$C$26:$M$37,10,0),HLOOKUP(F53,Inputs!$C$45:$M$56,10,0)))</f>
        <v/>
      </c>
      <c r="BC53" s="670" t="str">
        <f>IF(F53="","",IF(AE53="Dubai",HLOOKUP(F53,Inputs!$C$26:$M$37,11,0),HLOOKUP(F53,Inputs!$C$45:$M$56,11,0)))</f>
        <v/>
      </c>
      <c r="BD53" s="669" t="str">
        <f>IF(F53="","",IF(AE53="Dubai",HLOOKUP(F53,Inputs!$C$26:$M$37,12,0),HLOOKUP(F53,Inputs!$C$45:$M$56,12,0)))</f>
        <v/>
      </c>
      <c r="BE53" s="654"/>
      <c r="BF53" s="669" t="str">
        <f>IFERROR(IF(AL53="","",IF(AN53="Dubai",IF(OR(AL53="Plan1",AL53="Plan2"),VLOOKUP(BA53,Deviation!$B$31:$D$33,2,FALSE),VLOOKUP(BA53,Deviation!$B$31:$D$33,3,FALSE)),IF(OR(AL53="Plan1",AL53="Plan2"),VLOOKUP(BA53,Deviation!$E$31:$AE$33,2,FALSE),VLOOKUP(BA53,Deviation!$E$31:$AE$33,3,FALSE)))),0)</f>
        <v/>
      </c>
      <c r="BG53" s="671" t="str">
        <f>IFERROR(IF(AL53="","",IF(AN53="Dubai",IF(AL53="Plan1",VLOOKUP(BB53,Deviation!$B$39:$C$40,2,FALSE),IF(AL53="Plan2",VLOOKUP(BB53,Deviation!$B$42:$C$43,2,FALSE),IF(AL53="Plan5",VLOOKUP(BB53,Deviation!$B$48:$C$49,2,FALSE),VLOOKUP(BB53,Deviation!$B$45:$C$46,2,FALSE)))),IF(AL53="Plan1",VLOOKUP(BB53,Deviation!$E$39:$F$40,2,FALSE),IF(AL53="Plan2",VLOOKUP(BB53,Deviation!$E$42:$F$43,2,FALSE),VLOOKUP(BB53,Deviation!$E$45:$F$46,2,FALSE))))),0)</f>
        <v/>
      </c>
      <c r="BH53" s="671" t="str">
        <f>IFERROR(IF(AL53="","",IF(AN53="Dubai",IF(OR(AL53="Plan1",AL53="Plan2"),VLOOKUP(BC53,Deviation!$B$15:$D$19,2,FALSE),VLOOKUP(BC53,Deviation!$B$15:$D$19,3,FALSE)),IF(OR(AL53="Plan1",AL53="Plan2"),VLOOKUP(BC53,Deviation!$E$15:$AE$19,2,FALSE),VLOOKUP(BC53,Deviation!$E$15:$AE$19,3,FALSE)))),0)</f>
        <v/>
      </c>
      <c r="BI53" s="669" t="str">
        <f>IFERROR(IF(AL53="","",IF(AN53="Dubai",VLOOKUP(BD53,Deviation!$B$24:$C$26,2,FALSE),100%)),0)</f>
        <v/>
      </c>
      <c r="BJ53" s="672">
        <f>IF(AE53="Abu Dhabi",1,IFERROR(VLOOKUP(AM53,Deviation!$B$67:$E$79,MATCH('Census Data'!AA53,Deviation!$B$66:$E$66,0),0),1))</f>
        <v>1</v>
      </c>
      <c r="BK53" s="659">
        <f>IFERROR(VLOOKUP(I53,Deviation!$B$54:$C$62,2,0),1)</f>
        <v>1</v>
      </c>
      <c r="BL53" s="148"/>
      <c r="BM53" s="148"/>
      <c r="BN53" s="148"/>
      <c r="BO53" s="148"/>
      <c r="BP53" s="148"/>
      <c r="BQ53" s="148"/>
      <c r="BR53" s="148"/>
      <c r="BS53" s="148"/>
      <c r="BT53" s="148" t="e">
        <f t="shared" si="20"/>
        <v>#VALUE!</v>
      </c>
      <c r="BU53" t="str">
        <f>IF(AL53="","",IFERROR(IF(AL53="","",IF(AN53="Dubai",HLOOKUP(AZ53,'input for formula'!$B$3:$F$10,AO53,FALSE), IF(AND(H53="Employee",AN53="Abu Dhabi"),HLOOKUP(AZ53,'input for formula'!$I$3:$K$7,AO53,FALSE),HLOOKUP(AZ53,'input for formula'!$M$3:$O$7,AO53,FALSE)))*AX53+AP53*AQ53+AR53*AS53+AT53*AU53),0)*$AZ$3*BK53*BJ53*IF(AND(Inputs!$C$19&gt;19,Inputs!$C$19&lt;30),(1+$AZ$2),1))</f>
        <v/>
      </c>
    </row>
    <row r="54" spans="1:73" ht="15" x14ac:dyDescent="0.25">
      <c r="A54" s="59">
        <v>49</v>
      </c>
      <c r="B54" s="621"/>
      <c r="C54" s="628"/>
      <c r="D54" s="629"/>
      <c r="E54" s="471"/>
      <c r="F54" s="298"/>
      <c r="G54" s="298"/>
      <c r="H54" s="298"/>
      <c r="I54" s="298"/>
      <c r="J54" s="80" t="str">
        <f>IFERROR(IF(C54="","",DATEDIF('Census Data'!C54,eff_date,"y")),"")</f>
        <v/>
      </c>
      <c r="K54" s="59" t="str">
        <f>IF(F54="","",IF(AE54="Dubai",HLOOKUP(F54,Inputs!$C$26:$M$28,3,0),HLOOKUP(F54,Inputs!$C$45:$M$46,2,0)))</f>
        <v/>
      </c>
      <c r="L54" s="104"/>
      <c r="M54" s="105">
        <f t="shared" si="1"/>
        <v>0</v>
      </c>
      <c r="N54" s="654" t="b">
        <f t="shared" si="24"/>
        <v>0</v>
      </c>
      <c r="O54" s="655" t="str">
        <f t="shared" si="25"/>
        <v>x</v>
      </c>
      <c r="P54" s="655" t="str">
        <f t="shared" si="26"/>
        <v>x</v>
      </c>
      <c r="Q54" s="655" t="str">
        <f t="shared" si="27"/>
        <v>x</v>
      </c>
      <c r="R54" s="655" t="str">
        <f t="shared" si="22"/>
        <v>x</v>
      </c>
      <c r="S54" s="655" t="str">
        <f t="shared" si="28"/>
        <v>x</v>
      </c>
      <c r="T54" s="655" t="str">
        <f>IF(ISERROR(MATCH(G54,'Inputs Mapping'!$T$4:$T$10,0)),"x","")</f>
        <v>x</v>
      </c>
      <c r="U54" s="655" t="str">
        <f>IF(ISERROR(MATCH(AA54,'Inputs Mapping'!$U$4:$U$5,0)),"x","")</f>
        <v>x</v>
      </c>
      <c r="V54" s="655" t="str">
        <f>IF(ISERROR(MATCH(AB54,'Inputs Mapping'!$V$4:$V$5,0)),"x","")</f>
        <v>x</v>
      </c>
      <c r="W54" s="655" t="str">
        <f>IF(ISERROR(MATCH(F54,'Inputs Mapping'!$W$4:$W$8,0)),"x","")</f>
        <v>x</v>
      </c>
      <c r="X54" s="655" t="str">
        <f t="shared" si="29"/>
        <v/>
      </c>
      <c r="Y54" s="655" t="str">
        <f t="shared" si="30"/>
        <v/>
      </c>
      <c r="Z54" s="655" t="str">
        <f t="shared" si="8"/>
        <v/>
      </c>
      <c r="AA54" s="655" t="str">
        <f t="shared" si="9"/>
        <v/>
      </c>
      <c r="AB54" s="655" t="str">
        <f t="shared" si="13"/>
        <v/>
      </c>
      <c r="AC54" s="655" t="str">
        <f t="shared" si="21"/>
        <v>x</v>
      </c>
      <c r="AD54" s="655" t="str">
        <f>IF(ISBLANK(I54),"x",IF(ISNUMBER(MATCH(I54,'Inputs Mapping'!$AF$5:$AF$199,0)),"","x"))</f>
        <v>x</v>
      </c>
      <c r="AE54" s="655" t="str">
        <f t="shared" si="14"/>
        <v/>
      </c>
      <c r="AF54" s="148"/>
      <c r="AG54" s="148"/>
      <c r="AH54" s="148" t="str">
        <f t="shared" si="15"/>
        <v/>
      </c>
      <c r="AI54" s="654" t="str">
        <f>IF(J54="","",VLOOKUP(J54,'Inputs Mapping'!$T$27:$V$31,3))</f>
        <v/>
      </c>
      <c r="AJ54" s="654" t="str">
        <f>IF(J54="","",VLOOKUP(J54,'Inputs Mapping'!$T$17:$V$24,3))</f>
        <v/>
      </c>
      <c r="AK54" s="654" t="str">
        <f t="shared" si="16"/>
        <v/>
      </c>
      <c r="AL54" s="655" t="str">
        <f t="shared" si="31"/>
        <v/>
      </c>
      <c r="AM54" s="655" t="str">
        <f>IF(F54="","",IF(AE54="Dubai",HLOOKUP(F54,Inputs!$C$26:$M$36,5,0),HLOOKUP(F54,Inputs!$C$45:$M$49,5,0)))</f>
        <v/>
      </c>
      <c r="AN54" s="655">
        <f t="shared" si="17"/>
        <v>0</v>
      </c>
      <c r="AO54" s="654" t="str">
        <f>IF(AJ54="","",IF(AN54="Dubai",VLOOKUP(AJ54,'Inputs Mapping'!$V$17:$W$24,2,0),VLOOKUP(AI54,'Inputs Mapping'!$V$27:$W$31,2,0)))</f>
        <v/>
      </c>
      <c r="AP54" s="666">
        <f>IFERROR(IF($AN54="","",HLOOKUP($AN54&amp;RIGHT($AL54,1),'input for formula'!$B$16:$I$20,3,0)),0)</f>
        <v>0</v>
      </c>
      <c r="AQ54" s="656">
        <f>IFERROR(IF($AN54="","",HLOOKUP($AN54&amp;$F54,'input for formula'!$B$22:$M$25,2,0)),0)</f>
        <v>0</v>
      </c>
      <c r="AR54" s="666">
        <f>IFERROR(IF($AN54="","",HLOOKUP($AN54&amp;RIGHT($AL54,1),'input for formula'!$B$16:$I$20,4,0)),0)</f>
        <v>0</v>
      </c>
      <c r="AS54" s="656">
        <f>IFERROR(IF($AN54="","",HLOOKUP($AN54&amp;$F54,'input for formula'!$B$22:$M$25,3,0)),0)</f>
        <v>0</v>
      </c>
      <c r="AT54" s="656">
        <f>IFERROR(IF($AN54="","",HLOOKUP($AN54&amp;RIGHT($AL54,1),'input for formula'!$B$16:$I$20,5,0)),0)</f>
        <v>0</v>
      </c>
      <c r="AU54" s="656">
        <f>IFERROR(IF($AN54="","",HLOOKUP($AN54&amp;$F54,'input for formula'!$B$22:$M$25,4,0)),0)</f>
        <v>0</v>
      </c>
      <c r="AV54" s="666">
        <f>IFERROR(IF($AN54="","",IF('Census Data'!$AN54="Abu Dhabi",VLOOKUP('Census Data'!$AM54,'input for formula'!$A$28:$C$41,3,0),VLOOKUP('Census Data'!$AM54,'input for formula'!$A$28:$C$47,2,0))),0)*IFERROR(1+IF(AN54="Dubai",VLOOKUP(F54,'Quotation for Dubai Plans'!$V$6:$X$12,3,FALSE),VLOOKUP(F54,'Quotation for Abu Dhabi Plans'!$W$6:$Y$12,3,FALSE)),0)</f>
        <v>0</v>
      </c>
      <c r="AW54" s="656" t="str">
        <f t="shared" si="23"/>
        <v/>
      </c>
      <c r="AX54" s="667" t="str">
        <f>IFERROR(IF(AL54="","",IF(AN54="Dubai",HLOOKUP((AL54&amp;AM54),Deviation!$B$7:$S$8,2,0)*BF54*BH54*BI54*BG54,HLOOKUP((AL54&amp;AM54),Deviation!$B$9:$O$10,2,0)*BF54*BH54*BI54*BG54)),0)</f>
        <v/>
      </c>
      <c r="AY54" s="668" t="str">
        <f>IF(AL54="","",IFERROR(IF(AL54="","",IF(AN54="Dubai",HLOOKUP(AZ54,'input for formula'!$B$3:$F$10,AO54,FALSE), IF(AND(H54="Employee",AN54="Abu Dhabi"),HLOOKUP(AZ54,'input for formula'!$I$3:$K$7,AO54,FALSE),HLOOKUP(AZ54,'input for formula'!$M$3:$O$7,AO54,FALSE)))*AX54+AP54*AQ54+AR54*AS54+AT54*AU54),0)*$AZ$3*BK54*BJ54*IF(AND(Inputs!$C$19&gt;19,Inputs!$C$19&lt;30),(1+$AZ$2),1)*(1+$AZ$1))</f>
        <v/>
      </c>
      <c r="AZ54" s="148" t="str">
        <f t="shared" si="19"/>
        <v/>
      </c>
      <c r="BA54" s="669" t="str">
        <f>IF(F54="","",IF(AE54="Dubai",HLOOKUP(F54,Inputs!$C$26:$M$37,9,0),HLOOKUP(F54,Inputs!$C$45:$M$56,9,0)))</f>
        <v/>
      </c>
      <c r="BB54" s="670" t="str">
        <f>IF(F54="","",IF(AE54="Dubai",HLOOKUP(F54,Inputs!$C$26:$M$37,10,0),HLOOKUP(F54,Inputs!$C$45:$M$56,10,0)))</f>
        <v/>
      </c>
      <c r="BC54" s="670" t="str">
        <f>IF(F54="","",IF(AE54="Dubai",HLOOKUP(F54,Inputs!$C$26:$M$37,11,0),HLOOKUP(F54,Inputs!$C$45:$M$56,11,0)))</f>
        <v/>
      </c>
      <c r="BD54" s="669" t="str">
        <f>IF(F54="","",IF(AE54="Dubai",HLOOKUP(F54,Inputs!$C$26:$M$37,12,0),HLOOKUP(F54,Inputs!$C$45:$M$56,12,0)))</f>
        <v/>
      </c>
      <c r="BE54" s="654"/>
      <c r="BF54" s="669" t="str">
        <f>IFERROR(IF(AL54="","",IF(AN54="Dubai",IF(OR(AL54="Plan1",AL54="Plan2"),VLOOKUP(BA54,Deviation!$B$31:$D$33,2,FALSE),VLOOKUP(BA54,Deviation!$B$31:$D$33,3,FALSE)),IF(OR(AL54="Plan1",AL54="Plan2"),VLOOKUP(BA54,Deviation!$E$31:$AE$33,2,FALSE),VLOOKUP(BA54,Deviation!$E$31:$AE$33,3,FALSE)))),0)</f>
        <v/>
      </c>
      <c r="BG54" s="671" t="str">
        <f>IFERROR(IF(AL54="","",IF(AN54="Dubai",IF(AL54="Plan1",VLOOKUP(BB54,Deviation!$B$39:$C$40,2,FALSE),IF(AL54="Plan2",VLOOKUP(BB54,Deviation!$B$42:$C$43,2,FALSE),IF(AL54="Plan5",VLOOKUP(BB54,Deviation!$B$48:$C$49,2,FALSE),VLOOKUP(BB54,Deviation!$B$45:$C$46,2,FALSE)))),IF(AL54="Plan1",VLOOKUP(BB54,Deviation!$E$39:$F$40,2,FALSE),IF(AL54="Plan2",VLOOKUP(BB54,Deviation!$E$42:$F$43,2,FALSE),VLOOKUP(BB54,Deviation!$E$45:$F$46,2,FALSE))))),0)</f>
        <v/>
      </c>
      <c r="BH54" s="671" t="str">
        <f>IFERROR(IF(AL54="","",IF(AN54="Dubai",IF(OR(AL54="Plan1",AL54="Plan2"),VLOOKUP(BC54,Deviation!$B$15:$D$19,2,FALSE),VLOOKUP(BC54,Deviation!$B$15:$D$19,3,FALSE)),IF(OR(AL54="Plan1",AL54="Plan2"),VLOOKUP(BC54,Deviation!$E$15:$AE$19,2,FALSE),VLOOKUP(BC54,Deviation!$E$15:$AE$19,3,FALSE)))),0)</f>
        <v/>
      </c>
      <c r="BI54" s="669" t="str">
        <f>IFERROR(IF(AL54="","",IF(AN54="Dubai",VLOOKUP(BD54,Deviation!$B$24:$C$26,2,FALSE),100%)),0)</f>
        <v/>
      </c>
      <c r="BJ54" s="672">
        <f>IF(AE54="Abu Dhabi",1,IFERROR(VLOOKUP(AM54,Deviation!$B$67:$E$79,MATCH('Census Data'!AA54,Deviation!$B$66:$E$66,0),0),1))</f>
        <v>1</v>
      </c>
      <c r="BK54" s="659">
        <f>IFERROR(VLOOKUP(I54,Deviation!$B$54:$C$62,2,0),1)</f>
        <v>1</v>
      </c>
      <c r="BL54" s="148"/>
      <c r="BM54" s="148"/>
      <c r="BN54" s="148"/>
      <c r="BO54" s="148"/>
      <c r="BP54" s="148"/>
      <c r="BQ54" s="148"/>
      <c r="BR54" s="148"/>
      <c r="BS54" s="148"/>
      <c r="BT54" s="148" t="e">
        <f t="shared" si="20"/>
        <v>#VALUE!</v>
      </c>
      <c r="BU54" t="str">
        <f>IF(AL54="","",IFERROR(IF(AL54="","",IF(AN54="Dubai",HLOOKUP(AZ54,'input for formula'!$B$3:$F$10,AO54,FALSE), IF(AND(H54="Employee",AN54="Abu Dhabi"),HLOOKUP(AZ54,'input for formula'!$I$3:$K$7,AO54,FALSE),HLOOKUP(AZ54,'input for formula'!$M$3:$O$7,AO54,FALSE)))*AX54+AP54*AQ54+AR54*AS54+AT54*AU54),0)*$AZ$3*BK54*BJ54*IF(AND(Inputs!$C$19&gt;19,Inputs!$C$19&lt;30),(1+$AZ$2),1))</f>
        <v/>
      </c>
    </row>
    <row r="55" spans="1:73" ht="15" x14ac:dyDescent="0.25">
      <c r="A55" s="59">
        <v>50</v>
      </c>
      <c r="B55" s="621"/>
      <c r="C55" s="628"/>
      <c r="D55" s="629"/>
      <c r="E55" s="471"/>
      <c r="F55" s="298"/>
      <c r="G55" s="298"/>
      <c r="H55" s="298"/>
      <c r="I55" s="298"/>
      <c r="J55" s="80" t="str">
        <f>IFERROR(IF(C55="","",DATEDIF('Census Data'!C55,eff_date,"y")),"")</f>
        <v/>
      </c>
      <c r="K55" s="59" t="str">
        <f>IF(F55="","",IF(AE55="Dubai",HLOOKUP(F55,Inputs!$C$26:$M$28,3,0),HLOOKUP(F55,Inputs!$C$45:$M$46,2,0)))</f>
        <v/>
      </c>
      <c r="L55" s="104"/>
      <c r="M55" s="105">
        <f t="shared" si="1"/>
        <v>0</v>
      </c>
      <c r="N55" s="654" t="b">
        <f t="shared" si="24"/>
        <v>0</v>
      </c>
      <c r="O55" s="655" t="str">
        <f t="shared" si="25"/>
        <v>x</v>
      </c>
      <c r="P55" s="655" t="str">
        <f t="shared" si="26"/>
        <v>x</v>
      </c>
      <c r="Q55" s="655" t="str">
        <f t="shared" si="27"/>
        <v>x</v>
      </c>
      <c r="R55" s="655" t="str">
        <f t="shared" si="22"/>
        <v>x</v>
      </c>
      <c r="S55" s="655" t="str">
        <f t="shared" si="28"/>
        <v>x</v>
      </c>
      <c r="T55" s="655" t="str">
        <f>IF(ISERROR(MATCH(G55,'Inputs Mapping'!$T$4:$T$10,0)),"x","")</f>
        <v>x</v>
      </c>
      <c r="U55" s="655" t="str">
        <f>IF(ISERROR(MATCH(AA55,'Inputs Mapping'!$U$4:$U$5,0)),"x","")</f>
        <v>x</v>
      </c>
      <c r="V55" s="655" t="str">
        <f>IF(ISERROR(MATCH(AB55,'Inputs Mapping'!$V$4:$V$5,0)),"x","")</f>
        <v>x</v>
      </c>
      <c r="W55" s="655" t="str">
        <f>IF(ISERROR(MATCH(F55,'Inputs Mapping'!$W$4:$W$8,0)),"x","")</f>
        <v>x</v>
      </c>
      <c r="X55" s="655" t="str">
        <f t="shared" si="29"/>
        <v/>
      </c>
      <c r="Y55" s="655" t="str">
        <f t="shared" si="30"/>
        <v/>
      </c>
      <c r="Z55" s="655" t="str">
        <f t="shared" si="8"/>
        <v/>
      </c>
      <c r="AA55" s="655" t="str">
        <f t="shared" si="9"/>
        <v/>
      </c>
      <c r="AB55" s="655" t="str">
        <f t="shared" si="13"/>
        <v/>
      </c>
      <c r="AC55" s="655" t="str">
        <f t="shared" si="21"/>
        <v>x</v>
      </c>
      <c r="AD55" s="655" t="str">
        <f>IF(ISBLANK(I55),"x",IF(ISNUMBER(MATCH(I55,'Inputs Mapping'!$AF$5:$AF$199,0)),"","x"))</f>
        <v>x</v>
      </c>
      <c r="AE55" s="655" t="str">
        <f t="shared" si="14"/>
        <v/>
      </c>
      <c r="AF55" s="148"/>
      <c r="AG55" s="148"/>
      <c r="AH55" s="148" t="str">
        <f t="shared" si="15"/>
        <v/>
      </c>
      <c r="AI55" s="654" t="str">
        <f>IF(J55="","",VLOOKUP(J55,'Inputs Mapping'!$T$27:$V$31,3))</f>
        <v/>
      </c>
      <c r="AJ55" s="654" t="str">
        <f>IF(J55="","",VLOOKUP(J55,'Inputs Mapping'!$T$17:$V$24,3))</f>
        <v/>
      </c>
      <c r="AK55" s="654" t="str">
        <f t="shared" si="16"/>
        <v/>
      </c>
      <c r="AL55" s="655" t="str">
        <f t="shared" si="31"/>
        <v/>
      </c>
      <c r="AM55" s="655" t="str">
        <f>IF(F55="","",IF(AE55="Dubai",HLOOKUP(F55,Inputs!$C$26:$M$36,5,0),HLOOKUP(F55,Inputs!$C$45:$M$49,5,0)))</f>
        <v/>
      </c>
      <c r="AN55" s="655">
        <f t="shared" si="17"/>
        <v>0</v>
      </c>
      <c r="AO55" s="654" t="str">
        <f>IF(AJ55="","",IF(AN55="Dubai",VLOOKUP(AJ55,'Inputs Mapping'!$V$17:$W$24,2,0),VLOOKUP(AI55,'Inputs Mapping'!$V$27:$W$31,2,0)))</f>
        <v/>
      </c>
      <c r="AP55" s="666">
        <f>IFERROR(IF($AN55="","",HLOOKUP($AN55&amp;RIGHT($AL55,1),'input for formula'!$B$16:$I$20,3,0)),0)</f>
        <v>0</v>
      </c>
      <c r="AQ55" s="656">
        <f>IFERROR(IF($AN55="","",HLOOKUP($AN55&amp;$F55,'input for formula'!$B$22:$M$25,2,0)),0)</f>
        <v>0</v>
      </c>
      <c r="AR55" s="666">
        <f>IFERROR(IF($AN55="","",HLOOKUP($AN55&amp;RIGHT($AL55,1),'input for formula'!$B$16:$I$20,4,0)),0)</f>
        <v>0</v>
      </c>
      <c r="AS55" s="656">
        <f>IFERROR(IF($AN55="","",HLOOKUP($AN55&amp;$F55,'input for formula'!$B$22:$M$25,3,0)),0)</f>
        <v>0</v>
      </c>
      <c r="AT55" s="656">
        <f>IFERROR(IF($AN55="","",HLOOKUP($AN55&amp;RIGHT($AL55,1),'input for formula'!$B$16:$I$20,5,0)),0)</f>
        <v>0</v>
      </c>
      <c r="AU55" s="656">
        <f>IFERROR(IF($AN55="","",HLOOKUP($AN55&amp;$F55,'input for formula'!$B$22:$M$25,4,0)),0)</f>
        <v>0</v>
      </c>
      <c r="AV55" s="666">
        <f>IFERROR(IF($AN55="","",IF('Census Data'!$AN55="Abu Dhabi",VLOOKUP('Census Data'!$AM55,'input for formula'!$A$28:$C$41,3,0),VLOOKUP('Census Data'!$AM55,'input for formula'!$A$28:$C$47,2,0))),0)*IFERROR(1+IF(AN55="Dubai",VLOOKUP(F55,'Quotation for Dubai Plans'!$V$6:$X$12,3,FALSE),VLOOKUP(F55,'Quotation for Abu Dhabi Plans'!$W$6:$Y$12,3,FALSE)),0)</f>
        <v>0</v>
      </c>
      <c r="AW55" s="656" t="str">
        <f t="shared" si="23"/>
        <v/>
      </c>
      <c r="AX55" s="667" t="str">
        <f>IFERROR(IF(AL55="","",IF(AN55="Dubai",HLOOKUP((AL55&amp;AM55),Deviation!$B$7:$S$8,2,0)*BF55*BH55*BI55*BG55,HLOOKUP((AL55&amp;AM55),Deviation!$B$9:$O$10,2,0)*BF55*BH55*BI55*BG55)),0)</f>
        <v/>
      </c>
      <c r="AY55" s="668" t="str">
        <f>IF(AL55="","",IFERROR(IF(AL55="","",IF(AN55="Dubai",HLOOKUP(AZ55,'input for formula'!$B$3:$F$10,AO55,FALSE), IF(AND(H55="Employee",AN55="Abu Dhabi"),HLOOKUP(AZ55,'input for formula'!$I$3:$K$7,AO55,FALSE),HLOOKUP(AZ55,'input for formula'!$M$3:$O$7,AO55,FALSE)))*AX55+AP55*AQ55+AR55*AS55+AT55*AU55),0)*$AZ$3*BK55*BJ55*IF(AND(Inputs!$C$19&gt;19,Inputs!$C$19&lt;30),(1+$AZ$2),1)*(1+$AZ$1))</f>
        <v/>
      </c>
      <c r="AZ55" s="148" t="str">
        <f t="shared" si="19"/>
        <v/>
      </c>
      <c r="BA55" s="669" t="str">
        <f>IF(F55="","",IF(AE55="Dubai",HLOOKUP(F55,Inputs!$C$26:$M$37,9,0),HLOOKUP(F55,Inputs!$C$45:$M$56,9,0)))</f>
        <v/>
      </c>
      <c r="BB55" s="670" t="str">
        <f>IF(F55="","",IF(AE55="Dubai",HLOOKUP(F55,Inputs!$C$26:$M$37,10,0),HLOOKUP(F55,Inputs!$C$45:$M$56,10,0)))</f>
        <v/>
      </c>
      <c r="BC55" s="670" t="str">
        <f>IF(F55="","",IF(AE55="Dubai",HLOOKUP(F55,Inputs!$C$26:$M$37,11,0),HLOOKUP(F55,Inputs!$C$45:$M$56,11,0)))</f>
        <v/>
      </c>
      <c r="BD55" s="669" t="str">
        <f>IF(F55="","",IF(AE55="Dubai",HLOOKUP(F55,Inputs!$C$26:$M$37,12,0),HLOOKUP(F55,Inputs!$C$45:$M$56,12,0)))</f>
        <v/>
      </c>
      <c r="BE55" s="654"/>
      <c r="BF55" s="669" t="str">
        <f>IFERROR(IF(AL55="","",IF(AN55="Dubai",IF(OR(AL55="Plan1",AL55="Plan2"),VLOOKUP(BA55,Deviation!$B$31:$D$33,2,FALSE),VLOOKUP(BA55,Deviation!$B$31:$D$33,3,FALSE)),IF(OR(AL55="Plan1",AL55="Plan2"),VLOOKUP(BA55,Deviation!$E$31:$AE$33,2,FALSE),VLOOKUP(BA55,Deviation!$E$31:$AE$33,3,FALSE)))),0)</f>
        <v/>
      </c>
      <c r="BG55" s="671" t="str">
        <f>IFERROR(IF(AL55="","",IF(AN55="Dubai",IF(AL55="Plan1",VLOOKUP(BB55,Deviation!$B$39:$C$40,2,FALSE),IF(AL55="Plan2",VLOOKUP(BB55,Deviation!$B$42:$C$43,2,FALSE),IF(AL55="Plan5",VLOOKUP(BB55,Deviation!$B$48:$C$49,2,FALSE),VLOOKUP(BB55,Deviation!$B$45:$C$46,2,FALSE)))),IF(AL55="Plan1",VLOOKUP(BB55,Deviation!$E$39:$F$40,2,FALSE),IF(AL55="Plan2",VLOOKUP(BB55,Deviation!$E$42:$F$43,2,FALSE),VLOOKUP(BB55,Deviation!$E$45:$F$46,2,FALSE))))),0)</f>
        <v/>
      </c>
      <c r="BH55" s="671" t="str">
        <f>IFERROR(IF(AL55="","",IF(AN55="Dubai",IF(OR(AL55="Plan1",AL55="Plan2"),VLOOKUP(BC55,Deviation!$B$15:$D$19,2,FALSE),VLOOKUP(BC55,Deviation!$B$15:$D$19,3,FALSE)),IF(OR(AL55="Plan1",AL55="Plan2"),VLOOKUP(BC55,Deviation!$E$15:$AE$19,2,FALSE),VLOOKUP(BC55,Deviation!$E$15:$AE$19,3,FALSE)))),0)</f>
        <v/>
      </c>
      <c r="BI55" s="669" t="str">
        <f>IFERROR(IF(AL55="","",IF(AN55="Dubai",VLOOKUP(BD55,Deviation!$B$24:$C$26,2,FALSE),100%)),0)</f>
        <v/>
      </c>
      <c r="BJ55" s="672">
        <f>IF(AE55="Abu Dhabi",1,IFERROR(VLOOKUP(AM55,Deviation!$B$67:$E$79,MATCH('Census Data'!AA55,Deviation!$B$66:$E$66,0),0),1))</f>
        <v>1</v>
      </c>
      <c r="BK55" s="659">
        <f>IFERROR(VLOOKUP(I55,Deviation!$B$54:$C$62,2,0),1)</f>
        <v>1</v>
      </c>
      <c r="BL55" s="148"/>
      <c r="BM55" s="148"/>
      <c r="BN55" s="148"/>
      <c r="BO55" s="148"/>
      <c r="BP55" s="148"/>
      <c r="BQ55" s="148"/>
      <c r="BR55" s="148"/>
      <c r="BS55" s="148"/>
      <c r="BT55" s="148" t="e">
        <f t="shared" si="20"/>
        <v>#VALUE!</v>
      </c>
      <c r="BU55" t="str">
        <f>IF(AL55="","",IFERROR(IF(AL55="","",IF(AN55="Dubai",HLOOKUP(AZ55,'input for formula'!$B$3:$F$10,AO55,FALSE), IF(AND(H55="Employee",AN55="Abu Dhabi"),HLOOKUP(AZ55,'input for formula'!$I$3:$K$7,AO55,FALSE),HLOOKUP(AZ55,'input for formula'!$M$3:$O$7,AO55,FALSE)))*AX55+AP55*AQ55+AR55*AS55+AT55*AU55),0)*$AZ$3*BK55*BJ55*IF(AND(Inputs!$C$19&gt;19,Inputs!$C$19&lt;30),(1+$AZ$2),1))</f>
        <v/>
      </c>
    </row>
    <row r="56" spans="1:73" ht="15" x14ac:dyDescent="0.25">
      <c r="A56" s="59">
        <v>51</v>
      </c>
      <c r="B56" s="621"/>
      <c r="C56" s="628"/>
      <c r="D56" s="629"/>
      <c r="E56" s="471"/>
      <c r="F56" s="298"/>
      <c r="G56" s="298"/>
      <c r="H56" s="298"/>
      <c r="I56" s="298"/>
      <c r="J56" s="80" t="str">
        <f>IFERROR(IF(C56="","",DATEDIF('Census Data'!C56,eff_date,"y")),"")</f>
        <v/>
      </c>
      <c r="K56" s="59" t="str">
        <f>IF(F56="","",IF(AE56="Dubai",HLOOKUP(F56,Inputs!$C$26:$M$28,3,0),HLOOKUP(F56,Inputs!$C$45:$M$46,2,0)))</f>
        <v/>
      </c>
      <c r="L56" s="104"/>
      <c r="M56" s="105">
        <f t="shared" si="1"/>
        <v>0</v>
      </c>
      <c r="N56" s="654" t="b">
        <f t="shared" si="24"/>
        <v>0</v>
      </c>
      <c r="O56" s="655" t="str">
        <f t="shared" si="25"/>
        <v>x</v>
      </c>
      <c r="P56" s="655" t="str">
        <f t="shared" si="26"/>
        <v>x</v>
      </c>
      <c r="Q56" s="655" t="str">
        <f t="shared" si="27"/>
        <v>x</v>
      </c>
      <c r="R56" s="655" t="str">
        <f t="shared" si="22"/>
        <v>x</v>
      </c>
      <c r="S56" s="655" t="str">
        <f t="shared" si="28"/>
        <v>x</v>
      </c>
      <c r="T56" s="655" t="str">
        <f>IF(ISERROR(MATCH(G56,'Inputs Mapping'!$T$4:$T$10,0)),"x","")</f>
        <v>x</v>
      </c>
      <c r="U56" s="655" t="str">
        <f>IF(ISERROR(MATCH(AA56,'Inputs Mapping'!$U$4:$U$5,0)),"x","")</f>
        <v>x</v>
      </c>
      <c r="V56" s="655" t="str">
        <f>IF(ISERROR(MATCH(AB56,'Inputs Mapping'!$V$4:$V$5,0)),"x","")</f>
        <v>x</v>
      </c>
      <c r="W56" s="655" t="str">
        <f>IF(ISERROR(MATCH(F56,'Inputs Mapping'!$W$4:$W$8,0)),"x","")</f>
        <v>x</v>
      </c>
      <c r="X56" s="655" t="str">
        <f t="shared" si="29"/>
        <v/>
      </c>
      <c r="Y56" s="655" t="str">
        <f t="shared" si="30"/>
        <v/>
      </c>
      <c r="Z56" s="655" t="str">
        <f t="shared" si="8"/>
        <v/>
      </c>
      <c r="AA56" s="655" t="str">
        <f t="shared" si="9"/>
        <v/>
      </c>
      <c r="AB56" s="655" t="str">
        <f t="shared" si="13"/>
        <v/>
      </c>
      <c r="AC56" s="655" t="str">
        <f t="shared" si="21"/>
        <v>x</v>
      </c>
      <c r="AD56" s="655" t="str">
        <f>IF(ISBLANK(I56),"x",IF(ISNUMBER(MATCH(I56,'Inputs Mapping'!$AF$5:$AF$199,0)),"","x"))</f>
        <v>x</v>
      </c>
      <c r="AE56" s="655" t="str">
        <f t="shared" si="14"/>
        <v/>
      </c>
      <c r="AF56" s="148"/>
      <c r="AG56" s="148"/>
      <c r="AH56" s="148" t="str">
        <f t="shared" si="15"/>
        <v/>
      </c>
      <c r="AI56" s="654" t="str">
        <f>IF(J56="","",VLOOKUP(J56,'Inputs Mapping'!$T$27:$V$31,3))</f>
        <v/>
      </c>
      <c r="AJ56" s="654" t="str">
        <f>IF(J56="","",VLOOKUP(J56,'Inputs Mapping'!$T$17:$V$24,3))</f>
        <v/>
      </c>
      <c r="AK56" s="654" t="str">
        <f t="shared" si="16"/>
        <v/>
      </c>
      <c r="AL56" s="655" t="str">
        <f t="shared" si="31"/>
        <v/>
      </c>
      <c r="AM56" s="655" t="str">
        <f>IF(F56="","",IF(AE56="Dubai",HLOOKUP(F56,Inputs!$C$26:$M$36,5,0),HLOOKUP(F56,Inputs!$C$45:$M$49,5,0)))</f>
        <v/>
      </c>
      <c r="AN56" s="655">
        <f t="shared" si="17"/>
        <v>0</v>
      </c>
      <c r="AO56" s="654" t="str">
        <f>IF(AJ56="","",IF(AN56="Dubai",VLOOKUP(AJ56,'Inputs Mapping'!$V$17:$W$24,2,0),VLOOKUP(AI56,'Inputs Mapping'!$V$27:$W$31,2,0)))</f>
        <v/>
      </c>
      <c r="AP56" s="666">
        <f>IFERROR(IF($AN56="","",HLOOKUP($AN56&amp;RIGHT($AL56,1),'input for formula'!$B$16:$I$20,3,0)),0)</f>
        <v>0</v>
      </c>
      <c r="AQ56" s="656">
        <f>IFERROR(IF($AN56="","",HLOOKUP($AN56&amp;$F56,'input for formula'!$B$22:$M$25,2,0)),0)</f>
        <v>0</v>
      </c>
      <c r="AR56" s="666">
        <f>IFERROR(IF($AN56="","",HLOOKUP($AN56&amp;RIGHT($AL56,1),'input for formula'!$B$16:$I$20,4,0)),0)</f>
        <v>0</v>
      </c>
      <c r="AS56" s="656">
        <f>IFERROR(IF($AN56="","",HLOOKUP($AN56&amp;$F56,'input for formula'!$B$22:$M$25,3,0)),0)</f>
        <v>0</v>
      </c>
      <c r="AT56" s="656">
        <f>IFERROR(IF($AN56="","",HLOOKUP($AN56&amp;RIGHT($AL56,1),'input for formula'!$B$16:$I$20,5,0)),0)</f>
        <v>0</v>
      </c>
      <c r="AU56" s="656">
        <f>IFERROR(IF($AN56="","",HLOOKUP($AN56&amp;$F56,'input for formula'!$B$22:$M$25,4,0)),0)</f>
        <v>0</v>
      </c>
      <c r="AV56" s="666">
        <f>IFERROR(IF($AN56="","",IF('Census Data'!$AN56="Abu Dhabi",VLOOKUP('Census Data'!$AM56,'input for formula'!$A$28:$C$41,3,0),VLOOKUP('Census Data'!$AM56,'input for formula'!$A$28:$C$47,2,0))),0)*IFERROR(1+IF(AN56="Dubai",VLOOKUP(F56,'Quotation for Dubai Plans'!$V$6:$X$12,3,FALSE),VLOOKUP(F56,'Quotation for Abu Dhabi Plans'!$W$6:$Y$12,3,FALSE)),0)</f>
        <v>0</v>
      </c>
      <c r="AW56" s="656" t="str">
        <f t="shared" si="23"/>
        <v/>
      </c>
      <c r="AX56" s="667" t="str">
        <f>IFERROR(IF(AL56="","",IF(AN56="Dubai",HLOOKUP((AL56&amp;AM56),Deviation!$B$7:$S$8,2,0)*BF56*BH56*BI56*BG56,HLOOKUP((AL56&amp;AM56),Deviation!$B$9:$O$10,2,0)*BF56*BH56*BI56*BG56)),0)</f>
        <v/>
      </c>
      <c r="AY56" s="668" t="str">
        <f>IF(AL56="","",IFERROR(IF(AL56="","",IF(AN56="Dubai",HLOOKUP(AZ56,'input for formula'!$B$3:$F$10,AO56,FALSE), IF(AND(H56="Employee",AN56="Abu Dhabi"),HLOOKUP(AZ56,'input for formula'!$I$3:$K$7,AO56,FALSE),HLOOKUP(AZ56,'input for formula'!$M$3:$O$7,AO56,FALSE)))*AX56+AP56*AQ56+AR56*AS56+AT56*AU56),0)*$AZ$3*BK56*BJ56*IF(AND(Inputs!$C$19&gt;19,Inputs!$C$19&lt;30),(1+$AZ$2),1)*(1+$AZ$1))</f>
        <v/>
      </c>
      <c r="AZ56" s="148" t="str">
        <f t="shared" si="19"/>
        <v/>
      </c>
      <c r="BA56" s="669" t="str">
        <f>IF(F56="","",IF(AE56="Dubai",HLOOKUP(F56,Inputs!$C$26:$M$37,9,0),HLOOKUP(F56,Inputs!$C$45:$M$56,9,0)))</f>
        <v/>
      </c>
      <c r="BB56" s="670" t="str">
        <f>IF(F56="","",IF(AE56="Dubai",HLOOKUP(F56,Inputs!$C$26:$M$37,10,0),HLOOKUP(F56,Inputs!$C$45:$M$56,10,0)))</f>
        <v/>
      </c>
      <c r="BC56" s="670" t="str">
        <f>IF(F56="","",IF(AE56="Dubai",HLOOKUP(F56,Inputs!$C$26:$M$37,11,0),HLOOKUP(F56,Inputs!$C$45:$M$56,11,0)))</f>
        <v/>
      </c>
      <c r="BD56" s="669" t="str">
        <f>IF(F56="","",IF(AE56="Dubai",HLOOKUP(F56,Inputs!$C$26:$M$37,12,0),HLOOKUP(F56,Inputs!$C$45:$M$56,12,0)))</f>
        <v/>
      </c>
      <c r="BE56" s="654"/>
      <c r="BF56" s="669" t="str">
        <f>IFERROR(IF(AL56="","",IF(AN56="Dubai",IF(OR(AL56="Plan1",AL56="Plan2"),VLOOKUP(BA56,Deviation!$B$31:$D$33,2,FALSE),VLOOKUP(BA56,Deviation!$B$31:$D$33,3,FALSE)),IF(OR(AL56="Plan1",AL56="Plan2"),VLOOKUP(BA56,Deviation!$E$31:$AE$33,2,FALSE),VLOOKUP(BA56,Deviation!$E$31:$AE$33,3,FALSE)))),0)</f>
        <v/>
      </c>
      <c r="BG56" s="671" t="str">
        <f>IFERROR(IF(AL56="","",IF(AN56="Dubai",IF(AL56="Plan1",VLOOKUP(BB56,Deviation!$B$39:$C$40,2,FALSE),IF(AL56="Plan2",VLOOKUP(BB56,Deviation!$B$42:$C$43,2,FALSE),IF(AL56="Plan5",VLOOKUP(BB56,Deviation!$B$48:$C$49,2,FALSE),VLOOKUP(BB56,Deviation!$B$45:$C$46,2,FALSE)))),IF(AL56="Plan1",VLOOKUP(BB56,Deviation!$E$39:$F$40,2,FALSE),IF(AL56="Plan2",VLOOKUP(BB56,Deviation!$E$42:$F$43,2,FALSE),VLOOKUP(BB56,Deviation!$E$45:$F$46,2,FALSE))))),0)</f>
        <v/>
      </c>
      <c r="BH56" s="671" t="str">
        <f>IFERROR(IF(AL56="","",IF(AN56="Dubai",IF(OR(AL56="Plan1",AL56="Plan2"),VLOOKUP(BC56,Deviation!$B$15:$D$19,2,FALSE),VLOOKUP(BC56,Deviation!$B$15:$D$19,3,FALSE)),IF(OR(AL56="Plan1",AL56="Plan2"),VLOOKUP(BC56,Deviation!$E$15:$AE$19,2,FALSE),VLOOKUP(BC56,Deviation!$E$15:$AE$19,3,FALSE)))),0)</f>
        <v/>
      </c>
      <c r="BI56" s="669" t="str">
        <f>IFERROR(IF(AL56="","",IF(AN56="Dubai",VLOOKUP(BD56,Deviation!$B$24:$C$26,2,FALSE),100%)),0)</f>
        <v/>
      </c>
      <c r="BJ56" s="672">
        <f>IF(AE56="Abu Dhabi",1,IFERROR(VLOOKUP(AM56,Deviation!$B$67:$E$79,MATCH('Census Data'!AA56,Deviation!$B$66:$E$66,0),0),1))</f>
        <v>1</v>
      </c>
      <c r="BK56" s="659">
        <f>IFERROR(VLOOKUP(I56,Deviation!$B$54:$C$62,2,0),1)</f>
        <v>1</v>
      </c>
      <c r="BL56" s="148"/>
      <c r="BM56" s="148"/>
      <c r="BN56" s="148"/>
      <c r="BO56" s="148"/>
      <c r="BP56" s="148"/>
      <c r="BQ56" s="148"/>
      <c r="BR56" s="148"/>
      <c r="BS56" s="148"/>
      <c r="BT56" s="148" t="e">
        <f t="shared" si="20"/>
        <v>#VALUE!</v>
      </c>
      <c r="BU56" t="str">
        <f>IF(AL56="","",IFERROR(IF(AL56="","",IF(AN56="Dubai",HLOOKUP(AZ56,'input for formula'!$B$3:$F$10,AO56,FALSE), IF(AND(H56="Employee",AN56="Abu Dhabi"),HLOOKUP(AZ56,'input for formula'!$I$3:$K$7,AO56,FALSE),HLOOKUP(AZ56,'input for formula'!$M$3:$O$7,AO56,FALSE)))*AX56+AP56*AQ56+AR56*AS56+AT56*AU56),0)*$AZ$3*BK56*BJ56*IF(AND(Inputs!$C$19&gt;19,Inputs!$C$19&lt;30),(1+$AZ$2),1))</f>
        <v/>
      </c>
    </row>
    <row r="57" spans="1:73" ht="15" x14ac:dyDescent="0.25">
      <c r="A57" s="59">
        <v>52</v>
      </c>
      <c r="B57" s="621"/>
      <c r="C57" s="628"/>
      <c r="D57" s="629"/>
      <c r="E57" s="471"/>
      <c r="F57" s="298"/>
      <c r="G57" s="298"/>
      <c r="H57" s="298"/>
      <c r="I57" s="298"/>
      <c r="J57" s="80" t="str">
        <f>IFERROR(IF(C57="","",DATEDIF('Census Data'!C57,eff_date,"y")),"")</f>
        <v/>
      </c>
      <c r="K57" s="59" t="str">
        <f>IF(F57="","",IF(AE57="Dubai",HLOOKUP(F57,Inputs!$C$26:$M$28,3,0),HLOOKUP(F57,Inputs!$C$45:$M$46,2,0)))</f>
        <v/>
      </c>
      <c r="L57" s="104"/>
      <c r="M57" s="105">
        <f t="shared" si="1"/>
        <v>0</v>
      </c>
      <c r="N57" s="654" t="b">
        <f t="shared" si="24"/>
        <v>0</v>
      </c>
      <c r="O57" s="655" t="str">
        <f t="shared" si="25"/>
        <v>x</v>
      </c>
      <c r="P57" s="655" t="str">
        <f t="shared" si="26"/>
        <v>x</v>
      </c>
      <c r="Q57" s="655" t="str">
        <f t="shared" si="27"/>
        <v>x</v>
      </c>
      <c r="R57" s="655" t="str">
        <f t="shared" si="22"/>
        <v>x</v>
      </c>
      <c r="S57" s="655" t="str">
        <f t="shared" si="28"/>
        <v>x</v>
      </c>
      <c r="T57" s="655" t="str">
        <f>IF(ISERROR(MATCH(G57,'Inputs Mapping'!$T$4:$T$10,0)),"x","")</f>
        <v>x</v>
      </c>
      <c r="U57" s="655" t="str">
        <f>IF(ISERROR(MATCH(AA57,'Inputs Mapping'!$U$4:$U$5,0)),"x","")</f>
        <v>x</v>
      </c>
      <c r="V57" s="655" t="str">
        <f>IF(ISERROR(MATCH(AB57,'Inputs Mapping'!$V$4:$V$5,0)),"x","")</f>
        <v>x</v>
      </c>
      <c r="W57" s="655" t="str">
        <f>IF(ISERROR(MATCH(F57,'Inputs Mapping'!$W$4:$W$8,0)),"x","")</f>
        <v>x</v>
      </c>
      <c r="X57" s="655" t="str">
        <f t="shared" si="29"/>
        <v/>
      </c>
      <c r="Y57" s="655" t="str">
        <f t="shared" si="30"/>
        <v/>
      </c>
      <c r="Z57" s="655" t="str">
        <f t="shared" si="8"/>
        <v/>
      </c>
      <c r="AA57" s="655" t="str">
        <f t="shared" si="9"/>
        <v/>
      </c>
      <c r="AB57" s="655" t="str">
        <f t="shared" si="13"/>
        <v/>
      </c>
      <c r="AC57" s="655" t="str">
        <f t="shared" si="21"/>
        <v>x</v>
      </c>
      <c r="AD57" s="655" t="str">
        <f>IF(ISBLANK(I57),"x",IF(ISNUMBER(MATCH(I57,'Inputs Mapping'!$AF$5:$AF$199,0)),"","x"))</f>
        <v>x</v>
      </c>
      <c r="AE57" s="655" t="str">
        <f t="shared" si="14"/>
        <v/>
      </c>
      <c r="AF57" s="148"/>
      <c r="AG57" s="148"/>
      <c r="AH57" s="148" t="str">
        <f t="shared" si="15"/>
        <v/>
      </c>
      <c r="AI57" s="654" t="str">
        <f>IF(J57="","",VLOOKUP(J57,'Inputs Mapping'!$T$27:$V$31,3))</f>
        <v/>
      </c>
      <c r="AJ57" s="654" t="str">
        <f>IF(J57="","",VLOOKUP(J57,'Inputs Mapping'!$T$17:$V$24,3))</f>
        <v/>
      </c>
      <c r="AK57" s="654" t="str">
        <f t="shared" si="16"/>
        <v/>
      </c>
      <c r="AL57" s="655" t="str">
        <f t="shared" si="31"/>
        <v/>
      </c>
      <c r="AM57" s="655" t="str">
        <f>IF(F57="","",IF(AE57="Dubai",HLOOKUP(F57,Inputs!$C$26:$M$36,5,0),HLOOKUP(F57,Inputs!$C$45:$M$49,5,0)))</f>
        <v/>
      </c>
      <c r="AN57" s="655">
        <f t="shared" si="17"/>
        <v>0</v>
      </c>
      <c r="AO57" s="654" t="str">
        <f>IF(AJ57="","",IF(AN57="Dubai",VLOOKUP(AJ57,'Inputs Mapping'!$V$17:$W$24,2,0),VLOOKUP(AI57,'Inputs Mapping'!$V$27:$W$31,2,0)))</f>
        <v/>
      </c>
      <c r="AP57" s="666">
        <f>IFERROR(IF($AN57="","",HLOOKUP($AN57&amp;RIGHT($AL57,1),'input for formula'!$B$16:$I$20,3,0)),0)</f>
        <v>0</v>
      </c>
      <c r="AQ57" s="656">
        <f>IFERROR(IF($AN57="","",HLOOKUP($AN57&amp;$F57,'input for formula'!$B$22:$M$25,2,0)),0)</f>
        <v>0</v>
      </c>
      <c r="AR57" s="666">
        <f>IFERROR(IF($AN57="","",HLOOKUP($AN57&amp;RIGHT($AL57,1),'input for formula'!$B$16:$I$20,4,0)),0)</f>
        <v>0</v>
      </c>
      <c r="AS57" s="656">
        <f>IFERROR(IF($AN57="","",HLOOKUP($AN57&amp;$F57,'input for formula'!$B$22:$M$25,3,0)),0)</f>
        <v>0</v>
      </c>
      <c r="AT57" s="656">
        <f>IFERROR(IF($AN57="","",HLOOKUP($AN57&amp;RIGHT($AL57,1),'input for formula'!$B$16:$I$20,5,0)),0)</f>
        <v>0</v>
      </c>
      <c r="AU57" s="656">
        <f>IFERROR(IF($AN57="","",HLOOKUP($AN57&amp;$F57,'input for formula'!$B$22:$M$25,4,0)),0)</f>
        <v>0</v>
      </c>
      <c r="AV57" s="666">
        <f>IFERROR(IF($AN57="","",IF('Census Data'!$AN57="Abu Dhabi",VLOOKUP('Census Data'!$AM57,'input for formula'!$A$28:$C$41,3,0),VLOOKUP('Census Data'!$AM57,'input for formula'!$A$28:$C$47,2,0))),0)*IFERROR(1+IF(AN57="Dubai",VLOOKUP(F57,'Quotation for Dubai Plans'!$V$6:$X$12,3,FALSE),VLOOKUP(F57,'Quotation for Abu Dhabi Plans'!$W$6:$Y$12,3,FALSE)),0)</f>
        <v>0</v>
      </c>
      <c r="AW57" s="656" t="str">
        <f t="shared" si="23"/>
        <v/>
      </c>
      <c r="AX57" s="667" t="str">
        <f>IFERROR(IF(AL57="","",IF(AN57="Dubai",HLOOKUP((AL57&amp;AM57),Deviation!$B$7:$S$8,2,0)*BF57*BH57*BI57*BG57,HLOOKUP((AL57&amp;AM57),Deviation!$B$9:$O$10,2,0)*BF57*BH57*BI57*BG57)),0)</f>
        <v/>
      </c>
      <c r="AY57" s="668" t="str">
        <f>IF(AL57="","",IFERROR(IF(AL57="","",IF(AN57="Dubai",HLOOKUP(AZ57,'input for formula'!$B$3:$F$10,AO57,FALSE), IF(AND(H57="Employee",AN57="Abu Dhabi"),HLOOKUP(AZ57,'input for formula'!$I$3:$K$7,AO57,FALSE),HLOOKUP(AZ57,'input for formula'!$M$3:$O$7,AO57,FALSE)))*AX57+AP57*AQ57+AR57*AS57+AT57*AU57),0)*$AZ$3*BK57*BJ57*IF(AND(Inputs!$C$19&gt;19,Inputs!$C$19&lt;30),(1+$AZ$2),1)*(1+$AZ$1))</f>
        <v/>
      </c>
      <c r="AZ57" s="148" t="str">
        <f t="shared" si="19"/>
        <v/>
      </c>
      <c r="BA57" s="669" t="str">
        <f>IF(F57="","",IF(AE57="Dubai",HLOOKUP(F57,Inputs!$C$26:$M$37,9,0),HLOOKUP(F57,Inputs!$C$45:$M$56,9,0)))</f>
        <v/>
      </c>
      <c r="BB57" s="670" t="str">
        <f>IF(F57="","",IF(AE57="Dubai",HLOOKUP(F57,Inputs!$C$26:$M$37,10,0),HLOOKUP(F57,Inputs!$C$45:$M$56,10,0)))</f>
        <v/>
      </c>
      <c r="BC57" s="670" t="str">
        <f>IF(F57="","",IF(AE57="Dubai",HLOOKUP(F57,Inputs!$C$26:$M$37,11,0),HLOOKUP(F57,Inputs!$C$45:$M$56,11,0)))</f>
        <v/>
      </c>
      <c r="BD57" s="669" t="str">
        <f>IF(F57="","",IF(AE57="Dubai",HLOOKUP(F57,Inputs!$C$26:$M$37,12,0),HLOOKUP(F57,Inputs!$C$45:$M$56,12,0)))</f>
        <v/>
      </c>
      <c r="BE57" s="654"/>
      <c r="BF57" s="669" t="str">
        <f>IFERROR(IF(AL57="","",IF(AN57="Dubai",IF(OR(AL57="Plan1",AL57="Plan2"),VLOOKUP(BA57,Deviation!$B$31:$D$33,2,FALSE),VLOOKUP(BA57,Deviation!$B$31:$D$33,3,FALSE)),IF(OR(AL57="Plan1",AL57="Plan2"),VLOOKUP(BA57,Deviation!$E$31:$AE$33,2,FALSE),VLOOKUP(BA57,Deviation!$E$31:$AE$33,3,FALSE)))),0)</f>
        <v/>
      </c>
      <c r="BG57" s="671" t="str">
        <f>IFERROR(IF(AL57="","",IF(AN57="Dubai",IF(AL57="Plan1",VLOOKUP(BB57,Deviation!$B$39:$C$40,2,FALSE),IF(AL57="Plan2",VLOOKUP(BB57,Deviation!$B$42:$C$43,2,FALSE),IF(AL57="Plan5",VLOOKUP(BB57,Deviation!$B$48:$C$49,2,FALSE),VLOOKUP(BB57,Deviation!$B$45:$C$46,2,FALSE)))),IF(AL57="Plan1",VLOOKUP(BB57,Deviation!$E$39:$F$40,2,FALSE),IF(AL57="Plan2",VLOOKUP(BB57,Deviation!$E$42:$F$43,2,FALSE),VLOOKUP(BB57,Deviation!$E$45:$F$46,2,FALSE))))),0)</f>
        <v/>
      </c>
      <c r="BH57" s="671" t="str">
        <f>IFERROR(IF(AL57="","",IF(AN57="Dubai",IF(OR(AL57="Plan1",AL57="Plan2"),VLOOKUP(BC57,Deviation!$B$15:$D$19,2,FALSE),VLOOKUP(BC57,Deviation!$B$15:$D$19,3,FALSE)),IF(OR(AL57="Plan1",AL57="Plan2"),VLOOKUP(BC57,Deviation!$E$15:$AE$19,2,FALSE),VLOOKUP(BC57,Deviation!$E$15:$AE$19,3,FALSE)))),0)</f>
        <v/>
      </c>
      <c r="BI57" s="669" t="str">
        <f>IFERROR(IF(AL57="","",IF(AN57="Dubai",VLOOKUP(BD57,Deviation!$B$24:$C$26,2,FALSE),100%)),0)</f>
        <v/>
      </c>
      <c r="BJ57" s="672">
        <f>IF(AE57="Abu Dhabi",1,IFERROR(VLOOKUP(AM57,Deviation!$B$67:$E$79,MATCH('Census Data'!AA57,Deviation!$B$66:$E$66,0),0),1))</f>
        <v>1</v>
      </c>
      <c r="BK57" s="659">
        <f>IFERROR(VLOOKUP(I57,Deviation!$B$54:$C$62,2,0),1)</f>
        <v>1</v>
      </c>
      <c r="BL57" s="148"/>
      <c r="BM57" s="148"/>
      <c r="BN57" s="148"/>
      <c r="BO57" s="148"/>
      <c r="BP57" s="148"/>
      <c r="BQ57" s="148"/>
      <c r="BR57" s="148"/>
      <c r="BS57" s="148"/>
      <c r="BT57" s="148" t="e">
        <f t="shared" si="20"/>
        <v>#VALUE!</v>
      </c>
      <c r="BU57" t="str">
        <f>IF(AL57="","",IFERROR(IF(AL57="","",IF(AN57="Dubai",HLOOKUP(AZ57,'input for formula'!$B$3:$F$10,AO57,FALSE), IF(AND(H57="Employee",AN57="Abu Dhabi"),HLOOKUP(AZ57,'input for formula'!$I$3:$K$7,AO57,FALSE),HLOOKUP(AZ57,'input for formula'!$M$3:$O$7,AO57,FALSE)))*AX57+AP57*AQ57+AR57*AS57+AT57*AU57),0)*$AZ$3*BK57*BJ57*IF(AND(Inputs!$C$19&gt;19,Inputs!$C$19&lt;30),(1+$AZ$2),1))</f>
        <v/>
      </c>
    </row>
    <row r="58" spans="1:73" ht="15" x14ac:dyDescent="0.25">
      <c r="A58" s="59">
        <v>53</v>
      </c>
      <c r="B58" s="621"/>
      <c r="C58" s="628"/>
      <c r="D58" s="629"/>
      <c r="E58" s="471"/>
      <c r="F58" s="298"/>
      <c r="G58" s="298"/>
      <c r="H58" s="298"/>
      <c r="I58" s="298"/>
      <c r="J58" s="80" t="str">
        <f>IFERROR(IF(C58="","",DATEDIF('Census Data'!C58,eff_date,"y")),"")</f>
        <v/>
      </c>
      <c r="K58" s="59" t="str">
        <f>IF(F58="","",IF(AE58="Dubai",HLOOKUP(F58,Inputs!$C$26:$M$28,3,0),HLOOKUP(F58,Inputs!$C$45:$M$46,2,0)))</f>
        <v/>
      </c>
      <c r="L58" s="104"/>
      <c r="M58" s="105">
        <f t="shared" si="1"/>
        <v>0</v>
      </c>
      <c r="N58" s="654" t="b">
        <f t="shared" si="24"/>
        <v>0</v>
      </c>
      <c r="O58" s="655" t="str">
        <f t="shared" si="25"/>
        <v>x</v>
      </c>
      <c r="P58" s="655" t="str">
        <f t="shared" si="26"/>
        <v>x</v>
      </c>
      <c r="Q58" s="655" t="str">
        <f t="shared" si="27"/>
        <v>x</v>
      </c>
      <c r="R58" s="655" t="str">
        <f t="shared" si="22"/>
        <v>x</v>
      </c>
      <c r="S58" s="655" t="str">
        <f t="shared" si="28"/>
        <v>x</v>
      </c>
      <c r="T58" s="655" t="str">
        <f>IF(ISERROR(MATCH(G58,'Inputs Mapping'!$T$4:$T$10,0)),"x","")</f>
        <v>x</v>
      </c>
      <c r="U58" s="655" t="str">
        <f>IF(ISERROR(MATCH(AA58,'Inputs Mapping'!$U$4:$U$5,0)),"x","")</f>
        <v>x</v>
      </c>
      <c r="V58" s="655" t="str">
        <f>IF(ISERROR(MATCH(AB58,'Inputs Mapping'!$V$4:$V$5,0)),"x","")</f>
        <v>x</v>
      </c>
      <c r="W58" s="655" t="str">
        <f>IF(ISERROR(MATCH(F58,'Inputs Mapping'!$W$4:$W$8,0)),"x","")</f>
        <v>x</v>
      </c>
      <c r="X58" s="655" t="str">
        <f t="shared" si="29"/>
        <v/>
      </c>
      <c r="Y58" s="655" t="str">
        <f t="shared" si="30"/>
        <v/>
      </c>
      <c r="Z58" s="655" t="str">
        <f t="shared" si="8"/>
        <v/>
      </c>
      <c r="AA58" s="655" t="str">
        <f t="shared" si="9"/>
        <v/>
      </c>
      <c r="AB58" s="655" t="str">
        <f t="shared" si="13"/>
        <v/>
      </c>
      <c r="AC58" s="655" t="str">
        <f t="shared" si="21"/>
        <v>x</v>
      </c>
      <c r="AD58" s="655" t="str">
        <f>IF(ISBLANK(I58),"x",IF(ISNUMBER(MATCH(I58,'Inputs Mapping'!$AF$5:$AF$199,0)),"","x"))</f>
        <v>x</v>
      </c>
      <c r="AE58" s="655" t="str">
        <f t="shared" si="14"/>
        <v/>
      </c>
      <c r="AF58" s="148"/>
      <c r="AG58" s="148"/>
      <c r="AH58" s="148" t="str">
        <f t="shared" si="15"/>
        <v/>
      </c>
      <c r="AI58" s="654" t="str">
        <f>IF(J58="","",VLOOKUP(J58,'Inputs Mapping'!$T$27:$V$31,3))</f>
        <v/>
      </c>
      <c r="AJ58" s="654" t="str">
        <f>IF(J58="","",VLOOKUP(J58,'Inputs Mapping'!$T$17:$V$24,3))</f>
        <v/>
      </c>
      <c r="AK58" s="654" t="str">
        <f t="shared" si="16"/>
        <v/>
      </c>
      <c r="AL58" s="655" t="str">
        <f t="shared" si="31"/>
        <v/>
      </c>
      <c r="AM58" s="655" t="str">
        <f>IF(F58="","",IF(AE58="Dubai",HLOOKUP(F58,Inputs!$C$26:$M$36,5,0),HLOOKUP(F58,Inputs!$C$45:$M$49,5,0)))</f>
        <v/>
      </c>
      <c r="AN58" s="655">
        <f t="shared" si="17"/>
        <v>0</v>
      </c>
      <c r="AO58" s="654" t="str">
        <f>IF(AJ58="","",IF(AN58="Dubai",VLOOKUP(AJ58,'Inputs Mapping'!$V$17:$W$24,2,0),VLOOKUP(AI58,'Inputs Mapping'!$V$27:$W$31,2,0)))</f>
        <v/>
      </c>
      <c r="AP58" s="666">
        <f>IFERROR(IF($AN58="","",HLOOKUP($AN58&amp;RIGHT($AL58,1),'input for formula'!$B$16:$I$20,3,0)),0)</f>
        <v>0</v>
      </c>
      <c r="AQ58" s="656">
        <f>IFERROR(IF($AN58="","",HLOOKUP($AN58&amp;$F58,'input for formula'!$B$22:$M$25,2,0)),0)</f>
        <v>0</v>
      </c>
      <c r="AR58" s="666">
        <f>IFERROR(IF($AN58="","",HLOOKUP($AN58&amp;RIGHT($AL58,1),'input for formula'!$B$16:$I$20,4,0)),0)</f>
        <v>0</v>
      </c>
      <c r="AS58" s="656">
        <f>IFERROR(IF($AN58="","",HLOOKUP($AN58&amp;$F58,'input for formula'!$B$22:$M$25,3,0)),0)</f>
        <v>0</v>
      </c>
      <c r="AT58" s="656">
        <f>IFERROR(IF($AN58="","",HLOOKUP($AN58&amp;RIGHT($AL58,1),'input for formula'!$B$16:$I$20,5,0)),0)</f>
        <v>0</v>
      </c>
      <c r="AU58" s="656">
        <f>IFERROR(IF($AN58="","",HLOOKUP($AN58&amp;$F58,'input for formula'!$B$22:$M$25,4,0)),0)</f>
        <v>0</v>
      </c>
      <c r="AV58" s="666">
        <f>IFERROR(IF($AN58="","",IF('Census Data'!$AN58="Abu Dhabi",VLOOKUP('Census Data'!$AM58,'input for formula'!$A$28:$C$41,3,0),VLOOKUP('Census Data'!$AM58,'input for formula'!$A$28:$C$47,2,0))),0)*IFERROR(1+IF(AN58="Dubai",VLOOKUP(F58,'Quotation for Dubai Plans'!$V$6:$X$12,3,FALSE),VLOOKUP(F58,'Quotation for Abu Dhabi Plans'!$W$6:$Y$12,3,FALSE)),0)</f>
        <v>0</v>
      </c>
      <c r="AW58" s="656" t="str">
        <f t="shared" si="23"/>
        <v/>
      </c>
      <c r="AX58" s="667" t="str">
        <f>IFERROR(IF(AL58="","",IF(AN58="Dubai",HLOOKUP((AL58&amp;AM58),Deviation!$B$7:$S$8,2,0)*BF58*BH58*BI58*BG58,HLOOKUP((AL58&amp;AM58),Deviation!$B$9:$O$10,2,0)*BF58*BH58*BI58*BG58)),0)</f>
        <v/>
      </c>
      <c r="AY58" s="668" t="str">
        <f>IF(AL58="","",IFERROR(IF(AL58="","",IF(AN58="Dubai",HLOOKUP(AZ58,'input for formula'!$B$3:$F$10,AO58,FALSE), IF(AND(H58="Employee",AN58="Abu Dhabi"),HLOOKUP(AZ58,'input for formula'!$I$3:$K$7,AO58,FALSE),HLOOKUP(AZ58,'input for formula'!$M$3:$O$7,AO58,FALSE)))*AX58+AP58*AQ58+AR58*AS58+AT58*AU58),0)*$AZ$3*BK58*BJ58*IF(AND(Inputs!$C$19&gt;19,Inputs!$C$19&lt;30),(1+$AZ$2),1)*(1+$AZ$1))</f>
        <v/>
      </c>
      <c r="AZ58" s="148" t="str">
        <f t="shared" si="19"/>
        <v/>
      </c>
      <c r="BA58" s="669" t="str">
        <f>IF(F58="","",IF(AE58="Dubai",HLOOKUP(F58,Inputs!$C$26:$M$37,9,0),HLOOKUP(F58,Inputs!$C$45:$M$56,9,0)))</f>
        <v/>
      </c>
      <c r="BB58" s="670" t="str">
        <f>IF(F58="","",IF(AE58="Dubai",HLOOKUP(F58,Inputs!$C$26:$M$37,10,0),HLOOKUP(F58,Inputs!$C$45:$M$56,10,0)))</f>
        <v/>
      </c>
      <c r="BC58" s="670" t="str">
        <f>IF(F58="","",IF(AE58="Dubai",HLOOKUP(F58,Inputs!$C$26:$M$37,11,0),HLOOKUP(F58,Inputs!$C$45:$M$56,11,0)))</f>
        <v/>
      </c>
      <c r="BD58" s="669" t="str">
        <f>IF(F58="","",IF(AE58="Dubai",HLOOKUP(F58,Inputs!$C$26:$M$37,12,0),HLOOKUP(F58,Inputs!$C$45:$M$56,12,0)))</f>
        <v/>
      </c>
      <c r="BE58" s="654"/>
      <c r="BF58" s="669" t="str">
        <f>IFERROR(IF(AL58="","",IF(AN58="Dubai",IF(OR(AL58="Plan1",AL58="Plan2"),VLOOKUP(BA58,Deviation!$B$31:$D$33,2,FALSE),VLOOKUP(BA58,Deviation!$B$31:$D$33,3,FALSE)),IF(OR(AL58="Plan1",AL58="Plan2"),VLOOKUP(BA58,Deviation!$E$31:$AE$33,2,FALSE),VLOOKUP(BA58,Deviation!$E$31:$AE$33,3,FALSE)))),0)</f>
        <v/>
      </c>
      <c r="BG58" s="671" t="str">
        <f>IFERROR(IF(AL58="","",IF(AN58="Dubai",IF(AL58="Plan1",VLOOKUP(BB58,Deviation!$B$39:$C$40,2,FALSE),IF(AL58="Plan2",VLOOKUP(BB58,Deviation!$B$42:$C$43,2,FALSE),IF(AL58="Plan5",VLOOKUP(BB58,Deviation!$B$48:$C$49,2,FALSE),VLOOKUP(BB58,Deviation!$B$45:$C$46,2,FALSE)))),IF(AL58="Plan1",VLOOKUP(BB58,Deviation!$E$39:$F$40,2,FALSE),IF(AL58="Plan2",VLOOKUP(BB58,Deviation!$E$42:$F$43,2,FALSE),VLOOKUP(BB58,Deviation!$E$45:$F$46,2,FALSE))))),0)</f>
        <v/>
      </c>
      <c r="BH58" s="671" t="str">
        <f>IFERROR(IF(AL58="","",IF(AN58="Dubai",IF(OR(AL58="Plan1",AL58="Plan2"),VLOOKUP(BC58,Deviation!$B$15:$D$19,2,FALSE),VLOOKUP(BC58,Deviation!$B$15:$D$19,3,FALSE)),IF(OR(AL58="Plan1",AL58="Plan2"),VLOOKUP(BC58,Deviation!$E$15:$AE$19,2,FALSE),VLOOKUP(BC58,Deviation!$E$15:$AE$19,3,FALSE)))),0)</f>
        <v/>
      </c>
      <c r="BI58" s="669" t="str">
        <f>IFERROR(IF(AL58="","",IF(AN58="Dubai",VLOOKUP(BD58,Deviation!$B$24:$C$26,2,FALSE),100%)),0)</f>
        <v/>
      </c>
      <c r="BJ58" s="672">
        <f>IF(AE58="Abu Dhabi",1,IFERROR(VLOOKUP(AM58,Deviation!$B$67:$E$79,MATCH('Census Data'!AA58,Deviation!$B$66:$E$66,0),0),1))</f>
        <v>1</v>
      </c>
      <c r="BK58" s="659">
        <f>IFERROR(VLOOKUP(I58,Deviation!$B$54:$C$62,2,0),1)</f>
        <v>1</v>
      </c>
      <c r="BL58" s="148"/>
      <c r="BM58" s="148"/>
      <c r="BN58" s="148"/>
      <c r="BO58" s="148"/>
      <c r="BP58" s="148"/>
      <c r="BQ58" s="148"/>
      <c r="BR58" s="148"/>
      <c r="BS58" s="148"/>
      <c r="BT58" s="148" t="e">
        <f t="shared" si="20"/>
        <v>#VALUE!</v>
      </c>
      <c r="BU58" t="str">
        <f>IF(AL58="","",IFERROR(IF(AL58="","",IF(AN58="Dubai",HLOOKUP(AZ58,'input for formula'!$B$3:$F$10,AO58,FALSE), IF(AND(H58="Employee",AN58="Abu Dhabi"),HLOOKUP(AZ58,'input for formula'!$I$3:$K$7,AO58,FALSE),HLOOKUP(AZ58,'input for formula'!$M$3:$O$7,AO58,FALSE)))*AX58+AP58*AQ58+AR58*AS58+AT58*AU58),0)*$AZ$3*BK58*BJ58*IF(AND(Inputs!$C$19&gt;19,Inputs!$C$19&lt;30),(1+$AZ$2),1))</f>
        <v/>
      </c>
    </row>
    <row r="59" spans="1:73" ht="15" x14ac:dyDescent="0.25">
      <c r="A59" s="59">
        <v>54</v>
      </c>
      <c r="B59" s="621"/>
      <c r="C59" s="628"/>
      <c r="D59" s="629"/>
      <c r="E59" s="471"/>
      <c r="F59" s="298"/>
      <c r="G59" s="298"/>
      <c r="H59" s="298"/>
      <c r="I59" s="298"/>
      <c r="J59" s="80" t="str">
        <f>IFERROR(IF(C59="","",DATEDIF('Census Data'!C59,eff_date,"y")),"")</f>
        <v/>
      </c>
      <c r="K59" s="59" t="str">
        <f>IF(F59="","",IF(AE59="Dubai",HLOOKUP(F59,Inputs!$C$26:$M$28,3,0),HLOOKUP(F59,Inputs!$C$45:$M$46,2,0)))</f>
        <v/>
      </c>
      <c r="L59" s="104"/>
      <c r="M59" s="105">
        <f t="shared" si="1"/>
        <v>0</v>
      </c>
      <c r="N59" s="654" t="b">
        <f t="shared" si="24"/>
        <v>0</v>
      </c>
      <c r="O59" s="655" t="str">
        <f t="shared" si="25"/>
        <v>x</v>
      </c>
      <c r="P59" s="655" t="str">
        <f t="shared" si="26"/>
        <v>x</v>
      </c>
      <c r="Q59" s="655" t="str">
        <f t="shared" si="27"/>
        <v>x</v>
      </c>
      <c r="R59" s="655" t="str">
        <f t="shared" si="22"/>
        <v>x</v>
      </c>
      <c r="S59" s="655" t="str">
        <f t="shared" si="28"/>
        <v>x</v>
      </c>
      <c r="T59" s="655" t="str">
        <f>IF(ISERROR(MATCH(G59,'Inputs Mapping'!$T$4:$T$10,0)),"x","")</f>
        <v>x</v>
      </c>
      <c r="U59" s="655" t="str">
        <f>IF(ISERROR(MATCH(AA59,'Inputs Mapping'!$U$4:$U$5,0)),"x","")</f>
        <v>x</v>
      </c>
      <c r="V59" s="655" t="str">
        <f>IF(ISERROR(MATCH(AB59,'Inputs Mapping'!$V$4:$V$5,0)),"x","")</f>
        <v>x</v>
      </c>
      <c r="W59" s="655" t="str">
        <f>IF(ISERROR(MATCH(F59,'Inputs Mapping'!$W$4:$W$8,0)),"x","")</f>
        <v>x</v>
      </c>
      <c r="X59" s="655" t="str">
        <f t="shared" si="29"/>
        <v/>
      </c>
      <c r="Y59" s="655" t="str">
        <f t="shared" si="30"/>
        <v/>
      </c>
      <c r="Z59" s="655" t="str">
        <f t="shared" si="8"/>
        <v/>
      </c>
      <c r="AA59" s="655" t="str">
        <f t="shared" si="9"/>
        <v/>
      </c>
      <c r="AB59" s="655" t="str">
        <f t="shared" si="13"/>
        <v/>
      </c>
      <c r="AC59" s="655" t="str">
        <f t="shared" si="21"/>
        <v>x</v>
      </c>
      <c r="AD59" s="655" t="str">
        <f>IF(ISBLANK(I59),"x",IF(ISNUMBER(MATCH(I59,'Inputs Mapping'!$AF$5:$AF$199,0)),"","x"))</f>
        <v>x</v>
      </c>
      <c r="AE59" s="655" t="str">
        <f t="shared" si="14"/>
        <v/>
      </c>
      <c r="AF59" s="148"/>
      <c r="AG59" s="148"/>
      <c r="AH59" s="148" t="str">
        <f t="shared" si="15"/>
        <v/>
      </c>
      <c r="AI59" s="654" t="str">
        <f>IF(J59="","",VLOOKUP(J59,'Inputs Mapping'!$T$27:$V$31,3))</f>
        <v/>
      </c>
      <c r="AJ59" s="654" t="str">
        <f>IF(J59="","",VLOOKUP(J59,'Inputs Mapping'!$T$17:$V$24,3))</f>
        <v/>
      </c>
      <c r="AK59" s="654" t="str">
        <f t="shared" si="16"/>
        <v/>
      </c>
      <c r="AL59" s="655" t="str">
        <f t="shared" si="31"/>
        <v/>
      </c>
      <c r="AM59" s="655" t="str">
        <f>IF(F59="","",IF(AE59="Dubai",HLOOKUP(F59,Inputs!$C$26:$M$36,5,0),HLOOKUP(F59,Inputs!$C$45:$M$49,5,0)))</f>
        <v/>
      </c>
      <c r="AN59" s="655">
        <f t="shared" si="17"/>
        <v>0</v>
      </c>
      <c r="AO59" s="654" t="str">
        <f>IF(AJ59="","",IF(AN59="Dubai",VLOOKUP(AJ59,'Inputs Mapping'!$V$17:$W$24,2,0),VLOOKUP(AI59,'Inputs Mapping'!$V$27:$W$31,2,0)))</f>
        <v/>
      </c>
      <c r="AP59" s="666">
        <f>IFERROR(IF($AN59="","",HLOOKUP($AN59&amp;RIGHT($AL59,1),'input for formula'!$B$16:$I$20,3,0)),0)</f>
        <v>0</v>
      </c>
      <c r="AQ59" s="656">
        <f>IFERROR(IF($AN59="","",HLOOKUP($AN59&amp;$F59,'input for formula'!$B$22:$M$25,2,0)),0)</f>
        <v>0</v>
      </c>
      <c r="AR59" s="666">
        <f>IFERROR(IF($AN59="","",HLOOKUP($AN59&amp;RIGHT($AL59,1),'input for formula'!$B$16:$I$20,4,0)),0)</f>
        <v>0</v>
      </c>
      <c r="AS59" s="656">
        <f>IFERROR(IF($AN59="","",HLOOKUP($AN59&amp;$F59,'input for formula'!$B$22:$M$25,3,0)),0)</f>
        <v>0</v>
      </c>
      <c r="AT59" s="656">
        <f>IFERROR(IF($AN59="","",HLOOKUP($AN59&amp;RIGHT($AL59,1),'input for formula'!$B$16:$I$20,5,0)),0)</f>
        <v>0</v>
      </c>
      <c r="AU59" s="656">
        <f>IFERROR(IF($AN59="","",HLOOKUP($AN59&amp;$F59,'input for formula'!$B$22:$M$25,4,0)),0)</f>
        <v>0</v>
      </c>
      <c r="AV59" s="666">
        <f>IFERROR(IF($AN59="","",IF('Census Data'!$AN59="Abu Dhabi",VLOOKUP('Census Data'!$AM59,'input for formula'!$A$28:$C$41,3,0),VLOOKUP('Census Data'!$AM59,'input for formula'!$A$28:$C$47,2,0))),0)*IFERROR(1+IF(AN59="Dubai",VLOOKUP(F59,'Quotation for Dubai Plans'!$V$6:$X$12,3,FALSE),VLOOKUP(F59,'Quotation for Abu Dhabi Plans'!$W$6:$Y$12,3,FALSE)),0)</f>
        <v>0</v>
      </c>
      <c r="AW59" s="656" t="str">
        <f t="shared" si="23"/>
        <v/>
      </c>
      <c r="AX59" s="667" t="str">
        <f>IFERROR(IF(AL59="","",IF(AN59="Dubai",HLOOKUP((AL59&amp;AM59),Deviation!$B$7:$S$8,2,0)*BF59*BH59*BI59*BG59,HLOOKUP((AL59&amp;AM59),Deviation!$B$9:$O$10,2,0)*BF59*BH59*BI59*BG59)),0)</f>
        <v/>
      </c>
      <c r="AY59" s="668" t="str">
        <f>IF(AL59="","",IFERROR(IF(AL59="","",IF(AN59="Dubai",HLOOKUP(AZ59,'input for formula'!$B$3:$F$10,AO59,FALSE), IF(AND(H59="Employee",AN59="Abu Dhabi"),HLOOKUP(AZ59,'input for formula'!$I$3:$K$7,AO59,FALSE),HLOOKUP(AZ59,'input for formula'!$M$3:$O$7,AO59,FALSE)))*AX59+AP59*AQ59+AR59*AS59+AT59*AU59),0)*$AZ$3*BK59*BJ59*IF(AND(Inputs!$C$19&gt;19,Inputs!$C$19&lt;30),(1+$AZ$2),1)*(1+$AZ$1))</f>
        <v/>
      </c>
      <c r="AZ59" s="148" t="str">
        <f t="shared" si="19"/>
        <v/>
      </c>
      <c r="BA59" s="669" t="str">
        <f>IF(F59="","",IF(AE59="Dubai",HLOOKUP(F59,Inputs!$C$26:$M$37,9,0),HLOOKUP(F59,Inputs!$C$45:$M$56,9,0)))</f>
        <v/>
      </c>
      <c r="BB59" s="670" t="str">
        <f>IF(F59="","",IF(AE59="Dubai",HLOOKUP(F59,Inputs!$C$26:$M$37,10,0),HLOOKUP(F59,Inputs!$C$45:$M$56,10,0)))</f>
        <v/>
      </c>
      <c r="BC59" s="670" t="str">
        <f>IF(F59="","",IF(AE59="Dubai",HLOOKUP(F59,Inputs!$C$26:$M$37,11,0),HLOOKUP(F59,Inputs!$C$45:$M$56,11,0)))</f>
        <v/>
      </c>
      <c r="BD59" s="669" t="str">
        <f>IF(F59="","",IF(AE59="Dubai",HLOOKUP(F59,Inputs!$C$26:$M$37,12,0),HLOOKUP(F59,Inputs!$C$45:$M$56,12,0)))</f>
        <v/>
      </c>
      <c r="BE59" s="654"/>
      <c r="BF59" s="669" t="str">
        <f>IFERROR(IF(AL59="","",IF(AN59="Dubai",IF(OR(AL59="Plan1",AL59="Plan2"),VLOOKUP(BA59,Deviation!$B$31:$D$33,2,FALSE),VLOOKUP(BA59,Deviation!$B$31:$D$33,3,FALSE)),IF(OR(AL59="Plan1",AL59="Plan2"),VLOOKUP(BA59,Deviation!$E$31:$AE$33,2,FALSE),VLOOKUP(BA59,Deviation!$E$31:$AE$33,3,FALSE)))),0)</f>
        <v/>
      </c>
      <c r="BG59" s="671" t="str">
        <f>IFERROR(IF(AL59="","",IF(AN59="Dubai",IF(AL59="Plan1",VLOOKUP(BB59,Deviation!$B$39:$C$40,2,FALSE),IF(AL59="Plan2",VLOOKUP(BB59,Deviation!$B$42:$C$43,2,FALSE),IF(AL59="Plan5",VLOOKUP(BB59,Deviation!$B$48:$C$49,2,FALSE),VLOOKUP(BB59,Deviation!$B$45:$C$46,2,FALSE)))),IF(AL59="Plan1",VLOOKUP(BB59,Deviation!$E$39:$F$40,2,FALSE),IF(AL59="Plan2",VLOOKUP(BB59,Deviation!$E$42:$F$43,2,FALSE),VLOOKUP(BB59,Deviation!$E$45:$F$46,2,FALSE))))),0)</f>
        <v/>
      </c>
      <c r="BH59" s="671" t="str">
        <f>IFERROR(IF(AL59="","",IF(AN59="Dubai",IF(OR(AL59="Plan1",AL59="Plan2"),VLOOKUP(BC59,Deviation!$B$15:$D$19,2,FALSE),VLOOKUP(BC59,Deviation!$B$15:$D$19,3,FALSE)),IF(OR(AL59="Plan1",AL59="Plan2"),VLOOKUP(BC59,Deviation!$E$15:$AE$19,2,FALSE),VLOOKUP(BC59,Deviation!$E$15:$AE$19,3,FALSE)))),0)</f>
        <v/>
      </c>
      <c r="BI59" s="669" t="str">
        <f>IFERROR(IF(AL59="","",IF(AN59="Dubai",VLOOKUP(BD59,Deviation!$B$24:$C$26,2,FALSE),100%)),0)</f>
        <v/>
      </c>
      <c r="BJ59" s="672">
        <f>IF(AE59="Abu Dhabi",1,IFERROR(VLOOKUP(AM59,Deviation!$B$67:$E$79,MATCH('Census Data'!AA59,Deviation!$B$66:$E$66,0),0),1))</f>
        <v>1</v>
      </c>
      <c r="BK59" s="659">
        <f>IFERROR(VLOOKUP(I59,Deviation!$B$54:$C$62,2,0),1)</f>
        <v>1</v>
      </c>
      <c r="BL59" s="148"/>
      <c r="BM59" s="148"/>
      <c r="BN59" s="148"/>
      <c r="BO59" s="148"/>
      <c r="BP59" s="148"/>
      <c r="BQ59" s="148"/>
      <c r="BR59" s="148"/>
      <c r="BS59" s="148"/>
      <c r="BT59" s="148" t="e">
        <f t="shared" si="20"/>
        <v>#VALUE!</v>
      </c>
      <c r="BU59" t="str">
        <f>IF(AL59="","",IFERROR(IF(AL59="","",IF(AN59="Dubai",HLOOKUP(AZ59,'input for formula'!$B$3:$F$10,AO59,FALSE), IF(AND(H59="Employee",AN59="Abu Dhabi"),HLOOKUP(AZ59,'input for formula'!$I$3:$K$7,AO59,FALSE),HLOOKUP(AZ59,'input for formula'!$M$3:$O$7,AO59,FALSE)))*AX59+AP59*AQ59+AR59*AS59+AT59*AU59),0)*$AZ$3*BK59*BJ59*IF(AND(Inputs!$C$19&gt;19,Inputs!$C$19&lt;30),(1+$AZ$2),1))</f>
        <v/>
      </c>
    </row>
    <row r="60" spans="1:73" ht="15" x14ac:dyDescent="0.25">
      <c r="A60" s="59">
        <v>55</v>
      </c>
      <c r="B60" s="621"/>
      <c r="C60" s="628"/>
      <c r="D60" s="629"/>
      <c r="E60" s="471"/>
      <c r="F60" s="298"/>
      <c r="G60" s="298"/>
      <c r="H60" s="298"/>
      <c r="I60" s="298"/>
      <c r="J60" s="80" t="str">
        <f>IFERROR(IF(C60="","",DATEDIF('Census Data'!C60,eff_date,"y")),"")</f>
        <v/>
      </c>
      <c r="K60" s="59" t="str">
        <f>IF(F60="","",IF(AE60="Dubai",HLOOKUP(F60,Inputs!$C$26:$M$28,3,0),HLOOKUP(F60,Inputs!$C$45:$M$46,2,0)))</f>
        <v/>
      </c>
      <c r="L60" s="104"/>
      <c r="M60" s="105">
        <f t="shared" si="1"/>
        <v>0</v>
      </c>
      <c r="N60" s="654" t="b">
        <f t="shared" si="24"/>
        <v>0</v>
      </c>
      <c r="O60" s="655" t="str">
        <f t="shared" si="25"/>
        <v>x</v>
      </c>
      <c r="P60" s="655" t="str">
        <f t="shared" si="26"/>
        <v>x</v>
      </c>
      <c r="Q60" s="655" t="str">
        <f t="shared" si="27"/>
        <v>x</v>
      </c>
      <c r="R60" s="655" t="str">
        <f t="shared" si="22"/>
        <v>x</v>
      </c>
      <c r="S60" s="655" t="str">
        <f t="shared" si="28"/>
        <v>x</v>
      </c>
      <c r="T60" s="655" t="str">
        <f>IF(ISERROR(MATCH(G60,'Inputs Mapping'!$T$4:$T$10,0)),"x","")</f>
        <v>x</v>
      </c>
      <c r="U60" s="655" t="str">
        <f>IF(ISERROR(MATCH(AA60,'Inputs Mapping'!$U$4:$U$5,0)),"x","")</f>
        <v>x</v>
      </c>
      <c r="V60" s="655" t="str">
        <f>IF(ISERROR(MATCH(AB60,'Inputs Mapping'!$V$4:$V$5,0)),"x","")</f>
        <v>x</v>
      </c>
      <c r="W60" s="655" t="str">
        <f>IF(ISERROR(MATCH(F60,'Inputs Mapping'!$W$4:$W$8,0)),"x","")</f>
        <v>x</v>
      </c>
      <c r="X60" s="655" t="str">
        <f t="shared" si="29"/>
        <v/>
      </c>
      <c r="Y60" s="655" t="str">
        <f t="shared" si="30"/>
        <v/>
      </c>
      <c r="Z60" s="655" t="str">
        <f t="shared" si="8"/>
        <v/>
      </c>
      <c r="AA60" s="655" t="str">
        <f t="shared" si="9"/>
        <v/>
      </c>
      <c r="AB60" s="655" t="str">
        <f t="shared" si="13"/>
        <v/>
      </c>
      <c r="AC60" s="655" t="str">
        <f t="shared" si="21"/>
        <v>x</v>
      </c>
      <c r="AD60" s="655" t="str">
        <f>IF(ISBLANK(I60),"x",IF(ISNUMBER(MATCH(I60,'Inputs Mapping'!$AF$5:$AF$199,0)),"","x"))</f>
        <v>x</v>
      </c>
      <c r="AE60" s="655" t="str">
        <f t="shared" si="14"/>
        <v/>
      </c>
      <c r="AF60" s="148"/>
      <c r="AG60" s="148"/>
      <c r="AH60" s="148" t="str">
        <f t="shared" si="15"/>
        <v/>
      </c>
      <c r="AI60" s="654" t="str">
        <f>IF(J60="","",VLOOKUP(J60,'Inputs Mapping'!$T$27:$V$31,3))</f>
        <v/>
      </c>
      <c r="AJ60" s="654" t="str">
        <f>IF(J60="","",VLOOKUP(J60,'Inputs Mapping'!$T$17:$V$24,3))</f>
        <v/>
      </c>
      <c r="AK60" s="654" t="str">
        <f t="shared" si="16"/>
        <v/>
      </c>
      <c r="AL60" s="655" t="str">
        <f t="shared" si="31"/>
        <v/>
      </c>
      <c r="AM60" s="655" t="str">
        <f>IF(F60="","",IF(AE60="Dubai",HLOOKUP(F60,Inputs!$C$26:$M$36,5,0),HLOOKUP(F60,Inputs!$C$45:$M$49,5,0)))</f>
        <v/>
      </c>
      <c r="AN60" s="655">
        <f t="shared" si="17"/>
        <v>0</v>
      </c>
      <c r="AO60" s="654" t="str">
        <f>IF(AJ60="","",IF(AN60="Dubai",VLOOKUP(AJ60,'Inputs Mapping'!$V$17:$W$24,2,0),VLOOKUP(AI60,'Inputs Mapping'!$V$27:$W$31,2,0)))</f>
        <v/>
      </c>
      <c r="AP60" s="666">
        <f>IFERROR(IF($AN60="","",HLOOKUP($AN60&amp;RIGHT($AL60,1),'input for formula'!$B$16:$I$20,3,0)),0)</f>
        <v>0</v>
      </c>
      <c r="AQ60" s="656">
        <f>IFERROR(IF($AN60="","",HLOOKUP($AN60&amp;$F60,'input for formula'!$B$22:$M$25,2,0)),0)</f>
        <v>0</v>
      </c>
      <c r="AR60" s="666">
        <f>IFERROR(IF($AN60="","",HLOOKUP($AN60&amp;RIGHT($AL60,1),'input for formula'!$B$16:$I$20,4,0)),0)</f>
        <v>0</v>
      </c>
      <c r="AS60" s="656">
        <f>IFERROR(IF($AN60="","",HLOOKUP($AN60&amp;$F60,'input for formula'!$B$22:$M$25,3,0)),0)</f>
        <v>0</v>
      </c>
      <c r="AT60" s="656">
        <f>IFERROR(IF($AN60="","",HLOOKUP($AN60&amp;RIGHT($AL60,1),'input for formula'!$B$16:$I$20,5,0)),0)</f>
        <v>0</v>
      </c>
      <c r="AU60" s="656">
        <f>IFERROR(IF($AN60="","",HLOOKUP($AN60&amp;$F60,'input for formula'!$B$22:$M$25,4,0)),0)</f>
        <v>0</v>
      </c>
      <c r="AV60" s="666">
        <f>IFERROR(IF($AN60="","",IF('Census Data'!$AN60="Abu Dhabi",VLOOKUP('Census Data'!$AM60,'input for formula'!$A$28:$C$41,3,0),VLOOKUP('Census Data'!$AM60,'input for formula'!$A$28:$C$47,2,0))),0)*IFERROR(1+IF(AN60="Dubai",VLOOKUP(F60,'Quotation for Dubai Plans'!$V$6:$X$12,3,FALSE),VLOOKUP(F60,'Quotation for Abu Dhabi Plans'!$W$6:$Y$12,3,FALSE)),0)</f>
        <v>0</v>
      </c>
      <c r="AW60" s="656" t="str">
        <f t="shared" si="23"/>
        <v/>
      </c>
      <c r="AX60" s="667" t="str">
        <f>IFERROR(IF(AL60="","",IF(AN60="Dubai",HLOOKUP((AL60&amp;AM60),Deviation!$B$7:$S$8,2,0)*BF60*BH60*BI60*BG60,HLOOKUP((AL60&amp;AM60),Deviation!$B$9:$O$10,2,0)*BF60*BH60*BI60*BG60)),0)</f>
        <v/>
      </c>
      <c r="AY60" s="668" t="str">
        <f>IF(AL60="","",IFERROR(IF(AL60="","",IF(AN60="Dubai",HLOOKUP(AZ60,'input for formula'!$B$3:$F$10,AO60,FALSE), IF(AND(H60="Employee",AN60="Abu Dhabi"),HLOOKUP(AZ60,'input for formula'!$I$3:$K$7,AO60,FALSE),HLOOKUP(AZ60,'input for formula'!$M$3:$O$7,AO60,FALSE)))*AX60+AP60*AQ60+AR60*AS60+AT60*AU60),0)*$AZ$3*BK60*BJ60*IF(AND(Inputs!$C$19&gt;19,Inputs!$C$19&lt;30),(1+$AZ$2),1)*(1+$AZ$1))</f>
        <v/>
      </c>
      <c r="AZ60" s="148" t="str">
        <f t="shared" si="19"/>
        <v/>
      </c>
      <c r="BA60" s="669" t="str">
        <f>IF(F60="","",IF(AE60="Dubai",HLOOKUP(F60,Inputs!$C$26:$M$37,9,0),HLOOKUP(F60,Inputs!$C$45:$M$56,9,0)))</f>
        <v/>
      </c>
      <c r="BB60" s="670" t="str">
        <f>IF(F60="","",IF(AE60="Dubai",HLOOKUP(F60,Inputs!$C$26:$M$37,10,0),HLOOKUP(F60,Inputs!$C$45:$M$56,10,0)))</f>
        <v/>
      </c>
      <c r="BC60" s="670" t="str">
        <f>IF(F60="","",IF(AE60="Dubai",HLOOKUP(F60,Inputs!$C$26:$M$37,11,0),HLOOKUP(F60,Inputs!$C$45:$M$56,11,0)))</f>
        <v/>
      </c>
      <c r="BD60" s="669" t="str">
        <f>IF(F60="","",IF(AE60="Dubai",HLOOKUP(F60,Inputs!$C$26:$M$37,12,0),HLOOKUP(F60,Inputs!$C$45:$M$56,12,0)))</f>
        <v/>
      </c>
      <c r="BE60" s="654"/>
      <c r="BF60" s="669" t="str">
        <f>IFERROR(IF(AL60="","",IF(AN60="Dubai",IF(OR(AL60="Plan1",AL60="Plan2"),VLOOKUP(BA60,Deviation!$B$31:$D$33,2,FALSE),VLOOKUP(BA60,Deviation!$B$31:$D$33,3,FALSE)),IF(OR(AL60="Plan1",AL60="Plan2"),VLOOKUP(BA60,Deviation!$E$31:$AE$33,2,FALSE),VLOOKUP(BA60,Deviation!$E$31:$AE$33,3,FALSE)))),0)</f>
        <v/>
      </c>
      <c r="BG60" s="671" t="str">
        <f>IFERROR(IF(AL60="","",IF(AN60="Dubai",IF(AL60="Plan1",VLOOKUP(BB60,Deviation!$B$39:$C$40,2,FALSE),IF(AL60="Plan2",VLOOKUP(BB60,Deviation!$B$42:$C$43,2,FALSE),IF(AL60="Plan5",VLOOKUP(BB60,Deviation!$B$48:$C$49,2,FALSE),VLOOKUP(BB60,Deviation!$B$45:$C$46,2,FALSE)))),IF(AL60="Plan1",VLOOKUP(BB60,Deviation!$E$39:$F$40,2,FALSE),IF(AL60="Plan2",VLOOKUP(BB60,Deviation!$E$42:$F$43,2,FALSE),VLOOKUP(BB60,Deviation!$E$45:$F$46,2,FALSE))))),0)</f>
        <v/>
      </c>
      <c r="BH60" s="671" t="str">
        <f>IFERROR(IF(AL60="","",IF(AN60="Dubai",IF(OR(AL60="Plan1",AL60="Plan2"),VLOOKUP(BC60,Deviation!$B$15:$D$19,2,FALSE),VLOOKUP(BC60,Deviation!$B$15:$D$19,3,FALSE)),IF(OR(AL60="Plan1",AL60="Plan2"),VLOOKUP(BC60,Deviation!$E$15:$AE$19,2,FALSE),VLOOKUP(BC60,Deviation!$E$15:$AE$19,3,FALSE)))),0)</f>
        <v/>
      </c>
      <c r="BI60" s="669" t="str">
        <f>IFERROR(IF(AL60="","",IF(AN60="Dubai",VLOOKUP(BD60,Deviation!$B$24:$C$26,2,FALSE),100%)),0)</f>
        <v/>
      </c>
      <c r="BJ60" s="672">
        <f>IF(AE60="Abu Dhabi",1,IFERROR(VLOOKUP(AM60,Deviation!$B$67:$E$79,MATCH('Census Data'!AA60,Deviation!$B$66:$E$66,0),0),1))</f>
        <v>1</v>
      </c>
      <c r="BK60" s="659">
        <f>IFERROR(VLOOKUP(I60,Deviation!$B$54:$C$62,2,0),1)</f>
        <v>1</v>
      </c>
      <c r="BL60" s="148"/>
      <c r="BM60" s="148"/>
      <c r="BN60" s="148"/>
      <c r="BO60" s="148"/>
      <c r="BP60" s="148"/>
      <c r="BQ60" s="148"/>
      <c r="BR60" s="148"/>
      <c r="BS60" s="148"/>
      <c r="BT60" s="148" t="e">
        <f t="shared" si="20"/>
        <v>#VALUE!</v>
      </c>
      <c r="BU60" t="str">
        <f>IF(AL60="","",IFERROR(IF(AL60="","",IF(AN60="Dubai",HLOOKUP(AZ60,'input for formula'!$B$3:$F$10,AO60,FALSE), IF(AND(H60="Employee",AN60="Abu Dhabi"),HLOOKUP(AZ60,'input for formula'!$I$3:$K$7,AO60,FALSE),HLOOKUP(AZ60,'input for formula'!$M$3:$O$7,AO60,FALSE)))*AX60+AP60*AQ60+AR60*AS60+AT60*AU60),0)*$AZ$3*BK60*BJ60*IF(AND(Inputs!$C$19&gt;19,Inputs!$C$19&lt;30),(1+$AZ$2),1))</f>
        <v/>
      </c>
    </row>
    <row r="61" spans="1:73" ht="15" x14ac:dyDescent="0.25">
      <c r="A61" s="59">
        <v>56</v>
      </c>
      <c r="B61" s="621"/>
      <c r="C61" s="628"/>
      <c r="D61" s="629"/>
      <c r="E61" s="471"/>
      <c r="F61" s="298"/>
      <c r="G61" s="298"/>
      <c r="H61" s="298"/>
      <c r="I61" s="298"/>
      <c r="J61" s="80" t="str">
        <f>IFERROR(IF(C61="","",DATEDIF('Census Data'!C61,eff_date,"y")),"")</f>
        <v/>
      </c>
      <c r="K61" s="59" t="str">
        <f>IF(F61="","",IF(AE61="Dubai",HLOOKUP(F61,Inputs!$C$26:$M$28,3,0),HLOOKUP(F61,Inputs!$C$45:$M$46,2,0)))</f>
        <v/>
      </c>
      <c r="L61" s="104"/>
      <c r="M61" s="105">
        <f t="shared" si="1"/>
        <v>0</v>
      </c>
      <c r="N61" s="654" t="b">
        <f t="shared" si="24"/>
        <v>0</v>
      </c>
      <c r="O61" s="655" t="str">
        <f t="shared" si="25"/>
        <v>x</v>
      </c>
      <c r="P61" s="655" t="str">
        <f t="shared" si="26"/>
        <v>x</v>
      </c>
      <c r="Q61" s="655" t="str">
        <f t="shared" si="27"/>
        <v>x</v>
      </c>
      <c r="R61" s="655" t="str">
        <f t="shared" si="22"/>
        <v>x</v>
      </c>
      <c r="S61" s="655" t="str">
        <f t="shared" si="28"/>
        <v>x</v>
      </c>
      <c r="T61" s="655" t="str">
        <f>IF(ISERROR(MATCH(G61,'Inputs Mapping'!$T$4:$T$10,0)),"x","")</f>
        <v>x</v>
      </c>
      <c r="U61" s="655" t="str">
        <f>IF(ISERROR(MATCH(AA61,'Inputs Mapping'!$U$4:$U$5,0)),"x","")</f>
        <v>x</v>
      </c>
      <c r="V61" s="655" t="str">
        <f>IF(ISERROR(MATCH(AB61,'Inputs Mapping'!$V$4:$V$5,0)),"x","")</f>
        <v>x</v>
      </c>
      <c r="W61" s="655" t="str">
        <f>IF(ISERROR(MATCH(F61,'Inputs Mapping'!$W$4:$W$8,0)),"x","")</f>
        <v>x</v>
      </c>
      <c r="X61" s="655" t="str">
        <f t="shared" si="29"/>
        <v/>
      </c>
      <c r="Y61" s="655" t="str">
        <f t="shared" si="30"/>
        <v/>
      </c>
      <c r="Z61" s="655" t="str">
        <f t="shared" si="8"/>
        <v/>
      </c>
      <c r="AA61" s="655" t="str">
        <f t="shared" si="9"/>
        <v/>
      </c>
      <c r="AB61" s="655" t="str">
        <f t="shared" si="13"/>
        <v/>
      </c>
      <c r="AC61" s="655" t="str">
        <f t="shared" si="21"/>
        <v>x</v>
      </c>
      <c r="AD61" s="655" t="str">
        <f>IF(ISBLANK(I61),"x",IF(ISNUMBER(MATCH(I61,'Inputs Mapping'!$AF$5:$AF$199,0)),"","x"))</f>
        <v>x</v>
      </c>
      <c r="AE61" s="655" t="str">
        <f t="shared" si="14"/>
        <v/>
      </c>
      <c r="AF61" s="148"/>
      <c r="AG61" s="148"/>
      <c r="AH61" s="148" t="str">
        <f t="shared" si="15"/>
        <v/>
      </c>
      <c r="AI61" s="654" t="str">
        <f>IF(J61="","",VLOOKUP(J61,'Inputs Mapping'!$T$27:$V$31,3))</f>
        <v/>
      </c>
      <c r="AJ61" s="654" t="str">
        <f>IF(J61="","",VLOOKUP(J61,'Inputs Mapping'!$T$17:$V$24,3))</f>
        <v/>
      </c>
      <c r="AK61" s="654" t="str">
        <f t="shared" si="16"/>
        <v/>
      </c>
      <c r="AL61" s="655" t="str">
        <f t="shared" si="31"/>
        <v/>
      </c>
      <c r="AM61" s="655" t="str">
        <f>IF(F61="","",IF(AE61="Dubai",HLOOKUP(F61,Inputs!$C$26:$M$36,5,0),HLOOKUP(F61,Inputs!$C$45:$M$49,5,0)))</f>
        <v/>
      </c>
      <c r="AN61" s="655">
        <f t="shared" si="17"/>
        <v>0</v>
      </c>
      <c r="AO61" s="654" t="str">
        <f>IF(AJ61="","",IF(AN61="Dubai",VLOOKUP(AJ61,'Inputs Mapping'!$V$17:$W$24,2,0),VLOOKUP(AI61,'Inputs Mapping'!$V$27:$W$31,2,0)))</f>
        <v/>
      </c>
      <c r="AP61" s="666">
        <f>IFERROR(IF($AN61="","",HLOOKUP($AN61&amp;RIGHT($AL61,1),'input for formula'!$B$16:$I$20,3,0)),0)</f>
        <v>0</v>
      </c>
      <c r="AQ61" s="656">
        <f>IFERROR(IF($AN61="","",HLOOKUP($AN61&amp;$F61,'input for formula'!$B$22:$M$25,2,0)),0)</f>
        <v>0</v>
      </c>
      <c r="AR61" s="666">
        <f>IFERROR(IF($AN61="","",HLOOKUP($AN61&amp;RIGHT($AL61,1),'input for formula'!$B$16:$I$20,4,0)),0)</f>
        <v>0</v>
      </c>
      <c r="AS61" s="656">
        <f>IFERROR(IF($AN61="","",HLOOKUP($AN61&amp;$F61,'input for formula'!$B$22:$M$25,3,0)),0)</f>
        <v>0</v>
      </c>
      <c r="AT61" s="656">
        <f>IFERROR(IF($AN61="","",HLOOKUP($AN61&amp;RIGHT($AL61,1),'input for formula'!$B$16:$I$20,5,0)),0)</f>
        <v>0</v>
      </c>
      <c r="AU61" s="656">
        <f>IFERROR(IF($AN61="","",HLOOKUP($AN61&amp;$F61,'input for formula'!$B$22:$M$25,4,0)),0)</f>
        <v>0</v>
      </c>
      <c r="AV61" s="666">
        <f>IFERROR(IF($AN61="","",IF('Census Data'!$AN61="Abu Dhabi",VLOOKUP('Census Data'!$AM61,'input for formula'!$A$28:$C$41,3,0),VLOOKUP('Census Data'!$AM61,'input for formula'!$A$28:$C$47,2,0))),0)*IFERROR(1+IF(AN61="Dubai",VLOOKUP(F61,'Quotation for Dubai Plans'!$V$6:$X$12,3,FALSE),VLOOKUP(F61,'Quotation for Abu Dhabi Plans'!$W$6:$Y$12,3,FALSE)),0)</f>
        <v>0</v>
      </c>
      <c r="AW61" s="656" t="str">
        <f t="shared" si="23"/>
        <v/>
      </c>
      <c r="AX61" s="667" t="str">
        <f>IFERROR(IF(AL61="","",IF(AN61="Dubai",HLOOKUP((AL61&amp;AM61),Deviation!$B$7:$S$8,2,0)*BF61*BH61*BI61*BG61,HLOOKUP((AL61&amp;AM61),Deviation!$B$9:$O$10,2,0)*BF61*BH61*BI61*BG61)),0)</f>
        <v/>
      </c>
      <c r="AY61" s="668" t="str">
        <f>IF(AL61="","",IFERROR(IF(AL61="","",IF(AN61="Dubai",HLOOKUP(AZ61,'input for formula'!$B$3:$F$10,AO61,FALSE), IF(AND(H61="Employee",AN61="Abu Dhabi"),HLOOKUP(AZ61,'input for formula'!$I$3:$K$7,AO61,FALSE),HLOOKUP(AZ61,'input for formula'!$M$3:$O$7,AO61,FALSE)))*AX61+AP61*AQ61+AR61*AS61+AT61*AU61),0)*$AZ$3*BK61*BJ61*IF(AND(Inputs!$C$19&gt;19,Inputs!$C$19&lt;30),(1+$AZ$2),1)*(1+$AZ$1))</f>
        <v/>
      </c>
      <c r="AZ61" s="148" t="str">
        <f t="shared" si="19"/>
        <v/>
      </c>
      <c r="BA61" s="669" t="str">
        <f>IF(F61="","",IF(AE61="Dubai",HLOOKUP(F61,Inputs!$C$26:$M$37,9,0),HLOOKUP(F61,Inputs!$C$45:$M$56,9,0)))</f>
        <v/>
      </c>
      <c r="BB61" s="670" t="str">
        <f>IF(F61="","",IF(AE61="Dubai",HLOOKUP(F61,Inputs!$C$26:$M$37,10,0),HLOOKUP(F61,Inputs!$C$45:$M$56,10,0)))</f>
        <v/>
      </c>
      <c r="BC61" s="670" t="str">
        <f>IF(F61="","",IF(AE61="Dubai",HLOOKUP(F61,Inputs!$C$26:$M$37,11,0),HLOOKUP(F61,Inputs!$C$45:$M$56,11,0)))</f>
        <v/>
      </c>
      <c r="BD61" s="669" t="str">
        <f>IF(F61="","",IF(AE61="Dubai",HLOOKUP(F61,Inputs!$C$26:$M$37,12,0),HLOOKUP(F61,Inputs!$C$45:$M$56,12,0)))</f>
        <v/>
      </c>
      <c r="BE61" s="654"/>
      <c r="BF61" s="669" t="str">
        <f>IFERROR(IF(AL61="","",IF(AN61="Dubai",IF(OR(AL61="Plan1",AL61="Plan2"),VLOOKUP(BA61,Deviation!$B$31:$D$33,2,FALSE),VLOOKUP(BA61,Deviation!$B$31:$D$33,3,FALSE)),IF(OR(AL61="Plan1",AL61="Plan2"),VLOOKUP(BA61,Deviation!$E$31:$AE$33,2,FALSE),VLOOKUP(BA61,Deviation!$E$31:$AE$33,3,FALSE)))),0)</f>
        <v/>
      </c>
      <c r="BG61" s="671" t="str">
        <f>IFERROR(IF(AL61="","",IF(AN61="Dubai",IF(AL61="Plan1",VLOOKUP(BB61,Deviation!$B$39:$C$40,2,FALSE),IF(AL61="Plan2",VLOOKUP(BB61,Deviation!$B$42:$C$43,2,FALSE),IF(AL61="Plan5",VLOOKUP(BB61,Deviation!$B$48:$C$49,2,FALSE),VLOOKUP(BB61,Deviation!$B$45:$C$46,2,FALSE)))),IF(AL61="Plan1",VLOOKUP(BB61,Deviation!$E$39:$F$40,2,FALSE),IF(AL61="Plan2",VLOOKUP(BB61,Deviation!$E$42:$F$43,2,FALSE),VLOOKUP(BB61,Deviation!$E$45:$F$46,2,FALSE))))),0)</f>
        <v/>
      </c>
      <c r="BH61" s="671" t="str">
        <f>IFERROR(IF(AL61="","",IF(AN61="Dubai",IF(OR(AL61="Plan1",AL61="Plan2"),VLOOKUP(BC61,Deviation!$B$15:$D$19,2,FALSE),VLOOKUP(BC61,Deviation!$B$15:$D$19,3,FALSE)),IF(OR(AL61="Plan1",AL61="Plan2"),VLOOKUP(BC61,Deviation!$E$15:$AE$19,2,FALSE),VLOOKUP(BC61,Deviation!$E$15:$AE$19,3,FALSE)))),0)</f>
        <v/>
      </c>
      <c r="BI61" s="669" t="str">
        <f>IFERROR(IF(AL61="","",IF(AN61="Dubai",VLOOKUP(BD61,Deviation!$B$24:$C$26,2,FALSE),100%)),0)</f>
        <v/>
      </c>
      <c r="BJ61" s="672">
        <f>IF(AE61="Abu Dhabi",1,IFERROR(VLOOKUP(AM61,Deviation!$B$67:$E$79,MATCH('Census Data'!AA61,Deviation!$B$66:$E$66,0),0),1))</f>
        <v>1</v>
      </c>
      <c r="BK61" s="659">
        <f>IFERROR(VLOOKUP(I61,Deviation!$B$54:$C$62,2,0),1)</f>
        <v>1</v>
      </c>
      <c r="BL61" s="148"/>
      <c r="BM61" s="148"/>
      <c r="BN61" s="148"/>
      <c r="BO61" s="148"/>
      <c r="BP61" s="148"/>
      <c r="BQ61" s="148"/>
      <c r="BR61" s="148"/>
      <c r="BS61" s="148"/>
      <c r="BT61" s="148" t="e">
        <f t="shared" si="20"/>
        <v>#VALUE!</v>
      </c>
      <c r="BU61" t="str">
        <f>IF(AL61="","",IFERROR(IF(AL61="","",IF(AN61="Dubai",HLOOKUP(AZ61,'input for formula'!$B$3:$F$10,AO61,FALSE), IF(AND(H61="Employee",AN61="Abu Dhabi"),HLOOKUP(AZ61,'input for formula'!$I$3:$K$7,AO61,FALSE),HLOOKUP(AZ61,'input for formula'!$M$3:$O$7,AO61,FALSE)))*AX61+AP61*AQ61+AR61*AS61+AT61*AU61),0)*$AZ$3*BK61*BJ61*IF(AND(Inputs!$C$19&gt;19,Inputs!$C$19&lt;30),(1+$AZ$2),1))</f>
        <v/>
      </c>
    </row>
    <row r="62" spans="1:73" ht="15" x14ac:dyDescent="0.25">
      <c r="A62" s="59">
        <v>57</v>
      </c>
      <c r="B62" s="621"/>
      <c r="C62" s="628"/>
      <c r="D62" s="629"/>
      <c r="E62" s="471"/>
      <c r="F62" s="298"/>
      <c r="G62" s="298"/>
      <c r="H62" s="298"/>
      <c r="I62" s="298"/>
      <c r="J62" s="80" t="str">
        <f>IFERROR(IF(C62="","",DATEDIF('Census Data'!C62,eff_date,"y")),"")</f>
        <v/>
      </c>
      <c r="K62" s="59" t="str">
        <f>IF(F62="","",IF(AE62="Dubai",HLOOKUP(F62,Inputs!$C$26:$M$28,3,0),HLOOKUP(F62,Inputs!$C$45:$M$46,2,0)))</f>
        <v/>
      </c>
      <c r="L62" s="104"/>
      <c r="M62" s="105">
        <f t="shared" si="1"/>
        <v>0</v>
      </c>
      <c r="N62" s="654" t="b">
        <f t="shared" si="24"/>
        <v>0</v>
      </c>
      <c r="O62" s="655" t="str">
        <f t="shared" si="25"/>
        <v>x</v>
      </c>
      <c r="P62" s="655" t="str">
        <f t="shared" si="26"/>
        <v>x</v>
      </c>
      <c r="Q62" s="655" t="str">
        <f t="shared" si="27"/>
        <v>x</v>
      </c>
      <c r="R62" s="655" t="str">
        <f t="shared" si="22"/>
        <v>x</v>
      </c>
      <c r="S62" s="655" t="str">
        <f t="shared" si="28"/>
        <v>x</v>
      </c>
      <c r="T62" s="655" t="str">
        <f>IF(ISERROR(MATCH(G62,'Inputs Mapping'!$T$4:$T$10,0)),"x","")</f>
        <v>x</v>
      </c>
      <c r="U62" s="655" t="str">
        <f>IF(ISERROR(MATCH(AA62,'Inputs Mapping'!$U$4:$U$5,0)),"x","")</f>
        <v>x</v>
      </c>
      <c r="V62" s="655" t="str">
        <f>IF(ISERROR(MATCH(AB62,'Inputs Mapping'!$V$4:$V$5,0)),"x","")</f>
        <v>x</v>
      </c>
      <c r="W62" s="655" t="str">
        <f>IF(ISERROR(MATCH(F62,'Inputs Mapping'!$W$4:$W$8,0)),"x","")</f>
        <v>x</v>
      </c>
      <c r="X62" s="655" t="str">
        <f t="shared" si="29"/>
        <v/>
      </c>
      <c r="Y62" s="655" t="str">
        <f t="shared" si="30"/>
        <v/>
      </c>
      <c r="Z62" s="655" t="str">
        <f t="shared" si="8"/>
        <v/>
      </c>
      <c r="AA62" s="655" t="str">
        <f t="shared" si="9"/>
        <v/>
      </c>
      <c r="AB62" s="655" t="str">
        <f t="shared" si="13"/>
        <v/>
      </c>
      <c r="AC62" s="655" t="str">
        <f t="shared" si="21"/>
        <v>x</v>
      </c>
      <c r="AD62" s="655" t="str">
        <f>IF(ISBLANK(I62),"x",IF(ISNUMBER(MATCH(I62,'Inputs Mapping'!$AF$5:$AF$199,0)),"","x"))</f>
        <v>x</v>
      </c>
      <c r="AE62" s="655" t="str">
        <f t="shared" si="14"/>
        <v/>
      </c>
      <c r="AF62" s="148"/>
      <c r="AG62" s="148"/>
      <c r="AH62" s="148" t="str">
        <f t="shared" si="15"/>
        <v/>
      </c>
      <c r="AI62" s="654" t="str">
        <f>IF(J62="","",VLOOKUP(J62,'Inputs Mapping'!$T$27:$V$31,3))</f>
        <v/>
      </c>
      <c r="AJ62" s="654" t="str">
        <f>IF(J62="","",VLOOKUP(J62,'Inputs Mapping'!$T$17:$V$24,3))</f>
        <v/>
      </c>
      <c r="AK62" s="654" t="str">
        <f t="shared" si="16"/>
        <v/>
      </c>
      <c r="AL62" s="655" t="str">
        <f t="shared" si="31"/>
        <v/>
      </c>
      <c r="AM62" s="655" t="str">
        <f>IF(F62="","",IF(AE62="Dubai",HLOOKUP(F62,Inputs!$C$26:$M$36,5,0),HLOOKUP(F62,Inputs!$C$45:$M$49,5,0)))</f>
        <v/>
      </c>
      <c r="AN62" s="655">
        <f t="shared" si="17"/>
        <v>0</v>
      </c>
      <c r="AO62" s="654" t="str">
        <f>IF(AJ62="","",IF(AN62="Dubai",VLOOKUP(AJ62,'Inputs Mapping'!$V$17:$W$24,2,0),VLOOKUP(AI62,'Inputs Mapping'!$V$27:$W$31,2,0)))</f>
        <v/>
      </c>
      <c r="AP62" s="666">
        <f>IFERROR(IF($AN62="","",HLOOKUP($AN62&amp;RIGHT($AL62,1),'input for formula'!$B$16:$I$20,3,0)),0)</f>
        <v>0</v>
      </c>
      <c r="AQ62" s="656">
        <f>IFERROR(IF($AN62="","",HLOOKUP($AN62&amp;$F62,'input for formula'!$B$22:$M$25,2,0)),0)</f>
        <v>0</v>
      </c>
      <c r="AR62" s="666">
        <f>IFERROR(IF($AN62="","",HLOOKUP($AN62&amp;RIGHT($AL62,1),'input for formula'!$B$16:$I$20,4,0)),0)</f>
        <v>0</v>
      </c>
      <c r="AS62" s="656">
        <f>IFERROR(IF($AN62="","",HLOOKUP($AN62&amp;$F62,'input for formula'!$B$22:$M$25,3,0)),0)</f>
        <v>0</v>
      </c>
      <c r="AT62" s="656">
        <f>IFERROR(IF($AN62="","",HLOOKUP($AN62&amp;RIGHT($AL62,1),'input for formula'!$B$16:$I$20,5,0)),0)</f>
        <v>0</v>
      </c>
      <c r="AU62" s="656">
        <f>IFERROR(IF($AN62="","",HLOOKUP($AN62&amp;$F62,'input for formula'!$B$22:$M$25,4,0)),0)</f>
        <v>0</v>
      </c>
      <c r="AV62" s="666">
        <f>IFERROR(IF($AN62="","",IF('Census Data'!$AN62="Abu Dhabi",VLOOKUP('Census Data'!$AM62,'input for formula'!$A$28:$C$41,3,0),VLOOKUP('Census Data'!$AM62,'input for formula'!$A$28:$C$47,2,0))),0)*IFERROR(1+IF(AN62="Dubai",VLOOKUP(F62,'Quotation for Dubai Plans'!$V$6:$X$12,3,FALSE),VLOOKUP(F62,'Quotation for Abu Dhabi Plans'!$W$6:$Y$12,3,FALSE)),0)</f>
        <v>0</v>
      </c>
      <c r="AW62" s="656" t="str">
        <f t="shared" si="23"/>
        <v/>
      </c>
      <c r="AX62" s="667" t="str">
        <f>IFERROR(IF(AL62="","",IF(AN62="Dubai",HLOOKUP((AL62&amp;AM62),Deviation!$B$7:$S$8,2,0)*BF62*BH62*BI62*BG62,HLOOKUP((AL62&amp;AM62),Deviation!$B$9:$O$10,2,0)*BF62*BH62*BI62*BG62)),0)</f>
        <v/>
      </c>
      <c r="AY62" s="668" t="str">
        <f>IF(AL62="","",IFERROR(IF(AL62="","",IF(AN62="Dubai",HLOOKUP(AZ62,'input for formula'!$B$3:$F$10,AO62,FALSE), IF(AND(H62="Employee",AN62="Abu Dhabi"),HLOOKUP(AZ62,'input for formula'!$I$3:$K$7,AO62,FALSE),HLOOKUP(AZ62,'input for formula'!$M$3:$O$7,AO62,FALSE)))*AX62+AP62*AQ62+AR62*AS62+AT62*AU62),0)*$AZ$3*BK62*BJ62*IF(AND(Inputs!$C$19&gt;19,Inputs!$C$19&lt;30),(1+$AZ$2),1)*(1+$AZ$1))</f>
        <v/>
      </c>
      <c r="AZ62" s="148" t="str">
        <f t="shared" si="19"/>
        <v/>
      </c>
      <c r="BA62" s="669" t="str">
        <f>IF(F62="","",IF(AE62="Dubai",HLOOKUP(F62,Inputs!$C$26:$M$37,9,0),HLOOKUP(F62,Inputs!$C$45:$M$56,9,0)))</f>
        <v/>
      </c>
      <c r="BB62" s="670" t="str">
        <f>IF(F62="","",IF(AE62="Dubai",HLOOKUP(F62,Inputs!$C$26:$M$37,10,0),HLOOKUP(F62,Inputs!$C$45:$M$56,10,0)))</f>
        <v/>
      </c>
      <c r="BC62" s="670" t="str">
        <f>IF(F62="","",IF(AE62="Dubai",HLOOKUP(F62,Inputs!$C$26:$M$37,11,0),HLOOKUP(F62,Inputs!$C$45:$M$56,11,0)))</f>
        <v/>
      </c>
      <c r="BD62" s="669" t="str">
        <f>IF(F62="","",IF(AE62="Dubai",HLOOKUP(F62,Inputs!$C$26:$M$37,12,0),HLOOKUP(F62,Inputs!$C$45:$M$56,12,0)))</f>
        <v/>
      </c>
      <c r="BE62" s="654"/>
      <c r="BF62" s="669" t="str">
        <f>IFERROR(IF(AL62="","",IF(AN62="Dubai",IF(OR(AL62="Plan1",AL62="Plan2"),VLOOKUP(BA62,Deviation!$B$31:$D$33,2,FALSE),VLOOKUP(BA62,Deviation!$B$31:$D$33,3,FALSE)),IF(OR(AL62="Plan1",AL62="Plan2"),VLOOKUP(BA62,Deviation!$E$31:$AE$33,2,FALSE),VLOOKUP(BA62,Deviation!$E$31:$AE$33,3,FALSE)))),0)</f>
        <v/>
      </c>
      <c r="BG62" s="671" t="str">
        <f>IFERROR(IF(AL62="","",IF(AN62="Dubai",IF(AL62="Plan1",VLOOKUP(BB62,Deviation!$B$39:$C$40,2,FALSE),IF(AL62="Plan2",VLOOKUP(BB62,Deviation!$B$42:$C$43,2,FALSE),IF(AL62="Plan5",VLOOKUP(BB62,Deviation!$B$48:$C$49,2,FALSE),VLOOKUP(BB62,Deviation!$B$45:$C$46,2,FALSE)))),IF(AL62="Plan1",VLOOKUP(BB62,Deviation!$E$39:$F$40,2,FALSE),IF(AL62="Plan2",VLOOKUP(BB62,Deviation!$E$42:$F$43,2,FALSE),VLOOKUP(BB62,Deviation!$E$45:$F$46,2,FALSE))))),0)</f>
        <v/>
      </c>
      <c r="BH62" s="671" t="str">
        <f>IFERROR(IF(AL62="","",IF(AN62="Dubai",IF(OR(AL62="Plan1",AL62="Plan2"),VLOOKUP(BC62,Deviation!$B$15:$D$19,2,FALSE),VLOOKUP(BC62,Deviation!$B$15:$D$19,3,FALSE)),IF(OR(AL62="Plan1",AL62="Plan2"),VLOOKUP(BC62,Deviation!$E$15:$AE$19,2,FALSE),VLOOKUP(BC62,Deviation!$E$15:$AE$19,3,FALSE)))),0)</f>
        <v/>
      </c>
      <c r="BI62" s="669" t="str">
        <f>IFERROR(IF(AL62="","",IF(AN62="Dubai",VLOOKUP(BD62,Deviation!$B$24:$C$26,2,FALSE),100%)),0)</f>
        <v/>
      </c>
      <c r="BJ62" s="672">
        <f>IF(AE62="Abu Dhabi",1,IFERROR(VLOOKUP(AM62,Deviation!$B$67:$E$79,MATCH('Census Data'!AA62,Deviation!$B$66:$E$66,0),0),1))</f>
        <v>1</v>
      </c>
      <c r="BK62" s="659">
        <f>IFERROR(VLOOKUP(I62,Deviation!$B$54:$C$62,2,0),1)</f>
        <v>1</v>
      </c>
      <c r="BL62" s="148"/>
      <c r="BM62" s="148"/>
      <c r="BN62" s="148"/>
      <c r="BO62" s="148"/>
      <c r="BP62" s="148"/>
      <c r="BQ62" s="148"/>
      <c r="BR62" s="148"/>
      <c r="BS62" s="148"/>
      <c r="BT62" s="148" t="e">
        <f t="shared" si="20"/>
        <v>#VALUE!</v>
      </c>
      <c r="BU62" t="str">
        <f>IF(AL62="","",IFERROR(IF(AL62="","",IF(AN62="Dubai",HLOOKUP(AZ62,'input for formula'!$B$3:$F$10,AO62,FALSE), IF(AND(H62="Employee",AN62="Abu Dhabi"),HLOOKUP(AZ62,'input for formula'!$I$3:$K$7,AO62,FALSE),HLOOKUP(AZ62,'input for formula'!$M$3:$O$7,AO62,FALSE)))*AX62+AP62*AQ62+AR62*AS62+AT62*AU62),0)*$AZ$3*BK62*BJ62*IF(AND(Inputs!$C$19&gt;19,Inputs!$C$19&lt;30),(1+$AZ$2),1))</f>
        <v/>
      </c>
    </row>
    <row r="63" spans="1:73" ht="15" x14ac:dyDescent="0.25">
      <c r="A63" s="59">
        <v>58</v>
      </c>
      <c r="B63" s="621"/>
      <c r="C63" s="628"/>
      <c r="D63" s="629"/>
      <c r="E63" s="471"/>
      <c r="F63" s="298"/>
      <c r="G63" s="298"/>
      <c r="H63" s="298"/>
      <c r="I63" s="298"/>
      <c r="J63" s="80" t="str">
        <f>IFERROR(IF(C63="","",DATEDIF('Census Data'!C63,eff_date,"y")),"")</f>
        <v/>
      </c>
      <c r="K63" s="59" t="str">
        <f>IF(F63="","",IF(AE63="Dubai",HLOOKUP(F63,Inputs!$C$26:$M$28,3,0),HLOOKUP(F63,Inputs!$C$45:$M$46,2,0)))</f>
        <v/>
      </c>
      <c r="L63" s="104"/>
      <c r="M63" s="105">
        <f t="shared" si="1"/>
        <v>0</v>
      </c>
      <c r="N63" s="654" t="b">
        <f t="shared" si="24"/>
        <v>0</v>
      </c>
      <c r="O63" s="655" t="str">
        <f t="shared" si="25"/>
        <v>x</v>
      </c>
      <c r="P63" s="655" t="str">
        <f t="shared" si="26"/>
        <v>x</v>
      </c>
      <c r="Q63" s="655" t="str">
        <f t="shared" si="27"/>
        <v>x</v>
      </c>
      <c r="R63" s="655" t="str">
        <f t="shared" si="22"/>
        <v>x</v>
      </c>
      <c r="S63" s="655" t="str">
        <f t="shared" si="28"/>
        <v>x</v>
      </c>
      <c r="T63" s="655" t="str">
        <f>IF(ISERROR(MATCH(G63,'Inputs Mapping'!$T$4:$T$10,0)),"x","")</f>
        <v>x</v>
      </c>
      <c r="U63" s="655" t="str">
        <f>IF(ISERROR(MATCH(AA63,'Inputs Mapping'!$U$4:$U$5,0)),"x","")</f>
        <v>x</v>
      </c>
      <c r="V63" s="655" t="str">
        <f>IF(ISERROR(MATCH(AB63,'Inputs Mapping'!$V$4:$V$5,0)),"x","")</f>
        <v>x</v>
      </c>
      <c r="W63" s="655" t="str">
        <f>IF(ISERROR(MATCH(F63,'Inputs Mapping'!$W$4:$W$8,0)),"x","")</f>
        <v>x</v>
      </c>
      <c r="X63" s="655" t="str">
        <f t="shared" si="29"/>
        <v/>
      </c>
      <c r="Y63" s="655" t="str">
        <f t="shared" si="30"/>
        <v/>
      </c>
      <c r="Z63" s="655" t="str">
        <f t="shared" si="8"/>
        <v/>
      </c>
      <c r="AA63" s="655" t="str">
        <f t="shared" si="9"/>
        <v/>
      </c>
      <c r="AB63" s="655" t="str">
        <f t="shared" si="13"/>
        <v/>
      </c>
      <c r="AC63" s="655" t="str">
        <f t="shared" si="21"/>
        <v>x</v>
      </c>
      <c r="AD63" s="655" t="str">
        <f>IF(ISBLANK(I63),"x",IF(ISNUMBER(MATCH(I63,'Inputs Mapping'!$AF$5:$AF$199,0)),"","x"))</f>
        <v>x</v>
      </c>
      <c r="AE63" s="655" t="str">
        <f t="shared" si="14"/>
        <v/>
      </c>
      <c r="AF63" s="148"/>
      <c r="AG63" s="148"/>
      <c r="AH63" s="148" t="str">
        <f t="shared" si="15"/>
        <v/>
      </c>
      <c r="AI63" s="654" t="str">
        <f>IF(J63="","",VLOOKUP(J63,'Inputs Mapping'!$T$27:$V$31,3))</f>
        <v/>
      </c>
      <c r="AJ63" s="654" t="str">
        <f>IF(J63="","",VLOOKUP(J63,'Inputs Mapping'!$T$17:$V$24,3))</f>
        <v/>
      </c>
      <c r="AK63" s="654" t="str">
        <f t="shared" si="16"/>
        <v/>
      </c>
      <c r="AL63" s="655" t="str">
        <f t="shared" si="31"/>
        <v/>
      </c>
      <c r="AM63" s="655" t="str">
        <f>IF(F63="","",IF(AE63="Dubai",HLOOKUP(F63,Inputs!$C$26:$M$36,5,0),HLOOKUP(F63,Inputs!$C$45:$M$49,5,0)))</f>
        <v/>
      </c>
      <c r="AN63" s="655">
        <f t="shared" si="17"/>
        <v>0</v>
      </c>
      <c r="AO63" s="654" t="str">
        <f>IF(AJ63="","",IF(AN63="Dubai",VLOOKUP(AJ63,'Inputs Mapping'!$V$17:$W$24,2,0),VLOOKUP(AI63,'Inputs Mapping'!$V$27:$W$31,2,0)))</f>
        <v/>
      </c>
      <c r="AP63" s="666">
        <f>IFERROR(IF($AN63="","",HLOOKUP($AN63&amp;RIGHT($AL63,1),'input for formula'!$B$16:$I$20,3,0)),0)</f>
        <v>0</v>
      </c>
      <c r="AQ63" s="656">
        <f>IFERROR(IF($AN63="","",HLOOKUP($AN63&amp;$F63,'input for formula'!$B$22:$M$25,2,0)),0)</f>
        <v>0</v>
      </c>
      <c r="AR63" s="666">
        <f>IFERROR(IF($AN63="","",HLOOKUP($AN63&amp;RIGHT($AL63,1),'input for formula'!$B$16:$I$20,4,0)),0)</f>
        <v>0</v>
      </c>
      <c r="AS63" s="656">
        <f>IFERROR(IF($AN63="","",HLOOKUP($AN63&amp;$F63,'input for formula'!$B$22:$M$25,3,0)),0)</f>
        <v>0</v>
      </c>
      <c r="AT63" s="656">
        <f>IFERROR(IF($AN63="","",HLOOKUP($AN63&amp;RIGHT($AL63,1),'input for formula'!$B$16:$I$20,5,0)),0)</f>
        <v>0</v>
      </c>
      <c r="AU63" s="656">
        <f>IFERROR(IF($AN63="","",HLOOKUP($AN63&amp;$F63,'input for formula'!$B$22:$M$25,4,0)),0)</f>
        <v>0</v>
      </c>
      <c r="AV63" s="666">
        <f>IFERROR(IF($AN63="","",IF('Census Data'!$AN63="Abu Dhabi",VLOOKUP('Census Data'!$AM63,'input for formula'!$A$28:$C$41,3,0),VLOOKUP('Census Data'!$AM63,'input for formula'!$A$28:$C$47,2,0))),0)*IFERROR(1+IF(AN63="Dubai",VLOOKUP(F63,'Quotation for Dubai Plans'!$V$6:$X$12,3,FALSE),VLOOKUP(F63,'Quotation for Abu Dhabi Plans'!$W$6:$Y$12,3,FALSE)),0)</f>
        <v>0</v>
      </c>
      <c r="AW63" s="656" t="str">
        <f t="shared" si="23"/>
        <v/>
      </c>
      <c r="AX63" s="667" t="str">
        <f>IFERROR(IF(AL63="","",IF(AN63="Dubai",HLOOKUP((AL63&amp;AM63),Deviation!$B$7:$S$8,2,0)*BF63*BH63*BI63*BG63,HLOOKUP((AL63&amp;AM63),Deviation!$B$9:$O$10,2,0)*BF63*BH63*BI63*BG63)),0)</f>
        <v/>
      </c>
      <c r="AY63" s="668" t="str">
        <f>IF(AL63="","",IFERROR(IF(AL63="","",IF(AN63="Dubai",HLOOKUP(AZ63,'input for formula'!$B$3:$F$10,AO63,FALSE), IF(AND(H63="Employee",AN63="Abu Dhabi"),HLOOKUP(AZ63,'input for formula'!$I$3:$K$7,AO63,FALSE),HLOOKUP(AZ63,'input for formula'!$M$3:$O$7,AO63,FALSE)))*AX63+AP63*AQ63+AR63*AS63+AT63*AU63),0)*$AZ$3*BK63*BJ63*IF(AND(Inputs!$C$19&gt;19,Inputs!$C$19&lt;30),(1+$AZ$2),1)*(1+$AZ$1))</f>
        <v/>
      </c>
      <c r="AZ63" s="148" t="str">
        <f t="shared" si="19"/>
        <v/>
      </c>
      <c r="BA63" s="669" t="str">
        <f>IF(F63="","",IF(AE63="Dubai",HLOOKUP(F63,Inputs!$C$26:$M$37,9,0),HLOOKUP(F63,Inputs!$C$45:$M$56,9,0)))</f>
        <v/>
      </c>
      <c r="BB63" s="670" t="str">
        <f>IF(F63="","",IF(AE63="Dubai",HLOOKUP(F63,Inputs!$C$26:$M$37,10,0),HLOOKUP(F63,Inputs!$C$45:$M$56,10,0)))</f>
        <v/>
      </c>
      <c r="BC63" s="670" t="str">
        <f>IF(F63="","",IF(AE63="Dubai",HLOOKUP(F63,Inputs!$C$26:$M$37,11,0),HLOOKUP(F63,Inputs!$C$45:$M$56,11,0)))</f>
        <v/>
      </c>
      <c r="BD63" s="669" t="str">
        <f>IF(F63="","",IF(AE63="Dubai",HLOOKUP(F63,Inputs!$C$26:$M$37,12,0),HLOOKUP(F63,Inputs!$C$45:$M$56,12,0)))</f>
        <v/>
      </c>
      <c r="BE63" s="654"/>
      <c r="BF63" s="669" t="str">
        <f>IFERROR(IF(AL63="","",IF(AN63="Dubai",IF(OR(AL63="Plan1",AL63="Plan2"),VLOOKUP(BA63,Deviation!$B$31:$D$33,2,FALSE),VLOOKUP(BA63,Deviation!$B$31:$D$33,3,FALSE)),IF(OR(AL63="Plan1",AL63="Plan2"),VLOOKUP(BA63,Deviation!$E$31:$AE$33,2,FALSE),VLOOKUP(BA63,Deviation!$E$31:$AE$33,3,FALSE)))),0)</f>
        <v/>
      </c>
      <c r="BG63" s="671" t="str">
        <f>IFERROR(IF(AL63="","",IF(AN63="Dubai",IF(AL63="Plan1",VLOOKUP(BB63,Deviation!$B$39:$C$40,2,FALSE),IF(AL63="Plan2",VLOOKUP(BB63,Deviation!$B$42:$C$43,2,FALSE),IF(AL63="Plan5",VLOOKUP(BB63,Deviation!$B$48:$C$49,2,FALSE),VLOOKUP(BB63,Deviation!$B$45:$C$46,2,FALSE)))),IF(AL63="Plan1",VLOOKUP(BB63,Deviation!$E$39:$F$40,2,FALSE),IF(AL63="Plan2",VLOOKUP(BB63,Deviation!$E$42:$F$43,2,FALSE),VLOOKUP(BB63,Deviation!$E$45:$F$46,2,FALSE))))),0)</f>
        <v/>
      </c>
      <c r="BH63" s="671" t="str">
        <f>IFERROR(IF(AL63="","",IF(AN63="Dubai",IF(OR(AL63="Plan1",AL63="Plan2"),VLOOKUP(BC63,Deviation!$B$15:$D$19,2,FALSE),VLOOKUP(BC63,Deviation!$B$15:$D$19,3,FALSE)),IF(OR(AL63="Plan1",AL63="Plan2"),VLOOKUP(BC63,Deviation!$E$15:$AE$19,2,FALSE),VLOOKUP(BC63,Deviation!$E$15:$AE$19,3,FALSE)))),0)</f>
        <v/>
      </c>
      <c r="BI63" s="669" t="str">
        <f>IFERROR(IF(AL63="","",IF(AN63="Dubai",VLOOKUP(BD63,Deviation!$B$24:$C$26,2,FALSE),100%)),0)</f>
        <v/>
      </c>
      <c r="BJ63" s="672">
        <f>IF(AE63="Abu Dhabi",1,IFERROR(VLOOKUP(AM63,Deviation!$B$67:$E$79,MATCH('Census Data'!AA63,Deviation!$B$66:$E$66,0),0),1))</f>
        <v>1</v>
      </c>
      <c r="BK63" s="659">
        <f>IFERROR(VLOOKUP(I63,Deviation!$B$54:$C$62,2,0),1)</f>
        <v>1</v>
      </c>
      <c r="BL63" s="148"/>
      <c r="BM63" s="148"/>
      <c r="BN63" s="148"/>
      <c r="BO63" s="148"/>
      <c r="BP63" s="148"/>
      <c r="BQ63" s="148"/>
      <c r="BR63" s="148"/>
      <c r="BS63" s="148"/>
      <c r="BT63" s="148" t="e">
        <f t="shared" si="20"/>
        <v>#VALUE!</v>
      </c>
      <c r="BU63" t="str">
        <f>IF(AL63="","",IFERROR(IF(AL63="","",IF(AN63="Dubai",HLOOKUP(AZ63,'input for formula'!$B$3:$F$10,AO63,FALSE), IF(AND(H63="Employee",AN63="Abu Dhabi"),HLOOKUP(AZ63,'input for formula'!$I$3:$K$7,AO63,FALSE),HLOOKUP(AZ63,'input for formula'!$M$3:$O$7,AO63,FALSE)))*AX63+AP63*AQ63+AR63*AS63+AT63*AU63),0)*$AZ$3*BK63*BJ63*IF(AND(Inputs!$C$19&gt;19,Inputs!$C$19&lt;30),(1+$AZ$2),1))</f>
        <v/>
      </c>
    </row>
    <row r="64" spans="1:73" ht="15" x14ac:dyDescent="0.25">
      <c r="A64" s="59">
        <v>59</v>
      </c>
      <c r="B64" s="621"/>
      <c r="C64" s="628"/>
      <c r="D64" s="629"/>
      <c r="E64" s="471"/>
      <c r="F64" s="298"/>
      <c r="G64" s="298"/>
      <c r="H64" s="298"/>
      <c r="I64" s="298"/>
      <c r="J64" s="80" t="str">
        <f>IFERROR(IF(C64="","",DATEDIF('Census Data'!C64,eff_date,"y")),"")</f>
        <v/>
      </c>
      <c r="K64" s="59" t="str">
        <f>IF(F64="","",IF(AE64="Dubai",HLOOKUP(F64,Inputs!$C$26:$M$28,3,0),HLOOKUP(F64,Inputs!$C$45:$M$46,2,0)))</f>
        <v/>
      </c>
      <c r="L64" s="104"/>
      <c r="M64" s="105">
        <f t="shared" si="1"/>
        <v>0</v>
      </c>
      <c r="N64" s="654" t="b">
        <f t="shared" si="24"/>
        <v>0</v>
      </c>
      <c r="O64" s="655" t="str">
        <f t="shared" si="25"/>
        <v>x</v>
      </c>
      <c r="P64" s="655" t="str">
        <f t="shared" si="26"/>
        <v>x</v>
      </c>
      <c r="Q64" s="655" t="str">
        <f t="shared" si="27"/>
        <v>x</v>
      </c>
      <c r="R64" s="655" t="str">
        <f t="shared" si="22"/>
        <v>x</v>
      </c>
      <c r="S64" s="655" t="str">
        <f t="shared" si="28"/>
        <v>x</v>
      </c>
      <c r="T64" s="655" t="str">
        <f>IF(ISERROR(MATCH(G64,'Inputs Mapping'!$T$4:$T$10,0)),"x","")</f>
        <v>x</v>
      </c>
      <c r="U64" s="655" t="str">
        <f>IF(ISERROR(MATCH(AA64,'Inputs Mapping'!$U$4:$U$5,0)),"x","")</f>
        <v>x</v>
      </c>
      <c r="V64" s="655" t="str">
        <f>IF(ISERROR(MATCH(AB64,'Inputs Mapping'!$V$4:$V$5,0)),"x","")</f>
        <v>x</v>
      </c>
      <c r="W64" s="655" t="str">
        <f>IF(ISERROR(MATCH(F64,'Inputs Mapping'!$W$4:$W$8,0)),"x","")</f>
        <v>x</v>
      </c>
      <c r="X64" s="655" t="str">
        <f t="shared" si="29"/>
        <v/>
      </c>
      <c r="Y64" s="655" t="str">
        <f t="shared" si="30"/>
        <v/>
      </c>
      <c r="Z64" s="655" t="str">
        <f t="shared" si="8"/>
        <v/>
      </c>
      <c r="AA64" s="655" t="str">
        <f t="shared" si="9"/>
        <v/>
      </c>
      <c r="AB64" s="655" t="str">
        <f t="shared" si="13"/>
        <v/>
      </c>
      <c r="AC64" s="655" t="str">
        <f t="shared" si="21"/>
        <v>x</v>
      </c>
      <c r="AD64" s="655" t="str">
        <f>IF(ISBLANK(I64),"x",IF(ISNUMBER(MATCH(I64,'Inputs Mapping'!$AF$5:$AF$199,0)),"","x"))</f>
        <v>x</v>
      </c>
      <c r="AE64" s="655" t="str">
        <f t="shared" si="14"/>
        <v/>
      </c>
      <c r="AF64" s="148"/>
      <c r="AG64" s="148"/>
      <c r="AH64" s="148" t="str">
        <f t="shared" si="15"/>
        <v/>
      </c>
      <c r="AI64" s="654" t="str">
        <f>IF(J64="","",VLOOKUP(J64,'Inputs Mapping'!$T$27:$V$31,3))</f>
        <v/>
      </c>
      <c r="AJ64" s="654" t="str">
        <f>IF(J64="","",VLOOKUP(J64,'Inputs Mapping'!$T$17:$V$24,3))</f>
        <v/>
      </c>
      <c r="AK64" s="654" t="str">
        <f t="shared" si="16"/>
        <v/>
      </c>
      <c r="AL64" s="655" t="str">
        <f t="shared" si="31"/>
        <v/>
      </c>
      <c r="AM64" s="655" t="str">
        <f>IF(F64="","",IF(AE64="Dubai",HLOOKUP(F64,Inputs!$C$26:$M$36,5,0),HLOOKUP(F64,Inputs!$C$45:$M$49,5,0)))</f>
        <v/>
      </c>
      <c r="AN64" s="655">
        <f t="shared" si="17"/>
        <v>0</v>
      </c>
      <c r="AO64" s="654" t="str">
        <f>IF(AJ64="","",IF(AN64="Dubai",VLOOKUP(AJ64,'Inputs Mapping'!$V$17:$W$24,2,0),VLOOKUP(AI64,'Inputs Mapping'!$V$27:$W$31,2,0)))</f>
        <v/>
      </c>
      <c r="AP64" s="666">
        <f>IFERROR(IF($AN64="","",HLOOKUP($AN64&amp;RIGHT($AL64,1),'input for formula'!$B$16:$I$20,3,0)),0)</f>
        <v>0</v>
      </c>
      <c r="AQ64" s="656">
        <f>IFERROR(IF($AN64="","",HLOOKUP($AN64&amp;$F64,'input for formula'!$B$22:$M$25,2,0)),0)</f>
        <v>0</v>
      </c>
      <c r="AR64" s="666">
        <f>IFERROR(IF($AN64="","",HLOOKUP($AN64&amp;RIGHT($AL64,1),'input for formula'!$B$16:$I$20,4,0)),0)</f>
        <v>0</v>
      </c>
      <c r="AS64" s="656">
        <f>IFERROR(IF($AN64="","",HLOOKUP($AN64&amp;$F64,'input for formula'!$B$22:$M$25,3,0)),0)</f>
        <v>0</v>
      </c>
      <c r="AT64" s="656">
        <f>IFERROR(IF($AN64="","",HLOOKUP($AN64&amp;RIGHT($AL64,1),'input for formula'!$B$16:$I$20,5,0)),0)</f>
        <v>0</v>
      </c>
      <c r="AU64" s="656">
        <f>IFERROR(IF($AN64="","",HLOOKUP($AN64&amp;$F64,'input for formula'!$B$22:$M$25,4,0)),0)</f>
        <v>0</v>
      </c>
      <c r="AV64" s="666">
        <f>IFERROR(IF($AN64="","",IF('Census Data'!$AN64="Abu Dhabi",VLOOKUP('Census Data'!$AM64,'input for formula'!$A$28:$C$41,3,0),VLOOKUP('Census Data'!$AM64,'input for formula'!$A$28:$C$47,2,0))),0)*IFERROR(1+IF(AN64="Dubai",VLOOKUP(F64,'Quotation for Dubai Plans'!$V$6:$X$12,3,FALSE),VLOOKUP(F64,'Quotation for Abu Dhabi Plans'!$W$6:$Y$12,3,FALSE)),0)</f>
        <v>0</v>
      </c>
      <c r="AW64" s="656" t="str">
        <f t="shared" si="23"/>
        <v/>
      </c>
      <c r="AX64" s="667" t="str">
        <f>IFERROR(IF(AL64="","",IF(AN64="Dubai",HLOOKUP((AL64&amp;AM64),Deviation!$B$7:$S$8,2,0)*BF64*BH64*BI64*BG64,HLOOKUP((AL64&amp;AM64),Deviation!$B$9:$O$10,2,0)*BF64*BH64*BI64*BG64)),0)</f>
        <v/>
      </c>
      <c r="AY64" s="668" t="str">
        <f>IF(AL64="","",IFERROR(IF(AL64="","",IF(AN64="Dubai",HLOOKUP(AZ64,'input for formula'!$B$3:$F$10,AO64,FALSE), IF(AND(H64="Employee",AN64="Abu Dhabi"),HLOOKUP(AZ64,'input for formula'!$I$3:$K$7,AO64,FALSE),HLOOKUP(AZ64,'input for formula'!$M$3:$O$7,AO64,FALSE)))*AX64+AP64*AQ64+AR64*AS64+AT64*AU64),0)*$AZ$3*BK64*BJ64*IF(AND(Inputs!$C$19&gt;19,Inputs!$C$19&lt;30),(1+$AZ$2),1)*(1+$AZ$1))</f>
        <v/>
      </c>
      <c r="AZ64" s="148" t="str">
        <f t="shared" si="19"/>
        <v/>
      </c>
      <c r="BA64" s="669" t="str">
        <f>IF(F64="","",IF(AE64="Dubai",HLOOKUP(F64,Inputs!$C$26:$M$37,9,0),HLOOKUP(F64,Inputs!$C$45:$M$56,9,0)))</f>
        <v/>
      </c>
      <c r="BB64" s="670" t="str">
        <f>IF(F64="","",IF(AE64="Dubai",HLOOKUP(F64,Inputs!$C$26:$M$37,10,0),HLOOKUP(F64,Inputs!$C$45:$M$56,10,0)))</f>
        <v/>
      </c>
      <c r="BC64" s="670" t="str">
        <f>IF(F64="","",IF(AE64="Dubai",HLOOKUP(F64,Inputs!$C$26:$M$37,11,0),HLOOKUP(F64,Inputs!$C$45:$M$56,11,0)))</f>
        <v/>
      </c>
      <c r="BD64" s="669" t="str">
        <f>IF(F64="","",IF(AE64="Dubai",HLOOKUP(F64,Inputs!$C$26:$M$37,12,0),HLOOKUP(F64,Inputs!$C$45:$M$56,12,0)))</f>
        <v/>
      </c>
      <c r="BE64" s="654"/>
      <c r="BF64" s="669" t="str">
        <f>IFERROR(IF(AL64="","",IF(AN64="Dubai",IF(OR(AL64="Plan1",AL64="Plan2"),VLOOKUP(BA64,Deviation!$B$31:$D$33,2,FALSE),VLOOKUP(BA64,Deviation!$B$31:$D$33,3,FALSE)),IF(OR(AL64="Plan1",AL64="Plan2"),VLOOKUP(BA64,Deviation!$E$31:$AE$33,2,FALSE),VLOOKUP(BA64,Deviation!$E$31:$AE$33,3,FALSE)))),0)</f>
        <v/>
      </c>
      <c r="BG64" s="671" t="str">
        <f>IFERROR(IF(AL64="","",IF(AN64="Dubai",IF(AL64="Plan1",VLOOKUP(BB64,Deviation!$B$39:$C$40,2,FALSE),IF(AL64="Plan2",VLOOKUP(BB64,Deviation!$B$42:$C$43,2,FALSE),IF(AL64="Plan5",VLOOKUP(BB64,Deviation!$B$48:$C$49,2,FALSE),VLOOKUP(BB64,Deviation!$B$45:$C$46,2,FALSE)))),IF(AL64="Plan1",VLOOKUP(BB64,Deviation!$E$39:$F$40,2,FALSE),IF(AL64="Plan2",VLOOKUP(BB64,Deviation!$E$42:$F$43,2,FALSE),VLOOKUP(BB64,Deviation!$E$45:$F$46,2,FALSE))))),0)</f>
        <v/>
      </c>
      <c r="BH64" s="671" t="str">
        <f>IFERROR(IF(AL64="","",IF(AN64="Dubai",IF(OR(AL64="Plan1",AL64="Plan2"),VLOOKUP(BC64,Deviation!$B$15:$D$19,2,FALSE),VLOOKUP(BC64,Deviation!$B$15:$D$19,3,FALSE)),IF(OR(AL64="Plan1",AL64="Plan2"),VLOOKUP(BC64,Deviation!$E$15:$AE$19,2,FALSE),VLOOKUP(BC64,Deviation!$E$15:$AE$19,3,FALSE)))),0)</f>
        <v/>
      </c>
      <c r="BI64" s="669" t="str">
        <f>IFERROR(IF(AL64="","",IF(AN64="Dubai",VLOOKUP(BD64,Deviation!$B$24:$C$26,2,FALSE),100%)),0)</f>
        <v/>
      </c>
      <c r="BJ64" s="672">
        <f>IF(AE64="Abu Dhabi",1,IFERROR(VLOOKUP(AM64,Deviation!$B$67:$E$79,MATCH('Census Data'!AA64,Deviation!$B$66:$E$66,0),0),1))</f>
        <v>1</v>
      </c>
      <c r="BK64" s="659">
        <f>IFERROR(VLOOKUP(I64,Deviation!$B$54:$C$62,2,0),1)</f>
        <v>1</v>
      </c>
      <c r="BL64" s="148"/>
      <c r="BM64" s="148"/>
      <c r="BN64" s="148"/>
      <c r="BO64" s="148"/>
      <c r="BP64" s="148"/>
      <c r="BQ64" s="148"/>
      <c r="BR64" s="148"/>
      <c r="BS64" s="148"/>
      <c r="BT64" s="148" t="e">
        <f t="shared" si="20"/>
        <v>#VALUE!</v>
      </c>
      <c r="BU64" t="str">
        <f>IF(AL64="","",IFERROR(IF(AL64="","",IF(AN64="Dubai",HLOOKUP(AZ64,'input for formula'!$B$3:$F$10,AO64,FALSE), IF(AND(H64="Employee",AN64="Abu Dhabi"),HLOOKUP(AZ64,'input for formula'!$I$3:$K$7,AO64,FALSE),HLOOKUP(AZ64,'input for formula'!$M$3:$O$7,AO64,FALSE)))*AX64+AP64*AQ64+AR64*AS64+AT64*AU64),0)*$AZ$3*BK64*BJ64*IF(AND(Inputs!$C$19&gt;19,Inputs!$C$19&lt;30),(1+$AZ$2),1))</f>
        <v/>
      </c>
    </row>
    <row r="65" spans="1:73" ht="15" x14ac:dyDescent="0.25">
      <c r="A65" s="59">
        <v>60</v>
      </c>
      <c r="B65" s="621"/>
      <c r="C65" s="628"/>
      <c r="D65" s="629"/>
      <c r="E65" s="471"/>
      <c r="F65" s="298"/>
      <c r="G65" s="298"/>
      <c r="H65" s="298"/>
      <c r="I65" s="298"/>
      <c r="J65" s="80" t="str">
        <f>IFERROR(IF(C65="","",DATEDIF('Census Data'!C65,eff_date,"y")),"")</f>
        <v/>
      </c>
      <c r="K65" s="59" t="str">
        <f>IF(F65="","",IF(AE65="Dubai",HLOOKUP(F65,Inputs!$C$26:$M$28,3,0),HLOOKUP(F65,Inputs!$C$45:$M$46,2,0)))</f>
        <v/>
      </c>
      <c r="L65" s="104"/>
      <c r="M65" s="105">
        <f t="shared" si="1"/>
        <v>0</v>
      </c>
      <c r="N65" s="654" t="b">
        <f t="shared" si="24"/>
        <v>0</v>
      </c>
      <c r="O65" s="655" t="str">
        <f t="shared" si="25"/>
        <v>x</v>
      </c>
      <c r="P65" s="655" t="str">
        <f t="shared" si="26"/>
        <v>x</v>
      </c>
      <c r="Q65" s="655" t="str">
        <f t="shared" si="27"/>
        <v>x</v>
      </c>
      <c r="R65" s="655" t="str">
        <f t="shared" si="22"/>
        <v>x</v>
      </c>
      <c r="S65" s="655" t="str">
        <f t="shared" si="28"/>
        <v>x</v>
      </c>
      <c r="T65" s="655" t="str">
        <f>IF(ISERROR(MATCH(G65,'Inputs Mapping'!$T$4:$T$10,0)),"x","")</f>
        <v>x</v>
      </c>
      <c r="U65" s="655" t="str">
        <f>IF(ISERROR(MATCH(AA65,'Inputs Mapping'!$U$4:$U$5,0)),"x","")</f>
        <v>x</v>
      </c>
      <c r="V65" s="655" t="str">
        <f>IF(ISERROR(MATCH(AB65,'Inputs Mapping'!$V$4:$V$5,0)),"x","")</f>
        <v>x</v>
      </c>
      <c r="W65" s="655" t="str">
        <f>IF(ISERROR(MATCH(F65,'Inputs Mapping'!$W$4:$W$8,0)),"x","")</f>
        <v>x</v>
      </c>
      <c r="X65" s="655" t="str">
        <f t="shared" si="29"/>
        <v/>
      </c>
      <c r="Y65" s="655" t="str">
        <f t="shared" si="30"/>
        <v/>
      </c>
      <c r="Z65" s="655" t="str">
        <f t="shared" si="8"/>
        <v/>
      </c>
      <c r="AA65" s="655" t="str">
        <f t="shared" si="9"/>
        <v/>
      </c>
      <c r="AB65" s="655" t="str">
        <f t="shared" si="13"/>
        <v/>
      </c>
      <c r="AC65" s="655" t="str">
        <f t="shared" si="21"/>
        <v>x</v>
      </c>
      <c r="AD65" s="655" t="str">
        <f>IF(ISBLANK(I65),"x",IF(ISNUMBER(MATCH(I65,'Inputs Mapping'!$AF$5:$AF$199,0)),"","x"))</f>
        <v>x</v>
      </c>
      <c r="AE65" s="655" t="str">
        <f t="shared" si="14"/>
        <v/>
      </c>
      <c r="AF65" s="148"/>
      <c r="AG65" s="148"/>
      <c r="AH65" s="148" t="str">
        <f t="shared" si="15"/>
        <v/>
      </c>
      <c r="AI65" s="654" t="str">
        <f>IF(J65="","",VLOOKUP(J65,'Inputs Mapping'!$T$27:$V$31,3))</f>
        <v/>
      </c>
      <c r="AJ65" s="654" t="str">
        <f>IF(J65="","",VLOOKUP(J65,'Inputs Mapping'!$T$17:$V$24,3))</f>
        <v/>
      </c>
      <c r="AK65" s="654" t="str">
        <f t="shared" si="16"/>
        <v/>
      </c>
      <c r="AL65" s="655" t="str">
        <f t="shared" si="31"/>
        <v/>
      </c>
      <c r="AM65" s="655" t="str">
        <f>IF(F65="","",IF(AE65="Dubai",HLOOKUP(F65,Inputs!$C$26:$M$36,5,0),HLOOKUP(F65,Inputs!$C$45:$M$49,5,0)))</f>
        <v/>
      </c>
      <c r="AN65" s="655">
        <f t="shared" si="17"/>
        <v>0</v>
      </c>
      <c r="AO65" s="654" t="str">
        <f>IF(AJ65="","",IF(AN65="Dubai",VLOOKUP(AJ65,'Inputs Mapping'!$V$17:$W$24,2,0),VLOOKUP(AI65,'Inputs Mapping'!$V$27:$W$31,2,0)))</f>
        <v/>
      </c>
      <c r="AP65" s="666">
        <f>IFERROR(IF($AN65="","",HLOOKUP($AN65&amp;RIGHT($AL65,1),'input for formula'!$B$16:$I$20,3,0)),0)</f>
        <v>0</v>
      </c>
      <c r="AQ65" s="656">
        <f>IFERROR(IF($AN65="","",HLOOKUP($AN65&amp;$F65,'input for formula'!$B$22:$M$25,2,0)),0)</f>
        <v>0</v>
      </c>
      <c r="AR65" s="666">
        <f>IFERROR(IF($AN65="","",HLOOKUP($AN65&amp;RIGHT($AL65,1),'input for formula'!$B$16:$I$20,4,0)),0)</f>
        <v>0</v>
      </c>
      <c r="AS65" s="656">
        <f>IFERROR(IF($AN65="","",HLOOKUP($AN65&amp;$F65,'input for formula'!$B$22:$M$25,3,0)),0)</f>
        <v>0</v>
      </c>
      <c r="AT65" s="656">
        <f>IFERROR(IF($AN65="","",HLOOKUP($AN65&amp;RIGHT($AL65,1),'input for formula'!$B$16:$I$20,5,0)),0)</f>
        <v>0</v>
      </c>
      <c r="AU65" s="656">
        <f>IFERROR(IF($AN65="","",HLOOKUP($AN65&amp;$F65,'input for formula'!$B$22:$M$25,4,0)),0)</f>
        <v>0</v>
      </c>
      <c r="AV65" s="666">
        <f>IFERROR(IF($AN65="","",IF('Census Data'!$AN65="Abu Dhabi",VLOOKUP('Census Data'!$AM65,'input for formula'!$A$28:$C$41,3,0),VLOOKUP('Census Data'!$AM65,'input for formula'!$A$28:$C$47,2,0))),0)*IFERROR(1+IF(AN65="Dubai",VLOOKUP(F65,'Quotation for Dubai Plans'!$V$6:$X$12,3,FALSE),VLOOKUP(F65,'Quotation for Abu Dhabi Plans'!$W$6:$Y$12,3,FALSE)),0)</f>
        <v>0</v>
      </c>
      <c r="AW65" s="656" t="str">
        <f t="shared" si="23"/>
        <v/>
      </c>
      <c r="AX65" s="667" t="str">
        <f>IFERROR(IF(AL65="","",IF(AN65="Dubai",HLOOKUP((AL65&amp;AM65),Deviation!$B$7:$S$8,2,0)*BF65*BH65*BI65*BG65,HLOOKUP((AL65&amp;AM65),Deviation!$B$9:$O$10,2,0)*BF65*BH65*BI65*BG65)),0)</f>
        <v/>
      </c>
      <c r="AY65" s="668" t="str">
        <f>IF(AL65="","",IFERROR(IF(AL65="","",IF(AN65="Dubai",HLOOKUP(AZ65,'input for formula'!$B$3:$F$10,AO65,FALSE), IF(AND(H65="Employee",AN65="Abu Dhabi"),HLOOKUP(AZ65,'input for formula'!$I$3:$K$7,AO65,FALSE),HLOOKUP(AZ65,'input for formula'!$M$3:$O$7,AO65,FALSE)))*AX65+AP65*AQ65+AR65*AS65+AT65*AU65),0)*$AZ$3*BK65*BJ65*IF(AND(Inputs!$C$19&gt;19,Inputs!$C$19&lt;30),(1+$AZ$2),1)*(1+$AZ$1))</f>
        <v/>
      </c>
      <c r="AZ65" s="148" t="str">
        <f t="shared" si="19"/>
        <v/>
      </c>
      <c r="BA65" s="669" t="str">
        <f>IF(F65="","",IF(AE65="Dubai",HLOOKUP(F65,Inputs!$C$26:$M$37,9,0),HLOOKUP(F65,Inputs!$C$45:$M$56,9,0)))</f>
        <v/>
      </c>
      <c r="BB65" s="670" t="str">
        <f>IF(F65="","",IF(AE65="Dubai",HLOOKUP(F65,Inputs!$C$26:$M$37,10,0),HLOOKUP(F65,Inputs!$C$45:$M$56,10,0)))</f>
        <v/>
      </c>
      <c r="BC65" s="670" t="str">
        <f>IF(F65="","",IF(AE65="Dubai",HLOOKUP(F65,Inputs!$C$26:$M$37,11,0),HLOOKUP(F65,Inputs!$C$45:$M$56,11,0)))</f>
        <v/>
      </c>
      <c r="BD65" s="669" t="str">
        <f>IF(F65="","",IF(AE65="Dubai",HLOOKUP(F65,Inputs!$C$26:$M$37,12,0),HLOOKUP(F65,Inputs!$C$45:$M$56,12,0)))</f>
        <v/>
      </c>
      <c r="BE65" s="654"/>
      <c r="BF65" s="669" t="str">
        <f>IFERROR(IF(AL65="","",IF(AN65="Dubai",IF(OR(AL65="Plan1",AL65="Plan2"),VLOOKUP(BA65,Deviation!$B$31:$D$33,2,FALSE),VLOOKUP(BA65,Deviation!$B$31:$D$33,3,FALSE)),IF(OR(AL65="Plan1",AL65="Plan2"),VLOOKUP(BA65,Deviation!$E$31:$AE$33,2,FALSE),VLOOKUP(BA65,Deviation!$E$31:$AE$33,3,FALSE)))),0)</f>
        <v/>
      </c>
      <c r="BG65" s="671" t="str">
        <f>IFERROR(IF(AL65="","",IF(AN65="Dubai",IF(AL65="Plan1",VLOOKUP(BB65,Deviation!$B$39:$C$40,2,FALSE),IF(AL65="Plan2",VLOOKUP(BB65,Deviation!$B$42:$C$43,2,FALSE),IF(AL65="Plan5",VLOOKUP(BB65,Deviation!$B$48:$C$49,2,FALSE),VLOOKUP(BB65,Deviation!$B$45:$C$46,2,FALSE)))),IF(AL65="Plan1",VLOOKUP(BB65,Deviation!$E$39:$F$40,2,FALSE),IF(AL65="Plan2",VLOOKUP(BB65,Deviation!$E$42:$F$43,2,FALSE),VLOOKUP(BB65,Deviation!$E$45:$F$46,2,FALSE))))),0)</f>
        <v/>
      </c>
      <c r="BH65" s="671" t="str">
        <f>IFERROR(IF(AL65="","",IF(AN65="Dubai",IF(OR(AL65="Plan1",AL65="Plan2"),VLOOKUP(BC65,Deviation!$B$15:$D$19,2,FALSE),VLOOKUP(BC65,Deviation!$B$15:$D$19,3,FALSE)),IF(OR(AL65="Plan1",AL65="Plan2"),VLOOKUP(BC65,Deviation!$E$15:$AE$19,2,FALSE),VLOOKUP(BC65,Deviation!$E$15:$AE$19,3,FALSE)))),0)</f>
        <v/>
      </c>
      <c r="BI65" s="669" t="str">
        <f>IFERROR(IF(AL65="","",IF(AN65="Dubai",VLOOKUP(BD65,Deviation!$B$24:$C$26,2,FALSE),100%)),0)</f>
        <v/>
      </c>
      <c r="BJ65" s="672">
        <f>IF(AE65="Abu Dhabi",1,IFERROR(VLOOKUP(AM65,Deviation!$B$67:$E$79,MATCH('Census Data'!AA65,Deviation!$B$66:$E$66,0),0),1))</f>
        <v>1</v>
      </c>
      <c r="BK65" s="659">
        <f>IFERROR(VLOOKUP(I65,Deviation!$B$54:$C$62,2,0),1)</f>
        <v>1</v>
      </c>
      <c r="BL65" s="148"/>
      <c r="BM65" s="148"/>
      <c r="BN65" s="148"/>
      <c r="BO65" s="148"/>
      <c r="BP65" s="148"/>
      <c r="BQ65" s="148"/>
      <c r="BR65" s="148"/>
      <c r="BS65" s="148"/>
      <c r="BT65" s="148" t="e">
        <f t="shared" si="20"/>
        <v>#VALUE!</v>
      </c>
      <c r="BU65" t="str">
        <f>IF(AL65="","",IFERROR(IF(AL65="","",IF(AN65="Dubai",HLOOKUP(AZ65,'input for formula'!$B$3:$F$10,AO65,FALSE), IF(AND(H65="Employee",AN65="Abu Dhabi"),HLOOKUP(AZ65,'input for formula'!$I$3:$K$7,AO65,FALSE),HLOOKUP(AZ65,'input for formula'!$M$3:$O$7,AO65,FALSE)))*AX65+AP65*AQ65+AR65*AS65+AT65*AU65),0)*$AZ$3*BK65*BJ65*IF(AND(Inputs!$C$19&gt;19,Inputs!$C$19&lt;30),(1+$AZ$2),1))</f>
        <v/>
      </c>
    </row>
    <row r="66" spans="1:73" ht="15" x14ac:dyDescent="0.25">
      <c r="A66" s="59">
        <v>61</v>
      </c>
      <c r="B66" s="621"/>
      <c r="C66" s="628"/>
      <c r="D66" s="629"/>
      <c r="E66" s="471"/>
      <c r="F66" s="298"/>
      <c r="G66" s="298"/>
      <c r="H66" s="298"/>
      <c r="I66" s="298"/>
      <c r="J66" s="80" t="str">
        <f>IFERROR(IF(C66="","",DATEDIF('Census Data'!C66,eff_date,"y")),"")</f>
        <v/>
      </c>
      <c r="K66" s="59" t="str">
        <f>IF(F66="","",IF(AE66="Dubai",HLOOKUP(F66,Inputs!$C$26:$M$28,3,0),HLOOKUP(F66,Inputs!$C$45:$M$46,2,0)))</f>
        <v/>
      </c>
      <c r="L66" s="104"/>
      <c r="M66" s="105">
        <f t="shared" si="1"/>
        <v>0</v>
      </c>
      <c r="N66" s="654" t="b">
        <f t="shared" si="24"/>
        <v>0</v>
      </c>
      <c r="O66" s="655" t="str">
        <f t="shared" si="25"/>
        <v>x</v>
      </c>
      <c r="P66" s="655" t="str">
        <f t="shared" si="26"/>
        <v>x</v>
      </c>
      <c r="Q66" s="655" t="str">
        <f t="shared" si="27"/>
        <v>x</v>
      </c>
      <c r="R66" s="655" t="str">
        <f t="shared" si="22"/>
        <v>x</v>
      </c>
      <c r="S66" s="655" t="str">
        <f t="shared" si="28"/>
        <v>x</v>
      </c>
      <c r="T66" s="655" t="str">
        <f>IF(ISERROR(MATCH(G66,'Inputs Mapping'!$T$4:$T$10,0)),"x","")</f>
        <v>x</v>
      </c>
      <c r="U66" s="655" t="str">
        <f>IF(ISERROR(MATCH(AA66,'Inputs Mapping'!$U$4:$U$5,0)),"x","")</f>
        <v>x</v>
      </c>
      <c r="V66" s="655" t="str">
        <f>IF(ISERROR(MATCH(AB66,'Inputs Mapping'!$V$4:$V$5,0)),"x","")</f>
        <v>x</v>
      </c>
      <c r="W66" s="655" t="str">
        <f>IF(ISERROR(MATCH(F66,'Inputs Mapping'!$W$4:$W$8,0)),"x","")</f>
        <v>x</v>
      </c>
      <c r="X66" s="655" t="str">
        <f t="shared" si="29"/>
        <v/>
      </c>
      <c r="Y66" s="655" t="str">
        <f t="shared" si="30"/>
        <v/>
      </c>
      <c r="Z66" s="655" t="str">
        <f t="shared" si="8"/>
        <v/>
      </c>
      <c r="AA66" s="655" t="str">
        <f t="shared" si="9"/>
        <v/>
      </c>
      <c r="AB66" s="655" t="str">
        <f t="shared" si="13"/>
        <v/>
      </c>
      <c r="AC66" s="655" t="str">
        <f t="shared" si="21"/>
        <v>x</v>
      </c>
      <c r="AD66" s="655" t="str">
        <f>IF(ISBLANK(I66),"x",IF(ISNUMBER(MATCH(I66,'Inputs Mapping'!$AF$5:$AF$199,0)),"","x"))</f>
        <v>x</v>
      </c>
      <c r="AE66" s="655" t="str">
        <f t="shared" si="14"/>
        <v/>
      </c>
      <c r="AF66" s="148"/>
      <c r="AG66" s="148"/>
      <c r="AH66" s="148" t="str">
        <f t="shared" si="15"/>
        <v/>
      </c>
      <c r="AI66" s="654" t="str">
        <f>IF(J66="","",VLOOKUP(J66,'Inputs Mapping'!$T$27:$V$31,3))</f>
        <v/>
      </c>
      <c r="AJ66" s="654" t="str">
        <f>IF(J66="","",VLOOKUP(J66,'Inputs Mapping'!$T$17:$V$24,3))</f>
        <v/>
      </c>
      <c r="AK66" s="654" t="str">
        <f t="shared" si="16"/>
        <v/>
      </c>
      <c r="AL66" s="655" t="str">
        <f t="shared" si="31"/>
        <v/>
      </c>
      <c r="AM66" s="655" t="str">
        <f>IF(F66="","",IF(AE66="Dubai",HLOOKUP(F66,Inputs!$C$26:$M$36,5,0),HLOOKUP(F66,Inputs!$C$45:$M$49,5,0)))</f>
        <v/>
      </c>
      <c r="AN66" s="655">
        <f t="shared" si="17"/>
        <v>0</v>
      </c>
      <c r="AO66" s="654" t="str">
        <f>IF(AJ66="","",IF(AN66="Dubai",VLOOKUP(AJ66,'Inputs Mapping'!$V$17:$W$24,2,0),VLOOKUP(AI66,'Inputs Mapping'!$V$27:$W$31,2,0)))</f>
        <v/>
      </c>
      <c r="AP66" s="666">
        <f>IFERROR(IF($AN66="","",HLOOKUP($AN66&amp;RIGHT($AL66,1),'input for formula'!$B$16:$I$20,3,0)),0)</f>
        <v>0</v>
      </c>
      <c r="AQ66" s="656">
        <f>IFERROR(IF($AN66="","",HLOOKUP($AN66&amp;$F66,'input for formula'!$B$22:$M$25,2,0)),0)</f>
        <v>0</v>
      </c>
      <c r="AR66" s="666">
        <f>IFERROR(IF($AN66="","",HLOOKUP($AN66&amp;RIGHT($AL66,1),'input for formula'!$B$16:$I$20,4,0)),0)</f>
        <v>0</v>
      </c>
      <c r="AS66" s="656">
        <f>IFERROR(IF($AN66="","",HLOOKUP($AN66&amp;$F66,'input for formula'!$B$22:$M$25,3,0)),0)</f>
        <v>0</v>
      </c>
      <c r="AT66" s="656">
        <f>IFERROR(IF($AN66="","",HLOOKUP($AN66&amp;RIGHT($AL66,1),'input for formula'!$B$16:$I$20,5,0)),0)</f>
        <v>0</v>
      </c>
      <c r="AU66" s="656">
        <f>IFERROR(IF($AN66="","",HLOOKUP($AN66&amp;$F66,'input for formula'!$B$22:$M$25,4,0)),0)</f>
        <v>0</v>
      </c>
      <c r="AV66" s="666">
        <f>IFERROR(IF($AN66="","",IF('Census Data'!$AN66="Abu Dhabi",VLOOKUP('Census Data'!$AM66,'input for formula'!$A$28:$C$41,3,0),VLOOKUP('Census Data'!$AM66,'input for formula'!$A$28:$C$47,2,0))),0)*IFERROR(1+IF(AN66="Dubai",VLOOKUP(F66,'Quotation for Dubai Plans'!$V$6:$X$12,3,FALSE),VLOOKUP(F66,'Quotation for Abu Dhabi Plans'!$W$6:$Y$12,3,FALSE)),0)</f>
        <v>0</v>
      </c>
      <c r="AW66" s="656" t="str">
        <f t="shared" si="23"/>
        <v/>
      </c>
      <c r="AX66" s="667" t="str">
        <f>IFERROR(IF(AL66="","",IF(AN66="Dubai",HLOOKUP((AL66&amp;AM66),Deviation!$B$7:$S$8,2,0)*BF66*BH66*BI66*BG66,HLOOKUP((AL66&amp;AM66),Deviation!$B$9:$O$10,2,0)*BF66*BH66*BI66*BG66)),0)</f>
        <v/>
      </c>
      <c r="AY66" s="668" t="str">
        <f>IF(AL66="","",IFERROR(IF(AL66="","",IF(AN66="Dubai",HLOOKUP(AZ66,'input for formula'!$B$3:$F$10,AO66,FALSE), IF(AND(H66="Employee",AN66="Abu Dhabi"),HLOOKUP(AZ66,'input for formula'!$I$3:$K$7,AO66,FALSE),HLOOKUP(AZ66,'input for formula'!$M$3:$O$7,AO66,FALSE)))*AX66+AP66*AQ66+AR66*AS66+AT66*AU66),0)*$AZ$3*BK66*BJ66*IF(AND(Inputs!$C$19&gt;19,Inputs!$C$19&lt;30),(1+$AZ$2),1)*(1+$AZ$1))</f>
        <v/>
      </c>
      <c r="AZ66" s="148" t="str">
        <f t="shared" si="19"/>
        <v/>
      </c>
      <c r="BA66" s="669" t="str">
        <f>IF(F66="","",IF(AE66="Dubai",HLOOKUP(F66,Inputs!$C$26:$M$37,9,0),HLOOKUP(F66,Inputs!$C$45:$M$56,9,0)))</f>
        <v/>
      </c>
      <c r="BB66" s="670" t="str">
        <f>IF(F66="","",IF(AE66="Dubai",HLOOKUP(F66,Inputs!$C$26:$M$37,10,0),HLOOKUP(F66,Inputs!$C$45:$M$56,10,0)))</f>
        <v/>
      </c>
      <c r="BC66" s="670" t="str">
        <f>IF(F66="","",IF(AE66="Dubai",HLOOKUP(F66,Inputs!$C$26:$M$37,11,0),HLOOKUP(F66,Inputs!$C$45:$M$56,11,0)))</f>
        <v/>
      </c>
      <c r="BD66" s="669" t="str">
        <f>IF(F66="","",IF(AE66="Dubai",HLOOKUP(F66,Inputs!$C$26:$M$37,12,0),HLOOKUP(F66,Inputs!$C$45:$M$56,12,0)))</f>
        <v/>
      </c>
      <c r="BE66" s="654"/>
      <c r="BF66" s="669" t="str">
        <f>IFERROR(IF(AL66="","",IF(AN66="Dubai",IF(OR(AL66="Plan1",AL66="Plan2"),VLOOKUP(BA66,Deviation!$B$31:$D$33,2,FALSE),VLOOKUP(BA66,Deviation!$B$31:$D$33,3,FALSE)),IF(OR(AL66="Plan1",AL66="Plan2"),VLOOKUP(BA66,Deviation!$E$31:$AE$33,2,FALSE),VLOOKUP(BA66,Deviation!$E$31:$AE$33,3,FALSE)))),0)</f>
        <v/>
      </c>
      <c r="BG66" s="671" t="str">
        <f>IFERROR(IF(AL66="","",IF(AN66="Dubai",IF(AL66="Plan1",VLOOKUP(BB66,Deviation!$B$39:$C$40,2,FALSE),IF(AL66="Plan2",VLOOKUP(BB66,Deviation!$B$42:$C$43,2,FALSE),IF(AL66="Plan5",VLOOKUP(BB66,Deviation!$B$48:$C$49,2,FALSE),VLOOKUP(BB66,Deviation!$B$45:$C$46,2,FALSE)))),IF(AL66="Plan1",VLOOKUP(BB66,Deviation!$E$39:$F$40,2,FALSE),IF(AL66="Plan2",VLOOKUP(BB66,Deviation!$E$42:$F$43,2,FALSE),VLOOKUP(BB66,Deviation!$E$45:$F$46,2,FALSE))))),0)</f>
        <v/>
      </c>
      <c r="BH66" s="671" t="str">
        <f>IFERROR(IF(AL66="","",IF(AN66="Dubai",IF(OR(AL66="Plan1",AL66="Plan2"),VLOOKUP(BC66,Deviation!$B$15:$D$19,2,FALSE),VLOOKUP(BC66,Deviation!$B$15:$D$19,3,FALSE)),IF(OR(AL66="Plan1",AL66="Plan2"),VLOOKUP(BC66,Deviation!$E$15:$AE$19,2,FALSE),VLOOKUP(BC66,Deviation!$E$15:$AE$19,3,FALSE)))),0)</f>
        <v/>
      </c>
      <c r="BI66" s="669" t="str">
        <f>IFERROR(IF(AL66="","",IF(AN66="Dubai",VLOOKUP(BD66,Deviation!$B$24:$C$26,2,FALSE),100%)),0)</f>
        <v/>
      </c>
      <c r="BJ66" s="672">
        <f>IF(AE66="Abu Dhabi",1,IFERROR(VLOOKUP(AM66,Deviation!$B$67:$E$79,MATCH('Census Data'!AA66,Deviation!$B$66:$E$66,0),0),1))</f>
        <v>1</v>
      </c>
      <c r="BK66" s="659">
        <f>IFERROR(VLOOKUP(I66,Deviation!$B$54:$C$62,2,0),1)</f>
        <v>1</v>
      </c>
      <c r="BL66" s="148"/>
      <c r="BM66" s="148"/>
      <c r="BN66" s="148"/>
      <c r="BO66" s="148"/>
      <c r="BP66" s="148"/>
      <c r="BQ66" s="148"/>
      <c r="BR66" s="148"/>
      <c r="BS66" s="148"/>
      <c r="BT66" s="148" t="e">
        <f t="shared" si="20"/>
        <v>#VALUE!</v>
      </c>
      <c r="BU66" t="str">
        <f>IF(AL66="","",IFERROR(IF(AL66="","",IF(AN66="Dubai",HLOOKUP(AZ66,'input for formula'!$B$3:$F$10,AO66,FALSE), IF(AND(H66="Employee",AN66="Abu Dhabi"),HLOOKUP(AZ66,'input for formula'!$I$3:$K$7,AO66,FALSE),HLOOKUP(AZ66,'input for formula'!$M$3:$O$7,AO66,FALSE)))*AX66+AP66*AQ66+AR66*AS66+AT66*AU66),0)*$AZ$3*BK66*BJ66*IF(AND(Inputs!$C$19&gt;19,Inputs!$C$19&lt;30),(1+$AZ$2),1))</f>
        <v/>
      </c>
    </row>
    <row r="67" spans="1:73" ht="15" x14ac:dyDescent="0.25">
      <c r="A67" s="59">
        <v>62</v>
      </c>
      <c r="B67" s="621"/>
      <c r="C67" s="628"/>
      <c r="D67" s="629"/>
      <c r="E67" s="471"/>
      <c r="F67" s="298"/>
      <c r="G67" s="298"/>
      <c r="H67" s="298"/>
      <c r="I67" s="298"/>
      <c r="J67" s="80" t="str">
        <f>IFERROR(IF(C67="","",DATEDIF('Census Data'!C67,eff_date,"y")),"")</f>
        <v/>
      </c>
      <c r="K67" s="59" t="str">
        <f>IF(F67="","",IF(AE67="Dubai",HLOOKUP(F67,Inputs!$C$26:$M$28,3,0),HLOOKUP(F67,Inputs!$C$45:$M$46,2,0)))</f>
        <v/>
      </c>
      <c r="L67" s="104"/>
      <c r="M67" s="105">
        <f t="shared" si="1"/>
        <v>0</v>
      </c>
      <c r="N67" s="654" t="b">
        <f t="shared" si="24"/>
        <v>0</v>
      </c>
      <c r="O67" s="655" t="str">
        <f t="shared" si="25"/>
        <v>x</v>
      </c>
      <c r="P67" s="655" t="str">
        <f t="shared" si="26"/>
        <v>x</v>
      </c>
      <c r="Q67" s="655" t="str">
        <f t="shared" si="27"/>
        <v>x</v>
      </c>
      <c r="R67" s="655" t="str">
        <f t="shared" si="22"/>
        <v>x</v>
      </c>
      <c r="S67" s="655" t="str">
        <f t="shared" si="28"/>
        <v>x</v>
      </c>
      <c r="T67" s="655" t="str">
        <f>IF(ISERROR(MATCH(G67,'Inputs Mapping'!$T$4:$T$10,0)),"x","")</f>
        <v>x</v>
      </c>
      <c r="U67" s="655" t="str">
        <f>IF(ISERROR(MATCH(AA67,'Inputs Mapping'!$U$4:$U$5,0)),"x","")</f>
        <v>x</v>
      </c>
      <c r="V67" s="655" t="str">
        <f>IF(ISERROR(MATCH(AB67,'Inputs Mapping'!$V$4:$V$5,0)),"x","")</f>
        <v>x</v>
      </c>
      <c r="W67" s="655" t="str">
        <f>IF(ISERROR(MATCH(F67,'Inputs Mapping'!$W$4:$W$8,0)),"x","")</f>
        <v>x</v>
      </c>
      <c r="X67" s="655" t="str">
        <f t="shared" si="29"/>
        <v/>
      </c>
      <c r="Y67" s="655" t="str">
        <f t="shared" si="30"/>
        <v/>
      </c>
      <c r="Z67" s="655" t="str">
        <f t="shared" si="8"/>
        <v/>
      </c>
      <c r="AA67" s="655" t="str">
        <f t="shared" si="9"/>
        <v/>
      </c>
      <c r="AB67" s="655" t="str">
        <f t="shared" si="13"/>
        <v/>
      </c>
      <c r="AC67" s="655" t="str">
        <f t="shared" si="21"/>
        <v>x</v>
      </c>
      <c r="AD67" s="655" t="str">
        <f>IF(ISBLANK(I67),"x",IF(ISNUMBER(MATCH(I67,'Inputs Mapping'!$AF$5:$AF$199,0)),"","x"))</f>
        <v>x</v>
      </c>
      <c r="AE67" s="655" t="str">
        <f t="shared" si="14"/>
        <v/>
      </c>
      <c r="AF67" s="148"/>
      <c r="AG67" s="148"/>
      <c r="AH67" s="148" t="str">
        <f t="shared" si="15"/>
        <v/>
      </c>
      <c r="AI67" s="654" t="str">
        <f>IF(J67="","",VLOOKUP(J67,'Inputs Mapping'!$T$27:$V$31,3))</f>
        <v/>
      </c>
      <c r="AJ67" s="654" t="str">
        <f>IF(J67="","",VLOOKUP(J67,'Inputs Mapping'!$T$17:$V$24,3))</f>
        <v/>
      </c>
      <c r="AK67" s="654" t="str">
        <f t="shared" si="16"/>
        <v/>
      </c>
      <c r="AL67" s="655" t="str">
        <f t="shared" si="31"/>
        <v/>
      </c>
      <c r="AM67" s="655" t="str">
        <f>IF(F67="","",IF(AE67="Dubai",HLOOKUP(F67,Inputs!$C$26:$M$36,5,0),HLOOKUP(F67,Inputs!$C$45:$M$49,5,0)))</f>
        <v/>
      </c>
      <c r="AN67" s="655">
        <f t="shared" si="17"/>
        <v>0</v>
      </c>
      <c r="AO67" s="654" t="str">
        <f>IF(AJ67="","",IF(AN67="Dubai",VLOOKUP(AJ67,'Inputs Mapping'!$V$17:$W$24,2,0),VLOOKUP(AI67,'Inputs Mapping'!$V$27:$W$31,2,0)))</f>
        <v/>
      </c>
      <c r="AP67" s="666">
        <f>IFERROR(IF($AN67="","",HLOOKUP($AN67&amp;RIGHT($AL67,1),'input for formula'!$B$16:$I$20,3,0)),0)</f>
        <v>0</v>
      </c>
      <c r="AQ67" s="656">
        <f>IFERROR(IF($AN67="","",HLOOKUP($AN67&amp;$F67,'input for formula'!$B$22:$M$25,2,0)),0)</f>
        <v>0</v>
      </c>
      <c r="AR67" s="666">
        <f>IFERROR(IF($AN67="","",HLOOKUP($AN67&amp;RIGHT($AL67,1),'input for formula'!$B$16:$I$20,4,0)),0)</f>
        <v>0</v>
      </c>
      <c r="AS67" s="656">
        <f>IFERROR(IF($AN67="","",HLOOKUP($AN67&amp;$F67,'input for formula'!$B$22:$M$25,3,0)),0)</f>
        <v>0</v>
      </c>
      <c r="AT67" s="656">
        <f>IFERROR(IF($AN67="","",HLOOKUP($AN67&amp;RIGHT($AL67,1),'input for formula'!$B$16:$I$20,5,0)),0)</f>
        <v>0</v>
      </c>
      <c r="AU67" s="656">
        <f>IFERROR(IF($AN67="","",HLOOKUP($AN67&amp;$F67,'input for formula'!$B$22:$M$25,4,0)),0)</f>
        <v>0</v>
      </c>
      <c r="AV67" s="666">
        <f>IFERROR(IF($AN67="","",IF('Census Data'!$AN67="Abu Dhabi",VLOOKUP('Census Data'!$AM67,'input for formula'!$A$28:$C$41,3,0),VLOOKUP('Census Data'!$AM67,'input for formula'!$A$28:$C$47,2,0))),0)*IFERROR(1+IF(AN67="Dubai",VLOOKUP(F67,'Quotation for Dubai Plans'!$V$6:$X$12,3,FALSE),VLOOKUP(F67,'Quotation for Abu Dhabi Plans'!$W$6:$Y$12,3,FALSE)),0)</f>
        <v>0</v>
      </c>
      <c r="AW67" s="656" t="str">
        <f t="shared" si="23"/>
        <v/>
      </c>
      <c r="AX67" s="667" t="str">
        <f>IFERROR(IF(AL67="","",IF(AN67="Dubai",HLOOKUP((AL67&amp;AM67),Deviation!$B$7:$S$8,2,0)*BF67*BH67*BI67*BG67,HLOOKUP((AL67&amp;AM67),Deviation!$B$9:$O$10,2,0)*BF67*BH67*BI67*BG67)),0)</f>
        <v/>
      </c>
      <c r="AY67" s="668" t="str">
        <f>IF(AL67="","",IFERROR(IF(AL67="","",IF(AN67="Dubai",HLOOKUP(AZ67,'input for formula'!$B$3:$F$10,AO67,FALSE), IF(AND(H67="Employee",AN67="Abu Dhabi"),HLOOKUP(AZ67,'input for formula'!$I$3:$K$7,AO67,FALSE),HLOOKUP(AZ67,'input for formula'!$M$3:$O$7,AO67,FALSE)))*AX67+AP67*AQ67+AR67*AS67+AT67*AU67),0)*$AZ$3*BK67*BJ67*IF(AND(Inputs!$C$19&gt;19,Inputs!$C$19&lt;30),(1+$AZ$2),1)*(1+$AZ$1))</f>
        <v/>
      </c>
      <c r="AZ67" s="148" t="str">
        <f t="shared" si="19"/>
        <v/>
      </c>
      <c r="BA67" s="669" t="str">
        <f>IF(F67="","",IF(AE67="Dubai",HLOOKUP(F67,Inputs!$C$26:$M$37,9,0),HLOOKUP(F67,Inputs!$C$45:$M$56,9,0)))</f>
        <v/>
      </c>
      <c r="BB67" s="670" t="str">
        <f>IF(F67="","",IF(AE67="Dubai",HLOOKUP(F67,Inputs!$C$26:$M$37,10,0),HLOOKUP(F67,Inputs!$C$45:$M$56,10,0)))</f>
        <v/>
      </c>
      <c r="BC67" s="670" t="str">
        <f>IF(F67="","",IF(AE67="Dubai",HLOOKUP(F67,Inputs!$C$26:$M$37,11,0),HLOOKUP(F67,Inputs!$C$45:$M$56,11,0)))</f>
        <v/>
      </c>
      <c r="BD67" s="669" t="str">
        <f>IF(F67="","",IF(AE67="Dubai",HLOOKUP(F67,Inputs!$C$26:$M$37,12,0),HLOOKUP(F67,Inputs!$C$45:$M$56,12,0)))</f>
        <v/>
      </c>
      <c r="BE67" s="654"/>
      <c r="BF67" s="669" t="str">
        <f>IFERROR(IF(AL67="","",IF(AN67="Dubai",IF(OR(AL67="Plan1",AL67="Plan2"),VLOOKUP(BA67,Deviation!$B$31:$D$33,2,FALSE),VLOOKUP(BA67,Deviation!$B$31:$D$33,3,FALSE)),IF(OR(AL67="Plan1",AL67="Plan2"),VLOOKUP(BA67,Deviation!$E$31:$AE$33,2,FALSE),VLOOKUP(BA67,Deviation!$E$31:$AE$33,3,FALSE)))),0)</f>
        <v/>
      </c>
      <c r="BG67" s="671" t="str">
        <f>IFERROR(IF(AL67="","",IF(AN67="Dubai",IF(AL67="Plan1",VLOOKUP(BB67,Deviation!$B$39:$C$40,2,FALSE),IF(AL67="Plan2",VLOOKUP(BB67,Deviation!$B$42:$C$43,2,FALSE),IF(AL67="Plan5",VLOOKUP(BB67,Deviation!$B$48:$C$49,2,FALSE),VLOOKUP(BB67,Deviation!$B$45:$C$46,2,FALSE)))),IF(AL67="Plan1",VLOOKUP(BB67,Deviation!$E$39:$F$40,2,FALSE),IF(AL67="Plan2",VLOOKUP(BB67,Deviation!$E$42:$F$43,2,FALSE),VLOOKUP(BB67,Deviation!$E$45:$F$46,2,FALSE))))),0)</f>
        <v/>
      </c>
      <c r="BH67" s="671" t="str">
        <f>IFERROR(IF(AL67="","",IF(AN67="Dubai",IF(OR(AL67="Plan1",AL67="Plan2"),VLOOKUP(BC67,Deviation!$B$15:$D$19,2,FALSE),VLOOKUP(BC67,Deviation!$B$15:$D$19,3,FALSE)),IF(OR(AL67="Plan1",AL67="Plan2"),VLOOKUP(BC67,Deviation!$E$15:$AE$19,2,FALSE),VLOOKUP(BC67,Deviation!$E$15:$AE$19,3,FALSE)))),0)</f>
        <v/>
      </c>
      <c r="BI67" s="669" t="str">
        <f>IFERROR(IF(AL67="","",IF(AN67="Dubai",VLOOKUP(BD67,Deviation!$B$24:$C$26,2,FALSE),100%)),0)</f>
        <v/>
      </c>
      <c r="BJ67" s="672">
        <f>IF(AE67="Abu Dhabi",1,IFERROR(VLOOKUP(AM67,Deviation!$B$67:$E$79,MATCH('Census Data'!AA67,Deviation!$B$66:$E$66,0),0),1))</f>
        <v>1</v>
      </c>
      <c r="BK67" s="659">
        <f>IFERROR(VLOOKUP(I67,Deviation!$B$54:$C$62,2,0),1)</f>
        <v>1</v>
      </c>
      <c r="BL67" s="148"/>
      <c r="BM67" s="148"/>
      <c r="BN67" s="148"/>
      <c r="BO67" s="148"/>
      <c r="BP67" s="148"/>
      <c r="BQ67" s="148"/>
      <c r="BR67" s="148"/>
      <c r="BS67" s="148"/>
      <c r="BT67" s="148" t="e">
        <f t="shared" si="20"/>
        <v>#VALUE!</v>
      </c>
      <c r="BU67" t="str">
        <f>IF(AL67="","",IFERROR(IF(AL67="","",IF(AN67="Dubai",HLOOKUP(AZ67,'input for formula'!$B$3:$F$10,AO67,FALSE), IF(AND(H67="Employee",AN67="Abu Dhabi"),HLOOKUP(AZ67,'input for formula'!$I$3:$K$7,AO67,FALSE),HLOOKUP(AZ67,'input for formula'!$M$3:$O$7,AO67,FALSE)))*AX67+AP67*AQ67+AR67*AS67+AT67*AU67),0)*$AZ$3*BK67*BJ67*IF(AND(Inputs!$C$19&gt;19,Inputs!$C$19&lt;30),(1+$AZ$2),1))</f>
        <v/>
      </c>
    </row>
    <row r="68" spans="1:73" ht="15" x14ac:dyDescent="0.25">
      <c r="A68" s="59">
        <v>63</v>
      </c>
      <c r="B68" s="621"/>
      <c r="C68" s="628"/>
      <c r="D68" s="629"/>
      <c r="E68" s="471"/>
      <c r="F68" s="298"/>
      <c r="G68" s="298"/>
      <c r="H68" s="298"/>
      <c r="I68" s="298"/>
      <c r="J68" s="80" t="str">
        <f>IFERROR(IF(C68="","",DATEDIF('Census Data'!C68,eff_date,"y")),"")</f>
        <v/>
      </c>
      <c r="K68" s="59" t="str">
        <f>IF(F68="","",IF(AE68="Dubai",HLOOKUP(F68,Inputs!$C$26:$M$28,3,0),HLOOKUP(F68,Inputs!$C$45:$M$46,2,0)))</f>
        <v/>
      </c>
      <c r="L68" s="104"/>
      <c r="M68" s="105">
        <f t="shared" si="1"/>
        <v>0</v>
      </c>
      <c r="N68" s="654" t="b">
        <f t="shared" si="24"/>
        <v>0</v>
      </c>
      <c r="O68" s="655" t="str">
        <f t="shared" si="25"/>
        <v>x</v>
      </c>
      <c r="P68" s="655" t="str">
        <f t="shared" si="26"/>
        <v>x</v>
      </c>
      <c r="Q68" s="655" t="str">
        <f t="shared" si="27"/>
        <v>x</v>
      </c>
      <c r="R68" s="655" t="str">
        <f t="shared" si="22"/>
        <v>x</v>
      </c>
      <c r="S68" s="655" t="str">
        <f t="shared" si="28"/>
        <v>x</v>
      </c>
      <c r="T68" s="655" t="str">
        <f>IF(ISERROR(MATCH(G68,'Inputs Mapping'!$T$4:$T$10,0)),"x","")</f>
        <v>x</v>
      </c>
      <c r="U68" s="655" t="str">
        <f>IF(ISERROR(MATCH(AA68,'Inputs Mapping'!$U$4:$U$5,0)),"x","")</f>
        <v>x</v>
      </c>
      <c r="V68" s="655" t="str">
        <f>IF(ISERROR(MATCH(AB68,'Inputs Mapping'!$V$4:$V$5,0)),"x","")</f>
        <v>x</v>
      </c>
      <c r="W68" s="655" t="str">
        <f>IF(ISERROR(MATCH(F68,'Inputs Mapping'!$W$4:$W$8,0)),"x","")</f>
        <v>x</v>
      </c>
      <c r="X68" s="655" t="str">
        <f t="shared" si="29"/>
        <v/>
      </c>
      <c r="Y68" s="655" t="str">
        <f t="shared" si="30"/>
        <v/>
      </c>
      <c r="Z68" s="655" t="str">
        <f t="shared" si="8"/>
        <v/>
      </c>
      <c r="AA68" s="655" t="str">
        <f t="shared" si="9"/>
        <v/>
      </c>
      <c r="AB68" s="655" t="str">
        <f t="shared" si="13"/>
        <v/>
      </c>
      <c r="AC68" s="655" t="str">
        <f t="shared" si="21"/>
        <v>x</v>
      </c>
      <c r="AD68" s="655" t="str">
        <f>IF(ISBLANK(I68),"x",IF(ISNUMBER(MATCH(I68,'Inputs Mapping'!$AF$5:$AF$199,0)),"","x"))</f>
        <v>x</v>
      </c>
      <c r="AE68" s="655" t="str">
        <f t="shared" si="14"/>
        <v/>
      </c>
      <c r="AF68" s="148"/>
      <c r="AG68" s="148"/>
      <c r="AH68" s="148" t="str">
        <f t="shared" si="15"/>
        <v/>
      </c>
      <c r="AI68" s="654" t="str">
        <f>IF(J68="","",VLOOKUP(J68,'Inputs Mapping'!$T$27:$V$31,3))</f>
        <v/>
      </c>
      <c r="AJ68" s="654" t="str">
        <f>IF(J68="","",VLOOKUP(J68,'Inputs Mapping'!$T$17:$V$24,3))</f>
        <v/>
      </c>
      <c r="AK68" s="654" t="str">
        <f t="shared" si="16"/>
        <v/>
      </c>
      <c r="AL68" s="655" t="str">
        <f t="shared" si="31"/>
        <v/>
      </c>
      <c r="AM68" s="655" t="str">
        <f>IF(F68="","",IF(AE68="Dubai",HLOOKUP(F68,Inputs!$C$26:$M$36,5,0),HLOOKUP(F68,Inputs!$C$45:$M$49,5,0)))</f>
        <v/>
      </c>
      <c r="AN68" s="655">
        <f t="shared" si="17"/>
        <v>0</v>
      </c>
      <c r="AO68" s="654" t="str">
        <f>IF(AJ68="","",IF(AN68="Dubai",VLOOKUP(AJ68,'Inputs Mapping'!$V$17:$W$24,2,0),VLOOKUP(AI68,'Inputs Mapping'!$V$27:$W$31,2,0)))</f>
        <v/>
      </c>
      <c r="AP68" s="666">
        <f>IFERROR(IF($AN68="","",HLOOKUP($AN68&amp;RIGHT($AL68,1),'input for formula'!$B$16:$I$20,3,0)),0)</f>
        <v>0</v>
      </c>
      <c r="AQ68" s="656">
        <f>IFERROR(IF($AN68="","",HLOOKUP($AN68&amp;$F68,'input for formula'!$B$22:$M$25,2,0)),0)</f>
        <v>0</v>
      </c>
      <c r="AR68" s="666">
        <f>IFERROR(IF($AN68="","",HLOOKUP($AN68&amp;RIGHT($AL68,1),'input for formula'!$B$16:$I$20,4,0)),0)</f>
        <v>0</v>
      </c>
      <c r="AS68" s="656">
        <f>IFERROR(IF($AN68="","",HLOOKUP($AN68&amp;$F68,'input for formula'!$B$22:$M$25,3,0)),0)</f>
        <v>0</v>
      </c>
      <c r="AT68" s="656">
        <f>IFERROR(IF($AN68="","",HLOOKUP($AN68&amp;RIGHT($AL68,1),'input for formula'!$B$16:$I$20,5,0)),0)</f>
        <v>0</v>
      </c>
      <c r="AU68" s="656">
        <f>IFERROR(IF($AN68="","",HLOOKUP($AN68&amp;$F68,'input for formula'!$B$22:$M$25,4,0)),0)</f>
        <v>0</v>
      </c>
      <c r="AV68" s="666">
        <f>IFERROR(IF($AN68="","",IF('Census Data'!$AN68="Abu Dhabi",VLOOKUP('Census Data'!$AM68,'input for formula'!$A$28:$C$41,3,0),VLOOKUP('Census Data'!$AM68,'input for formula'!$A$28:$C$47,2,0))),0)*IFERROR(1+IF(AN68="Dubai",VLOOKUP(F68,'Quotation for Dubai Plans'!$V$6:$X$12,3,FALSE),VLOOKUP(F68,'Quotation for Abu Dhabi Plans'!$W$6:$Y$12,3,FALSE)),0)</f>
        <v>0</v>
      </c>
      <c r="AW68" s="656" t="str">
        <f t="shared" si="23"/>
        <v/>
      </c>
      <c r="AX68" s="667" t="str">
        <f>IFERROR(IF(AL68="","",IF(AN68="Dubai",HLOOKUP((AL68&amp;AM68),Deviation!$B$7:$S$8,2,0)*BF68*BH68*BI68*BG68,HLOOKUP((AL68&amp;AM68),Deviation!$B$9:$O$10,2,0)*BF68*BH68*BI68*BG68)),0)</f>
        <v/>
      </c>
      <c r="AY68" s="668" t="str">
        <f>IF(AL68="","",IFERROR(IF(AL68="","",IF(AN68="Dubai",HLOOKUP(AZ68,'input for formula'!$B$3:$F$10,AO68,FALSE), IF(AND(H68="Employee",AN68="Abu Dhabi"),HLOOKUP(AZ68,'input for formula'!$I$3:$K$7,AO68,FALSE),HLOOKUP(AZ68,'input for formula'!$M$3:$O$7,AO68,FALSE)))*AX68+AP68*AQ68+AR68*AS68+AT68*AU68),0)*$AZ$3*BK68*BJ68*IF(AND(Inputs!$C$19&gt;19,Inputs!$C$19&lt;30),(1+$AZ$2),1)*(1+$AZ$1))</f>
        <v/>
      </c>
      <c r="AZ68" s="148" t="str">
        <f t="shared" si="19"/>
        <v/>
      </c>
      <c r="BA68" s="669" t="str">
        <f>IF(F68="","",IF(AE68="Dubai",HLOOKUP(F68,Inputs!$C$26:$M$37,9,0),HLOOKUP(F68,Inputs!$C$45:$M$56,9,0)))</f>
        <v/>
      </c>
      <c r="BB68" s="670" t="str">
        <f>IF(F68="","",IF(AE68="Dubai",HLOOKUP(F68,Inputs!$C$26:$M$37,10,0),HLOOKUP(F68,Inputs!$C$45:$M$56,10,0)))</f>
        <v/>
      </c>
      <c r="BC68" s="670" t="str">
        <f>IF(F68="","",IF(AE68="Dubai",HLOOKUP(F68,Inputs!$C$26:$M$37,11,0),HLOOKUP(F68,Inputs!$C$45:$M$56,11,0)))</f>
        <v/>
      </c>
      <c r="BD68" s="669" t="str">
        <f>IF(F68="","",IF(AE68="Dubai",HLOOKUP(F68,Inputs!$C$26:$M$37,12,0),HLOOKUP(F68,Inputs!$C$45:$M$56,12,0)))</f>
        <v/>
      </c>
      <c r="BE68" s="654"/>
      <c r="BF68" s="669" t="str">
        <f>IFERROR(IF(AL68="","",IF(AN68="Dubai",IF(OR(AL68="Plan1",AL68="Plan2"),VLOOKUP(BA68,Deviation!$B$31:$D$33,2,FALSE),VLOOKUP(BA68,Deviation!$B$31:$D$33,3,FALSE)),IF(OR(AL68="Plan1",AL68="Plan2"),VLOOKUP(BA68,Deviation!$E$31:$AE$33,2,FALSE),VLOOKUP(BA68,Deviation!$E$31:$AE$33,3,FALSE)))),0)</f>
        <v/>
      </c>
      <c r="BG68" s="671" t="str">
        <f>IFERROR(IF(AL68="","",IF(AN68="Dubai",IF(AL68="Plan1",VLOOKUP(BB68,Deviation!$B$39:$C$40,2,FALSE),IF(AL68="Plan2",VLOOKUP(BB68,Deviation!$B$42:$C$43,2,FALSE),IF(AL68="Plan5",VLOOKUP(BB68,Deviation!$B$48:$C$49,2,FALSE),VLOOKUP(BB68,Deviation!$B$45:$C$46,2,FALSE)))),IF(AL68="Plan1",VLOOKUP(BB68,Deviation!$E$39:$F$40,2,FALSE),IF(AL68="Plan2",VLOOKUP(BB68,Deviation!$E$42:$F$43,2,FALSE),VLOOKUP(BB68,Deviation!$E$45:$F$46,2,FALSE))))),0)</f>
        <v/>
      </c>
      <c r="BH68" s="671" t="str">
        <f>IFERROR(IF(AL68="","",IF(AN68="Dubai",IF(OR(AL68="Plan1",AL68="Plan2"),VLOOKUP(BC68,Deviation!$B$15:$D$19,2,FALSE),VLOOKUP(BC68,Deviation!$B$15:$D$19,3,FALSE)),IF(OR(AL68="Plan1",AL68="Plan2"),VLOOKUP(BC68,Deviation!$E$15:$AE$19,2,FALSE),VLOOKUP(BC68,Deviation!$E$15:$AE$19,3,FALSE)))),0)</f>
        <v/>
      </c>
      <c r="BI68" s="669" t="str">
        <f>IFERROR(IF(AL68="","",IF(AN68="Dubai",VLOOKUP(BD68,Deviation!$B$24:$C$26,2,FALSE),100%)),0)</f>
        <v/>
      </c>
      <c r="BJ68" s="672">
        <f>IF(AE68="Abu Dhabi",1,IFERROR(VLOOKUP(AM68,Deviation!$B$67:$E$79,MATCH('Census Data'!AA68,Deviation!$B$66:$E$66,0),0),1))</f>
        <v>1</v>
      </c>
      <c r="BK68" s="659">
        <f>IFERROR(VLOOKUP(I68,Deviation!$B$54:$C$62,2,0),1)</f>
        <v>1</v>
      </c>
      <c r="BL68" s="148"/>
      <c r="BM68" s="148"/>
      <c r="BN68" s="148"/>
      <c r="BO68" s="148"/>
      <c r="BP68" s="148"/>
      <c r="BQ68" s="148"/>
      <c r="BR68" s="148"/>
      <c r="BS68" s="148"/>
      <c r="BT68" s="148" t="e">
        <f t="shared" si="20"/>
        <v>#VALUE!</v>
      </c>
      <c r="BU68" t="str">
        <f>IF(AL68="","",IFERROR(IF(AL68="","",IF(AN68="Dubai",HLOOKUP(AZ68,'input for formula'!$B$3:$F$10,AO68,FALSE), IF(AND(H68="Employee",AN68="Abu Dhabi"),HLOOKUP(AZ68,'input for formula'!$I$3:$K$7,AO68,FALSE),HLOOKUP(AZ68,'input for formula'!$M$3:$O$7,AO68,FALSE)))*AX68+AP68*AQ68+AR68*AS68+AT68*AU68),0)*$AZ$3*BK68*BJ68*IF(AND(Inputs!$C$19&gt;19,Inputs!$C$19&lt;30),(1+$AZ$2),1))</f>
        <v/>
      </c>
    </row>
    <row r="69" spans="1:73" ht="15" x14ac:dyDescent="0.25">
      <c r="A69" s="59">
        <v>64</v>
      </c>
      <c r="B69" s="621"/>
      <c r="C69" s="628"/>
      <c r="D69" s="629"/>
      <c r="E69" s="471"/>
      <c r="F69" s="298"/>
      <c r="G69" s="298"/>
      <c r="H69" s="298"/>
      <c r="I69" s="298"/>
      <c r="J69" s="80" t="str">
        <f>IFERROR(IF(C69="","",DATEDIF('Census Data'!C69,eff_date,"y")),"")</f>
        <v/>
      </c>
      <c r="K69" s="59" t="str">
        <f>IF(F69="","",IF(AE69="Dubai",HLOOKUP(F69,Inputs!$C$26:$M$28,3,0),HLOOKUP(F69,Inputs!$C$45:$M$46,2,0)))</f>
        <v/>
      </c>
      <c r="L69" s="104"/>
      <c r="M69" s="105">
        <f t="shared" si="1"/>
        <v>0</v>
      </c>
      <c r="N69" s="654" t="b">
        <f t="shared" si="24"/>
        <v>0</v>
      </c>
      <c r="O69" s="655" t="str">
        <f t="shared" si="25"/>
        <v>x</v>
      </c>
      <c r="P69" s="655" t="str">
        <f t="shared" si="26"/>
        <v>x</v>
      </c>
      <c r="Q69" s="655" t="str">
        <f t="shared" si="27"/>
        <v>x</v>
      </c>
      <c r="R69" s="655" t="str">
        <f t="shared" si="22"/>
        <v>x</v>
      </c>
      <c r="S69" s="655" t="str">
        <f t="shared" si="28"/>
        <v>x</v>
      </c>
      <c r="T69" s="655" t="str">
        <f>IF(ISERROR(MATCH(G69,'Inputs Mapping'!$T$4:$T$10,0)),"x","")</f>
        <v>x</v>
      </c>
      <c r="U69" s="655" t="str">
        <f>IF(ISERROR(MATCH(AA69,'Inputs Mapping'!$U$4:$U$5,0)),"x","")</f>
        <v>x</v>
      </c>
      <c r="V69" s="655" t="str">
        <f>IF(ISERROR(MATCH(AB69,'Inputs Mapping'!$V$4:$V$5,0)),"x","")</f>
        <v>x</v>
      </c>
      <c r="W69" s="655" t="str">
        <f>IF(ISERROR(MATCH(F69,'Inputs Mapping'!$W$4:$W$8,0)),"x","")</f>
        <v>x</v>
      </c>
      <c r="X69" s="655" t="str">
        <f t="shared" si="29"/>
        <v/>
      </c>
      <c r="Y69" s="655" t="str">
        <f t="shared" si="30"/>
        <v/>
      </c>
      <c r="Z69" s="655" t="str">
        <f t="shared" si="8"/>
        <v/>
      </c>
      <c r="AA69" s="655" t="str">
        <f t="shared" si="9"/>
        <v/>
      </c>
      <c r="AB69" s="655" t="str">
        <f t="shared" si="13"/>
        <v/>
      </c>
      <c r="AC69" s="655" t="str">
        <f t="shared" si="21"/>
        <v>x</v>
      </c>
      <c r="AD69" s="655" t="str">
        <f>IF(ISBLANK(I69),"x",IF(ISNUMBER(MATCH(I69,'Inputs Mapping'!$AF$5:$AF$199,0)),"","x"))</f>
        <v>x</v>
      </c>
      <c r="AE69" s="655" t="str">
        <f t="shared" si="14"/>
        <v/>
      </c>
      <c r="AF69" s="148"/>
      <c r="AG69" s="148"/>
      <c r="AH69" s="148" t="str">
        <f t="shared" si="15"/>
        <v/>
      </c>
      <c r="AI69" s="654" t="str">
        <f>IF(J69="","",VLOOKUP(J69,'Inputs Mapping'!$T$27:$V$31,3))</f>
        <v/>
      </c>
      <c r="AJ69" s="654" t="str">
        <f>IF(J69="","",VLOOKUP(J69,'Inputs Mapping'!$T$17:$V$24,3))</f>
        <v/>
      </c>
      <c r="AK69" s="654" t="str">
        <f t="shared" si="16"/>
        <v/>
      </c>
      <c r="AL69" s="655" t="str">
        <f t="shared" si="31"/>
        <v/>
      </c>
      <c r="AM69" s="655" t="str">
        <f>IF(F69="","",IF(AE69="Dubai",HLOOKUP(F69,Inputs!$C$26:$M$36,5,0),HLOOKUP(F69,Inputs!$C$45:$M$49,5,0)))</f>
        <v/>
      </c>
      <c r="AN69" s="655">
        <f t="shared" si="17"/>
        <v>0</v>
      </c>
      <c r="AO69" s="654" t="str">
        <f>IF(AJ69="","",IF(AN69="Dubai",VLOOKUP(AJ69,'Inputs Mapping'!$V$17:$W$24,2,0),VLOOKUP(AI69,'Inputs Mapping'!$V$27:$W$31,2,0)))</f>
        <v/>
      </c>
      <c r="AP69" s="666">
        <f>IFERROR(IF($AN69="","",HLOOKUP($AN69&amp;RIGHT($AL69,1),'input for formula'!$B$16:$I$20,3,0)),0)</f>
        <v>0</v>
      </c>
      <c r="AQ69" s="656">
        <f>IFERROR(IF($AN69="","",HLOOKUP($AN69&amp;$F69,'input for formula'!$B$22:$M$25,2,0)),0)</f>
        <v>0</v>
      </c>
      <c r="AR69" s="666">
        <f>IFERROR(IF($AN69="","",HLOOKUP($AN69&amp;RIGHT($AL69,1),'input for formula'!$B$16:$I$20,4,0)),0)</f>
        <v>0</v>
      </c>
      <c r="AS69" s="656">
        <f>IFERROR(IF($AN69="","",HLOOKUP($AN69&amp;$F69,'input for formula'!$B$22:$M$25,3,0)),0)</f>
        <v>0</v>
      </c>
      <c r="AT69" s="656">
        <f>IFERROR(IF($AN69="","",HLOOKUP($AN69&amp;RIGHT($AL69,1),'input for formula'!$B$16:$I$20,5,0)),0)</f>
        <v>0</v>
      </c>
      <c r="AU69" s="656">
        <f>IFERROR(IF($AN69="","",HLOOKUP($AN69&amp;$F69,'input for formula'!$B$22:$M$25,4,0)),0)</f>
        <v>0</v>
      </c>
      <c r="AV69" s="666">
        <f>IFERROR(IF($AN69="","",IF('Census Data'!$AN69="Abu Dhabi",VLOOKUP('Census Data'!$AM69,'input for formula'!$A$28:$C$41,3,0),VLOOKUP('Census Data'!$AM69,'input for formula'!$A$28:$C$47,2,0))),0)*IFERROR(1+IF(AN69="Dubai",VLOOKUP(F69,'Quotation for Dubai Plans'!$V$6:$X$12,3,FALSE),VLOOKUP(F69,'Quotation for Abu Dhabi Plans'!$W$6:$Y$12,3,FALSE)),0)</f>
        <v>0</v>
      </c>
      <c r="AW69" s="656" t="str">
        <f t="shared" si="23"/>
        <v/>
      </c>
      <c r="AX69" s="667" t="str">
        <f>IFERROR(IF(AL69="","",IF(AN69="Dubai",HLOOKUP((AL69&amp;AM69),Deviation!$B$7:$S$8,2,0)*BF69*BH69*BI69*BG69,HLOOKUP((AL69&amp;AM69),Deviation!$B$9:$O$10,2,0)*BF69*BH69*BI69*BG69)),0)</f>
        <v/>
      </c>
      <c r="AY69" s="668" t="str">
        <f>IF(AL69="","",IFERROR(IF(AL69="","",IF(AN69="Dubai",HLOOKUP(AZ69,'input for formula'!$B$3:$F$10,AO69,FALSE), IF(AND(H69="Employee",AN69="Abu Dhabi"),HLOOKUP(AZ69,'input for formula'!$I$3:$K$7,AO69,FALSE),HLOOKUP(AZ69,'input for formula'!$M$3:$O$7,AO69,FALSE)))*AX69+AP69*AQ69+AR69*AS69+AT69*AU69),0)*$AZ$3*BK69*BJ69*IF(AND(Inputs!$C$19&gt;19,Inputs!$C$19&lt;30),(1+$AZ$2),1)*(1+$AZ$1))</f>
        <v/>
      </c>
      <c r="AZ69" s="148" t="str">
        <f t="shared" si="19"/>
        <v/>
      </c>
      <c r="BA69" s="669" t="str">
        <f>IF(F69="","",IF(AE69="Dubai",HLOOKUP(F69,Inputs!$C$26:$M$37,9,0),HLOOKUP(F69,Inputs!$C$45:$M$56,9,0)))</f>
        <v/>
      </c>
      <c r="BB69" s="670" t="str">
        <f>IF(F69="","",IF(AE69="Dubai",HLOOKUP(F69,Inputs!$C$26:$M$37,10,0),HLOOKUP(F69,Inputs!$C$45:$M$56,10,0)))</f>
        <v/>
      </c>
      <c r="BC69" s="670" t="str">
        <f>IF(F69="","",IF(AE69="Dubai",HLOOKUP(F69,Inputs!$C$26:$M$37,11,0),HLOOKUP(F69,Inputs!$C$45:$M$56,11,0)))</f>
        <v/>
      </c>
      <c r="BD69" s="669" t="str">
        <f>IF(F69="","",IF(AE69="Dubai",HLOOKUP(F69,Inputs!$C$26:$M$37,12,0),HLOOKUP(F69,Inputs!$C$45:$M$56,12,0)))</f>
        <v/>
      </c>
      <c r="BE69" s="654"/>
      <c r="BF69" s="669" t="str">
        <f>IFERROR(IF(AL69="","",IF(AN69="Dubai",IF(OR(AL69="Plan1",AL69="Plan2"),VLOOKUP(BA69,Deviation!$B$31:$D$33,2,FALSE),VLOOKUP(BA69,Deviation!$B$31:$D$33,3,FALSE)),IF(OR(AL69="Plan1",AL69="Plan2"),VLOOKUP(BA69,Deviation!$E$31:$AE$33,2,FALSE),VLOOKUP(BA69,Deviation!$E$31:$AE$33,3,FALSE)))),0)</f>
        <v/>
      </c>
      <c r="BG69" s="671" t="str">
        <f>IFERROR(IF(AL69="","",IF(AN69="Dubai",IF(AL69="Plan1",VLOOKUP(BB69,Deviation!$B$39:$C$40,2,FALSE),IF(AL69="Plan2",VLOOKUP(BB69,Deviation!$B$42:$C$43,2,FALSE),IF(AL69="Plan5",VLOOKUP(BB69,Deviation!$B$48:$C$49,2,FALSE),VLOOKUP(BB69,Deviation!$B$45:$C$46,2,FALSE)))),IF(AL69="Plan1",VLOOKUP(BB69,Deviation!$E$39:$F$40,2,FALSE),IF(AL69="Plan2",VLOOKUP(BB69,Deviation!$E$42:$F$43,2,FALSE),VLOOKUP(BB69,Deviation!$E$45:$F$46,2,FALSE))))),0)</f>
        <v/>
      </c>
      <c r="BH69" s="671" t="str">
        <f>IFERROR(IF(AL69="","",IF(AN69="Dubai",IF(OR(AL69="Plan1",AL69="Plan2"),VLOOKUP(BC69,Deviation!$B$15:$D$19,2,FALSE),VLOOKUP(BC69,Deviation!$B$15:$D$19,3,FALSE)),IF(OR(AL69="Plan1",AL69="Plan2"),VLOOKUP(BC69,Deviation!$E$15:$AE$19,2,FALSE),VLOOKUP(BC69,Deviation!$E$15:$AE$19,3,FALSE)))),0)</f>
        <v/>
      </c>
      <c r="BI69" s="669" t="str">
        <f>IFERROR(IF(AL69="","",IF(AN69="Dubai",VLOOKUP(BD69,Deviation!$B$24:$C$26,2,FALSE),100%)),0)</f>
        <v/>
      </c>
      <c r="BJ69" s="672">
        <f>IF(AE69="Abu Dhabi",1,IFERROR(VLOOKUP(AM69,Deviation!$B$67:$E$79,MATCH('Census Data'!AA69,Deviation!$B$66:$E$66,0),0),1))</f>
        <v>1</v>
      </c>
      <c r="BK69" s="659">
        <f>IFERROR(VLOOKUP(I69,Deviation!$B$54:$C$62,2,0),1)</f>
        <v>1</v>
      </c>
      <c r="BL69" s="148"/>
      <c r="BM69" s="148"/>
      <c r="BN69" s="148"/>
      <c r="BO69" s="148"/>
      <c r="BP69" s="148"/>
      <c r="BQ69" s="148"/>
      <c r="BR69" s="148"/>
      <c r="BS69" s="148"/>
      <c r="BT69" s="148" t="e">
        <f t="shared" si="20"/>
        <v>#VALUE!</v>
      </c>
      <c r="BU69" t="str">
        <f>IF(AL69="","",IFERROR(IF(AL69="","",IF(AN69="Dubai",HLOOKUP(AZ69,'input for formula'!$B$3:$F$10,AO69,FALSE), IF(AND(H69="Employee",AN69="Abu Dhabi"),HLOOKUP(AZ69,'input for formula'!$I$3:$K$7,AO69,FALSE),HLOOKUP(AZ69,'input for formula'!$M$3:$O$7,AO69,FALSE)))*AX69+AP69*AQ69+AR69*AS69+AT69*AU69),0)*$AZ$3*BK69*BJ69*IF(AND(Inputs!$C$19&gt;19,Inputs!$C$19&lt;30),(1+$AZ$2),1))</f>
        <v/>
      </c>
    </row>
    <row r="70" spans="1:73" ht="15" x14ac:dyDescent="0.25">
      <c r="A70" s="59">
        <v>65</v>
      </c>
      <c r="B70" s="621"/>
      <c r="C70" s="628"/>
      <c r="D70" s="629"/>
      <c r="E70" s="471"/>
      <c r="F70" s="298"/>
      <c r="G70" s="298"/>
      <c r="H70" s="298"/>
      <c r="I70" s="298"/>
      <c r="J70" s="80" t="str">
        <f>IFERROR(IF(C70="","",DATEDIF('Census Data'!C70,eff_date,"y")),"")</f>
        <v/>
      </c>
      <c r="K70" s="59" t="str">
        <f>IF(F70="","",IF(AE70="Dubai",HLOOKUP(F70,Inputs!$C$26:$M$28,3,0),HLOOKUP(F70,Inputs!$C$45:$M$46,2,0)))</f>
        <v/>
      </c>
      <c r="L70" s="104"/>
      <c r="M70" s="105">
        <f t="shared" ref="M70:M133" si="32">IF(N70,IF(COUNTIF(N70:AD70,"x")=0,1,IF(OR(O70="x",P70="x",Q70="×",R70="x",S70="x",T70="x",V70="x",U70="x",W70="x",X70="x",Y70="x",Z70="x",AC70="x",AD70="x"),-2,-1)),0)</f>
        <v>0</v>
      </c>
      <c r="N70" s="654" t="b">
        <f t="shared" ref="N70:N101" si="33">NOT(AND(ISBLANK(C70),ISBLANK(D70),ISBLANK(E70),ISBLANK(F70),ISBLANK(G70)))</f>
        <v>0</v>
      </c>
      <c r="O70" s="655" t="str">
        <f t="shared" ref="O70:O101" si="34">IF(ISBLANK(C70),"x","")</f>
        <v>x</v>
      </c>
      <c r="P70" s="655" t="str">
        <f t="shared" ref="P70:P101" si="35">IF(ISBLANK(D70),"x","")</f>
        <v>x</v>
      </c>
      <c r="Q70" s="655" t="str">
        <f t="shared" ref="Q70:Q101" si="36">IF(ISBLANK(E70),"x","")</f>
        <v>x</v>
      </c>
      <c r="R70" s="655" t="str">
        <f t="shared" si="22"/>
        <v>x</v>
      </c>
      <c r="S70" s="655" t="str">
        <f t="shared" ref="S70:S101" si="37">IF(ISBLANK(G70),"x","")</f>
        <v>x</v>
      </c>
      <c r="T70" s="655" t="str">
        <f>IF(ISERROR(MATCH(G70,'Inputs Mapping'!$T$4:$T$10,0)),"x","")</f>
        <v>x</v>
      </c>
      <c r="U70" s="655" t="str">
        <f>IF(ISERROR(MATCH(AA70,'Inputs Mapping'!$U$4:$U$5,0)),"x","")</f>
        <v>x</v>
      </c>
      <c r="V70" s="655" t="str">
        <f>IF(ISERROR(MATCH(AB70,'Inputs Mapping'!$V$4:$V$5,0)),"x","")</f>
        <v>x</v>
      </c>
      <c r="W70" s="655" t="str">
        <f>IF(ISERROR(MATCH(F70,'Inputs Mapping'!$W$4:$W$8,0)),"x","")</f>
        <v>x</v>
      </c>
      <c r="X70" s="655" t="str">
        <f t="shared" ref="X70:X101" si="38">IF(ISBLANK(C70),"",IF(OR(ISERROR(J70),NOT(ISNUMBER(C70))),"x",""))</f>
        <v/>
      </c>
      <c r="Y70" s="655" t="str">
        <f t="shared" ref="Y70:Y101" si="39">IF(ISBLANK(C70),"",IF(ISERROR(J70),"",""))</f>
        <v/>
      </c>
      <c r="Z70" s="655" t="str">
        <f t="shared" ref="Z70:Z133" si="40">IF(ISBLANK(C70),"",IF(ISERROR(J70),"",IF(AND(eff_date-C70&lt;0,C70&lt;&gt;""),"x","")))</f>
        <v/>
      </c>
      <c r="AA70" s="655" t="str">
        <f t="shared" ref="AA70:AA133" si="41">IF(D70="","",IF(OR(D70="M",D70="Male"),"M",IF(OR(D70="F",D70="Female"),"F",IF(D70="M/F","M/F",""))))</f>
        <v/>
      </c>
      <c r="AB70" s="655" t="str">
        <f t="shared" si="13"/>
        <v/>
      </c>
      <c r="AC70" s="655" t="str">
        <f t="shared" si="21"/>
        <v>x</v>
      </c>
      <c r="AD70" s="655" t="str">
        <f>IF(ISBLANK(I70),"x",IF(ISNUMBER(MATCH(I70,'Inputs Mapping'!$AF$5:$AF$199,0)),"","x"))</f>
        <v>x</v>
      </c>
      <c r="AE70" s="655" t="str">
        <f t="shared" si="14"/>
        <v/>
      </c>
      <c r="AF70" s="148"/>
      <c r="AG70" s="148"/>
      <c r="AH70" s="148" t="str">
        <f t="shared" si="15"/>
        <v/>
      </c>
      <c r="AI70" s="654" t="str">
        <f>IF(J70="","",VLOOKUP(J70,'Inputs Mapping'!$T$27:$V$31,3))</f>
        <v/>
      </c>
      <c r="AJ70" s="654" t="str">
        <f>IF(J70="","",VLOOKUP(J70,'Inputs Mapping'!$T$17:$V$24,3))</f>
        <v/>
      </c>
      <c r="AK70" s="654" t="str">
        <f t="shared" si="16"/>
        <v/>
      </c>
      <c r="AL70" s="655" t="str">
        <f t="shared" ref="AL70:AL101" si="42">K70</f>
        <v/>
      </c>
      <c r="AM70" s="655" t="str">
        <f>IF(F70="","",IF(AE70="Dubai",HLOOKUP(F70,Inputs!$C$26:$M$36,5,0),HLOOKUP(F70,Inputs!$C$45:$M$49,5,0)))</f>
        <v/>
      </c>
      <c r="AN70" s="655">
        <f t="shared" si="17"/>
        <v>0</v>
      </c>
      <c r="AO70" s="654" t="str">
        <f>IF(AJ70="","",IF(AN70="Dubai",VLOOKUP(AJ70,'Inputs Mapping'!$V$17:$W$24,2,0),VLOOKUP(AI70,'Inputs Mapping'!$V$27:$W$31,2,0)))</f>
        <v/>
      </c>
      <c r="AP70" s="666">
        <f>IFERROR(IF($AN70="","",HLOOKUP($AN70&amp;RIGHT($AL70,1),'input for formula'!$B$16:$I$20,3,0)),0)</f>
        <v>0</v>
      </c>
      <c r="AQ70" s="656">
        <f>IFERROR(IF($AN70="","",HLOOKUP($AN70&amp;$F70,'input for formula'!$B$22:$M$25,2,0)),0)</f>
        <v>0</v>
      </c>
      <c r="AR70" s="666">
        <f>IFERROR(IF($AN70="","",HLOOKUP($AN70&amp;RIGHT($AL70,1),'input for formula'!$B$16:$I$20,4,0)),0)</f>
        <v>0</v>
      </c>
      <c r="AS70" s="656">
        <f>IFERROR(IF($AN70="","",HLOOKUP($AN70&amp;$F70,'input for formula'!$B$22:$M$25,3,0)),0)</f>
        <v>0</v>
      </c>
      <c r="AT70" s="656">
        <f>IFERROR(IF($AN70="","",HLOOKUP($AN70&amp;RIGHT($AL70,1),'input for formula'!$B$16:$I$20,5,0)),0)</f>
        <v>0</v>
      </c>
      <c r="AU70" s="656">
        <f>IFERROR(IF($AN70="","",HLOOKUP($AN70&amp;$F70,'input for formula'!$B$22:$M$25,4,0)),0)</f>
        <v>0</v>
      </c>
      <c r="AV70" s="666">
        <f>IFERROR(IF($AN70="","",IF('Census Data'!$AN70="Abu Dhabi",VLOOKUP('Census Data'!$AM70,'input for formula'!$A$28:$C$41,3,0),VLOOKUP('Census Data'!$AM70,'input for formula'!$A$28:$C$47,2,0))),0)*IFERROR(1+IF(AN70="Dubai",VLOOKUP(F70,'Quotation for Dubai Plans'!$V$6:$X$12,3,FALSE),VLOOKUP(F70,'Quotation for Abu Dhabi Plans'!$W$6:$Y$12,3,FALSE)),0)</f>
        <v>0</v>
      </c>
      <c r="AW70" s="656" t="str">
        <f t="shared" si="23"/>
        <v/>
      </c>
      <c r="AX70" s="667" t="str">
        <f>IFERROR(IF(AL70="","",IF(AN70="Dubai",HLOOKUP((AL70&amp;AM70),Deviation!$B$7:$S$8,2,0)*BF70*BH70*BI70*BG70,HLOOKUP((AL70&amp;AM70),Deviation!$B$9:$O$10,2,0)*BF70*BH70*BI70*BG70)),0)</f>
        <v/>
      </c>
      <c r="AY70" s="668" t="str">
        <f>IF(AL70="","",IFERROR(IF(AL70="","",IF(AN70="Dubai",HLOOKUP(AZ70,'input for formula'!$B$3:$F$10,AO70,FALSE), IF(AND(H70="Employee",AN70="Abu Dhabi"),HLOOKUP(AZ70,'input for formula'!$I$3:$K$7,AO70,FALSE),HLOOKUP(AZ70,'input for formula'!$M$3:$O$7,AO70,FALSE)))*AX70+AP70*AQ70+AR70*AS70+AT70*AU70),0)*$AZ$3*BK70*BJ70*IF(AND(Inputs!$C$19&gt;19,Inputs!$C$19&lt;30),(1+$AZ$2),1)*(1+$AZ$1))</f>
        <v/>
      </c>
      <c r="AZ70" s="148" t="str">
        <f t="shared" si="19"/>
        <v/>
      </c>
      <c r="BA70" s="669" t="str">
        <f>IF(F70="","",IF(AE70="Dubai",HLOOKUP(F70,Inputs!$C$26:$M$37,9,0),HLOOKUP(F70,Inputs!$C$45:$M$56,9,0)))</f>
        <v/>
      </c>
      <c r="BB70" s="670" t="str">
        <f>IF(F70="","",IF(AE70="Dubai",HLOOKUP(F70,Inputs!$C$26:$M$37,10,0),HLOOKUP(F70,Inputs!$C$45:$M$56,10,0)))</f>
        <v/>
      </c>
      <c r="BC70" s="670" t="str">
        <f>IF(F70="","",IF(AE70="Dubai",HLOOKUP(F70,Inputs!$C$26:$M$37,11,0),HLOOKUP(F70,Inputs!$C$45:$M$56,11,0)))</f>
        <v/>
      </c>
      <c r="BD70" s="669" t="str">
        <f>IF(F70="","",IF(AE70="Dubai",HLOOKUP(F70,Inputs!$C$26:$M$37,12,0),HLOOKUP(F70,Inputs!$C$45:$M$56,12,0)))</f>
        <v/>
      </c>
      <c r="BE70" s="654"/>
      <c r="BF70" s="669" t="str">
        <f>IFERROR(IF(AL70="","",IF(AN70="Dubai",IF(OR(AL70="Plan1",AL70="Plan2"),VLOOKUP(BA70,Deviation!$B$31:$D$33,2,FALSE),VLOOKUP(BA70,Deviation!$B$31:$D$33,3,FALSE)),IF(OR(AL70="Plan1",AL70="Plan2"),VLOOKUP(BA70,Deviation!$E$31:$AE$33,2,FALSE),VLOOKUP(BA70,Deviation!$E$31:$AE$33,3,FALSE)))),0)</f>
        <v/>
      </c>
      <c r="BG70" s="671" t="str">
        <f>IFERROR(IF(AL70="","",IF(AN70="Dubai",IF(AL70="Plan1",VLOOKUP(BB70,Deviation!$B$39:$C$40,2,FALSE),IF(AL70="Plan2",VLOOKUP(BB70,Deviation!$B$42:$C$43,2,FALSE),IF(AL70="Plan5",VLOOKUP(BB70,Deviation!$B$48:$C$49,2,FALSE),VLOOKUP(BB70,Deviation!$B$45:$C$46,2,FALSE)))),IF(AL70="Plan1",VLOOKUP(BB70,Deviation!$E$39:$F$40,2,FALSE),IF(AL70="Plan2",VLOOKUP(BB70,Deviation!$E$42:$F$43,2,FALSE),VLOOKUP(BB70,Deviation!$E$45:$F$46,2,FALSE))))),0)</f>
        <v/>
      </c>
      <c r="BH70" s="671" t="str">
        <f>IFERROR(IF(AL70="","",IF(AN70="Dubai",IF(OR(AL70="Plan1",AL70="Plan2"),VLOOKUP(BC70,Deviation!$B$15:$D$19,2,FALSE),VLOOKUP(BC70,Deviation!$B$15:$D$19,3,FALSE)),IF(OR(AL70="Plan1",AL70="Plan2"),VLOOKUP(BC70,Deviation!$E$15:$AE$19,2,FALSE),VLOOKUP(BC70,Deviation!$E$15:$AE$19,3,FALSE)))),0)</f>
        <v/>
      </c>
      <c r="BI70" s="669" t="str">
        <f>IFERROR(IF(AL70="","",IF(AN70="Dubai",VLOOKUP(BD70,Deviation!$B$24:$C$26,2,FALSE),100%)),0)</f>
        <v/>
      </c>
      <c r="BJ70" s="672">
        <f>IF(AE70="Abu Dhabi",1,IFERROR(VLOOKUP(AM70,Deviation!$B$67:$E$79,MATCH('Census Data'!AA70,Deviation!$B$66:$E$66,0),0),1))</f>
        <v>1</v>
      </c>
      <c r="BK70" s="659">
        <f>IFERROR(VLOOKUP(I70,Deviation!$B$54:$C$62,2,0),1)</f>
        <v>1</v>
      </c>
      <c r="BL70" s="148"/>
      <c r="BM70" s="148"/>
      <c r="BN70" s="148"/>
      <c r="BO70" s="148"/>
      <c r="BP70" s="148"/>
      <c r="BQ70" s="148"/>
      <c r="BR70" s="148"/>
      <c r="BS70" s="148"/>
      <c r="BT70" s="148" t="e">
        <f t="shared" si="20"/>
        <v>#VALUE!</v>
      </c>
      <c r="BU70" t="str">
        <f>IF(AL70="","",IFERROR(IF(AL70="","",IF(AN70="Dubai",HLOOKUP(AZ70,'input for formula'!$B$3:$F$10,AO70,FALSE), IF(AND(H70="Employee",AN70="Abu Dhabi"),HLOOKUP(AZ70,'input for formula'!$I$3:$K$7,AO70,FALSE),HLOOKUP(AZ70,'input for formula'!$M$3:$O$7,AO70,FALSE)))*AX70+AP70*AQ70+AR70*AS70+AT70*AU70),0)*$AZ$3*BK70*BJ70*IF(AND(Inputs!$C$19&gt;19,Inputs!$C$19&lt;30),(1+$AZ$2),1))</f>
        <v/>
      </c>
    </row>
    <row r="71" spans="1:73" ht="15" x14ac:dyDescent="0.25">
      <c r="A71" s="59">
        <v>66</v>
      </c>
      <c r="B71" s="621"/>
      <c r="C71" s="628"/>
      <c r="D71" s="629"/>
      <c r="E71" s="471"/>
      <c r="F71" s="298"/>
      <c r="G71" s="298"/>
      <c r="H71" s="298"/>
      <c r="I71" s="298"/>
      <c r="J71" s="80" t="str">
        <f>IFERROR(IF(C71="","",DATEDIF('Census Data'!C71,eff_date,"y")),"")</f>
        <v/>
      </c>
      <c r="K71" s="59" t="str">
        <f>IF(F71="","",IF(AE71="Dubai",HLOOKUP(F71,Inputs!$C$26:$M$28,3,0),HLOOKUP(F71,Inputs!$C$45:$M$46,2,0)))</f>
        <v/>
      </c>
      <c r="L71" s="104"/>
      <c r="M71" s="105">
        <f t="shared" si="32"/>
        <v>0</v>
      </c>
      <c r="N71" s="654" t="b">
        <f t="shared" si="33"/>
        <v>0</v>
      </c>
      <c r="O71" s="655" t="str">
        <f t="shared" si="34"/>
        <v>x</v>
      </c>
      <c r="P71" s="655" t="str">
        <f t="shared" si="35"/>
        <v>x</v>
      </c>
      <c r="Q71" s="655" t="str">
        <f t="shared" si="36"/>
        <v>x</v>
      </c>
      <c r="R71" s="655" t="str">
        <f t="shared" si="22"/>
        <v>x</v>
      </c>
      <c r="S71" s="655" t="str">
        <f t="shared" si="37"/>
        <v>x</v>
      </c>
      <c r="T71" s="655" t="str">
        <f>IF(ISERROR(MATCH(G71,'Inputs Mapping'!$T$4:$T$10,0)),"x","")</f>
        <v>x</v>
      </c>
      <c r="U71" s="655" t="str">
        <f>IF(ISERROR(MATCH(AA71,'Inputs Mapping'!$U$4:$U$5,0)),"x","")</f>
        <v>x</v>
      </c>
      <c r="V71" s="655" t="str">
        <f>IF(ISERROR(MATCH(AB71,'Inputs Mapping'!$V$4:$V$5,0)),"x","")</f>
        <v>x</v>
      </c>
      <c r="W71" s="655" t="str">
        <f>IF(ISERROR(MATCH(F71,'Inputs Mapping'!$W$4:$W$8,0)),"x","")</f>
        <v>x</v>
      </c>
      <c r="X71" s="655" t="str">
        <f t="shared" si="38"/>
        <v/>
      </c>
      <c r="Y71" s="655" t="str">
        <f t="shared" si="39"/>
        <v/>
      </c>
      <c r="Z71" s="655" t="str">
        <f t="shared" si="40"/>
        <v/>
      </c>
      <c r="AA71" s="655" t="str">
        <f t="shared" si="41"/>
        <v/>
      </c>
      <c r="AB71" s="655" t="str">
        <f t="shared" ref="AB71:AB134" si="43">IF(E71="","",IF(OR(E71="Married",E71="M"),"M",IF(OR(E71="Single",E71="S"),"S","")))</f>
        <v/>
      </c>
      <c r="AC71" s="655" t="str">
        <f t="shared" si="21"/>
        <v>x</v>
      </c>
      <c r="AD71" s="655" t="str">
        <f>IF(ISBLANK(I71),"x",IF(ISNUMBER(MATCH(I71,'Inputs Mapping'!$AF$5:$AF$199,0)),"","x"))</f>
        <v>x</v>
      </c>
      <c r="AE71" s="655" t="str">
        <f t="shared" ref="AE71:AE134" si="44">IF(D71="","",IF(G71="Abu Dhabi","Abu Dhabi","Dubai"))</f>
        <v/>
      </c>
      <c r="AF71" s="148"/>
      <c r="AG71" s="148"/>
      <c r="AH71" s="148" t="str">
        <f t="shared" ref="AH71:AH134" si="45">F71&amp;AE71</f>
        <v/>
      </c>
      <c r="AI71" s="654" t="str">
        <f>IF(J71="","",VLOOKUP(J71,'Inputs Mapping'!$T$27:$V$31,3))</f>
        <v/>
      </c>
      <c r="AJ71" s="654" t="str">
        <f>IF(J71="","",VLOOKUP(J71,'Inputs Mapping'!$T$17:$V$24,3))</f>
        <v/>
      </c>
      <c r="AK71" s="654" t="str">
        <f t="shared" ref="AK71:AK134" si="46">IF(AE71="Dubai",IF(J71="","",1*AND(LEFT(AA71)="F",LEFT(AB71)="M",J71&gt;=$AK$3,J71&lt;$AK$4+1)),IF(J71="","",1*AND(LEFT(AA71)="F",LEFT(AB71)="M",J71&gt;=$AJ$3,J71&lt;$AJ$4+1)))</f>
        <v/>
      </c>
      <c r="AL71" s="655" t="str">
        <f t="shared" si="42"/>
        <v/>
      </c>
      <c r="AM71" s="655" t="str">
        <f>IF(F71="","",IF(AE71="Dubai",HLOOKUP(F71,Inputs!$C$26:$M$36,5,0),HLOOKUP(F71,Inputs!$C$45:$M$49,5,0)))</f>
        <v/>
      </c>
      <c r="AN71" s="655">
        <f t="shared" ref="AN71:AN134" si="47">IF(C71="",0,IF(G71="Abu Dhabi","Abu Dhabi","Dubai"))</f>
        <v>0</v>
      </c>
      <c r="AO71" s="654" t="str">
        <f>IF(AJ71="","",IF(AN71="Dubai",VLOOKUP(AJ71,'Inputs Mapping'!$V$17:$W$24,2,0),VLOOKUP(AI71,'Inputs Mapping'!$V$27:$W$31,2,0)))</f>
        <v/>
      </c>
      <c r="AP71" s="666">
        <f>IFERROR(IF($AN71="","",HLOOKUP($AN71&amp;RIGHT($AL71,1),'input for formula'!$B$16:$I$20,3,0)),0)</f>
        <v>0</v>
      </c>
      <c r="AQ71" s="656">
        <f>IFERROR(IF($AN71="","",HLOOKUP($AN71&amp;$F71,'input for formula'!$B$22:$M$25,2,0)),0)</f>
        <v>0</v>
      </c>
      <c r="AR71" s="666">
        <f>IFERROR(IF($AN71="","",HLOOKUP($AN71&amp;RIGHT($AL71,1),'input for formula'!$B$16:$I$20,4,0)),0)</f>
        <v>0</v>
      </c>
      <c r="AS71" s="656">
        <f>IFERROR(IF($AN71="","",HLOOKUP($AN71&amp;$F71,'input for formula'!$B$22:$M$25,3,0)),0)</f>
        <v>0</v>
      </c>
      <c r="AT71" s="656">
        <f>IFERROR(IF($AN71="","",HLOOKUP($AN71&amp;RIGHT($AL71,1),'input for formula'!$B$16:$I$20,5,0)),0)</f>
        <v>0</v>
      </c>
      <c r="AU71" s="656">
        <f>IFERROR(IF($AN71="","",HLOOKUP($AN71&amp;$F71,'input for formula'!$B$22:$M$25,4,0)),0)</f>
        <v>0</v>
      </c>
      <c r="AV71" s="666">
        <f>IFERROR(IF($AN71="","",IF('Census Data'!$AN71="Abu Dhabi",VLOOKUP('Census Data'!$AM71,'input for formula'!$A$28:$C$41,3,0),VLOOKUP('Census Data'!$AM71,'input for formula'!$A$28:$C$47,2,0))),0)*IFERROR(1+IF(AN71="Dubai",VLOOKUP(F71,'Quotation for Dubai Plans'!$V$6:$X$12,3,FALSE),VLOOKUP(F71,'Quotation for Abu Dhabi Plans'!$W$6:$Y$12,3,FALSE)),0)</f>
        <v>0</v>
      </c>
      <c r="AW71" s="656" t="str">
        <f t="shared" si="23"/>
        <v/>
      </c>
      <c r="AX71" s="667" t="str">
        <f>IFERROR(IF(AL71="","",IF(AN71="Dubai",HLOOKUP((AL71&amp;AM71),Deviation!$B$7:$S$8,2,0)*BF71*BH71*BI71*BG71,HLOOKUP((AL71&amp;AM71),Deviation!$B$9:$O$10,2,0)*BF71*BH71*BI71*BG71)),0)</f>
        <v/>
      </c>
      <c r="AY71" s="668" t="str">
        <f>IF(AL71="","",IFERROR(IF(AL71="","",IF(AN71="Dubai",HLOOKUP(AZ71,'input for formula'!$B$3:$F$10,AO71,FALSE), IF(AND(H71="Employee",AN71="Abu Dhabi"),HLOOKUP(AZ71,'input for formula'!$I$3:$K$7,AO71,FALSE),HLOOKUP(AZ71,'input for formula'!$M$3:$O$7,AO71,FALSE)))*AX71+AP71*AQ71+AR71*AS71+AT71*AU71),0)*$AZ$3*BK71*BJ71*IF(AND(Inputs!$C$19&gt;19,Inputs!$C$19&lt;30),(1+$AZ$2),1)*(1+$AZ$1))</f>
        <v/>
      </c>
      <c r="AZ71" s="148" t="str">
        <f t="shared" ref="AZ71:AZ134" si="48">IF(AL71="","",IF(AN71="","",AN71&amp;RIGHT(AL71,1)))</f>
        <v/>
      </c>
      <c r="BA71" s="669" t="str">
        <f>IF(F71="","",IF(AE71="Dubai",HLOOKUP(F71,Inputs!$C$26:$M$37,9,0),HLOOKUP(F71,Inputs!$C$45:$M$56,9,0)))</f>
        <v/>
      </c>
      <c r="BB71" s="670" t="str">
        <f>IF(F71="","",IF(AE71="Dubai",HLOOKUP(F71,Inputs!$C$26:$M$37,10,0),HLOOKUP(F71,Inputs!$C$45:$M$56,10,0)))</f>
        <v/>
      </c>
      <c r="BC71" s="670" t="str">
        <f>IF(F71="","",IF(AE71="Dubai",HLOOKUP(F71,Inputs!$C$26:$M$37,11,0),HLOOKUP(F71,Inputs!$C$45:$M$56,11,0)))</f>
        <v/>
      </c>
      <c r="BD71" s="669" t="str">
        <f>IF(F71="","",IF(AE71="Dubai",HLOOKUP(F71,Inputs!$C$26:$M$37,12,0),HLOOKUP(F71,Inputs!$C$45:$M$56,12,0)))</f>
        <v/>
      </c>
      <c r="BE71" s="654"/>
      <c r="BF71" s="669" t="str">
        <f>IFERROR(IF(AL71="","",IF(AN71="Dubai",IF(OR(AL71="Plan1",AL71="Plan2"),VLOOKUP(BA71,Deviation!$B$31:$D$33,2,FALSE),VLOOKUP(BA71,Deviation!$B$31:$D$33,3,FALSE)),IF(OR(AL71="Plan1",AL71="Plan2"),VLOOKUP(BA71,Deviation!$E$31:$AE$33,2,FALSE),VLOOKUP(BA71,Deviation!$E$31:$AE$33,3,FALSE)))),0)</f>
        <v/>
      </c>
      <c r="BG71" s="671" t="str">
        <f>IFERROR(IF(AL71="","",IF(AN71="Dubai",IF(AL71="Plan1",VLOOKUP(BB71,Deviation!$B$39:$C$40,2,FALSE),IF(AL71="Plan2",VLOOKUP(BB71,Deviation!$B$42:$C$43,2,FALSE),IF(AL71="Plan5",VLOOKUP(BB71,Deviation!$B$48:$C$49,2,FALSE),VLOOKUP(BB71,Deviation!$B$45:$C$46,2,FALSE)))),IF(AL71="Plan1",VLOOKUP(BB71,Deviation!$E$39:$F$40,2,FALSE),IF(AL71="Plan2",VLOOKUP(BB71,Deviation!$E$42:$F$43,2,FALSE),VLOOKUP(BB71,Deviation!$E$45:$F$46,2,FALSE))))),0)</f>
        <v/>
      </c>
      <c r="BH71" s="671" t="str">
        <f>IFERROR(IF(AL71="","",IF(AN71="Dubai",IF(OR(AL71="Plan1",AL71="Plan2"),VLOOKUP(BC71,Deviation!$B$15:$D$19,2,FALSE),VLOOKUP(BC71,Deviation!$B$15:$D$19,3,FALSE)),IF(OR(AL71="Plan1",AL71="Plan2"),VLOOKUP(BC71,Deviation!$E$15:$AE$19,2,FALSE),VLOOKUP(BC71,Deviation!$E$15:$AE$19,3,FALSE)))),0)</f>
        <v/>
      </c>
      <c r="BI71" s="669" t="str">
        <f>IFERROR(IF(AL71="","",IF(AN71="Dubai",VLOOKUP(BD71,Deviation!$B$24:$C$26,2,FALSE),100%)),0)</f>
        <v/>
      </c>
      <c r="BJ71" s="672">
        <f>IF(AE71="Abu Dhabi",1,IFERROR(VLOOKUP(AM71,Deviation!$B$67:$E$79,MATCH('Census Data'!AA71,Deviation!$B$66:$E$66,0),0),1))</f>
        <v>1</v>
      </c>
      <c r="BK71" s="659">
        <f>IFERROR(VLOOKUP(I71,Deviation!$B$54:$C$62,2,0),1)</f>
        <v>1</v>
      </c>
      <c r="BL71" s="148"/>
      <c r="BM71" s="148"/>
      <c r="BN71" s="148"/>
      <c r="BO71" s="148"/>
      <c r="BP71" s="148"/>
      <c r="BQ71" s="148"/>
      <c r="BR71" s="148"/>
      <c r="BS71" s="148"/>
      <c r="BT71" s="148" t="e">
        <f t="shared" ref="BT71:BT134" si="49">IF(AK71=0,AY71,(AY71+AV71))</f>
        <v>#VALUE!</v>
      </c>
      <c r="BU71" t="str">
        <f>IF(AL71="","",IFERROR(IF(AL71="","",IF(AN71="Dubai",HLOOKUP(AZ71,'input for formula'!$B$3:$F$10,AO71,FALSE), IF(AND(H71="Employee",AN71="Abu Dhabi"),HLOOKUP(AZ71,'input for formula'!$I$3:$K$7,AO71,FALSE),HLOOKUP(AZ71,'input for formula'!$M$3:$O$7,AO71,FALSE)))*AX71+AP71*AQ71+AR71*AS71+AT71*AU71),0)*$AZ$3*BK71*BJ71*IF(AND(Inputs!$C$19&gt;19,Inputs!$C$19&lt;30),(1+$AZ$2),1))</f>
        <v/>
      </c>
    </row>
    <row r="72" spans="1:73" ht="15" x14ac:dyDescent="0.25">
      <c r="A72" s="59">
        <v>67</v>
      </c>
      <c r="B72" s="621"/>
      <c r="C72" s="628"/>
      <c r="D72" s="629"/>
      <c r="E72" s="471"/>
      <c r="F72" s="298"/>
      <c r="G72" s="298"/>
      <c r="H72" s="298"/>
      <c r="I72" s="298"/>
      <c r="J72" s="80" t="str">
        <f>IFERROR(IF(C72="","",DATEDIF('Census Data'!C72,eff_date,"y")),"")</f>
        <v/>
      </c>
      <c r="K72" s="59" t="str">
        <f>IF(F72="","",IF(AE72="Dubai",HLOOKUP(F72,Inputs!$C$26:$M$28,3,0),HLOOKUP(F72,Inputs!$C$45:$M$46,2,0)))</f>
        <v/>
      </c>
      <c r="L72" s="104"/>
      <c r="M72" s="105">
        <f t="shared" si="32"/>
        <v>0</v>
      </c>
      <c r="N72" s="654" t="b">
        <f t="shared" si="33"/>
        <v>0</v>
      </c>
      <c r="O72" s="655" t="str">
        <f t="shared" si="34"/>
        <v>x</v>
      </c>
      <c r="P72" s="655" t="str">
        <f t="shared" si="35"/>
        <v>x</v>
      </c>
      <c r="Q72" s="655" t="str">
        <f t="shared" si="36"/>
        <v>x</v>
      </c>
      <c r="R72" s="655" t="str">
        <f t="shared" si="22"/>
        <v>x</v>
      </c>
      <c r="S72" s="655" t="str">
        <f t="shared" si="37"/>
        <v>x</v>
      </c>
      <c r="T72" s="655" t="str">
        <f>IF(ISERROR(MATCH(G72,'Inputs Mapping'!$T$4:$T$10,0)),"x","")</f>
        <v>x</v>
      </c>
      <c r="U72" s="655" t="str">
        <f>IF(ISERROR(MATCH(AA72,'Inputs Mapping'!$U$4:$U$5,0)),"x","")</f>
        <v>x</v>
      </c>
      <c r="V72" s="655" t="str">
        <f>IF(ISERROR(MATCH(AB72,'Inputs Mapping'!$V$4:$V$5,0)),"x","")</f>
        <v>x</v>
      </c>
      <c r="W72" s="655" t="str">
        <f>IF(ISERROR(MATCH(F72,'Inputs Mapping'!$W$4:$W$8,0)),"x","")</f>
        <v>x</v>
      </c>
      <c r="X72" s="655" t="str">
        <f t="shared" si="38"/>
        <v/>
      </c>
      <c r="Y72" s="655" t="str">
        <f t="shared" si="39"/>
        <v/>
      </c>
      <c r="Z72" s="655" t="str">
        <f t="shared" si="40"/>
        <v/>
      </c>
      <c r="AA72" s="655" t="str">
        <f t="shared" si="41"/>
        <v/>
      </c>
      <c r="AB72" s="655" t="str">
        <f t="shared" si="43"/>
        <v/>
      </c>
      <c r="AC72" s="655" t="str">
        <f t="shared" ref="AC72:AC135" si="50">IF(AND(H72="Employee",J72&gt;=18),"",IF(H72="Dependent","","x"))</f>
        <v>x</v>
      </c>
      <c r="AD72" s="655" t="str">
        <f>IF(ISBLANK(I72),"x",IF(ISNUMBER(MATCH(I72,'Inputs Mapping'!$AF$5:$AF$199,0)),"","x"))</f>
        <v>x</v>
      </c>
      <c r="AE72" s="655" t="str">
        <f t="shared" si="44"/>
        <v/>
      </c>
      <c r="AF72" s="148"/>
      <c r="AG72" s="148"/>
      <c r="AH72" s="148" t="str">
        <f t="shared" si="45"/>
        <v/>
      </c>
      <c r="AI72" s="654" t="str">
        <f>IF(J72="","",VLOOKUP(J72,'Inputs Mapping'!$T$27:$V$31,3))</f>
        <v/>
      </c>
      <c r="AJ72" s="654" t="str">
        <f>IF(J72="","",VLOOKUP(J72,'Inputs Mapping'!$T$17:$V$24,3))</f>
        <v/>
      </c>
      <c r="AK72" s="654" t="str">
        <f t="shared" si="46"/>
        <v/>
      </c>
      <c r="AL72" s="655" t="str">
        <f t="shared" si="42"/>
        <v/>
      </c>
      <c r="AM72" s="655" t="str">
        <f>IF(F72="","",IF(AE72="Dubai",HLOOKUP(F72,Inputs!$C$26:$M$36,5,0),HLOOKUP(F72,Inputs!$C$45:$M$49,5,0)))</f>
        <v/>
      </c>
      <c r="AN72" s="655">
        <f t="shared" si="47"/>
        <v>0</v>
      </c>
      <c r="AO72" s="654" t="str">
        <f>IF(AJ72="","",IF(AN72="Dubai",VLOOKUP(AJ72,'Inputs Mapping'!$V$17:$W$24,2,0),VLOOKUP(AI72,'Inputs Mapping'!$V$27:$W$31,2,0)))</f>
        <v/>
      </c>
      <c r="AP72" s="666">
        <f>IFERROR(IF($AN72="","",HLOOKUP($AN72&amp;RIGHT($AL72,1),'input for formula'!$B$16:$I$20,3,0)),0)</f>
        <v>0</v>
      </c>
      <c r="AQ72" s="656">
        <f>IFERROR(IF($AN72="","",HLOOKUP($AN72&amp;$F72,'input for formula'!$B$22:$M$25,2,0)),0)</f>
        <v>0</v>
      </c>
      <c r="AR72" s="666">
        <f>IFERROR(IF($AN72="","",HLOOKUP($AN72&amp;RIGHT($AL72,1),'input for formula'!$B$16:$I$20,4,0)),0)</f>
        <v>0</v>
      </c>
      <c r="AS72" s="656">
        <f>IFERROR(IF($AN72="","",HLOOKUP($AN72&amp;$F72,'input for formula'!$B$22:$M$25,3,0)),0)</f>
        <v>0</v>
      </c>
      <c r="AT72" s="656">
        <f>IFERROR(IF($AN72="","",HLOOKUP($AN72&amp;RIGHT($AL72,1),'input for formula'!$B$16:$I$20,5,0)),0)</f>
        <v>0</v>
      </c>
      <c r="AU72" s="656">
        <f>IFERROR(IF($AN72="","",HLOOKUP($AN72&amp;$F72,'input for formula'!$B$22:$M$25,4,0)),0)</f>
        <v>0</v>
      </c>
      <c r="AV72" s="666">
        <f>IFERROR(IF($AN72="","",IF('Census Data'!$AN72="Abu Dhabi",VLOOKUP('Census Data'!$AM72,'input for formula'!$A$28:$C$41,3,0),VLOOKUP('Census Data'!$AM72,'input for formula'!$A$28:$C$47,2,0))),0)*IFERROR(1+IF(AN72="Dubai",VLOOKUP(F72,'Quotation for Dubai Plans'!$V$6:$X$12,3,FALSE),VLOOKUP(F72,'Quotation for Abu Dhabi Plans'!$W$6:$Y$12,3,FALSE)),0)</f>
        <v>0</v>
      </c>
      <c r="AW72" s="656" t="str">
        <f t="shared" si="23"/>
        <v/>
      </c>
      <c r="AX72" s="667" t="str">
        <f>IFERROR(IF(AL72="","",IF(AN72="Dubai",HLOOKUP((AL72&amp;AM72),Deviation!$B$7:$S$8,2,0)*BF72*BH72*BI72*BG72,HLOOKUP((AL72&amp;AM72),Deviation!$B$9:$O$10,2,0)*BF72*BH72*BI72*BG72)),0)</f>
        <v/>
      </c>
      <c r="AY72" s="668" t="str">
        <f>IF(AL72="","",IFERROR(IF(AL72="","",IF(AN72="Dubai",HLOOKUP(AZ72,'input for formula'!$B$3:$F$10,AO72,FALSE), IF(AND(H72="Employee",AN72="Abu Dhabi"),HLOOKUP(AZ72,'input for formula'!$I$3:$K$7,AO72,FALSE),HLOOKUP(AZ72,'input for formula'!$M$3:$O$7,AO72,FALSE)))*AX72+AP72*AQ72+AR72*AS72+AT72*AU72),0)*$AZ$3*BK72*BJ72*IF(AND(Inputs!$C$19&gt;19,Inputs!$C$19&lt;30),(1+$AZ$2),1)*(1+$AZ$1))</f>
        <v/>
      </c>
      <c r="AZ72" s="148" t="str">
        <f t="shared" si="48"/>
        <v/>
      </c>
      <c r="BA72" s="669" t="str">
        <f>IF(F72="","",IF(AE72="Dubai",HLOOKUP(F72,Inputs!$C$26:$M$37,9,0),HLOOKUP(F72,Inputs!$C$45:$M$56,9,0)))</f>
        <v/>
      </c>
      <c r="BB72" s="670" t="str">
        <f>IF(F72="","",IF(AE72="Dubai",HLOOKUP(F72,Inputs!$C$26:$M$37,10,0),HLOOKUP(F72,Inputs!$C$45:$M$56,10,0)))</f>
        <v/>
      </c>
      <c r="BC72" s="670" t="str">
        <f>IF(F72="","",IF(AE72="Dubai",HLOOKUP(F72,Inputs!$C$26:$M$37,11,0),HLOOKUP(F72,Inputs!$C$45:$M$56,11,0)))</f>
        <v/>
      </c>
      <c r="BD72" s="669" t="str">
        <f>IF(F72="","",IF(AE72="Dubai",HLOOKUP(F72,Inputs!$C$26:$M$37,12,0),HLOOKUP(F72,Inputs!$C$45:$M$56,12,0)))</f>
        <v/>
      </c>
      <c r="BE72" s="654"/>
      <c r="BF72" s="669" t="str">
        <f>IFERROR(IF(AL72="","",IF(AN72="Dubai",IF(OR(AL72="Plan1",AL72="Plan2"),VLOOKUP(BA72,Deviation!$B$31:$D$33,2,FALSE),VLOOKUP(BA72,Deviation!$B$31:$D$33,3,FALSE)),IF(OR(AL72="Plan1",AL72="Plan2"),VLOOKUP(BA72,Deviation!$E$31:$AE$33,2,FALSE),VLOOKUP(BA72,Deviation!$E$31:$AE$33,3,FALSE)))),0)</f>
        <v/>
      </c>
      <c r="BG72" s="671" t="str">
        <f>IFERROR(IF(AL72="","",IF(AN72="Dubai",IF(AL72="Plan1",VLOOKUP(BB72,Deviation!$B$39:$C$40,2,FALSE),IF(AL72="Plan2",VLOOKUP(BB72,Deviation!$B$42:$C$43,2,FALSE),IF(AL72="Plan5",VLOOKUP(BB72,Deviation!$B$48:$C$49,2,FALSE),VLOOKUP(BB72,Deviation!$B$45:$C$46,2,FALSE)))),IF(AL72="Plan1",VLOOKUP(BB72,Deviation!$E$39:$F$40,2,FALSE),IF(AL72="Plan2",VLOOKUP(BB72,Deviation!$E$42:$F$43,2,FALSE),VLOOKUP(BB72,Deviation!$E$45:$F$46,2,FALSE))))),0)</f>
        <v/>
      </c>
      <c r="BH72" s="671" t="str">
        <f>IFERROR(IF(AL72="","",IF(AN72="Dubai",IF(OR(AL72="Plan1",AL72="Plan2"),VLOOKUP(BC72,Deviation!$B$15:$D$19,2,FALSE),VLOOKUP(BC72,Deviation!$B$15:$D$19,3,FALSE)),IF(OR(AL72="Plan1",AL72="Plan2"),VLOOKUP(BC72,Deviation!$E$15:$AE$19,2,FALSE),VLOOKUP(BC72,Deviation!$E$15:$AE$19,3,FALSE)))),0)</f>
        <v/>
      </c>
      <c r="BI72" s="669" t="str">
        <f>IFERROR(IF(AL72="","",IF(AN72="Dubai",VLOOKUP(BD72,Deviation!$B$24:$C$26,2,FALSE),100%)),0)</f>
        <v/>
      </c>
      <c r="BJ72" s="672">
        <f>IF(AE72="Abu Dhabi",1,IFERROR(VLOOKUP(AM72,Deviation!$B$67:$E$79,MATCH('Census Data'!AA72,Deviation!$B$66:$E$66,0),0),1))</f>
        <v>1</v>
      </c>
      <c r="BK72" s="659">
        <f>IFERROR(VLOOKUP(I72,Deviation!$B$54:$C$62,2,0),1)</f>
        <v>1</v>
      </c>
      <c r="BL72" s="148"/>
      <c r="BM72" s="148"/>
      <c r="BN72" s="148"/>
      <c r="BO72" s="148"/>
      <c r="BP72" s="148"/>
      <c r="BQ72" s="148"/>
      <c r="BR72" s="148"/>
      <c r="BS72" s="148"/>
      <c r="BT72" s="148" t="e">
        <f t="shared" si="49"/>
        <v>#VALUE!</v>
      </c>
      <c r="BU72" t="str">
        <f>IF(AL72="","",IFERROR(IF(AL72="","",IF(AN72="Dubai",HLOOKUP(AZ72,'input for formula'!$B$3:$F$10,AO72,FALSE), IF(AND(H72="Employee",AN72="Abu Dhabi"),HLOOKUP(AZ72,'input for formula'!$I$3:$K$7,AO72,FALSE),HLOOKUP(AZ72,'input for formula'!$M$3:$O$7,AO72,FALSE)))*AX72+AP72*AQ72+AR72*AS72+AT72*AU72),0)*$AZ$3*BK72*BJ72*IF(AND(Inputs!$C$19&gt;19,Inputs!$C$19&lt;30),(1+$AZ$2),1))</f>
        <v/>
      </c>
    </row>
    <row r="73" spans="1:73" ht="15" x14ac:dyDescent="0.25">
      <c r="A73" s="59">
        <v>68</v>
      </c>
      <c r="B73" s="621"/>
      <c r="C73" s="628"/>
      <c r="D73" s="629"/>
      <c r="E73" s="471"/>
      <c r="F73" s="298"/>
      <c r="G73" s="298"/>
      <c r="H73" s="298"/>
      <c r="I73" s="298"/>
      <c r="J73" s="80" t="str">
        <f>IFERROR(IF(C73="","",DATEDIF('Census Data'!C73,eff_date,"y")),"")</f>
        <v/>
      </c>
      <c r="K73" s="59" t="str">
        <f>IF(F73="","",IF(AE73="Dubai",HLOOKUP(F73,Inputs!$C$26:$M$28,3,0),HLOOKUP(F73,Inputs!$C$45:$M$46,2,0)))</f>
        <v/>
      </c>
      <c r="L73" s="104"/>
      <c r="M73" s="105">
        <f t="shared" si="32"/>
        <v>0</v>
      </c>
      <c r="N73" s="654" t="b">
        <f t="shared" si="33"/>
        <v>0</v>
      </c>
      <c r="O73" s="655" t="str">
        <f t="shared" si="34"/>
        <v>x</v>
      </c>
      <c r="P73" s="655" t="str">
        <f t="shared" si="35"/>
        <v>x</v>
      </c>
      <c r="Q73" s="655" t="str">
        <f t="shared" si="36"/>
        <v>x</v>
      </c>
      <c r="R73" s="655" t="str">
        <f t="shared" si="22"/>
        <v>x</v>
      </c>
      <c r="S73" s="655" t="str">
        <f t="shared" si="37"/>
        <v>x</v>
      </c>
      <c r="T73" s="655" t="str">
        <f>IF(ISERROR(MATCH(G73,'Inputs Mapping'!$T$4:$T$10,0)),"x","")</f>
        <v>x</v>
      </c>
      <c r="U73" s="655" t="str">
        <f>IF(ISERROR(MATCH(AA73,'Inputs Mapping'!$U$4:$U$5,0)),"x","")</f>
        <v>x</v>
      </c>
      <c r="V73" s="655" t="str">
        <f>IF(ISERROR(MATCH(AB73,'Inputs Mapping'!$V$4:$V$5,0)),"x","")</f>
        <v>x</v>
      </c>
      <c r="W73" s="655" t="str">
        <f>IF(ISERROR(MATCH(F73,'Inputs Mapping'!$W$4:$W$8,0)),"x","")</f>
        <v>x</v>
      </c>
      <c r="X73" s="655" t="str">
        <f t="shared" si="38"/>
        <v/>
      </c>
      <c r="Y73" s="655" t="str">
        <f t="shared" si="39"/>
        <v/>
      </c>
      <c r="Z73" s="655" t="str">
        <f t="shared" si="40"/>
        <v/>
      </c>
      <c r="AA73" s="655" t="str">
        <f t="shared" si="41"/>
        <v/>
      </c>
      <c r="AB73" s="655" t="str">
        <f t="shared" si="43"/>
        <v/>
      </c>
      <c r="AC73" s="655" t="str">
        <f t="shared" si="50"/>
        <v>x</v>
      </c>
      <c r="AD73" s="655" t="str">
        <f>IF(ISBLANK(I73),"x",IF(ISNUMBER(MATCH(I73,'Inputs Mapping'!$AF$5:$AF$199,0)),"","x"))</f>
        <v>x</v>
      </c>
      <c r="AE73" s="655" t="str">
        <f t="shared" si="44"/>
        <v/>
      </c>
      <c r="AF73" s="148"/>
      <c r="AG73" s="148"/>
      <c r="AH73" s="148" t="str">
        <f t="shared" si="45"/>
        <v/>
      </c>
      <c r="AI73" s="654" t="str">
        <f>IF(J73="","",VLOOKUP(J73,'Inputs Mapping'!$T$27:$V$31,3))</f>
        <v/>
      </c>
      <c r="AJ73" s="654" t="str">
        <f>IF(J73="","",VLOOKUP(J73,'Inputs Mapping'!$T$17:$V$24,3))</f>
        <v/>
      </c>
      <c r="AK73" s="654" t="str">
        <f t="shared" si="46"/>
        <v/>
      </c>
      <c r="AL73" s="655" t="str">
        <f t="shared" si="42"/>
        <v/>
      </c>
      <c r="AM73" s="655" t="str">
        <f>IF(F73="","",IF(AE73="Dubai",HLOOKUP(F73,Inputs!$C$26:$M$36,5,0),HLOOKUP(F73,Inputs!$C$45:$M$49,5,0)))</f>
        <v/>
      </c>
      <c r="AN73" s="655">
        <f t="shared" si="47"/>
        <v>0</v>
      </c>
      <c r="AO73" s="654" t="str">
        <f>IF(AJ73="","",IF(AN73="Dubai",VLOOKUP(AJ73,'Inputs Mapping'!$V$17:$W$24,2,0),VLOOKUP(AI73,'Inputs Mapping'!$V$27:$W$31,2,0)))</f>
        <v/>
      </c>
      <c r="AP73" s="666">
        <f>IFERROR(IF($AN73="","",HLOOKUP($AN73&amp;RIGHT($AL73,1),'input for formula'!$B$16:$I$20,3,0)),0)</f>
        <v>0</v>
      </c>
      <c r="AQ73" s="656">
        <f>IFERROR(IF($AN73="","",HLOOKUP($AN73&amp;$F73,'input for formula'!$B$22:$M$25,2,0)),0)</f>
        <v>0</v>
      </c>
      <c r="AR73" s="666">
        <f>IFERROR(IF($AN73="","",HLOOKUP($AN73&amp;RIGHT($AL73,1),'input for formula'!$B$16:$I$20,4,0)),0)</f>
        <v>0</v>
      </c>
      <c r="AS73" s="656">
        <f>IFERROR(IF($AN73="","",HLOOKUP($AN73&amp;$F73,'input for formula'!$B$22:$M$25,3,0)),0)</f>
        <v>0</v>
      </c>
      <c r="AT73" s="656">
        <f>IFERROR(IF($AN73="","",HLOOKUP($AN73&amp;RIGHT($AL73,1),'input for formula'!$B$16:$I$20,5,0)),0)</f>
        <v>0</v>
      </c>
      <c r="AU73" s="656">
        <f>IFERROR(IF($AN73="","",HLOOKUP($AN73&amp;$F73,'input for formula'!$B$22:$M$25,4,0)),0)</f>
        <v>0</v>
      </c>
      <c r="AV73" s="666">
        <f>IFERROR(IF($AN73="","",IF('Census Data'!$AN73="Abu Dhabi",VLOOKUP('Census Data'!$AM73,'input for formula'!$A$28:$C$41,3,0),VLOOKUP('Census Data'!$AM73,'input for formula'!$A$28:$C$47,2,0))),0)*IFERROR(1+IF(AN73="Dubai",VLOOKUP(F73,'Quotation for Dubai Plans'!$V$6:$X$12,3,FALSE),VLOOKUP(F73,'Quotation for Abu Dhabi Plans'!$W$6:$Y$12,3,FALSE)),0)</f>
        <v>0</v>
      </c>
      <c r="AW73" s="656" t="str">
        <f t="shared" si="23"/>
        <v/>
      </c>
      <c r="AX73" s="667" t="str">
        <f>IFERROR(IF(AL73="","",IF(AN73="Dubai",HLOOKUP((AL73&amp;AM73),Deviation!$B$7:$S$8,2,0)*BF73*BH73*BI73*BG73,HLOOKUP((AL73&amp;AM73),Deviation!$B$9:$O$10,2,0)*BF73*BH73*BI73*BG73)),0)</f>
        <v/>
      </c>
      <c r="AY73" s="668" t="str">
        <f>IF(AL73="","",IFERROR(IF(AL73="","",IF(AN73="Dubai",HLOOKUP(AZ73,'input for formula'!$B$3:$F$10,AO73,FALSE), IF(AND(H73="Employee",AN73="Abu Dhabi"),HLOOKUP(AZ73,'input for formula'!$I$3:$K$7,AO73,FALSE),HLOOKUP(AZ73,'input for formula'!$M$3:$O$7,AO73,FALSE)))*AX73+AP73*AQ73+AR73*AS73+AT73*AU73),0)*$AZ$3*BK73*BJ73*IF(AND(Inputs!$C$19&gt;19,Inputs!$C$19&lt;30),(1+$AZ$2),1)*(1+$AZ$1))</f>
        <v/>
      </c>
      <c r="AZ73" s="148" t="str">
        <f t="shared" si="48"/>
        <v/>
      </c>
      <c r="BA73" s="669" t="str">
        <f>IF(F73="","",IF(AE73="Dubai",HLOOKUP(F73,Inputs!$C$26:$M$37,9,0),HLOOKUP(F73,Inputs!$C$45:$M$56,9,0)))</f>
        <v/>
      </c>
      <c r="BB73" s="670" t="str">
        <f>IF(F73="","",IF(AE73="Dubai",HLOOKUP(F73,Inputs!$C$26:$M$37,10,0),HLOOKUP(F73,Inputs!$C$45:$M$56,10,0)))</f>
        <v/>
      </c>
      <c r="BC73" s="670" t="str">
        <f>IF(F73="","",IF(AE73="Dubai",HLOOKUP(F73,Inputs!$C$26:$M$37,11,0),HLOOKUP(F73,Inputs!$C$45:$M$56,11,0)))</f>
        <v/>
      </c>
      <c r="BD73" s="669" t="str">
        <f>IF(F73="","",IF(AE73="Dubai",HLOOKUP(F73,Inputs!$C$26:$M$37,12,0),HLOOKUP(F73,Inputs!$C$45:$M$56,12,0)))</f>
        <v/>
      </c>
      <c r="BE73" s="654"/>
      <c r="BF73" s="669" t="str">
        <f>IFERROR(IF(AL73="","",IF(AN73="Dubai",IF(OR(AL73="Plan1",AL73="Plan2"),VLOOKUP(BA73,Deviation!$B$31:$D$33,2,FALSE),VLOOKUP(BA73,Deviation!$B$31:$D$33,3,FALSE)),IF(OR(AL73="Plan1",AL73="Plan2"),VLOOKUP(BA73,Deviation!$E$31:$AE$33,2,FALSE),VLOOKUP(BA73,Deviation!$E$31:$AE$33,3,FALSE)))),0)</f>
        <v/>
      </c>
      <c r="BG73" s="671" t="str">
        <f>IFERROR(IF(AL73="","",IF(AN73="Dubai",IF(AL73="Plan1",VLOOKUP(BB73,Deviation!$B$39:$C$40,2,FALSE),IF(AL73="Plan2",VLOOKUP(BB73,Deviation!$B$42:$C$43,2,FALSE),IF(AL73="Plan5",VLOOKUP(BB73,Deviation!$B$48:$C$49,2,FALSE),VLOOKUP(BB73,Deviation!$B$45:$C$46,2,FALSE)))),IF(AL73="Plan1",VLOOKUP(BB73,Deviation!$E$39:$F$40,2,FALSE),IF(AL73="Plan2",VLOOKUP(BB73,Deviation!$E$42:$F$43,2,FALSE),VLOOKUP(BB73,Deviation!$E$45:$F$46,2,FALSE))))),0)</f>
        <v/>
      </c>
      <c r="BH73" s="671" t="str">
        <f>IFERROR(IF(AL73="","",IF(AN73="Dubai",IF(OR(AL73="Plan1",AL73="Plan2"),VLOOKUP(BC73,Deviation!$B$15:$D$19,2,FALSE),VLOOKUP(BC73,Deviation!$B$15:$D$19,3,FALSE)),IF(OR(AL73="Plan1",AL73="Plan2"),VLOOKUP(BC73,Deviation!$E$15:$AE$19,2,FALSE),VLOOKUP(BC73,Deviation!$E$15:$AE$19,3,FALSE)))),0)</f>
        <v/>
      </c>
      <c r="BI73" s="669" t="str">
        <f>IFERROR(IF(AL73="","",IF(AN73="Dubai",VLOOKUP(BD73,Deviation!$B$24:$C$26,2,FALSE),100%)),0)</f>
        <v/>
      </c>
      <c r="BJ73" s="672">
        <f>IF(AE73="Abu Dhabi",1,IFERROR(VLOOKUP(AM73,Deviation!$B$67:$E$79,MATCH('Census Data'!AA73,Deviation!$B$66:$E$66,0),0),1))</f>
        <v>1</v>
      </c>
      <c r="BK73" s="659">
        <f>IFERROR(VLOOKUP(I73,Deviation!$B$54:$C$62,2,0),1)</f>
        <v>1</v>
      </c>
      <c r="BL73" s="148"/>
      <c r="BM73" s="148"/>
      <c r="BN73" s="148"/>
      <c r="BO73" s="148"/>
      <c r="BP73" s="148"/>
      <c r="BQ73" s="148"/>
      <c r="BR73" s="148"/>
      <c r="BS73" s="148"/>
      <c r="BT73" s="148" t="e">
        <f t="shared" si="49"/>
        <v>#VALUE!</v>
      </c>
      <c r="BU73" t="str">
        <f>IF(AL73="","",IFERROR(IF(AL73="","",IF(AN73="Dubai",HLOOKUP(AZ73,'input for formula'!$B$3:$F$10,AO73,FALSE), IF(AND(H73="Employee",AN73="Abu Dhabi"),HLOOKUP(AZ73,'input for formula'!$I$3:$K$7,AO73,FALSE),HLOOKUP(AZ73,'input for formula'!$M$3:$O$7,AO73,FALSE)))*AX73+AP73*AQ73+AR73*AS73+AT73*AU73),0)*$AZ$3*BK73*BJ73*IF(AND(Inputs!$C$19&gt;19,Inputs!$C$19&lt;30),(1+$AZ$2),1))</f>
        <v/>
      </c>
    </row>
    <row r="74" spans="1:73" ht="15" x14ac:dyDescent="0.25">
      <c r="A74" s="59">
        <v>69</v>
      </c>
      <c r="B74" s="621"/>
      <c r="C74" s="628"/>
      <c r="D74" s="629"/>
      <c r="E74" s="471"/>
      <c r="F74" s="298"/>
      <c r="G74" s="298"/>
      <c r="H74" s="298"/>
      <c r="I74" s="298"/>
      <c r="J74" s="80" t="str">
        <f>IFERROR(IF(C74="","",DATEDIF('Census Data'!C74,eff_date,"y")),"")</f>
        <v/>
      </c>
      <c r="K74" s="59" t="str">
        <f>IF(F74="","",IF(AE74="Dubai",HLOOKUP(F74,Inputs!$C$26:$M$28,3,0),HLOOKUP(F74,Inputs!$C$45:$M$46,2,0)))</f>
        <v/>
      </c>
      <c r="L74" s="104"/>
      <c r="M74" s="105">
        <f t="shared" si="32"/>
        <v>0</v>
      </c>
      <c r="N74" s="654" t="b">
        <f t="shared" si="33"/>
        <v>0</v>
      </c>
      <c r="O74" s="655" t="str">
        <f t="shared" si="34"/>
        <v>x</v>
      </c>
      <c r="P74" s="655" t="str">
        <f t="shared" si="35"/>
        <v>x</v>
      </c>
      <c r="Q74" s="655" t="str">
        <f t="shared" si="36"/>
        <v>x</v>
      </c>
      <c r="R74" s="655" t="str">
        <f t="shared" si="22"/>
        <v>x</v>
      </c>
      <c r="S74" s="655" t="str">
        <f t="shared" si="37"/>
        <v>x</v>
      </c>
      <c r="T74" s="655" t="str">
        <f>IF(ISERROR(MATCH(G74,'Inputs Mapping'!$T$4:$T$10,0)),"x","")</f>
        <v>x</v>
      </c>
      <c r="U74" s="655" t="str">
        <f>IF(ISERROR(MATCH(AA74,'Inputs Mapping'!$U$4:$U$5,0)),"x","")</f>
        <v>x</v>
      </c>
      <c r="V74" s="655" t="str">
        <f>IF(ISERROR(MATCH(AB74,'Inputs Mapping'!$V$4:$V$5,0)),"x","")</f>
        <v>x</v>
      </c>
      <c r="W74" s="655" t="str">
        <f>IF(ISERROR(MATCH(F74,'Inputs Mapping'!$W$4:$W$8,0)),"x","")</f>
        <v>x</v>
      </c>
      <c r="X74" s="655" t="str">
        <f t="shared" si="38"/>
        <v/>
      </c>
      <c r="Y74" s="655" t="str">
        <f t="shared" si="39"/>
        <v/>
      </c>
      <c r="Z74" s="655" t="str">
        <f t="shared" si="40"/>
        <v/>
      </c>
      <c r="AA74" s="655" t="str">
        <f t="shared" si="41"/>
        <v/>
      </c>
      <c r="AB74" s="655" t="str">
        <f t="shared" si="43"/>
        <v/>
      </c>
      <c r="AC74" s="655" t="str">
        <f t="shared" si="50"/>
        <v>x</v>
      </c>
      <c r="AD74" s="655" t="str">
        <f>IF(ISBLANK(I74),"x",IF(ISNUMBER(MATCH(I74,'Inputs Mapping'!$AF$5:$AF$199,0)),"","x"))</f>
        <v>x</v>
      </c>
      <c r="AE74" s="655" t="str">
        <f t="shared" si="44"/>
        <v/>
      </c>
      <c r="AF74" s="148"/>
      <c r="AG74" s="148"/>
      <c r="AH74" s="148" t="str">
        <f t="shared" si="45"/>
        <v/>
      </c>
      <c r="AI74" s="654" t="str">
        <f>IF(J74="","",VLOOKUP(J74,'Inputs Mapping'!$T$27:$V$31,3))</f>
        <v/>
      </c>
      <c r="AJ74" s="654" t="str">
        <f>IF(J74="","",VLOOKUP(J74,'Inputs Mapping'!$T$17:$V$24,3))</f>
        <v/>
      </c>
      <c r="AK74" s="654" t="str">
        <f t="shared" si="46"/>
        <v/>
      </c>
      <c r="AL74" s="655" t="str">
        <f t="shared" si="42"/>
        <v/>
      </c>
      <c r="AM74" s="655" t="str">
        <f>IF(F74="","",IF(AE74="Dubai",HLOOKUP(F74,Inputs!$C$26:$M$36,5,0),HLOOKUP(F74,Inputs!$C$45:$M$49,5,0)))</f>
        <v/>
      </c>
      <c r="AN74" s="655">
        <f t="shared" si="47"/>
        <v>0</v>
      </c>
      <c r="AO74" s="654" t="str">
        <f>IF(AJ74="","",IF(AN74="Dubai",VLOOKUP(AJ74,'Inputs Mapping'!$V$17:$W$24,2,0),VLOOKUP(AI74,'Inputs Mapping'!$V$27:$W$31,2,0)))</f>
        <v/>
      </c>
      <c r="AP74" s="666">
        <f>IFERROR(IF($AN74="","",HLOOKUP($AN74&amp;RIGHT($AL74,1),'input for formula'!$B$16:$I$20,3,0)),0)</f>
        <v>0</v>
      </c>
      <c r="AQ74" s="656">
        <f>IFERROR(IF($AN74="","",HLOOKUP($AN74&amp;$F74,'input for formula'!$B$22:$M$25,2,0)),0)</f>
        <v>0</v>
      </c>
      <c r="AR74" s="666">
        <f>IFERROR(IF($AN74="","",HLOOKUP($AN74&amp;RIGHT($AL74,1),'input for formula'!$B$16:$I$20,4,0)),0)</f>
        <v>0</v>
      </c>
      <c r="AS74" s="656">
        <f>IFERROR(IF($AN74="","",HLOOKUP($AN74&amp;$F74,'input for formula'!$B$22:$M$25,3,0)),0)</f>
        <v>0</v>
      </c>
      <c r="AT74" s="656">
        <f>IFERROR(IF($AN74="","",HLOOKUP($AN74&amp;RIGHT($AL74,1),'input for formula'!$B$16:$I$20,5,0)),0)</f>
        <v>0</v>
      </c>
      <c r="AU74" s="656">
        <f>IFERROR(IF($AN74="","",HLOOKUP($AN74&amp;$F74,'input for formula'!$B$22:$M$25,4,0)),0)</f>
        <v>0</v>
      </c>
      <c r="AV74" s="666">
        <f>IFERROR(IF($AN74="","",IF('Census Data'!$AN74="Abu Dhabi",VLOOKUP('Census Data'!$AM74,'input for formula'!$A$28:$C$41,3,0),VLOOKUP('Census Data'!$AM74,'input for formula'!$A$28:$C$47,2,0))),0)*IFERROR(1+IF(AN74="Dubai",VLOOKUP(F74,'Quotation for Dubai Plans'!$V$6:$X$12,3,FALSE),VLOOKUP(F74,'Quotation for Abu Dhabi Plans'!$W$6:$Y$12,3,FALSE)),0)</f>
        <v>0</v>
      </c>
      <c r="AW74" s="656" t="str">
        <f t="shared" si="23"/>
        <v/>
      </c>
      <c r="AX74" s="667" t="str">
        <f>IFERROR(IF(AL74="","",IF(AN74="Dubai",HLOOKUP((AL74&amp;AM74),Deviation!$B$7:$S$8,2,0)*BF74*BH74*BI74*BG74,HLOOKUP((AL74&amp;AM74),Deviation!$B$9:$O$10,2,0)*BF74*BH74*BI74*BG74)),0)</f>
        <v/>
      </c>
      <c r="AY74" s="668" t="str">
        <f>IF(AL74="","",IFERROR(IF(AL74="","",IF(AN74="Dubai",HLOOKUP(AZ74,'input for formula'!$B$3:$F$10,AO74,FALSE), IF(AND(H74="Employee",AN74="Abu Dhabi"),HLOOKUP(AZ74,'input for formula'!$I$3:$K$7,AO74,FALSE),HLOOKUP(AZ74,'input for formula'!$M$3:$O$7,AO74,FALSE)))*AX74+AP74*AQ74+AR74*AS74+AT74*AU74),0)*$AZ$3*BK74*BJ74*IF(AND(Inputs!$C$19&gt;19,Inputs!$C$19&lt;30),(1+$AZ$2),1)*(1+$AZ$1))</f>
        <v/>
      </c>
      <c r="AZ74" s="148" t="str">
        <f t="shared" si="48"/>
        <v/>
      </c>
      <c r="BA74" s="669" t="str">
        <f>IF(F74="","",IF(AE74="Dubai",HLOOKUP(F74,Inputs!$C$26:$M$37,9,0),HLOOKUP(F74,Inputs!$C$45:$M$56,9,0)))</f>
        <v/>
      </c>
      <c r="BB74" s="670" t="str">
        <f>IF(F74="","",IF(AE74="Dubai",HLOOKUP(F74,Inputs!$C$26:$M$37,10,0),HLOOKUP(F74,Inputs!$C$45:$M$56,10,0)))</f>
        <v/>
      </c>
      <c r="BC74" s="670" t="str">
        <f>IF(F74="","",IF(AE74="Dubai",HLOOKUP(F74,Inputs!$C$26:$M$37,11,0),HLOOKUP(F74,Inputs!$C$45:$M$56,11,0)))</f>
        <v/>
      </c>
      <c r="BD74" s="669" t="str">
        <f>IF(F74="","",IF(AE74="Dubai",HLOOKUP(F74,Inputs!$C$26:$M$37,12,0),HLOOKUP(F74,Inputs!$C$45:$M$56,12,0)))</f>
        <v/>
      </c>
      <c r="BE74" s="654"/>
      <c r="BF74" s="669" t="str">
        <f>IFERROR(IF(AL74="","",IF(AN74="Dubai",IF(OR(AL74="Plan1",AL74="Plan2"),VLOOKUP(BA74,Deviation!$B$31:$D$33,2,FALSE),VLOOKUP(BA74,Deviation!$B$31:$D$33,3,FALSE)),IF(OR(AL74="Plan1",AL74="Plan2"),VLOOKUP(BA74,Deviation!$E$31:$AE$33,2,FALSE),VLOOKUP(BA74,Deviation!$E$31:$AE$33,3,FALSE)))),0)</f>
        <v/>
      </c>
      <c r="BG74" s="671" t="str">
        <f>IFERROR(IF(AL74="","",IF(AN74="Dubai",IF(AL74="Plan1",VLOOKUP(BB74,Deviation!$B$39:$C$40,2,FALSE),IF(AL74="Plan2",VLOOKUP(BB74,Deviation!$B$42:$C$43,2,FALSE),IF(AL74="Plan5",VLOOKUP(BB74,Deviation!$B$48:$C$49,2,FALSE),VLOOKUP(BB74,Deviation!$B$45:$C$46,2,FALSE)))),IF(AL74="Plan1",VLOOKUP(BB74,Deviation!$E$39:$F$40,2,FALSE),IF(AL74="Plan2",VLOOKUP(BB74,Deviation!$E$42:$F$43,2,FALSE),VLOOKUP(BB74,Deviation!$E$45:$F$46,2,FALSE))))),0)</f>
        <v/>
      </c>
      <c r="BH74" s="671" t="str">
        <f>IFERROR(IF(AL74="","",IF(AN74="Dubai",IF(OR(AL74="Plan1",AL74="Plan2"),VLOOKUP(BC74,Deviation!$B$15:$D$19,2,FALSE),VLOOKUP(BC74,Deviation!$B$15:$D$19,3,FALSE)),IF(OR(AL74="Plan1",AL74="Plan2"),VLOOKUP(BC74,Deviation!$E$15:$AE$19,2,FALSE),VLOOKUP(BC74,Deviation!$E$15:$AE$19,3,FALSE)))),0)</f>
        <v/>
      </c>
      <c r="BI74" s="669" t="str">
        <f>IFERROR(IF(AL74="","",IF(AN74="Dubai",VLOOKUP(BD74,Deviation!$B$24:$C$26,2,FALSE),100%)),0)</f>
        <v/>
      </c>
      <c r="BJ74" s="672">
        <f>IF(AE74="Abu Dhabi",1,IFERROR(VLOOKUP(AM74,Deviation!$B$67:$E$79,MATCH('Census Data'!AA74,Deviation!$B$66:$E$66,0),0),1))</f>
        <v>1</v>
      </c>
      <c r="BK74" s="659">
        <f>IFERROR(VLOOKUP(I74,Deviation!$B$54:$C$62,2,0),1)</f>
        <v>1</v>
      </c>
      <c r="BL74" s="148"/>
      <c r="BM74" s="148"/>
      <c r="BN74" s="148"/>
      <c r="BO74" s="148"/>
      <c r="BP74" s="148"/>
      <c r="BQ74" s="148"/>
      <c r="BR74" s="148"/>
      <c r="BS74" s="148"/>
      <c r="BT74" s="148" t="e">
        <f t="shared" si="49"/>
        <v>#VALUE!</v>
      </c>
      <c r="BU74" t="str">
        <f>IF(AL74="","",IFERROR(IF(AL74="","",IF(AN74="Dubai",HLOOKUP(AZ74,'input for formula'!$B$3:$F$10,AO74,FALSE), IF(AND(H74="Employee",AN74="Abu Dhabi"),HLOOKUP(AZ74,'input for formula'!$I$3:$K$7,AO74,FALSE),HLOOKUP(AZ74,'input for formula'!$M$3:$O$7,AO74,FALSE)))*AX74+AP74*AQ74+AR74*AS74+AT74*AU74),0)*$AZ$3*BK74*BJ74*IF(AND(Inputs!$C$19&gt;19,Inputs!$C$19&lt;30),(1+$AZ$2),1))</f>
        <v/>
      </c>
    </row>
    <row r="75" spans="1:73" ht="15" x14ac:dyDescent="0.25">
      <c r="A75" s="59">
        <v>70</v>
      </c>
      <c r="B75" s="621"/>
      <c r="C75" s="628"/>
      <c r="D75" s="629"/>
      <c r="E75" s="471"/>
      <c r="F75" s="298"/>
      <c r="G75" s="298"/>
      <c r="H75" s="298"/>
      <c r="I75" s="298"/>
      <c r="J75" s="80" t="str">
        <f>IFERROR(IF(C75="","",DATEDIF('Census Data'!C75,eff_date,"y")),"")</f>
        <v/>
      </c>
      <c r="K75" s="59" t="str">
        <f>IF(F75="","",IF(AE75="Dubai",HLOOKUP(F75,Inputs!$C$26:$M$28,3,0),HLOOKUP(F75,Inputs!$C$45:$M$46,2,0)))</f>
        <v/>
      </c>
      <c r="L75" s="104"/>
      <c r="M75" s="105">
        <f t="shared" si="32"/>
        <v>0</v>
      </c>
      <c r="N75" s="654" t="b">
        <f t="shared" si="33"/>
        <v>0</v>
      </c>
      <c r="O75" s="655" t="str">
        <f t="shared" si="34"/>
        <v>x</v>
      </c>
      <c r="P75" s="655" t="str">
        <f t="shared" si="35"/>
        <v>x</v>
      </c>
      <c r="Q75" s="655" t="str">
        <f t="shared" si="36"/>
        <v>x</v>
      </c>
      <c r="R75" s="655" t="str">
        <f t="shared" si="22"/>
        <v>x</v>
      </c>
      <c r="S75" s="655" t="str">
        <f t="shared" si="37"/>
        <v>x</v>
      </c>
      <c r="T75" s="655" t="str">
        <f>IF(ISERROR(MATCH(G75,'Inputs Mapping'!$T$4:$T$10,0)),"x","")</f>
        <v>x</v>
      </c>
      <c r="U75" s="655" t="str">
        <f>IF(ISERROR(MATCH(AA75,'Inputs Mapping'!$U$4:$U$5,0)),"x","")</f>
        <v>x</v>
      </c>
      <c r="V75" s="655" t="str">
        <f>IF(ISERROR(MATCH(AB75,'Inputs Mapping'!$V$4:$V$5,0)),"x","")</f>
        <v>x</v>
      </c>
      <c r="W75" s="655" t="str">
        <f>IF(ISERROR(MATCH(F75,'Inputs Mapping'!$W$4:$W$8,0)),"x","")</f>
        <v>x</v>
      </c>
      <c r="X75" s="655" t="str">
        <f t="shared" si="38"/>
        <v/>
      </c>
      <c r="Y75" s="655" t="str">
        <f t="shared" si="39"/>
        <v/>
      </c>
      <c r="Z75" s="655" t="str">
        <f t="shared" si="40"/>
        <v/>
      </c>
      <c r="AA75" s="655" t="str">
        <f t="shared" si="41"/>
        <v/>
      </c>
      <c r="AB75" s="655" t="str">
        <f t="shared" si="43"/>
        <v/>
      </c>
      <c r="AC75" s="655" t="str">
        <f t="shared" si="50"/>
        <v>x</v>
      </c>
      <c r="AD75" s="655" t="str">
        <f>IF(ISBLANK(I75),"x",IF(ISNUMBER(MATCH(I75,'Inputs Mapping'!$AF$5:$AF$199,0)),"","x"))</f>
        <v>x</v>
      </c>
      <c r="AE75" s="655" t="str">
        <f t="shared" si="44"/>
        <v/>
      </c>
      <c r="AF75" s="148"/>
      <c r="AG75" s="148"/>
      <c r="AH75" s="148" t="str">
        <f t="shared" si="45"/>
        <v/>
      </c>
      <c r="AI75" s="654" t="str">
        <f>IF(J75="","",VLOOKUP(J75,'Inputs Mapping'!$T$27:$V$31,3))</f>
        <v/>
      </c>
      <c r="AJ75" s="654" t="str">
        <f>IF(J75="","",VLOOKUP(J75,'Inputs Mapping'!$T$17:$V$24,3))</f>
        <v/>
      </c>
      <c r="AK75" s="654" t="str">
        <f t="shared" si="46"/>
        <v/>
      </c>
      <c r="AL75" s="655" t="str">
        <f t="shared" si="42"/>
        <v/>
      </c>
      <c r="AM75" s="655" t="str">
        <f>IF(F75="","",IF(AE75="Dubai",HLOOKUP(F75,Inputs!$C$26:$M$36,5,0),HLOOKUP(F75,Inputs!$C$45:$M$49,5,0)))</f>
        <v/>
      </c>
      <c r="AN75" s="655">
        <f t="shared" si="47"/>
        <v>0</v>
      </c>
      <c r="AO75" s="654" t="str">
        <f>IF(AJ75="","",IF(AN75="Dubai",VLOOKUP(AJ75,'Inputs Mapping'!$V$17:$W$24,2,0),VLOOKUP(AI75,'Inputs Mapping'!$V$27:$W$31,2,0)))</f>
        <v/>
      </c>
      <c r="AP75" s="666">
        <f>IFERROR(IF($AN75="","",HLOOKUP($AN75&amp;RIGHT($AL75,1),'input for formula'!$B$16:$I$20,3,0)),0)</f>
        <v>0</v>
      </c>
      <c r="AQ75" s="656">
        <f>IFERROR(IF($AN75="","",HLOOKUP($AN75&amp;$F75,'input for formula'!$B$22:$M$25,2,0)),0)</f>
        <v>0</v>
      </c>
      <c r="AR75" s="666">
        <f>IFERROR(IF($AN75="","",HLOOKUP($AN75&amp;RIGHT($AL75,1),'input for formula'!$B$16:$I$20,4,0)),0)</f>
        <v>0</v>
      </c>
      <c r="AS75" s="656">
        <f>IFERROR(IF($AN75="","",HLOOKUP($AN75&amp;$F75,'input for formula'!$B$22:$M$25,3,0)),0)</f>
        <v>0</v>
      </c>
      <c r="AT75" s="656">
        <f>IFERROR(IF($AN75="","",HLOOKUP($AN75&amp;RIGHT($AL75,1),'input for formula'!$B$16:$I$20,5,0)),0)</f>
        <v>0</v>
      </c>
      <c r="AU75" s="656">
        <f>IFERROR(IF($AN75="","",HLOOKUP($AN75&amp;$F75,'input for formula'!$B$22:$M$25,4,0)),0)</f>
        <v>0</v>
      </c>
      <c r="AV75" s="666">
        <f>IFERROR(IF($AN75="","",IF('Census Data'!$AN75="Abu Dhabi",VLOOKUP('Census Data'!$AM75,'input for formula'!$A$28:$C$41,3,0),VLOOKUP('Census Data'!$AM75,'input for formula'!$A$28:$C$47,2,0))),0)*IFERROR(1+IF(AN75="Dubai",VLOOKUP(F75,'Quotation for Dubai Plans'!$V$6:$X$12,3,FALSE),VLOOKUP(F75,'Quotation for Abu Dhabi Plans'!$W$6:$Y$12,3,FALSE)),0)</f>
        <v>0</v>
      </c>
      <c r="AW75" s="656" t="str">
        <f t="shared" si="23"/>
        <v/>
      </c>
      <c r="AX75" s="667" t="str">
        <f>IFERROR(IF(AL75="","",IF(AN75="Dubai",HLOOKUP((AL75&amp;AM75),Deviation!$B$7:$S$8,2,0)*BF75*BH75*BI75*BG75,HLOOKUP((AL75&amp;AM75),Deviation!$B$9:$O$10,2,0)*BF75*BH75*BI75*BG75)),0)</f>
        <v/>
      </c>
      <c r="AY75" s="668" t="str">
        <f>IF(AL75="","",IFERROR(IF(AL75="","",IF(AN75="Dubai",HLOOKUP(AZ75,'input for formula'!$B$3:$F$10,AO75,FALSE), IF(AND(H75="Employee",AN75="Abu Dhabi"),HLOOKUP(AZ75,'input for formula'!$I$3:$K$7,AO75,FALSE),HLOOKUP(AZ75,'input for formula'!$M$3:$O$7,AO75,FALSE)))*AX75+AP75*AQ75+AR75*AS75+AT75*AU75),0)*$AZ$3*BK75*BJ75*IF(AND(Inputs!$C$19&gt;19,Inputs!$C$19&lt;30),(1+$AZ$2),1)*(1+$AZ$1))</f>
        <v/>
      </c>
      <c r="AZ75" s="148" t="str">
        <f t="shared" si="48"/>
        <v/>
      </c>
      <c r="BA75" s="669" t="str">
        <f>IF(F75="","",IF(AE75="Dubai",HLOOKUP(F75,Inputs!$C$26:$M$37,9,0),HLOOKUP(F75,Inputs!$C$45:$M$56,9,0)))</f>
        <v/>
      </c>
      <c r="BB75" s="670" t="str">
        <f>IF(F75="","",IF(AE75="Dubai",HLOOKUP(F75,Inputs!$C$26:$M$37,10,0),HLOOKUP(F75,Inputs!$C$45:$M$56,10,0)))</f>
        <v/>
      </c>
      <c r="BC75" s="670" t="str">
        <f>IF(F75="","",IF(AE75="Dubai",HLOOKUP(F75,Inputs!$C$26:$M$37,11,0),HLOOKUP(F75,Inputs!$C$45:$M$56,11,0)))</f>
        <v/>
      </c>
      <c r="BD75" s="669" t="str">
        <f>IF(F75="","",IF(AE75="Dubai",HLOOKUP(F75,Inputs!$C$26:$M$37,12,0),HLOOKUP(F75,Inputs!$C$45:$M$56,12,0)))</f>
        <v/>
      </c>
      <c r="BE75" s="654"/>
      <c r="BF75" s="669" t="str">
        <f>IFERROR(IF(AL75="","",IF(AN75="Dubai",IF(OR(AL75="Plan1",AL75="Plan2"),VLOOKUP(BA75,Deviation!$B$31:$D$33,2,FALSE),VLOOKUP(BA75,Deviation!$B$31:$D$33,3,FALSE)),IF(OR(AL75="Plan1",AL75="Plan2"),VLOOKUP(BA75,Deviation!$E$31:$AE$33,2,FALSE),VLOOKUP(BA75,Deviation!$E$31:$AE$33,3,FALSE)))),0)</f>
        <v/>
      </c>
      <c r="BG75" s="671" t="str">
        <f>IFERROR(IF(AL75="","",IF(AN75="Dubai",IF(AL75="Plan1",VLOOKUP(BB75,Deviation!$B$39:$C$40,2,FALSE),IF(AL75="Plan2",VLOOKUP(BB75,Deviation!$B$42:$C$43,2,FALSE),IF(AL75="Plan5",VLOOKUP(BB75,Deviation!$B$48:$C$49,2,FALSE),VLOOKUP(BB75,Deviation!$B$45:$C$46,2,FALSE)))),IF(AL75="Plan1",VLOOKUP(BB75,Deviation!$E$39:$F$40,2,FALSE),IF(AL75="Plan2",VLOOKUP(BB75,Deviation!$E$42:$F$43,2,FALSE),VLOOKUP(BB75,Deviation!$E$45:$F$46,2,FALSE))))),0)</f>
        <v/>
      </c>
      <c r="BH75" s="671" t="str">
        <f>IFERROR(IF(AL75="","",IF(AN75="Dubai",IF(OR(AL75="Plan1",AL75="Plan2"),VLOOKUP(BC75,Deviation!$B$15:$D$19,2,FALSE),VLOOKUP(BC75,Deviation!$B$15:$D$19,3,FALSE)),IF(OR(AL75="Plan1",AL75="Plan2"),VLOOKUP(BC75,Deviation!$E$15:$AE$19,2,FALSE),VLOOKUP(BC75,Deviation!$E$15:$AE$19,3,FALSE)))),0)</f>
        <v/>
      </c>
      <c r="BI75" s="669" t="str">
        <f>IFERROR(IF(AL75="","",IF(AN75="Dubai",VLOOKUP(BD75,Deviation!$B$24:$C$26,2,FALSE),100%)),0)</f>
        <v/>
      </c>
      <c r="BJ75" s="672">
        <f>IF(AE75="Abu Dhabi",1,IFERROR(VLOOKUP(AM75,Deviation!$B$67:$E$79,MATCH('Census Data'!AA75,Deviation!$B$66:$E$66,0),0),1))</f>
        <v>1</v>
      </c>
      <c r="BK75" s="659">
        <f>IFERROR(VLOOKUP(I75,Deviation!$B$54:$C$62,2,0),1)</f>
        <v>1</v>
      </c>
      <c r="BL75" s="148"/>
      <c r="BM75" s="148"/>
      <c r="BN75" s="148"/>
      <c r="BO75" s="148"/>
      <c r="BP75" s="148"/>
      <c r="BQ75" s="148"/>
      <c r="BR75" s="148"/>
      <c r="BS75" s="148"/>
      <c r="BT75" s="148" t="e">
        <f t="shared" si="49"/>
        <v>#VALUE!</v>
      </c>
      <c r="BU75" t="str">
        <f>IF(AL75="","",IFERROR(IF(AL75="","",IF(AN75="Dubai",HLOOKUP(AZ75,'input for formula'!$B$3:$F$10,AO75,FALSE), IF(AND(H75="Employee",AN75="Abu Dhabi"),HLOOKUP(AZ75,'input for formula'!$I$3:$K$7,AO75,FALSE),HLOOKUP(AZ75,'input for formula'!$M$3:$O$7,AO75,FALSE)))*AX75+AP75*AQ75+AR75*AS75+AT75*AU75),0)*$AZ$3*BK75*BJ75*IF(AND(Inputs!$C$19&gt;19,Inputs!$C$19&lt;30),(1+$AZ$2),1))</f>
        <v/>
      </c>
    </row>
    <row r="76" spans="1:73" ht="15" x14ac:dyDescent="0.25">
      <c r="A76" s="59">
        <v>71</v>
      </c>
      <c r="B76" s="621"/>
      <c r="C76" s="628"/>
      <c r="D76" s="629"/>
      <c r="E76" s="471"/>
      <c r="F76" s="298"/>
      <c r="G76" s="298"/>
      <c r="H76" s="298"/>
      <c r="I76" s="298"/>
      <c r="J76" s="80" t="str">
        <f>IFERROR(IF(C76="","",DATEDIF('Census Data'!C76,eff_date,"y")),"")</f>
        <v/>
      </c>
      <c r="K76" s="59" t="str">
        <f>IF(F76="","",IF(AE76="Dubai",HLOOKUP(F76,Inputs!$C$26:$M$28,3,0),HLOOKUP(F76,Inputs!$C$45:$M$46,2,0)))</f>
        <v/>
      </c>
      <c r="L76" s="104"/>
      <c r="M76" s="105">
        <f t="shared" si="32"/>
        <v>0</v>
      </c>
      <c r="N76" s="654" t="b">
        <f t="shared" si="33"/>
        <v>0</v>
      </c>
      <c r="O76" s="655" t="str">
        <f t="shared" si="34"/>
        <v>x</v>
      </c>
      <c r="P76" s="655" t="str">
        <f t="shared" si="35"/>
        <v>x</v>
      </c>
      <c r="Q76" s="655" t="str">
        <f t="shared" si="36"/>
        <v>x</v>
      </c>
      <c r="R76" s="655" t="str">
        <f t="shared" si="22"/>
        <v>x</v>
      </c>
      <c r="S76" s="655" t="str">
        <f t="shared" si="37"/>
        <v>x</v>
      </c>
      <c r="T76" s="655" t="str">
        <f>IF(ISERROR(MATCH(G76,'Inputs Mapping'!$T$4:$T$10,0)),"x","")</f>
        <v>x</v>
      </c>
      <c r="U76" s="655" t="str">
        <f>IF(ISERROR(MATCH(AA76,'Inputs Mapping'!$U$4:$U$5,0)),"x","")</f>
        <v>x</v>
      </c>
      <c r="V76" s="655" t="str">
        <f>IF(ISERROR(MATCH(AB76,'Inputs Mapping'!$V$4:$V$5,0)),"x","")</f>
        <v>x</v>
      </c>
      <c r="W76" s="655" t="str">
        <f>IF(ISERROR(MATCH(F76,'Inputs Mapping'!$W$4:$W$8,0)),"x","")</f>
        <v>x</v>
      </c>
      <c r="X76" s="655" t="str">
        <f t="shared" si="38"/>
        <v/>
      </c>
      <c r="Y76" s="655" t="str">
        <f t="shared" si="39"/>
        <v/>
      </c>
      <c r="Z76" s="655" t="str">
        <f t="shared" si="40"/>
        <v/>
      </c>
      <c r="AA76" s="655" t="str">
        <f t="shared" si="41"/>
        <v/>
      </c>
      <c r="AB76" s="655" t="str">
        <f t="shared" si="43"/>
        <v/>
      </c>
      <c r="AC76" s="655" t="str">
        <f t="shared" si="50"/>
        <v>x</v>
      </c>
      <c r="AD76" s="655" t="str">
        <f>IF(ISBLANK(I76),"x",IF(ISNUMBER(MATCH(I76,'Inputs Mapping'!$AF$5:$AF$199,0)),"","x"))</f>
        <v>x</v>
      </c>
      <c r="AE76" s="655" t="str">
        <f t="shared" si="44"/>
        <v/>
      </c>
      <c r="AF76" s="148"/>
      <c r="AG76" s="148"/>
      <c r="AH76" s="148" t="str">
        <f t="shared" si="45"/>
        <v/>
      </c>
      <c r="AI76" s="654" t="str">
        <f>IF(J76="","",VLOOKUP(J76,'Inputs Mapping'!$T$27:$V$31,3))</f>
        <v/>
      </c>
      <c r="AJ76" s="654" t="str">
        <f>IF(J76="","",VLOOKUP(J76,'Inputs Mapping'!$T$17:$V$24,3))</f>
        <v/>
      </c>
      <c r="AK76" s="654" t="str">
        <f t="shared" si="46"/>
        <v/>
      </c>
      <c r="AL76" s="655" t="str">
        <f t="shared" si="42"/>
        <v/>
      </c>
      <c r="AM76" s="655" t="str">
        <f>IF(F76="","",IF(AE76="Dubai",HLOOKUP(F76,Inputs!$C$26:$M$36,5,0),HLOOKUP(F76,Inputs!$C$45:$M$49,5,0)))</f>
        <v/>
      </c>
      <c r="AN76" s="655">
        <f t="shared" si="47"/>
        <v>0</v>
      </c>
      <c r="AO76" s="654" t="str">
        <f>IF(AJ76="","",IF(AN76="Dubai",VLOOKUP(AJ76,'Inputs Mapping'!$V$17:$W$24,2,0),VLOOKUP(AI76,'Inputs Mapping'!$V$27:$W$31,2,0)))</f>
        <v/>
      </c>
      <c r="AP76" s="666">
        <f>IFERROR(IF($AN76="","",HLOOKUP($AN76&amp;RIGHT($AL76,1),'input for formula'!$B$16:$I$20,3,0)),0)</f>
        <v>0</v>
      </c>
      <c r="AQ76" s="656">
        <f>IFERROR(IF($AN76="","",HLOOKUP($AN76&amp;$F76,'input for formula'!$B$22:$M$25,2,0)),0)</f>
        <v>0</v>
      </c>
      <c r="AR76" s="666">
        <f>IFERROR(IF($AN76="","",HLOOKUP($AN76&amp;RIGHT($AL76,1),'input for formula'!$B$16:$I$20,4,0)),0)</f>
        <v>0</v>
      </c>
      <c r="AS76" s="656">
        <f>IFERROR(IF($AN76="","",HLOOKUP($AN76&amp;$F76,'input for formula'!$B$22:$M$25,3,0)),0)</f>
        <v>0</v>
      </c>
      <c r="AT76" s="656">
        <f>IFERROR(IF($AN76="","",HLOOKUP($AN76&amp;RIGHT($AL76,1),'input for formula'!$B$16:$I$20,5,0)),0)</f>
        <v>0</v>
      </c>
      <c r="AU76" s="656">
        <f>IFERROR(IF($AN76="","",HLOOKUP($AN76&amp;$F76,'input for formula'!$B$22:$M$25,4,0)),0)</f>
        <v>0</v>
      </c>
      <c r="AV76" s="666">
        <f>IFERROR(IF($AN76="","",IF('Census Data'!$AN76="Abu Dhabi",VLOOKUP('Census Data'!$AM76,'input for formula'!$A$28:$C$41,3,0),VLOOKUP('Census Data'!$AM76,'input for formula'!$A$28:$C$47,2,0))),0)*IFERROR(1+IF(AN76="Dubai",VLOOKUP(F76,'Quotation for Dubai Plans'!$V$6:$X$12,3,FALSE),VLOOKUP(F76,'Quotation for Abu Dhabi Plans'!$W$6:$Y$12,3,FALSE)),0)</f>
        <v>0</v>
      </c>
      <c r="AW76" s="656" t="str">
        <f t="shared" si="23"/>
        <v/>
      </c>
      <c r="AX76" s="667" t="str">
        <f>IFERROR(IF(AL76="","",IF(AN76="Dubai",HLOOKUP((AL76&amp;AM76),Deviation!$B$7:$S$8,2,0)*BF76*BH76*BI76*BG76,HLOOKUP((AL76&amp;AM76),Deviation!$B$9:$O$10,2,0)*BF76*BH76*BI76*BG76)),0)</f>
        <v/>
      </c>
      <c r="AY76" s="668" t="str">
        <f>IF(AL76="","",IFERROR(IF(AL76="","",IF(AN76="Dubai",HLOOKUP(AZ76,'input for formula'!$B$3:$F$10,AO76,FALSE), IF(AND(H76="Employee",AN76="Abu Dhabi"),HLOOKUP(AZ76,'input for formula'!$I$3:$K$7,AO76,FALSE),HLOOKUP(AZ76,'input for formula'!$M$3:$O$7,AO76,FALSE)))*AX76+AP76*AQ76+AR76*AS76+AT76*AU76),0)*$AZ$3*BK76*BJ76*IF(AND(Inputs!$C$19&gt;19,Inputs!$C$19&lt;30),(1+$AZ$2),1)*(1+$AZ$1))</f>
        <v/>
      </c>
      <c r="AZ76" s="148" t="str">
        <f t="shared" si="48"/>
        <v/>
      </c>
      <c r="BA76" s="669" t="str">
        <f>IF(F76="","",IF(AE76="Dubai",HLOOKUP(F76,Inputs!$C$26:$M$37,9,0),HLOOKUP(F76,Inputs!$C$45:$M$56,9,0)))</f>
        <v/>
      </c>
      <c r="BB76" s="670" t="str">
        <f>IF(F76="","",IF(AE76="Dubai",HLOOKUP(F76,Inputs!$C$26:$M$37,10,0),HLOOKUP(F76,Inputs!$C$45:$M$56,10,0)))</f>
        <v/>
      </c>
      <c r="BC76" s="670" t="str">
        <f>IF(F76="","",IF(AE76="Dubai",HLOOKUP(F76,Inputs!$C$26:$M$37,11,0),HLOOKUP(F76,Inputs!$C$45:$M$56,11,0)))</f>
        <v/>
      </c>
      <c r="BD76" s="669" t="str">
        <f>IF(F76="","",IF(AE76="Dubai",HLOOKUP(F76,Inputs!$C$26:$M$37,12,0),HLOOKUP(F76,Inputs!$C$45:$M$56,12,0)))</f>
        <v/>
      </c>
      <c r="BE76" s="654"/>
      <c r="BF76" s="669" t="str">
        <f>IFERROR(IF(AL76="","",IF(AN76="Dubai",IF(OR(AL76="Plan1",AL76="Plan2"),VLOOKUP(BA76,Deviation!$B$31:$D$33,2,FALSE),VLOOKUP(BA76,Deviation!$B$31:$D$33,3,FALSE)),IF(OR(AL76="Plan1",AL76="Plan2"),VLOOKUP(BA76,Deviation!$E$31:$AE$33,2,FALSE),VLOOKUP(BA76,Deviation!$E$31:$AE$33,3,FALSE)))),0)</f>
        <v/>
      </c>
      <c r="BG76" s="671" t="str">
        <f>IFERROR(IF(AL76="","",IF(AN76="Dubai",IF(AL76="Plan1",VLOOKUP(BB76,Deviation!$B$39:$C$40,2,FALSE),IF(AL76="Plan2",VLOOKUP(BB76,Deviation!$B$42:$C$43,2,FALSE),IF(AL76="Plan5",VLOOKUP(BB76,Deviation!$B$48:$C$49,2,FALSE),VLOOKUP(BB76,Deviation!$B$45:$C$46,2,FALSE)))),IF(AL76="Plan1",VLOOKUP(BB76,Deviation!$E$39:$F$40,2,FALSE),IF(AL76="Plan2",VLOOKUP(BB76,Deviation!$E$42:$F$43,2,FALSE),VLOOKUP(BB76,Deviation!$E$45:$F$46,2,FALSE))))),0)</f>
        <v/>
      </c>
      <c r="BH76" s="671" t="str">
        <f>IFERROR(IF(AL76="","",IF(AN76="Dubai",IF(OR(AL76="Plan1",AL76="Plan2"),VLOOKUP(BC76,Deviation!$B$15:$D$19,2,FALSE),VLOOKUP(BC76,Deviation!$B$15:$D$19,3,FALSE)),IF(OR(AL76="Plan1",AL76="Plan2"),VLOOKUP(BC76,Deviation!$E$15:$AE$19,2,FALSE),VLOOKUP(BC76,Deviation!$E$15:$AE$19,3,FALSE)))),0)</f>
        <v/>
      </c>
      <c r="BI76" s="669" t="str">
        <f>IFERROR(IF(AL76="","",IF(AN76="Dubai",VLOOKUP(BD76,Deviation!$B$24:$C$26,2,FALSE),100%)),0)</f>
        <v/>
      </c>
      <c r="BJ76" s="672">
        <f>IF(AE76="Abu Dhabi",1,IFERROR(VLOOKUP(AM76,Deviation!$B$67:$E$79,MATCH('Census Data'!AA76,Deviation!$B$66:$E$66,0),0),1))</f>
        <v>1</v>
      </c>
      <c r="BK76" s="659">
        <f>IFERROR(VLOOKUP(I76,Deviation!$B$54:$C$62,2,0),1)</f>
        <v>1</v>
      </c>
      <c r="BL76" s="148"/>
      <c r="BM76" s="148"/>
      <c r="BN76" s="148"/>
      <c r="BO76" s="148"/>
      <c r="BP76" s="148"/>
      <c r="BQ76" s="148"/>
      <c r="BR76" s="148"/>
      <c r="BS76" s="148"/>
      <c r="BT76" s="148" t="e">
        <f t="shared" si="49"/>
        <v>#VALUE!</v>
      </c>
      <c r="BU76" t="str">
        <f>IF(AL76="","",IFERROR(IF(AL76="","",IF(AN76="Dubai",HLOOKUP(AZ76,'input for formula'!$B$3:$F$10,AO76,FALSE), IF(AND(H76="Employee",AN76="Abu Dhabi"),HLOOKUP(AZ76,'input for formula'!$I$3:$K$7,AO76,FALSE),HLOOKUP(AZ76,'input for formula'!$M$3:$O$7,AO76,FALSE)))*AX76+AP76*AQ76+AR76*AS76+AT76*AU76),0)*$AZ$3*BK76*BJ76*IF(AND(Inputs!$C$19&gt;19,Inputs!$C$19&lt;30),(1+$AZ$2),1))</f>
        <v/>
      </c>
    </row>
    <row r="77" spans="1:73" ht="15" x14ac:dyDescent="0.25">
      <c r="A77" s="59">
        <v>72</v>
      </c>
      <c r="B77" s="470"/>
      <c r="C77" s="628"/>
      <c r="D77" s="629"/>
      <c r="E77" s="471"/>
      <c r="F77" s="298"/>
      <c r="G77" s="298"/>
      <c r="H77" s="298"/>
      <c r="I77" s="298"/>
      <c r="J77" s="80" t="str">
        <f>IFERROR(IF(C77="","",DATEDIF('Census Data'!C77,eff_date,"y")),"")</f>
        <v/>
      </c>
      <c r="K77" s="59" t="str">
        <f>IF(F77="","",IF(AE77="Dubai",HLOOKUP(F77,Inputs!$C$26:$M$28,3,0),HLOOKUP(F77,Inputs!$C$45:$M$46,2,0)))</f>
        <v/>
      </c>
      <c r="L77" s="104"/>
      <c r="M77" s="105">
        <f t="shared" si="32"/>
        <v>0</v>
      </c>
      <c r="N77" s="654" t="b">
        <f t="shared" si="33"/>
        <v>0</v>
      </c>
      <c r="O77" s="655" t="str">
        <f t="shared" si="34"/>
        <v>x</v>
      </c>
      <c r="P77" s="655" t="str">
        <f t="shared" si="35"/>
        <v>x</v>
      </c>
      <c r="Q77" s="655" t="str">
        <f t="shared" si="36"/>
        <v>x</v>
      </c>
      <c r="R77" s="655" t="str">
        <f t="shared" si="22"/>
        <v>x</v>
      </c>
      <c r="S77" s="655" t="str">
        <f t="shared" si="37"/>
        <v>x</v>
      </c>
      <c r="T77" s="655" t="str">
        <f>IF(ISERROR(MATCH(G77,'Inputs Mapping'!$T$4:$T$10,0)),"x","")</f>
        <v>x</v>
      </c>
      <c r="U77" s="655" t="str">
        <f>IF(ISERROR(MATCH(AA77,'Inputs Mapping'!$U$4:$U$5,0)),"x","")</f>
        <v>x</v>
      </c>
      <c r="V77" s="655" t="str">
        <f>IF(ISERROR(MATCH(AB77,'Inputs Mapping'!$V$4:$V$5,0)),"x","")</f>
        <v>x</v>
      </c>
      <c r="W77" s="655" t="str">
        <f>IF(ISERROR(MATCH(F77,'Inputs Mapping'!$W$4:$W$8,0)),"x","")</f>
        <v>x</v>
      </c>
      <c r="X77" s="655" t="str">
        <f t="shared" si="38"/>
        <v/>
      </c>
      <c r="Y77" s="655" t="str">
        <f t="shared" si="39"/>
        <v/>
      </c>
      <c r="Z77" s="655" t="str">
        <f t="shared" si="40"/>
        <v/>
      </c>
      <c r="AA77" s="655" t="str">
        <f t="shared" si="41"/>
        <v/>
      </c>
      <c r="AB77" s="655" t="str">
        <f t="shared" si="43"/>
        <v/>
      </c>
      <c r="AC77" s="655" t="str">
        <f t="shared" si="50"/>
        <v>x</v>
      </c>
      <c r="AD77" s="655" t="str">
        <f>IF(ISBLANK(I77),"x",IF(ISNUMBER(MATCH(I77,'Inputs Mapping'!$AF$5:$AF$199,0)),"","x"))</f>
        <v>x</v>
      </c>
      <c r="AE77" s="655" t="str">
        <f t="shared" si="44"/>
        <v/>
      </c>
      <c r="AF77" s="148"/>
      <c r="AG77" s="148"/>
      <c r="AH77" s="148" t="str">
        <f t="shared" si="45"/>
        <v/>
      </c>
      <c r="AI77" s="654" t="str">
        <f>IF(J77="","",VLOOKUP(J77,'Inputs Mapping'!$T$27:$V$31,3))</f>
        <v/>
      </c>
      <c r="AJ77" s="654" t="str">
        <f>IF(J77="","",VLOOKUP(J77,'Inputs Mapping'!$T$17:$V$24,3))</f>
        <v/>
      </c>
      <c r="AK77" s="654" t="str">
        <f t="shared" si="46"/>
        <v/>
      </c>
      <c r="AL77" s="655" t="str">
        <f t="shared" si="42"/>
        <v/>
      </c>
      <c r="AM77" s="655" t="str">
        <f>IF(F77="","",IF(AE77="Dubai",HLOOKUP(F77,Inputs!$C$26:$M$36,5,0),HLOOKUP(F77,Inputs!$C$45:$M$49,5,0)))</f>
        <v/>
      </c>
      <c r="AN77" s="655">
        <f t="shared" si="47"/>
        <v>0</v>
      </c>
      <c r="AO77" s="654" t="str">
        <f>IF(AJ77="","",IF(AN77="Dubai",VLOOKUP(AJ77,'Inputs Mapping'!$V$17:$W$24,2,0),VLOOKUP(AI77,'Inputs Mapping'!$V$27:$W$31,2,0)))</f>
        <v/>
      </c>
      <c r="AP77" s="666">
        <f>IFERROR(IF($AN77="","",HLOOKUP($AN77&amp;RIGHT($AL77,1),'input for formula'!$B$16:$I$20,3,0)),0)</f>
        <v>0</v>
      </c>
      <c r="AQ77" s="656">
        <f>IFERROR(IF($AN77="","",HLOOKUP($AN77&amp;$F77,'input for formula'!$B$22:$M$25,2,0)),0)</f>
        <v>0</v>
      </c>
      <c r="AR77" s="666">
        <f>IFERROR(IF($AN77="","",HLOOKUP($AN77&amp;RIGHT($AL77,1),'input for formula'!$B$16:$I$20,4,0)),0)</f>
        <v>0</v>
      </c>
      <c r="AS77" s="656">
        <f>IFERROR(IF($AN77="","",HLOOKUP($AN77&amp;$F77,'input for formula'!$B$22:$M$25,3,0)),0)</f>
        <v>0</v>
      </c>
      <c r="AT77" s="656">
        <f>IFERROR(IF($AN77="","",HLOOKUP($AN77&amp;RIGHT($AL77,1),'input for formula'!$B$16:$I$20,5,0)),0)</f>
        <v>0</v>
      </c>
      <c r="AU77" s="656">
        <f>IFERROR(IF($AN77="","",HLOOKUP($AN77&amp;$F77,'input for formula'!$B$22:$M$25,4,0)),0)</f>
        <v>0</v>
      </c>
      <c r="AV77" s="666">
        <f>IFERROR(IF($AN77="","",IF('Census Data'!$AN77="Abu Dhabi",VLOOKUP('Census Data'!$AM77,'input for formula'!$A$28:$C$41,3,0),VLOOKUP('Census Data'!$AM77,'input for formula'!$A$28:$C$47,2,0))),0)*IFERROR(1+IF(AN77="Dubai",VLOOKUP(F77,'Quotation for Dubai Plans'!$V$6:$X$12,3,FALSE),VLOOKUP(F77,'Quotation for Abu Dhabi Plans'!$W$6:$Y$12,3,FALSE)),0)</f>
        <v>0</v>
      </c>
      <c r="AW77" s="656" t="str">
        <f t="shared" si="23"/>
        <v/>
      </c>
      <c r="AX77" s="667" t="str">
        <f>IFERROR(IF(AL77="","",IF(AN77="Dubai",HLOOKUP((AL77&amp;AM77),Deviation!$B$7:$S$8,2,0)*BF77*BH77*BI77*BG77,HLOOKUP((AL77&amp;AM77),Deviation!$B$9:$O$10,2,0)*BF77*BH77*BI77*BG77)),0)</f>
        <v/>
      </c>
      <c r="AY77" s="668" t="str">
        <f>IF(AL77="","",IFERROR(IF(AL77="","",IF(AN77="Dubai",HLOOKUP(AZ77,'input for formula'!$B$3:$F$10,AO77,FALSE), IF(AND(H77="Employee",AN77="Abu Dhabi"),HLOOKUP(AZ77,'input for formula'!$I$3:$K$7,AO77,FALSE),HLOOKUP(AZ77,'input for formula'!$M$3:$O$7,AO77,FALSE)))*AX77+AP77*AQ77+AR77*AS77+AT77*AU77),0)*$AZ$3*BK77*BJ77*IF(AND(Inputs!$C$19&gt;19,Inputs!$C$19&lt;30),(1+$AZ$2),1)*(1+$AZ$1))</f>
        <v/>
      </c>
      <c r="AZ77" s="148" t="str">
        <f t="shared" si="48"/>
        <v/>
      </c>
      <c r="BA77" s="669" t="str">
        <f>IF(F77="","",IF(AE77="Dubai",HLOOKUP(F77,Inputs!$C$26:$M$37,9,0),HLOOKUP(F77,Inputs!$C$45:$M$56,9,0)))</f>
        <v/>
      </c>
      <c r="BB77" s="670" t="str">
        <f>IF(F77="","",IF(AE77="Dubai",HLOOKUP(F77,Inputs!$C$26:$M$37,10,0),HLOOKUP(F77,Inputs!$C$45:$M$56,10,0)))</f>
        <v/>
      </c>
      <c r="BC77" s="670" t="str">
        <f>IF(F77="","",IF(AE77="Dubai",HLOOKUP(F77,Inputs!$C$26:$M$37,11,0),HLOOKUP(F77,Inputs!$C$45:$M$56,11,0)))</f>
        <v/>
      </c>
      <c r="BD77" s="669" t="str">
        <f>IF(F77="","",IF(AE77="Dubai",HLOOKUP(F77,Inputs!$C$26:$M$37,12,0),HLOOKUP(F77,Inputs!$C$45:$M$56,12,0)))</f>
        <v/>
      </c>
      <c r="BE77" s="654"/>
      <c r="BF77" s="669" t="str">
        <f>IFERROR(IF(AL77="","",IF(AN77="Dubai",IF(OR(AL77="Plan1",AL77="Plan2"),VLOOKUP(BA77,Deviation!$B$31:$D$33,2,FALSE),VLOOKUP(BA77,Deviation!$B$31:$D$33,3,FALSE)),IF(OR(AL77="Plan1",AL77="Plan2"),VLOOKUP(BA77,Deviation!$E$31:$AE$33,2,FALSE),VLOOKUP(BA77,Deviation!$E$31:$AE$33,3,FALSE)))),0)</f>
        <v/>
      </c>
      <c r="BG77" s="671" t="str">
        <f>IFERROR(IF(AL77="","",IF(AN77="Dubai",IF(AL77="Plan1",VLOOKUP(BB77,Deviation!$B$39:$C$40,2,FALSE),IF(AL77="Plan2",VLOOKUP(BB77,Deviation!$B$42:$C$43,2,FALSE),IF(AL77="Plan5",VLOOKUP(BB77,Deviation!$B$48:$C$49,2,FALSE),VLOOKUP(BB77,Deviation!$B$45:$C$46,2,FALSE)))),IF(AL77="Plan1",VLOOKUP(BB77,Deviation!$E$39:$F$40,2,FALSE),IF(AL77="Plan2",VLOOKUP(BB77,Deviation!$E$42:$F$43,2,FALSE),VLOOKUP(BB77,Deviation!$E$45:$F$46,2,FALSE))))),0)</f>
        <v/>
      </c>
      <c r="BH77" s="671" t="str">
        <f>IFERROR(IF(AL77="","",IF(AN77="Dubai",IF(OR(AL77="Plan1",AL77="Plan2"),VLOOKUP(BC77,Deviation!$B$15:$D$19,2,FALSE),VLOOKUP(BC77,Deviation!$B$15:$D$19,3,FALSE)),IF(OR(AL77="Plan1",AL77="Plan2"),VLOOKUP(BC77,Deviation!$E$15:$AE$19,2,FALSE),VLOOKUP(BC77,Deviation!$E$15:$AE$19,3,FALSE)))),0)</f>
        <v/>
      </c>
      <c r="BI77" s="669" t="str">
        <f>IFERROR(IF(AL77="","",IF(AN77="Dubai",VLOOKUP(BD77,Deviation!$B$24:$C$26,2,FALSE),100%)),0)</f>
        <v/>
      </c>
      <c r="BJ77" s="672">
        <f>IF(AE77="Abu Dhabi",1,IFERROR(VLOOKUP(AM77,Deviation!$B$67:$E$79,MATCH('Census Data'!AA77,Deviation!$B$66:$E$66,0),0),1))</f>
        <v>1</v>
      </c>
      <c r="BK77" s="659">
        <f>IFERROR(VLOOKUP(I77,Deviation!$B$54:$C$62,2,0),1)</f>
        <v>1</v>
      </c>
      <c r="BL77" s="148"/>
      <c r="BM77" s="148"/>
      <c r="BN77" s="148"/>
      <c r="BO77" s="148"/>
      <c r="BP77" s="148"/>
      <c r="BQ77" s="148"/>
      <c r="BR77" s="148"/>
      <c r="BS77" s="148"/>
      <c r="BT77" s="148" t="e">
        <f t="shared" si="49"/>
        <v>#VALUE!</v>
      </c>
      <c r="BU77" t="str">
        <f>IF(AL77="","",IFERROR(IF(AL77="","",IF(AN77="Dubai",HLOOKUP(AZ77,'input for formula'!$B$3:$F$10,AO77,FALSE), IF(AND(H77="Employee",AN77="Abu Dhabi"),HLOOKUP(AZ77,'input for formula'!$I$3:$K$7,AO77,FALSE),HLOOKUP(AZ77,'input for formula'!$M$3:$O$7,AO77,FALSE)))*AX77+AP77*AQ77+AR77*AS77+AT77*AU77),0)*$AZ$3*BK77*BJ77*IF(AND(Inputs!$C$19&gt;19,Inputs!$C$19&lt;30),(1+$AZ$2),1))</f>
        <v/>
      </c>
    </row>
    <row r="78" spans="1:73" ht="15" x14ac:dyDescent="0.25">
      <c r="A78" s="59">
        <v>73</v>
      </c>
      <c r="B78" s="470"/>
      <c r="C78" s="628"/>
      <c r="D78" s="629"/>
      <c r="E78" s="471"/>
      <c r="F78" s="298"/>
      <c r="G78" s="298"/>
      <c r="H78" s="298"/>
      <c r="I78" s="298"/>
      <c r="J78" s="80" t="str">
        <f>IFERROR(IF(C78="","",DATEDIF('Census Data'!C78,eff_date,"y")),"")</f>
        <v/>
      </c>
      <c r="K78" s="59" t="str">
        <f>IF(F78="","",IF(AE78="Dubai",HLOOKUP(F78,Inputs!$C$26:$M$28,3,0),HLOOKUP(F78,Inputs!$C$45:$M$46,2,0)))</f>
        <v/>
      </c>
      <c r="L78" s="104"/>
      <c r="M78" s="105">
        <f t="shared" si="32"/>
        <v>0</v>
      </c>
      <c r="N78" s="654" t="b">
        <f t="shared" si="33"/>
        <v>0</v>
      </c>
      <c r="O78" s="655" t="str">
        <f t="shared" si="34"/>
        <v>x</v>
      </c>
      <c r="P78" s="655" t="str">
        <f t="shared" si="35"/>
        <v>x</v>
      </c>
      <c r="Q78" s="655" t="str">
        <f t="shared" si="36"/>
        <v>x</v>
      </c>
      <c r="R78" s="655" t="str">
        <f t="shared" si="22"/>
        <v>x</v>
      </c>
      <c r="S78" s="655" t="str">
        <f t="shared" si="37"/>
        <v>x</v>
      </c>
      <c r="T78" s="655" t="str">
        <f>IF(ISERROR(MATCH(G78,'Inputs Mapping'!$T$4:$T$10,0)),"x","")</f>
        <v>x</v>
      </c>
      <c r="U78" s="655" t="str">
        <f>IF(ISERROR(MATCH(AA78,'Inputs Mapping'!$U$4:$U$5,0)),"x","")</f>
        <v>x</v>
      </c>
      <c r="V78" s="655" t="str">
        <f>IF(ISERROR(MATCH(AB78,'Inputs Mapping'!$V$4:$V$5,0)),"x","")</f>
        <v>x</v>
      </c>
      <c r="W78" s="655" t="str">
        <f>IF(ISERROR(MATCH(F78,'Inputs Mapping'!$W$4:$W$8,0)),"x","")</f>
        <v>x</v>
      </c>
      <c r="X78" s="655" t="str">
        <f t="shared" si="38"/>
        <v/>
      </c>
      <c r="Y78" s="655" t="str">
        <f t="shared" si="39"/>
        <v/>
      </c>
      <c r="Z78" s="655" t="str">
        <f t="shared" si="40"/>
        <v/>
      </c>
      <c r="AA78" s="655" t="str">
        <f t="shared" si="41"/>
        <v/>
      </c>
      <c r="AB78" s="655" t="str">
        <f t="shared" si="43"/>
        <v/>
      </c>
      <c r="AC78" s="655" t="str">
        <f t="shared" si="50"/>
        <v>x</v>
      </c>
      <c r="AD78" s="655" t="str">
        <f>IF(ISBLANK(I78),"x",IF(ISNUMBER(MATCH(I78,'Inputs Mapping'!$AF$5:$AF$199,0)),"","x"))</f>
        <v>x</v>
      </c>
      <c r="AE78" s="655" t="str">
        <f t="shared" si="44"/>
        <v/>
      </c>
      <c r="AF78" s="148"/>
      <c r="AG78" s="148"/>
      <c r="AH78" s="148" t="str">
        <f t="shared" si="45"/>
        <v/>
      </c>
      <c r="AI78" s="654" t="str">
        <f>IF(J78="","",VLOOKUP(J78,'Inputs Mapping'!$T$27:$V$31,3))</f>
        <v/>
      </c>
      <c r="AJ78" s="654" t="str">
        <f>IF(J78="","",VLOOKUP(J78,'Inputs Mapping'!$T$17:$V$24,3))</f>
        <v/>
      </c>
      <c r="AK78" s="654" t="str">
        <f t="shared" si="46"/>
        <v/>
      </c>
      <c r="AL78" s="655" t="str">
        <f t="shared" si="42"/>
        <v/>
      </c>
      <c r="AM78" s="655" t="str">
        <f>IF(F78="","",IF(AE78="Dubai",HLOOKUP(F78,Inputs!$C$26:$M$36,5,0),HLOOKUP(F78,Inputs!$C$45:$M$49,5,0)))</f>
        <v/>
      </c>
      <c r="AN78" s="655">
        <f t="shared" si="47"/>
        <v>0</v>
      </c>
      <c r="AO78" s="654" t="str">
        <f>IF(AJ78="","",IF(AN78="Dubai",VLOOKUP(AJ78,'Inputs Mapping'!$V$17:$W$24,2,0),VLOOKUP(AI78,'Inputs Mapping'!$V$27:$W$31,2,0)))</f>
        <v/>
      </c>
      <c r="AP78" s="666">
        <f>IFERROR(IF($AN78="","",HLOOKUP($AN78&amp;RIGHT($AL78,1),'input for formula'!$B$16:$I$20,3,0)),0)</f>
        <v>0</v>
      </c>
      <c r="AQ78" s="656">
        <f>IFERROR(IF($AN78="","",HLOOKUP($AN78&amp;$F78,'input for formula'!$B$22:$M$25,2,0)),0)</f>
        <v>0</v>
      </c>
      <c r="AR78" s="666">
        <f>IFERROR(IF($AN78="","",HLOOKUP($AN78&amp;RIGHT($AL78,1),'input for formula'!$B$16:$I$20,4,0)),0)</f>
        <v>0</v>
      </c>
      <c r="AS78" s="656">
        <f>IFERROR(IF($AN78="","",HLOOKUP($AN78&amp;$F78,'input for formula'!$B$22:$M$25,3,0)),0)</f>
        <v>0</v>
      </c>
      <c r="AT78" s="656">
        <f>IFERROR(IF($AN78="","",HLOOKUP($AN78&amp;RIGHT($AL78,1),'input for formula'!$B$16:$I$20,5,0)),0)</f>
        <v>0</v>
      </c>
      <c r="AU78" s="656">
        <f>IFERROR(IF($AN78="","",HLOOKUP($AN78&amp;$F78,'input for formula'!$B$22:$M$25,4,0)),0)</f>
        <v>0</v>
      </c>
      <c r="AV78" s="666">
        <f>IFERROR(IF($AN78="","",IF('Census Data'!$AN78="Abu Dhabi",VLOOKUP('Census Data'!$AM78,'input for formula'!$A$28:$C$41,3,0),VLOOKUP('Census Data'!$AM78,'input for formula'!$A$28:$C$47,2,0))),0)*IFERROR(1+IF(AN78="Dubai",VLOOKUP(F78,'Quotation for Dubai Plans'!$V$6:$X$12,3,FALSE),VLOOKUP(F78,'Quotation for Abu Dhabi Plans'!$W$6:$Y$12,3,FALSE)),0)</f>
        <v>0</v>
      </c>
      <c r="AW78" s="656" t="str">
        <f t="shared" si="23"/>
        <v/>
      </c>
      <c r="AX78" s="667" t="str">
        <f>IFERROR(IF(AL78="","",IF(AN78="Dubai",HLOOKUP((AL78&amp;AM78),Deviation!$B$7:$S$8,2,0)*BF78*BH78*BI78*BG78,HLOOKUP((AL78&amp;AM78),Deviation!$B$9:$O$10,2,0)*BF78*BH78*BI78*BG78)),0)</f>
        <v/>
      </c>
      <c r="AY78" s="668" t="str">
        <f>IF(AL78="","",IFERROR(IF(AL78="","",IF(AN78="Dubai",HLOOKUP(AZ78,'input for formula'!$B$3:$F$10,AO78,FALSE), IF(AND(H78="Employee",AN78="Abu Dhabi"),HLOOKUP(AZ78,'input for formula'!$I$3:$K$7,AO78,FALSE),HLOOKUP(AZ78,'input for formula'!$M$3:$O$7,AO78,FALSE)))*AX78+AP78*AQ78+AR78*AS78+AT78*AU78),0)*$AZ$3*BK78*BJ78*IF(AND(Inputs!$C$19&gt;19,Inputs!$C$19&lt;30),(1+$AZ$2),1)*(1+$AZ$1))</f>
        <v/>
      </c>
      <c r="AZ78" s="148" t="str">
        <f t="shared" si="48"/>
        <v/>
      </c>
      <c r="BA78" s="669" t="str">
        <f>IF(F78="","",IF(AE78="Dubai",HLOOKUP(F78,Inputs!$C$26:$M$37,9,0),HLOOKUP(F78,Inputs!$C$45:$M$56,9,0)))</f>
        <v/>
      </c>
      <c r="BB78" s="670" t="str">
        <f>IF(F78="","",IF(AE78="Dubai",HLOOKUP(F78,Inputs!$C$26:$M$37,10,0),HLOOKUP(F78,Inputs!$C$45:$M$56,10,0)))</f>
        <v/>
      </c>
      <c r="BC78" s="670" t="str">
        <f>IF(F78="","",IF(AE78="Dubai",HLOOKUP(F78,Inputs!$C$26:$M$37,11,0),HLOOKUP(F78,Inputs!$C$45:$M$56,11,0)))</f>
        <v/>
      </c>
      <c r="BD78" s="669" t="str">
        <f>IF(F78="","",IF(AE78="Dubai",HLOOKUP(F78,Inputs!$C$26:$M$37,12,0),HLOOKUP(F78,Inputs!$C$45:$M$56,12,0)))</f>
        <v/>
      </c>
      <c r="BE78" s="654"/>
      <c r="BF78" s="669" t="str">
        <f>IFERROR(IF(AL78="","",IF(AN78="Dubai",IF(OR(AL78="Plan1",AL78="Plan2"),VLOOKUP(BA78,Deviation!$B$31:$D$33,2,FALSE),VLOOKUP(BA78,Deviation!$B$31:$D$33,3,FALSE)),IF(OR(AL78="Plan1",AL78="Plan2"),VLOOKUP(BA78,Deviation!$E$31:$AE$33,2,FALSE),VLOOKUP(BA78,Deviation!$E$31:$AE$33,3,FALSE)))),0)</f>
        <v/>
      </c>
      <c r="BG78" s="671" t="str">
        <f>IFERROR(IF(AL78="","",IF(AN78="Dubai",IF(AL78="Plan1",VLOOKUP(BB78,Deviation!$B$39:$C$40,2,FALSE),IF(AL78="Plan2",VLOOKUP(BB78,Deviation!$B$42:$C$43,2,FALSE),IF(AL78="Plan5",VLOOKUP(BB78,Deviation!$B$48:$C$49,2,FALSE),VLOOKUP(BB78,Deviation!$B$45:$C$46,2,FALSE)))),IF(AL78="Plan1",VLOOKUP(BB78,Deviation!$E$39:$F$40,2,FALSE),IF(AL78="Plan2",VLOOKUP(BB78,Deviation!$E$42:$F$43,2,FALSE),VLOOKUP(BB78,Deviation!$E$45:$F$46,2,FALSE))))),0)</f>
        <v/>
      </c>
      <c r="BH78" s="671" t="str">
        <f>IFERROR(IF(AL78="","",IF(AN78="Dubai",IF(OR(AL78="Plan1",AL78="Plan2"),VLOOKUP(BC78,Deviation!$B$15:$D$19,2,FALSE),VLOOKUP(BC78,Deviation!$B$15:$D$19,3,FALSE)),IF(OR(AL78="Plan1",AL78="Plan2"),VLOOKUP(BC78,Deviation!$E$15:$AE$19,2,FALSE),VLOOKUP(BC78,Deviation!$E$15:$AE$19,3,FALSE)))),0)</f>
        <v/>
      </c>
      <c r="BI78" s="669" t="str">
        <f>IFERROR(IF(AL78="","",IF(AN78="Dubai",VLOOKUP(BD78,Deviation!$B$24:$C$26,2,FALSE),100%)),0)</f>
        <v/>
      </c>
      <c r="BJ78" s="672">
        <f>IF(AE78="Abu Dhabi",1,IFERROR(VLOOKUP(AM78,Deviation!$B$67:$E$79,MATCH('Census Data'!AA78,Deviation!$B$66:$E$66,0),0),1))</f>
        <v>1</v>
      </c>
      <c r="BK78" s="659">
        <f>IFERROR(VLOOKUP(I78,Deviation!$B$54:$C$62,2,0),1)</f>
        <v>1</v>
      </c>
      <c r="BL78" s="148"/>
      <c r="BM78" s="148"/>
      <c r="BN78" s="148"/>
      <c r="BO78" s="148"/>
      <c r="BP78" s="148"/>
      <c r="BQ78" s="148"/>
      <c r="BR78" s="148"/>
      <c r="BS78" s="148"/>
      <c r="BT78" s="148" t="e">
        <f t="shared" si="49"/>
        <v>#VALUE!</v>
      </c>
      <c r="BU78" t="str">
        <f>IF(AL78="","",IFERROR(IF(AL78="","",IF(AN78="Dubai",HLOOKUP(AZ78,'input for formula'!$B$3:$F$10,AO78,FALSE), IF(AND(H78="Employee",AN78="Abu Dhabi"),HLOOKUP(AZ78,'input for formula'!$I$3:$K$7,AO78,FALSE),HLOOKUP(AZ78,'input for formula'!$M$3:$O$7,AO78,FALSE)))*AX78+AP78*AQ78+AR78*AS78+AT78*AU78),0)*$AZ$3*BK78*BJ78*IF(AND(Inputs!$C$19&gt;19,Inputs!$C$19&lt;30),(1+$AZ$2),1))</f>
        <v/>
      </c>
    </row>
    <row r="79" spans="1:73" ht="15" x14ac:dyDescent="0.25">
      <c r="A79" s="59">
        <v>74</v>
      </c>
      <c r="B79" s="470"/>
      <c r="C79" s="628"/>
      <c r="D79" s="629"/>
      <c r="E79" s="471"/>
      <c r="F79" s="298"/>
      <c r="G79" s="298"/>
      <c r="H79" s="298"/>
      <c r="I79" s="298"/>
      <c r="J79" s="80" t="str">
        <f>IFERROR(IF(C79="","",DATEDIF('Census Data'!C79,eff_date,"y")),"")</f>
        <v/>
      </c>
      <c r="K79" s="59" t="str">
        <f>IF(F79="","",IF(AE79="Dubai",HLOOKUP(F79,Inputs!$C$26:$M$28,3,0),HLOOKUP(F79,Inputs!$C$45:$M$46,2,0)))</f>
        <v/>
      </c>
      <c r="L79" s="104"/>
      <c r="M79" s="105">
        <f t="shared" si="32"/>
        <v>0</v>
      </c>
      <c r="N79" s="654" t="b">
        <f t="shared" si="33"/>
        <v>0</v>
      </c>
      <c r="O79" s="655" t="str">
        <f t="shared" si="34"/>
        <v>x</v>
      </c>
      <c r="P79" s="655" t="str">
        <f t="shared" si="35"/>
        <v>x</v>
      </c>
      <c r="Q79" s="655" t="str">
        <f t="shared" si="36"/>
        <v>x</v>
      </c>
      <c r="R79" s="655" t="str">
        <f t="shared" si="22"/>
        <v>x</v>
      </c>
      <c r="S79" s="655" t="str">
        <f t="shared" si="37"/>
        <v>x</v>
      </c>
      <c r="T79" s="655" t="str">
        <f>IF(ISERROR(MATCH(G79,'Inputs Mapping'!$T$4:$T$10,0)),"x","")</f>
        <v>x</v>
      </c>
      <c r="U79" s="655" t="str">
        <f>IF(ISERROR(MATCH(AA79,'Inputs Mapping'!$U$4:$U$5,0)),"x","")</f>
        <v>x</v>
      </c>
      <c r="V79" s="655" t="str">
        <f>IF(ISERROR(MATCH(AB79,'Inputs Mapping'!$V$4:$V$5,0)),"x","")</f>
        <v>x</v>
      </c>
      <c r="W79" s="655" t="str">
        <f>IF(ISERROR(MATCH(F79,'Inputs Mapping'!$W$4:$W$8,0)),"x","")</f>
        <v>x</v>
      </c>
      <c r="X79" s="655" t="str">
        <f t="shared" si="38"/>
        <v/>
      </c>
      <c r="Y79" s="655" t="str">
        <f t="shared" si="39"/>
        <v/>
      </c>
      <c r="Z79" s="655" t="str">
        <f t="shared" si="40"/>
        <v/>
      </c>
      <c r="AA79" s="655" t="str">
        <f t="shared" si="41"/>
        <v/>
      </c>
      <c r="AB79" s="655" t="str">
        <f t="shared" si="43"/>
        <v/>
      </c>
      <c r="AC79" s="655" t="str">
        <f t="shared" si="50"/>
        <v>x</v>
      </c>
      <c r="AD79" s="655" t="str">
        <f>IF(ISBLANK(I79),"x",IF(ISNUMBER(MATCH(I79,'Inputs Mapping'!$AF$5:$AF$199,0)),"","x"))</f>
        <v>x</v>
      </c>
      <c r="AE79" s="655" t="str">
        <f t="shared" si="44"/>
        <v/>
      </c>
      <c r="AF79" s="148"/>
      <c r="AG79" s="148"/>
      <c r="AH79" s="148" t="str">
        <f t="shared" si="45"/>
        <v/>
      </c>
      <c r="AI79" s="654" t="str">
        <f>IF(J79="","",VLOOKUP(J79,'Inputs Mapping'!$T$27:$V$31,3))</f>
        <v/>
      </c>
      <c r="AJ79" s="654" t="str">
        <f>IF(J79="","",VLOOKUP(J79,'Inputs Mapping'!$T$17:$V$24,3))</f>
        <v/>
      </c>
      <c r="AK79" s="654" t="str">
        <f t="shared" si="46"/>
        <v/>
      </c>
      <c r="AL79" s="655" t="str">
        <f t="shared" si="42"/>
        <v/>
      </c>
      <c r="AM79" s="655" t="str">
        <f>IF(F79="","",IF(AE79="Dubai",HLOOKUP(F79,Inputs!$C$26:$M$36,5,0),HLOOKUP(F79,Inputs!$C$45:$M$49,5,0)))</f>
        <v/>
      </c>
      <c r="AN79" s="655">
        <f t="shared" si="47"/>
        <v>0</v>
      </c>
      <c r="AO79" s="654" t="str">
        <f>IF(AJ79="","",IF(AN79="Dubai",VLOOKUP(AJ79,'Inputs Mapping'!$V$17:$W$24,2,0),VLOOKUP(AI79,'Inputs Mapping'!$V$27:$W$31,2,0)))</f>
        <v/>
      </c>
      <c r="AP79" s="666">
        <f>IFERROR(IF($AN79="","",HLOOKUP($AN79&amp;RIGHT($AL79,1),'input for formula'!$B$16:$I$20,3,0)),0)</f>
        <v>0</v>
      </c>
      <c r="AQ79" s="656">
        <f>IFERROR(IF($AN79="","",HLOOKUP($AN79&amp;$F79,'input for formula'!$B$22:$M$25,2,0)),0)</f>
        <v>0</v>
      </c>
      <c r="AR79" s="666">
        <f>IFERROR(IF($AN79="","",HLOOKUP($AN79&amp;RIGHT($AL79,1),'input for formula'!$B$16:$I$20,4,0)),0)</f>
        <v>0</v>
      </c>
      <c r="AS79" s="656">
        <f>IFERROR(IF($AN79="","",HLOOKUP($AN79&amp;$F79,'input for formula'!$B$22:$M$25,3,0)),0)</f>
        <v>0</v>
      </c>
      <c r="AT79" s="656">
        <f>IFERROR(IF($AN79="","",HLOOKUP($AN79&amp;RIGHT($AL79,1),'input for formula'!$B$16:$I$20,5,0)),0)</f>
        <v>0</v>
      </c>
      <c r="AU79" s="656">
        <f>IFERROR(IF($AN79="","",HLOOKUP($AN79&amp;$F79,'input for formula'!$B$22:$M$25,4,0)),0)</f>
        <v>0</v>
      </c>
      <c r="AV79" s="666">
        <f>IFERROR(IF($AN79="","",IF('Census Data'!$AN79="Abu Dhabi",VLOOKUP('Census Data'!$AM79,'input for formula'!$A$28:$C$41,3,0),VLOOKUP('Census Data'!$AM79,'input for formula'!$A$28:$C$47,2,0))),0)*IFERROR(1+IF(AN79="Dubai",VLOOKUP(F79,'Quotation for Dubai Plans'!$V$6:$X$12,3,FALSE),VLOOKUP(F79,'Quotation for Abu Dhabi Plans'!$W$6:$Y$12,3,FALSE)),0)</f>
        <v>0</v>
      </c>
      <c r="AW79" s="656" t="str">
        <f t="shared" si="23"/>
        <v/>
      </c>
      <c r="AX79" s="667" t="str">
        <f>IFERROR(IF(AL79="","",IF(AN79="Dubai",HLOOKUP((AL79&amp;AM79),Deviation!$B$7:$S$8,2,0)*BF79*BH79*BI79*BG79,HLOOKUP((AL79&amp;AM79),Deviation!$B$9:$O$10,2,0)*BF79*BH79*BI79*BG79)),0)</f>
        <v/>
      </c>
      <c r="AY79" s="668" t="str">
        <f>IF(AL79="","",IFERROR(IF(AL79="","",IF(AN79="Dubai",HLOOKUP(AZ79,'input for formula'!$B$3:$F$10,AO79,FALSE), IF(AND(H79="Employee",AN79="Abu Dhabi"),HLOOKUP(AZ79,'input for formula'!$I$3:$K$7,AO79,FALSE),HLOOKUP(AZ79,'input for formula'!$M$3:$O$7,AO79,FALSE)))*AX79+AP79*AQ79+AR79*AS79+AT79*AU79),0)*$AZ$3*BK79*BJ79*IF(AND(Inputs!$C$19&gt;19,Inputs!$C$19&lt;30),(1+$AZ$2),1)*(1+$AZ$1))</f>
        <v/>
      </c>
      <c r="AZ79" s="148" t="str">
        <f t="shared" si="48"/>
        <v/>
      </c>
      <c r="BA79" s="669" t="str">
        <f>IF(F79="","",IF(AE79="Dubai",HLOOKUP(F79,Inputs!$C$26:$M$37,9,0),HLOOKUP(F79,Inputs!$C$45:$M$56,9,0)))</f>
        <v/>
      </c>
      <c r="BB79" s="670" t="str">
        <f>IF(F79="","",IF(AE79="Dubai",HLOOKUP(F79,Inputs!$C$26:$M$37,10,0),HLOOKUP(F79,Inputs!$C$45:$M$56,10,0)))</f>
        <v/>
      </c>
      <c r="BC79" s="670" t="str">
        <f>IF(F79="","",IF(AE79="Dubai",HLOOKUP(F79,Inputs!$C$26:$M$37,11,0),HLOOKUP(F79,Inputs!$C$45:$M$56,11,0)))</f>
        <v/>
      </c>
      <c r="BD79" s="669" t="str">
        <f>IF(F79="","",IF(AE79="Dubai",HLOOKUP(F79,Inputs!$C$26:$M$37,12,0),HLOOKUP(F79,Inputs!$C$45:$M$56,12,0)))</f>
        <v/>
      </c>
      <c r="BE79" s="654"/>
      <c r="BF79" s="669" t="str">
        <f>IFERROR(IF(AL79="","",IF(AN79="Dubai",IF(OR(AL79="Plan1",AL79="Plan2"),VLOOKUP(BA79,Deviation!$B$31:$D$33,2,FALSE),VLOOKUP(BA79,Deviation!$B$31:$D$33,3,FALSE)),IF(OR(AL79="Plan1",AL79="Plan2"),VLOOKUP(BA79,Deviation!$E$31:$AE$33,2,FALSE),VLOOKUP(BA79,Deviation!$E$31:$AE$33,3,FALSE)))),0)</f>
        <v/>
      </c>
      <c r="BG79" s="671" t="str">
        <f>IFERROR(IF(AL79="","",IF(AN79="Dubai",IF(AL79="Plan1",VLOOKUP(BB79,Deviation!$B$39:$C$40,2,FALSE),IF(AL79="Plan2",VLOOKUP(BB79,Deviation!$B$42:$C$43,2,FALSE),IF(AL79="Plan5",VLOOKUP(BB79,Deviation!$B$48:$C$49,2,FALSE),VLOOKUP(BB79,Deviation!$B$45:$C$46,2,FALSE)))),IF(AL79="Plan1",VLOOKUP(BB79,Deviation!$E$39:$F$40,2,FALSE),IF(AL79="Plan2",VLOOKUP(BB79,Deviation!$E$42:$F$43,2,FALSE),VLOOKUP(BB79,Deviation!$E$45:$F$46,2,FALSE))))),0)</f>
        <v/>
      </c>
      <c r="BH79" s="671" t="str">
        <f>IFERROR(IF(AL79="","",IF(AN79="Dubai",IF(OR(AL79="Plan1",AL79="Plan2"),VLOOKUP(BC79,Deviation!$B$15:$D$19,2,FALSE),VLOOKUP(BC79,Deviation!$B$15:$D$19,3,FALSE)),IF(OR(AL79="Plan1",AL79="Plan2"),VLOOKUP(BC79,Deviation!$E$15:$AE$19,2,FALSE),VLOOKUP(BC79,Deviation!$E$15:$AE$19,3,FALSE)))),0)</f>
        <v/>
      </c>
      <c r="BI79" s="669" t="str">
        <f>IFERROR(IF(AL79="","",IF(AN79="Dubai",VLOOKUP(BD79,Deviation!$B$24:$C$26,2,FALSE),100%)),0)</f>
        <v/>
      </c>
      <c r="BJ79" s="672">
        <f>IF(AE79="Abu Dhabi",1,IFERROR(VLOOKUP(AM79,Deviation!$B$67:$E$79,MATCH('Census Data'!AA79,Deviation!$B$66:$E$66,0),0),1))</f>
        <v>1</v>
      </c>
      <c r="BK79" s="659">
        <f>IFERROR(VLOOKUP(I79,Deviation!$B$54:$C$62,2,0),1)</f>
        <v>1</v>
      </c>
      <c r="BL79" s="148"/>
      <c r="BM79" s="148"/>
      <c r="BN79" s="148"/>
      <c r="BO79" s="148"/>
      <c r="BP79" s="148"/>
      <c r="BQ79" s="148"/>
      <c r="BR79" s="148"/>
      <c r="BS79" s="148"/>
      <c r="BT79" s="148" t="e">
        <f t="shared" si="49"/>
        <v>#VALUE!</v>
      </c>
      <c r="BU79" t="str">
        <f>IF(AL79="","",IFERROR(IF(AL79="","",IF(AN79="Dubai",HLOOKUP(AZ79,'input for formula'!$B$3:$F$10,AO79,FALSE), IF(AND(H79="Employee",AN79="Abu Dhabi"),HLOOKUP(AZ79,'input for formula'!$I$3:$K$7,AO79,FALSE),HLOOKUP(AZ79,'input for formula'!$M$3:$O$7,AO79,FALSE)))*AX79+AP79*AQ79+AR79*AS79+AT79*AU79),0)*$AZ$3*BK79*BJ79*IF(AND(Inputs!$C$19&gt;19,Inputs!$C$19&lt;30),(1+$AZ$2),1))</f>
        <v/>
      </c>
    </row>
    <row r="80" spans="1:73" ht="15" x14ac:dyDescent="0.25">
      <c r="A80" s="59">
        <v>75</v>
      </c>
      <c r="B80" s="470"/>
      <c r="C80" s="628"/>
      <c r="D80" s="629"/>
      <c r="E80" s="471"/>
      <c r="F80" s="298"/>
      <c r="G80" s="298"/>
      <c r="H80" s="298"/>
      <c r="I80" s="298"/>
      <c r="J80" s="80" t="str">
        <f>IFERROR(IF(C80="","",DATEDIF('Census Data'!C80,eff_date,"y")),"")</f>
        <v/>
      </c>
      <c r="K80" s="59" t="str">
        <f>IF(F80="","",IF(AE80="Dubai",HLOOKUP(F80,Inputs!$C$26:$M$28,3,0),HLOOKUP(F80,Inputs!$C$45:$M$46,2,0)))</f>
        <v/>
      </c>
      <c r="L80" s="104"/>
      <c r="M80" s="105">
        <f t="shared" si="32"/>
        <v>0</v>
      </c>
      <c r="N80" s="654" t="b">
        <f t="shared" si="33"/>
        <v>0</v>
      </c>
      <c r="O80" s="655" t="str">
        <f t="shared" si="34"/>
        <v>x</v>
      </c>
      <c r="P80" s="655" t="str">
        <f t="shared" si="35"/>
        <v>x</v>
      </c>
      <c r="Q80" s="655" t="str">
        <f t="shared" si="36"/>
        <v>x</v>
      </c>
      <c r="R80" s="655" t="str">
        <f t="shared" si="22"/>
        <v>x</v>
      </c>
      <c r="S80" s="655" t="str">
        <f t="shared" si="37"/>
        <v>x</v>
      </c>
      <c r="T80" s="655" t="str">
        <f>IF(ISERROR(MATCH(G80,'Inputs Mapping'!$T$4:$T$10,0)),"x","")</f>
        <v>x</v>
      </c>
      <c r="U80" s="655" t="str">
        <f>IF(ISERROR(MATCH(AA80,'Inputs Mapping'!$U$4:$U$5,0)),"x","")</f>
        <v>x</v>
      </c>
      <c r="V80" s="655" t="str">
        <f>IF(ISERROR(MATCH(AB80,'Inputs Mapping'!$V$4:$V$5,0)),"x","")</f>
        <v>x</v>
      </c>
      <c r="W80" s="655" t="str">
        <f>IF(ISERROR(MATCH(F80,'Inputs Mapping'!$W$4:$W$8,0)),"x","")</f>
        <v>x</v>
      </c>
      <c r="X80" s="655" t="str">
        <f t="shared" si="38"/>
        <v/>
      </c>
      <c r="Y80" s="655" t="str">
        <f t="shared" si="39"/>
        <v/>
      </c>
      <c r="Z80" s="655" t="str">
        <f t="shared" si="40"/>
        <v/>
      </c>
      <c r="AA80" s="655" t="str">
        <f t="shared" si="41"/>
        <v/>
      </c>
      <c r="AB80" s="655" t="str">
        <f t="shared" si="43"/>
        <v/>
      </c>
      <c r="AC80" s="655" t="str">
        <f t="shared" si="50"/>
        <v>x</v>
      </c>
      <c r="AD80" s="655" t="str">
        <f>IF(ISBLANK(I80),"x",IF(ISNUMBER(MATCH(I80,'Inputs Mapping'!$AF$5:$AF$199,0)),"","x"))</f>
        <v>x</v>
      </c>
      <c r="AE80" s="655" t="str">
        <f t="shared" si="44"/>
        <v/>
      </c>
      <c r="AF80" s="148"/>
      <c r="AG80" s="148"/>
      <c r="AH80" s="148" t="str">
        <f t="shared" si="45"/>
        <v/>
      </c>
      <c r="AI80" s="654" t="str">
        <f>IF(J80="","",VLOOKUP(J80,'Inputs Mapping'!$T$27:$V$31,3))</f>
        <v/>
      </c>
      <c r="AJ80" s="654" t="str">
        <f>IF(J80="","",VLOOKUP(J80,'Inputs Mapping'!$T$17:$V$24,3))</f>
        <v/>
      </c>
      <c r="AK80" s="654" t="str">
        <f t="shared" si="46"/>
        <v/>
      </c>
      <c r="AL80" s="655" t="str">
        <f t="shared" si="42"/>
        <v/>
      </c>
      <c r="AM80" s="655" t="str">
        <f>IF(F80="","",IF(AE80="Dubai",HLOOKUP(F80,Inputs!$C$26:$M$36,5,0),HLOOKUP(F80,Inputs!$C$45:$M$49,5,0)))</f>
        <v/>
      </c>
      <c r="AN80" s="655">
        <f t="shared" si="47"/>
        <v>0</v>
      </c>
      <c r="AO80" s="654" t="str">
        <f>IF(AJ80="","",IF(AN80="Dubai",VLOOKUP(AJ80,'Inputs Mapping'!$V$17:$W$24,2,0),VLOOKUP(AI80,'Inputs Mapping'!$V$27:$W$31,2,0)))</f>
        <v/>
      </c>
      <c r="AP80" s="666">
        <f>IFERROR(IF($AN80="","",HLOOKUP($AN80&amp;RIGHT($AL80,1),'input for formula'!$B$16:$I$20,3,0)),0)</f>
        <v>0</v>
      </c>
      <c r="AQ80" s="656">
        <f>IFERROR(IF($AN80="","",HLOOKUP($AN80&amp;$F80,'input for formula'!$B$22:$M$25,2,0)),0)</f>
        <v>0</v>
      </c>
      <c r="AR80" s="666">
        <f>IFERROR(IF($AN80="","",HLOOKUP($AN80&amp;RIGHT($AL80,1),'input for formula'!$B$16:$I$20,4,0)),0)</f>
        <v>0</v>
      </c>
      <c r="AS80" s="656">
        <f>IFERROR(IF($AN80="","",HLOOKUP($AN80&amp;$F80,'input for formula'!$B$22:$M$25,3,0)),0)</f>
        <v>0</v>
      </c>
      <c r="AT80" s="656">
        <f>IFERROR(IF($AN80="","",HLOOKUP($AN80&amp;RIGHT($AL80,1),'input for formula'!$B$16:$I$20,5,0)),0)</f>
        <v>0</v>
      </c>
      <c r="AU80" s="656">
        <f>IFERROR(IF($AN80="","",HLOOKUP($AN80&amp;$F80,'input for formula'!$B$22:$M$25,4,0)),0)</f>
        <v>0</v>
      </c>
      <c r="AV80" s="666">
        <f>IFERROR(IF($AN80="","",IF('Census Data'!$AN80="Abu Dhabi",VLOOKUP('Census Data'!$AM80,'input for formula'!$A$28:$C$41,3,0),VLOOKUP('Census Data'!$AM80,'input for formula'!$A$28:$C$47,2,0))),0)*IFERROR(1+IF(AN80="Dubai",VLOOKUP(F80,'Quotation for Dubai Plans'!$V$6:$X$12,3,FALSE),VLOOKUP(F80,'Quotation for Abu Dhabi Plans'!$W$6:$Y$12,3,FALSE)),0)</f>
        <v>0</v>
      </c>
      <c r="AW80" s="656" t="str">
        <f t="shared" si="23"/>
        <v/>
      </c>
      <c r="AX80" s="667" t="str">
        <f>IFERROR(IF(AL80="","",IF(AN80="Dubai",HLOOKUP((AL80&amp;AM80),Deviation!$B$7:$S$8,2,0)*BF80*BH80*BI80*BG80,HLOOKUP((AL80&amp;AM80),Deviation!$B$9:$O$10,2,0)*BF80*BH80*BI80*BG80)),0)</f>
        <v/>
      </c>
      <c r="AY80" s="668" t="str">
        <f>IF(AL80="","",IFERROR(IF(AL80="","",IF(AN80="Dubai",HLOOKUP(AZ80,'input for formula'!$B$3:$F$10,AO80,FALSE), IF(AND(H80="Employee",AN80="Abu Dhabi"),HLOOKUP(AZ80,'input for formula'!$I$3:$K$7,AO80,FALSE),HLOOKUP(AZ80,'input for formula'!$M$3:$O$7,AO80,FALSE)))*AX80+AP80*AQ80+AR80*AS80+AT80*AU80),0)*$AZ$3*BK80*BJ80*IF(AND(Inputs!$C$19&gt;19,Inputs!$C$19&lt;30),(1+$AZ$2),1)*(1+$AZ$1))</f>
        <v/>
      </c>
      <c r="AZ80" s="148" t="str">
        <f t="shared" si="48"/>
        <v/>
      </c>
      <c r="BA80" s="669" t="str">
        <f>IF(F80="","",IF(AE80="Dubai",HLOOKUP(F80,Inputs!$C$26:$M$37,9,0),HLOOKUP(F80,Inputs!$C$45:$M$56,9,0)))</f>
        <v/>
      </c>
      <c r="BB80" s="670" t="str">
        <f>IF(F80="","",IF(AE80="Dubai",HLOOKUP(F80,Inputs!$C$26:$M$37,10,0),HLOOKUP(F80,Inputs!$C$45:$M$56,10,0)))</f>
        <v/>
      </c>
      <c r="BC80" s="670" t="str">
        <f>IF(F80="","",IF(AE80="Dubai",HLOOKUP(F80,Inputs!$C$26:$M$37,11,0),HLOOKUP(F80,Inputs!$C$45:$M$56,11,0)))</f>
        <v/>
      </c>
      <c r="BD80" s="669" t="str">
        <f>IF(F80="","",IF(AE80="Dubai",HLOOKUP(F80,Inputs!$C$26:$M$37,12,0),HLOOKUP(F80,Inputs!$C$45:$M$56,12,0)))</f>
        <v/>
      </c>
      <c r="BE80" s="654"/>
      <c r="BF80" s="669" t="str">
        <f>IFERROR(IF(AL80="","",IF(AN80="Dubai",IF(OR(AL80="Plan1",AL80="Plan2"),VLOOKUP(BA80,Deviation!$B$31:$D$33,2,FALSE),VLOOKUP(BA80,Deviation!$B$31:$D$33,3,FALSE)),IF(OR(AL80="Plan1",AL80="Plan2"),VLOOKUP(BA80,Deviation!$E$31:$AE$33,2,FALSE),VLOOKUP(BA80,Deviation!$E$31:$AE$33,3,FALSE)))),0)</f>
        <v/>
      </c>
      <c r="BG80" s="671" t="str">
        <f>IFERROR(IF(AL80="","",IF(AN80="Dubai",IF(AL80="Plan1",VLOOKUP(BB80,Deviation!$B$39:$C$40,2,FALSE),IF(AL80="Plan2",VLOOKUP(BB80,Deviation!$B$42:$C$43,2,FALSE),IF(AL80="Plan5",VLOOKUP(BB80,Deviation!$B$48:$C$49,2,FALSE),VLOOKUP(BB80,Deviation!$B$45:$C$46,2,FALSE)))),IF(AL80="Plan1",VLOOKUP(BB80,Deviation!$E$39:$F$40,2,FALSE),IF(AL80="Plan2",VLOOKUP(BB80,Deviation!$E$42:$F$43,2,FALSE),VLOOKUP(BB80,Deviation!$E$45:$F$46,2,FALSE))))),0)</f>
        <v/>
      </c>
      <c r="BH80" s="671" t="str">
        <f>IFERROR(IF(AL80="","",IF(AN80="Dubai",IF(OR(AL80="Plan1",AL80="Plan2"),VLOOKUP(BC80,Deviation!$B$15:$D$19,2,FALSE),VLOOKUP(BC80,Deviation!$B$15:$D$19,3,FALSE)),IF(OR(AL80="Plan1",AL80="Plan2"),VLOOKUP(BC80,Deviation!$E$15:$AE$19,2,FALSE),VLOOKUP(BC80,Deviation!$E$15:$AE$19,3,FALSE)))),0)</f>
        <v/>
      </c>
      <c r="BI80" s="669" t="str">
        <f>IFERROR(IF(AL80="","",IF(AN80="Dubai",VLOOKUP(BD80,Deviation!$B$24:$C$26,2,FALSE),100%)),0)</f>
        <v/>
      </c>
      <c r="BJ80" s="672">
        <f>IF(AE80="Abu Dhabi",1,IFERROR(VLOOKUP(AM80,Deviation!$B$67:$E$79,MATCH('Census Data'!AA80,Deviation!$B$66:$E$66,0),0),1))</f>
        <v>1</v>
      </c>
      <c r="BK80" s="659">
        <f>IFERROR(VLOOKUP(I80,Deviation!$B$54:$C$62,2,0),1)</f>
        <v>1</v>
      </c>
      <c r="BL80" s="148"/>
      <c r="BM80" s="148"/>
      <c r="BN80" s="148"/>
      <c r="BO80" s="148"/>
      <c r="BP80" s="148"/>
      <c r="BQ80" s="148"/>
      <c r="BR80" s="148"/>
      <c r="BS80" s="148"/>
      <c r="BT80" s="148" t="e">
        <f t="shared" si="49"/>
        <v>#VALUE!</v>
      </c>
      <c r="BU80" t="str">
        <f>IF(AL80="","",IFERROR(IF(AL80="","",IF(AN80="Dubai",HLOOKUP(AZ80,'input for formula'!$B$3:$F$10,AO80,FALSE), IF(AND(H80="Employee",AN80="Abu Dhabi"),HLOOKUP(AZ80,'input for formula'!$I$3:$K$7,AO80,FALSE),HLOOKUP(AZ80,'input for formula'!$M$3:$O$7,AO80,FALSE)))*AX80+AP80*AQ80+AR80*AS80+AT80*AU80),0)*$AZ$3*BK80*BJ80*IF(AND(Inputs!$C$19&gt;19,Inputs!$C$19&lt;30),(1+$AZ$2),1))</f>
        <v/>
      </c>
    </row>
    <row r="81" spans="1:73" ht="15" x14ac:dyDescent="0.25">
      <c r="A81" s="59">
        <v>76</v>
      </c>
      <c r="B81" s="470"/>
      <c r="C81" s="628"/>
      <c r="D81" s="629"/>
      <c r="E81" s="471"/>
      <c r="F81" s="298"/>
      <c r="G81" s="298"/>
      <c r="H81" s="298"/>
      <c r="I81" s="298"/>
      <c r="J81" s="80" t="str">
        <f>IFERROR(IF(C81="","",DATEDIF('Census Data'!C81,eff_date,"y")),"")</f>
        <v/>
      </c>
      <c r="K81" s="59" t="str">
        <f>IF(F81="","",IF(AE81="Dubai",HLOOKUP(F81,Inputs!$C$26:$M$28,3,0),HLOOKUP(F81,Inputs!$C$45:$M$46,2,0)))</f>
        <v/>
      </c>
      <c r="L81" s="104"/>
      <c r="M81" s="105">
        <f t="shared" si="32"/>
        <v>0</v>
      </c>
      <c r="N81" s="654" t="b">
        <f t="shared" si="33"/>
        <v>0</v>
      </c>
      <c r="O81" s="655" t="str">
        <f t="shared" si="34"/>
        <v>x</v>
      </c>
      <c r="P81" s="655" t="str">
        <f t="shared" si="35"/>
        <v>x</v>
      </c>
      <c r="Q81" s="655" t="str">
        <f t="shared" si="36"/>
        <v>x</v>
      </c>
      <c r="R81" s="655" t="str">
        <f t="shared" si="22"/>
        <v>x</v>
      </c>
      <c r="S81" s="655" t="str">
        <f t="shared" si="37"/>
        <v>x</v>
      </c>
      <c r="T81" s="655" t="str">
        <f>IF(ISERROR(MATCH(G81,'Inputs Mapping'!$T$4:$T$10,0)),"x","")</f>
        <v>x</v>
      </c>
      <c r="U81" s="655" t="str">
        <f>IF(ISERROR(MATCH(AA81,'Inputs Mapping'!$U$4:$U$5,0)),"x","")</f>
        <v>x</v>
      </c>
      <c r="V81" s="655" t="str">
        <f>IF(ISERROR(MATCH(AB81,'Inputs Mapping'!$V$4:$V$5,0)),"x","")</f>
        <v>x</v>
      </c>
      <c r="W81" s="655" t="str">
        <f>IF(ISERROR(MATCH(F81,'Inputs Mapping'!$W$4:$W$8,0)),"x","")</f>
        <v>x</v>
      </c>
      <c r="X81" s="655" t="str">
        <f t="shared" si="38"/>
        <v/>
      </c>
      <c r="Y81" s="655" t="str">
        <f t="shared" si="39"/>
        <v/>
      </c>
      <c r="Z81" s="655" t="str">
        <f t="shared" si="40"/>
        <v/>
      </c>
      <c r="AA81" s="655" t="str">
        <f t="shared" si="41"/>
        <v/>
      </c>
      <c r="AB81" s="655" t="str">
        <f t="shared" si="43"/>
        <v/>
      </c>
      <c r="AC81" s="655" t="str">
        <f t="shared" si="50"/>
        <v>x</v>
      </c>
      <c r="AD81" s="655" t="str">
        <f>IF(ISBLANK(I81),"x",IF(ISNUMBER(MATCH(I81,'Inputs Mapping'!$AF$5:$AF$199,0)),"","x"))</f>
        <v>x</v>
      </c>
      <c r="AE81" s="655" t="str">
        <f t="shared" si="44"/>
        <v/>
      </c>
      <c r="AF81" s="148"/>
      <c r="AG81" s="148"/>
      <c r="AH81" s="148" t="str">
        <f t="shared" si="45"/>
        <v/>
      </c>
      <c r="AI81" s="654" t="str">
        <f>IF(J81="","",VLOOKUP(J81,'Inputs Mapping'!$T$27:$V$31,3))</f>
        <v/>
      </c>
      <c r="AJ81" s="654" t="str">
        <f>IF(J81="","",VLOOKUP(J81,'Inputs Mapping'!$T$17:$V$24,3))</f>
        <v/>
      </c>
      <c r="AK81" s="654" t="str">
        <f t="shared" si="46"/>
        <v/>
      </c>
      <c r="AL81" s="655" t="str">
        <f t="shared" si="42"/>
        <v/>
      </c>
      <c r="AM81" s="655" t="str">
        <f>IF(F81="","",IF(AE81="Dubai",HLOOKUP(F81,Inputs!$C$26:$M$36,5,0),HLOOKUP(F81,Inputs!$C$45:$M$49,5,0)))</f>
        <v/>
      </c>
      <c r="AN81" s="655">
        <f t="shared" si="47"/>
        <v>0</v>
      </c>
      <c r="AO81" s="654" t="str">
        <f>IF(AJ81="","",IF(AN81="Dubai",VLOOKUP(AJ81,'Inputs Mapping'!$V$17:$W$24,2,0),VLOOKUP(AI81,'Inputs Mapping'!$V$27:$W$31,2,0)))</f>
        <v/>
      </c>
      <c r="AP81" s="666">
        <f>IFERROR(IF($AN81="","",HLOOKUP($AN81&amp;RIGHT($AL81,1),'input for formula'!$B$16:$I$20,3,0)),0)</f>
        <v>0</v>
      </c>
      <c r="AQ81" s="656">
        <f>IFERROR(IF($AN81="","",HLOOKUP($AN81&amp;$F81,'input for formula'!$B$22:$M$25,2,0)),0)</f>
        <v>0</v>
      </c>
      <c r="AR81" s="666">
        <f>IFERROR(IF($AN81="","",HLOOKUP($AN81&amp;RIGHT($AL81,1),'input for formula'!$B$16:$I$20,4,0)),0)</f>
        <v>0</v>
      </c>
      <c r="AS81" s="656">
        <f>IFERROR(IF($AN81="","",HLOOKUP($AN81&amp;$F81,'input for formula'!$B$22:$M$25,3,0)),0)</f>
        <v>0</v>
      </c>
      <c r="AT81" s="656">
        <f>IFERROR(IF($AN81="","",HLOOKUP($AN81&amp;RIGHT($AL81,1),'input for formula'!$B$16:$I$20,5,0)),0)</f>
        <v>0</v>
      </c>
      <c r="AU81" s="656">
        <f>IFERROR(IF($AN81="","",HLOOKUP($AN81&amp;$F81,'input for formula'!$B$22:$M$25,4,0)),0)</f>
        <v>0</v>
      </c>
      <c r="AV81" s="666">
        <f>IFERROR(IF($AN81="","",IF('Census Data'!$AN81="Abu Dhabi",VLOOKUP('Census Data'!$AM81,'input for formula'!$A$28:$C$41,3,0),VLOOKUP('Census Data'!$AM81,'input for formula'!$A$28:$C$47,2,0))),0)*IFERROR(1+IF(AN81="Dubai",VLOOKUP(F81,'Quotation for Dubai Plans'!$V$6:$X$12,3,FALSE),VLOOKUP(F81,'Quotation for Abu Dhabi Plans'!$W$6:$Y$12,3,FALSE)),0)</f>
        <v>0</v>
      </c>
      <c r="AW81" s="656" t="str">
        <f t="shared" si="23"/>
        <v/>
      </c>
      <c r="AX81" s="667" t="str">
        <f>IFERROR(IF(AL81="","",IF(AN81="Dubai",HLOOKUP((AL81&amp;AM81),Deviation!$B$7:$S$8,2,0)*BF81*BH81*BI81*BG81,HLOOKUP((AL81&amp;AM81),Deviation!$B$9:$O$10,2,0)*BF81*BH81*BI81*BG81)),0)</f>
        <v/>
      </c>
      <c r="AY81" s="668" t="str">
        <f>IF(AL81="","",IFERROR(IF(AL81="","",IF(AN81="Dubai",HLOOKUP(AZ81,'input for formula'!$B$3:$F$10,AO81,FALSE), IF(AND(H81="Employee",AN81="Abu Dhabi"),HLOOKUP(AZ81,'input for formula'!$I$3:$K$7,AO81,FALSE),HLOOKUP(AZ81,'input for formula'!$M$3:$O$7,AO81,FALSE)))*AX81+AP81*AQ81+AR81*AS81+AT81*AU81),0)*$AZ$3*BK81*BJ81*IF(AND(Inputs!$C$19&gt;19,Inputs!$C$19&lt;30),(1+$AZ$2),1)*(1+$AZ$1))</f>
        <v/>
      </c>
      <c r="AZ81" s="148" t="str">
        <f t="shared" si="48"/>
        <v/>
      </c>
      <c r="BA81" s="669" t="str">
        <f>IF(F81="","",IF(AE81="Dubai",HLOOKUP(F81,Inputs!$C$26:$M$37,9,0),HLOOKUP(F81,Inputs!$C$45:$M$56,9,0)))</f>
        <v/>
      </c>
      <c r="BB81" s="670" t="str">
        <f>IF(F81="","",IF(AE81="Dubai",HLOOKUP(F81,Inputs!$C$26:$M$37,10,0),HLOOKUP(F81,Inputs!$C$45:$M$56,10,0)))</f>
        <v/>
      </c>
      <c r="BC81" s="670" t="str">
        <f>IF(F81="","",IF(AE81="Dubai",HLOOKUP(F81,Inputs!$C$26:$M$37,11,0),HLOOKUP(F81,Inputs!$C$45:$M$56,11,0)))</f>
        <v/>
      </c>
      <c r="BD81" s="669" t="str">
        <f>IF(F81="","",IF(AE81="Dubai",HLOOKUP(F81,Inputs!$C$26:$M$37,12,0),HLOOKUP(F81,Inputs!$C$45:$M$56,12,0)))</f>
        <v/>
      </c>
      <c r="BE81" s="654"/>
      <c r="BF81" s="669" t="str">
        <f>IFERROR(IF(AL81="","",IF(AN81="Dubai",IF(OR(AL81="Plan1",AL81="Plan2"),VLOOKUP(BA81,Deviation!$B$31:$D$33,2,FALSE),VLOOKUP(BA81,Deviation!$B$31:$D$33,3,FALSE)),IF(OR(AL81="Plan1",AL81="Plan2"),VLOOKUP(BA81,Deviation!$E$31:$AE$33,2,FALSE),VLOOKUP(BA81,Deviation!$E$31:$AE$33,3,FALSE)))),0)</f>
        <v/>
      </c>
      <c r="BG81" s="671" t="str">
        <f>IFERROR(IF(AL81="","",IF(AN81="Dubai",IF(AL81="Plan1",VLOOKUP(BB81,Deviation!$B$39:$C$40,2,FALSE),IF(AL81="Plan2",VLOOKUP(BB81,Deviation!$B$42:$C$43,2,FALSE),IF(AL81="Plan5",VLOOKUP(BB81,Deviation!$B$48:$C$49,2,FALSE),VLOOKUP(BB81,Deviation!$B$45:$C$46,2,FALSE)))),IF(AL81="Plan1",VLOOKUP(BB81,Deviation!$E$39:$F$40,2,FALSE),IF(AL81="Plan2",VLOOKUP(BB81,Deviation!$E$42:$F$43,2,FALSE),VLOOKUP(BB81,Deviation!$E$45:$F$46,2,FALSE))))),0)</f>
        <v/>
      </c>
      <c r="BH81" s="671" t="str">
        <f>IFERROR(IF(AL81="","",IF(AN81="Dubai",IF(OR(AL81="Plan1",AL81="Plan2"),VLOOKUP(BC81,Deviation!$B$15:$D$19,2,FALSE),VLOOKUP(BC81,Deviation!$B$15:$D$19,3,FALSE)),IF(OR(AL81="Plan1",AL81="Plan2"),VLOOKUP(BC81,Deviation!$E$15:$AE$19,2,FALSE),VLOOKUP(BC81,Deviation!$E$15:$AE$19,3,FALSE)))),0)</f>
        <v/>
      </c>
      <c r="BI81" s="669" t="str">
        <f>IFERROR(IF(AL81="","",IF(AN81="Dubai",VLOOKUP(BD81,Deviation!$B$24:$C$26,2,FALSE),100%)),0)</f>
        <v/>
      </c>
      <c r="BJ81" s="672">
        <f>IF(AE81="Abu Dhabi",1,IFERROR(VLOOKUP(AM81,Deviation!$B$67:$E$79,MATCH('Census Data'!AA81,Deviation!$B$66:$E$66,0),0),1))</f>
        <v>1</v>
      </c>
      <c r="BK81" s="659">
        <f>IFERROR(VLOOKUP(I81,Deviation!$B$54:$C$62,2,0),1)</f>
        <v>1</v>
      </c>
      <c r="BL81" s="148"/>
      <c r="BM81" s="148"/>
      <c r="BN81" s="148"/>
      <c r="BO81" s="148"/>
      <c r="BP81" s="148"/>
      <c r="BQ81" s="148"/>
      <c r="BR81" s="148"/>
      <c r="BS81" s="148"/>
      <c r="BT81" s="148" t="e">
        <f t="shared" si="49"/>
        <v>#VALUE!</v>
      </c>
      <c r="BU81" t="str">
        <f>IF(AL81="","",IFERROR(IF(AL81="","",IF(AN81="Dubai",HLOOKUP(AZ81,'input for formula'!$B$3:$F$10,AO81,FALSE), IF(AND(H81="Employee",AN81="Abu Dhabi"),HLOOKUP(AZ81,'input for formula'!$I$3:$K$7,AO81,FALSE),HLOOKUP(AZ81,'input for formula'!$M$3:$O$7,AO81,FALSE)))*AX81+AP81*AQ81+AR81*AS81+AT81*AU81),0)*$AZ$3*BK81*BJ81*IF(AND(Inputs!$C$19&gt;19,Inputs!$C$19&lt;30),(1+$AZ$2),1))</f>
        <v/>
      </c>
    </row>
    <row r="82" spans="1:73" ht="15" x14ac:dyDescent="0.25">
      <c r="A82" s="59">
        <v>77</v>
      </c>
      <c r="B82" s="470"/>
      <c r="C82" s="628"/>
      <c r="D82" s="629"/>
      <c r="E82" s="471"/>
      <c r="F82" s="298"/>
      <c r="G82" s="298"/>
      <c r="H82" s="298"/>
      <c r="I82" s="298"/>
      <c r="J82" s="80" t="str">
        <f>IFERROR(IF(C82="","",DATEDIF('Census Data'!C82,eff_date,"y")),"")</f>
        <v/>
      </c>
      <c r="K82" s="59" t="str">
        <f>IF(F82="","",IF(AE82="Dubai",HLOOKUP(F82,Inputs!$C$26:$M$28,3,0),HLOOKUP(F82,Inputs!$C$45:$M$46,2,0)))</f>
        <v/>
      </c>
      <c r="L82" s="104"/>
      <c r="M82" s="105">
        <f t="shared" si="32"/>
        <v>0</v>
      </c>
      <c r="N82" s="654" t="b">
        <f t="shared" si="33"/>
        <v>0</v>
      </c>
      <c r="O82" s="655" t="str">
        <f t="shared" si="34"/>
        <v>x</v>
      </c>
      <c r="P82" s="655" t="str">
        <f t="shared" si="35"/>
        <v>x</v>
      </c>
      <c r="Q82" s="655" t="str">
        <f t="shared" si="36"/>
        <v>x</v>
      </c>
      <c r="R82" s="655" t="str">
        <f t="shared" si="22"/>
        <v>x</v>
      </c>
      <c r="S82" s="655" t="str">
        <f t="shared" si="37"/>
        <v>x</v>
      </c>
      <c r="T82" s="655" t="str">
        <f>IF(ISERROR(MATCH(G82,'Inputs Mapping'!$T$4:$T$10,0)),"x","")</f>
        <v>x</v>
      </c>
      <c r="U82" s="655" t="str">
        <f>IF(ISERROR(MATCH(AA82,'Inputs Mapping'!$U$4:$U$5,0)),"x","")</f>
        <v>x</v>
      </c>
      <c r="V82" s="655" t="str">
        <f>IF(ISERROR(MATCH(AB82,'Inputs Mapping'!$V$4:$V$5,0)),"x","")</f>
        <v>x</v>
      </c>
      <c r="W82" s="655" t="str">
        <f>IF(ISERROR(MATCH(F82,'Inputs Mapping'!$W$4:$W$8,0)),"x","")</f>
        <v>x</v>
      </c>
      <c r="X82" s="655" t="str">
        <f t="shared" si="38"/>
        <v/>
      </c>
      <c r="Y82" s="655" t="str">
        <f t="shared" si="39"/>
        <v/>
      </c>
      <c r="Z82" s="655" t="str">
        <f t="shared" si="40"/>
        <v/>
      </c>
      <c r="AA82" s="655" t="str">
        <f t="shared" si="41"/>
        <v/>
      </c>
      <c r="AB82" s="655" t="str">
        <f t="shared" si="43"/>
        <v/>
      </c>
      <c r="AC82" s="655" t="str">
        <f t="shared" si="50"/>
        <v>x</v>
      </c>
      <c r="AD82" s="655" t="str">
        <f>IF(ISBLANK(I82),"x",IF(ISNUMBER(MATCH(I82,'Inputs Mapping'!$AF$5:$AF$199,0)),"","x"))</f>
        <v>x</v>
      </c>
      <c r="AE82" s="655" t="str">
        <f t="shared" si="44"/>
        <v/>
      </c>
      <c r="AF82" s="148"/>
      <c r="AG82" s="148"/>
      <c r="AH82" s="148" t="str">
        <f t="shared" si="45"/>
        <v/>
      </c>
      <c r="AI82" s="654" t="str">
        <f>IF(J82="","",VLOOKUP(J82,'Inputs Mapping'!$T$27:$V$31,3))</f>
        <v/>
      </c>
      <c r="AJ82" s="654" t="str">
        <f>IF(J82="","",VLOOKUP(J82,'Inputs Mapping'!$T$17:$V$24,3))</f>
        <v/>
      </c>
      <c r="AK82" s="654" t="str">
        <f t="shared" si="46"/>
        <v/>
      </c>
      <c r="AL82" s="655" t="str">
        <f t="shared" si="42"/>
        <v/>
      </c>
      <c r="AM82" s="655" t="str">
        <f>IF(F82="","",IF(AE82="Dubai",HLOOKUP(F82,Inputs!$C$26:$M$36,5,0),HLOOKUP(F82,Inputs!$C$45:$M$49,5,0)))</f>
        <v/>
      </c>
      <c r="AN82" s="655">
        <f t="shared" si="47"/>
        <v>0</v>
      </c>
      <c r="AO82" s="654" t="str">
        <f>IF(AJ82="","",IF(AN82="Dubai",VLOOKUP(AJ82,'Inputs Mapping'!$V$17:$W$24,2,0),VLOOKUP(AI82,'Inputs Mapping'!$V$27:$W$31,2,0)))</f>
        <v/>
      </c>
      <c r="AP82" s="666">
        <f>IFERROR(IF($AN82="","",HLOOKUP($AN82&amp;RIGHT($AL82,1),'input for formula'!$B$16:$I$20,3,0)),0)</f>
        <v>0</v>
      </c>
      <c r="AQ82" s="656">
        <f>IFERROR(IF($AN82="","",HLOOKUP($AN82&amp;$F82,'input for formula'!$B$22:$M$25,2,0)),0)</f>
        <v>0</v>
      </c>
      <c r="AR82" s="666">
        <f>IFERROR(IF($AN82="","",HLOOKUP($AN82&amp;RIGHT($AL82,1),'input for formula'!$B$16:$I$20,4,0)),0)</f>
        <v>0</v>
      </c>
      <c r="AS82" s="656">
        <f>IFERROR(IF($AN82="","",HLOOKUP($AN82&amp;$F82,'input for formula'!$B$22:$M$25,3,0)),0)</f>
        <v>0</v>
      </c>
      <c r="AT82" s="656">
        <f>IFERROR(IF($AN82="","",HLOOKUP($AN82&amp;RIGHT($AL82,1),'input for formula'!$B$16:$I$20,5,0)),0)</f>
        <v>0</v>
      </c>
      <c r="AU82" s="656">
        <f>IFERROR(IF($AN82="","",HLOOKUP($AN82&amp;$F82,'input for formula'!$B$22:$M$25,4,0)),0)</f>
        <v>0</v>
      </c>
      <c r="AV82" s="666">
        <f>IFERROR(IF($AN82="","",IF('Census Data'!$AN82="Abu Dhabi",VLOOKUP('Census Data'!$AM82,'input for formula'!$A$28:$C$41,3,0),VLOOKUP('Census Data'!$AM82,'input for formula'!$A$28:$C$47,2,0))),0)*IFERROR(1+IF(AN82="Dubai",VLOOKUP(F82,'Quotation for Dubai Plans'!$V$6:$X$12,3,FALSE),VLOOKUP(F82,'Quotation for Abu Dhabi Plans'!$W$6:$Y$12,3,FALSE)),0)</f>
        <v>0</v>
      </c>
      <c r="AW82" s="656" t="str">
        <f t="shared" si="23"/>
        <v/>
      </c>
      <c r="AX82" s="667" t="str">
        <f>IFERROR(IF(AL82="","",IF(AN82="Dubai",HLOOKUP((AL82&amp;AM82),Deviation!$B$7:$S$8,2,0)*BF82*BH82*BI82*BG82,HLOOKUP((AL82&amp;AM82),Deviation!$B$9:$O$10,2,0)*BF82*BH82*BI82*BG82)),0)</f>
        <v/>
      </c>
      <c r="AY82" s="668" t="str">
        <f>IF(AL82="","",IFERROR(IF(AL82="","",IF(AN82="Dubai",HLOOKUP(AZ82,'input for formula'!$B$3:$F$10,AO82,FALSE), IF(AND(H82="Employee",AN82="Abu Dhabi"),HLOOKUP(AZ82,'input for formula'!$I$3:$K$7,AO82,FALSE),HLOOKUP(AZ82,'input for formula'!$M$3:$O$7,AO82,FALSE)))*AX82+AP82*AQ82+AR82*AS82+AT82*AU82),0)*$AZ$3*BK82*BJ82*IF(AND(Inputs!$C$19&gt;19,Inputs!$C$19&lt;30),(1+$AZ$2),1)*(1+$AZ$1))</f>
        <v/>
      </c>
      <c r="AZ82" s="148" t="str">
        <f t="shared" si="48"/>
        <v/>
      </c>
      <c r="BA82" s="669" t="str">
        <f>IF(F82="","",IF(AE82="Dubai",HLOOKUP(F82,Inputs!$C$26:$M$37,9,0),HLOOKUP(F82,Inputs!$C$45:$M$56,9,0)))</f>
        <v/>
      </c>
      <c r="BB82" s="670" t="str">
        <f>IF(F82="","",IF(AE82="Dubai",HLOOKUP(F82,Inputs!$C$26:$M$37,10,0),HLOOKUP(F82,Inputs!$C$45:$M$56,10,0)))</f>
        <v/>
      </c>
      <c r="BC82" s="670" t="str">
        <f>IF(F82="","",IF(AE82="Dubai",HLOOKUP(F82,Inputs!$C$26:$M$37,11,0),HLOOKUP(F82,Inputs!$C$45:$M$56,11,0)))</f>
        <v/>
      </c>
      <c r="BD82" s="669" t="str">
        <f>IF(F82="","",IF(AE82="Dubai",HLOOKUP(F82,Inputs!$C$26:$M$37,12,0),HLOOKUP(F82,Inputs!$C$45:$M$56,12,0)))</f>
        <v/>
      </c>
      <c r="BE82" s="654"/>
      <c r="BF82" s="669" t="str">
        <f>IFERROR(IF(AL82="","",IF(AN82="Dubai",IF(OR(AL82="Plan1",AL82="Plan2"),VLOOKUP(BA82,Deviation!$B$31:$D$33,2,FALSE),VLOOKUP(BA82,Deviation!$B$31:$D$33,3,FALSE)),IF(OR(AL82="Plan1",AL82="Plan2"),VLOOKUP(BA82,Deviation!$E$31:$AE$33,2,FALSE),VLOOKUP(BA82,Deviation!$E$31:$AE$33,3,FALSE)))),0)</f>
        <v/>
      </c>
      <c r="BG82" s="671" t="str">
        <f>IFERROR(IF(AL82="","",IF(AN82="Dubai",IF(AL82="Plan1",VLOOKUP(BB82,Deviation!$B$39:$C$40,2,FALSE),IF(AL82="Plan2",VLOOKUP(BB82,Deviation!$B$42:$C$43,2,FALSE),IF(AL82="Plan5",VLOOKUP(BB82,Deviation!$B$48:$C$49,2,FALSE),VLOOKUP(BB82,Deviation!$B$45:$C$46,2,FALSE)))),IF(AL82="Plan1",VLOOKUP(BB82,Deviation!$E$39:$F$40,2,FALSE),IF(AL82="Plan2",VLOOKUP(BB82,Deviation!$E$42:$F$43,2,FALSE),VLOOKUP(BB82,Deviation!$E$45:$F$46,2,FALSE))))),0)</f>
        <v/>
      </c>
      <c r="BH82" s="671" t="str">
        <f>IFERROR(IF(AL82="","",IF(AN82="Dubai",IF(OR(AL82="Plan1",AL82="Plan2"),VLOOKUP(BC82,Deviation!$B$15:$D$19,2,FALSE),VLOOKUP(BC82,Deviation!$B$15:$D$19,3,FALSE)),IF(OR(AL82="Plan1",AL82="Plan2"),VLOOKUP(BC82,Deviation!$E$15:$AE$19,2,FALSE),VLOOKUP(BC82,Deviation!$E$15:$AE$19,3,FALSE)))),0)</f>
        <v/>
      </c>
      <c r="BI82" s="669" t="str">
        <f>IFERROR(IF(AL82="","",IF(AN82="Dubai",VLOOKUP(BD82,Deviation!$B$24:$C$26,2,FALSE),100%)),0)</f>
        <v/>
      </c>
      <c r="BJ82" s="672">
        <f>IF(AE82="Abu Dhabi",1,IFERROR(VLOOKUP(AM82,Deviation!$B$67:$E$79,MATCH('Census Data'!AA82,Deviation!$B$66:$E$66,0),0),1))</f>
        <v>1</v>
      </c>
      <c r="BK82" s="659">
        <f>IFERROR(VLOOKUP(I82,Deviation!$B$54:$C$62,2,0),1)</f>
        <v>1</v>
      </c>
      <c r="BL82" s="148"/>
      <c r="BM82" s="148"/>
      <c r="BN82" s="148"/>
      <c r="BO82" s="148"/>
      <c r="BP82" s="148"/>
      <c r="BQ82" s="148"/>
      <c r="BR82" s="148"/>
      <c r="BS82" s="148"/>
      <c r="BT82" s="148" t="e">
        <f t="shared" si="49"/>
        <v>#VALUE!</v>
      </c>
      <c r="BU82" t="str">
        <f>IF(AL82="","",IFERROR(IF(AL82="","",IF(AN82="Dubai",HLOOKUP(AZ82,'input for formula'!$B$3:$F$10,AO82,FALSE), IF(AND(H82="Employee",AN82="Abu Dhabi"),HLOOKUP(AZ82,'input for formula'!$I$3:$K$7,AO82,FALSE),HLOOKUP(AZ82,'input for formula'!$M$3:$O$7,AO82,FALSE)))*AX82+AP82*AQ82+AR82*AS82+AT82*AU82),0)*$AZ$3*BK82*BJ82*IF(AND(Inputs!$C$19&gt;19,Inputs!$C$19&lt;30),(1+$AZ$2),1))</f>
        <v/>
      </c>
    </row>
    <row r="83" spans="1:73" ht="15" x14ac:dyDescent="0.25">
      <c r="A83" s="59">
        <v>78</v>
      </c>
      <c r="B83" s="470"/>
      <c r="C83" s="628"/>
      <c r="D83" s="629"/>
      <c r="E83" s="471"/>
      <c r="F83" s="298"/>
      <c r="G83" s="298"/>
      <c r="H83" s="298"/>
      <c r="I83" s="298"/>
      <c r="J83" s="80" t="str">
        <f>IFERROR(IF(C83="","",DATEDIF('Census Data'!C83,eff_date,"y")),"")</f>
        <v/>
      </c>
      <c r="K83" s="59" t="str">
        <f>IF(F83="","",IF(AE83="Dubai",HLOOKUP(F83,Inputs!$C$26:$M$28,3,0),HLOOKUP(F83,Inputs!$C$45:$M$46,2,0)))</f>
        <v/>
      </c>
      <c r="L83" s="104"/>
      <c r="M83" s="105">
        <f t="shared" si="32"/>
        <v>0</v>
      </c>
      <c r="N83" s="654" t="b">
        <f t="shared" si="33"/>
        <v>0</v>
      </c>
      <c r="O83" s="655" t="str">
        <f t="shared" si="34"/>
        <v>x</v>
      </c>
      <c r="P83" s="655" t="str">
        <f t="shared" si="35"/>
        <v>x</v>
      </c>
      <c r="Q83" s="655" t="str">
        <f t="shared" si="36"/>
        <v>x</v>
      </c>
      <c r="R83" s="655" t="str">
        <f t="shared" si="22"/>
        <v>x</v>
      </c>
      <c r="S83" s="655" t="str">
        <f t="shared" si="37"/>
        <v>x</v>
      </c>
      <c r="T83" s="655" t="str">
        <f>IF(ISERROR(MATCH(G83,'Inputs Mapping'!$T$4:$T$10,0)),"x","")</f>
        <v>x</v>
      </c>
      <c r="U83" s="655" t="str">
        <f>IF(ISERROR(MATCH(AA83,'Inputs Mapping'!$U$4:$U$5,0)),"x","")</f>
        <v>x</v>
      </c>
      <c r="V83" s="655" t="str">
        <f>IF(ISERROR(MATCH(AB83,'Inputs Mapping'!$V$4:$V$5,0)),"x","")</f>
        <v>x</v>
      </c>
      <c r="W83" s="655" t="str">
        <f>IF(ISERROR(MATCH(F83,'Inputs Mapping'!$W$4:$W$8,0)),"x","")</f>
        <v>x</v>
      </c>
      <c r="X83" s="655" t="str">
        <f t="shared" si="38"/>
        <v/>
      </c>
      <c r="Y83" s="655" t="str">
        <f t="shared" si="39"/>
        <v/>
      </c>
      <c r="Z83" s="655" t="str">
        <f t="shared" si="40"/>
        <v/>
      </c>
      <c r="AA83" s="655" t="str">
        <f t="shared" si="41"/>
        <v/>
      </c>
      <c r="AB83" s="655" t="str">
        <f t="shared" si="43"/>
        <v/>
      </c>
      <c r="AC83" s="655" t="str">
        <f t="shared" si="50"/>
        <v>x</v>
      </c>
      <c r="AD83" s="655" t="str">
        <f>IF(ISBLANK(I83),"x",IF(ISNUMBER(MATCH(I83,'Inputs Mapping'!$AF$5:$AF$199,0)),"","x"))</f>
        <v>x</v>
      </c>
      <c r="AE83" s="655" t="str">
        <f t="shared" si="44"/>
        <v/>
      </c>
      <c r="AF83" s="148"/>
      <c r="AG83" s="148"/>
      <c r="AH83" s="148" t="str">
        <f t="shared" si="45"/>
        <v/>
      </c>
      <c r="AI83" s="654" t="str">
        <f>IF(J83="","",VLOOKUP(J83,'Inputs Mapping'!$T$27:$V$31,3))</f>
        <v/>
      </c>
      <c r="AJ83" s="654" t="str">
        <f>IF(J83="","",VLOOKUP(J83,'Inputs Mapping'!$T$17:$V$24,3))</f>
        <v/>
      </c>
      <c r="AK83" s="654" t="str">
        <f t="shared" si="46"/>
        <v/>
      </c>
      <c r="AL83" s="655" t="str">
        <f t="shared" si="42"/>
        <v/>
      </c>
      <c r="AM83" s="655" t="str">
        <f>IF(F83="","",IF(AE83="Dubai",HLOOKUP(F83,Inputs!$C$26:$M$36,5,0),HLOOKUP(F83,Inputs!$C$45:$M$49,5,0)))</f>
        <v/>
      </c>
      <c r="AN83" s="655">
        <f t="shared" si="47"/>
        <v>0</v>
      </c>
      <c r="AO83" s="654" t="str">
        <f>IF(AJ83="","",IF(AN83="Dubai",VLOOKUP(AJ83,'Inputs Mapping'!$V$17:$W$24,2,0),VLOOKUP(AI83,'Inputs Mapping'!$V$27:$W$31,2,0)))</f>
        <v/>
      </c>
      <c r="AP83" s="666">
        <f>IFERROR(IF($AN83="","",HLOOKUP($AN83&amp;RIGHT($AL83,1),'input for formula'!$B$16:$I$20,3,0)),0)</f>
        <v>0</v>
      </c>
      <c r="AQ83" s="656">
        <f>IFERROR(IF($AN83="","",HLOOKUP($AN83&amp;$F83,'input for formula'!$B$22:$M$25,2,0)),0)</f>
        <v>0</v>
      </c>
      <c r="AR83" s="666">
        <f>IFERROR(IF($AN83="","",HLOOKUP($AN83&amp;RIGHT($AL83,1),'input for formula'!$B$16:$I$20,4,0)),0)</f>
        <v>0</v>
      </c>
      <c r="AS83" s="656">
        <f>IFERROR(IF($AN83="","",HLOOKUP($AN83&amp;$F83,'input for formula'!$B$22:$M$25,3,0)),0)</f>
        <v>0</v>
      </c>
      <c r="AT83" s="656">
        <f>IFERROR(IF($AN83="","",HLOOKUP($AN83&amp;RIGHT($AL83,1),'input for formula'!$B$16:$I$20,5,0)),0)</f>
        <v>0</v>
      </c>
      <c r="AU83" s="656">
        <f>IFERROR(IF($AN83="","",HLOOKUP($AN83&amp;$F83,'input for formula'!$B$22:$M$25,4,0)),0)</f>
        <v>0</v>
      </c>
      <c r="AV83" s="666">
        <f>IFERROR(IF($AN83="","",IF('Census Data'!$AN83="Abu Dhabi",VLOOKUP('Census Data'!$AM83,'input for formula'!$A$28:$C$41,3,0),VLOOKUP('Census Data'!$AM83,'input for formula'!$A$28:$C$47,2,0))),0)*IFERROR(1+IF(AN83="Dubai",VLOOKUP(F83,'Quotation for Dubai Plans'!$V$6:$X$12,3,FALSE),VLOOKUP(F83,'Quotation for Abu Dhabi Plans'!$W$6:$Y$12,3,FALSE)),0)</f>
        <v>0</v>
      </c>
      <c r="AW83" s="656" t="str">
        <f t="shared" si="23"/>
        <v/>
      </c>
      <c r="AX83" s="667" t="str">
        <f>IFERROR(IF(AL83="","",IF(AN83="Dubai",HLOOKUP((AL83&amp;AM83),Deviation!$B$7:$S$8,2,0)*BF83*BH83*BI83*BG83,HLOOKUP((AL83&amp;AM83),Deviation!$B$9:$O$10,2,0)*BF83*BH83*BI83*BG83)),0)</f>
        <v/>
      </c>
      <c r="AY83" s="668" t="str">
        <f>IF(AL83="","",IFERROR(IF(AL83="","",IF(AN83="Dubai",HLOOKUP(AZ83,'input for formula'!$B$3:$F$10,AO83,FALSE), IF(AND(H83="Employee",AN83="Abu Dhabi"),HLOOKUP(AZ83,'input for formula'!$I$3:$K$7,AO83,FALSE),HLOOKUP(AZ83,'input for formula'!$M$3:$O$7,AO83,FALSE)))*AX83+AP83*AQ83+AR83*AS83+AT83*AU83),0)*$AZ$3*BK83*BJ83*IF(AND(Inputs!$C$19&gt;19,Inputs!$C$19&lt;30),(1+$AZ$2),1)*(1+$AZ$1))</f>
        <v/>
      </c>
      <c r="AZ83" s="148" t="str">
        <f t="shared" si="48"/>
        <v/>
      </c>
      <c r="BA83" s="669" t="str">
        <f>IF(F83="","",IF(AE83="Dubai",HLOOKUP(F83,Inputs!$C$26:$M$37,9,0),HLOOKUP(F83,Inputs!$C$45:$M$56,9,0)))</f>
        <v/>
      </c>
      <c r="BB83" s="670" t="str">
        <f>IF(F83="","",IF(AE83="Dubai",HLOOKUP(F83,Inputs!$C$26:$M$37,10,0),HLOOKUP(F83,Inputs!$C$45:$M$56,10,0)))</f>
        <v/>
      </c>
      <c r="BC83" s="670" t="str">
        <f>IF(F83="","",IF(AE83="Dubai",HLOOKUP(F83,Inputs!$C$26:$M$37,11,0),HLOOKUP(F83,Inputs!$C$45:$M$56,11,0)))</f>
        <v/>
      </c>
      <c r="BD83" s="669" t="str">
        <f>IF(F83="","",IF(AE83="Dubai",HLOOKUP(F83,Inputs!$C$26:$M$37,12,0),HLOOKUP(F83,Inputs!$C$45:$M$56,12,0)))</f>
        <v/>
      </c>
      <c r="BE83" s="654"/>
      <c r="BF83" s="669" t="str">
        <f>IFERROR(IF(AL83="","",IF(AN83="Dubai",IF(OR(AL83="Plan1",AL83="Plan2"),VLOOKUP(BA83,Deviation!$B$31:$D$33,2,FALSE),VLOOKUP(BA83,Deviation!$B$31:$D$33,3,FALSE)),IF(OR(AL83="Plan1",AL83="Plan2"),VLOOKUP(BA83,Deviation!$E$31:$AE$33,2,FALSE),VLOOKUP(BA83,Deviation!$E$31:$AE$33,3,FALSE)))),0)</f>
        <v/>
      </c>
      <c r="BG83" s="671" t="str">
        <f>IFERROR(IF(AL83="","",IF(AN83="Dubai",IF(AL83="Plan1",VLOOKUP(BB83,Deviation!$B$39:$C$40,2,FALSE),IF(AL83="Plan2",VLOOKUP(BB83,Deviation!$B$42:$C$43,2,FALSE),IF(AL83="Plan5",VLOOKUP(BB83,Deviation!$B$48:$C$49,2,FALSE),VLOOKUP(BB83,Deviation!$B$45:$C$46,2,FALSE)))),IF(AL83="Plan1",VLOOKUP(BB83,Deviation!$E$39:$F$40,2,FALSE),IF(AL83="Plan2",VLOOKUP(BB83,Deviation!$E$42:$F$43,2,FALSE),VLOOKUP(BB83,Deviation!$E$45:$F$46,2,FALSE))))),0)</f>
        <v/>
      </c>
      <c r="BH83" s="671" t="str">
        <f>IFERROR(IF(AL83="","",IF(AN83="Dubai",IF(OR(AL83="Plan1",AL83="Plan2"),VLOOKUP(BC83,Deviation!$B$15:$D$19,2,FALSE),VLOOKUP(BC83,Deviation!$B$15:$D$19,3,FALSE)),IF(OR(AL83="Plan1",AL83="Plan2"),VLOOKUP(BC83,Deviation!$E$15:$AE$19,2,FALSE),VLOOKUP(BC83,Deviation!$E$15:$AE$19,3,FALSE)))),0)</f>
        <v/>
      </c>
      <c r="BI83" s="669" t="str">
        <f>IFERROR(IF(AL83="","",IF(AN83="Dubai",VLOOKUP(BD83,Deviation!$B$24:$C$26,2,FALSE),100%)),0)</f>
        <v/>
      </c>
      <c r="BJ83" s="672">
        <f>IF(AE83="Abu Dhabi",1,IFERROR(VLOOKUP(AM83,Deviation!$B$67:$E$79,MATCH('Census Data'!AA83,Deviation!$B$66:$E$66,0),0),1))</f>
        <v>1</v>
      </c>
      <c r="BK83" s="659">
        <f>IFERROR(VLOOKUP(I83,Deviation!$B$54:$C$62,2,0),1)</f>
        <v>1</v>
      </c>
      <c r="BL83" s="148"/>
      <c r="BM83" s="148"/>
      <c r="BN83" s="148"/>
      <c r="BO83" s="148"/>
      <c r="BP83" s="148"/>
      <c r="BQ83" s="148"/>
      <c r="BR83" s="148"/>
      <c r="BS83" s="148"/>
      <c r="BT83" s="148" t="e">
        <f t="shared" si="49"/>
        <v>#VALUE!</v>
      </c>
      <c r="BU83" t="str">
        <f>IF(AL83="","",IFERROR(IF(AL83="","",IF(AN83="Dubai",HLOOKUP(AZ83,'input for formula'!$B$3:$F$10,AO83,FALSE), IF(AND(H83="Employee",AN83="Abu Dhabi"),HLOOKUP(AZ83,'input for formula'!$I$3:$K$7,AO83,FALSE),HLOOKUP(AZ83,'input for formula'!$M$3:$O$7,AO83,FALSE)))*AX83+AP83*AQ83+AR83*AS83+AT83*AU83),0)*$AZ$3*BK83*BJ83*IF(AND(Inputs!$C$19&gt;19,Inputs!$C$19&lt;30),(1+$AZ$2),1))</f>
        <v/>
      </c>
    </row>
    <row r="84" spans="1:73" ht="15" x14ac:dyDescent="0.25">
      <c r="A84" s="59">
        <v>79</v>
      </c>
      <c r="B84" s="470"/>
      <c r="C84" s="628"/>
      <c r="D84" s="629"/>
      <c r="E84" s="471"/>
      <c r="F84" s="298"/>
      <c r="G84" s="298"/>
      <c r="H84" s="298"/>
      <c r="I84" s="298"/>
      <c r="J84" s="80" t="str">
        <f>IFERROR(IF(C84="","",DATEDIF('Census Data'!C84,eff_date,"y")),"")</f>
        <v/>
      </c>
      <c r="K84" s="59" t="str">
        <f>IF(F84="","",IF(AE84="Dubai",HLOOKUP(F84,Inputs!$C$26:$M$28,3,0),HLOOKUP(F84,Inputs!$C$45:$M$46,2,0)))</f>
        <v/>
      </c>
      <c r="L84" s="104"/>
      <c r="M84" s="105">
        <f t="shared" si="32"/>
        <v>0</v>
      </c>
      <c r="N84" s="654" t="b">
        <f t="shared" si="33"/>
        <v>0</v>
      </c>
      <c r="O84" s="655" t="str">
        <f t="shared" si="34"/>
        <v>x</v>
      </c>
      <c r="P84" s="655" t="str">
        <f t="shared" si="35"/>
        <v>x</v>
      </c>
      <c r="Q84" s="655" t="str">
        <f t="shared" si="36"/>
        <v>x</v>
      </c>
      <c r="R84" s="655" t="str">
        <f t="shared" si="22"/>
        <v>x</v>
      </c>
      <c r="S84" s="655" t="str">
        <f t="shared" si="37"/>
        <v>x</v>
      </c>
      <c r="T84" s="655" t="str">
        <f>IF(ISERROR(MATCH(G84,'Inputs Mapping'!$T$4:$T$10,0)),"x","")</f>
        <v>x</v>
      </c>
      <c r="U84" s="655" t="str">
        <f>IF(ISERROR(MATCH(AA84,'Inputs Mapping'!$U$4:$U$5,0)),"x","")</f>
        <v>x</v>
      </c>
      <c r="V84" s="655" t="str">
        <f>IF(ISERROR(MATCH(AB84,'Inputs Mapping'!$V$4:$V$5,0)),"x","")</f>
        <v>x</v>
      </c>
      <c r="W84" s="655" t="str">
        <f>IF(ISERROR(MATCH(F84,'Inputs Mapping'!$W$4:$W$8,0)),"x","")</f>
        <v>x</v>
      </c>
      <c r="X84" s="655" t="str">
        <f t="shared" si="38"/>
        <v/>
      </c>
      <c r="Y84" s="655" t="str">
        <f t="shared" si="39"/>
        <v/>
      </c>
      <c r="Z84" s="655" t="str">
        <f t="shared" si="40"/>
        <v/>
      </c>
      <c r="AA84" s="655" t="str">
        <f t="shared" si="41"/>
        <v/>
      </c>
      <c r="AB84" s="655" t="str">
        <f t="shared" si="43"/>
        <v/>
      </c>
      <c r="AC84" s="655" t="str">
        <f t="shared" si="50"/>
        <v>x</v>
      </c>
      <c r="AD84" s="655" t="str">
        <f>IF(ISBLANK(I84),"x",IF(ISNUMBER(MATCH(I84,'Inputs Mapping'!$AF$5:$AF$199,0)),"","x"))</f>
        <v>x</v>
      </c>
      <c r="AE84" s="655" t="str">
        <f t="shared" si="44"/>
        <v/>
      </c>
      <c r="AF84" s="148"/>
      <c r="AG84" s="148"/>
      <c r="AH84" s="148" t="str">
        <f t="shared" si="45"/>
        <v/>
      </c>
      <c r="AI84" s="654" t="str">
        <f>IF(J84="","",VLOOKUP(J84,'Inputs Mapping'!$T$27:$V$31,3))</f>
        <v/>
      </c>
      <c r="AJ84" s="654" t="str">
        <f>IF(J84="","",VLOOKUP(J84,'Inputs Mapping'!$T$17:$V$24,3))</f>
        <v/>
      </c>
      <c r="AK84" s="654" t="str">
        <f t="shared" si="46"/>
        <v/>
      </c>
      <c r="AL84" s="655" t="str">
        <f t="shared" si="42"/>
        <v/>
      </c>
      <c r="AM84" s="655" t="str">
        <f>IF(F84="","",IF(AE84="Dubai",HLOOKUP(F84,Inputs!$C$26:$M$36,5,0),HLOOKUP(F84,Inputs!$C$45:$M$49,5,0)))</f>
        <v/>
      </c>
      <c r="AN84" s="655">
        <f t="shared" si="47"/>
        <v>0</v>
      </c>
      <c r="AO84" s="654" t="str">
        <f>IF(AJ84="","",IF(AN84="Dubai",VLOOKUP(AJ84,'Inputs Mapping'!$V$17:$W$24,2,0),VLOOKUP(AI84,'Inputs Mapping'!$V$27:$W$31,2,0)))</f>
        <v/>
      </c>
      <c r="AP84" s="666">
        <f>IFERROR(IF($AN84="","",HLOOKUP($AN84&amp;RIGHT($AL84,1),'input for formula'!$B$16:$I$20,3,0)),0)</f>
        <v>0</v>
      </c>
      <c r="AQ84" s="656">
        <f>IFERROR(IF($AN84="","",HLOOKUP($AN84&amp;$F84,'input for formula'!$B$22:$M$25,2,0)),0)</f>
        <v>0</v>
      </c>
      <c r="AR84" s="666">
        <f>IFERROR(IF($AN84="","",HLOOKUP($AN84&amp;RIGHT($AL84,1),'input for formula'!$B$16:$I$20,4,0)),0)</f>
        <v>0</v>
      </c>
      <c r="AS84" s="656">
        <f>IFERROR(IF($AN84="","",HLOOKUP($AN84&amp;$F84,'input for formula'!$B$22:$M$25,3,0)),0)</f>
        <v>0</v>
      </c>
      <c r="AT84" s="656">
        <f>IFERROR(IF($AN84="","",HLOOKUP($AN84&amp;RIGHT($AL84,1),'input for formula'!$B$16:$I$20,5,0)),0)</f>
        <v>0</v>
      </c>
      <c r="AU84" s="656">
        <f>IFERROR(IF($AN84="","",HLOOKUP($AN84&amp;$F84,'input for formula'!$B$22:$M$25,4,0)),0)</f>
        <v>0</v>
      </c>
      <c r="AV84" s="666">
        <f>IFERROR(IF($AN84="","",IF('Census Data'!$AN84="Abu Dhabi",VLOOKUP('Census Data'!$AM84,'input for formula'!$A$28:$C$41,3,0),VLOOKUP('Census Data'!$AM84,'input for formula'!$A$28:$C$47,2,0))),0)*IFERROR(1+IF(AN84="Dubai",VLOOKUP(F84,'Quotation for Dubai Plans'!$V$6:$X$12,3,FALSE),VLOOKUP(F84,'Quotation for Abu Dhabi Plans'!$W$6:$Y$12,3,FALSE)),0)</f>
        <v>0</v>
      </c>
      <c r="AW84" s="656" t="str">
        <f t="shared" si="23"/>
        <v/>
      </c>
      <c r="AX84" s="667" t="str">
        <f>IFERROR(IF(AL84="","",IF(AN84="Dubai",HLOOKUP((AL84&amp;AM84),Deviation!$B$7:$S$8,2,0)*BF84*BH84*BI84*BG84,HLOOKUP((AL84&amp;AM84),Deviation!$B$9:$O$10,2,0)*BF84*BH84*BI84*BG84)),0)</f>
        <v/>
      </c>
      <c r="AY84" s="668" t="str">
        <f>IF(AL84="","",IFERROR(IF(AL84="","",IF(AN84="Dubai",HLOOKUP(AZ84,'input for formula'!$B$3:$F$10,AO84,FALSE), IF(AND(H84="Employee",AN84="Abu Dhabi"),HLOOKUP(AZ84,'input for formula'!$I$3:$K$7,AO84,FALSE),HLOOKUP(AZ84,'input for formula'!$M$3:$O$7,AO84,FALSE)))*AX84+AP84*AQ84+AR84*AS84+AT84*AU84),0)*$AZ$3*BK84*BJ84*IF(AND(Inputs!$C$19&gt;19,Inputs!$C$19&lt;30),(1+$AZ$2),1)*(1+$AZ$1))</f>
        <v/>
      </c>
      <c r="AZ84" s="148" t="str">
        <f t="shared" si="48"/>
        <v/>
      </c>
      <c r="BA84" s="669" t="str">
        <f>IF(F84="","",IF(AE84="Dubai",HLOOKUP(F84,Inputs!$C$26:$M$37,9,0),HLOOKUP(F84,Inputs!$C$45:$M$56,9,0)))</f>
        <v/>
      </c>
      <c r="BB84" s="670" t="str">
        <f>IF(F84="","",IF(AE84="Dubai",HLOOKUP(F84,Inputs!$C$26:$M$37,10,0),HLOOKUP(F84,Inputs!$C$45:$M$56,10,0)))</f>
        <v/>
      </c>
      <c r="BC84" s="670" t="str">
        <f>IF(F84="","",IF(AE84="Dubai",HLOOKUP(F84,Inputs!$C$26:$M$37,11,0),HLOOKUP(F84,Inputs!$C$45:$M$56,11,0)))</f>
        <v/>
      </c>
      <c r="BD84" s="669" t="str">
        <f>IF(F84="","",IF(AE84="Dubai",HLOOKUP(F84,Inputs!$C$26:$M$37,12,0),HLOOKUP(F84,Inputs!$C$45:$M$56,12,0)))</f>
        <v/>
      </c>
      <c r="BE84" s="654"/>
      <c r="BF84" s="669" t="str">
        <f>IFERROR(IF(AL84="","",IF(AN84="Dubai",IF(OR(AL84="Plan1",AL84="Plan2"),VLOOKUP(BA84,Deviation!$B$31:$D$33,2,FALSE),VLOOKUP(BA84,Deviation!$B$31:$D$33,3,FALSE)),IF(OR(AL84="Plan1",AL84="Plan2"),VLOOKUP(BA84,Deviation!$E$31:$AE$33,2,FALSE),VLOOKUP(BA84,Deviation!$E$31:$AE$33,3,FALSE)))),0)</f>
        <v/>
      </c>
      <c r="BG84" s="671" t="str">
        <f>IFERROR(IF(AL84="","",IF(AN84="Dubai",IF(AL84="Plan1",VLOOKUP(BB84,Deviation!$B$39:$C$40,2,FALSE),IF(AL84="Plan2",VLOOKUP(BB84,Deviation!$B$42:$C$43,2,FALSE),IF(AL84="Plan5",VLOOKUP(BB84,Deviation!$B$48:$C$49,2,FALSE),VLOOKUP(BB84,Deviation!$B$45:$C$46,2,FALSE)))),IF(AL84="Plan1",VLOOKUP(BB84,Deviation!$E$39:$F$40,2,FALSE),IF(AL84="Plan2",VLOOKUP(BB84,Deviation!$E$42:$F$43,2,FALSE),VLOOKUP(BB84,Deviation!$E$45:$F$46,2,FALSE))))),0)</f>
        <v/>
      </c>
      <c r="BH84" s="671" t="str">
        <f>IFERROR(IF(AL84="","",IF(AN84="Dubai",IF(OR(AL84="Plan1",AL84="Plan2"),VLOOKUP(BC84,Deviation!$B$15:$D$19,2,FALSE),VLOOKUP(BC84,Deviation!$B$15:$D$19,3,FALSE)),IF(OR(AL84="Plan1",AL84="Plan2"),VLOOKUP(BC84,Deviation!$E$15:$AE$19,2,FALSE),VLOOKUP(BC84,Deviation!$E$15:$AE$19,3,FALSE)))),0)</f>
        <v/>
      </c>
      <c r="BI84" s="669" t="str">
        <f>IFERROR(IF(AL84="","",IF(AN84="Dubai",VLOOKUP(BD84,Deviation!$B$24:$C$26,2,FALSE),100%)),0)</f>
        <v/>
      </c>
      <c r="BJ84" s="672">
        <f>IF(AE84="Abu Dhabi",1,IFERROR(VLOOKUP(AM84,Deviation!$B$67:$E$79,MATCH('Census Data'!AA84,Deviation!$B$66:$E$66,0),0),1))</f>
        <v>1</v>
      </c>
      <c r="BK84" s="659">
        <f>IFERROR(VLOOKUP(I84,Deviation!$B$54:$C$62,2,0),1)</f>
        <v>1</v>
      </c>
      <c r="BL84" s="148"/>
      <c r="BM84" s="148"/>
      <c r="BN84" s="148"/>
      <c r="BO84" s="148"/>
      <c r="BP84" s="148"/>
      <c r="BQ84" s="148"/>
      <c r="BR84" s="148"/>
      <c r="BS84" s="148"/>
      <c r="BT84" s="148" t="e">
        <f t="shared" si="49"/>
        <v>#VALUE!</v>
      </c>
      <c r="BU84" t="str">
        <f>IF(AL84="","",IFERROR(IF(AL84="","",IF(AN84="Dubai",HLOOKUP(AZ84,'input for formula'!$B$3:$F$10,AO84,FALSE), IF(AND(H84="Employee",AN84="Abu Dhabi"),HLOOKUP(AZ84,'input for formula'!$I$3:$K$7,AO84,FALSE),HLOOKUP(AZ84,'input for formula'!$M$3:$O$7,AO84,FALSE)))*AX84+AP84*AQ84+AR84*AS84+AT84*AU84),0)*$AZ$3*BK84*BJ84*IF(AND(Inputs!$C$19&gt;19,Inputs!$C$19&lt;30),(1+$AZ$2),1))</f>
        <v/>
      </c>
    </row>
    <row r="85" spans="1:73" ht="15" x14ac:dyDescent="0.25">
      <c r="A85" s="59">
        <v>80</v>
      </c>
      <c r="B85" s="470"/>
      <c r="C85" s="628"/>
      <c r="D85" s="629"/>
      <c r="E85" s="471"/>
      <c r="F85" s="298"/>
      <c r="G85" s="298"/>
      <c r="H85" s="298"/>
      <c r="I85" s="298"/>
      <c r="J85" s="80" t="str">
        <f>IFERROR(IF(C85="","",DATEDIF('Census Data'!C85,eff_date,"y")),"")</f>
        <v/>
      </c>
      <c r="K85" s="59" t="str">
        <f>IF(F85="","",IF(AE85="Dubai",HLOOKUP(F85,Inputs!$C$26:$M$28,3,0),HLOOKUP(F85,Inputs!$C$45:$M$46,2,0)))</f>
        <v/>
      </c>
      <c r="L85" s="104"/>
      <c r="M85" s="105">
        <f t="shared" si="32"/>
        <v>0</v>
      </c>
      <c r="N85" s="654" t="b">
        <f t="shared" si="33"/>
        <v>0</v>
      </c>
      <c r="O85" s="655" t="str">
        <f t="shared" si="34"/>
        <v>x</v>
      </c>
      <c r="P85" s="655" t="str">
        <f t="shared" si="35"/>
        <v>x</v>
      </c>
      <c r="Q85" s="655" t="str">
        <f t="shared" si="36"/>
        <v>x</v>
      </c>
      <c r="R85" s="655" t="str">
        <f t="shared" si="22"/>
        <v>x</v>
      </c>
      <c r="S85" s="655" t="str">
        <f t="shared" si="37"/>
        <v>x</v>
      </c>
      <c r="T85" s="655" t="str">
        <f>IF(ISERROR(MATCH(G85,'Inputs Mapping'!$T$4:$T$10,0)),"x","")</f>
        <v>x</v>
      </c>
      <c r="U85" s="655" t="str">
        <f>IF(ISERROR(MATCH(AA85,'Inputs Mapping'!$U$4:$U$5,0)),"x","")</f>
        <v>x</v>
      </c>
      <c r="V85" s="655" t="str">
        <f>IF(ISERROR(MATCH(AB85,'Inputs Mapping'!$V$4:$V$5,0)),"x","")</f>
        <v>x</v>
      </c>
      <c r="W85" s="655" t="str">
        <f>IF(ISERROR(MATCH(F85,'Inputs Mapping'!$W$4:$W$8,0)),"x","")</f>
        <v>x</v>
      </c>
      <c r="X85" s="655" t="str">
        <f t="shared" si="38"/>
        <v/>
      </c>
      <c r="Y85" s="655" t="str">
        <f t="shared" si="39"/>
        <v/>
      </c>
      <c r="Z85" s="655" t="str">
        <f t="shared" si="40"/>
        <v/>
      </c>
      <c r="AA85" s="655" t="str">
        <f t="shared" si="41"/>
        <v/>
      </c>
      <c r="AB85" s="655" t="str">
        <f t="shared" si="43"/>
        <v/>
      </c>
      <c r="AC85" s="655" t="str">
        <f t="shared" si="50"/>
        <v>x</v>
      </c>
      <c r="AD85" s="655" t="str">
        <f>IF(ISBLANK(I85),"x",IF(ISNUMBER(MATCH(I85,'Inputs Mapping'!$AF$5:$AF$199,0)),"","x"))</f>
        <v>x</v>
      </c>
      <c r="AE85" s="655" t="str">
        <f t="shared" si="44"/>
        <v/>
      </c>
      <c r="AF85" s="148"/>
      <c r="AG85" s="148"/>
      <c r="AH85" s="148" t="str">
        <f t="shared" si="45"/>
        <v/>
      </c>
      <c r="AI85" s="654" t="str">
        <f>IF(J85="","",VLOOKUP(J85,'Inputs Mapping'!$T$27:$V$31,3))</f>
        <v/>
      </c>
      <c r="AJ85" s="654" t="str">
        <f>IF(J85="","",VLOOKUP(J85,'Inputs Mapping'!$T$17:$V$24,3))</f>
        <v/>
      </c>
      <c r="AK85" s="654" t="str">
        <f t="shared" si="46"/>
        <v/>
      </c>
      <c r="AL85" s="655" t="str">
        <f t="shared" si="42"/>
        <v/>
      </c>
      <c r="AM85" s="655" t="str">
        <f>IF(F85="","",IF(AE85="Dubai",HLOOKUP(F85,Inputs!$C$26:$M$36,5,0),HLOOKUP(F85,Inputs!$C$45:$M$49,5,0)))</f>
        <v/>
      </c>
      <c r="AN85" s="655">
        <f t="shared" si="47"/>
        <v>0</v>
      </c>
      <c r="AO85" s="654" t="str">
        <f>IF(AJ85="","",IF(AN85="Dubai",VLOOKUP(AJ85,'Inputs Mapping'!$V$17:$W$24,2,0),VLOOKUP(AI85,'Inputs Mapping'!$V$27:$W$31,2,0)))</f>
        <v/>
      </c>
      <c r="AP85" s="666">
        <f>IFERROR(IF($AN85="","",HLOOKUP($AN85&amp;RIGHT($AL85,1),'input for formula'!$B$16:$I$20,3,0)),0)</f>
        <v>0</v>
      </c>
      <c r="AQ85" s="656">
        <f>IFERROR(IF($AN85="","",HLOOKUP($AN85&amp;$F85,'input for formula'!$B$22:$M$25,2,0)),0)</f>
        <v>0</v>
      </c>
      <c r="AR85" s="666">
        <f>IFERROR(IF($AN85="","",HLOOKUP($AN85&amp;RIGHT($AL85,1),'input for formula'!$B$16:$I$20,4,0)),0)</f>
        <v>0</v>
      </c>
      <c r="AS85" s="656">
        <f>IFERROR(IF($AN85="","",HLOOKUP($AN85&amp;$F85,'input for formula'!$B$22:$M$25,3,0)),0)</f>
        <v>0</v>
      </c>
      <c r="AT85" s="656">
        <f>IFERROR(IF($AN85="","",HLOOKUP($AN85&amp;RIGHT($AL85,1),'input for formula'!$B$16:$I$20,5,0)),0)</f>
        <v>0</v>
      </c>
      <c r="AU85" s="656">
        <f>IFERROR(IF($AN85="","",HLOOKUP($AN85&amp;$F85,'input for formula'!$B$22:$M$25,4,0)),0)</f>
        <v>0</v>
      </c>
      <c r="AV85" s="666">
        <f>IFERROR(IF($AN85="","",IF('Census Data'!$AN85="Abu Dhabi",VLOOKUP('Census Data'!$AM85,'input for formula'!$A$28:$C$41,3,0),VLOOKUP('Census Data'!$AM85,'input for formula'!$A$28:$C$47,2,0))),0)*IFERROR(1+IF(AN85="Dubai",VLOOKUP(F85,'Quotation for Dubai Plans'!$V$6:$X$12,3,FALSE),VLOOKUP(F85,'Quotation for Abu Dhabi Plans'!$W$6:$Y$12,3,FALSE)),0)</f>
        <v>0</v>
      </c>
      <c r="AW85" s="656" t="str">
        <f t="shared" si="23"/>
        <v/>
      </c>
      <c r="AX85" s="667" t="str">
        <f>IFERROR(IF(AL85="","",IF(AN85="Dubai",HLOOKUP((AL85&amp;AM85),Deviation!$B$7:$S$8,2,0)*BF85*BH85*BI85*BG85,HLOOKUP((AL85&amp;AM85),Deviation!$B$9:$O$10,2,0)*BF85*BH85*BI85*BG85)),0)</f>
        <v/>
      </c>
      <c r="AY85" s="668" t="str">
        <f>IF(AL85="","",IFERROR(IF(AL85="","",IF(AN85="Dubai",HLOOKUP(AZ85,'input for formula'!$B$3:$F$10,AO85,FALSE), IF(AND(H85="Employee",AN85="Abu Dhabi"),HLOOKUP(AZ85,'input for formula'!$I$3:$K$7,AO85,FALSE),HLOOKUP(AZ85,'input for formula'!$M$3:$O$7,AO85,FALSE)))*AX85+AP85*AQ85+AR85*AS85+AT85*AU85),0)*$AZ$3*BK85*BJ85*IF(AND(Inputs!$C$19&gt;19,Inputs!$C$19&lt;30),(1+$AZ$2),1)*(1+$AZ$1))</f>
        <v/>
      </c>
      <c r="AZ85" s="148" t="str">
        <f t="shared" si="48"/>
        <v/>
      </c>
      <c r="BA85" s="669" t="str">
        <f>IF(F85="","",IF(AE85="Dubai",HLOOKUP(F85,Inputs!$C$26:$M$37,9,0),HLOOKUP(F85,Inputs!$C$45:$M$56,9,0)))</f>
        <v/>
      </c>
      <c r="BB85" s="670" t="str">
        <f>IF(F85="","",IF(AE85="Dubai",HLOOKUP(F85,Inputs!$C$26:$M$37,10,0),HLOOKUP(F85,Inputs!$C$45:$M$56,10,0)))</f>
        <v/>
      </c>
      <c r="BC85" s="670" t="str">
        <f>IF(F85="","",IF(AE85="Dubai",HLOOKUP(F85,Inputs!$C$26:$M$37,11,0),HLOOKUP(F85,Inputs!$C$45:$M$56,11,0)))</f>
        <v/>
      </c>
      <c r="BD85" s="669" t="str">
        <f>IF(F85="","",IF(AE85="Dubai",HLOOKUP(F85,Inputs!$C$26:$M$37,12,0),HLOOKUP(F85,Inputs!$C$45:$M$56,12,0)))</f>
        <v/>
      </c>
      <c r="BE85" s="654"/>
      <c r="BF85" s="669" t="str">
        <f>IFERROR(IF(AL85="","",IF(AN85="Dubai",IF(OR(AL85="Plan1",AL85="Plan2"),VLOOKUP(BA85,Deviation!$B$31:$D$33,2,FALSE),VLOOKUP(BA85,Deviation!$B$31:$D$33,3,FALSE)),IF(OR(AL85="Plan1",AL85="Plan2"),VLOOKUP(BA85,Deviation!$E$31:$AE$33,2,FALSE),VLOOKUP(BA85,Deviation!$E$31:$AE$33,3,FALSE)))),0)</f>
        <v/>
      </c>
      <c r="BG85" s="671" t="str">
        <f>IFERROR(IF(AL85="","",IF(AN85="Dubai",IF(AL85="Plan1",VLOOKUP(BB85,Deviation!$B$39:$C$40,2,FALSE),IF(AL85="Plan2",VLOOKUP(BB85,Deviation!$B$42:$C$43,2,FALSE),IF(AL85="Plan5",VLOOKUP(BB85,Deviation!$B$48:$C$49,2,FALSE),VLOOKUP(BB85,Deviation!$B$45:$C$46,2,FALSE)))),IF(AL85="Plan1",VLOOKUP(BB85,Deviation!$E$39:$F$40,2,FALSE),IF(AL85="Plan2",VLOOKUP(BB85,Deviation!$E$42:$F$43,2,FALSE),VLOOKUP(BB85,Deviation!$E$45:$F$46,2,FALSE))))),0)</f>
        <v/>
      </c>
      <c r="BH85" s="671" t="str">
        <f>IFERROR(IF(AL85="","",IF(AN85="Dubai",IF(OR(AL85="Plan1",AL85="Plan2"),VLOOKUP(BC85,Deviation!$B$15:$D$19,2,FALSE),VLOOKUP(BC85,Deviation!$B$15:$D$19,3,FALSE)),IF(OR(AL85="Plan1",AL85="Plan2"),VLOOKUP(BC85,Deviation!$E$15:$AE$19,2,FALSE),VLOOKUP(BC85,Deviation!$E$15:$AE$19,3,FALSE)))),0)</f>
        <v/>
      </c>
      <c r="BI85" s="669" t="str">
        <f>IFERROR(IF(AL85="","",IF(AN85="Dubai",VLOOKUP(BD85,Deviation!$B$24:$C$26,2,FALSE),100%)),0)</f>
        <v/>
      </c>
      <c r="BJ85" s="672">
        <f>IF(AE85="Abu Dhabi",1,IFERROR(VLOOKUP(AM85,Deviation!$B$67:$E$79,MATCH('Census Data'!AA85,Deviation!$B$66:$E$66,0),0),1))</f>
        <v>1</v>
      </c>
      <c r="BK85" s="659">
        <f>IFERROR(VLOOKUP(I85,Deviation!$B$54:$C$62,2,0),1)</f>
        <v>1</v>
      </c>
      <c r="BL85" s="148"/>
      <c r="BM85" s="148"/>
      <c r="BN85" s="148"/>
      <c r="BO85" s="148"/>
      <c r="BP85" s="148"/>
      <c r="BQ85" s="148"/>
      <c r="BR85" s="148"/>
      <c r="BS85" s="148"/>
      <c r="BT85" s="148" t="e">
        <f t="shared" si="49"/>
        <v>#VALUE!</v>
      </c>
      <c r="BU85" t="str">
        <f>IF(AL85="","",IFERROR(IF(AL85="","",IF(AN85="Dubai",HLOOKUP(AZ85,'input for formula'!$B$3:$F$10,AO85,FALSE), IF(AND(H85="Employee",AN85="Abu Dhabi"),HLOOKUP(AZ85,'input for formula'!$I$3:$K$7,AO85,FALSE),HLOOKUP(AZ85,'input for formula'!$M$3:$O$7,AO85,FALSE)))*AX85+AP85*AQ85+AR85*AS85+AT85*AU85),0)*$AZ$3*BK85*BJ85*IF(AND(Inputs!$C$19&gt;19,Inputs!$C$19&lt;30),(1+$AZ$2),1))</f>
        <v/>
      </c>
    </row>
    <row r="86" spans="1:73" ht="15" x14ac:dyDescent="0.25">
      <c r="A86" s="59">
        <v>81</v>
      </c>
      <c r="B86" s="470"/>
      <c r="C86" s="628"/>
      <c r="D86" s="629"/>
      <c r="E86" s="471"/>
      <c r="F86" s="298"/>
      <c r="G86" s="298"/>
      <c r="H86" s="298"/>
      <c r="I86" s="298"/>
      <c r="J86" s="80" t="str">
        <f>IFERROR(IF(C86="","",DATEDIF('Census Data'!C86,eff_date,"y")),"")</f>
        <v/>
      </c>
      <c r="K86" s="59" t="str">
        <f>IF(F86="","",IF(AE86="Dubai",HLOOKUP(F86,Inputs!$C$26:$M$28,3,0),HLOOKUP(F86,Inputs!$C$45:$M$46,2,0)))</f>
        <v/>
      </c>
      <c r="L86" s="104"/>
      <c r="M86" s="105">
        <f t="shared" si="32"/>
        <v>0</v>
      </c>
      <c r="N86" s="654" t="b">
        <f t="shared" si="33"/>
        <v>0</v>
      </c>
      <c r="O86" s="655" t="str">
        <f t="shared" si="34"/>
        <v>x</v>
      </c>
      <c r="P86" s="655" t="str">
        <f t="shared" si="35"/>
        <v>x</v>
      </c>
      <c r="Q86" s="655" t="str">
        <f t="shared" si="36"/>
        <v>x</v>
      </c>
      <c r="R86" s="655" t="str">
        <f t="shared" si="22"/>
        <v>x</v>
      </c>
      <c r="S86" s="655" t="str">
        <f t="shared" si="37"/>
        <v>x</v>
      </c>
      <c r="T86" s="655" t="str">
        <f>IF(ISERROR(MATCH(G86,'Inputs Mapping'!$T$4:$T$10,0)),"x","")</f>
        <v>x</v>
      </c>
      <c r="U86" s="655" t="str">
        <f>IF(ISERROR(MATCH(AA86,'Inputs Mapping'!$U$4:$U$5,0)),"x","")</f>
        <v>x</v>
      </c>
      <c r="V86" s="655" t="str">
        <f>IF(ISERROR(MATCH(AB86,'Inputs Mapping'!$V$4:$V$5,0)),"x","")</f>
        <v>x</v>
      </c>
      <c r="W86" s="655" t="str">
        <f>IF(ISERROR(MATCH(F86,'Inputs Mapping'!$W$4:$W$8,0)),"x","")</f>
        <v>x</v>
      </c>
      <c r="X86" s="655" t="str">
        <f t="shared" si="38"/>
        <v/>
      </c>
      <c r="Y86" s="655" t="str">
        <f t="shared" si="39"/>
        <v/>
      </c>
      <c r="Z86" s="655" t="str">
        <f t="shared" si="40"/>
        <v/>
      </c>
      <c r="AA86" s="655" t="str">
        <f t="shared" si="41"/>
        <v/>
      </c>
      <c r="AB86" s="655" t="str">
        <f t="shared" si="43"/>
        <v/>
      </c>
      <c r="AC86" s="655" t="str">
        <f t="shared" si="50"/>
        <v>x</v>
      </c>
      <c r="AD86" s="655" t="str">
        <f>IF(ISBLANK(I86),"x",IF(ISNUMBER(MATCH(I86,'Inputs Mapping'!$AF$5:$AF$199,0)),"","x"))</f>
        <v>x</v>
      </c>
      <c r="AE86" s="655" t="str">
        <f t="shared" si="44"/>
        <v/>
      </c>
      <c r="AF86" s="148"/>
      <c r="AG86" s="148"/>
      <c r="AH86" s="148" t="str">
        <f t="shared" si="45"/>
        <v/>
      </c>
      <c r="AI86" s="654" t="str">
        <f>IF(J86="","",VLOOKUP(J86,'Inputs Mapping'!$T$27:$V$31,3))</f>
        <v/>
      </c>
      <c r="AJ86" s="654" t="str">
        <f>IF(J86="","",VLOOKUP(J86,'Inputs Mapping'!$T$17:$V$24,3))</f>
        <v/>
      </c>
      <c r="AK86" s="654" t="str">
        <f t="shared" si="46"/>
        <v/>
      </c>
      <c r="AL86" s="655" t="str">
        <f t="shared" si="42"/>
        <v/>
      </c>
      <c r="AM86" s="655" t="str">
        <f>IF(F86="","",IF(AE86="Dubai",HLOOKUP(F86,Inputs!$C$26:$M$36,5,0),HLOOKUP(F86,Inputs!$C$45:$M$49,5,0)))</f>
        <v/>
      </c>
      <c r="AN86" s="655">
        <f t="shared" si="47"/>
        <v>0</v>
      </c>
      <c r="AO86" s="654" t="str">
        <f>IF(AJ86="","",IF(AN86="Dubai",VLOOKUP(AJ86,'Inputs Mapping'!$V$17:$W$24,2,0),VLOOKUP(AI86,'Inputs Mapping'!$V$27:$W$31,2,0)))</f>
        <v/>
      </c>
      <c r="AP86" s="666">
        <f>IFERROR(IF($AN86="","",HLOOKUP($AN86&amp;RIGHT($AL86,1),'input for formula'!$B$16:$I$20,3,0)),0)</f>
        <v>0</v>
      </c>
      <c r="AQ86" s="656">
        <f>IFERROR(IF($AN86="","",HLOOKUP($AN86&amp;$F86,'input for formula'!$B$22:$M$25,2,0)),0)</f>
        <v>0</v>
      </c>
      <c r="AR86" s="666">
        <f>IFERROR(IF($AN86="","",HLOOKUP($AN86&amp;RIGHT($AL86,1),'input for formula'!$B$16:$I$20,4,0)),0)</f>
        <v>0</v>
      </c>
      <c r="AS86" s="656">
        <f>IFERROR(IF($AN86="","",HLOOKUP($AN86&amp;$F86,'input for formula'!$B$22:$M$25,3,0)),0)</f>
        <v>0</v>
      </c>
      <c r="AT86" s="656">
        <f>IFERROR(IF($AN86="","",HLOOKUP($AN86&amp;RIGHT($AL86,1),'input for formula'!$B$16:$I$20,5,0)),0)</f>
        <v>0</v>
      </c>
      <c r="AU86" s="656">
        <f>IFERROR(IF($AN86="","",HLOOKUP($AN86&amp;$F86,'input for formula'!$B$22:$M$25,4,0)),0)</f>
        <v>0</v>
      </c>
      <c r="AV86" s="666">
        <f>IFERROR(IF($AN86="","",IF('Census Data'!$AN86="Abu Dhabi",VLOOKUP('Census Data'!$AM86,'input for formula'!$A$28:$C$41,3,0),VLOOKUP('Census Data'!$AM86,'input for formula'!$A$28:$C$47,2,0))),0)*IFERROR(1+IF(AN86="Dubai",VLOOKUP(F86,'Quotation for Dubai Plans'!$V$6:$X$12,3,FALSE),VLOOKUP(F86,'Quotation for Abu Dhabi Plans'!$W$6:$Y$12,3,FALSE)),0)</f>
        <v>0</v>
      </c>
      <c r="AW86" s="656" t="str">
        <f t="shared" si="23"/>
        <v/>
      </c>
      <c r="AX86" s="667" t="str">
        <f>IFERROR(IF(AL86="","",IF(AN86="Dubai",HLOOKUP((AL86&amp;AM86),Deviation!$B$7:$S$8,2,0)*BF86*BH86*BI86*BG86,HLOOKUP((AL86&amp;AM86),Deviation!$B$9:$O$10,2,0)*BF86*BH86*BI86*BG86)),0)</f>
        <v/>
      </c>
      <c r="AY86" s="668" t="str">
        <f>IF(AL86="","",IFERROR(IF(AL86="","",IF(AN86="Dubai",HLOOKUP(AZ86,'input for formula'!$B$3:$F$10,AO86,FALSE), IF(AND(H86="Employee",AN86="Abu Dhabi"),HLOOKUP(AZ86,'input for formula'!$I$3:$K$7,AO86,FALSE),HLOOKUP(AZ86,'input for formula'!$M$3:$O$7,AO86,FALSE)))*AX86+AP86*AQ86+AR86*AS86+AT86*AU86),0)*$AZ$3*BK86*BJ86*IF(AND(Inputs!$C$19&gt;19,Inputs!$C$19&lt;30),(1+$AZ$2),1)*(1+$AZ$1))</f>
        <v/>
      </c>
      <c r="AZ86" s="148" t="str">
        <f t="shared" si="48"/>
        <v/>
      </c>
      <c r="BA86" s="669" t="str">
        <f>IF(F86="","",IF(AE86="Dubai",HLOOKUP(F86,Inputs!$C$26:$M$37,9,0),HLOOKUP(F86,Inputs!$C$45:$M$56,9,0)))</f>
        <v/>
      </c>
      <c r="BB86" s="670" t="str">
        <f>IF(F86="","",IF(AE86="Dubai",HLOOKUP(F86,Inputs!$C$26:$M$37,10,0),HLOOKUP(F86,Inputs!$C$45:$M$56,10,0)))</f>
        <v/>
      </c>
      <c r="BC86" s="670" t="str">
        <f>IF(F86="","",IF(AE86="Dubai",HLOOKUP(F86,Inputs!$C$26:$M$37,11,0),HLOOKUP(F86,Inputs!$C$45:$M$56,11,0)))</f>
        <v/>
      </c>
      <c r="BD86" s="669" t="str">
        <f>IF(F86="","",IF(AE86="Dubai",HLOOKUP(F86,Inputs!$C$26:$M$37,12,0),HLOOKUP(F86,Inputs!$C$45:$M$56,12,0)))</f>
        <v/>
      </c>
      <c r="BE86" s="654"/>
      <c r="BF86" s="669" t="str">
        <f>IFERROR(IF(AL86="","",IF(AN86="Dubai",IF(OR(AL86="Plan1",AL86="Plan2"),VLOOKUP(BA86,Deviation!$B$31:$D$33,2,FALSE),VLOOKUP(BA86,Deviation!$B$31:$D$33,3,FALSE)),IF(OR(AL86="Plan1",AL86="Plan2"),VLOOKUP(BA86,Deviation!$E$31:$AE$33,2,FALSE),VLOOKUP(BA86,Deviation!$E$31:$AE$33,3,FALSE)))),0)</f>
        <v/>
      </c>
      <c r="BG86" s="671" t="str">
        <f>IFERROR(IF(AL86="","",IF(AN86="Dubai",IF(AL86="Plan1",VLOOKUP(BB86,Deviation!$B$39:$C$40,2,FALSE),IF(AL86="Plan2",VLOOKUP(BB86,Deviation!$B$42:$C$43,2,FALSE),IF(AL86="Plan5",VLOOKUP(BB86,Deviation!$B$48:$C$49,2,FALSE),VLOOKUP(BB86,Deviation!$B$45:$C$46,2,FALSE)))),IF(AL86="Plan1",VLOOKUP(BB86,Deviation!$E$39:$F$40,2,FALSE),IF(AL86="Plan2",VLOOKUP(BB86,Deviation!$E$42:$F$43,2,FALSE),VLOOKUP(BB86,Deviation!$E$45:$F$46,2,FALSE))))),0)</f>
        <v/>
      </c>
      <c r="BH86" s="671" t="str">
        <f>IFERROR(IF(AL86="","",IF(AN86="Dubai",IF(OR(AL86="Plan1",AL86="Plan2"),VLOOKUP(BC86,Deviation!$B$15:$D$19,2,FALSE),VLOOKUP(BC86,Deviation!$B$15:$D$19,3,FALSE)),IF(OR(AL86="Plan1",AL86="Plan2"),VLOOKUP(BC86,Deviation!$E$15:$AE$19,2,FALSE),VLOOKUP(BC86,Deviation!$E$15:$AE$19,3,FALSE)))),0)</f>
        <v/>
      </c>
      <c r="BI86" s="669" t="str">
        <f>IFERROR(IF(AL86="","",IF(AN86="Dubai",VLOOKUP(BD86,Deviation!$B$24:$C$26,2,FALSE),100%)),0)</f>
        <v/>
      </c>
      <c r="BJ86" s="672">
        <f>IF(AE86="Abu Dhabi",1,IFERROR(VLOOKUP(AM86,Deviation!$B$67:$E$79,MATCH('Census Data'!AA86,Deviation!$B$66:$E$66,0),0),1))</f>
        <v>1</v>
      </c>
      <c r="BK86" s="659">
        <f>IFERROR(VLOOKUP(I86,Deviation!$B$54:$C$62,2,0),1)</f>
        <v>1</v>
      </c>
      <c r="BL86" s="148"/>
      <c r="BM86" s="148"/>
      <c r="BN86" s="148"/>
      <c r="BO86" s="148"/>
      <c r="BP86" s="148"/>
      <c r="BQ86" s="148"/>
      <c r="BR86" s="148"/>
      <c r="BS86" s="148"/>
      <c r="BT86" s="148" t="e">
        <f t="shared" si="49"/>
        <v>#VALUE!</v>
      </c>
      <c r="BU86" t="str">
        <f>IF(AL86="","",IFERROR(IF(AL86="","",IF(AN86="Dubai",HLOOKUP(AZ86,'input for formula'!$B$3:$F$10,AO86,FALSE), IF(AND(H86="Employee",AN86="Abu Dhabi"),HLOOKUP(AZ86,'input for formula'!$I$3:$K$7,AO86,FALSE),HLOOKUP(AZ86,'input for formula'!$M$3:$O$7,AO86,FALSE)))*AX86+AP86*AQ86+AR86*AS86+AT86*AU86),0)*$AZ$3*BK86*BJ86*IF(AND(Inputs!$C$19&gt;19,Inputs!$C$19&lt;30),(1+$AZ$2),1))</f>
        <v/>
      </c>
    </row>
    <row r="87" spans="1:73" ht="15" x14ac:dyDescent="0.25">
      <c r="A87" s="59">
        <v>82</v>
      </c>
      <c r="B87" s="470"/>
      <c r="C87" s="628"/>
      <c r="D87" s="629"/>
      <c r="E87" s="471"/>
      <c r="F87" s="298"/>
      <c r="G87" s="298"/>
      <c r="H87" s="298"/>
      <c r="I87" s="298"/>
      <c r="J87" s="80" t="str">
        <f>IFERROR(IF(C87="","",DATEDIF('Census Data'!C87,eff_date,"y")),"")</f>
        <v/>
      </c>
      <c r="K87" s="59" t="str">
        <f>IF(F87="","",IF(AE87="Dubai",HLOOKUP(F87,Inputs!$C$26:$M$28,3,0),HLOOKUP(F87,Inputs!$C$45:$M$46,2,0)))</f>
        <v/>
      </c>
      <c r="L87" s="104"/>
      <c r="M87" s="105">
        <f t="shared" si="32"/>
        <v>0</v>
      </c>
      <c r="N87" s="654" t="b">
        <f t="shared" si="33"/>
        <v>0</v>
      </c>
      <c r="O87" s="655" t="str">
        <f t="shared" si="34"/>
        <v>x</v>
      </c>
      <c r="P87" s="655" t="str">
        <f t="shared" si="35"/>
        <v>x</v>
      </c>
      <c r="Q87" s="655" t="str">
        <f t="shared" si="36"/>
        <v>x</v>
      </c>
      <c r="R87" s="655" t="str">
        <f t="shared" si="22"/>
        <v>x</v>
      </c>
      <c r="S87" s="655" t="str">
        <f t="shared" si="37"/>
        <v>x</v>
      </c>
      <c r="T87" s="655" t="str">
        <f>IF(ISERROR(MATCH(G87,'Inputs Mapping'!$T$4:$T$10,0)),"x","")</f>
        <v>x</v>
      </c>
      <c r="U87" s="655" t="str">
        <f>IF(ISERROR(MATCH(AA87,'Inputs Mapping'!$U$4:$U$5,0)),"x","")</f>
        <v>x</v>
      </c>
      <c r="V87" s="655" t="str">
        <f>IF(ISERROR(MATCH(AB87,'Inputs Mapping'!$V$4:$V$5,0)),"x","")</f>
        <v>x</v>
      </c>
      <c r="W87" s="655" t="str">
        <f>IF(ISERROR(MATCH(F87,'Inputs Mapping'!$W$4:$W$8,0)),"x","")</f>
        <v>x</v>
      </c>
      <c r="X87" s="655" t="str">
        <f t="shared" si="38"/>
        <v/>
      </c>
      <c r="Y87" s="655" t="str">
        <f t="shared" si="39"/>
        <v/>
      </c>
      <c r="Z87" s="655" t="str">
        <f t="shared" si="40"/>
        <v/>
      </c>
      <c r="AA87" s="655" t="str">
        <f t="shared" si="41"/>
        <v/>
      </c>
      <c r="AB87" s="655" t="str">
        <f t="shared" si="43"/>
        <v/>
      </c>
      <c r="AC87" s="655" t="str">
        <f t="shared" si="50"/>
        <v>x</v>
      </c>
      <c r="AD87" s="655" t="str">
        <f>IF(ISBLANK(I87),"x",IF(ISNUMBER(MATCH(I87,'Inputs Mapping'!$AF$5:$AF$199,0)),"","x"))</f>
        <v>x</v>
      </c>
      <c r="AE87" s="655" t="str">
        <f t="shared" si="44"/>
        <v/>
      </c>
      <c r="AF87" s="148"/>
      <c r="AG87" s="148"/>
      <c r="AH87" s="148" t="str">
        <f t="shared" si="45"/>
        <v/>
      </c>
      <c r="AI87" s="654" t="str">
        <f>IF(J87="","",VLOOKUP(J87,'Inputs Mapping'!$T$27:$V$31,3))</f>
        <v/>
      </c>
      <c r="AJ87" s="654" t="str">
        <f>IF(J87="","",VLOOKUP(J87,'Inputs Mapping'!$T$17:$V$24,3))</f>
        <v/>
      </c>
      <c r="AK87" s="654" t="str">
        <f t="shared" si="46"/>
        <v/>
      </c>
      <c r="AL87" s="655" t="str">
        <f t="shared" si="42"/>
        <v/>
      </c>
      <c r="AM87" s="655" t="str">
        <f>IF(F87="","",IF(AE87="Dubai",HLOOKUP(F87,Inputs!$C$26:$M$36,5,0),HLOOKUP(F87,Inputs!$C$45:$M$49,5,0)))</f>
        <v/>
      </c>
      <c r="AN87" s="655">
        <f t="shared" si="47"/>
        <v>0</v>
      </c>
      <c r="AO87" s="654" t="str">
        <f>IF(AJ87="","",IF(AN87="Dubai",VLOOKUP(AJ87,'Inputs Mapping'!$V$17:$W$24,2,0),VLOOKUP(AI87,'Inputs Mapping'!$V$27:$W$31,2,0)))</f>
        <v/>
      </c>
      <c r="AP87" s="666">
        <f>IFERROR(IF($AN87="","",HLOOKUP($AN87&amp;RIGHT($AL87,1),'input for formula'!$B$16:$I$20,3,0)),0)</f>
        <v>0</v>
      </c>
      <c r="AQ87" s="656">
        <f>IFERROR(IF($AN87="","",HLOOKUP($AN87&amp;$F87,'input for formula'!$B$22:$M$25,2,0)),0)</f>
        <v>0</v>
      </c>
      <c r="AR87" s="666">
        <f>IFERROR(IF($AN87="","",HLOOKUP($AN87&amp;RIGHT($AL87,1),'input for formula'!$B$16:$I$20,4,0)),0)</f>
        <v>0</v>
      </c>
      <c r="AS87" s="656">
        <f>IFERROR(IF($AN87="","",HLOOKUP($AN87&amp;$F87,'input for formula'!$B$22:$M$25,3,0)),0)</f>
        <v>0</v>
      </c>
      <c r="AT87" s="656">
        <f>IFERROR(IF($AN87="","",HLOOKUP($AN87&amp;RIGHT($AL87,1),'input for formula'!$B$16:$I$20,5,0)),0)</f>
        <v>0</v>
      </c>
      <c r="AU87" s="656">
        <f>IFERROR(IF($AN87="","",HLOOKUP($AN87&amp;$F87,'input for formula'!$B$22:$M$25,4,0)),0)</f>
        <v>0</v>
      </c>
      <c r="AV87" s="666">
        <f>IFERROR(IF($AN87="","",IF('Census Data'!$AN87="Abu Dhabi",VLOOKUP('Census Data'!$AM87,'input for formula'!$A$28:$C$41,3,0),VLOOKUP('Census Data'!$AM87,'input for formula'!$A$28:$C$47,2,0))),0)*IFERROR(1+IF(AN87="Dubai",VLOOKUP(F87,'Quotation for Dubai Plans'!$V$6:$X$12,3,FALSE),VLOOKUP(F87,'Quotation for Abu Dhabi Plans'!$W$6:$Y$12,3,FALSE)),0)</f>
        <v>0</v>
      </c>
      <c r="AW87" s="656" t="str">
        <f t="shared" si="23"/>
        <v/>
      </c>
      <c r="AX87" s="667" t="str">
        <f>IFERROR(IF(AL87="","",IF(AN87="Dubai",HLOOKUP((AL87&amp;AM87),Deviation!$B$7:$S$8,2,0)*BF87*BH87*BI87*BG87,HLOOKUP((AL87&amp;AM87),Deviation!$B$9:$O$10,2,0)*BF87*BH87*BI87*BG87)),0)</f>
        <v/>
      </c>
      <c r="AY87" s="668" t="str">
        <f>IF(AL87="","",IFERROR(IF(AL87="","",IF(AN87="Dubai",HLOOKUP(AZ87,'input for formula'!$B$3:$F$10,AO87,FALSE), IF(AND(H87="Employee",AN87="Abu Dhabi"),HLOOKUP(AZ87,'input for formula'!$I$3:$K$7,AO87,FALSE),HLOOKUP(AZ87,'input for formula'!$M$3:$O$7,AO87,FALSE)))*AX87+AP87*AQ87+AR87*AS87+AT87*AU87),0)*$AZ$3*BK87*BJ87*IF(AND(Inputs!$C$19&gt;19,Inputs!$C$19&lt;30),(1+$AZ$2),1)*(1+$AZ$1))</f>
        <v/>
      </c>
      <c r="AZ87" s="148" t="str">
        <f t="shared" si="48"/>
        <v/>
      </c>
      <c r="BA87" s="669" t="str">
        <f>IF(F87="","",IF(AE87="Dubai",HLOOKUP(F87,Inputs!$C$26:$M$37,9,0),HLOOKUP(F87,Inputs!$C$45:$M$56,9,0)))</f>
        <v/>
      </c>
      <c r="BB87" s="670" t="str">
        <f>IF(F87="","",IF(AE87="Dubai",HLOOKUP(F87,Inputs!$C$26:$M$37,10,0),HLOOKUP(F87,Inputs!$C$45:$M$56,10,0)))</f>
        <v/>
      </c>
      <c r="BC87" s="670" t="str">
        <f>IF(F87="","",IF(AE87="Dubai",HLOOKUP(F87,Inputs!$C$26:$M$37,11,0),HLOOKUP(F87,Inputs!$C$45:$M$56,11,0)))</f>
        <v/>
      </c>
      <c r="BD87" s="669" t="str">
        <f>IF(F87="","",IF(AE87="Dubai",HLOOKUP(F87,Inputs!$C$26:$M$37,12,0),HLOOKUP(F87,Inputs!$C$45:$M$56,12,0)))</f>
        <v/>
      </c>
      <c r="BE87" s="654"/>
      <c r="BF87" s="669" t="str">
        <f>IFERROR(IF(AL87="","",IF(AN87="Dubai",IF(OR(AL87="Plan1",AL87="Plan2"),VLOOKUP(BA87,Deviation!$B$31:$D$33,2,FALSE),VLOOKUP(BA87,Deviation!$B$31:$D$33,3,FALSE)),IF(OR(AL87="Plan1",AL87="Plan2"),VLOOKUP(BA87,Deviation!$E$31:$AE$33,2,FALSE),VLOOKUP(BA87,Deviation!$E$31:$AE$33,3,FALSE)))),0)</f>
        <v/>
      </c>
      <c r="BG87" s="671" t="str">
        <f>IFERROR(IF(AL87="","",IF(AN87="Dubai",IF(AL87="Plan1",VLOOKUP(BB87,Deviation!$B$39:$C$40,2,FALSE),IF(AL87="Plan2",VLOOKUP(BB87,Deviation!$B$42:$C$43,2,FALSE),IF(AL87="Plan5",VLOOKUP(BB87,Deviation!$B$48:$C$49,2,FALSE),VLOOKUP(BB87,Deviation!$B$45:$C$46,2,FALSE)))),IF(AL87="Plan1",VLOOKUP(BB87,Deviation!$E$39:$F$40,2,FALSE),IF(AL87="Plan2",VLOOKUP(BB87,Deviation!$E$42:$F$43,2,FALSE),VLOOKUP(BB87,Deviation!$E$45:$F$46,2,FALSE))))),0)</f>
        <v/>
      </c>
      <c r="BH87" s="671" t="str">
        <f>IFERROR(IF(AL87="","",IF(AN87="Dubai",IF(OR(AL87="Plan1",AL87="Plan2"),VLOOKUP(BC87,Deviation!$B$15:$D$19,2,FALSE),VLOOKUP(BC87,Deviation!$B$15:$D$19,3,FALSE)),IF(OR(AL87="Plan1",AL87="Plan2"),VLOOKUP(BC87,Deviation!$E$15:$AE$19,2,FALSE),VLOOKUP(BC87,Deviation!$E$15:$AE$19,3,FALSE)))),0)</f>
        <v/>
      </c>
      <c r="BI87" s="669" t="str">
        <f>IFERROR(IF(AL87="","",IF(AN87="Dubai",VLOOKUP(BD87,Deviation!$B$24:$C$26,2,FALSE),100%)),0)</f>
        <v/>
      </c>
      <c r="BJ87" s="672">
        <f>IF(AE87="Abu Dhabi",1,IFERROR(VLOOKUP(AM87,Deviation!$B$67:$E$79,MATCH('Census Data'!AA87,Deviation!$B$66:$E$66,0),0),1))</f>
        <v>1</v>
      </c>
      <c r="BK87" s="659">
        <f>IFERROR(VLOOKUP(I87,Deviation!$B$54:$C$62,2,0),1)</f>
        <v>1</v>
      </c>
      <c r="BL87" s="148"/>
      <c r="BM87" s="148"/>
      <c r="BN87" s="148"/>
      <c r="BO87" s="148"/>
      <c r="BP87" s="148"/>
      <c r="BQ87" s="148"/>
      <c r="BR87" s="148"/>
      <c r="BS87" s="148"/>
      <c r="BT87" s="148" t="e">
        <f t="shared" si="49"/>
        <v>#VALUE!</v>
      </c>
      <c r="BU87" t="str">
        <f>IF(AL87="","",IFERROR(IF(AL87="","",IF(AN87="Dubai",HLOOKUP(AZ87,'input for formula'!$B$3:$F$10,AO87,FALSE), IF(AND(H87="Employee",AN87="Abu Dhabi"),HLOOKUP(AZ87,'input for formula'!$I$3:$K$7,AO87,FALSE),HLOOKUP(AZ87,'input for formula'!$M$3:$O$7,AO87,FALSE)))*AX87+AP87*AQ87+AR87*AS87+AT87*AU87),0)*$AZ$3*BK87*BJ87*IF(AND(Inputs!$C$19&gt;19,Inputs!$C$19&lt;30),(1+$AZ$2),1))</f>
        <v/>
      </c>
    </row>
    <row r="88" spans="1:73" ht="15" x14ac:dyDescent="0.25">
      <c r="A88" s="59">
        <v>83</v>
      </c>
      <c r="B88" s="470"/>
      <c r="C88" s="628"/>
      <c r="D88" s="629"/>
      <c r="E88" s="471"/>
      <c r="F88" s="298"/>
      <c r="G88" s="298"/>
      <c r="H88" s="298"/>
      <c r="I88" s="298"/>
      <c r="J88" s="80" t="str">
        <f>IFERROR(IF(C88="","",DATEDIF('Census Data'!C88,eff_date,"y")),"")</f>
        <v/>
      </c>
      <c r="K88" s="59" t="str">
        <f>IF(F88="","",IF(AE88="Dubai",HLOOKUP(F88,Inputs!$C$26:$M$28,3,0),HLOOKUP(F88,Inputs!$C$45:$M$46,2,0)))</f>
        <v/>
      </c>
      <c r="L88" s="104"/>
      <c r="M88" s="105">
        <f t="shared" si="32"/>
        <v>0</v>
      </c>
      <c r="N88" s="654" t="b">
        <f t="shared" si="33"/>
        <v>0</v>
      </c>
      <c r="O88" s="655" t="str">
        <f t="shared" si="34"/>
        <v>x</v>
      </c>
      <c r="P88" s="655" t="str">
        <f t="shared" si="35"/>
        <v>x</v>
      </c>
      <c r="Q88" s="655" t="str">
        <f t="shared" si="36"/>
        <v>x</v>
      </c>
      <c r="R88" s="655" t="str">
        <f t="shared" si="22"/>
        <v>x</v>
      </c>
      <c r="S88" s="655" t="str">
        <f t="shared" si="37"/>
        <v>x</v>
      </c>
      <c r="T88" s="655" t="str">
        <f>IF(ISERROR(MATCH(G88,'Inputs Mapping'!$T$4:$T$10,0)),"x","")</f>
        <v>x</v>
      </c>
      <c r="U88" s="655" t="str">
        <f>IF(ISERROR(MATCH(AA88,'Inputs Mapping'!$U$4:$U$5,0)),"x","")</f>
        <v>x</v>
      </c>
      <c r="V88" s="655" t="str">
        <f>IF(ISERROR(MATCH(AB88,'Inputs Mapping'!$V$4:$V$5,0)),"x","")</f>
        <v>x</v>
      </c>
      <c r="W88" s="655" t="str">
        <f>IF(ISERROR(MATCH(F88,'Inputs Mapping'!$W$4:$W$8,0)),"x","")</f>
        <v>x</v>
      </c>
      <c r="X88" s="655" t="str">
        <f t="shared" si="38"/>
        <v/>
      </c>
      <c r="Y88" s="655" t="str">
        <f t="shared" si="39"/>
        <v/>
      </c>
      <c r="Z88" s="655" t="str">
        <f t="shared" si="40"/>
        <v/>
      </c>
      <c r="AA88" s="655" t="str">
        <f t="shared" si="41"/>
        <v/>
      </c>
      <c r="AB88" s="655" t="str">
        <f t="shared" si="43"/>
        <v/>
      </c>
      <c r="AC88" s="655" t="str">
        <f t="shared" si="50"/>
        <v>x</v>
      </c>
      <c r="AD88" s="655" t="str">
        <f>IF(ISBLANK(I88),"x",IF(ISNUMBER(MATCH(I88,'Inputs Mapping'!$AF$5:$AF$199,0)),"","x"))</f>
        <v>x</v>
      </c>
      <c r="AE88" s="655" t="str">
        <f t="shared" si="44"/>
        <v/>
      </c>
      <c r="AF88" s="148"/>
      <c r="AG88" s="148"/>
      <c r="AH88" s="148" t="str">
        <f t="shared" si="45"/>
        <v/>
      </c>
      <c r="AI88" s="654" t="str">
        <f>IF(J88="","",VLOOKUP(J88,'Inputs Mapping'!$T$27:$V$31,3))</f>
        <v/>
      </c>
      <c r="AJ88" s="654" t="str">
        <f>IF(J88="","",VLOOKUP(J88,'Inputs Mapping'!$T$17:$V$24,3))</f>
        <v/>
      </c>
      <c r="AK88" s="654" t="str">
        <f t="shared" si="46"/>
        <v/>
      </c>
      <c r="AL88" s="655" t="str">
        <f t="shared" si="42"/>
        <v/>
      </c>
      <c r="AM88" s="655" t="str">
        <f>IF(F88="","",IF(AE88="Dubai",HLOOKUP(F88,Inputs!$C$26:$M$36,5,0),HLOOKUP(F88,Inputs!$C$45:$M$49,5,0)))</f>
        <v/>
      </c>
      <c r="AN88" s="655">
        <f t="shared" si="47"/>
        <v>0</v>
      </c>
      <c r="AO88" s="654" t="str">
        <f>IF(AJ88="","",IF(AN88="Dubai",VLOOKUP(AJ88,'Inputs Mapping'!$V$17:$W$24,2,0),VLOOKUP(AI88,'Inputs Mapping'!$V$27:$W$31,2,0)))</f>
        <v/>
      </c>
      <c r="AP88" s="666">
        <f>IFERROR(IF($AN88="","",HLOOKUP($AN88&amp;RIGHT($AL88,1),'input for formula'!$B$16:$I$20,3,0)),0)</f>
        <v>0</v>
      </c>
      <c r="AQ88" s="656">
        <f>IFERROR(IF($AN88="","",HLOOKUP($AN88&amp;$F88,'input for formula'!$B$22:$M$25,2,0)),0)</f>
        <v>0</v>
      </c>
      <c r="AR88" s="666">
        <f>IFERROR(IF($AN88="","",HLOOKUP($AN88&amp;RIGHT($AL88,1),'input for formula'!$B$16:$I$20,4,0)),0)</f>
        <v>0</v>
      </c>
      <c r="AS88" s="656">
        <f>IFERROR(IF($AN88="","",HLOOKUP($AN88&amp;$F88,'input for formula'!$B$22:$M$25,3,0)),0)</f>
        <v>0</v>
      </c>
      <c r="AT88" s="656">
        <f>IFERROR(IF($AN88="","",HLOOKUP($AN88&amp;RIGHT($AL88,1),'input for formula'!$B$16:$I$20,5,0)),0)</f>
        <v>0</v>
      </c>
      <c r="AU88" s="656">
        <f>IFERROR(IF($AN88="","",HLOOKUP($AN88&amp;$F88,'input for formula'!$B$22:$M$25,4,0)),0)</f>
        <v>0</v>
      </c>
      <c r="AV88" s="666">
        <f>IFERROR(IF($AN88="","",IF('Census Data'!$AN88="Abu Dhabi",VLOOKUP('Census Data'!$AM88,'input for formula'!$A$28:$C$41,3,0),VLOOKUP('Census Data'!$AM88,'input for formula'!$A$28:$C$47,2,0))),0)*IFERROR(1+IF(AN88="Dubai",VLOOKUP(F88,'Quotation for Dubai Plans'!$V$6:$X$12,3,FALSE),VLOOKUP(F88,'Quotation for Abu Dhabi Plans'!$W$6:$Y$12,3,FALSE)),0)</f>
        <v>0</v>
      </c>
      <c r="AW88" s="656" t="str">
        <f t="shared" si="23"/>
        <v/>
      </c>
      <c r="AX88" s="667" t="str">
        <f>IFERROR(IF(AL88="","",IF(AN88="Dubai",HLOOKUP((AL88&amp;AM88),Deviation!$B$7:$S$8,2,0)*BF88*BH88*BI88*BG88,HLOOKUP((AL88&amp;AM88),Deviation!$B$9:$O$10,2,0)*BF88*BH88*BI88*BG88)),0)</f>
        <v/>
      </c>
      <c r="AY88" s="668" t="str">
        <f>IF(AL88="","",IFERROR(IF(AL88="","",IF(AN88="Dubai",HLOOKUP(AZ88,'input for formula'!$B$3:$F$10,AO88,FALSE), IF(AND(H88="Employee",AN88="Abu Dhabi"),HLOOKUP(AZ88,'input for formula'!$I$3:$K$7,AO88,FALSE),HLOOKUP(AZ88,'input for formula'!$M$3:$O$7,AO88,FALSE)))*AX88+AP88*AQ88+AR88*AS88+AT88*AU88),0)*$AZ$3*BK88*BJ88*IF(AND(Inputs!$C$19&gt;19,Inputs!$C$19&lt;30),(1+$AZ$2),1)*(1+$AZ$1))</f>
        <v/>
      </c>
      <c r="AZ88" s="148" t="str">
        <f t="shared" si="48"/>
        <v/>
      </c>
      <c r="BA88" s="669" t="str">
        <f>IF(F88="","",IF(AE88="Dubai",HLOOKUP(F88,Inputs!$C$26:$M$37,9,0),HLOOKUP(F88,Inputs!$C$45:$M$56,9,0)))</f>
        <v/>
      </c>
      <c r="BB88" s="670" t="str">
        <f>IF(F88="","",IF(AE88="Dubai",HLOOKUP(F88,Inputs!$C$26:$M$37,10,0),HLOOKUP(F88,Inputs!$C$45:$M$56,10,0)))</f>
        <v/>
      </c>
      <c r="BC88" s="670" t="str">
        <f>IF(F88="","",IF(AE88="Dubai",HLOOKUP(F88,Inputs!$C$26:$M$37,11,0),HLOOKUP(F88,Inputs!$C$45:$M$56,11,0)))</f>
        <v/>
      </c>
      <c r="BD88" s="669" t="str">
        <f>IF(F88="","",IF(AE88="Dubai",HLOOKUP(F88,Inputs!$C$26:$M$37,12,0),HLOOKUP(F88,Inputs!$C$45:$M$56,12,0)))</f>
        <v/>
      </c>
      <c r="BE88" s="654"/>
      <c r="BF88" s="669" t="str">
        <f>IFERROR(IF(AL88="","",IF(AN88="Dubai",IF(OR(AL88="Plan1",AL88="Plan2"),VLOOKUP(BA88,Deviation!$B$31:$D$33,2,FALSE),VLOOKUP(BA88,Deviation!$B$31:$D$33,3,FALSE)),IF(OR(AL88="Plan1",AL88="Plan2"),VLOOKUP(BA88,Deviation!$E$31:$AE$33,2,FALSE),VLOOKUP(BA88,Deviation!$E$31:$AE$33,3,FALSE)))),0)</f>
        <v/>
      </c>
      <c r="BG88" s="671" t="str">
        <f>IFERROR(IF(AL88="","",IF(AN88="Dubai",IF(AL88="Plan1",VLOOKUP(BB88,Deviation!$B$39:$C$40,2,FALSE),IF(AL88="Plan2",VLOOKUP(BB88,Deviation!$B$42:$C$43,2,FALSE),IF(AL88="Plan5",VLOOKUP(BB88,Deviation!$B$48:$C$49,2,FALSE),VLOOKUP(BB88,Deviation!$B$45:$C$46,2,FALSE)))),IF(AL88="Plan1",VLOOKUP(BB88,Deviation!$E$39:$F$40,2,FALSE),IF(AL88="Plan2",VLOOKUP(BB88,Deviation!$E$42:$F$43,2,FALSE),VLOOKUP(BB88,Deviation!$E$45:$F$46,2,FALSE))))),0)</f>
        <v/>
      </c>
      <c r="BH88" s="671" t="str">
        <f>IFERROR(IF(AL88="","",IF(AN88="Dubai",IF(OR(AL88="Plan1",AL88="Plan2"),VLOOKUP(BC88,Deviation!$B$15:$D$19,2,FALSE),VLOOKUP(BC88,Deviation!$B$15:$D$19,3,FALSE)),IF(OR(AL88="Plan1",AL88="Plan2"),VLOOKUP(BC88,Deviation!$E$15:$AE$19,2,FALSE),VLOOKUP(BC88,Deviation!$E$15:$AE$19,3,FALSE)))),0)</f>
        <v/>
      </c>
      <c r="BI88" s="669" t="str">
        <f>IFERROR(IF(AL88="","",IF(AN88="Dubai",VLOOKUP(BD88,Deviation!$B$24:$C$26,2,FALSE),100%)),0)</f>
        <v/>
      </c>
      <c r="BJ88" s="672">
        <f>IF(AE88="Abu Dhabi",1,IFERROR(VLOOKUP(AM88,Deviation!$B$67:$E$79,MATCH('Census Data'!AA88,Deviation!$B$66:$E$66,0),0),1))</f>
        <v>1</v>
      </c>
      <c r="BK88" s="659">
        <f>IFERROR(VLOOKUP(I88,Deviation!$B$54:$C$62,2,0),1)</f>
        <v>1</v>
      </c>
      <c r="BL88" s="148"/>
      <c r="BM88" s="148"/>
      <c r="BN88" s="148"/>
      <c r="BO88" s="148"/>
      <c r="BP88" s="148"/>
      <c r="BQ88" s="148"/>
      <c r="BR88" s="148"/>
      <c r="BS88" s="148"/>
      <c r="BT88" s="148" t="e">
        <f t="shared" si="49"/>
        <v>#VALUE!</v>
      </c>
      <c r="BU88" t="str">
        <f>IF(AL88="","",IFERROR(IF(AL88="","",IF(AN88="Dubai",HLOOKUP(AZ88,'input for formula'!$B$3:$F$10,AO88,FALSE), IF(AND(H88="Employee",AN88="Abu Dhabi"),HLOOKUP(AZ88,'input for formula'!$I$3:$K$7,AO88,FALSE),HLOOKUP(AZ88,'input for formula'!$M$3:$O$7,AO88,FALSE)))*AX88+AP88*AQ88+AR88*AS88+AT88*AU88),0)*$AZ$3*BK88*BJ88*IF(AND(Inputs!$C$19&gt;19,Inputs!$C$19&lt;30),(1+$AZ$2),1))</f>
        <v/>
      </c>
    </row>
    <row r="89" spans="1:73" ht="15" x14ac:dyDescent="0.25">
      <c r="A89" s="59">
        <v>84</v>
      </c>
      <c r="B89" s="470"/>
      <c r="C89" s="628"/>
      <c r="D89" s="629"/>
      <c r="E89" s="471"/>
      <c r="F89" s="298"/>
      <c r="G89" s="298"/>
      <c r="H89" s="298"/>
      <c r="I89" s="298"/>
      <c r="J89" s="80" t="str">
        <f>IFERROR(IF(C89="","",DATEDIF('Census Data'!C89,eff_date,"y")),"")</f>
        <v/>
      </c>
      <c r="K89" s="59" t="str">
        <f>IF(F89="","",IF(AE89="Dubai",HLOOKUP(F89,Inputs!$C$26:$M$28,3,0),HLOOKUP(F89,Inputs!$C$45:$M$46,2,0)))</f>
        <v/>
      </c>
      <c r="L89" s="104"/>
      <c r="M89" s="105">
        <f t="shared" si="32"/>
        <v>0</v>
      </c>
      <c r="N89" s="654" t="b">
        <f t="shared" si="33"/>
        <v>0</v>
      </c>
      <c r="O89" s="655" t="str">
        <f t="shared" si="34"/>
        <v>x</v>
      </c>
      <c r="P89" s="655" t="str">
        <f t="shared" si="35"/>
        <v>x</v>
      </c>
      <c r="Q89" s="655" t="str">
        <f t="shared" si="36"/>
        <v>x</v>
      </c>
      <c r="R89" s="655" t="str">
        <f t="shared" si="22"/>
        <v>x</v>
      </c>
      <c r="S89" s="655" t="str">
        <f t="shared" si="37"/>
        <v>x</v>
      </c>
      <c r="T89" s="655" t="str">
        <f>IF(ISERROR(MATCH(G89,'Inputs Mapping'!$T$4:$T$10,0)),"x","")</f>
        <v>x</v>
      </c>
      <c r="U89" s="655" t="str">
        <f>IF(ISERROR(MATCH(AA89,'Inputs Mapping'!$U$4:$U$5,0)),"x","")</f>
        <v>x</v>
      </c>
      <c r="V89" s="655" t="str">
        <f>IF(ISERROR(MATCH(AB89,'Inputs Mapping'!$V$4:$V$5,0)),"x","")</f>
        <v>x</v>
      </c>
      <c r="W89" s="655" t="str">
        <f>IF(ISERROR(MATCH(F89,'Inputs Mapping'!$W$4:$W$8,0)),"x","")</f>
        <v>x</v>
      </c>
      <c r="X89" s="655" t="str">
        <f t="shared" si="38"/>
        <v/>
      </c>
      <c r="Y89" s="655" t="str">
        <f t="shared" si="39"/>
        <v/>
      </c>
      <c r="Z89" s="655" t="str">
        <f t="shared" si="40"/>
        <v/>
      </c>
      <c r="AA89" s="655" t="str">
        <f t="shared" si="41"/>
        <v/>
      </c>
      <c r="AB89" s="655" t="str">
        <f t="shared" si="43"/>
        <v/>
      </c>
      <c r="AC89" s="655" t="str">
        <f t="shared" si="50"/>
        <v>x</v>
      </c>
      <c r="AD89" s="655" t="str">
        <f>IF(ISBLANK(I89),"x",IF(ISNUMBER(MATCH(I89,'Inputs Mapping'!$AF$5:$AF$199,0)),"","x"))</f>
        <v>x</v>
      </c>
      <c r="AE89" s="655" t="str">
        <f t="shared" si="44"/>
        <v/>
      </c>
      <c r="AF89" s="148"/>
      <c r="AG89" s="148"/>
      <c r="AH89" s="148" t="str">
        <f t="shared" si="45"/>
        <v/>
      </c>
      <c r="AI89" s="654" t="str">
        <f>IF(J89="","",VLOOKUP(J89,'Inputs Mapping'!$T$27:$V$31,3))</f>
        <v/>
      </c>
      <c r="AJ89" s="654" t="str">
        <f>IF(J89="","",VLOOKUP(J89,'Inputs Mapping'!$T$17:$V$24,3))</f>
        <v/>
      </c>
      <c r="AK89" s="654" t="str">
        <f t="shared" si="46"/>
        <v/>
      </c>
      <c r="AL89" s="655" t="str">
        <f t="shared" si="42"/>
        <v/>
      </c>
      <c r="AM89" s="655" t="str">
        <f>IF(F89="","",IF(AE89="Dubai",HLOOKUP(F89,Inputs!$C$26:$M$36,5,0),HLOOKUP(F89,Inputs!$C$45:$M$49,5,0)))</f>
        <v/>
      </c>
      <c r="AN89" s="655">
        <f t="shared" si="47"/>
        <v>0</v>
      </c>
      <c r="AO89" s="654" t="str">
        <f>IF(AJ89="","",IF(AN89="Dubai",VLOOKUP(AJ89,'Inputs Mapping'!$V$17:$W$24,2,0),VLOOKUP(AI89,'Inputs Mapping'!$V$27:$W$31,2,0)))</f>
        <v/>
      </c>
      <c r="AP89" s="666">
        <f>IFERROR(IF($AN89="","",HLOOKUP($AN89&amp;RIGHT($AL89,1),'input for formula'!$B$16:$I$20,3,0)),0)</f>
        <v>0</v>
      </c>
      <c r="AQ89" s="656">
        <f>IFERROR(IF($AN89="","",HLOOKUP($AN89&amp;$F89,'input for formula'!$B$22:$M$25,2,0)),0)</f>
        <v>0</v>
      </c>
      <c r="AR89" s="666">
        <f>IFERROR(IF($AN89="","",HLOOKUP($AN89&amp;RIGHT($AL89,1),'input for formula'!$B$16:$I$20,4,0)),0)</f>
        <v>0</v>
      </c>
      <c r="AS89" s="656">
        <f>IFERROR(IF($AN89="","",HLOOKUP($AN89&amp;$F89,'input for formula'!$B$22:$M$25,3,0)),0)</f>
        <v>0</v>
      </c>
      <c r="AT89" s="656">
        <f>IFERROR(IF($AN89="","",HLOOKUP($AN89&amp;RIGHT($AL89,1),'input for formula'!$B$16:$I$20,5,0)),0)</f>
        <v>0</v>
      </c>
      <c r="AU89" s="656">
        <f>IFERROR(IF($AN89="","",HLOOKUP($AN89&amp;$F89,'input for formula'!$B$22:$M$25,4,0)),0)</f>
        <v>0</v>
      </c>
      <c r="AV89" s="666">
        <f>IFERROR(IF($AN89="","",IF('Census Data'!$AN89="Abu Dhabi",VLOOKUP('Census Data'!$AM89,'input for formula'!$A$28:$C$41,3,0),VLOOKUP('Census Data'!$AM89,'input for formula'!$A$28:$C$47,2,0))),0)*IFERROR(1+IF(AN89="Dubai",VLOOKUP(F89,'Quotation for Dubai Plans'!$V$6:$X$12,3,FALSE),VLOOKUP(F89,'Quotation for Abu Dhabi Plans'!$W$6:$Y$12,3,FALSE)),0)</f>
        <v>0</v>
      </c>
      <c r="AW89" s="656" t="str">
        <f t="shared" si="23"/>
        <v/>
      </c>
      <c r="AX89" s="667" t="str">
        <f>IFERROR(IF(AL89="","",IF(AN89="Dubai",HLOOKUP((AL89&amp;AM89),Deviation!$B$7:$S$8,2,0)*BF89*BH89*BI89*BG89,HLOOKUP((AL89&amp;AM89),Deviation!$B$9:$O$10,2,0)*BF89*BH89*BI89*BG89)),0)</f>
        <v/>
      </c>
      <c r="AY89" s="668" t="str">
        <f>IF(AL89="","",IFERROR(IF(AL89="","",IF(AN89="Dubai",HLOOKUP(AZ89,'input for formula'!$B$3:$F$10,AO89,FALSE), IF(AND(H89="Employee",AN89="Abu Dhabi"),HLOOKUP(AZ89,'input for formula'!$I$3:$K$7,AO89,FALSE),HLOOKUP(AZ89,'input for formula'!$M$3:$O$7,AO89,FALSE)))*AX89+AP89*AQ89+AR89*AS89+AT89*AU89),0)*$AZ$3*BK89*BJ89*IF(AND(Inputs!$C$19&gt;19,Inputs!$C$19&lt;30),(1+$AZ$2),1)*(1+$AZ$1))</f>
        <v/>
      </c>
      <c r="AZ89" s="148" t="str">
        <f t="shared" si="48"/>
        <v/>
      </c>
      <c r="BA89" s="669" t="str">
        <f>IF(F89="","",IF(AE89="Dubai",HLOOKUP(F89,Inputs!$C$26:$M$37,9,0),HLOOKUP(F89,Inputs!$C$45:$M$56,9,0)))</f>
        <v/>
      </c>
      <c r="BB89" s="670" t="str">
        <f>IF(F89="","",IF(AE89="Dubai",HLOOKUP(F89,Inputs!$C$26:$M$37,10,0),HLOOKUP(F89,Inputs!$C$45:$M$56,10,0)))</f>
        <v/>
      </c>
      <c r="BC89" s="670" t="str">
        <f>IF(F89="","",IF(AE89="Dubai",HLOOKUP(F89,Inputs!$C$26:$M$37,11,0),HLOOKUP(F89,Inputs!$C$45:$M$56,11,0)))</f>
        <v/>
      </c>
      <c r="BD89" s="669" t="str">
        <f>IF(F89="","",IF(AE89="Dubai",HLOOKUP(F89,Inputs!$C$26:$M$37,12,0),HLOOKUP(F89,Inputs!$C$45:$M$56,12,0)))</f>
        <v/>
      </c>
      <c r="BE89" s="654"/>
      <c r="BF89" s="669" t="str">
        <f>IFERROR(IF(AL89="","",IF(AN89="Dubai",IF(OR(AL89="Plan1",AL89="Plan2"),VLOOKUP(BA89,Deviation!$B$31:$D$33,2,FALSE),VLOOKUP(BA89,Deviation!$B$31:$D$33,3,FALSE)),IF(OR(AL89="Plan1",AL89="Plan2"),VLOOKUP(BA89,Deviation!$E$31:$AE$33,2,FALSE),VLOOKUP(BA89,Deviation!$E$31:$AE$33,3,FALSE)))),0)</f>
        <v/>
      </c>
      <c r="BG89" s="671" t="str">
        <f>IFERROR(IF(AL89="","",IF(AN89="Dubai",IF(AL89="Plan1",VLOOKUP(BB89,Deviation!$B$39:$C$40,2,FALSE),IF(AL89="Plan2",VLOOKUP(BB89,Deviation!$B$42:$C$43,2,FALSE),IF(AL89="Plan5",VLOOKUP(BB89,Deviation!$B$48:$C$49,2,FALSE),VLOOKUP(BB89,Deviation!$B$45:$C$46,2,FALSE)))),IF(AL89="Plan1",VLOOKUP(BB89,Deviation!$E$39:$F$40,2,FALSE),IF(AL89="Plan2",VLOOKUP(BB89,Deviation!$E$42:$F$43,2,FALSE),VLOOKUP(BB89,Deviation!$E$45:$F$46,2,FALSE))))),0)</f>
        <v/>
      </c>
      <c r="BH89" s="671" t="str">
        <f>IFERROR(IF(AL89="","",IF(AN89="Dubai",IF(OR(AL89="Plan1",AL89="Plan2"),VLOOKUP(BC89,Deviation!$B$15:$D$19,2,FALSE),VLOOKUP(BC89,Deviation!$B$15:$D$19,3,FALSE)),IF(OR(AL89="Plan1",AL89="Plan2"),VLOOKUP(BC89,Deviation!$E$15:$AE$19,2,FALSE),VLOOKUP(BC89,Deviation!$E$15:$AE$19,3,FALSE)))),0)</f>
        <v/>
      </c>
      <c r="BI89" s="669" t="str">
        <f>IFERROR(IF(AL89="","",IF(AN89="Dubai",VLOOKUP(BD89,Deviation!$B$24:$C$26,2,FALSE),100%)),0)</f>
        <v/>
      </c>
      <c r="BJ89" s="672">
        <f>IF(AE89="Abu Dhabi",1,IFERROR(VLOOKUP(AM89,Deviation!$B$67:$E$79,MATCH('Census Data'!AA89,Deviation!$B$66:$E$66,0),0),1))</f>
        <v>1</v>
      </c>
      <c r="BK89" s="659">
        <f>IFERROR(VLOOKUP(I89,Deviation!$B$54:$C$62,2,0),1)</f>
        <v>1</v>
      </c>
      <c r="BL89" s="148"/>
      <c r="BM89" s="148"/>
      <c r="BN89" s="148"/>
      <c r="BO89" s="148"/>
      <c r="BP89" s="148"/>
      <c r="BQ89" s="148"/>
      <c r="BR89" s="148"/>
      <c r="BS89" s="148"/>
      <c r="BT89" s="148" t="e">
        <f t="shared" si="49"/>
        <v>#VALUE!</v>
      </c>
      <c r="BU89" t="str">
        <f>IF(AL89="","",IFERROR(IF(AL89="","",IF(AN89="Dubai",HLOOKUP(AZ89,'input for formula'!$B$3:$F$10,AO89,FALSE), IF(AND(H89="Employee",AN89="Abu Dhabi"),HLOOKUP(AZ89,'input for formula'!$I$3:$K$7,AO89,FALSE),HLOOKUP(AZ89,'input for formula'!$M$3:$O$7,AO89,FALSE)))*AX89+AP89*AQ89+AR89*AS89+AT89*AU89),0)*$AZ$3*BK89*BJ89*IF(AND(Inputs!$C$19&gt;19,Inputs!$C$19&lt;30),(1+$AZ$2),1))</f>
        <v/>
      </c>
    </row>
    <row r="90" spans="1:73" ht="15" x14ac:dyDescent="0.25">
      <c r="A90" s="59">
        <v>85</v>
      </c>
      <c r="B90" s="470"/>
      <c r="C90" s="628"/>
      <c r="D90" s="629"/>
      <c r="E90" s="471"/>
      <c r="F90" s="298"/>
      <c r="G90" s="298"/>
      <c r="H90" s="298"/>
      <c r="I90" s="298"/>
      <c r="J90" s="80" t="str">
        <f>IFERROR(IF(C90="","",DATEDIF('Census Data'!C90,eff_date,"y")),"")</f>
        <v/>
      </c>
      <c r="K90" s="59" t="str">
        <f>IF(F90="","",IF(AE90="Dubai",HLOOKUP(F90,Inputs!$C$26:$M$28,3,0),HLOOKUP(F90,Inputs!$C$45:$M$46,2,0)))</f>
        <v/>
      </c>
      <c r="L90" s="104"/>
      <c r="M90" s="105">
        <f t="shared" si="32"/>
        <v>0</v>
      </c>
      <c r="N90" s="654" t="b">
        <f t="shared" si="33"/>
        <v>0</v>
      </c>
      <c r="O90" s="655" t="str">
        <f t="shared" si="34"/>
        <v>x</v>
      </c>
      <c r="P90" s="655" t="str">
        <f t="shared" si="35"/>
        <v>x</v>
      </c>
      <c r="Q90" s="655" t="str">
        <f t="shared" si="36"/>
        <v>x</v>
      </c>
      <c r="R90" s="655" t="str">
        <f t="shared" si="22"/>
        <v>x</v>
      </c>
      <c r="S90" s="655" t="str">
        <f t="shared" si="37"/>
        <v>x</v>
      </c>
      <c r="T90" s="655" t="str">
        <f>IF(ISERROR(MATCH(G90,'Inputs Mapping'!$T$4:$T$10,0)),"x","")</f>
        <v>x</v>
      </c>
      <c r="U90" s="655" t="str">
        <f>IF(ISERROR(MATCH(AA90,'Inputs Mapping'!$U$4:$U$5,0)),"x","")</f>
        <v>x</v>
      </c>
      <c r="V90" s="655" t="str">
        <f>IF(ISERROR(MATCH(AB90,'Inputs Mapping'!$V$4:$V$5,0)),"x","")</f>
        <v>x</v>
      </c>
      <c r="W90" s="655" t="str">
        <f>IF(ISERROR(MATCH(F90,'Inputs Mapping'!$W$4:$W$8,0)),"x","")</f>
        <v>x</v>
      </c>
      <c r="X90" s="655" t="str">
        <f t="shared" si="38"/>
        <v/>
      </c>
      <c r="Y90" s="655" t="str">
        <f t="shared" si="39"/>
        <v/>
      </c>
      <c r="Z90" s="655" t="str">
        <f t="shared" si="40"/>
        <v/>
      </c>
      <c r="AA90" s="655" t="str">
        <f t="shared" si="41"/>
        <v/>
      </c>
      <c r="AB90" s="655" t="str">
        <f t="shared" si="43"/>
        <v/>
      </c>
      <c r="AC90" s="655" t="str">
        <f t="shared" si="50"/>
        <v>x</v>
      </c>
      <c r="AD90" s="655" t="str">
        <f>IF(ISBLANK(I90),"x",IF(ISNUMBER(MATCH(I90,'Inputs Mapping'!$AF$5:$AF$199,0)),"","x"))</f>
        <v>x</v>
      </c>
      <c r="AE90" s="655" t="str">
        <f t="shared" si="44"/>
        <v/>
      </c>
      <c r="AF90" s="148"/>
      <c r="AG90" s="148"/>
      <c r="AH90" s="148" t="str">
        <f t="shared" si="45"/>
        <v/>
      </c>
      <c r="AI90" s="654" t="str">
        <f>IF(J90="","",VLOOKUP(J90,'Inputs Mapping'!$T$27:$V$31,3))</f>
        <v/>
      </c>
      <c r="AJ90" s="654" t="str">
        <f>IF(J90="","",VLOOKUP(J90,'Inputs Mapping'!$T$17:$V$24,3))</f>
        <v/>
      </c>
      <c r="AK90" s="654" t="str">
        <f t="shared" si="46"/>
        <v/>
      </c>
      <c r="AL90" s="655" t="str">
        <f t="shared" si="42"/>
        <v/>
      </c>
      <c r="AM90" s="655" t="str">
        <f>IF(F90="","",IF(AE90="Dubai",HLOOKUP(F90,Inputs!$C$26:$M$36,5,0),HLOOKUP(F90,Inputs!$C$45:$M$49,5,0)))</f>
        <v/>
      </c>
      <c r="AN90" s="655">
        <f t="shared" si="47"/>
        <v>0</v>
      </c>
      <c r="AO90" s="654" t="str">
        <f>IF(AJ90="","",IF(AN90="Dubai",VLOOKUP(AJ90,'Inputs Mapping'!$V$17:$W$24,2,0),VLOOKUP(AI90,'Inputs Mapping'!$V$27:$W$31,2,0)))</f>
        <v/>
      </c>
      <c r="AP90" s="666">
        <f>IFERROR(IF($AN90="","",HLOOKUP($AN90&amp;RIGHT($AL90,1),'input for formula'!$B$16:$I$20,3,0)),0)</f>
        <v>0</v>
      </c>
      <c r="AQ90" s="656">
        <f>IFERROR(IF($AN90="","",HLOOKUP($AN90&amp;$F90,'input for formula'!$B$22:$M$25,2,0)),0)</f>
        <v>0</v>
      </c>
      <c r="AR90" s="666">
        <f>IFERROR(IF($AN90="","",HLOOKUP($AN90&amp;RIGHT($AL90,1),'input for formula'!$B$16:$I$20,4,0)),0)</f>
        <v>0</v>
      </c>
      <c r="AS90" s="656">
        <f>IFERROR(IF($AN90="","",HLOOKUP($AN90&amp;$F90,'input for formula'!$B$22:$M$25,3,0)),0)</f>
        <v>0</v>
      </c>
      <c r="AT90" s="656">
        <f>IFERROR(IF($AN90="","",HLOOKUP($AN90&amp;RIGHT($AL90,1),'input for formula'!$B$16:$I$20,5,0)),0)</f>
        <v>0</v>
      </c>
      <c r="AU90" s="656">
        <f>IFERROR(IF($AN90="","",HLOOKUP($AN90&amp;$F90,'input for formula'!$B$22:$M$25,4,0)),0)</f>
        <v>0</v>
      </c>
      <c r="AV90" s="666">
        <f>IFERROR(IF($AN90="","",IF('Census Data'!$AN90="Abu Dhabi",VLOOKUP('Census Data'!$AM90,'input for formula'!$A$28:$C$41,3,0),VLOOKUP('Census Data'!$AM90,'input for formula'!$A$28:$C$47,2,0))),0)*IFERROR(1+IF(AN90="Dubai",VLOOKUP(F90,'Quotation for Dubai Plans'!$V$6:$X$12,3,FALSE),VLOOKUP(F90,'Quotation for Abu Dhabi Plans'!$W$6:$Y$12,3,FALSE)),0)</f>
        <v>0</v>
      </c>
      <c r="AW90" s="656" t="str">
        <f t="shared" si="23"/>
        <v/>
      </c>
      <c r="AX90" s="667" t="str">
        <f>IFERROR(IF(AL90="","",IF(AN90="Dubai",HLOOKUP((AL90&amp;AM90),Deviation!$B$7:$S$8,2,0)*BF90*BH90*BI90*BG90,HLOOKUP((AL90&amp;AM90),Deviation!$B$9:$O$10,2,0)*BF90*BH90*BI90*BG90)),0)</f>
        <v/>
      </c>
      <c r="AY90" s="668" t="str">
        <f>IF(AL90="","",IFERROR(IF(AL90="","",IF(AN90="Dubai",HLOOKUP(AZ90,'input for formula'!$B$3:$F$10,AO90,FALSE), IF(AND(H90="Employee",AN90="Abu Dhabi"),HLOOKUP(AZ90,'input for formula'!$I$3:$K$7,AO90,FALSE),HLOOKUP(AZ90,'input for formula'!$M$3:$O$7,AO90,FALSE)))*AX90+AP90*AQ90+AR90*AS90+AT90*AU90),0)*$AZ$3*BK90*BJ90*IF(AND(Inputs!$C$19&gt;19,Inputs!$C$19&lt;30),(1+$AZ$2),1)*(1+$AZ$1))</f>
        <v/>
      </c>
      <c r="AZ90" s="148" t="str">
        <f t="shared" si="48"/>
        <v/>
      </c>
      <c r="BA90" s="669" t="str">
        <f>IF(F90="","",IF(AE90="Dubai",HLOOKUP(F90,Inputs!$C$26:$M$37,9,0),HLOOKUP(F90,Inputs!$C$45:$M$56,9,0)))</f>
        <v/>
      </c>
      <c r="BB90" s="670" t="str">
        <f>IF(F90="","",IF(AE90="Dubai",HLOOKUP(F90,Inputs!$C$26:$M$37,10,0),HLOOKUP(F90,Inputs!$C$45:$M$56,10,0)))</f>
        <v/>
      </c>
      <c r="BC90" s="670" t="str">
        <f>IF(F90="","",IF(AE90="Dubai",HLOOKUP(F90,Inputs!$C$26:$M$37,11,0),HLOOKUP(F90,Inputs!$C$45:$M$56,11,0)))</f>
        <v/>
      </c>
      <c r="BD90" s="669" t="str">
        <f>IF(F90="","",IF(AE90="Dubai",HLOOKUP(F90,Inputs!$C$26:$M$37,12,0),HLOOKUP(F90,Inputs!$C$45:$M$56,12,0)))</f>
        <v/>
      </c>
      <c r="BE90" s="654"/>
      <c r="BF90" s="669" t="str">
        <f>IFERROR(IF(AL90="","",IF(AN90="Dubai",IF(OR(AL90="Plan1",AL90="Plan2"),VLOOKUP(BA90,Deviation!$B$31:$D$33,2,FALSE),VLOOKUP(BA90,Deviation!$B$31:$D$33,3,FALSE)),IF(OR(AL90="Plan1",AL90="Plan2"),VLOOKUP(BA90,Deviation!$E$31:$AE$33,2,FALSE),VLOOKUP(BA90,Deviation!$E$31:$AE$33,3,FALSE)))),0)</f>
        <v/>
      </c>
      <c r="BG90" s="671" t="str">
        <f>IFERROR(IF(AL90="","",IF(AN90="Dubai",IF(AL90="Plan1",VLOOKUP(BB90,Deviation!$B$39:$C$40,2,FALSE),IF(AL90="Plan2",VLOOKUP(BB90,Deviation!$B$42:$C$43,2,FALSE),IF(AL90="Plan5",VLOOKUP(BB90,Deviation!$B$48:$C$49,2,FALSE),VLOOKUP(BB90,Deviation!$B$45:$C$46,2,FALSE)))),IF(AL90="Plan1",VLOOKUP(BB90,Deviation!$E$39:$F$40,2,FALSE),IF(AL90="Plan2",VLOOKUP(BB90,Deviation!$E$42:$F$43,2,FALSE),VLOOKUP(BB90,Deviation!$E$45:$F$46,2,FALSE))))),0)</f>
        <v/>
      </c>
      <c r="BH90" s="671" t="str">
        <f>IFERROR(IF(AL90="","",IF(AN90="Dubai",IF(OR(AL90="Plan1",AL90="Plan2"),VLOOKUP(BC90,Deviation!$B$15:$D$19,2,FALSE),VLOOKUP(BC90,Deviation!$B$15:$D$19,3,FALSE)),IF(OR(AL90="Plan1",AL90="Plan2"),VLOOKUP(BC90,Deviation!$E$15:$AE$19,2,FALSE),VLOOKUP(BC90,Deviation!$E$15:$AE$19,3,FALSE)))),0)</f>
        <v/>
      </c>
      <c r="BI90" s="669" t="str">
        <f>IFERROR(IF(AL90="","",IF(AN90="Dubai",VLOOKUP(BD90,Deviation!$B$24:$C$26,2,FALSE),100%)),0)</f>
        <v/>
      </c>
      <c r="BJ90" s="672">
        <f>IF(AE90="Abu Dhabi",1,IFERROR(VLOOKUP(AM90,Deviation!$B$67:$E$79,MATCH('Census Data'!AA90,Deviation!$B$66:$E$66,0),0),1))</f>
        <v>1</v>
      </c>
      <c r="BK90" s="659">
        <f>IFERROR(VLOOKUP(I90,Deviation!$B$54:$C$62,2,0),1)</f>
        <v>1</v>
      </c>
      <c r="BL90" s="148"/>
      <c r="BM90" s="148"/>
      <c r="BN90" s="148"/>
      <c r="BO90" s="148"/>
      <c r="BP90" s="148"/>
      <c r="BQ90" s="148"/>
      <c r="BR90" s="148"/>
      <c r="BS90" s="148"/>
      <c r="BT90" s="148" t="e">
        <f t="shared" si="49"/>
        <v>#VALUE!</v>
      </c>
      <c r="BU90" t="str">
        <f>IF(AL90="","",IFERROR(IF(AL90="","",IF(AN90="Dubai",HLOOKUP(AZ90,'input for formula'!$B$3:$F$10,AO90,FALSE), IF(AND(H90="Employee",AN90="Abu Dhabi"),HLOOKUP(AZ90,'input for formula'!$I$3:$K$7,AO90,FALSE),HLOOKUP(AZ90,'input for formula'!$M$3:$O$7,AO90,FALSE)))*AX90+AP90*AQ90+AR90*AS90+AT90*AU90),0)*$AZ$3*BK90*BJ90*IF(AND(Inputs!$C$19&gt;19,Inputs!$C$19&lt;30),(1+$AZ$2),1))</f>
        <v/>
      </c>
    </row>
    <row r="91" spans="1:73" ht="15" x14ac:dyDescent="0.25">
      <c r="A91" s="59">
        <v>86</v>
      </c>
      <c r="B91" s="470"/>
      <c r="C91" s="628"/>
      <c r="D91" s="629"/>
      <c r="E91" s="471"/>
      <c r="F91" s="298"/>
      <c r="G91" s="298"/>
      <c r="H91" s="298"/>
      <c r="I91" s="298"/>
      <c r="J91" s="80" t="str">
        <f>IFERROR(IF(C91="","",DATEDIF('Census Data'!C91,eff_date,"y")),"")</f>
        <v/>
      </c>
      <c r="K91" s="59" t="str">
        <f>IF(F91="","",IF(AE91="Dubai",HLOOKUP(F91,Inputs!$C$26:$M$28,3,0),HLOOKUP(F91,Inputs!$C$45:$M$46,2,0)))</f>
        <v/>
      </c>
      <c r="L91" s="104"/>
      <c r="M91" s="105">
        <f t="shared" si="32"/>
        <v>0</v>
      </c>
      <c r="N91" s="654" t="b">
        <f t="shared" si="33"/>
        <v>0</v>
      </c>
      <c r="O91" s="655" t="str">
        <f t="shared" si="34"/>
        <v>x</v>
      </c>
      <c r="P91" s="655" t="str">
        <f t="shared" si="35"/>
        <v>x</v>
      </c>
      <c r="Q91" s="655" t="str">
        <f t="shared" si="36"/>
        <v>x</v>
      </c>
      <c r="R91" s="655" t="str">
        <f t="shared" si="22"/>
        <v>x</v>
      </c>
      <c r="S91" s="655" t="str">
        <f t="shared" si="37"/>
        <v>x</v>
      </c>
      <c r="T91" s="655" t="str">
        <f>IF(ISERROR(MATCH(G91,'Inputs Mapping'!$T$4:$T$10,0)),"x","")</f>
        <v>x</v>
      </c>
      <c r="U91" s="655" t="str">
        <f>IF(ISERROR(MATCH(AA91,'Inputs Mapping'!$U$4:$U$5,0)),"x","")</f>
        <v>x</v>
      </c>
      <c r="V91" s="655" t="str">
        <f>IF(ISERROR(MATCH(AB91,'Inputs Mapping'!$V$4:$V$5,0)),"x","")</f>
        <v>x</v>
      </c>
      <c r="W91" s="655" t="str">
        <f>IF(ISERROR(MATCH(F91,'Inputs Mapping'!$W$4:$W$8,0)),"x","")</f>
        <v>x</v>
      </c>
      <c r="X91" s="655" t="str">
        <f t="shared" si="38"/>
        <v/>
      </c>
      <c r="Y91" s="655" t="str">
        <f t="shared" si="39"/>
        <v/>
      </c>
      <c r="Z91" s="655" t="str">
        <f t="shared" si="40"/>
        <v/>
      </c>
      <c r="AA91" s="655" t="str">
        <f t="shared" si="41"/>
        <v/>
      </c>
      <c r="AB91" s="655" t="str">
        <f t="shared" si="43"/>
        <v/>
      </c>
      <c r="AC91" s="655" t="str">
        <f t="shared" si="50"/>
        <v>x</v>
      </c>
      <c r="AD91" s="655" t="str">
        <f>IF(ISBLANK(I91),"x",IF(ISNUMBER(MATCH(I91,'Inputs Mapping'!$AF$5:$AF$199,0)),"","x"))</f>
        <v>x</v>
      </c>
      <c r="AE91" s="655" t="str">
        <f t="shared" si="44"/>
        <v/>
      </c>
      <c r="AF91" s="148"/>
      <c r="AG91" s="148"/>
      <c r="AH91" s="148" t="str">
        <f t="shared" si="45"/>
        <v/>
      </c>
      <c r="AI91" s="654" t="str">
        <f>IF(J91="","",VLOOKUP(J91,'Inputs Mapping'!$T$27:$V$31,3))</f>
        <v/>
      </c>
      <c r="AJ91" s="654" t="str">
        <f>IF(J91="","",VLOOKUP(J91,'Inputs Mapping'!$T$17:$V$24,3))</f>
        <v/>
      </c>
      <c r="AK91" s="654" t="str">
        <f t="shared" si="46"/>
        <v/>
      </c>
      <c r="AL91" s="655" t="str">
        <f t="shared" si="42"/>
        <v/>
      </c>
      <c r="AM91" s="655" t="str">
        <f>IF(F91="","",IF(AE91="Dubai",HLOOKUP(F91,Inputs!$C$26:$M$36,5,0),HLOOKUP(F91,Inputs!$C$45:$M$49,5,0)))</f>
        <v/>
      </c>
      <c r="AN91" s="655">
        <f t="shared" si="47"/>
        <v>0</v>
      </c>
      <c r="AO91" s="654" t="str">
        <f>IF(AJ91="","",IF(AN91="Dubai",VLOOKUP(AJ91,'Inputs Mapping'!$V$17:$W$24,2,0),VLOOKUP(AI91,'Inputs Mapping'!$V$27:$W$31,2,0)))</f>
        <v/>
      </c>
      <c r="AP91" s="666">
        <f>IFERROR(IF($AN91="","",HLOOKUP($AN91&amp;RIGHT($AL91,1),'input for formula'!$B$16:$I$20,3,0)),0)</f>
        <v>0</v>
      </c>
      <c r="AQ91" s="656">
        <f>IFERROR(IF($AN91="","",HLOOKUP($AN91&amp;$F91,'input for formula'!$B$22:$M$25,2,0)),0)</f>
        <v>0</v>
      </c>
      <c r="AR91" s="666">
        <f>IFERROR(IF($AN91="","",HLOOKUP($AN91&amp;RIGHT($AL91,1),'input for formula'!$B$16:$I$20,4,0)),0)</f>
        <v>0</v>
      </c>
      <c r="AS91" s="656">
        <f>IFERROR(IF($AN91="","",HLOOKUP($AN91&amp;$F91,'input for formula'!$B$22:$M$25,3,0)),0)</f>
        <v>0</v>
      </c>
      <c r="AT91" s="656">
        <f>IFERROR(IF($AN91="","",HLOOKUP($AN91&amp;RIGHT($AL91,1),'input for formula'!$B$16:$I$20,5,0)),0)</f>
        <v>0</v>
      </c>
      <c r="AU91" s="656">
        <f>IFERROR(IF($AN91="","",HLOOKUP($AN91&amp;$F91,'input for formula'!$B$22:$M$25,4,0)),0)</f>
        <v>0</v>
      </c>
      <c r="AV91" s="666">
        <f>IFERROR(IF($AN91="","",IF('Census Data'!$AN91="Abu Dhabi",VLOOKUP('Census Data'!$AM91,'input for formula'!$A$28:$C$41,3,0),VLOOKUP('Census Data'!$AM91,'input for formula'!$A$28:$C$47,2,0))),0)*IFERROR(1+IF(AN91="Dubai",VLOOKUP(F91,'Quotation for Dubai Plans'!$V$6:$X$12,3,FALSE),VLOOKUP(F91,'Quotation for Abu Dhabi Plans'!$W$6:$Y$12,3,FALSE)),0)</f>
        <v>0</v>
      </c>
      <c r="AW91" s="656" t="str">
        <f t="shared" si="23"/>
        <v/>
      </c>
      <c r="AX91" s="667" t="str">
        <f>IFERROR(IF(AL91="","",IF(AN91="Dubai",HLOOKUP((AL91&amp;AM91),Deviation!$B$7:$S$8,2,0)*BF91*BH91*BI91*BG91,HLOOKUP((AL91&amp;AM91),Deviation!$B$9:$O$10,2,0)*BF91*BH91*BI91*BG91)),0)</f>
        <v/>
      </c>
      <c r="AY91" s="668" t="str">
        <f>IF(AL91="","",IFERROR(IF(AL91="","",IF(AN91="Dubai",HLOOKUP(AZ91,'input for formula'!$B$3:$F$10,AO91,FALSE), IF(AND(H91="Employee",AN91="Abu Dhabi"),HLOOKUP(AZ91,'input for formula'!$I$3:$K$7,AO91,FALSE),HLOOKUP(AZ91,'input for formula'!$M$3:$O$7,AO91,FALSE)))*AX91+AP91*AQ91+AR91*AS91+AT91*AU91),0)*$AZ$3*BK91*BJ91*IF(AND(Inputs!$C$19&gt;19,Inputs!$C$19&lt;30),(1+$AZ$2),1)*(1+$AZ$1))</f>
        <v/>
      </c>
      <c r="AZ91" s="148" t="str">
        <f t="shared" si="48"/>
        <v/>
      </c>
      <c r="BA91" s="669" t="str">
        <f>IF(F91="","",IF(AE91="Dubai",HLOOKUP(F91,Inputs!$C$26:$M$37,9,0),HLOOKUP(F91,Inputs!$C$45:$M$56,9,0)))</f>
        <v/>
      </c>
      <c r="BB91" s="670" t="str">
        <f>IF(F91="","",IF(AE91="Dubai",HLOOKUP(F91,Inputs!$C$26:$M$37,10,0),HLOOKUP(F91,Inputs!$C$45:$M$56,10,0)))</f>
        <v/>
      </c>
      <c r="BC91" s="670" t="str">
        <f>IF(F91="","",IF(AE91="Dubai",HLOOKUP(F91,Inputs!$C$26:$M$37,11,0),HLOOKUP(F91,Inputs!$C$45:$M$56,11,0)))</f>
        <v/>
      </c>
      <c r="BD91" s="669" t="str">
        <f>IF(F91="","",IF(AE91="Dubai",HLOOKUP(F91,Inputs!$C$26:$M$37,12,0),HLOOKUP(F91,Inputs!$C$45:$M$56,12,0)))</f>
        <v/>
      </c>
      <c r="BE91" s="654"/>
      <c r="BF91" s="669" t="str">
        <f>IFERROR(IF(AL91="","",IF(AN91="Dubai",IF(OR(AL91="Plan1",AL91="Plan2"),VLOOKUP(BA91,Deviation!$B$31:$D$33,2,FALSE),VLOOKUP(BA91,Deviation!$B$31:$D$33,3,FALSE)),IF(OR(AL91="Plan1",AL91="Plan2"),VLOOKUP(BA91,Deviation!$E$31:$AE$33,2,FALSE),VLOOKUP(BA91,Deviation!$E$31:$AE$33,3,FALSE)))),0)</f>
        <v/>
      </c>
      <c r="BG91" s="671" t="str">
        <f>IFERROR(IF(AL91="","",IF(AN91="Dubai",IF(AL91="Plan1",VLOOKUP(BB91,Deviation!$B$39:$C$40,2,FALSE),IF(AL91="Plan2",VLOOKUP(BB91,Deviation!$B$42:$C$43,2,FALSE),IF(AL91="Plan5",VLOOKUP(BB91,Deviation!$B$48:$C$49,2,FALSE),VLOOKUP(BB91,Deviation!$B$45:$C$46,2,FALSE)))),IF(AL91="Plan1",VLOOKUP(BB91,Deviation!$E$39:$F$40,2,FALSE),IF(AL91="Plan2",VLOOKUP(BB91,Deviation!$E$42:$F$43,2,FALSE),VLOOKUP(BB91,Deviation!$E$45:$F$46,2,FALSE))))),0)</f>
        <v/>
      </c>
      <c r="BH91" s="671" t="str">
        <f>IFERROR(IF(AL91="","",IF(AN91="Dubai",IF(OR(AL91="Plan1",AL91="Plan2"),VLOOKUP(BC91,Deviation!$B$15:$D$19,2,FALSE),VLOOKUP(BC91,Deviation!$B$15:$D$19,3,FALSE)),IF(OR(AL91="Plan1",AL91="Plan2"),VLOOKUP(BC91,Deviation!$E$15:$AE$19,2,FALSE),VLOOKUP(BC91,Deviation!$E$15:$AE$19,3,FALSE)))),0)</f>
        <v/>
      </c>
      <c r="BI91" s="669" t="str">
        <f>IFERROR(IF(AL91="","",IF(AN91="Dubai",VLOOKUP(BD91,Deviation!$B$24:$C$26,2,FALSE),100%)),0)</f>
        <v/>
      </c>
      <c r="BJ91" s="672">
        <f>IF(AE91="Abu Dhabi",1,IFERROR(VLOOKUP(AM91,Deviation!$B$67:$E$79,MATCH('Census Data'!AA91,Deviation!$B$66:$E$66,0),0),1))</f>
        <v>1</v>
      </c>
      <c r="BK91" s="659">
        <f>IFERROR(VLOOKUP(I91,Deviation!$B$54:$C$62,2,0),1)</f>
        <v>1</v>
      </c>
      <c r="BL91" s="148"/>
      <c r="BM91" s="148"/>
      <c r="BN91" s="148"/>
      <c r="BO91" s="148"/>
      <c r="BP91" s="148"/>
      <c r="BQ91" s="148"/>
      <c r="BR91" s="148"/>
      <c r="BS91" s="148"/>
      <c r="BT91" s="148" t="e">
        <f t="shared" si="49"/>
        <v>#VALUE!</v>
      </c>
      <c r="BU91" t="str">
        <f>IF(AL91="","",IFERROR(IF(AL91="","",IF(AN91="Dubai",HLOOKUP(AZ91,'input for formula'!$B$3:$F$10,AO91,FALSE), IF(AND(H91="Employee",AN91="Abu Dhabi"),HLOOKUP(AZ91,'input for formula'!$I$3:$K$7,AO91,FALSE),HLOOKUP(AZ91,'input for formula'!$M$3:$O$7,AO91,FALSE)))*AX91+AP91*AQ91+AR91*AS91+AT91*AU91),0)*$AZ$3*BK91*BJ91*IF(AND(Inputs!$C$19&gt;19,Inputs!$C$19&lt;30),(1+$AZ$2),1))</f>
        <v/>
      </c>
    </row>
    <row r="92" spans="1:73" ht="15" x14ac:dyDescent="0.25">
      <c r="A92" s="59">
        <v>87</v>
      </c>
      <c r="B92" s="470"/>
      <c r="C92" s="628"/>
      <c r="D92" s="629"/>
      <c r="E92" s="471"/>
      <c r="F92" s="298"/>
      <c r="G92" s="298"/>
      <c r="H92" s="298"/>
      <c r="I92" s="298"/>
      <c r="J92" s="80" t="str">
        <f>IFERROR(IF(C92="","",DATEDIF('Census Data'!C92,eff_date,"y")),"")</f>
        <v/>
      </c>
      <c r="K92" s="59" t="str">
        <f>IF(F92="","",IF(AE92="Dubai",HLOOKUP(F92,Inputs!$C$26:$M$28,3,0),HLOOKUP(F92,Inputs!$C$45:$M$46,2,0)))</f>
        <v/>
      </c>
      <c r="L92" s="104"/>
      <c r="M92" s="105">
        <f t="shared" si="32"/>
        <v>0</v>
      </c>
      <c r="N92" s="654" t="b">
        <f t="shared" si="33"/>
        <v>0</v>
      </c>
      <c r="O92" s="655" t="str">
        <f t="shared" si="34"/>
        <v>x</v>
      </c>
      <c r="P92" s="655" t="str">
        <f t="shared" si="35"/>
        <v>x</v>
      </c>
      <c r="Q92" s="655" t="str">
        <f t="shared" si="36"/>
        <v>x</v>
      </c>
      <c r="R92" s="655" t="str">
        <f t="shared" ref="R92:R155" si="51">IF(OR(ISBLANK(F92),K92=0),"x","")</f>
        <v>x</v>
      </c>
      <c r="S92" s="655" t="str">
        <f t="shared" si="37"/>
        <v>x</v>
      </c>
      <c r="T92" s="655" t="str">
        <f>IF(ISERROR(MATCH(G92,'Inputs Mapping'!$T$4:$T$10,0)),"x","")</f>
        <v>x</v>
      </c>
      <c r="U92" s="655" t="str">
        <f>IF(ISERROR(MATCH(AA92,'Inputs Mapping'!$U$4:$U$5,0)),"x","")</f>
        <v>x</v>
      </c>
      <c r="V92" s="655" t="str">
        <f>IF(ISERROR(MATCH(AB92,'Inputs Mapping'!$V$4:$V$5,0)),"x","")</f>
        <v>x</v>
      </c>
      <c r="W92" s="655" t="str">
        <f>IF(ISERROR(MATCH(F92,'Inputs Mapping'!$W$4:$W$8,0)),"x","")</f>
        <v>x</v>
      </c>
      <c r="X92" s="655" t="str">
        <f t="shared" si="38"/>
        <v/>
      </c>
      <c r="Y92" s="655" t="str">
        <f t="shared" si="39"/>
        <v/>
      </c>
      <c r="Z92" s="655" t="str">
        <f t="shared" si="40"/>
        <v/>
      </c>
      <c r="AA92" s="655" t="str">
        <f t="shared" si="41"/>
        <v/>
      </c>
      <c r="AB92" s="655" t="str">
        <f t="shared" si="43"/>
        <v/>
      </c>
      <c r="AC92" s="655" t="str">
        <f t="shared" si="50"/>
        <v>x</v>
      </c>
      <c r="AD92" s="655" t="str">
        <f>IF(ISBLANK(I92),"x",IF(ISNUMBER(MATCH(I92,'Inputs Mapping'!$AF$5:$AF$199,0)),"","x"))</f>
        <v>x</v>
      </c>
      <c r="AE92" s="655" t="str">
        <f t="shared" si="44"/>
        <v/>
      </c>
      <c r="AF92" s="148"/>
      <c r="AG92" s="148"/>
      <c r="AH92" s="148" t="str">
        <f t="shared" si="45"/>
        <v/>
      </c>
      <c r="AI92" s="654" t="str">
        <f>IF(J92="","",VLOOKUP(J92,'Inputs Mapping'!$T$27:$V$31,3))</f>
        <v/>
      </c>
      <c r="AJ92" s="654" t="str">
        <f>IF(J92="","",VLOOKUP(J92,'Inputs Mapping'!$T$17:$V$24,3))</f>
        <v/>
      </c>
      <c r="AK92" s="654" t="str">
        <f t="shared" si="46"/>
        <v/>
      </c>
      <c r="AL92" s="655" t="str">
        <f t="shared" si="42"/>
        <v/>
      </c>
      <c r="AM92" s="655" t="str">
        <f>IF(F92="","",IF(AE92="Dubai",HLOOKUP(F92,Inputs!$C$26:$M$36,5,0),HLOOKUP(F92,Inputs!$C$45:$M$49,5,0)))</f>
        <v/>
      </c>
      <c r="AN92" s="655">
        <f t="shared" si="47"/>
        <v>0</v>
      </c>
      <c r="AO92" s="654" t="str">
        <f>IF(AJ92="","",IF(AN92="Dubai",VLOOKUP(AJ92,'Inputs Mapping'!$V$17:$W$24,2,0),VLOOKUP(AI92,'Inputs Mapping'!$V$27:$W$31,2,0)))</f>
        <v/>
      </c>
      <c r="AP92" s="666">
        <f>IFERROR(IF($AN92="","",HLOOKUP($AN92&amp;RIGHT($AL92,1),'input for formula'!$B$16:$I$20,3,0)),0)</f>
        <v>0</v>
      </c>
      <c r="AQ92" s="656">
        <f>IFERROR(IF($AN92="","",HLOOKUP($AN92&amp;$F92,'input for formula'!$B$22:$M$25,2,0)),0)</f>
        <v>0</v>
      </c>
      <c r="AR92" s="666">
        <f>IFERROR(IF($AN92="","",HLOOKUP($AN92&amp;RIGHT($AL92,1),'input for formula'!$B$16:$I$20,4,0)),0)</f>
        <v>0</v>
      </c>
      <c r="AS92" s="656">
        <f>IFERROR(IF($AN92="","",HLOOKUP($AN92&amp;$F92,'input for formula'!$B$22:$M$25,3,0)),0)</f>
        <v>0</v>
      </c>
      <c r="AT92" s="656">
        <f>IFERROR(IF($AN92="","",HLOOKUP($AN92&amp;RIGHT($AL92,1),'input for formula'!$B$16:$I$20,5,0)),0)</f>
        <v>0</v>
      </c>
      <c r="AU92" s="656">
        <f>IFERROR(IF($AN92="","",HLOOKUP($AN92&amp;$F92,'input for formula'!$B$22:$M$25,4,0)),0)</f>
        <v>0</v>
      </c>
      <c r="AV92" s="666">
        <f>IFERROR(IF($AN92="","",IF('Census Data'!$AN92="Abu Dhabi",VLOOKUP('Census Data'!$AM92,'input for formula'!$A$28:$C$41,3,0),VLOOKUP('Census Data'!$AM92,'input for formula'!$A$28:$C$47,2,0))),0)*IFERROR(1+IF(AN92="Dubai",VLOOKUP(F92,'Quotation for Dubai Plans'!$V$6:$X$12,3,FALSE),VLOOKUP(F92,'Quotation for Abu Dhabi Plans'!$W$6:$Y$12,3,FALSE)),0)</f>
        <v>0</v>
      </c>
      <c r="AW92" s="656" t="str">
        <f t="shared" si="23"/>
        <v/>
      </c>
      <c r="AX92" s="667" t="str">
        <f>IFERROR(IF(AL92="","",IF(AN92="Dubai",HLOOKUP((AL92&amp;AM92),Deviation!$B$7:$S$8,2,0)*BF92*BH92*BI92*BG92,HLOOKUP((AL92&amp;AM92),Deviation!$B$9:$O$10,2,0)*BF92*BH92*BI92*BG92)),0)</f>
        <v/>
      </c>
      <c r="AY92" s="668" t="str">
        <f>IF(AL92="","",IFERROR(IF(AL92="","",IF(AN92="Dubai",HLOOKUP(AZ92,'input for formula'!$B$3:$F$10,AO92,FALSE), IF(AND(H92="Employee",AN92="Abu Dhabi"),HLOOKUP(AZ92,'input for formula'!$I$3:$K$7,AO92,FALSE),HLOOKUP(AZ92,'input for formula'!$M$3:$O$7,AO92,FALSE)))*AX92+AP92*AQ92+AR92*AS92+AT92*AU92),0)*$AZ$3*BK92*BJ92*IF(AND(Inputs!$C$19&gt;19,Inputs!$C$19&lt;30),(1+$AZ$2),1)*(1+$AZ$1))</f>
        <v/>
      </c>
      <c r="AZ92" s="148" t="str">
        <f t="shared" si="48"/>
        <v/>
      </c>
      <c r="BA92" s="669" t="str">
        <f>IF(F92="","",IF(AE92="Dubai",HLOOKUP(F92,Inputs!$C$26:$M$37,9,0),HLOOKUP(F92,Inputs!$C$45:$M$56,9,0)))</f>
        <v/>
      </c>
      <c r="BB92" s="670" t="str">
        <f>IF(F92="","",IF(AE92="Dubai",HLOOKUP(F92,Inputs!$C$26:$M$37,10,0),HLOOKUP(F92,Inputs!$C$45:$M$56,10,0)))</f>
        <v/>
      </c>
      <c r="BC92" s="670" t="str">
        <f>IF(F92="","",IF(AE92="Dubai",HLOOKUP(F92,Inputs!$C$26:$M$37,11,0),HLOOKUP(F92,Inputs!$C$45:$M$56,11,0)))</f>
        <v/>
      </c>
      <c r="BD92" s="669" t="str">
        <f>IF(F92="","",IF(AE92="Dubai",HLOOKUP(F92,Inputs!$C$26:$M$37,12,0),HLOOKUP(F92,Inputs!$C$45:$M$56,12,0)))</f>
        <v/>
      </c>
      <c r="BE92" s="654"/>
      <c r="BF92" s="669" t="str">
        <f>IFERROR(IF(AL92="","",IF(AN92="Dubai",IF(OR(AL92="Plan1",AL92="Plan2"),VLOOKUP(BA92,Deviation!$B$31:$D$33,2,FALSE),VLOOKUP(BA92,Deviation!$B$31:$D$33,3,FALSE)),IF(OR(AL92="Plan1",AL92="Plan2"),VLOOKUP(BA92,Deviation!$E$31:$AE$33,2,FALSE),VLOOKUP(BA92,Deviation!$E$31:$AE$33,3,FALSE)))),0)</f>
        <v/>
      </c>
      <c r="BG92" s="671" t="str">
        <f>IFERROR(IF(AL92="","",IF(AN92="Dubai",IF(AL92="Plan1",VLOOKUP(BB92,Deviation!$B$39:$C$40,2,FALSE),IF(AL92="Plan2",VLOOKUP(BB92,Deviation!$B$42:$C$43,2,FALSE),IF(AL92="Plan5",VLOOKUP(BB92,Deviation!$B$48:$C$49,2,FALSE),VLOOKUP(BB92,Deviation!$B$45:$C$46,2,FALSE)))),IF(AL92="Plan1",VLOOKUP(BB92,Deviation!$E$39:$F$40,2,FALSE),IF(AL92="Plan2",VLOOKUP(BB92,Deviation!$E$42:$F$43,2,FALSE),VLOOKUP(BB92,Deviation!$E$45:$F$46,2,FALSE))))),0)</f>
        <v/>
      </c>
      <c r="BH92" s="671" t="str">
        <f>IFERROR(IF(AL92="","",IF(AN92="Dubai",IF(OR(AL92="Plan1",AL92="Plan2"),VLOOKUP(BC92,Deviation!$B$15:$D$19,2,FALSE),VLOOKUP(BC92,Deviation!$B$15:$D$19,3,FALSE)),IF(OR(AL92="Plan1",AL92="Plan2"),VLOOKUP(BC92,Deviation!$E$15:$AE$19,2,FALSE),VLOOKUP(BC92,Deviation!$E$15:$AE$19,3,FALSE)))),0)</f>
        <v/>
      </c>
      <c r="BI92" s="669" t="str">
        <f>IFERROR(IF(AL92="","",IF(AN92="Dubai",VLOOKUP(BD92,Deviation!$B$24:$C$26,2,FALSE),100%)),0)</f>
        <v/>
      </c>
      <c r="BJ92" s="672">
        <f>IF(AE92="Abu Dhabi",1,IFERROR(VLOOKUP(AM92,Deviation!$B$67:$E$79,MATCH('Census Data'!AA92,Deviation!$B$66:$E$66,0),0),1))</f>
        <v>1</v>
      </c>
      <c r="BK92" s="659">
        <f>IFERROR(VLOOKUP(I92,Deviation!$B$54:$C$62,2,0),1)</f>
        <v>1</v>
      </c>
      <c r="BL92" s="148"/>
      <c r="BM92" s="148"/>
      <c r="BN92" s="148"/>
      <c r="BO92" s="148"/>
      <c r="BP92" s="148"/>
      <c r="BQ92" s="148"/>
      <c r="BR92" s="148"/>
      <c r="BS92" s="148"/>
      <c r="BT92" s="148" t="e">
        <f t="shared" si="49"/>
        <v>#VALUE!</v>
      </c>
      <c r="BU92" t="str">
        <f>IF(AL92="","",IFERROR(IF(AL92="","",IF(AN92="Dubai",HLOOKUP(AZ92,'input for formula'!$B$3:$F$10,AO92,FALSE), IF(AND(H92="Employee",AN92="Abu Dhabi"),HLOOKUP(AZ92,'input for formula'!$I$3:$K$7,AO92,FALSE),HLOOKUP(AZ92,'input for formula'!$M$3:$O$7,AO92,FALSE)))*AX92+AP92*AQ92+AR92*AS92+AT92*AU92),0)*$AZ$3*BK92*BJ92*IF(AND(Inputs!$C$19&gt;19,Inputs!$C$19&lt;30),(1+$AZ$2),1))</f>
        <v/>
      </c>
    </row>
    <row r="93" spans="1:73" ht="15" x14ac:dyDescent="0.25">
      <c r="A93" s="59">
        <v>88</v>
      </c>
      <c r="B93" s="470"/>
      <c r="C93" s="628"/>
      <c r="D93" s="629"/>
      <c r="E93" s="471"/>
      <c r="F93" s="298"/>
      <c r="G93" s="298"/>
      <c r="H93" s="298"/>
      <c r="I93" s="298"/>
      <c r="J93" s="80" t="str">
        <f>IFERROR(IF(C93="","",DATEDIF('Census Data'!C93,eff_date,"y")),"")</f>
        <v/>
      </c>
      <c r="K93" s="59" t="str">
        <f>IF(F93="","",IF(AE93="Dubai",HLOOKUP(F93,Inputs!$C$26:$M$28,3,0),HLOOKUP(F93,Inputs!$C$45:$M$46,2,0)))</f>
        <v/>
      </c>
      <c r="L93" s="104"/>
      <c r="M93" s="105">
        <f t="shared" si="32"/>
        <v>0</v>
      </c>
      <c r="N93" s="654" t="b">
        <f t="shared" si="33"/>
        <v>0</v>
      </c>
      <c r="O93" s="655" t="str">
        <f t="shared" si="34"/>
        <v>x</v>
      </c>
      <c r="P93" s="655" t="str">
        <f t="shared" si="35"/>
        <v>x</v>
      </c>
      <c r="Q93" s="655" t="str">
        <f t="shared" si="36"/>
        <v>x</v>
      </c>
      <c r="R93" s="655" t="str">
        <f t="shared" si="51"/>
        <v>x</v>
      </c>
      <c r="S93" s="655" t="str">
        <f t="shared" si="37"/>
        <v>x</v>
      </c>
      <c r="T93" s="655" t="str">
        <f>IF(ISERROR(MATCH(G93,'Inputs Mapping'!$T$4:$T$10,0)),"x","")</f>
        <v>x</v>
      </c>
      <c r="U93" s="655" t="str">
        <f>IF(ISERROR(MATCH(AA93,'Inputs Mapping'!$U$4:$U$5,0)),"x","")</f>
        <v>x</v>
      </c>
      <c r="V93" s="655" t="str">
        <f>IF(ISERROR(MATCH(AB93,'Inputs Mapping'!$V$4:$V$5,0)),"x","")</f>
        <v>x</v>
      </c>
      <c r="W93" s="655" t="str">
        <f>IF(ISERROR(MATCH(F93,'Inputs Mapping'!$W$4:$W$8,0)),"x","")</f>
        <v>x</v>
      </c>
      <c r="X93" s="655" t="str">
        <f t="shared" si="38"/>
        <v/>
      </c>
      <c r="Y93" s="655" t="str">
        <f t="shared" si="39"/>
        <v/>
      </c>
      <c r="Z93" s="655" t="str">
        <f t="shared" si="40"/>
        <v/>
      </c>
      <c r="AA93" s="655" t="str">
        <f t="shared" si="41"/>
        <v/>
      </c>
      <c r="AB93" s="655" t="str">
        <f t="shared" si="43"/>
        <v/>
      </c>
      <c r="AC93" s="655" t="str">
        <f t="shared" si="50"/>
        <v>x</v>
      </c>
      <c r="AD93" s="655" t="str">
        <f>IF(ISBLANK(I93),"x",IF(ISNUMBER(MATCH(I93,'Inputs Mapping'!$AF$5:$AF$199,0)),"","x"))</f>
        <v>x</v>
      </c>
      <c r="AE93" s="655" t="str">
        <f t="shared" si="44"/>
        <v/>
      </c>
      <c r="AF93" s="148"/>
      <c r="AG93" s="148"/>
      <c r="AH93" s="148" t="str">
        <f t="shared" si="45"/>
        <v/>
      </c>
      <c r="AI93" s="654" t="str">
        <f>IF(J93="","",VLOOKUP(J93,'Inputs Mapping'!$T$27:$V$31,3))</f>
        <v/>
      </c>
      <c r="AJ93" s="654" t="str">
        <f>IF(J93="","",VLOOKUP(J93,'Inputs Mapping'!$T$17:$V$24,3))</f>
        <v/>
      </c>
      <c r="AK93" s="654" t="str">
        <f t="shared" si="46"/>
        <v/>
      </c>
      <c r="AL93" s="655" t="str">
        <f t="shared" si="42"/>
        <v/>
      </c>
      <c r="AM93" s="655" t="str">
        <f>IF(F93="","",IF(AE93="Dubai",HLOOKUP(F93,Inputs!$C$26:$M$36,5,0),HLOOKUP(F93,Inputs!$C$45:$M$49,5,0)))</f>
        <v/>
      </c>
      <c r="AN93" s="655">
        <f t="shared" si="47"/>
        <v>0</v>
      </c>
      <c r="AO93" s="654" t="str">
        <f>IF(AJ93="","",IF(AN93="Dubai",VLOOKUP(AJ93,'Inputs Mapping'!$V$17:$W$24,2,0),VLOOKUP(AI93,'Inputs Mapping'!$V$27:$W$31,2,0)))</f>
        <v/>
      </c>
      <c r="AP93" s="666">
        <f>IFERROR(IF($AN93="","",HLOOKUP($AN93&amp;RIGHT($AL93,1),'input for formula'!$B$16:$I$20,3,0)),0)</f>
        <v>0</v>
      </c>
      <c r="AQ93" s="656">
        <f>IFERROR(IF($AN93="","",HLOOKUP($AN93&amp;$F93,'input for formula'!$B$22:$M$25,2,0)),0)</f>
        <v>0</v>
      </c>
      <c r="AR93" s="666">
        <f>IFERROR(IF($AN93="","",HLOOKUP($AN93&amp;RIGHT($AL93,1),'input for formula'!$B$16:$I$20,4,0)),0)</f>
        <v>0</v>
      </c>
      <c r="AS93" s="656">
        <f>IFERROR(IF($AN93="","",HLOOKUP($AN93&amp;$F93,'input for formula'!$B$22:$M$25,3,0)),0)</f>
        <v>0</v>
      </c>
      <c r="AT93" s="656">
        <f>IFERROR(IF($AN93="","",HLOOKUP($AN93&amp;RIGHT($AL93,1),'input for formula'!$B$16:$I$20,5,0)),0)</f>
        <v>0</v>
      </c>
      <c r="AU93" s="656">
        <f>IFERROR(IF($AN93="","",HLOOKUP($AN93&amp;$F93,'input for formula'!$B$22:$M$25,4,0)),0)</f>
        <v>0</v>
      </c>
      <c r="AV93" s="666">
        <f>IFERROR(IF($AN93="","",IF('Census Data'!$AN93="Abu Dhabi",VLOOKUP('Census Data'!$AM93,'input for formula'!$A$28:$C$41,3,0),VLOOKUP('Census Data'!$AM93,'input for formula'!$A$28:$C$47,2,0))),0)*IFERROR(1+IF(AN93="Dubai",VLOOKUP(F93,'Quotation for Dubai Plans'!$V$6:$X$12,3,FALSE),VLOOKUP(F93,'Quotation for Abu Dhabi Plans'!$W$6:$Y$12,3,FALSE)),0)</f>
        <v>0</v>
      </c>
      <c r="AW93" s="656" t="str">
        <f t="shared" si="23"/>
        <v/>
      </c>
      <c r="AX93" s="667" t="str">
        <f>IFERROR(IF(AL93="","",IF(AN93="Dubai",HLOOKUP((AL93&amp;AM93),Deviation!$B$7:$S$8,2,0)*BF93*BH93*BI93*BG93,HLOOKUP((AL93&amp;AM93),Deviation!$B$9:$O$10,2,0)*BF93*BH93*BI93*BG93)),0)</f>
        <v/>
      </c>
      <c r="AY93" s="668" t="str">
        <f>IF(AL93="","",IFERROR(IF(AL93="","",IF(AN93="Dubai",HLOOKUP(AZ93,'input for formula'!$B$3:$F$10,AO93,FALSE), IF(AND(H93="Employee",AN93="Abu Dhabi"),HLOOKUP(AZ93,'input for formula'!$I$3:$K$7,AO93,FALSE),HLOOKUP(AZ93,'input for formula'!$M$3:$O$7,AO93,FALSE)))*AX93+AP93*AQ93+AR93*AS93+AT93*AU93),0)*$AZ$3*BK93*BJ93*IF(AND(Inputs!$C$19&gt;19,Inputs!$C$19&lt;30),(1+$AZ$2),1)*(1+$AZ$1))</f>
        <v/>
      </c>
      <c r="AZ93" s="148" t="str">
        <f t="shared" si="48"/>
        <v/>
      </c>
      <c r="BA93" s="669" t="str">
        <f>IF(F93="","",IF(AE93="Dubai",HLOOKUP(F93,Inputs!$C$26:$M$37,9,0),HLOOKUP(F93,Inputs!$C$45:$M$56,9,0)))</f>
        <v/>
      </c>
      <c r="BB93" s="670" t="str">
        <f>IF(F93="","",IF(AE93="Dubai",HLOOKUP(F93,Inputs!$C$26:$M$37,10,0),HLOOKUP(F93,Inputs!$C$45:$M$56,10,0)))</f>
        <v/>
      </c>
      <c r="BC93" s="670" t="str">
        <f>IF(F93="","",IF(AE93="Dubai",HLOOKUP(F93,Inputs!$C$26:$M$37,11,0),HLOOKUP(F93,Inputs!$C$45:$M$56,11,0)))</f>
        <v/>
      </c>
      <c r="BD93" s="669" t="str">
        <f>IF(F93="","",IF(AE93="Dubai",HLOOKUP(F93,Inputs!$C$26:$M$37,12,0),HLOOKUP(F93,Inputs!$C$45:$M$56,12,0)))</f>
        <v/>
      </c>
      <c r="BE93" s="654"/>
      <c r="BF93" s="669" t="str">
        <f>IFERROR(IF(AL93="","",IF(AN93="Dubai",IF(OR(AL93="Plan1",AL93="Plan2"),VLOOKUP(BA93,Deviation!$B$31:$D$33,2,FALSE),VLOOKUP(BA93,Deviation!$B$31:$D$33,3,FALSE)),IF(OR(AL93="Plan1",AL93="Plan2"),VLOOKUP(BA93,Deviation!$E$31:$AE$33,2,FALSE),VLOOKUP(BA93,Deviation!$E$31:$AE$33,3,FALSE)))),0)</f>
        <v/>
      </c>
      <c r="BG93" s="671" t="str">
        <f>IFERROR(IF(AL93="","",IF(AN93="Dubai",IF(AL93="Plan1",VLOOKUP(BB93,Deviation!$B$39:$C$40,2,FALSE),IF(AL93="Plan2",VLOOKUP(BB93,Deviation!$B$42:$C$43,2,FALSE),IF(AL93="Plan5",VLOOKUP(BB93,Deviation!$B$48:$C$49,2,FALSE),VLOOKUP(BB93,Deviation!$B$45:$C$46,2,FALSE)))),IF(AL93="Plan1",VLOOKUP(BB93,Deviation!$E$39:$F$40,2,FALSE),IF(AL93="Plan2",VLOOKUP(BB93,Deviation!$E$42:$F$43,2,FALSE),VLOOKUP(BB93,Deviation!$E$45:$F$46,2,FALSE))))),0)</f>
        <v/>
      </c>
      <c r="BH93" s="671" t="str">
        <f>IFERROR(IF(AL93="","",IF(AN93="Dubai",IF(OR(AL93="Plan1",AL93="Plan2"),VLOOKUP(BC93,Deviation!$B$15:$D$19,2,FALSE),VLOOKUP(BC93,Deviation!$B$15:$D$19,3,FALSE)),IF(OR(AL93="Plan1",AL93="Plan2"),VLOOKUP(BC93,Deviation!$E$15:$AE$19,2,FALSE),VLOOKUP(BC93,Deviation!$E$15:$AE$19,3,FALSE)))),0)</f>
        <v/>
      </c>
      <c r="BI93" s="669" t="str">
        <f>IFERROR(IF(AL93="","",IF(AN93="Dubai",VLOOKUP(BD93,Deviation!$B$24:$C$26,2,FALSE),100%)),0)</f>
        <v/>
      </c>
      <c r="BJ93" s="672">
        <f>IF(AE93="Abu Dhabi",1,IFERROR(VLOOKUP(AM93,Deviation!$B$67:$E$79,MATCH('Census Data'!AA93,Deviation!$B$66:$E$66,0),0),1))</f>
        <v>1</v>
      </c>
      <c r="BK93" s="659">
        <f>IFERROR(VLOOKUP(I93,Deviation!$B$54:$C$62,2,0),1)</f>
        <v>1</v>
      </c>
      <c r="BL93" s="148"/>
      <c r="BM93" s="148"/>
      <c r="BN93" s="148"/>
      <c r="BO93" s="148"/>
      <c r="BP93" s="148"/>
      <c r="BQ93" s="148"/>
      <c r="BR93" s="148"/>
      <c r="BS93" s="148"/>
      <c r="BT93" s="148" t="e">
        <f t="shared" si="49"/>
        <v>#VALUE!</v>
      </c>
      <c r="BU93" t="str">
        <f>IF(AL93="","",IFERROR(IF(AL93="","",IF(AN93="Dubai",HLOOKUP(AZ93,'input for formula'!$B$3:$F$10,AO93,FALSE), IF(AND(H93="Employee",AN93="Abu Dhabi"),HLOOKUP(AZ93,'input for formula'!$I$3:$K$7,AO93,FALSE),HLOOKUP(AZ93,'input for formula'!$M$3:$O$7,AO93,FALSE)))*AX93+AP93*AQ93+AR93*AS93+AT93*AU93),0)*$AZ$3*BK93*BJ93*IF(AND(Inputs!$C$19&gt;19,Inputs!$C$19&lt;30),(1+$AZ$2),1))</f>
        <v/>
      </c>
    </row>
    <row r="94" spans="1:73" ht="15" x14ac:dyDescent="0.25">
      <c r="A94" s="59">
        <v>89</v>
      </c>
      <c r="B94" s="470"/>
      <c r="C94" s="628"/>
      <c r="D94" s="629"/>
      <c r="E94" s="471"/>
      <c r="F94" s="298"/>
      <c r="G94" s="298"/>
      <c r="H94" s="298"/>
      <c r="I94" s="298"/>
      <c r="J94" s="80" t="str">
        <f>IFERROR(IF(C94="","",DATEDIF('Census Data'!C94,eff_date,"y")),"")</f>
        <v/>
      </c>
      <c r="K94" s="59" t="str">
        <f>IF(F94="","",IF(AE94="Dubai",HLOOKUP(F94,Inputs!$C$26:$M$28,3,0),HLOOKUP(F94,Inputs!$C$45:$M$46,2,0)))</f>
        <v/>
      </c>
      <c r="L94" s="104"/>
      <c r="M94" s="105">
        <f t="shared" si="32"/>
        <v>0</v>
      </c>
      <c r="N94" s="654" t="b">
        <f t="shared" si="33"/>
        <v>0</v>
      </c>
      <c r="O94" s="655" t="str">
        <f t="shared" si="34"/>
        <v>x</v>
      </c>
      <c r="P94" s="655" t="str">
        <f t="shared" si="35"/>
        <v>x</v>
      </c>
      <c r="Q94" s="655" t="str">
        <f t="shared" si="36"/>
        <v>x</v>
      </c>
      <c r="R94" s="655" t="str">
        <f t="shared" si="51"/>
        <v>x</v>
      </c>
      <c r="S94" s="655" t="str">
        <f t="shared" si="37"/>
        <v>x</v>
      </c>
      <c r="T94" s="655" t="str">
        <f>IF(ISERROR(MATCH(G94,'Inputs Mapping'!$T$4:$T$10,0)),"x","")</f>
        <v>x</v>
      </c>
      <c r="U94" s="655" t="str">
        <f>IF(ISERROR(MATCH(AA94,'Inputs Mapping'!$U$4:$U$5,0)),"x","")</f>
        <v>x</v>
      </c>
      <c r="V94" s="655" t="str">
        <f>IF(ISERROR(MATCH(AB94,'Inputs Mapping'!$V$4:$V$5,0)),"x","")</f>
        <v>x</v>
      </c>
      <c r="W94" s="655" t="str">
        <f>IF(ISERROR(MATCH(F94,'Inputs Mapping'!$W$4:$W$8,0)),"x","")</f>
        <v>x</v>
      </c>
      <c r="X94" s="655" t="str">
        <f t="shared" si="38"/>
        <v/>
      </c>
      <c r="Y94" s="655" t="str">
        <f t="shared" si="39"/>
        <v/>
      </c>
      <c r="Z94" s="655" t="str">
        <f t="shared" si="40"/>
        <v/>
      </c>
      <c r="AA94" s="655" t="str">
        <f t="shared" si="41"/>
        <v/>
      </c>
      <c r="AB94" s="655" t="str">
        <f t="shared" si="43"/>
        <v/>
      </c>
      <c r="AC94" s="655" t="str">
        <f t="shared" si="50"/>
        <v>x</v>
      </c>
      <c r="AD94" s="655" t="str">
        <f>IF(ISBLANK(I94),"x",IF(ISNUMBER(MATCH(I94,'Inputs Mapping'!$AF$5:$AF$199,0)),"","x"))</f>
        <v>x</v>
      </c>
      <c r="AE94" s="655" t="str">
        <f t="shared" si="44"/>
        <v/>
      </c>
      <c r="AF94" s="148"/>
      <c r="AG94" s="148"/>
      <c r="AH94" s="148" t="str">
        <f t="shared" si="45"/>
        <v/>
      </c>
      <c r="AI94" s="654" t="str">
        <f>IF(J94="","",VLOOKUP(J94,'Inputs Mapping'!$T$27:$V$31,3))</f>
        <v/>
      </c>
      <c r="AJ94" s="654" t="str">
        <f>IF(J94="","",VLOOKUP(J94,'Inputs Mapping'!$T$17:$V$24,3))</f>
        <v/>
      </c>
      <c r="AK94" s="654" t="str">
        <f t="shared" si="46"/>
        <v/>
      </c>
      <c r="AL94" s="655" t="str">
        <f t="shared" si="42"/>
        <v/>
      </c>
      <c r="AM94" s="655" t="str">
        <f>IF(F94="","",IF(AE94="Dubai",HLOOKUP(F94,Inputs!$C$26:$M$36,5,0),HLOOKUP(F94,Inputs!$C$45:$M$49,5,0)))</f>
        <v/>
      </c>
      <c r="AN94" s="655">
        <f t="shared" si="47"/>
        <v>0</v>
      </c>
      <c r="AO94" s="654" t="str">
        <f>IF(AJ94="","",IF(AN94="Dubai",VLOOKUP(AJ94,'Inputs Mapping'!$V$17:$W$24,2,0),VLOOKUP(AI94,'Inputs Mapping'!$V$27:$W$31,2,0)))</f>
        <v/>
      </c>
      <c r="AP94" s="666">
        <f>IFERROR(IF($AN94="","",HLOOKUP($AN94&amp;RIGHT($AL94,1),'input for formula'!$B$16:$I$20,3,0)),0)</f>
        <v>0</v>
      </c>
      <c r="AQ94" s="656">
        <f>IFERROR(IF($AN94="","",HLOOKUP($AN94&amp;$F94,'input for formula'!$B$22:$M$25,2,0)),0)</f>
        <v>0</v>
      </c>
      <c r="AR94" s="666">
        <f>IFERROR(IF($AN94="","",HLOOKUP($AN94&amp;RIGHT($AL94,1),'input for formula'!$B$16:$I$20,4,0)),0)</f>
        <v>0</v>
      </c>
      <c r="AS94" s="656">
        <f>IFERROR(IF($AN94="","",HLOOKUP($AN94&amp;$F94,'input for formula'!$B$22:$M$25,3,0)),0)</f>
        <v>0</v>
      </c>
      <c r="AT94" s="656">
        <f>IFERROR(IF($AN94="","",HLOOKUP($AN94&amp;RIGHT($AL94,1),'input for formula'!$B$16:$I$20,5,0)),0)</f>
        <v>0</v>
      </c>
      <c r="AU94" s="656">
        <f>IFERROR(IF($AN94="","",HLOOKUP($AN94&amp;$F94,'input for formula'!$B$22:$M$25,4,0)),0)</f>
        <v>0</v>
      </c>
      <c r="AV94" s="666">
        <f>IFERROR(IF($AN94="","",IF('Census Data'!$AN94="Abu Dhabi",VLOOKUP('Census Data'!$AM94,'input for formula'!$A$28:$C$41,3,0),VLOOKUP('Census Data'!$AM94,'input for formula'!$A$28:$C$47,2,0))),0)*IFERROR(1+IF(AN94="Dubai",VLOOKUP(F94,'Quotation for Dubai Plans'!$V$6:$X$12,3,FALSE),VLOOKUP(F94,'Quotation for Abu Dhabi Plans'!$W$6:$Y$12,3,FALSE)),0)</f>
        <v>0</v>
      </c>
      <c r="AW94" s="656" t="str">
        <f t="shared" si="23"/>
        <v/>
      </c>
      <c r="AX94" s="667" t="str">
        <f>IFERROR(IF(AL94="","",IF(AN94="Dubai",HLOOKUP((AL94&amp;AM94),Deviation!$B$7:$S$8,2,0)*BF94*BH94*BI94*BG94,HLOOKUP((AL94&amp;AM94),Deviation!$B$9:$O$10,2,0)*BF94*BH94*BI94*BG94)),0)</f>
        <v/>
      </c>
      <c r="AY94" s="668" t="str">
        <f>IF(AL94="","",IFERROR(IF(AL94="","",IF(AN94="Dubai",HLOOKUP(AZ94,'input for formula'!$B$3:$F$10,AO94,FALSE), IF(AND(H94="Employee",AN94="Abu Dhabi"),HLOOKUP(AZ94,'input for formula'!$I$3:$K$7,AO94,FALSE),HLOOKUP(AZ94,'input for formula'!$M$3:$O$7,AO94,FALSE)))*AX94+AP94*AQ94+AR94*AS94+AT94*AU94),0)*$AZ$3*BK94*BJ94*IF(AND(Inputs!$C$19&gt;19,Inputs!$C$19&lt;30),(1+$AZ$2),1)*(1+$AZ$1))</f>
        <v/>
      </c>
      <c r="AZ94" s="148" t="str">
        <f t="shared" si="48"/>
        <v/>
      </c>
      <c r="BA94" s="669" t="str">
        <f>IF(F94="","",IF(AE94="Dubai",HLOOKUP(F94,Inputs!$C$26:$M$37,9,0),HLOOKUP(F94,Inputs!$C$45:$M$56,9,0)))</f>
        <v/>
      </c>
      <c r="BB94" s="670" t="str">
        <f>IF(F94="","",IF(AE94="Dubai",HLOOKUP(F94,Inputs!$C$26:$M$37,10,0),HLOOKUP(F94,Inputs!$C$45:$M$56,10,0)))</f>
        <v/>
      </c>
      <c r="BC94" s="670" t="str">
        <f>IF(F94="","",IF(AE94="Dubai",HLOOKUP(F94,Inputs!$C$26:$M$37,11,0),HLOOKUP(F94,Inputs!$C$45:$M$56,11,0)))</f>
        <v/>
      </c>
      <c r="BD94" s="669" t="str">
        <f>IF(F94="","",IF(AE94="Dubai",HLOOKUP(F94,Inputs!$C$26:$M$37,12,0),HLOOKUP(F94,Inputs!$C$45:$M$56,12,0)))</f>
        <v/>
      </c>
      <c r="BE94" s="654"/>
      <c r="BF94" s="669" t="str">
        <f>IFERROR(IF(AL94="","",IF(AN94="Dubai",IF(OR(AL94="Plan1",AL94="Plan2"),VLOOKUP(BA94,Deviation!$B$31:$D$33,2,FALSE),VLOOKUP(BA94,Deviation!$B$31:$D$33,3,FALSE)),IF(OR(AL94="Plan1",AL94="Plan2"),VLOOKUP(BA94,Deviation!$E$31:$AE$33,2,FALSE),VLOOKUP(BA94,Deviation!$E$31:$AE$33,3,FALSE)))),0)</f>
        <v/>
      </c>
      <c r="BG94" s="671" t="str">
        <f>IFERROR(IF(AL94="","",IF(AN94="Dubai",IF(AL94="Plan1",VLOOKUP(BB94,Deviation!$B$39:$C$40,2,FALSE),IF(AL94="Plan2",VLOOKUP(BB94,Deviation!$B$42:$C$43,2,FALSE),IF(AL94="Plan5",VLOOKUP(BB94,Deviation!$B$48:$C$49,2,FALSE),VLOOKUP(BB94,Deviation!$B$45:$C$46,2,FALSE)))),IF(AL94="Plan1",VLOOKUP(BB94,Deviation!$E$39:$F$40,2,FALSE),IF(AL94="Plan2",VLOOKUP(BB94,Deviation!$E$42:$F$43,2,FALSE),VLOOKUP(BB94,Deviation!$E$45:$F$46,2,FALSE))))),0)</f>
        <v/>
      </c>
      <c r="BH94" s="671" t="str">
        <f>IFERROR(IF(AL94="","",IF(AN94="Dubai",IF(OR(AL94="Plan1",AL94="Plan2"),VLOOKUP(BC94,Deviation!$B$15:$D$19,2,FALSE),VLOOKUP(BC94,Deviation!$B$15:$D$19,3,FALSE)),IF(OR(AL94="Plan1",AL94="Plan2"),VLOOKUP(BC94,Deviation!$E$15:$AE$19,2,FALSE),VLOOKUP(BC94,Deviation!$E$15:$AE$19,3,FALSE)))),0)</f>
        <v/>
      </c>
      <c r="BI94" s="669" t="str">
        <f>IFERROR(IF(AL94="","",IF(AN94="Dubai",VLOOKUP(BD94,Deviation!$B$24:$C$26,2,FALSE),100%)),0)</f>
        <v/>
      </c>
      <c r="BJ94" s="672">
        <f>IF(AE94="Abu Dhabi",1,IFERROR(VLOOKUP(AM94,Deviation!$B$67:$E$79,MATCH('Census Data'!AA94,Deviation!$B$66:$E$66,0),0),1))</f>
        <v>1</v>
      </c>
      <c r="BK94" s="659">
        <f>IFERROR(VLOOKUP(I94,Deviation!$B$54:$C$62,2,0),1)</f>
        <v>1</v>
      </c>
      <c r="BL94" s="148"/>
      <c r="BM94" s="148"/>
      <c r="BN94" s="148"/>
      <c r="BO94" s="148"/>
      <c r="BP94" s="148"/>
      <c r="BQ94" s="148"/>
      <c r="BR94" s="148"/>
      <c r="BS94" s="148"/>
      <c r="BT94" s="148" t="e">
        <f t="shared" si="49"/>
        <v>#VALUE!</v>
      </c>
      <c r="BU94" t="str">
        <f>IF(AL94="","",IFERROR(IF(AL94="","",IF(AN94="Dubai",HLOOKUP(AZ94,'input for formula'!$B$3:$F$10,AO94,FALSE), IF(AND(H94="Employee",AN94="Abu Dhabi"),HLOOKUP(AZ94,'input for formula'!$I$3:$K$7,AO94,FALSE),HLOOKUP(AZ94,'input for formula'!$M$3:$O$7,AO94,FALSE)))*AX94+AP94*AQ94+AR94*AS94+AT94*AU94),0)*$AZ$3*BK94*BJ94*IF(AND(Inputs!$C$19&gt;19,Inputs!$C$19&lt;30),(1+$AZ$2),1))</f>
        <v/>
      </c>
    </row>
    <row r="95" spans="1:73" ht="15" x14ac:dyDescent="0.25">
      <c r="A95" s="59">
        <v>90</v>
      </c>
      <c r="B95" s="470"/>
      <c r="C95" s="628"/>
      <c r="D95" s="629"/>
      <c r="E95" s="471"/>
      <c r="F95" s="298"/>
      <c r="G95" s="298"/>
      <c r="H95" s="298"/>
      <c r="I95" s="298"/>
      <c r="J95" s="80" t="str">
        <f>IFERROR(IF(C95="","",DATEDIF('Census Data'!C95,eff_date,"y")),"")</f>
        <v/>
      </c>
      <c r="K95" s="59" t="str">
        <f>IF(F95="","",IF(AE95="Dubai",HLOOKUP(F95,Inputs!$C$26:$M$28,3,0),HLOOKUP(F95,Inputs!$C$45:$M$46,2,0)))</f>
        <v/>
      </c>
      <c r="L95" s="104"/>
      <c r="M95" s="105">
        <f t="shared" si="32"/>
        <v>0</v>
      </c>
      <c r="N95" s="654" t="b">
        <f t="shared" si="33"/>
        <v>0</v>
      </c>
      <c r="O95" s="655" t="str">
        <f t="shared" si="34"/>
        <v>x</v>
      </c>
      <c r="P95" s="655" t="str">
        <f t="shared" si="35"/>
        <v>x</v>
      </c>
      <c r="Q95" s="655" t="str">
        <f t="shared" si="36"/>
        <v>x</v>
      </c>
      <c r="R95" s="655" t="str">
        <f t="shared" si="51"/>
        <v>x</v>
      </c>
      <c r="S95" s="655" t="str">
        <f t="shared" si="37"/>
        <v>x</v>
      </c>
      <c r="T95" s="655" t="str">
        <f>IF(ISERROR(MATCH(G95,'Inputs Mapping'!$T$4:$T$10,0)),"x","")</f>
        <v>x</v>
      </c>
      <c r="U95" s="655" t="str">
        <f>IF(ISERROR(MATCH(AA95,'Inputs Mapping'!$U$4:$U$5,0)),"x","")</f>
        <v>x</v>
      </c>
      <c r="V95" s="655" t="str">
        <f>IF(ISERROR(MATCH(AB95,'Inputs Mapping'!$V$4:$V$5,0)),"x","")</f>
        <v>x</v>
      </c>
      <c r="W95" s="655" t="str">
        <f>IF(ISERROR(MATCH(F95,'Inputs Mapping'!$W$4:$W$8,0)),"x","")</f>
        <v>x</v>
      </c>
      <c r="X95" s="655" t="str">
        <f t="shared" si="38"/>
        <v/>
      </c>
      <c r="Y95" s="655" t="str">
        <f t="shared" si="39"/>
        <v/>
      </c>
      <c r="Z95" s="655" t="str">
        <f t="shared" si="40"/>
        <v/>
      </c>
      <c r="AA95" s="655" t="str">
        <f t="shared" si="41"/>
        <v/>
      </c>
      <c r="AB95" s="655" t="str">
        <f t="shared" si="43"/>
        <v/>
      </c>
      <c r="AC95" s="655" t="str">
        <f t="shared" si="50"/>
        <v>x</v>
      </c>
      <c r="AD95" s="655" t="str">
        <f>IF(ISBLANK(I95),"x",IF(ISNUMBER(MATCH(I95,'Inputs Mapping'!$AF$5:$AF$199,0)),"","x"))</f>
        <v>x</v>
      </c>
      <c r="AE95" s="655" t="str">
        <f t="shared" si="44"/>
        <v/>
      </c>
      <c r="AF95" s="148"/>
      <c r="AG95" s="148"/>
      <c r="AH95" s="148" t="str">
        <f t="shared" si="45"/>
        <v/>
      </c>
      <c r="AI95" s="654" t="str">
        <f>IF(J95="","",VLOOKUP(J95,'Inputs Mapping'!$T$27:$V$31,3))</f>
        <v/>
      </c>
      <c r="AJ95" s="654" t="str">
        <f>IF(J95="","",VLOOKUP(J95,'Inputs Mapping'!$T$17:$V$24,3))</f>
        <v/>
      </c>
      <c r="AK95" s="654" t="str">
        <f t="shared" si="46"/>
        <v/>
      </c>
      <c r="AL95" s="655" t="str">
        <f t="shared" si="42"/>
        <v/>
      </c>
      <c r="AM95" s="655" t="str">
        <f>IF(F95="","",IF(AE95="Dubai",HLOOKUP(F95,Inputs!$C$26:$M$36,5,0),HLOOKUP(F95,Inputs!$C$45:$M$49,5,0)))</f>
        <v/>
      </c>
      <c r="AN95" s="655">
        <f t="shared" si="47"/>
        <v>0</v>
      </c>
      <c r="AO95" s="654" t="str">
        <f>IF(AJ95="","",IF(AN95="Dubai",VLOOKUP(AJ95,'Inputs Mapping'!$V$17:$W$24,2,0),VLOOKUP(AI95,'Inputs Mapping'!$V$27:$W$31,2,0)))</f>
        <v/>
      </c>
      <c r="AP95" s="666">
        <f>IFERROR(IF($AN95="","",HLOOKUP($AN95&amp;RIGHT($AL95,1),'input for formula'!$B$16:$I$20,3,0)),0)</f>
        <v>0</v>
      </c>
      <c r="AQ95" s="656">
        <f>IFERROR(IF($AN95="","",HLOOKUP($AN95&amp;$F95,'input for formula'!$B$22:$M$25,2,0)),0)</f>
        <v>0</v>
      </c>
      <c r="AR95" s="666">
        <f>IFERROR(IF($AN95="","",HLOOKUP($AN95&amp;RIGHT($AL95,1),'input for formula'!$B$16:$I$20,4,0)),0)</f>
        <v>0</v>
      </c>
      <c r="AS95" s="656">
        <f>IFERROR(IF($AN95="","",HLOOKUP($AN95&amp;$F95,'input for formula'!$B$22:$M$25,3,0)),0)</f>
        <v>0</v>
      </c>
      <c r="AT95" s="656">
        <f>IFERROR(IF($AN95="","",HLOOKUP($AN95&amp;RIGHT($AL95,1),'input for formula'!$B$16:$I$20,5,0)),0)</f>
        <v>0</v>
      </c>
      <c r="AU95" s="656">
        <f>IFERROR(IF($AN95="","",HLOOKUP($AN95&amp;$F95,'input for formula'!$B$22:$M$25,4,0)),0)</f>
        <v>0</v>
      </c>
      <c r="AV95" s="666">
        <f>IFERROR(IF($AN95="","",IF('Census Data'!$AN95="Abu Dhabi",VLOOKUP('Census Data'!$AM95,'input for formula'!$A$28:$C$41,3,0),VLOOKUP('Census Data'!$AM95,'input for formula'!$A$28:$C$47,2,0))),0)*IFERROR(1+IF(AN95="Dubai",VLOOKUP(F95,'Quotation for Dubai Plans'!$V$6:$X$12,3,FALSE),VLOOKUP(F95,'Quotation for Abu Dhabi Plans'!$W$6:$Y$12,3,FALSE)),0)</f>
        <v>0</v>
      </c>
      <c r="AW95" s="656" t="str">
        <f t="shared" si="23"/>
        <v/>
      </c>
      <c r="AX95" s="667" t="str">
        <f>IFERROR(IF(AL95="","",IF(AN95="Dubai",HLOOKUP((AL95&amp;AM95),Deviation!$B$7:$S$8,2,0)*BF95*BH95*BI95*BG95,HLOOKUP((AL95&amp;AM95),Deviation!$B$9:$O$10,2,0)*BF95*BH95*BI95*BG95)),0)</f>
        <v/>
      </c>
      <c r="AY95" s="668" t="str">
        <f>IF(AL95="","",IFERROR(IF(AL95="","",IF(AN95="Dubai",HLOOKUP(AZ95,'input for formula'!$B$3:$F$10,AO95,FALSE), IF(AND(H95="Employee",AN95="Abu Dhabi"),HLOOKUP(AZ95,'input for formula'!$I$3:$K$7,AO95,FALSE),HLOOKUP(AZ95,'input for formula'!$M$3:$O$7,AO95,FALSE)))*AX95+AP95*AQ95+AR95*AS95+AT95*AU95),0)*$AZ$3*BK95*BJ95*IF(AND(Inputs!$C$19&gt;19,Inputs!$C$19&lt;30),(1+$AZ$2),1)*(1+$AZ$1))</f>
        <v/>
      </c>
      <c r="AZ95" s="148" t="str">
        <f t="shared" si="48"/>
        <v/>
      </c>
      <c r="BA95" s="669" t="str">
        <f>IF(F95="","",IF(AE95="Dubai",HLOOKUP(F95,Inputs!$C$26:$M$37,9,0),HLOOKUP(F95,Inputs!$C$45:$M$56,9,0)))</f>
        <v/>
      </c>
      <c r="BB95" s="670" t="str">
        <f>IF(F95="","",IF(AE95="Dubai",HLOOKUP(F95,Inputs!$C$26:$M$37,10,0),HLOOKUP(F95,Inputs!$C$45:$M$56,10,0)))</f>
        <v/>
      </c>
      <c r="BC95" s="670" t="str">
        <f>IF(F95="","",IF(AE95="Dubai",HLOOKUP(F95,Inputs!$C$26:$M$37,11,0),HLOOKUP(F95,Inputs!$C$45:$M$56,11,0)))</f>
        <v/>
      </c>
      <c r="BD95" s="669" t="str">
        <f>IF(F95="","",IF(AE95="Dubai",HLOOKUP(F95,Inputs!$C$26:$M$37,12,0),HLOOKUP(F95,Inputs!$C$45:$M$56,12,0)))</f>
        <v/>
      </c>
      <c r="BE95" s="654"/>
      <c r="BF95" s="669" t="str">
        <f>IFERROR(IF(AL95="","",IF(AN95="Dubai",IF(OR(AL95="Plan1",AL95="Plan2"),VLOOKUP(BA95,Deviation!$B$31:$D$33,2,FALSE),VLOOKUP(BA95,Deviation!$B$31:$D$33,3,FALSE)),IF(OR(AL95="Plan1",AL95="Plan2"),VLOOKUP(BA95,Deviation!$E$31:$AE$33,2,FALSE),VLOOKUP(BA95,Deviation!$E$31:$AE$33,3,FALSE)))),0)</f>
        <v/>
      </c>
      <c r="BG95" s="671" t="str">
        <f>IFERROR(IF(AL95="","",IF(AN95="Dubai",IF(AL95="Plan1",VLOOKUP(BB95,Deviation!$B$39:$C$40,2,FALSE),IF(AL95="Plan2",VLOOKUP(BB95,Deviation!$B$42:$C$43,2,FALSE),IF(AL95="Plan5",VLOOKUP(BB95,Deviation!$B$48:$C$49,2,FALSE),VLOOKUP(BB95,Deviation!$B$45:$C$46,2,FALSE)))),IF(AL95="Plan1",VLOOKUP(BB95,Deviation!$E$39:$F$40,2,FALSE),IF(AL95="Plan2",VLOOKUP(BB95,Deviation!$E$42:$F$43,2,FALSE),VLOOKUP(BB95,Deviation!$E$45:$F$46,2,FALSE))))),0)</f>
        <v/>
      </c>
      <c r="BH95" s="671" t="str">
        <f>IFERROR(IF(AL95="","",IF(AN95="Dubai",IF(OR(AL95="Plan1",AL95="Plan2"),VLOOKUP(BC95,Deviation!$B$15:$D$19,2,FALSE),VLOOKUP(BC95,Deviation!$B$15:$D$19,3,FALSE)),IF(OR(AL95="Plan1",AL95="Plan2"),VLOOKUP(BC95,Deviation!$E$15:$AE$19,2,FALSE),VLOOKUP(BC95,Deviation!$E$15:$AE$19,3,FALSE)))),0)</f>
        <v/>
      </c>
      <c r="BI95" s="669" t="str">
        <f>IFERROR(IF(AL95="","",IF(AN95="Dubai",VLOOKUP(BD95,Deviation!$B$24:$C$26,2,FALSE),100%)),0)</f>
        <v/>
      </c>
      <c r="BJ95" s="672">
        <f>IF(AE95="Abu Dhabi",1,IFERROR(VLOOKUP(AM95,Deviation!$B$67:$E$79,MATCH('Census Data'!AA95,Deviation!$B$66:$E$66,0),0),1))</f>
        <v>1</v>
      </c>
      <c r="BK95" s="659">
        <f>IFERROR(VLOOKUP(I95,Deviation!$B$54:$C$62,2,0),1)</f>
        <v>1</v>
      </c>
      <c r="BL95" s="148"/>
      <c r="BM95" s="148"/>
      <c r="BN95" s="148"/>
      <c r="BO95" s="148"/>
      <c r="BP95" s="148"/>
      <c r="BQ95" s="148"/>
      <c r="BR95" s="148"/>
      <c r="BS95" s="148"/>
      <c r="BT95" s="148" t="e">
        <f t="shared" si="49"/>
        <v>#VALUE!</v>
      </c>
      <c r="BU95" t="str">
        <f>IF(AL95="","",IFERROR(IF(AL95="","",IF(AN95="Dubai",HLOOKUP(AZ95,'input for formula'!$B$3:$F$10,AO95,FALSE), IF(AND(H95="Employee",AN95="Abu Dhabi"),HLOOKUP(AZ95,'input for formula'!$I$3:$K$7,AO95,FALSE),HLOOKUP(AZ95,'input for formula'!$M$3:$O$7,AO95,FALSE)))*AX95+AP95*AQ95+AR95*AS95+AT95*AU95),0)*$AZ$3*BK95*BJ95*IF(AND(Inputs!$C$19&gt;19,Inputs!$C$19&lt;30),(1+$AZ$2),1))</f>
        <v/>
      </c>
    </row>
    <row r="96" spans="1:73" ht="15" x14ac:dyDescent="0.25">
      <c r="A96" s="59">
        <v>91</v>
      </c>
      <c r="B96" s="470"/>
      <c r="C96" s="628"/>
      <c r="D96" s="629"/>
      <c r="E96" s="471"/>
      <c r="F96" s="298"/>
      <c r="G96" s="298"/>
      <c r="H96" s="298"/>
      <c r="I96" s="298"/>
      <c r="J96" s="80" t="str">
        <f>IFERROR(IF(C96="","",DATEDIF('Census Data'!C96,eff_date,"y")),"")</f>
        <v/>
      </c>
      <c r="K96" s="59" t="str">
        <f>IF(F96="","",IF(AE96="Dubai",HLOOKUP(F96,Inputs!$C$26:$M$28,3,0),HLOOKUP(F96,Inputs!$C$45:$M$46,2,0)))</f>
        <v/>
      </c>
      <c r="L96" s="104"/>
      <c r="M96" s="105">
        <f t="shared" si="32"/>
        <v>0</v>
      </c>
      <c r="N96" s="654" t="b">
        <f t="shared" si="33"/>
        <v>0</v>
      </c>
      <c r="O96" s="655" t="str">
        <f t="shared" si="34"/>
        <v>x</v>
      </c>
      <c r="P96" s="655" t="str">
        <f t="shared" si="35"/>
        <v>x</v>
      </c>
      <c r="Q96" s="655" t="str">
        <f t="shared" si="36"/>
        <v>x</v>
      </c>
      <c r="R96" s="655" t="str">
        <f t="shared" si="51"/>
        <v>x</v>
      </c>
      <c r="S96" s="655" t="str">
        <f t="shared" si="37"/>
        <v>x</v>
      </c>
      <c r="T96" s="655" t="str">
        <f>IF(ISERROR(MATCH(G96,'Inputs Mapping'!$T$4:$T$10,0)),"x","")</f>
        <v>x</v>
      </c>
      <c r="U96" s="655" t="str">
        <f>IF(ISERROR(MATCH(AA96,'Inputs Mapping'!$U$4:$U$5,0)),"x","")</f>
        <v>x</v>
      </c>
      <c r="V96" s="655" t="str">
        <f>IF(ISERROR(MATCH(AB96,'Inputs Mapping'!$V$4:$V$5,0)),"x","")</f>
        <v>x</v>
      </c>
      <c r="W96" s="655" t="str">
        <f>IF(ISERROR(MATCH(F96,'Inputs Mapping'!$W$4:$W$8,0)),"x","")</f>
        <v>x</v>
      </c>
      <c r="X96" s="655" t="str">
        <f t="shared" si="38"/>
        <v/>
      </c>
      <c r="Y96" s="655" t="str">
        <f t="shared" si="39"/>
        <v/>
      </c>
      <c r="Z96" s="655" t="str">
        <f t="shared" si="40"/>
        <v/>
      </c>
      <c r="AA96" s="655" t="str">
        <f t="shared" si="41"/>
        <v/>
      </c>
      <c r="AB96" s="655" t="str">
        <f t="shared" si="43"/>
        <v/>
      </c>
      <c r="AC96" s="655" t="str">
        <f t="shared" si="50"/>
        <v>x</v>
      </c>
      <c r="AD96" s="655" t="str">
        <f>IF(ISBLANK(I96),"x",IF(ISNUMBER(MATCH(I96,'Inputs Mapping'!$AF$5:$AF$199,0)),"","x"))</f>
        <v>x</v>
      </c>
      <c r="AE96" s="655" t="str">
        <f t="shared" si="44"/>
        <v/>
      </c>
      <c r="AF96" s="148"/>
      <c r="AG96" s="148"/>
      <c r="AH96" s="148" t="str">
        <f t="shared" si="45"/>
        <v/>
      </c>
      <c r="AI96" s="654" t="str">
        <f>IF(J96="","",VLOOKUP(J96,'Inputs Mapping'!$T$27:$V$31,3))</f>
        <v/>
      </c>
      <c r="AJ96" s="654" t="str">
        <f>IF(J96="","",VLOOKUP(J96,'Inputs Mapping'!$T$17:$V$24,3))</f>
        <v/>
      </c>
      <c r="AK96" s="654" t="str">
        <f t="shared" si="46"/>
        <v/>
      </c>
      <c r="AL96" s="655" t="str">
        <f t="shared" si="42"/>
        <v/>
      </c>
      <c r="AM96" s="655" t="str">
        <f>IF(F96="","",IF(AE96="Dubai",HLOOKUP(F96,Inputs!$C$26:$M$36,5,0),HLOOKUP(F96,Inputs!$C$45:$M$49,5,0)))</f>
        <v/>
      </c>
      <c r="AN96" s="655">
        <f t="shared" si="47"/>
        <v>0</v>
      </c>
      <c r="AO96" s="654" t="str">
        <f>IF(AJ96="","",IF(AN96="Dubai",VLOOKUP(AJ96,'Inputs Mapping'!$V$17:$W$24,2,0),VLOOKUP(AI96,'Inputs Mapping'!$V$27:$W$31,2,0)))</f>
        <v/>
      </c>
      <c r="AP96" s="666">
        <f>IFERROR(IF($AN96="","",HLOOKUP($AN96&amp;RIGHT($AL96,1),'input for formula'!$B$16:$I$20,3,0)),0)</f>
        <v>0</v>
      </c>
      <c r="AQ96" s="656">
        <f>IFERROR(IF($AN96="","",HLOOKUP($AN96&amp;$F96,'input for formula'!$B$22:$M$25,2,0)),0)</f>
        <v>0</v>
      </c>
      <c r="AR96" s="666">
        <f>IFERROR(IF($AN96="","",HLOOKUP($AN96&amp;RIGHT($AL96,1),'input for formula'!$B$16:$I$20,4,0)),0)</f>
        <v>0</v>
      </c>
      <c r="AS96" s="656">
        <f>IFERROR(IF($AN96="","",HLOOKUP($AN96&amp;$F96,'input for formula'!$B$22:$M$25,3,0)),0)</f>
        <v>0</v>
      </c>
      <c r="AT96" s="656">
        <f>IFERROR(IF($AN96="","",HLOOKUP($AN96&amp;RIGHT($AL96,1),'input for formula'!$B$16:$I$20,5,0)),0)</f>
        <v>0</v>
      </c>
      <c r="AU96" s="656">
        <f>IFERROR(IF($AN96="","",HLOOKUP($AN96&amp;$F96,'input for formula'!$B$22:$M$25,4,0)),0)</f>
        <v>0</v>
      </c>
      <c r="AV96" s="666">
        <f>IFERROR(IF($AN96="","",IF('Census Data'!$AN96="Abu Dhabi",VLOOKUP('Census Data'!$AM96,'input for formula'!$A$28:$C$41,3,0),VLOOKUP('Census Data'!$AM96,'input for formula'!$A$28:$C$47,2,0))),0)*IFERROR(1+IF(AN96="Dubai",VLOOKUP(F96,'Quotation for Dubai Plans'!$V$6:$X$12,3,FALSE),VLOOKUP(F96,'Quotation for Abu Dhabi Plans'!$W$6:$Y$12,3,FALSE)),0)</f>
        <v>0</v>
      </c>
      <c r="AW96" s="656" t="str">
        <f t="shared" si="23"/>
        <v/>
      </c>
      <c r="AX96" s="667" t="str">
        <f>IFERROR(IF(AL96="","",IF(AN96="Dubai",HLOOKUP((AL96&amp;AM96),Deviation!$B$7:$S$8,2,0)*BF96*BH96*BI96*BG96,HLOOKUP((AL96&amp;AM96),Deviation!$B$9:$O$10,2,0)*BF96*BH96*BI96*BG96)),0)</f>
        <v/>
      </c>
      <c r="AY96" s="668" t="str">
        <f>IF(AL96="","",IFERROR(IF(AL96="","",IF(AN96="Dubai",HLOOKUP(AZ96,'input for formula'!$B$3:$F$10,AO96,FALSE), IF(AND(H96="Employee",AN96="Abu Dhabi"),HLOOKUP(AZ96,'input for formula'!$I$3:$K$7,AO96,FALSE),HLOOKUP(AZ96,'input for formula'!$M$3:$O$7,AO96,FALSE)))*AX96+AP96*AQ96+AR96*AS96+AT96*AU96),0)*$AZ$3*BK96*BJ96*IF(AND(Inputs!$C$19&gt;19,Inputs!$C$19&lt;30),(1+$AZ$2),1)*(1+$AZ$1))</f>
        <v/>
      </c>
      <c r="AZ96" s="148" t="str">
        <f t="shared" si="48"/>
        <v/>
      </c>
      <c r="BA96" s="669" t="str">
        <f>IF(F96="","",IF(AE96="Dubai",HLOOKUP(F96,Inputs!$C$26:$M$37,9,0),HLOOKUP(F96,Inputs!$C$45:$M$56,9,0)))</f>
        <v/>
      </c>
      <c r="BB96" s="670" t="str">
        <f>IF(F96="","",IF(AE96="Dubai",HLOOKUP(F96,Inputs!$C$26:$M$37,10,0),HLOOKUP(F96,Inputs!$C$45:$M$56,10,0)))</f>
        <v/>
      </c>
      <c r="BC96" s="670" t="str">
        <f>IF(F96="","",IF(AE96="Dubai",HLOOKUP(F96,Inputs!$C$26:$M$37,11,0),HLOOKUP(F96,Inputs!$C$45:$M$56,11,0)))</f>
        <v/>
      </c>
      <c r="BD96" s="669" t="str">
        <f>IF(F96="","",IF(AE96="Dubai",HLOOKUP(F96,Inputs!$C$26:$M$37,12,0),HLOOKUP(F96,Inputs!$C$45:$M$56,12,0)))</f>
        <v/>
      </c>
      <c r="BE96" s="654"/>
      <c r="BF96" s="669" t="str">
        <f>IFERROR(IF(AL96="","",IF(AN96="Dubai",IF(OR(AL96="Plan1",AL96="Plan2"),VLOOKUP(BA96,Deviation!$B$31:$D$33,2,FALSE),VLOOKUP(BA96,Deviation!$B$31:$D$33,3,FALSE)),IF(OR(AL96="Plan1",AL96="Plan2"),VLOOKUP(BA96,Deviation!$E$31:$AE$33,2,FALSE),VLOOKUP(BA96,Deviation!$E$31:$AE$33,3,FALSE)))),0)</f>
        <v/>
      </c>
      <c r="BG96" s="671" t="str">
        <f>IFERROR(IF(AL96="","",IF(AN96="Dubai",IF(AL96="Plan1",VLOOKUP(BB96,Deviation!$B$39:$C$40,2,FALSE),IF(AL96="Plan2",VLOOKUP(BB96,Deviation!$B$42:$C$43,2,FALSE),IF(AL96="Plan5",VLOOKUP(BB96,Deviation!$B$48:$C$49,2,FALSE),VLOOKUP(BB96,Deviation!$B$45:$C$46,2,FALSE)))),IF(AL96="Plan1",VLOOKUP(BB96,Deviation!$E$39:$F$40,2,FALSE),IF(AL96="Plan2",VLOOKUP(BB96,Deviation!$E$42:$F$43,2,FALSE),VLOOKUP(BB96,Deviation!$E$45:$F$46,2,FALSE))))),0)</f>
        <v/>
      </c>
      <c r="BH96" s="671" t="str">
        <f>IFERROR(IF(AL96="","",IF(AN96="Dubai",IF(OR(AL96="Plan1",AL96="Plan2"),VLOOKUP(BC96,Deviation!$B$15:$D$19,2,FALSE),VLOOKUP(BC96,Deviation!$B$15:$D$19,3,FALSE)),IF(OR(AL96="Plan1",AL96="Plan2"),VLOOKUP(BC96,Deviation!$E$15:$AE$19,2,FALSE),VLOOKUP(BC96,Deviation!$E$15:$AE$19,3,FALSE)))),0)</f>
        <v/>
      </c>
      <c r="BI96" s="669" t="str">
        <f>IFERROR(IF(AL96="","",IF(AN96="Dubai",VLOOKUP(BD96,Deviation!$B$24:$C$26,2,FALSE),100%)),0)</f>
        <v/>
      </c>
      <c r="BJ96" s="672">
        <f>IF(AE96="Abu Dhabi",1,IFERROR(VLOOKUP(AM96,Deviation!$B$67:$E$79,MATCH('Census Data'!AA96,Deviation!$B$66:$E$66,0),0),1))</f>
        <v>1</v>
      </c>
      <c r="BK96" s="659">
        <f>IFERROR(VLOOKUP(I96,Deviation!$B$54:$C$62,2,0),1)</f>
        <v>1</v>
      </c>
      <c r="BL96" s="148"/>
      <c r="BM96" s="148"/>
      <c r="BN96" s="148"/>
      <c r="BO96" s="148"/>
      <c r="BP96" s="148"/>
      <c r="BQ96" s="148"/>
      <c r="BR96" s="148"/>
      <c r="BS96" s="148"/>
      <c r="BT96" s="148" t="e">
        <f t="shared" si="49"/>
        <v>#VALUE!</v>
      </c>
      <c r="BU96" t="str">
        <f>IF(AL96="","",IFERROR(IF(AL96="","",IF(AN96="Dubai",HLOOKUP(AZ96,'input for formula'!$B$3:$F$10,AO96,FALSE), IF(AND(H96="Employee",AN96="Abu Dhabi"),HLOOKUP(AZ96,'input for formula'!$I$3:$K$7,AO96,FALSE),HLOOKUP(AZ96,'input for formula'!$M$3:$O$7,AO96,FALSE)))*AX96+AP96*AQ96+AR96*AS96+AT96*AU96),0)*$AZ$3*BK96*BJ96*IF(AND(Inputs!$C$19&gt;19,Inputs!$C$19&lt;30),(1+$AZ$2),1))</f>
        <v/>
      </c>
    </row>
    <row r="97" spans="1:73" ht="15" x14ac:dyDescent="0.25">
      <c r="A97" s="59">
        <v>92</v>
      </c>
      <c r="B97" s="470"/>
      <c r="C97" s="628"/>
      <c r="D97" s="629"/>
      <c r="E97" s="471"/>
      <c r="F97" s="298"/>
      <c r="G97" s="298"/>
      <c r="H97" s="298"/>
      <c r="I97" s="298"/>
      <c r="J97" s="80" t="str">
        <f>IFERROR(IF(C97="","",DATEDIF('Census Data'!C97,eff_date,"y")),"")</f>
        <v/>
      </c>
      <c r="K97" s="59" t="str">
        <f>IF(F97="","",IF(AE97="Dubai",HLOOKUP(F97,Inputs!$C$26:$M$28,3,0),HLOOKUP(F97,Inputs!$C$45:$M$46,2,0)))</f>
        <v/>
      </c>
      <c r="L97" s="104"/>
      <c r="M97" s="105">
        <f t="shared" si="32"/>
        <v>0</v>
      </c>
      <c r="N97" s="654" t="b">
        <f t="shared" si="33"/>
        <v>0</v>
      </c>
      <c r="O97" s="655" t="str">
        <f t="shared" si="34"/>
        <v>x</v>
      </c>
      <c r="P97" s="655" t="str">
        <f t="shared" si="35"/>
        <v>x</v>
      </c>
      <c r="Q97" s="655" t="str">
        <f t="shared" si="36"/>
        <v>x</v>
      </c>
      <c r="R97" s="655" t="str">
        <f t="shared" si="51"/>
        <v>x</v>
      </c>
      <c r="S97" s="655" t="str">
        <f t="shared" si="37"/>
        <v>x</v>
      </c>
      <c r="T97" s="655" t="str">
        <f>IF(ISERROR(MATCH(G97,'Inputs Mapping'!$T$4:$T$10,0)),"x","")</f>
        <v>x</v>
      </c>
      <c r="U97" s="655" t="str">
        <f>IF(ISERROR(MATCH(AA97,'Inputs Mapping'!$U$4:$U$5,0)),"x","")</f>
        <v>x</v>
      </c>
      <c r="V97" s="655" t="str">
        <f>IF(ISERROR(MATCH(AB97,'Inputs Mapping'!$V$4:$V$5,0)),"x","")</f>
        <v>x</v>
      </c>
      <c r="W97" s="655" t="str">
        <f>IF(ISERROR(MATCH(F97,'Inputs Mapping'!$W$4:$W$8,0)),"x","")</f>
        <v>x</v>
      </c>
      <c r="X97" s="655" t="str">
        <f t="shared" si="38"/>
        <v/>
      </c>
      <c r="Y97" s="655" t="str">
        <f t="shared" si="39"/>
        <v/>
      </c>
      <c r="Z97" s="655" t="str">
        <f t="shared" si="40"/>
        <v/>
      </c>
      <c r="AA97" s="655" t="str">
        <f t="shared" si="41"/>
        <v/>
      </c>
      <c r="AB97" s="655" t="str">
        <f t="shared" si="43"/>
        <v/>
      </c>
      <c r="AC97" s="655" t="str">
        <f t="shared" si="50"/>
        <v>x</v>
      </c>
      <c r="AD97" s="655" t="str">
        <f>IF(ISBLANK(I97),"x",IF(ISNUMBER(MATCH(I97,'Inputs Mapping'!$AF$5:$AF$199,0)),"","x"))</f>
        <v>x</v>
      </c>
      <c r="AE97" s="655" t="str">
        <f t="shared" si="44"/>
        <v/>
      </c>
      <c r="AF97" s="148"/>
      <c r="AG97" s="148"/>
      <c r="AH97" s="148" t="str">
        <f t="shared" si="45"/>
        <v/>
      </c>
      <c r="AI97" s="654" t="str">
        <f>IF(J97="","",VLOOKUP(J97,'Inputs Mapping'!$T$27:$V$31,3))</f>
        <v/>
      </c>
      <c r="AJ97" s="654" t="str">
        <f>IF(J97="","",VLOOKUP(J97,'Inputs Mapping'!$T$17:$V$24,3))</f>
        <v/>
      </c>
      <c r="AK97" s="654" t="str">
        <f t="shared" si="46"/>
        <v/>
      </c>
      <c r="AL97" s="655" t="str">
        <f t="shared" si="42"/>
        <v/>
      </c>
      <c r="AM97" s="655" t="str">
        <f>IF(F97="","",IF(AE97="Dubai",HLOOKUP(F97,Inputs!$C$26:$M$36,5,0),HLOOKUP(F97,Inputs!$C$45:$M$49,5,0)))</f>
        <v/>
      </c>
      <c r="AN97" s="655">
        <f t="shared" si="47"/>
        <v>0</v>
      </c>
      <c r="AO97" s="654" t="str">
        <f>IF(AJ97="","",IF(AN97="Dubai",VLOOKUP(AJ97,'Inputs Mapping'!$V$17:$W$24,2,0),VLOOKUP(AI97,'Inputs Mapping'!$V$27:$W$31,2,0)))</f>
        <v/>
      </c>
      <c r="AP97" s="666">
        <f>IFERROR(IF($AN97="","",HLOOKUP($AN97&amp;RIGHT($AL97,1),'input for formula'!$B$16:$I$20,3,0)),0)</f>
        <v>0</v>
      </c>
      <c r="AQ97" s="656">
        <f>IFERROR(IF($AN97="","",HLOOKUP($AN97&amp;$F97,'input for formula'!$B$22:$M$25,2,0)),0)</f>
        <v>0</v>
      </c>
      <c r="AR97" s="666">
        <f>IFERROR(IF($AN97="","",HLOOKUP($AN97&amp;RIGHT($AL97,1),'input for formula'!$B$16:$I$20,4,0)),0)</f>
        <v>0</v>
      </c>
      <c r="AS97" s="656">
        <f>IFERROR(IF($AN97="","",HLOOKUP($AN97&amp;$F97,'input for formula'!$B$22:$M$25,3,0)),0)</f>
        <v>0</v>
      </c>
      <c r="AT97" s="656">
        <f>IFERROR(IF($AN97="","",HLOOKUP($AN97&amp;RIGHT($AL97,1),'input for formula'!$B$16:$I$20,5,0)),0)</f>
        <v>0</v>
      </c>
      <c r="AU97" s="656">
        <f>IFERROR(IF($AN97="","",HLOOKUP($AN97&amp;$F97,'input for formula'!$B$22:$M$25,4,0)),0)</f>
        <v>0</v>
      </c>
      <c r="AV97" s="666">
        <f>IFERROR(IF($AN97="","",IF('Census Data'!$AN97="Abu Dhabi",VLOOKUP('Census Data'!$AM97,'input for formula'!$A$28:$C$41,3,0),VLOOKUP('Census Data'!$AM97,'input for formula'!$A$28:$C$47,2,0))),0)*IFERROR(1+IF(AN97="Dubai",VLOOKUP(F97,'Quotation for Dubai Plans'!$V$6:$X$12,3,FALSE),VLOOKUP(F97,'Quotation for Abu Dhabi Plans'!$W$6:$Y$12,3,FALSE)),0)</f>
        <v>0</v>
      </c>
      <c r="AW97" s="656" t="str">
        <f t="shared" si="23"/>
        <v/>
      </c>
      <c r="AX97" s="667" t="str">
        <f>IFERROR(IF(AL97="","",IF(AN97="Dubai",HLOOKUP((AL97&amp;AM97),Deviation!$B$7:$S$8,2,0)*BF97*BH97*BI97*BG97,HLOOKUP((AL97&amp;AM97),Deviation!$B$9:$O$10,2,0)*BF97*BH97*BI97*BG97)),0)</f>
        <v/>
      </c>
      <c r="AY97" s="668" t="str">
        <f>IF(AL97="","",IFERROR(IF(AL97="","",IF(AN97="Dubai",HLOOKUP(AZ97,'input for formula'!$B$3:$F$10,AO97,FALSE), IF(AND(H97="Employee",AN97="Abu Dhabi"),HLOOKUP(AZ97,'input for formula'!$I$3:$K$7,AO97,FALSE),HLOOKUP(AZ97,'input for formula'!$M$3:$O$7,AO97,FALSE)))*AX97+AP97*AQ97+AR97*AS97+AT97*AU97),0)*$AZ$3*BK97*BJ97*IF(AND(Inputs!$C$19&gt;19,Inputs!$C$19&lt;30),(1+$AZ$2),1)*(1+$AZ$1))</f>
        <v/>
      </c>
      <c r="AZ97" s="148" t="str">
        <f t="shared" si="48"/>
        <v/>
      </c>
      <c r="BA97" s="669" t="str">
        <f>IF(F97="","",IF(AE97="Dubai",HLOOKUP(F97,Inputs!$C$26:$M$37,9,0),HLOOKUP(F97,Inputs!$C$45:$M$56,9,0)))</f>
        <v/>
      </c>
      <c r="BB97" s="670" t="str">
        <f>IF(F97="","",IF(AE97="Dubai",HLOOKUP(F97,Inputs!$C$26:$M$37,10,0),HLOOKUP(F97,Inputs!$C$45:$M$56,10,0)))</f>
        <v/>
      </c>
      <c r="BC97" s="670" t="str">
        <f>IF(F97="","",IF(AE97="Dubai",HLOOKUP(F97,Inputs!$C$26:$M$37,11,0),HLOOKUP(F97,Inputs!$C$45:$M$56,11,0)))</f>
        <v/>
      </c>
      <c r="BD97" s="669" t="str">
        <f>IF(F97="","",IF(AE97="Dubai",HLOOKUP(F97,Inputs!$C$26:$M$37,12,0),HLOOKUP(F97,Inputs!$C$45:$M$56,12,0)))</f>
        <v/>
      </c>
      <c r="BE97" s="654"/>
      <c r="BF97" s="669" t="str">
        <f>IFERROR(IF(AL97="","",IF(AN97="Dubai",IF(OR(AL97="Plan1",AL97="Plan2"),VLOOKUP(BA97,Deviation!$B$31:$D$33,2,FALSE),VLOOKUP(BA97,Deviation!$B$31:$D$33,3,FALSE)),IF(OR(AL97="Plan1",AL97="Plan2"),VLOOKUP(BA97,Deviation!$E$31:$AE$33,2,FALSE),VLOOKUP(BA97,Deviation!$E$31:$AE$33,3,FALSE)))),0)</f>
        <v/>
      </c>
      <c r="BG97" s="671" t="str">
        <f>IFERROR(IF(AL97="","",IF(AN97="Dubai",IF(AL97="Plan1",VLOOKUP(BB97,Deviation!$B$39:$C$40,2,FALSE),IF(AL97="Plan2",VLOOKUP(BB97,Deviation!$B$42:$C$43,2,FALSE),IF(AL97="Plan5",VLOOKUP(BB97,Deviation!$B$48:$C$49,2,FALSE),VLOOKUP(BB97,Deviation!$B$45:$C$46,2,FALSE)))),IF(AL97="Plan1",VLOOKUP(BB97,Deviation!$E$39:$F$40,2,FALSE),IF(AL97="Plan2",VLOOKUP(BB97,Deviation!$E$42:$F$43,2,FALSE),VLOOKUP(BB97,Deviation!$E$45:$F$46,2,FALSE))))),0)</f>
        <v/>
      </c>
      <c r="BH97" s="671" t="str">
        <f>IFERROR(IF(AL97="","",IF(AN97="Dubai",IF(OR(AL97="Plan1",AL97="Plan2"),VLOOKUP(BC97,Deviation!$B$15:$D$19,2,FALSE),VLOOKUP(BC97,Deviation!$B$15:$D$19,3,FALSE)),IF(OR(AL97="Plan1",AL97="Plan2"),VLOOKUP(BC97,Deviation!$E$15:$AE$19,2,FALSE),VLOOKUP(BC97,Deviation!$E$15:$AE$19,3,FALSE)))),0)</f>
        <v/>
      </c>
      <c r="BI97" s="669" t="str">
        <f>IFERROR(IF(AL97="","",IF(AN97="Dubai",VLOOKUP(BD97,Deviation!$B$24:$C$26,2,FALSE),100%)),0)</f>
        <v/>
      </c>
      <c r="BJ97" s="672">
        <f>IF(AE97="Abu Dhabi",1,IFERROR(VLOOKUP(AM97,Deviation!$B$67:$E$79,MATCH('Census Data'!AA97,Deviation!$B$66:$E$66,0),0),1))</f>
        <v>1</v>
      </c>
      <c r="BK97" s="659">
        <f>IFERROR(VLOOKUP(I97,Deviation!$B$54:$C$62,2,0),1)</f>
        <v>1</v>
      </c>
      <c r="BL97" s="148"/>
      <c r="BM97" s="148"/>
      <c r="BN97" s="148"/>
      <c r="BO97" s="148"/>
      <c r="BP97" s="148"/>
      <c r="BQ97" s="148"/>
      <c r="BR97" s="148"/>
      <c r="BS97" s="148"/>
      <c r="BT97" s="148" t="e">
        <f t="shared" si="49"/>
        <v>#VALUE!</v>
      </c>
      <c r="BU97" t="str">
        <f>IF(AL97="","",IFERROR(IF(AL97="","",IF(AN97="Dubai",HLOOKUP(AZ97,'input for formula'!$B$3:$F$10,AO97,FALSE), IF(AND(H97="Employee",AN97="Abu Dhabi"),HLOOKUP(AZ97,'input for formula'!$I$3:$K$7,AO97,FALSE),HLOOKUP(AZ97,'input for formula'!$M$3:$O$7,AO97,FALSE)))*AX97+AP97*AQ97+AR97*AS97+AT97*AU97),0)*$AZ$3*BK97*BJ97*IF(AND(Inputs!$C$19&gt;19,Inputs!$C$19&lt;30),(1+$AZ$2),1))</f>
        <v/>
      </c>
    </row>
    <row r="98" spans="1:73" ht="15" x14ac:dyDescent="0.25">
      <c r="A98" s="59">
        <v>93</v>
      </c>
      <c r="B98" s="470"/>
      <c r="C98" s="628"/>
      <c r="D98" s="629"/>
      <c r="E98" s="471"/>
      <c r="F98" s="298"/>
      <c r="G98" s="298"/>
      <c r="H98" s="298"/>
      <c r="I98" s="298"/>
      <c r="J98" s="80" t="str">
        <f>IFERROR(IF(C98="","",DATEDIF('Census Data'!C98,eff_date,"y")),"")</f>
        <v/>
      </c>
      <c r="K98" s="59" t="str">
        <f>IF(F98="","",IF(AE98="Dubai",HLOOKUP(F98,Inputs!$C$26:$M$28,3,0),HLOOKUP(F98,Inputs!$C$45:$M$46,2,0)))</f>
        <v/>
      </c>
      <c r="L98" s="104"/>
      <c r="M98" s="105">
        <f t="shared" si="32"/>
        <v>0</v>
      </c>
      <c r="N98" s="654" t="b">
        <f t="shared" si="33"/>
        <v>0</v>
      </c>
      <c r="O98" s="655" t="str">
        <f t="shared" si="34"/>
        <v>x</v>
      </c>
      <c r="P98" s="655" t="str">
        <f t="shared" si="35"/>
        <v>x</v>
      </c>
      <c r="Q98" s="655" t="str">
        <f t="shared" si="36"/>
        <v>x</v>
      </c>
      <c r="R98" s="655" t="str">
        <f t="shared" si="51"/>
        <v>x</v>
      </c>
      <c r="S98" s="655" t="str">
        <f t="shared" si="37"/>
        <v>x</v>
      </c>
      <c r="T98" s="655" t="str">
        <f>IF(ISERROR(MATCH(G98,'Inputs Mapping'!$T$4:$T$10,0)),"x","")</f>
        <v>x</v>
      </c>
      <c r="U98" s="655" t="str">
        <f>IF(ISERROR(MATCH(AA98,'Inputs Mapping'!$U$4:$U$5,0)),"x","")</f>
        <v>x</v>
      </c>
      <c r="V98" s="655" t="str">
        <f>IF(ISERROR(MATCH(AB98,'Inputs Mapping'!$V$4:$V$5,0)),"x","")</f>
        <v>x</v>
      </c>
      <c r="W98" s="655" t="str">
        <f>IF(ISERROR(MATCH(F98,'Inputs Mapping'!$W$4:$W$8,0)),"x","")</f>
        <v>x</v>
      </c>
      <c r="X98" s="655" t="str">
        <f t="shared" si="38"/>
        <v/>
      </c>
      <c r="Y98" s="655" t="str">
        <f t="shared" si="39"/>
        <v/>
      </c>
      <c r="Z98" s="655" t="str">
        <f t="shared" si="40"/>
        <v/>
      </c>
      <c r="AA98" s="655" t="str">
        <f t="shared" si="41"/>
        <v/>
      </c>
      <c r="AB98" s="655" t="str">
        <f t="shared" si="43"/>
        <v/>
      </c>
      <c r="AC98" s="655" t="str">
        <f t="shared" si="50"/>
        <v>x</v>
      </c>
      <c r="AD98" s="655" t="str">
        <f>IF(ISBLANK(I98),"x",IF(ISNUMBER(MATCH(I98,'Inputs Mapping'!$AF$5:$AF$199,0)),"","x"))</f>
        <v>x</v>
      </c>
      <c r="AE98" s="655" t="str">
        <f t="shared" si="44"/>
        <v/>
      </c>
      <c r="AF98" s="148"/>
      <c r="AG98" s="148"/>
      <c r="AH98" s="148" t="str">
        <f t="shared" si="45"/>
        <v/>
      </c>
      <c r="AI98" s="654" t="str">
        <f>IF(J98="","",VLOOKUP(J98,'Inputs Mapping'!$T$27:$V$31,3))</f>
        <v/>
      </c>
      <c r="AJ98" s="654" t="str">
        <f>IF(J98="","",VLOOKUP(J98,'Inputs Mapping'!$T$17:$V$24,3))</f>
        <v/>
      </c>
      <c r="AK98" s="654" t="str">
        <f t="shared" si="46"/>
        <v/>
      </c>
      <c r="AL98" s="655" t="str">
        <f t="shared" si="42"/>
        <v/>
      </c>
      <c r="AM98" s="655" t="str">
        <f>IF(F98="","",IF(AE98="Dubai",HLOOKUP(F98,Inputs!$C$26:$M$36,5,0),HLOOKUP(F98,Inputs!$C$45:$M$49,5,0)))</f>
        <v/>
      </c>
      <c r="AN98" s="655">
        <f t="shared" si="47"/>
        <v>0</v>
      </c>
      <c r="AO98" s="654" t="str">
        <f>IF(AJ98="","",IF(AN98="Dubai",VLOOKUP(AJ98,'Inputs Mapping'!$V$17:$W$24,2,0),VLOOKUP(AI98,'Inputs Mapping'!$V$27:$W$31,2,0)))</f>
        <v/>
      </c>
      <c r="AP98" s="666">
        <f>IFERROR(IF($AN98="","",HLOOKUP($AN98&amp;RIGHT($AL98,1),'input for formula'!$B$16:$I$20,3,0)),0)</f>
        <v>0</v>
      </c>
      <c r="AQ98" s="656">
        <f>IFERROR(IF($AN98="","",HLOOKUP($AN98&amp;$F98,'input for formula'!$B$22:$M$25,2,0)),0)</f>
        <v>0</v>
      </c>
      <c r="AR98" s="666">
        <f>IFERROR(IF($AN98="","",HLOOKUP($AN98&amp;RIGHT($AL98,1),'input for formula'!$B$16:$I$20,4,0)),0)</f>
        <v>0</v>
      </c>
      <c r="AS98" s="656">
        <f>IFERROR(IF($AN98="","",HLOOKUP($AN98&amp;$F98,'input for formula'!$B$22:$M$25,3,0)),0)</f>
        <v>0</v>
      </c>
      <c r="AT98" s="656">
        <f>IFERROR(IF($AN98="","",HLOOKUP($AN98&amp;RIGHT($AL98,1),'input for formula'!$B$16:$I$20,5,0)),0)</f>
        <v>0</v>
      </c>
      <c r="AU98" s="656">
        <f>IFERROR(IF($AN98="","",HLOOKUP($AN98&amp;$F98,'input for formula'!$B$22:$M$25,4,0)),0)</f>
        <v>0</v>
      </c>
      <c r="AV98" s="666">
        <f>IFERROR(IF($AN98="","",IF('Census Data'!$AN98="Abu Dhabi",VLOOKUP('Census Data'!$AM98,'input for formula'!$A$28:$C$41,3,0),VLOOKUP('Census Data'!$AM98,'input for formula'!$A$28:$C$47,2,0))),0)*IFERROR(1+IF(AN98="Dubai",VLOOKUP(F98,'Quotation for Dubai Plans'!$V$6:$X$12,3,FALSE),VLOOKUP(F98,'Quotation for Abu Dhabi Plans'!$W$6:$Y$12,3,FALSE)),0)</f>
        <v>0</v>
      </c>
      <c r="AW98" s="656" t="str">
        <f t="shared" si="23"/>
        <v/>
      </c>
      <c r="AX98" s="667" t="str">
        <f>IFERROR(IF(AL98="","",IF(AN98="Dubai",HLOOKUP((AL98&amp;AM98),Deviation!$B$7:$S$8,2,0)*BF98*BH98*BI98*BG98,HLOOKUP((AL98&amp;AM98),Deviation!$B$9:$O$10,2,0)*BF98*BH98*BI98*BG98)),0)</f>
        <v/>
      </c>
      <c r="AY98" s="668" t="str">
        <f>IF(AL98="","",IFERROR(IF(AL98="","",IF(AN98="Dubai",HLOOKUP(AZ98,'input for formula'!$B$3:$F$10,AO98,FALSE), IF(AND(H98="Employee",AN98="Abu Dhabi"),HLOOKUP(AZ98,'input for formula'!$I$3:$K$7,AO98,FALSE),HLOOKUP(AZ98,'input for formula'!$M$3:$O$7,AO98,FALSE)))*AX98+AP98*AQ98+AR98*AS98+AT98*AU98),0)*$AZ$3*BK98*BJ98*IF(AND(Inputs!$C$19&gt;19,Inputs!$C$19&lt;30),(1+$AZ$2),1)*(1+$AZ$1))</f>
        <v/>
      </c>
      <c r="AZ98" s="148" t="str">
        <f t="shared" si="48"/>
        <v/>
      </c>
      <c r="BA98" s="669" t="str">
        <f>IF(F98="","",IF(AE98="Dubai",HLOOKUP(F98,Inputs!$C$26:$M$37,9,0),HLOOKUP(F98,Inputs!$C$45:$M$56,9,0)))</f>
        <v/>
      </c>
      <c r="BB98" s="670" t="str">
        <f>IF(F98="","",IF(AE98="Dubai",HLOOKUP(F98,Inputs!$C$26:$M$37,10,0),HLOOKUP(F98,Inputs!$C$45:$M$56,10,0)))</f>
        <v/>
      </c>
      <c r="BC98" s="670" t="str">
        <f>IF(F98="","",IF(AE98="Dubai",HLOOKUP(F98,Inputs!$C$26:$M$37,11,0),HLOOKUP(F98,Inputs!$C$45:$M$56,11,0)))</f>
        <v/>
      </c>
      <c r="BD98" s="669" t="str">
        <f>IF(F98="","",IF(AE98="Dubai",HLOOKUP(F98,Inputs!$C$26:$M$37,12,0),HLOOKUP(F98,Inputs!$C$45:$M$56,12,0)))</f>
        <v/>
      </c>
      <c r="BE98" s="654"/>
      <c r="BF98" s="669" t="str">
        <f>IFERROR(IF(AL98="","",IF(AN98="Dubai",IF(OR(AL98="Plan1",AL98="Plan2"),VLOOKUP(BA98,Deviation!$B$31:$D$33,2,FALSE),VLOOKUP(BA98,Deviation!$B$31:$D$33,3,FALSE)),IF(OR(AL98="Plan1",AL98="Plan2"),VLOOKUP(BA98,Deviation!$E$31:$AE$33,2,FALSE),VLOOKUP(BA98,Deviation!$E$31:$AE$33,3,FALSE)))),0)</f>
        <v/>
      </c>
      <c r="BG98" s="671" t="str">
        <f>IFERROR(IF(AL98="","",IF(AN98="Dubai",IF(AL98="Plan1",VLOOKUP(BB98,Deviation!$B$39:$C$40,2,FALSE),IF(AL98="Plan2",VLOOKUP(BB98,Deviation!$B$42:$C$43,2,FALSE),IF(AL98="Plan5",VLOOKUP(BB98,Deviation!$B$48:$C$49,2,FALSE),VLOOKUP(BB98,Deviation!$B$45:$C$46,2,FALSE)))),IF(AL98="Plan1",VLOOKUP(BB98,Deviation!$E$39:$F$40,2,FALSE),IF(AL98="Plan2",VLOOKUP(BB98,Deviation!$E$42:$F$43,2,FALSE),VLOOKUP(BB98,Deviation!$E$45:$F$46,2,FALSE))))),0)</f>
        <v/>
      </c>
      <c r="BH98" s="671" t="str">
        <f>IFERROR(IF(AL98="","",IF(AN98="Dubai",IF(OR(AL98="Plan1",AL98="Plan2"),VLOOKUP(BC98,Deviation!$B$15:$D$19,2,FALSE),VLOOKUP(BC98,Deviation!$B$15:$D$19,3,FALSE)),IF(OR(AL98="Plan1",AL98="Plan2"),VLOOKUP(BC98,Deviation!$E$15:$AE$19,2,FALSE),VLOOKUP(BC98,Deviation!$E$15:$AE$19,3,FALSE)))),0)</f>
        <v/>
      </c>
      <c r="BI98" s="669" t="str">
        <f>IFERROR(IF(AL98="","",IF(AN98="Dubai",VLOOKUP(BD98,Deviation!$B$24:$C$26,2,FALSE),100%)),0)</f>
        <v/>
      </c>
      <c r="BJ98" s="672">
        <f>IF(AE98="Abu Dhabi",1,IFERROR(VLOOKUP(AM98,Deviation!$B$67:$E$79,MATCH('Census Data'!AA98,Deviation!$B$66:$E$66,0),0),1))</f>
        <v>1</v>
      </c>
      <c r="BK98" s="659">
        <f>IFERROR(VLOOKUP(I98,Deviation!$B$54:$C$62,2,0),1)</f>
        <v>1</v>
      </c>
      <c r="BL98" s="148"/>
      <c r="BM98" s="148"/>
      <c r="BN98" s="148"/>
      <c r="BO98" s="148"/>
      <c r="BP98" s="148"/>
      <c r="BQ98" s="148"/>
      <c r="BR98" s="148"/>
      <c r="BS98" s="148"/>
      <c r="BT98" s="148" t="e">
        <f t="shared" si="49"/>
        <v>#VALUE!</v>
      </c>
      <c r="BU98" t="str">
        <f>IF(AL98="","",IFERROR(IF(AL98="","",IF(AN98="Dubai",HLOOKUP(AZ98,'input for formula'!$B$3:$F$10,AO98,FALSE), IF(AND(H98="Employee",AN98="Abu Dhabi"),HLOOKUP(AZ98,'input for formula'!$I$3:$K$7,AO98,FALSE),HLOOKUP(AZ98,'input for formula'!$M$3:$O$7,AO98,FALSE)))*AX98+AP98*AQ98+AR98*AS98+AT98*AU98),0)*$AZ$3*BK98*BJ98*IF(AND(Inputs!$C$19&gt;19,Inputs!$C$19&lt;30),(1+$AZ$2),1))</f>
        <v/>
      </c>
    </row>
    <row r="99" spans="1:73" ht="15" x14ac:dyDescent="0.25">
      <c r="A99" s="59">
        <v>94</v>
      </c>
      <c r="B99" s="470"/>
      <c r="C99" s="628"/>
      <c r="D99" s="629"/>
      <c r="E99" s="471"/>
      <c r="F99" s="298"/>
      <c r="G99" s="298"/>
      <c r="H99" s="298"/>
      <c r="I99" s="298"/>
      <c r="J99" s="80" t="str">
        <f>IFERROR(IF(C99="","",DATEDIF('Census Data'!C99,eff_date,"y")),"")</f>
        <v/>
      </c>
      <c r="K99" s="59" t="str">
        <f>IF(F99="","",IF(AE99="Dubai",HLOOKUP(F99,Inputs!$C$26:$M$28,3,0),HLOOKUP(F99,Inputs!$C$45:$M$46,2,0)))</f>
        <v/>
      </c>
      <c r="L99" s="104"/>
      <c r="M99" s="105">
        <f t="shared" si="32"/>
        <v>0</v>
      </c>
      <c r="N99" s="654" t="b">
        <f t="shared" si="33"/>
        <v>0</v>
      </c>
      <c r="O99" s="655" t="str">
        <f t="shared" si="34"/>
        <v>x</v>
      </c>
      <c r="P99" s="655" t="str">
        <f t="shared" si="35"/>
        <v>x</v>
      </c>
      <c r="Q99" s="655" t="str">
        <f t="shared" si="36"/>
        <v>x</v>
      </c>
      <c r="R99" s="655" t="str">
        <f t="shared" si="51"/>
        <v>x</v>
      </c>
      <c r="S99" s="655" t="str">
        <f t="shared" si="37"/>
        <v>x</v>
      </c>
      <c r="T99" s="655" t="str">
        <f>IF(ISERROR(MATCH(G99,'Inputs Mapping'!$T$4:$T$10,0)),"x","")</f>
        <v>x</v>
      </c>
      <c r="U99" s="655" t="str">
        <f>IF(ISERROR(MATCH(AA99,'Inputs Mapping'!$U$4:$U$5,0)),"x","")</f>
        <v>x</v>
      </c>
      <c r="V99" s="655" t="str">
        <f>IF(ISERROR(MATCH(AB99,'Inputs Mapping'!$V$4:$V$5,0)),"x","")</f>
        <v>x</v>
      </c>
      <c r="W99" s="655" t="str">
        <f>IF(ISERROR(MATCH(F99,'Inputs Mapping'!$W$4:$W$8,0)),"x","")</f>
        <v>x</v>
      </c>
      <c r="X99" s="655" t="str">
        <f t="shared" si="38"/>
        <v/>
      </c>
      <c r="Y99" s="655" t="str">
        <f t="shared" si="39"/>
        <v/>
      </c>
      <c r="Z99" s="655" t="str">
        <f t="shared" si="40"/>
        <v/>
      </c>
      <c r="AA99" s="655" t="str">
        <f t="shared" si="41"/>
        <v/>
      </c>
      <c r="AB99" s="655" t="str">
        <f t="shared" si="43"/>
        <v/>
      </c>
      <c r="AC99" s="655" t="str">
        <f t="shared" si="50"/>
        <v>x</v>
      </c>
      <c r="AD99" s="655" t="str">
        <f>IF(ISBLANK(I99),"x",IF(ISNUMBER(MATCH(I99,'Inputs Mapping'!$AF$5:$AF$199,0)),"","x"))</f>
        <v>x</v>
      </c>
      <c r="AE99" s="655" t="str">
        <f t="shared" si="44"/>
        <v/>
      </c>
      <c r="AF99" s="148"/>
      <c r="AG99" s="148"/>
      <c r="AH99" s="148" t="str">
        <f t="shared" si="45"/>
        <v/>
      </c>
      <c r="AI99" s="654" t="str">
        <f>IF(J99="","",VLOOKUP(J99,'Inputs Mapping'!$T$27:$V$31,3))</f>
        <v/>
      </c>
      <c r="AJ99" s="654" t="str">
        <f>IF(J99="","",VLOOKUP(J99,'Inputs Mapping'!$T$17:$V$24,3))</f>
        <v/>
      </c>
      <c r="AK99" s="654" t="str">
        <f t="shared" si="46"/>
        <v/>
      </c>
      <c r="AL99" s="655" t="str">
        <f t="shared" si="42"/>
        <v/>
      </c>
      <c r="AM99" s="655" t="str">
        <f>IF(F99="","",IF(AE99="Dubai",HLOOKUP(F99,Inputs!$C$26:$M$36,5,0),HLOOKUP(F99,Inputs!$C$45:$M$49,5,0)))</f>
        <v/>
      </c>
      <c r="AN99" s="655">
        <f t="shared" si="47"/>
        <v>0</v>
      </c>
      <c r="AO99" s="654" t="str">
        <f>IF(AJ99="","",IF(AN99="Dubai",VLOOKUP(AJ99,'Inputs Mapping'!$V$17:$W$24,2,0),VLOOKUP(AI99,'Inputs Mapping'!$V$27:$W$31,2,0)))</f>
        <v/>
      </c>
      <c r="AP99" s="666">
        <f>IFERROR(IF($AN99="","",HLOOKUP($AN99&amp;RIGHT($AL99,1),'input for formula'!$B$16:$I$20,3,0)),0)</f>
        <v>0</v>
      </c>
      <c r="AQ99" s="656">
        <f>IFERROR(IF($AN99="","",HLOOKUP($AN99&amp;$F99,'input for formula'!$B$22:$M$25,2,0)),0)</f>
        <v>0</v>
      </c>
      <c r="AR99" s="666">
        <f>IFERROR(IF($AN99="","",HLOOKUP($AN99&amp;RIGHT($AL99,1),'input for formula'!$B$16:$I$20,4,0)),0)</f>
        <v>0</v>
      </c>
      <c r="AS99" s="656">
        <f>IFERROR(IF($AN99="","",HLOOKUP($AN99&amp;$F99,'input for formula'!$B$22:$M$25,3,0)),0)</f>
        <v>0</v>
      </c>
      <c r="AT99" s="656">
        <f>IFERROR(IF($AN99="","",HLOOKUP($AN99&amp;RIGHT($AL99,1),'input for formula'!$B$16:$I$20,5,0)),0)</f>
        <v>0</v>
      </c>
      <c r="AU99" s="656">
        <f>IFERROR(IF($AN99="","",HLOOKUP($AN99&amp;$F99,'input for formula'!$B$22:$M$25,4,0)),0)</f>
        <v>0</v>
      </c>
      <c r="AV99" s="666">
        <f>IFERROR(IF($AN99="","",IF('Census Data'!$AN99="Abu Dhabi",VLOOKUP('Census Data'!$AM99,'input for formula'!$A$28:$C$41,3,0),VLOOKUP('Census Data'!$AM99,'input for formula'!$A$28:$C$47,2,0))),0)*IFERROR(1+IF(AN99="Dubai",VLOOKUP(F99,'Quotation for Dubai Plans'!$V$6:$X$12,3,FALSE),VLOOKUP(F99,'Quotation for Abu Dhabi Plans'!$W$6:$Y$12,3,FALSE)),0)</f>
        <v>0</v>
      </c>
      <c r="AW99" s="656" t="str">
        <f t="shared" si="23"/>
        <v/>
      </c>
      <c r="AX99" s="667" t="str">
        <f>IFERROR(IF(AL99="","",IF(AN99="Dubai",HLOOKUP((AL99&amp;AM99),Deviation!$B$7:$S$8,2,0)*BF99*BH99*BI99*BG99,HLOOKUP((AL99&amp;AM99),Deviation!$B$9:$O$10,2,0)*BF99*BH99*BI99*BG99)),0)</f>
        <v/>
      </c>
      <c r="AY99" s="668" t="str">
        <f>IF(AL99="","",IFERROR(IF(AL99="","",IF(AN99="Dubai",HLOOKUP(AZ99,'input for formula'!$B$3:$F$10,AO99,FALSE), IF(AND(H99="Employee",AN99="Abu Dhabi"),HLOOKUP(AZ99,'input for formula'!$I$3:$K$7,AO99,FALSE),HLOOKUP(AZ99,'input for formula'!$M$3:$O$7,AO99,FALSE)))*AX99+AP99*AQ99+AR99*AS99+AT99*AU99),0)*$AZ$3*BK99*BJ99*IF(AND(Inputs!$C$19&gt;19,Inputs!$C$19&lt;30),(1+$AZ$2),1)*(1+$AZ$1))</f>
        <v/>
      </c>
      <c r="AZ99" s="148" t="str">
        <f t="shared" si="48"/>
        <v/>
      </c>
      <c r="BA99" s="669" t="str">
        <f>IF(F99="","",IF(AE99="Dubai",HLOOKUP(F99,Inputs!$C$26:$M$37,9,0),HLOOKUP(F99,Inputs!$C$45:$M$56,9,0)))</f>
        <v/>
      </c>
      <c r="BB99" s="670" t="str">
        <f>IF(F99="","",IF(AE99="Dubai",HLOOKUP(F99,Inputs!$C$26:$M$37,10,0),HLOOKUP(F99,Inputs!$C$45:$M$56,10,0)))</f>
        <v/>
      </c>
      <c r="BC99" s="670" t="str">
        <f>IF(F99="","",IF(AE99="Dubai",HLOOKUP(F99,Inputs!$C$26:$M$37,11,0),HLOOKUP(F99,Inputs!$C$45:$M$56,11,0)))</f>
        <v/>
      </c>
      <c r="BD99" s="669" t="str">
        <f>IF(F99="","",IF(AE99="Dubai",HLOOKUP(F99,Inputs!$C$26:$M$37,12,0),HLOOKUP(F99,Inputs!$C$45:$M$56,12,0)))</f>
        <v/>
      </c>
      <c r="BE99" s="654"/>
      <c r="BF99" s="669" t="str">
        <f>IFERROR(IF(AL99="","",IF(AN99="Dubai",IF(OR(AL99="Plan1",AL99="Plan2"),VLOOKUP(BA99,Deviation!$B$31:$D$33,2,FALSE),VLOOKUP(BA99,Deviation!$B$31:$D$33,3,FALSE)),IF(OR(AL99="Plan1",AL99="Plan2"),VLOOKUP(BA99,Deviation!$E$31:$AE$33,2,FALSE),VLOOKUP(BA99,Deviation!$E$31:$AE$33,3,FALSE)))),0)</f>
        <v/>
      </c>
      <c r="BG99" s="671" t="str">
        <f>IFERROR(IF(AL99="","",IF(AN99="Dubai",IF(AL99="Plan1",VLOOKUP(BB99,Deviation!$B$39:$C$40,2,FALSE),IF(AL99="Plan2",VLOOKUP(BB99,Deviation!$B$42:$C$43,2,FALSE),IF(AL99="Plan5",VLOOKUP(BB99,Deviation!$B$48:$C$49,2,FALSE),VLOOKUP(BB99,Deviation!$B$45:$C$46,2,FALSE)))),IF(AL99="Plan1",VLOOKUP(BB99,Deviation!$E$39:$F$40,2,FALSE),IF(AL99="Plan2",VLOOKUP(BB99,Deviation!$E$42:$F$43,2,FALSE),VLOOKUP(BB99,Deviation!$E$45:$F$46,2,FALSE))))),0)</f>
        <v/>
      </c>
      <c r="BH99" s="671" t="str">
        <f>IFERROR(IF(AL99="","",IF(AN99="Dubai",IF(OR(AL99="Plan1",AL99="Plan2"),VLOOKUP(BC99,Deviation!$B$15:$D$19,2,FALSE),VLOOKUP(BC99,Deviation!$B$15:$D$19,3,FALSE)),IF(OR(AL99="Plan1",AL99="Plan2"),VLOOKUP(BC99,Deviation!$E$15:$AE$19,2,FALSE),VLOOKUP(BC99,Deviation!$E$15:$AE$19,3,FALSE)))),0)</f>
        <v/>
      </c>
      <c r="BI99" s="669" t="str">
        <f>IFERROR(IF(AL99="","",IF(AN99="Dubai",VLOOKUP(BD99,Deviation!$B$24:$C$26,2,FALSE),100%)),0)</f>
        <v/>
      </c>
      <c r="BJ99" s="672">
        <f>IF(AE99="Abu Dhabi",1,IFERROR(VLOOKUP(AM99,Deviation!$B$67:$E$79,MATCH('Census Data'!AA99,Deviation!$B$66:$E$66,0),0),1))</f>
        <v>1</v>
      </c>
      <c r="BK99" s="659">
        <f>IFERROR(VLOOKUP(I99,Deviation!$B$54:$C$62,2,0),1)</f>
        <v>1</v>
      </c>
      <c r="BL99" s="148"/>
      <c r="BM99" s="148"/>
      <c r="BN99" s="148"/>
      <c r="BO99" s="148"/>
      <c r="BP99" s="148"/>
      <c r="BQ99" s="148"/>
      <c r="BR99" s="148"/>
      <c r="BS99" s="148"/>
      <c r="BT99" s="148" t="e">
        <f t="shared" si="49"/>
        <v>#VALUE!</v>
      </c>
      <c r="BU99" t="str">
        <f>IF(AL99="","",IFERROR(IF(AL99="","",IF(AN99="Dubai",HLOOKUP(AZ99,'input for formula'!$B$3:$F$10,AO99,FALSE), IF(AND(H99="Employee",AN99="Abu Dhabi"),HLOOKUP(AZ99,'input for formula'!$I$3:$K$7,AO99,FALSE),HLOOKUP(AZ99,'input for formula'!$M$3:$O$7,AO99,FALSE)))*AX99+AP99*AQ99+AR99*AS99+AT99*AU99),0)*$AZ$3*BK99*BJ99*IF(AND(Inputs!$C$19&gt;19,Inputs!$C$19&lt;30),(1+$AZ$2),1))</f>
        <v/>
      </c>
    </row>
    <row r="100" spans="1:73" ht="15" x14ac:dyDescent="0.25">
      <c r="A100" s="59">
        <v>95</v>
      </c>
      <c r="B100" s="470"/>
      <c r="C100" s="628"/>
      <c r="D100" s="629"/>
      <c r="E100" s="471"/>
      <c r="F100" s="298"/>
      <c r="G100" s="298"/>
      <c r="H100" s="298"/>
      <c r="I100" s="298"/>
      <c r="J100" s="80" t="str">
        <f>IFERROR(IF(C100="","",DATEDIF('Census Data'!C100,eff_date,"y")),"")</f>
        <v/>
      </c>
      <c r="K100" s="59" t="str">
        <f>IF(F100="","",IF(AE100="Dubai",HLOOKUP(F100,Inputs!$C$26:$M$28,3,0),HLOOKUP(F100,Inputs!$C$45:$M$46,2,0)))</f>
        <v/>
      </c>
      <c r="L100" s="104"/>
      <c r="M100" s="105">
        <f t="shared" si="32"/>
        <v>0</v>
      </c>
      <c r="N100" s="654" t="b">
        <f t="shared" si="33"/>
        <v>0</v>
      </c>
      <c r="O100" s="655" t="str">
        <f t="shared" si="34"/>
        <v>x</v>
      </c>
      <c r="P100" s="655" t="str">
        <f t="shared" si="35"/>
        <v>x</v>
      </c>
      <c r="Q100" s="655" t="str">
        <f t="shared" si="36"/>
        <v>x</v>
      </c>
      <c r="R100" s="655" t="str">
        <f t="shared" si="51"/>
        <v>x</v>
      </c>
      <c r="S100" s="655" t="str">
        <f t="shared" si="37"/>
        <v>x</v>
      </c>
      <c r="T100" s="655" t="str">
        <f>IF(ISERROR(MATCH(G100,'Inputs Mapping'!$T$4:$T$10,0)),"x","")</f>
        <v>x</v>
      </c>
      <c r="U100" s="655" t="str">
        <f>IF(ISERROR(MATCH(AA100,'Inputs Mapping'!$U$4:$U$5,0)),"x","")</f>
        <v>x</v>
      </c>
      <c r="V100" s="655" t="str">
        <f>IF(ISERROR(MATCH(AB100,'Inputs Mapping'!$V$4:$V$5,0)),"x","")</f>
        <v>x</v>
      </c>
      <c r="W100" s="655" t="str">
        <f>IF(ISERROR(MATCH(F100,'Inputs Mapping'!$W$4:$W$8,0)),"x","")</f>
        <v>x</v>
      </c>
      <c r="X100" s="655" t="str">
        <f t="shared" si="38"/>
        <v/>
      </c>
      <c r="Y100" s="655" t="str">
        <f t="shared" si="39"/>
        <v/>
      </c>
      <c r="Z100" s="655" t="str">
        <f t="shared" si="40"/>
        <v/>
      </c>
      <c r="AA100" s="655" t="str">
        <f t="shared" si="41"/>
        <v/>
      </c>
      <c r="AB100" s="655" t="str">
        <f t="shared" si="43"/>
        <v/>
      </c>
      <c r="AC100" s="655" t="str">
        <f t="shared" si="50"/>
        <v>x</v>
      </c>
      <c r="AD100" s="655" t="str">
        <f>IF(ISBLANK(I100),"x",IF(ISNUMBER(MATCH(I100,'Inputs Mapping'!$AF$5:$AF$199,0)),"","x"))</f>
        <v>x</v>
      </c>
      <c r="AE100" s="655" t="str">
        <f t="shared" si="44"/>
        <v/>
      </c>
      <c r="AF100" s="148"/>
      <c r="AG100" s="148"/>
      <c r="AH100" s="148" t="str">
        <f t="shared" si="45"/>
        <v/>
      </c>
      <c r="AI100" s="654" t="str">
        <f>IF(J100="","",VLOOKUP(J100,'Inputs Mapping'!$T$27:$V$31,3))</f>
        <v/>
      </c>
      <c r="AJ100" s="654" t="str">
        <f>IF(J100="","",VLOOKUP(J100,'Inputs Mapping'!$T$17:$V$24,3))</f>
        <v/>
      </c>
      <c r="AK100" s="654" t="str">
        <f t="shared" si="46"/>
        <v/>
      </c>
      <c r="AL100" s="655" t="str">
        <f t="shared" si="42"/>
        <v/>
      </c>
      <c r="AM100" s="655" t="str">
        <f>IF(F100="","",IF(AE100="Dubai",HLOOKUP(F100,Inputs!$C$26:$M$36,5,0),HLOOKUP(F100,Inputs!$C$45:$M$49,5,0)))</f>
        <v/>
      </c>
      <c r="AN100" s="655">
        <f t="shared" si="47"/>
        <v>0</v>
      </c>
      <c r="AO100" s="654" t="str">
        <f>IF(AJ100="","",IF(AN100="Dubai",VLOOKUP(AJ100,'Inputs Mapping'!$V$17:$W$24,2,0),VLOOKUP(AI100,'Inputs Mapping'!$V$27:$W$31,2,0)))</f>
        <v/>
      </c>
      <c r="AP100" s="666">
        <f>IFERROR(IF($AN100="","",HLOOKUP($AN100&amp;RIGHT($AL100,1),'input for formula'!$B$16:$I$20,3,0)),0)</f>
        <v>0</v>
      </c>
      <c r="AQ100" s="656">
        <f>IFERROR(IF($AN100="","",HLOOKUP($AN100&amp;$F100,'input for formula'!$B$22:$M$25,2,0)),0)</f>
        <v>0</v>
      </c>
      <c r="AR100" s="666">
        <f>IFERROR(IF($AN100="","",HLOOKUP($AN100&amp;RIGHT($AL100,1),'input for formula'!$B$16:$I$20,4,0)),0)</f>
        <v>0</v>
      </c>
      <c r="AS100" s="656">
        <f>IFERROR(IF($AN100="","",HLOOKUP($AN100&amp;$F100,'input for formula'!$B$22:$M$25,3,0)),0)</f>
        <v>0</v>
      </c>
      <c r="AT100" s="656">
        <f>IFERROR(IF($AN100="","",HLOOKUP($AN100&amp;RIGHT($AL100,1),'input for formula'!$B$16:$I$20,5,0)),0)</f>
        <v>0</v>
      </c>
      <c r="AU100" s="656">
        <f>IFERROR(IF($AN100="","",HLOOKUP($AN100&amp;$F100,'input for formula'!$B$22:$M$25,4,0)),0)</f>
        <v>0</v>
      </c>
      <c r="AV100" s="666">
        <f>IFERROR(IF($AN100="","",IF('Census Data'!$AN100="Abu Dhabi",VLOOKUP('Census Data'!$AM100,'input for formula'!$A$28:$C$41,3,0),VLOOKUP('Census Data'!$AM100,'input for formula'!$A$28:$C$47,2,0))),0)*IFERROR(1+IF(AN100="Dubai",VLOOKUP(F100,'Quotation for Dubai Plans'!$V$6:$X$12,3,FALSE),VLOOKUP(F100,'Quotation for Abu Dhabi Plans'!$W$6:$Y$12,3,FALSE)),0)</f>
        <v>0</v>
      </c>
      <c r="AW100" s="656" t="str">
        <f t="shared" ref="AW100:AW205" si="52">AK100</f>
        <v/>
      </c>
      <c r="AX100" s="667" t="str">
        <f>IFERROR(IF(AL100="","",IF(AN100="Dubai",HLOOKUP((AL100&amp;AM100),Deviation!$B$7:$S$8,2,0)*BF100*BH100*BI100*BG100,HLOOKUP((AL100&amp;AM100),Deviation!$B$9:$O$10,2,0)*BF100*BH100*BI100*BG100)),0)</f>
        <v/>
      </c>
      <c r="AY100" s="668"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formula'!$M$3:$O$7,AO100,FALSE)))*AX100+AP100*AQ100+AR100*AS100+AT100*AU100),0)*$AZ$3*BK100*BJ100*IF(AND(Inputs!$C$19&gt;19,Inputs!$C$19&lt;30),(1+$AZ$2),1)*(1+$AZ$1))</f>
        <v/>
      </c>
      <c r="AZ100" s="148" t="str">
        <f t="shared" si="48"/>
        <v/>
      </c>
      <c r="BA100" s="669" t="str">
        <f>IF(F100="","",IF(AE100="Dubai",HLOOKUP(F100,Inputs!$C$26:$M$37,9,0),HLOOKUP(F100,Inputs!$C$45:$M$56,9,0)))</f>
        <v/>
      </c>
      <c r="BB100" s="670" t="str">
        <f>IF(F100="","",IF(AE100="Dubai",HLOOKUP(F100,Inputs!$C$26:$M$37,10,0),HLOOKUP(F100,Inputs!$C$45:$M$56,10,0)))</f>
        <v/>
      </c>
      <c r="BC100" s="670" t="str">
        <f>IF(F100="","",IF(AE100="Dubai",HLOOKUP(F100,Inputs!$C$26:$M$37,11,0),HLOOKUP(F100,Inputs!$C$45:$M$56,11,0)))</f>
        <v/>
      </c>
      <c r="BD100" s="669" t="str">
        <f>IF(F100="","",IF(AE100="Dubai",HLOOKUP(F100,Inputs!$C$26:$M$37,12,0),HLOOKUP(F100,Inputs!$C$45:$M$56,12,0)))</f>
        <v/>
      </c>
      <c r="BE100" s="654"/>
      <c r="BF100" s="669" t="str">
        <f>IFERROR(IF(AL100="","",IF(AN100="Dubai",IF(OR(AL100="Plan1",AL100="Plan2"),VLOOKUP(BA100,Deviation!$B$31:$D$33,2,FALSE),VLOOKUP(BA100,Deviation!$B$31:$D$33,3,FALSE)),IF(OR(AL100="Plan1",AL100="Plan2"),VLOOKUP(BA100,Deviation!$E$31:$AE$33,2,FALSE),VLOOKUP(BA100,Deviation!$E$31:$AE$33,3,FALSE)))),0)</f>
        <v/>
      </c>
      <c r="BG100" s="671" t="str">
        <f>IFERROR(IF(AL100="","",IF(AN100="Dubai",IF(AL100="Plan1",VLOOKUP(BB100,Deviation!$B$39:$C$40,2,FALSE),IF(AL100="Plan2",VLOOKUP(BB100,Deviation!$B$42:$C$43,2,FALSE),IF(AL100="Plan5",VLOOKUP(BB100,Deviation!$B$48:$C$49,2,FALSE),VLOOKUP(BB100,Deviation!$B$45:$C$46,2,FALSE)))),IF(AL100="Plan1",VLOOKUP(BB100,Deviation!$E$39:$F$40,2,FALSE),IF(AL100="Plan2",VLOOKUP(BB100,Deviation!$E$42:$F$43,2,FALSE),VLOOKUP(BB100,Deviation!$E$45:$F$46,2,FALSE))))),0)</f>
        <v/>
      </c>
      <c r="BH100" s="671" t="str">
        <f>IFERROR(IF(AL100="","",IF(AN100="Dubai",IF(OR(AL100="Plan1",AL100="Plan2"),VLOOKUP(BC100,Deviation!$B$15:$D$19,2,FALSE),VLOOKUP(BC100,Deviation!$B$15:$D$19,3,FALSE)),IF(OR(AL100="Plan1",AL100="Plan2"),VLOOKUP(BC100,Deviation!$E$15:$AE$19,2,FALSE),VLOOKUP(BC100,Deviation!$E$15:$AE$19,3,FALSE)))),0)</f>
        <v/>
      </c>
      <c r="BI100" s="669" t="str">
        <f>IFERROR(IF(AL100="","",IF(AN100="Dubai",VLOOKUP(BD100,Deviation!$B$24:$C$26,2,FALSE),100%)),0)</f>
        <v/>
      </c>
      <c r="BJ100" s="672">
        <f>IF(AE100="Abu Dhabi",1,IFERROR(VLOOKUP(AM100,Deviation!$B$67:$E$79,MATCH('Census Data'!AA100,Deviation!$B$66:$E$66,0),0),1))</f>
        <v>1</v>
      </c>
      <c r="BK100" s="659">
        <f>IFERROR(VLOOKUP(I100,Deviation!$B$54:$C$62,2,0),1)</f>
        <v>1</v>
      </c>
      <c r="BL100" s="148"/>
      <c r="BM100" s="148"/>
      <c r="BN100" s="148"/>
      <c r="BO100" s="148"/>
      <c r="BP100" s="148"/>
      <c r="BQ100" s="148"/>
      <c r="BR100" s="148"/>
      <c r="BS100" s="148"/>
      <c r="BT100" s="148" t="e">
        <f t="shared" si="49"/>
        <v>#VALUE!</v>
      </c>
      <c r="BU100"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f>
        <v/>
      </c>
    </row>
    <row r="101" spans="1:73" ht="15" x14ac:dyDescent="0.25">
      <c r="A101" s="59">
        <v>96</v>
      </c>
      <c r="B101" s="470"/>
      <c r="C101" s="628"/>
      <c r="D101" s="629"/>
      <c r="E101" s="471"/>
      <c r="F101" s="298"/>
      <c r="G101" s="298"/>
      <c r="H101" s="298"/>
      <c r="I101" s="298"/>
      <c r="J101" s="80" t="str">
        <f>IFERROR(IF(C101="","",DATEDIF('Census Data'!C101,eff_date,"y")),"")</f>
        <v/>
      </c>
      <c r="K101" s="59" t="str">
        <f>IF(F101="","",IF(AE101="Dubai",HLOOKUP(F101,Inputs!$C$26:$M$28,3,0),HLOOKUP(F101,Inputs!$C$45:$M$46,2,0)))</f>
        <v/>
      </c>
      <c r="L101" s="104"/>
      <c r="M101" s="105">
        <f t="shared" si="32"/>
        <v>0</v>
      </c>
      <c r="N101" s="654" t="b">
        <f t="shared" si="33"/>
        <v>0</v>
      </c>
      <c r="O101" s="655" t="str">
        <f t="shared" si="34"/>
        <v>x</v>
      </c>
      <c r="P101" s="655" t="str">
        <f t="shared" si="35"/>
        <v>x</v>
      </c>
      <c r="Q101" s="655" t="str">
        <f t="shared" si="36"/>
        <v>x</v>
      </c>
      <c r="R101" s="655" t="str">
        <f t="shared" si="51"/>
        <v>x</v>
      </c>
      <c r="S101" s="655" t="str">
        <f t="shared" si="37"/>
        <v>x</v>
      </c>
      <c r="T101" s="655" t="str">
        <f>IF(ISERROR(MATCH(G101,'Inputs Mapping'!$T$4:$T$10,0)),"x","")</f>
        <v>x</v>
      </c>
      <c r="U101" s="655" t="str">
        <f>IF(ISERROR(MATCH(AA101,'Inputs Mapping'!$U$4:$U$5,0)),"x","")</f>
        <v>x</v>
      </c>
      <c r="V101" s="655" t="str">
        <f>IF(ISERROR(MATCH(AB101,'Inputs Mapping'!$V$4:$V$5,0)),"x","")</f>
        <v>x</v>
      </c>
      <c r="W101" s="655" t="str">
        <f>IF(ISERROR(MATCH(F101,'Inputs Mapping'!$W$4:$W$8,0)),"x","")</f>
        <v>x</v>
      </c>
      <c r="X101" s="655" t="str">
        <f t="shared" si="38"/>
        <v/>
      </c>
      <c r="Y101" s="655" t="str">
        <f t="shared" si="39"/>
        <v/>
      </c>
      <c r="Z101" s="655" t="str">
        <f t="shared" si="40"/>
        <v/>
      </c>
      <c r="AA101" s="655" t="str">
        <f t="shared" si="41"/>
        <v/>
      </c>
      <c r="AB101" s="655" t="str">
        <f t="shared" si="43"/>
        <v/>
      </c>
      <c r="AC101" s="655" t="str">
        <f t="shared" si="50"/>
        <v>x</v>
      </c>
      <c r="AD101" s="655" t="str">
        <f>IF(ISBLANK(I101),"x",IF(ISNUMBER(MATCH(I101,'Inputs Mapping'!$AF$5:$AF$199,0)),"","x"))</f>
        <v>x</v>
      </c>
      <c r="AE101" s="655" t="str">
        <f t="shared" si="44"/>
        <v/>
      </c>
      <c r="AF101" s="148"/>
      <c r="AG101" s="148"/>
      <c r="AH101" s="148" t="str">
        <f t="shared" si="45"/>
        <v/>
      </c>
      <c r="AI101" s="654" t="str">
        <f>IF(J101="","",VLOOKUP(J101,'Inputs Mapping'!$T$27:$V$31,3))</f>
        <v/>
      </c>
      <c r="AJ101" s="654" t="str">
        <f>IF(J101="","",VLOOKUP(J101,'Inputs Mapping'!$T$17:$V$24,3))</f>
        <v/>
      </c>
      <c r="AK101" s="654" t="str">
        <f t="shared" si="46"/>
        <v/>
      </c>
      <c r="AL101" s="655" t="str">
        <f t="shared" si="42"/>
        <v/>
      </c>
      <c r="AM101" s="655" t="str">
        <f>IF(F101="","",IF(AE101="Dubai",HLOOKUP(F101,Inputs!$C$26:$M$36,5,0),HLOOKUP(F101,Inputs!$C$45:$M$49,5,0)))</f>
        <v/>
      </c>
      <c r="AN101" s="655">
        <f t="shared" si="47"/>
        <v>0</v>
      </c>
      <c r="AO101" s="654" t="str">
        <f>IF(AJ101="","",IF(AN101="Dubai",VLOOKUP(AJ101,'Inputs Mapping'!$V$17:$W$24,2,0),VLOOKUP(AI101,'Inputs Mapping'!$V$27:$W$31,2,0)))</f>
        <v/>
      </c>
      <c r="AP101" s="666">
        <f>IFERROR(IF($AN101="","",HLOOKUP($AN101&amp;RIGHT($AL101,1),'input for formula'!$B$16:$I$20,3,0)),0)</f>
        <v>0</v>
      </c>
      <c r="AQ101" s="656">
        <f>IFERROR(IF($AN101="","",HLOOKUP($AN101&amp;$F101,'input for formula'!$B$22:$M$25,2,0)),0)</f>
        <v>0</v>
      </c>
      <c r="AR101" s="666">
        <f>IFERROR(IF($AN101="","",HLOOKUP($AN101&amp;RIGHT($AL101,1),'input for formula'!$B$16:$I$20,4,0)),0)</f>
        <v>0</v>
      </c>
      <c r="AS101" s="656">
        <f>IFERROR(IF($AN101="","",HLOOKUP($AN101&amp;$F101,'input for formula'!$B$22:$M$25,3,0)),0)</f>
        <v>0</v>
      </c>
      <c r="AT101" s="656">
        <f>IFERROR(IF($AN101="","",HLOOKUP($AN101&amp;RIGHT($AL101,1),'input for formula'!$B$16:$I$20,5,0)),0)</f>
        <v>0</v>
      </c>
      <c r="AU101" s="656">
        <f>IFERROR(IF($AN101="","",HLOOKUP($AN101&amp;$F101,'input for formula'!$B$22:$M$25,4,0)),0)</f>
        <v>0</v>
      </c>
      <c r="AV101" s="666">
        <f>IFERROR(IF($AN101="","",IF('Census Data'!$AN101="Abu Dhabi",VLOOKUP('Census Data'!$AM101,'input for formula'!$A$28:$C$41,3,0),VLOOKUP('Census Data'!$AM101,'input for formula'!$A$28:$C$47,2,0))),0)*IFERROR(1+IF(AN101="Dubai",VLOOKUP(F101,'Quotation for Dubai Plans'!$V$6:$X$12,3,FALSE),VLOOKUP(F101,'Quotation for Abu Dhabi Plans'!$W$6:$Y$12,3,FALSE)),0)</f>
        <v>0</v>
      </c>
      <c r="AW101" s="656" t="str">
        <f t="shared" si="52"/>
        <v/>
      </c>
      <c r="AX101" s="667" t="str">
        <f>IFERROR(IF(AL101="","",IF(AN101="Dubai",HLOOKUP((AL101&amp;AM101),Deviation!$B$7:$S$8,2,0)*BF101*BH101*BI101*BG101,HLOOKUP((AL101&amp;AM101),Deviation!$B$9:$O$10,2,0)*BF101*BH101*BI101*BG101)),0)</f>
        <v/>
      </c>
      <c r="AY101" s="668"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formula'!$M$3:$O$7,AO101,FALSE)))*AX101+AP101*AQ101+AR101*AS101+AT101*AU101),0)*$AZ$3*BK101*BJ101*IF(AND(Inputs!$C$19&gt;19,Inputs!$C$19&lt;30),(1+$AZ$2),1)*(1+$AZ$1))</f>
        <v/>
      </c>
      <c r="AZ101" s="148" t="str">
        <f t="shared" si="48"/>
        <v/>
      </c>
      <c r="BA101" s="669" t="str">
        <f>IF(F101="","",IF(AE101="Dubai",HLOOKUP(F101,Inputs!$C$26:$M$37,9,0),HLOOKUP(F101,Inputs!$C$45:$M$56,9,0)))</f>
        <v/>
      </c>
      <c r="BB101" s="670" t="str">
        <f>IF(F101="","",IF(AE101="Dubai",HLOOKUP(F101,Inputs!$C$26:$M$37,10,0),HLOOKUP(F101,Inputs!$C$45:$M$56,10,0)))</f>
        <v/>
      </c>
      <c r="BC101" s="670" t="str">
        <f>IF(F101="","",IF(AE101="Dubai",HLOOKUP(F101,Inputs!$C$26:$M$37,11,0),HLOOKUP(F101,Inputs!$C$45:$M$56,11,0)))</f>
        <v/>
      </c>
      <c r="BD101" s="669" t="str">
        <f>IF(F101="","",IF(AE101="Dubai",HLOOKUP(F101,Inputs!$C$26:$M$37,12,0),HLOOKUP(F101,Inputs!$C$45:$M$56,12,0)))</f>
        <v/>
      </c>
      <c r="BE101" s="654"/>
      <c r="BF101" s="669" t="str">
        <f>IFERROR(IF(AL101="","",IF(AN101="Dubai",IF(OR(AL101="Plan1",AL101="Plan2"),VLOOKUP(BA101,Deviation!$B$31:$D$33,2,FALSE),VLOOKUP(BA101,Deviation!$B$31:$D$33,3,FALSE)),IF(OR(AL101="Plan1",AL101="Plan2"),VLOOKUP(BA101,Deviation!$E$31:$AE$33,2,FALSE),VLOOKUP(BA101,Deviation!$E$31:$AE$33,3,FALSE)))),0)</f>
        <v/>
      </c>
      <c r="BG101" s="671" t="str">
        <f>IFERROR(IF(AL101="","",IF(AN101="Dubai",IF(AL101="Plan1",VLOOKUP(BB101,Deviation!$B$39:$C$40,2,FALSE),IF(AL101="Plan2",VLOOKUP(BB101,Deviation!$B$42:$C$43,2,FALSE),IF(AL101="Plan5",VLOOKUP(BB101,Deviation!$B$48:$C$49,2,FALSE),VLOOKUP(BB101,Deviation!$B$45:$C$46,2,FALSE)))),IF(AL101="Plan1",VLOOKUP(BB101,Deviation!$E$39:$F$40,2,FALSE),IF(AL101="Plan2",VLOOKUP(BB101,Deviation!$E$42:$F$43,2,FALSE),VLOOKUP(BB101,Deviation!$E$45:$F$46,2,FALSE))))),0)</f>
        <v/>
      </c>
      <c r="BH101" s="671" t="str">
        <f>IFERROR(IF(AL101="","",IF(AN101="Dubai",IF(OR(AL101="Plan1",AL101="Plan2"),VLOOKUP(BC101,Deviation!$B$15:$D$19,2,FALSE),VLOOKUP(BC101,Deviation!$B$15:$D$19,3,FALSE)),IF(OR(AL101="Plan1",AL101="Plan2"),VLOOKUP(BC101,Deviation!$E$15:$AE$19,2,FALSE),VLOOKUP(BC101,Deviation!$E$15:$AE$19,3,FALSE)))),0)</f>
        <v/>
      </c>
      <c r="BI101" s="669" t="str">
        <f>IFERROR(IF(AL101="","",IF(AN101="Dubai",VLOOKUP(BD101,Deviation!$B$24:$C$26,2,FALSE),100%)),0)</f>
        <v/>
      </c>
      <c r="BJ101" s="672">
        <f>IF(AE101="Abu Dhabi",1,IFERROR(VLOOKUP(AM101,Deviation!$B$67:$E$79,MATCH('Census Data'!AA101,Deviation!$B$66:$E$66,0),0),1))</f>
        <v>1</v>
      </c>
      <c r="BK101" s="659">
        <f>IFERROR(VLOOKUP(I101,Deviation!$B$54:$C$62,2,0),1)</f>
        <v>1</v>
      </c>
      <c r="BL101" s="148"/>
      <c r="BM101" s="148"/>
      <c r="BN101" s="148"/>
      <c r="BO101" s="148"/>
      <c r="BP101" s="148"/>
      <c r="BQ101" s="148"/>
      <c r="BR101" s="148"/>
      <c r="BS101" s="148"/>
      <c r="BT101" s="148" t="e">
        <f t="shared" si="49"/>
        <v>#VALUE!</v>
      </c>
      <c r="BU101"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f>
        <v/>
      </c>
    </row>
    <row r="102" spans="1:73" ht="15" x14ac:dyDescent="0.25">
      <c r="A102" s="59">
        <v>97</v>
      </c>
      <c r="B102" s="470"/>
      <c r="C102" s="628"/>
      <c r="D102" s="629"/>
      <c r="E102" s="471"/>
      <c r="F102" s="298"/>
      <c r="G102" s="298"/>
      <c r="H102" s="298"/>
      <c r="I102" s="298"/>
      <c r="J102" s="80" t="str">
        <f>IFERROR(IF(C102="","",DATEDIF('Census Data'!C102,eff_date,"y")),"")</f>
        <v/>
      </c>
      <c r="K102" s="59" t="str">
        <f>IF(F102="","",IF(AE102="Dubai",HLOOKUP(F102,Inputs!$C$26:$M$28,3,0),HLOOKUP(F102,Inputs!$C$45:$M$46,2,0)))</f>
        <v/>
      </c>
      <c r="L102" s="104"/>
      <c r="M102" s="105">
        <f t="shared" si="32"/>
        <v>0</v>
      </c>
      <c r="N102" s="654" t="b">
        <f t="shared" ref="N102:N113" si="53">NOT(AND(ISBLANK(C102),ISBLANK(D102),ISBLANK(E102),ISBLANK(F102),ISBLANK(G102)))</f>
        <v>0</v>
      </c>
      <c r="O102" s="655" t="str">
        <f t="shared" ref="O102:O113" si="54">IF(ISBLANK(C102),"x","")</f>
        <v>x</v>
      </c>
      <c r="P102" s="655" t="str">
        <f t="shared" ref="P102:P113" si="55">IF(ISBLANK(D102),"x","")</f>
        <v>x</v>
      </c>
      <c r="Q102" s="655" t="str">
        <f t="shared" ref="Q102:Q113" si="56">IF(ISBLANK(E102),"x","")</f>
        <v>x</v>
      </c>
      <c r="R102" s="655" t="str">
        <f t="shared" si="51"/>
        <v>x</v>
      </c>
      <c r="S102" s="655" t="str">
        <f t="shared" ref="S102:S113" si="57">IF(ISBLANK(G102),"x","")</f>
        <v>x</v>
      </c>
      <c r="T102" s="655" t="str">
        <f>IF(ISERROR(MATCH(G102,'Inputs Mapping'!$T$4:$T$10,0)),"x","")</f>
        <v>x</v>
      </c>
      <c r="U102" s="655" t="str">
        <f>IF(ISERROR(MATCH(AA102,'Inputs Mapping'!$U$4:$U$5,0)),"x","")</f>
        <v>x</v>
      </c>
      <c r="V102" s="655" t="str">
        <f>IF(ISERROR(MATCH(AB102,'Inputs Mapping'!$V$4:$V$5,0)),"x","")</f>
        <v>x</v>
      </c>
      <c r="W102" s="655" t="str">
        <f>IF(ISERROR(MATCH(F102,'Inputs Mapping'!$W$4:$W$8,0)),"x","")</f>
        <v>x</v>
      </c>
      <c r="X102" s="655" t="str">
        <f t="shared" ref="X102:X113" si="58">IF(ISBLANK(C102),"",IF(OR(ISERROR(J102),NOT(ISNUMBER(C102))),"x",""))</f>
        <v/>
      </c>
      <c r="Y102" s="655" t="str">
        <f t="shared" ref="Y102:Y113" si="59">IF(ISBLANK(C102),"",IF(ISERROR(J102),"",""))</f>
        <v/>
      </c>
      <c r="Z102" s="655" t="str">
        <f t="shared" si="40"/>
        <v/>
      </c>
      <c r="AA102" s="655" t="str">
        <f t="shared" si="41"/>
        <v/>
      </c>
      <c r="AB102" s="655" t="str">
        <f t="shared" si="43"/>
        <v/>
      </c>
      <c r="AC102" s="655" t="str">
        <f t="shared" si="50"/>
        <v>x</v>
      </c>
      <c r="AD102" s="655" t="str">
        <f>IF(ISBLANK(I102),"x",IF(ISNUMBER(MATCH(I102,'Inputs Mapping'!$AF$5:$AF$199,0)),"","x"))</f>
        <v>x</v>
      </c>
      <c r="AE102" s="655" t="str">
        <f t="shared" si="44"/>
        <v/>
      </c>
      <c r="AF102" s="148"/>
      <c r="AG102" s="148"/>
      <c r="AH102" s="148" t="str">
        <f t="shared" si="45"/>
        <v/>
      </c>
      <c r="AI102" s="654" t="str">
        <f>IF(J102="","",VLOOKUP(J102,'Inputs Mapping'!$T$27:$V$31,3))</f>
        <v/>
      </c>
      <c r="AJ102" s="654" t="str">
        <f>IF(J102="","",VLOOKUP(J102,'Inputs Mapping'!$T$17:$V$24,3))</f>
        <v/>
      </c>
      <c r="AK102" s="654" t="str">
        <f t="shared" si="46"/>
        <v/>
      </c>
      <c r="AL102" s="655" t="str">
        <f t="shared" ref="AL102:AL133" si="60">K102</f>
        <v/>
      </c>
      <c r="AM102" s="655" t="str">
        <f>IF(F102="","",IF(AE102="Dubai",HLOOKUP(F102,Inputs!$C$26:$M$36,5,0),HLOOKUP(F102,Inputs!$C$45:$M$49,5,0)))</f>
        <v/>
      </c>
      <c r="AN102" s="655">
        <f t="shared" si="47"/>
        <v>0</v>
      </c>
      <c r="AO102" s="654" t="str">
        <f>IF(AJ102="","",IF(AN102="Dubai",VLOOKUP(AJ102,'Inputs Mapping'!$V$17:$W$24,2,0),VLOOKUP(AI102,'Inputs Mapping'!$V$27:$W$31,2,0)))</f>
        <v/>
      </c>
      <c r="AP102" s="666">
        <f>IFERROR(IF($AN102="","",HLOOKUP($AN102&amp;RIGHT($AL102,1),'input for formula'!$B$16:$I$20,3,0)),0)</f>
        <v>0</v>
      </c>
      <c r="AQ102" s="656">
        <f>IFERROR(IF($AN102="","",HLOOKUP($AN102&amp;$F102,'input for formula'!$B$22:$M$25,2,0)),0)</f>
        <v>0</v>
      </c>
      <c r="AR102" s="666">
        <f>IFERROR(IF($AN102="","",HLOOKUP($AN102&amp;RIGHT($AL102,1),'input for formula'!$B$16:$I$20,4,0)),0)</f>
        <v>0</v>
      </c>
      <c r="AS102" s="656">
        <f>IFERROR(IF($AN102="","",HLOOKUP($AN102&amp;$F102,'input for formula'!$B$22:$M$25,3,0)),0)</f>
        <v>0</v>
      </c>
      <c r="AT102" s="656">
        <f>IFERROR(IF($AN102="","",HLOOKUP($AN102&amp;RIGHT($AL102,1),'input for formula'!$B$16:$I$20,5,0)),0)</f>
        <v>0</v>
      </c>
      <c r="AU102" s="656">
        <f>IFERROR(IF($AN102="","",HLOOKUP($AN102&amp;$F102,'input for formula'!$B$22:$M$25,4,0)),0)</f>
        <v>0</v>
      </c>
      <c r="AV102" s="666">
        <f>IFERROR(IF($AN102="","",IF('Census Data'!$AN102="Abu Dhabi",VLOOKUP('Census Data'!$AM102,'input for formula'!$A$28:$C$41,3,0),VLOOKUP('Census Data'!$AM102,'input for formula'!$A$28:$C$47,2,0))),0)*IFERROR(1+IF(AN102="Dubai",VLOOKUP(F102,'Quotation for Dubai Plans'!$V$6:$X$12,3,FALSE),VLOOKUP(F102,'Quotation for Abu Dhabi Plans'!$W$6:$Y$12,3,FALSE)),0)</f>
        <v>0</v>
      </c>
      <c r="AW102" s="656" t="str">
        <f t="shared" si="52"/>
        <v/>
      </c>
      <c r="AX102" s="667" t="str">
        <f>IFERROR(IF(AL102="","",IF(AN102="Dubai",HLOOKUP((AL102&amp;AM102),Deviation!$B$7:$S$8,2,0)*BF102*BH102*BI102*BG102,HLOOKUP((AL102&amp;AM102),Deviation!$B$9:$O$10,2,0)*BF102*BH102*BI102*BG102)),0)</f>
        <v/>
      </c>
      <c r="AY102" s="668"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formula'!$M$3:$O$7,AO102,FALSE)))*AX102+AP102*AQ102+AR102*AS102+AT102*AU102),0)*$AZ$3*BK102*BJ102*IF(AND(Inputs!$C$19&gt;19,Inputs!$C$19&lt;30),(1+$AZ$2),1)*(1+$AZ$1))</f>
        <v/>
      </c>
      <c r="AZ102" s="148" t="str">
        <f t="shared" si="48"/>
        <v/>
      </c>
      <c r="BA102" s="669" t="str">
        <f>IF(F102="","",IF(AE102="Dubai",HLOOKUP(F102,Inputs!$C$26:$M$37,9,0),HLOOKUP(F102,Inputs!$C$45:$M$56,9,0)))</f>
        <v/>
      </c>
      <c r="BB102" s="670" t="str">
        <f>IF(F102="","",IF(AE102="Dubai",HLOOKUP(F102,Inputs!$C$26:$M$37,10,0),HLOOKUP(F102,Inputs!$C$45:$M$56,10,0)))</f>
        <v/>
      </c>
      <c r="BC102" s="670" t="str">
        <f>IF(F102="","",IF(AE102="Dubai",HLOOKUP(F102,Inputs!$C$26:$M$37,11,0),HLOOKUP(F102,Inputs!$C$45:$M$56,11,0)))</f>
        <v/>
      </c>
      <c r="BD102" s="669" t="str">
        <f>IF(F102="","",IF(AE102="Dubai",HLOOKUP(F102,Inputs!$C$26:$M$37,12,0),HLOOKUP(F102,Inputs!$C$45:$M$56,12,0)))</f>
        <v/>
      </c>
      <c r="BE102" s="654"/>
      <c r="BF102" s="669" t="str">
        <f>IFERROR(IF(AL102="","",IF(AN102="Dubai",IF(OR(AL102="Plan1",AL102="Plan2"),VLOOKUP(BA102,Deviation!$B$31:$D$33,2,FALSE),VLOOKUP(BA102,Deviation!$B$31:$D$33,3,FALSE)),IF(OR(AL102="Plan1",AL102="Plan2"),VLOOKUP(BA102,Deviation!$E$31:$AE$33,2,FALSE),VLOOKUP(BA102,Deviation!$E$31:$AE$33,3,FALSE)))),0)</f>
        <v/>
      </c>
      <c r="BG102" s="671" t="str">
        <f>IFERROR(IF(AL102="","",IF(AN102="Dubai",IF(AL102="Plan1",VLOOKUP(BB102,Deviation!$B$39:$C$40,2,FALSE),IF(AL102="Plan2",VLOOKUP(BB102,Deviation!$B$42:$C$43,2,FALSE),IF(AL102="Plan5",VLOOKUP(BB102,Deviation!$B$48:$C$49,2,FALSE),VLOOKUP(BB102,Deviation!$B$45:$C$46,2,FALSE)))),IF(AL102="Plan1",VLOOKUP(BB102,Deviation!$E$39:$F$40,2,FALSE),IF(AL102="Plan2",VLOOKUP(BB102,Deviation!$E$42:$F$43,2,FALSE),VLOOKUP(BB102,Deviation!$E$45:$F$46,2,FALSE))))),0)</f>
        <v/>
      </c>
      <c r="BH102" s="671" t="str">
        <f>IFERROR(IF(AL102="","",IF(AN102="Dubai",IF(OR(AL102="Plan1",AL102="Plan2"),VLOOKUP(BC102,Deviation!$B$15:$D$19,2,FALSE),VLOOKUP(BC102,Deviation!$B$15:$D$19,3,FALSE)),IF(OR(AL102="Plan1",AL102="Plan2"),VLOOKUP(BC102,Deviation!$E$15:$AE$19,2,FALSE),VLOOKUP(BC102,Deviation!$E$15:$AE$19,3,FALSE)))),0)</f>
        <v/>
      </c>
      <c r="BI102" s="669" t="str">
        <f>IFERROR(IF(AL102="","",IF(AN102="Dubai",VLOOKUP(BD102,Deviation!$B$24:$C$26,2,FALSE),100%)),0)</f>
        <v/>
      </c>
      <c r="BJ102" s="672">
        <f>IF(AE102="Abu Dhabi",1,IFERROR(VLOOKUP(AM102,Deviation!$B$67:$E$79,MATCH('Census Data'!AA102,Deviation!$B$66:$E$66,0),0),1))</f>
        <v>1</v>
      </c>
      <c r="BK102" s="659">
        <f>IFERROR(VLOOKUP(I102,Deviation!$B$54:$C$62,2,0),1)</f>
        <v>1</v>
      </c>
      <c r="BL102" s="148"/>
      <c r="BM102" s="148"/>
      <c r="BN102" s="148"/>
      <c r="BO102" s="148"/>
      <c r="BP102" s="148"/>
      <c r="BQ102" s="148"/>
      <c r="BR102" s="148"/>
      <c r="BS102" s="148"/>
      <c r="BT102" s="148" t="e">
        <f t="shared" si="49"/>
        <v>#VALUE!</v>
      </c>
      <c r="BU102"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f>
        <v/>
      </c>
    </row>
    <row r="103" spans="1:73" ht="15" x14ac:dyDescent="0.25">
      <c r="A103" s="59">
        <v>98</v>
      </c>
      <c r="B103" s="470"/>
      <c r="C103" s="628"/>
      <c r="D103" s="629"/>
      <c r="E103" s="471"/>
      <c r="F103" s="298"/>
      <c r="G103" s="298"/>
      <c r="H103" s="298"/>
      <c r="I103" s="298"/>
      <c r="J103" s="80" t="str">
        <f>IFERROR(IF(C103="","",DATEDIF('Census Data'!C103,eff_date,"y")),"")</f>
        <v/>
      </c>
      <c r="K103" s="59" t="str">
        <f>IF(F103="","",IF(AE103="Dubai",HLOOKUP(F103,Inputs!$C$26:$M$28,3,0),HLOOKUP(F103,Inputs!$C$45:$M$46,2,0)))</f>
        <v/>
      </c>
      <c r="L103" s="104"/>
      <c r="M103" s="105">
        <f t="shared" si="32"/>
        <v>0</v>
      </c>
      <c r="N103" s="654" t="b">
        <f t="shared" si="53"/>
        <v>0</v>
      </c>
      <c r="O103" s="655" t="str">
        <f t="shared" si="54"/>
        <v>x</v>
      </c>
      <c r="P103" s="655" t="str">
        <f t="shared" si="55"/>
        <v>x</v>
      </c>
      <c r="Q103" s="655" t="str">
        <f t="shared" si="56"/>
        <v>x</v>
      </c>
      <c r="R103" s="655" t="str">
        <f t="shared" si="51"/>
        <v>x</v>
      </c>
      <c r="S103" s="655" t="str">
        <f t="shared" si="57"/>
        <v>x</v>
      </c>
      <c r="T103" s="655" t="str">
        <f>IF(ISERROR(MATCH(G103,'Inputs Mapping'!$T$4:$T$10,0)),"x","")</f>
        <v>x</v>
      </c>
      <c r="U103" s="655" t="str">
        <f>IF(ISERROR(MATCH(AA103,'Inputs Mapping'!$U$4:$U$5,0)),"x","")</f>
        <v>x</v>
      </c>
      <c r="V103" s="655" t="str">
        <f>IF(ISERROR(MATCH(AB103,'Inputs Mapping'!$V$4:$V$5,0)),"x","")</f>
        <v>x</v>
      </c>
      <c r="W103" s="655" t="str">
        <f>IF(ISERROR(MATCH(F103,'Inputs Mapping'!$W$4:$W$8,0)),"x","")</f>
        <v>x</v>
      </c>
      <c r="X103" s="655" t="str">
        <f t="shared" si="58"/>
        <v/>
      </c>
      <c r="Y103" s="655" t="str">
        <f t="shared" si="59"/>
        <v/>
      </c>
      <c r="Z103" s="655" t="str">
        <f t="shared" si="40"/>
        <v/>
      </c>
      <c r="AA103" s="655" t="str">
        <f t="shared" si="41"/>
        <v/>
      </c>
      <c r="AB103" s="655" t="str">
        <f t="shared" si="43"/>
        <v/>
      </c>
      <c r="AC103" s="655" t="str">
        <f t="shared" si="50"/>
        <v>x</v>
      </c>
      <c r="AD103" s="655" t="str">
        <f>IF(ISBLANK(I103),"x",IF(ISNUMBER(MATCH(I103,'Inputs Mapping'!$AF$5:$AF$199,0)),"","x"))</f>
        <v>x</v>
      </c>
      <c r="AE103" s="655" t="str">
        <f t="shared" si="44"/>
        <v/>
      </c>
      <c r="AF103" s="148"/>
      <c r="AG103" s="148"/>
      <c r="AH103" s="148" t="str">
        <f t="shared" si="45"/>
        <v/>
      </c>
      <c r="AI103" s="654" t="str">
        <f>IF(J103="","",VLOOKUP(J103,'Inputs Mapping'!$T$27:$V$31,3))</f>
        <v/>
      </c>
      <c r="AJ103" s="654" t="str">
        <f>IF(J103="","",VLOOKUP(J103,'Inputs Mapping'!$T$17:$V$24,3))</f>
        <v/>
      </c>
      <c r="AK103" s="654" t="str">
        <f t="shared" si="46"/>
        <v/>
      </c>
      <c r="AL103" s="655" t="str">
        <f t="shared" si="60"/>
        <v/>
      </c>
      <c r="AM103" s="655" t="str">
        <f>IF(F103="","",IF(AE103="Dubai",HLOOKUP(F103,Inputs!$C$26:$M$36,5,0),HLOOKUP(F103,Inputs!$C$45:$M$49,5,0)))</f>
        <v/>
      </c>
      <c r="AN103" s="655">
        <f t="shared" si="47"/>
        <v>0</v>
      </c>
      <c r="AO103" s="654" t="str">
        <f>IF(AJ103="","",IF(AN103="Dubai",VLOOKUP(AJ103,'Inputs Mapping'!$V$17:$W$24,2,0),VLOOKUP(AI103,'Inputs Mapping'!$V$27:$W$31,2,0)))</f>
        <v/>
      </c>
      <c r="AP103" s="666">
        <f>IFERROR(IF($AN103="","",HLOOKUP($AN103&amp;RIGHT($AL103,1),'input for formula'!$B$16:$I$20,3,0)),0)</f>
        <v>0</v>
      </c>
      <c r="AQ103" s="656">
        <f>IFERROR(IF($AN103="","",HLOOKUP($AN103&amp;$F103,'input for formula'!$B$22:$M$25,2,0)),0)</f>
        <v>0</v>
      </c>
      <c r="AR103" s="666">
        <f>IFERROR(IF($AN103="","",HLOOKUP($AN103&amp;RIGHT($AL103,1),'input for formula'!$B$16:$I$20,4,0)),0)</f>
        <v>0</v>
      </c>
      <c r="AS103" s="656">
        <f>IFERROR(IF($AN103="","",HLOOKUP($AN103&amp;$F103,'input for formula'!$B$22:$M$25,3,0)),0)</f>
        <v>0</v>
      </c>
      <c r="AT103" s="656">
        <f>IFERROR(IF($AN103="","",HLOOKUP($AN103&amp;RIGHT($AL103,1),'input for formula'!$B$16:$I$20,5,0)),0)</f>
        <v>0</v>
      </c>
      <c r="AU103" s="656">
        <f>IFERROR(IF($AN103="","",HLOOKUP($AN103&amp;$F103,'input for formula'!$B$22:$M$25,4,0)),0)</f>
        <v>0</v>
      </c>
      <c r="AV103" s="666">
        <f>IFERROR(IF($AN103="","",IF('Census Data'!$AN103="Abu Dhabi",VLOOKUP('Census Data'!$AM103,'input for formula'!$A$28:$C$41,3,0),VLOOKUP('Census Data'!$AM103,'input for formula'!$A$28:$C$47,2,0))),0)*IFERROR(1+IF(AN103="Dubai",VLOOKUP(F103,'Quotation for Dubai Plans'!$V$6:$X$12,3,FALSE),VLOOKUP(F103,'Quotation for Abu Dhabi Plans'!$W$6:$Y$12,3,FALSE)),0)</f>
        <v>0</v>
      </c>
      <c r="AW103" s="656" t="str">
        <f t="shared" si="52"/>
        <v/>
      </c>
      <c r="AX103" s="667" t="str">
        <f>IFERROR(IF(AL103="","",IF(AN103="Dubai",HLOOKUP((AL103&amp;AM103),Deviation!$B$7:$S$8,2,0)*BF103*BH103*BI103*BG103,HLOOKUP((AL103&amp;AM103),Deviation!$B$9:$O$10,2,0)*BF103*BH103*BI103*BG103)),0)</f>
        <v/>
      </c>
      <c r="AY103" s="668"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formula'!$M$3:$O$7,AO103,FALSE)))*AX103+AP103*AQ103+AR103*AS103+AT103*AU103),0)*$AZ$3*BK103*BJ103*IF(AND(Inputs!$C$19&gt;19,Inputs!$C$19&lt;30),(1+$AZ$2),1)*(1+$AZ$1))</f>
        <v/>
      </c>
      <c r="AZ103" s="148" t="str">
        <f t="shared" si="48"/>
        <v/>
      </c>
      <c r="BA103" s="669" t="str">
        <f>IF(F103="","",IF(AE103="Dubai",HLOOKUP(F103,Inputs!$C$26:$M$37,9,0),HLOOKUP(F103,Inputs!$C$45:$M$56,9,0)))</f>
        <v/>
      </c>
      <c r="BB103" s="670" t="str">
        <f>IF(F103="","",IF(AE103="Dubai",HLOOKUP(F103,Inputs!$C$26:$M$37,10,0),HLOOKUP(F103,Inputs!$C$45:$M$56,10,0)))</f>
        <v/>
      </c>
      <c r="BC103" s="670" t="str">
        <f>IF(F103="","",IF(AE103="Dubai",HLOOKUP(F103,Inputs!$C$26:$M$37,11,0),HLOOKUP(F103,Inputs!$C$45:$M$56,11,0)))</f>
        <v/>
      </c>
      <c r="BD103" s="669" t="str">
        <f>IF(F103="","",IF(AE103="Dubai",HLOOKUP(F103,Inputs!$C$26:$M$37,12,0),HLOOKUP(F103,Inputs!$C$45:$M$56,12,0)))</f>
        <v/>
      </c>
      <c r="BE103" s="654"/>
      <c r="BF103" s="669" t="str">
        <f>IFERROR(IF(AL103="","",IF(AN103="Dubai",IF(OR(AL103="Plan1",AL103="Plan2"),VLOOKUP(BA103,Deviation!$B$31:$D$33,2,FALSE),VLOOKUP(BA103,Deviation!$B$31:$D$33,3,FALSE)),IF(OR(AL103="Plan1",AL103="Plan2"),VLOOKUP(BA103,Deviation!$E$31:$AE$33,2,FALSE),VLOOKUP(BA103,Deviation!$E$31:$AE$33,3,FALSE)))),0)</f>
        <v/>
      </c>
      <c r="BG103" s="671" t="str">
        <f>IFERROR(IF(AL103="","",IF(AN103="Dubai",IF(AL103="Plan1",VLOOKUP(BB103,Deviation!$B$39:$C$40,2,FALSE),IF(AL103="Plan2",VLOOKUP(BB103,Deviation!$B$42:$C$43,2,FALSE),IF(AL103="Plan5",VLOOKUP(BB103,Deviation!$B$48:$C$49,2,FALSE),VLOOKUP(BB103,Deviation!$B$45:$C$46,2,FALSE)))),IF(AL103="Plan1",VLOOKUP(BB103,Deviation!$E$39:$F$40,2,FALSE),IF(AL103="Plan2",VLOOKUP(BB103,Deviation!$E$42:$F$43,2,FALSE),VLOOKUP(BB103,Deviation!$E$45:$F$46,2,FALSE))))),0)</f>
        <v/>
      </c>
      <c r="BH103" s="671" t="str">
        <f>IFERROR(IF(AL103="","",IF(AN103="Dubai",IF(OR(AL103="Plan1",AL103="Plan2"),VLOOKUP(BC103,Deviation!$B$15:$D$19,2,FALSE),VLOOKUP(BC103,Deviation!$B$15:$D$19,3,FALSE)),IF(OR(AL103="Plan1",AL103="Plan2"),VLOOKUP(BC103,Deviation!$E$15:$AE$19,2,FALSE),VLOOKUP(BC103,Deviation!$E$15:$AE$19,3,FALSE)))),0)</f>
        <v/>
      </c>
      <c r="BI103" s="669" t="str">
        <f>IFERROR(IF(AL103="","",IF(AN103="Dubai",VLOOKUP(BD103,Deviation!$B$24:$C$26,2,FALSE),100%)),0)</f>
        <v/>
      </c>
      <c r="BJ103" s="672">
        <f>IF(AE103="Abu Dhabi",1,IFERROR(VLOOKUP(AM103,Deviation!$B$67:$E$79,MATCH('Census Data'!AA103,Deviation!$B$66:$E$66,0),0),1))</f>
        <v>1</v>
      </c>
      <c r="BK103" s="659">
        <f>IFERROR(VLOOKUP(I103,Deviation!$B$54:$C$62,2,0),1)</f>
        <v>1</v>
      </c>
      <c r="BL103" s="148"/>
      <c r="BM103" s="148"/>
      <c r="BN103" s="148"/>
      <c r="BO103" s="148"/>
      <c r="BP103" s="148"/>
      <c r="BQ103" s="148"/>
      <c r="BR103" s="148"/>
      <c r="BS103" s="148"/>
      <c r="BT103" s="148" t="e">
        <f t="shared" si="49"/>
        <v>#VALUE!</v>
      </c>
      <c r="BU103"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f>
        <v/>
      </c>
    </row>
    <row r="104" spans="1:73" ht="15" x14ac:dyDescent="0.25">
      <c r="A104" s="59">
        <v>99</v>
      </c>
      <c r="B104" s="470"/>
      <c r="C104" s="628"/>
      <c r="D104" s="629"/>
      <c r="E104" s="471"/>
      <c r="F104" s="298"/>
      <c r="G104" s="298"/>
      <c r="H104" s="298"/>
      <c r="I104" s="298"/>
      <c r="J104" s="80" t="str">
        <f>IFERROR(IF(C104="","",DATEDIF('Census Data'!C104,eff_date,"y")),"")</f>
        <v/>
      </c>
      <c r="K104" s="59" t="str">
        <f>IF(F104="","",IF(AE104="Dubai",HLOOKUP(F104,Inputs!$C$26:$M$28,3,0),HLOOKUP(F104,Inputs!$C$45:$M$46,2,0)))</f>
        <v/>
      </c>
      <c r="L104" s="104"/>
      <c r="M104" s="105">
        <f t="shared" si="32"/>
        <v>0</v>
      </c>
      <c r="N104" s="654" t="b">
        <f t="shared" si="53"/>
        <v>0</v>
      </c>
      <c r="O104" s="655" t="str">
        <f t="shared" si="54"/>
        <v>x</v>
      </c>
      <c r="P104" s="655" t="str">
        <f t="shared" si="55"/>
        <v>x</v>
      </c>
      <c r="Q104" s="655" t="str">
        <f t="shared" si="56"/>
        <v>x</v>
      </c>
      <c r="R104" s="655" t="str">
        <f t="shared" si="51"/>
        <v>x</v>
      </c>
      <c r="S104" s="655" t="str">
        <f t="shared" si="57"/>
        <v>x</v>
      </c>
      <c r="T104" s="655" t="str">
        <f>IF(ISERROR(MATCH(G104,'Inputs Mapping'!$T$4:$T$10,0)),"x","")</f>
        <v>x</v>
      </c>
      <c r="U104" s="655" t="str">
        <f>IF(ISERROR(MATCH(AA104,'Inputs Mapping'!$U$4:$U$5,0)),"x","")</f>
        <v>x</v>
      </c>
      <c r="V104" s="655" t="str">
        <f>IF(ISERROR(MATCH(AB104,'Inputs Mapping'!$V$4:$V$5,0)),"x","")</f>
        <v>x</v>
      </c>
      <c r="W104" s="655" t="str">
        <f>IF(ISERROR(MATCH(F104,'Inputs Mapping'!$W$4:$W$8,0)),"x","")</f>
        <v>x</v>
      </c>
      <c r="X104" s="655" t="str">
        <f t="shared" si="58"/>
        <v/>
      </c>
      <c r="Y104" s="655" t="str">
        <f t="shared" si="59"/>
        <v/>
      </c>
      <c r="Z104" s="655" t="str">
        <f t="shared" si="40"/>
        <v/>
      </c>
      <c r="AA104" s="655" t="str">
        <f t="shared" si="41"/>
        <v/>
      </c>
      <c r="AB104" s="655" t="str">
        <f t="shared" si="43"/>
        <v/>
      </c>
      <c r="AC104" s="655" t="str">
        <f t="shared" si="50"/>
        <v>x</v>
      </c>
      <c r="AD104" s="655" t="str">
        <f>IF(ISBLANK(I104),"x",IF(ISNUMBER(MATCH(I104,'Inputs Mapping'!$AF$5:$AF$199,0)),"","x"))</f>
        <v>x</v>
      </c>
      <c r="AE104" s="655" t="str">
        <f t="shared" si="44"/>
        <v/>
      </c>
      <c r="AF104" s="148"/>
      <c r="AG104" s="148"/>
      <c r="AH104" s="148" t="str">
        <f t="shared" si="45"/>
        <v/>
      </c>
      <c r="AI104" s="654" t="str">
        <f>IF(J104="","",VLOOKUP(J104,'Inputs Mapping'!$T$27:$V$31,3))</f>
        <v/>
      </c>
      <c r="AJ104" s="654" t="str">
        <f>IF(J104="","",VLOOKUP(J104,'Inputs Mapping'!$T$17:$V$24,3))</f>
        <v/>
      </c>
      <c r="AK104" s="654" t="str">
        <f t="shared" si="46"/>
        <v/>
      </c>
      <c r="AL104" s="655" t="str">
        <f t="shared" si="60"/>
        <v/>
      </c>
      <c r="AM104" s="655" t="str">
        <f>IF(F104="","",IF(AE104="Dubai",HLOOKUP(F104,Inputs!$C$26:$M$36,5,0),HLOOKUP(F104,Inputs!$C$45:$M$49,5,0)))</f>
        <v/>
      </c>
      <c r="AN104" s="655">
        <f t="shared" si="47"/>
        <v>0</v>
      </c>
      <c r="AO104" s="654" t="str">
        <f>IF(AJ104="","",IF(AN104="Dubai",VLOOKUP(AJ104,'Inputs Mapping'!$V$17:$W$24,2,0),VLOOKUP(AI104,'Inputs Mapping'!$V$27:$W$31,2,0)))</f>
        <v/>
      </c>
      <c r="AP104" s="666">
        <f>IFERROR(IF($AN104="","",HLOOKUP($AN104&amp;RIGHT($AL104,1),'input for formula'!$B$16:$I$20,3,0)),0)</f>
        <v>0</v>
      </c>
      <c r="AQ104" s="656">
        <f>IFERROR(IF($AN104="","",HLOOKUP($AN104&amp;$F104,'input for formula'!$B$22:$M$25,2,0)),0)</f>
        <v>0</v>
      </c>
      <c r="AR104" s="666">
        <f>IFERROR(IF($AN104="","",HLOOKUP($AN104&amp;RIGHT($AL104,1),'input for formula'!$B$16:$I$20,4,0)),0)</f>
        <v>0</v>
      </c>
      <c r="AS104" s="656">
        <f>IFERROR(IF($AN104="","",HLOOKUP($AN104&amp;$F104,'input for formula'!$B$22:$M$25,3,0)),0)</f>
        <v>0</v>
      </c>
      <c r="AT104" s="656">
        <f>IFERROR(IF($AN104="","",HLOOKUP($AN104&amp;RIGHT($AL104,1),'input for formula'!$B$16:$I$20,5,0)),0)</f>
        <v>0</v>
      </c>
      <c r="AU104" s="656">
        <f>IFERROR(IF($AN104="","",HLOOKUP($AN104&amp;$F104,'input for formula'!$B$22:$M$25,4,0)),0)</f>
        <v>0</v>
      </c>
      <c r="AV104" s="666">
        <f>IFERROR(IF($AN104="","",IF('Census Data'!$AN104="Abu Dhabi",VLOOKUP('Census Data'!$AM104,'input for formula'!$A$28:$C$41,3,0),VLOOKUP('Census Data'!$AM104,'input for formula'!$A$28:$C$47,2,0))),0)*IFERROR(1+IF(AN104="Dubai",VLOOKUP(F104,'Quotation for Dubai Plans'!$V$6:$X$12,3,FALSE),VLOOKUP(F104,'Quotation for Abu Dhabi Plans'!$W$6:$Y$12,3,FALSE)),0)</f>
        <v>0</v>
      </c>
      <c r="AW104" s="656" t="str">
        <f t="shared" si="52"/>
        <v/>
      </c>
      <c r="AX104" s="667" t="str">
        <f>IFERROR(IF(AL104="","",IF(AN104="Dubai",HLOOKUP((AL104&amp;AM104),Deviation!$B$7:$S$8,2,0)*BF104*BH104*BI104*BG104,HLOOKUP((AL104&amp;AM104),Deviation!$B$9:$O$10,2,0)*BF104*BH104*BI104*BG104)),0)</f>
        <v/>
      </c>
      <c r="AY104" s="668"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formula'!$M$3:$O$7,AO104,FALSE)))*AX104+AP104*AQ104+AR104*AS104+AT104*AU104),0)*$AZ$3*BK104*BJ104*IF(AND(Inputs!$C$19&gt;19,Inputs!$C$19&lt;30),(1+$AZ$2),1)*(1+$AZ$1))</f>
        <v/>
      </c>
      <c r="AZ104" s="148" t="str">
        <f t="shared" si="48"/>
        <v/>
      </c>
      <c r="BA104" s="669" t="str">
        <f>IF(F104="","",IF(AE104="Dubai",HLOOKUP(F104,Inputs!$C$26:$M$37,9,0),HLOOKUP(F104,Inputs!$C$45:$M$56,9,0)))</f>
        <v/>
      </c>
      <c r="BB104" s="670" t="str">
        <f>IF(F104="","",IF(AE104="Dubai",HLOOKUP(F104,Inputs!$C$26:$M$37,10,0),HLOOKUP(F104,Inputs!$C$45:$M$56,10,0)))</f>
        <v/>
      </c>
      <c r="BC104" s="670" t="str">
        <f>IF(F104="","",IF(AE104="Dubai",HLOOKUP(F104,Inputs!$C$26:$M$37,11,0),HLOOKUP(F104,Inputs!$C$45:$M$56,11,0)))</f>
        <v/>
      </c>
      <c r="BD104" s="669" t="str">
        <f>IF(F104="","",IF(AE104="Dubai",HLOOKUP(F104,Inputs!$C$26:$M$37,12,0),HLOOKUP(F104,Inputs!$C$45:$M$56,12,0)))</f>
        <v/>
      </c>
      <c r="BE104" s="654"/>
      <c r="BF104" s="669" t="str">
        <f>IFERROR(IF(AL104="","",IF(AN104="Dubai",IF(OR(AL104="Plan1",AL104="Plan2"),VLOOKUP(BA104,Deviation!$B$31:$D$33,2,FALSE),VLOOKUP(BA104,Deviation!$B$31:$D$33,3,FALSE)),IF(OR(AL104="Plan1",AL104="Plan2"),VLOOKUP(BA104,Deviation!$E$31:$AE$33,2,FALSE),VLOOKUP(BA104,Deviation!$E$31:$AE$33,3,FALSE)))),0)</f>
        <v/>
      </c>
      <c r="BG104" s="671" t="str">
        <f>IFERROR(IF(AL104="","",IF(AN104="Dubai",IF(AL104="Plan1",VLOOKUP(BB104,Deviation!$B$39:$C$40,2,FALSE),IF(AL104="Plan2",VLOOKUP(BB104,Deviation!$B$42:$C$43,2,FALSE),IF(AL104="Plan5",VLOOKUP(BB104,Deviation!$B$48:$C$49,2,FALSE),VLOOKUP(BB104,Deviation!$B$45:$C$46,2,FALSE)))),IF(AL104="Plan1",VLOOKUP(BB104,Deviation!$E$39:$F$40,2,FALSE),IF(AL104="Plan2",VLOOKUP(BB104,Deviation!$E$42:$F$43,2,FALSE),VLOOKUP(BB104,Deviation!$E$45:$F$46,2,FALSE))))),0)</f>
        <v/>
      </c>
      <c r="BH104" s="671" t="str">
        <f>IFERROR(IF(AL104="","",IF(AN104="Dubai",IF(OR(AL104="Plan1",AL104="Plan2"),VLOOKUP(BC104,Deviation!$B$15:$D$19,2,FALSE),VLOOKUP(BC104,Deviation!$B$15:$D$19,3,FALSE)),IF(OR(AL104="Plan1",AL104="Plan2"),VLOOKUP(BC104,Deviation!$E$15:$AE$19,2,FALSE),VLOOKUP(BC104,Deviation!$E$15:$AE$19,3,FALSE)))),0)</f>
        <v/>
      </c>
      <c r="BI104" s="669" t="str">
        <f>IFERROR(IF(AL104="","",IF(AN104="Dubai",VLOOKUP(BD104,Deviation!$B$24:$C$26,2,FALSE),100%)),0)</f>
        <v/>
      </c>
      <c r="BJ104" s="672">
        <f>IF(AE104="Abu Dhabi",1,IFERROR(VLOOKUP(AM104,Deviation!$B$67:$E$79,MATCH('Census Data'!AA104,Deviation!$B$66:$E$66,0),0),1))</f>
        <v>1</v>
      </c>
      <c r="BK104" s="659">
        <f>IFERROR(VLOOKUP(I104,Deviation!$B$54:$C$62,2,0),1)</f>
        <v>1</v>
      </c>
      <c r="BL104" s="148"/>
      <c r="BM104" s="148"/>
      <c r="BN104" s="148"/>
      <c r="BO104" s="148"/>
      <c r="BP104" s="148"/>
      <c r="BQ104" s="148"/>
      <c r="BR104" s="148"/>
      <c r="BS104" s="148"/>
      <c r="BT104" s="148" t="e">
        <f t="shared" si="49"/>
        <v>#VALUE!</v>
      </c>
      <c r="BU104"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f>
        <v/>
      </c>
    </row>
    <row r="105" spans="1:73" ht="15" x14ac:dyDescent="0.25">
      <c r="A105" s="59">
        <v>100</v>
      </c>
      <c r="B105" s="470"/>
      <c r="C105" s="628"/>
      <c r="D105" s="629"/>
      <c r="E105" s="471"/>
      <c r="F105" s="298"/>
      <c r="G105" s="298"/>
      <c r="H105" s="298"/>
      <c r="I105" s="298"/>
      <c r="J105" s="80" t="str">
        <f>IFERROR(IF(C105="","",DATEDIF('Census Data'!C105,eff_date,"y")),"")</f>
        <v/>
      </c>
      <c r="K105" s="59" t="str">
        <f>IF(F105="","",IF(AE105="Dubai",HLOOKUP(F105,Inputs!$C$26:$M$28,3,0),HLOOKUP(F105,Inputs!$C$45:$M$46,2,0)))</f>
        <v/>
      </c>
      <c r="L105" s="104"/>
      <c r="M105" s="105">
        <f t="shared" si="32"/>
        <v>0</v>
      </c>
      <c r="N105" s="654" t="b">
        <f t="shared" si="53"/>
        <v>0</v>
      </c>
      <c r="O105" s="655" t="str">
        <f t="shared" si="54"/>
        <v>x</v>
      </c>
      <c r="P105" s="655" t="str">
        <f t="shared" si="55"/>
        <v>x</v>
      </c>
      <c r="Q105" s="655" t="str">
        <f t="shared" si="56"/>
        <v>x</v>
      </c>
      <c r="R105" s="655" t="str">
        <f t="shared" si="51"/>
        <v>x</v>
      </c>
      <c r="S105" s="655" t="str">
        <f t="shared" si="57"/>
        <v>x</v>
      </c>
      <c r="T105" s="655" t="str">
        <f>IF(ISERROR(MATCH(G105,'Inputs Mapping'!$T$4:$T$10,0)),"x","")</f>
        <v>x</v>
      </c>
      <c r="U105" s="655" t="str">
        <f>IF(ISERROR(MATCH(AA105,'Inputs Mapping'!$U$4:$U$5,0)),"x","")</f>
        <v>x</v>
      </c>
      <c r="V105" s="655" t="str">
        <f>IF(ISERROR(MATCH(AB105,'Inputs Mapping'!$V$4:$V$5,0)),"x","")</f>
        <v>x</v>
      </c>
      <c r="W105" s="655" t="str">
        <f>IF(ISERROR(MATCH(F105,'Inputs Mapping'!$W$4:$W$8,0)),"x","")</f>
        <v>x</v>
      </c>
      <c r="X105" s="655" t="str">
        <f t="shared" si="58"/>
        <v/>
      </c>
      <c r="Y105" s="655" t="str">
        <f t="shared" si="59"/>
        <v/>
      </c>
      <c r="Z105" s="655" t="str">
        <f t="shared" si="40"/>
        <v/>
      </c>
      <c r="AA105" s="655" t="str">
        <f t="shared" si="41"/>
        <v/>
      </c>
      <c r="AB105" s="655" t="str">
        <f t="shared" si="43"/>
        <v/>
      </c>
      <c r="AC105" s="655" t="str">
        <f t="shared" si="50"/>
        <v>x</v>
      </c>
      <c r="AD105" s="655" t="str">
        <f>IF(ISBLANK(I105),"x",IF(ISNUMBER(MATCH(I105,'Inputs Mapping'!$AF$5:$AF$199,0)),"","x"))</f>
        <v>x</v>
      </c>
      <c r="AE105" s="655" t="str">
        <f t="shared" si="44"/>
        <v/>
      </c>
      <c r="AF105" s="148"/>
      <c r="AG105" s="148"/>
      <c r="AH105" s="148" t="str">
        <f t="shared" si="45"/>
        <v/>
      </c>
      <c r="AI105" s="654" t="str">
        <f>IF(J105="","",VLOOKUP(J105,'Inputs Mapping'!$T$27:$V$31,3))</f>
        <v/>
      </c>
      <c r="AJ105" s="654" t="str">
        <f>IF(J105="","",VLOOKUP(J105,'Inputs Mapping'!$T$17:$V$24,3))</f>
        <v/>
      </c>
      <c r="AK105" s="654" t="str">
        <f t="shared" si="46"/>
        <v/>
      </c>
      <c r="AL105" s="655" t="str">
        <f t="shared" si="60"/>
        <v/>
      </c>
      <c r="AM105" s="655" t="str">
        <f>IF(F105="","",IF(AE105="Dubai",HLOOKUP(F105,Inputs!$C$26:$M$36,5,0),HLOOKUP(F105,Inputs!$C$45:$M$49,5,0)))</f>
        <v/>
      </c>
      <c r="AN105" s="655">
        <f t="shared" si="47"/>
        <v>0</v>
      </c>
      <c r="AO105" s="654" t="str">
        <f>IF(AJ105="","",IF(AN105="Dubai",VLOOKUP(AJ105,'Inputs Mapping'!$V$17:$W$24,2,0),VLOOKUP(AI105,'Inputs Mapping'!$V$27:$W$31,2,0)))</f>
        <v/>
      </c>
      <c r="AP105" s="666">
        <f>IFERROR(IF($AN105="","",HLOOKUP($AN105&amp;RIGHT($AL105,1),'input for formula'!$B$16:$I$20,3,0)),0)</f>
        <v>0</v>
      </c>
      <c r="AQ105" s="656">
        <f>IFERROR(IF($AN105="","",HLOOKUP($AN105&amp;$F105,'input for formula'!$B$22:$M$25,2,0)),0)</f>
        <v>0</v>
      </c>
      <c r="AR105" s="666">
        <f>IFERROR(IF($AN105="","",HLOOKUP($AN105&amp;RIGHT($AL105,1),'input for formula'!$B$16:$I$20,4,0)),0)</f>
        <v>0</v>
      </c>
      <c r="AS105" s="656">
        <f>IFERROR(IF($AN105="","",HLOOKUP($AN105&amp;$F105,'input for formula'!$B$22:$M$25,3,0)),0)</f>
        <v>0</v>
      </c>
      <c r="AT105" s="656">
        <f>IFERROR(IF($AN105="","",HLOOKUP($AN105&amp;RIGHT($AL105,1),'input for formula'!$B$16:$I$20,5,0)),0)</f>
        <v>0</v>
      </c>
      <c r="AU105" s="656">
        <f>IFERROR(IF($AN105="","",HLOOKUP($AN105&amp;$F105,'input for formula'!$B$22:$M$25,4,0)),0)</f>
        <v>0</v>
      </c>
      <c r="AV105" s="666">
        <f>IFERROR(IF($AN105="","",IF('Census Data'!$AN105="Abu Dhabi",VLOOKUP('Census Data'!$AM105,'input for formula'!$A$28:$C$41,3,0),VLOOKUP('Census Data'!$AM105,'input for formula'!$A$28:$C$47,2,0))),0)*IFERROR(1+IF(AN105="Dubai",VLOOKUP(F105,'Quotation for Dubai Plans'!$V$6:$X$12,3,FALSE),VLOOKUP(F105,'Quotation for Abu Dhabi Plans'!$W$6:$Y$12,3,FALSE)),0)</f>
        <v>0</v>
      </c>
      <c r="AW105" s="656" t="str">
        <f t="shared" si="52"/>
        <v/>
      </c>
      <c r="AX105" s="667" t="str">
        <f>IFERROR(IF(AL105="","",IF(AN105="Dubai",HLOOKUP((AL105&amp;AM105),Deviation!$B$7:$S$8,2,0)*BF105*BH105*BI105*BG105,HLOOKUP((AL105&amp;AM105),Deviation!$B$9:$O$10,2,0)*BF105*BH105*BI105*BG105)),0)</f>
        <v/>
      </c>
      <c r="AY105" s="668"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formula'!$M$3:$O$7,AO105,FALSE)))*AX105+AP105*AQ105+AR105*AS105+AT105*AU105),0)*$AZ$3*BK105*BJ105*IF(AND(Inputs!$C$19&gt;19,Inputs!$C$19&lt;30),(1+$AZ$2),1)*(1+$AZ$1))</f>
        <v/>
      </c>
      <c r="AZ105" s="148" t="str">
        <f t="shared" si="48"/>
        <v/>
      </c>
      <c r="BA105" s="669" t="str">
        <f>IF(F105="","",IF(AE105="Dubai",HLOOKUP(F105,Inputs!$C$26:$M$37,9,0),HLOOKUP(F105,Inputs!$C$45:$M$56,9,0)))</f>
        <v/>
      </c>
      <c r="BB105" s="670" t="str">
        <f>IF(F105="","",IF(AE105="Dubai",HLOOKUP(F105,Inputs!$C$26:$M$37,10,0),HLOOKUP(F105,Inputs!$C$45:$M$56,10,0)))</f>
        <v/>
      </c>
      <c r="BC105" s="670" t="str">
        <f>IF(F105="","",IF(AE105="Dubai",HLOOKUP(F105,Inputs!$C$26:$M$37,11,0),HLOOKUP(F105,Inputs!$C$45:$M$56,11,0)))</f>
        <v/>
      </c>
      <c r="BD105" s="669" t="str">
        <f>IF(F105="","",IF(AE105="Dubai",HLOOKUP(F105,Inputs!$C$26:$M$37,12,0),HLOOKUP(F105,Inputs!$C$45:$M$56,12,0)))</f>
        <v/>
      </c>
      <c r="BE105" s="654"/>
      <c r="BF105" s="669" t="str">
        <f>IFERROR(IF(AL105="","",IF(AN105="Dubai",IF(OR(AL105="Plan1",AL105="Plan2"),VLOOKUP(BA105,Deviation!$B$31:$D$33,2,FALSE),VLOOKUP(BA105,Deviation!$B$31:$D$33,3,FALSE)),IF(OR(AL105="Plan1",AL105="Plan2"),VLOOKUP(BA105,Deviation!$E$31:$AE$33,2,FALSE),VLOOKUP(BA105,Deviation!$E$31:$AE$33,3,FALSE)))),0)</f>
        <v/>
      </c>
      <c r="BG105" s="671" t="str">
        <f>IFERROR(IF(AL105="","",IF(AN105="Dubai",IF(AL105="Plan1",VLOOKUP(BB105,Deviation!$B$39:$C$40,2,FALSE),IF(AL105="Plan2",VLOOKUP(BB105,Deviation!$B$42:$C$43,2,FALSE),IF(AL105="Plan5",VLOOKUP(BB105,Deviation!$B$48:$C$49,2,FALSE),VLOOKUP(BB105,Deviation!$B$45:$C$46,2,FALSE)))),IF(AL105="Plan1",VLOOKUP(BB105,Deviation!$E$39:$F$40,2,FALSE),IF(AL105="Plan2",VLOOKUP(BB105,Deviation!$E$42:$F$43,2,FALSE),VLOOKUP(BB105,Deviation!$E$45:$F$46,2,FALSE))))),0)</f>
        <v/>
      </c>
      <c r="BH105" s="671" t="str">
        <f>IFERROR(IF(AL105="","",IF(AN105="Dubai",IF(OR(AL105="Plan1",AL105="Plan2"),VLOOKUP(BC105,Deviation!$B$15:$D$19,2,FALSE),VLOOKUP(BC105,Deviation!$B$15:$D$19,3,FALSE)),IF(OR(AL105="Plan1",AL105="Plan2"),VLOOKUP(BC105,Deviation!$E$15:$AE$19,2,FALSE),VLOOKUP(BC105,Deviation!$E$15:$AE$19,3,FALSE)))),0)</f>
        <v/>
      </c>
      <c r="BI105" s="669" t="str">
        <f>IFERROR(IF(AL105="","",IF(AN105="Dubai",VLOOKUP(BD105,Deviation!$B$24:$C$26,2,FALSE),100%)),0)</f>
        <v/>
      </c>
      <c r="BJ105" s="672">
        <f>IF(AE105="Abu Dhabi",1,IFERROR(VLOOKUP(AM105,Deviation!$B$67:$E$79,MATCH('Census Data'!AA105,Deviation!$B$66:$E$66,0),0),1))</f>
        <v>1</v>
      </c>
      <c r="BK105" s="659">
        <f>IFERROR(VLOOKUP(I105,Deviation!$B$54:$C$62,2,0),1)</f>
        <v>1</v>
      </c>
      <c r="BL105" s="148"/>
      <c r="BM105" s="148"/>
      <c r="BN105" s="148"/>
      <c r="BO105" s="148"/>
      <c r="BP105" s="148"/>
      <c r="BQ105" s="148"/>
      <c r="BR105" s="148"/>
      <c r="BS105" s="148"/>
      <c r="BT105" s="148" t="e">
        <f t="shared" si="49"/>
        <v>#VALUE!</v>
      </c>
      <c r="BU105"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f>
        <v/>
      </c>
    </row>
    <row r="106" spans="1:73" ht="15" x14ac:dyDescent="0.25">
      <c r="A106" s="59">
        <v>101</v>
      </c>
      <c r="B106" s="470"/>
      <c r="C106" s="628"/>
      <c r="D106" s="629"/>
      <c r="E106" s="471"/>
      <c r="F106" s="298"/>
      <c r="G106" s="298"/>
      <c r="H106" s="298"/>
      <c r="I106" s="298"/>
      <c r="J106" s="80" t="str">
        <f>IFERROR(IF(C106="","",DATEDIF('Census Data'!C106,eff_date,"y")),"")</f>
        <v/>
      </c>
      <c r="K106" s="59" t="str">
        <f>IF(F106="","",IF(AE106="Dubai",HLOOKUP(F106,Inputs!$C$26:$M$28,3,0),HLOOKUP(F106,Inputs!$C$45:$M$46,2,0)))</f>
        <v/>
      </c>
      <c r="L106" s="104"/>
      <c r="M106" s="105">
        <f t="shared" si="32"/>
        <v>0</v>
      </c>
      <c r="N106" s="654" t="b">
        <f t="shared" si="53"/>
        <v>0</v>
      </c>
      <c r="O106" s="655" t="str">
        <f t="shared" si="54"/>
        <v>x</v>
      </c>
      <c r="P106" s="655" t="str">
        <f t="shared" si="55"/>
        <v>x</v>
      </c>
      <c r="Q106" s="655" t="str">
        <f t="shared" si="56"/>
        <v>x</v>
      </c>
      <c r="R106" s="655" t="str">
        <f t="shared" si="51"/>
        <v>x</v>
      </c>
      <c r="S106" s="655" t="str">
        <f t="shared" si="57"/>
        <v>x</v>
      </c>
      <c r="T106" s="655" t="str">
        <f>IF(ISERROR(MATCH(G106,'Inputs Mapping'!$T$4:$T$10,0)),"x","")</f>
        <v>x</v>
      </c>
      <c r="U106" s="655" t="str">
        <f>IF(ISERROR(MATCH(AA106,'Inputs Mapping'!$U$4:$U$5,0)),"x","")</f>
        <v>x</v>
      </c>
      <c r="V106" s="655" t="str">
        <f>IF(ISERROR(MATCH(AB106,'Inputs Mapping'!$V$4:$V$5,0)),"x","")</f>
        <v>x</v>
      </c>
      <c r="W106" s="655" t="str">
        <f>IF(ISERROR(MATCH(F106,'Inputs Mapping'!$W$4:$W$8,0)),"x","")</f>
        <v>x</v>
      </c>
      <c r="X106" s="655" t="str">
        <f t="shared" si="58"/>
        <v/>
      </c>
      <c r="Y106" s="655" t="str">
        <f t="shared" si="59"/>
        <v/>
      </c>
      <c r="Z106" s="655" t="str">
        <f t="shared" si="40"/>
        <v/>
      </c>
      <c r="AA106" s="655" t="str">
        <f t="shared" si="41"/>
        <v/>
      </c>
      <c r="AB106" s="655" t="str">
        <f t="shared" si="43"/>
        <v/>
      </c>
      <c r="AC106" s="655" t="str">
        <f t="shared" si="50"/>
        <v>x</v>
      </c>
      <c r="AD106" s="655" t="str">
        <f>IF(ISBLANK(I106),"x",IF(ISNUMBER(MATCH(I106,'Inputs Mapping'!$AF$5:$AF$199,0)),"","x"))</f>
        <v>x</v>
      </c>
      <c r="AE106" s="655" t="str">
        <f t="shared" si="44"/>
        <v/>
      </c>
      <c r="AF106" s="148"/>
      <c r="AG106" s="148"/>
      <c r="AH106" s="148" t="str">
        <f t="shared" si="45"/>
        <v/>
      </c>
      <c r="AI106" s="654" t="str">
        <f>IF(J106="","",VLOOKUP(J106,'Inputs Mapping'!$T$27:$V$31,3))</f>
        <v/>
      </c>
      <c r="AJ106" s="654" t="str">
        <f>IF(J106="","",VLOOKUP(J106,'Inputs Mapping'!$T$17:$V$24,3))</f>
        <v/>
      </c>
      <c r="AK106" s="654" t="str">
        <f t="shared" si="46"/>
        <v/>
      </c>
      <c r="AL106" s="655" t="str">
        <f t="shared" si="60"/>
        <v/>
      </c>
      <c r="AM106" s="655" t="str">
        <f>IF(F106="","",IF(AE106="Dubai",HLOOKUP(F106,Inputs!$C$26:$M$36,5,0),HLOOKUP(F106,Inputs!$C$45:$M$49,5,0)))</f>
        <v/>
      </c>
      <c r="AN106" s="655">
        <f t="shared" si="47"/>
        <v>0</v>
      </c>
      <c r="AO106" s="654" t="str">
        <f>IF(AJ106="","",IF(AN106="Dubai",VLOOKUP(AJ106,'Inputs Mapping'!$V$17:$W$24,2,0),VLOOKUP(AI106,'Inputs Mapping'!$V$27:$W$31,2,0)))</f>
        <v/>
      </c>
      <c r="AP106" s="666">
        <f>IFERROR(IF($AN106="","",HLOOKUP($AN106&amp;RIGHT($AL106,1),'input for formula'!$B$16:$I$20,3,0)),0)</f>
        <v>0</v>
      </c>
      <c r="AQ106" s="656">
        <f>IFERROR(IF($AN106="","",HLOOKUP($AN106&amp;$F106,'input for formula'!$B$22:$M$25,2,0)),0)</f>
        <v>0</v>
      </c>
      <c r="AR106" s="666">
        <f>IFERROR(IF($AN106="","",HLOOKUP($AN106&amp;RIGHT($AL106,1),'input for formula'!$B$16:$I$20,4,0)),0)</f>
        <v>0</v>
      </c>
      <c r="AS106" s="656">
        <f>IFERROR(IF($AN106="","",HLOOKUP($AN106&amp;$F106,'input for formula'!$B$22:$M$25,3,0)),0)</f>
        <v>0</v>
      </c>
      <c r="AT106" s="656">
        <f>IFERROR(IF($AN106="","",HLOOKUP($AN106&amp;RIGHT($AL106,1),'input for formula'!$B$16:$I$20,5,0)),0)</f>
        <v>0</v>
      </c>
      <c r="AU106" s="656">
        <f>IFERROR(IF($AN106="","",HLOOKUP($AN106&amp;$F106,'input for formula'!$B$22:$M$25,4,0)),0)</f>
        <v>0</v>
      </c>
      <c r="AV106" s="666">
        <f>IFERROR(IF($AN106="","",IF('Census Data'!$AN106="Abu Dhabi",VLOOKUP('Census Data'!$AM106,'input for formula'!$A$28:$C$41,3,0),VLOOKUP('Census Data'!$AM106,'input for formula'!$A$28:$C$47,2,0))),0)*IFERROR(1+IF(AN106="Dubai",VLOOKUP(F106,'Quotation for Dubai Plans'!$V$6:$X$12,3,FALSE),VLOOKUP(F106,'Quotation for Abu Dhabi Plans'!$W$6:$Y$12,3,FALSE)),0)</f>
        <v>0</v>
      </c>
      <c r="AW106" s="656" t="str">
        <f t="shared" si="52"/>
        <v/>
      </c>
      <c r="AX106" s="667" t="str">
        <f>IFERROR(IF(AL106="","",IF(AN106="Dubai",HLOOKUP((AL106&amp;AM106),Deviation!$B$7:$S$8,2,0)*BF106*BH106*BI106*BG106,HLOOKUP((AL106&amp;AM106),Deviation!$B$9:$O$10,2,0)*BF106*BH106*BI106*BG106)),0)</f>
        <v/>
      </c>
      <c r="AY106" s="668"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formula'!$M$3:$O$7,AO106,FALSE)))*AX106+AP106*AQ106+AR106*AS106+AT106*AU106),0)*$AZ$3*BK106*BJ106*IF(AND(Inputs!$C$19&gt;19,Inputs!$C$19&lt;30),(1+$AZ$2),1)*(1+$AZ$1))</f>
        <v/>
      </c>
      <c r="AZ106" s="148" t="str">
        <f t="shared" si="48"/>
        <v/>
      </c>
      <c r="BA106" s="669" t="str">
        <f>IF(F106="","",IF(AE106="Dubai",HLOOKUP(F106,Inputs!$C$26:$M$37,9,0),HLOOKUP(F106,Inputs!$C$45:$M$56,9,0)))</f>
        <v/>
      </c>
      <c r="BB106" s="670" t="str">
        <f>IF(F106="","",IF(AE106="Dubai",HLOOKUP(F106,Inputs!$C$26:$M$37,10,0),HLOOKUP(F106,Inputs!$C$45:$M$56,10,0)))</f>
        <v/>
      </c>
      <c r="BC106" s="670" t="str">
        <f>IF(F106="","",IF(AE106="Dubai",HLOOKUP(F106,Inputs!$C$26:$M$37,11,0),HLOOKUP(F106,Inputs!$C$45:$M$56,11,0)))</f>
        <v/>
      </c>
      <c r="BD106" s="669" t="str">
        <f>IF(F106="","",IF(AE106="Dubai",HLOOKUP(F106,Inputs!$C$26:$M$37,12,0),HLOOKUP(F106,Inputs!$C$45:$M$56,12,0)))</f>
        <v/>
      </c>
      <c r="BE106" s="654"/>
      <c r="BF106" s="669" t="str">
        <f>IFERROR(IF(AL106="","",IF(AN106="Dubai",IF(OR(AL106="Plan1",AL106="Plan2"),VLOOKUP(BA106,Deviation!$B$31:$D$33,2,FALSE),VLOOKUP(BA106,Deviation!$B$31:$D$33,3,FALSE)),IF(OR(AL106="Plan1",AL106="Plan2"),VLOOKUP(BA106,Deviation!$E$31:$AE$33,2,FALSE),VLOOKUP(BA106,Deviation!$E$31:$AE$33,3,FALSE)))),0)</f>
        <v/>
      </c>
      <c r="BG106" s="671" t="str">
        <f>IFERROR(IF(AL106="","",IF(AN106="Dubai",IF(AL106="Plan1",VLOOKUP(BB106,Deviation!$B$39:$C$40,2,FALSE),IF(AL106="Plan2",VLOOKUP(BB106,Deviation!$B$42:$C$43,2,FALSE),IF(AL106="Plan5",VLOOKUP(BB106,Deviation!$B$48:$C$49,2,FALSE),VLOOKUP(BB106,Deviation!$B$45:$C$46,2,FALSE)))),IF(AL106="Plan1",VLOOKUP(BB106,Deviation!$E$39:$F$40,2,FALSE),IF(AL106="Plan2",VLOOKUP(BB106,Deviation!$E$42:$F$43,2,FALSE),VLOOKUP(BB106,Deviation!$E$45:$F$46,2,FALSE))))),0)</f>
        <v/>
      </c>
      <c r="BH106" s="671" t="str">
        <f>IFERROR(IF(AL106="","",IF(AN106="Dubai",IF(OR(AL106="Plan1",AL106="Plan2"),VLOOKUP(BC106,Deviation!$B$15:$D$19,2,FALSE),VLOOKUP(BC106,Deviation!$B$15:$D$19,3,FALSE)),IF(OR(AL106="Plan1",AL106="Plan2"),VLOOKUP(BC106,Deviation!$E$15:$AE$19,2,FALSE),VLOOKUP(BC106,Deviation!$E$15:$AE$19,3,FALSE)))),0)</f>
        <v/>
      </c>
      <c r="BI106" s="669" t="str">
        <f>IFERROR(IF(AL106="","",IF(AN106="Dubai",VLOOKUP(BD106,Deviation!$B$24:$C$26,2,FALSE),100%)),0)</f>
        <v/>
      </c>
      <c r="BJ106" s="672">
        <f>IF(AE106="Abu Dhabi",1,IFERROR(VLOOKUP(AM106,Deviation!$B$67:$E$79,MATCH('Census Data'!AA106,Deviation!$B$66:$E$66,0),0),1))</f>
        <v>1</v>
      </c>
      <c r="BK106" s="659">
        <f>IFERROR(VLOOKUP(I106,Deviation!$B$54:$C$62,2,0),1)</f>
        <v>1</v>
      </c>
      <c r="BL106" s="148"/>
      <c r="BM106" s="148"/>
      <c r="BN106" s="148"/>
      <c r="BO106" s="148"/>
      <c r="BP106" s="148"/>
      <c r="BQ106" s="148"/>
      <c r="BR106" s="148"/>
      <c r="BS106" s="148"/>
      <c r="BT106" s="148" t="e">
        <f t="shared" si="49"/>
        <v>#VALUE!</v>
      </c>
      <c r="BU106"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f>
        <v/>
      </c>
    </row>
    <row r="107" spans="1:73" ht="15" x14ac:dyDescent="0.25">
      <c r="A107" s="59">
        <v>102</v>
      </c>
      <c r="B107" s="470"/>
      <c r="C107" s="628"/>
      <c r="D107" s="629"/>
      <c r="E107" s="471"/>
      <c r="F107" s="298"/>
      <c r="G107" s="298"/>
      <c r="H107" s="298"/>
      <c r="I107" s="298"/>
      <c r="J107" s="80" t="str">
        <f>IFERROR(IF(C107="","",DATEDIF('Census Data'!C107,eff_date,"y")),"")</f>
        <v/>
      </c>
      <c r="K107" s="59" t="str">
        <f>IF(F107="","",IF(AE107="Dubai",HLOOKUP(F107,Inputs!$C$26:$M$28,3,0),HLOOKUP(F107,Inputs!$C$45:$M$46,2,0)))</f>
        <v/>
      </c>
      <c r="L107" s="104"/>
      <c r="M107" s="105">
        <f t="shared" si="32"/>
        <v>0</v>
      </c>
      <c r="N107" s="654" t="b">
        <f t="shared" si="53"/>
        <v>0</v>
      </c>
      <c r="O107" s="655" t="str">
        <f t="shared" si="54"/>
        <v>x</v>
      </c>
      <c r="P107" s="655" t="str">
        <f t="shared" si="55"/>
        <v>x</v>
      </c>
      <c r="Q107" s="655" t="str">
        <f t="shared" si="56"/>
        <v>x</v>
      </c>
      <c r="R107" s="655" t="str">
        <f t="shared" si="51"/>
        <v>x</v>
      </c>
      <c r="S107" s="655" t="str">
        <f t="shared" si="57"/>
        <v>x</v>
      </c>
      <c r="T107" s="655" t="str">
        <f>IF(ISERROR(MATCH(G107,'Inputs Mapping'!$T$4:$T$10,0)),"x","")</f>
        <v>x</v>
      </c>
      <c r="U107" s="655" t="str">
        <f>IF(ISERROR(MATCH(AA107,'Inputs Mapping'!$U$4:$U$5,0)),"x","")</f>
        <v>x</v>
      </c>
      <c r="V107" s="655" t="str">
        <f>IF(ISERROR(MATCH(AB107,'Inputs Mapping'!$V$4:$V$5,0)),"x","")</f>
        <v>x</v>
      </c>
      <c r="W107" s="655" t="str">
        <f>IF(ISERROR(MATCH(F107,'Inputs Mapping'!$W$4:$W$8,0)),"x","")</f>
        <v>x</v>
      </c>
      <c r="X107" s="655" t="str">
        <f t="shared" si="58"/>
        <v/>
      </c>
      <c r="Y107" s="655" t="str">
        <f t="shared" si="59"/>
        <v/>
      </c>
      <c r="Z107" s="655" t="str">
        <f t="shared" si="40"/>
        <v/>
      </c>
      <c r="AA107" s="655" t="str">
        <f t="shared" si="41"/>
        <v/>
      </c>
      <c r="AB107" s="655" t="str">
        <f t="shared" si="43"/>
        <v/>
      </c>
      <c r="AC107" s="655" t="str">
        <f t="shared" si="50"/>
        <v>x</v>
      </c>
      <c r="AD107" s="655" t="str">
        <f>IF(ISBLANK(I107),"x",IF(ISNUMBER(MATCH(I107,'Inputs Mapping'!$AF$5:$AF$199,0)),"","x"))</f>
        <v>x</v>
      </c>
      <c r="AE107" s="655" t="str">
        <f t="shared" si="44"/>
        <v/>
      </c>
      <c r="AF107" s="148"/>
      <c r="AG107" s="148"/>
      <c r="AH107" s="148" t="str">
        <f t="shared" si="45"/>
        <v/>
      </c>
      <c r="AI107" s="654" t="str">
        <f>IF(J107="","",VLOOKUP(J107,'Inputs Mapping'!$T$27:$V$31,3))</f>
        <v/>
      </c>
      <c r="AJ107" s="654" t="str">
        <f>IF(J107="","",VLOOKUP(J107,'Inputs Mapping'!$T$17:$V$24,3))</f>
        <v/>
      </c>
      <c r="AK107" s="654" t="str">
        <f t="shared" si="46"/>
        <v/>
      </c>
      <c r="AL107" s="655" t="str">
        <f t="shared" si="60"/>
        <v/>
      </c>
      <c r="AM107" s="655" t="str">
        <f>IF(F107="","",IF(AE107="Dubai",HLOOKUP(F107,Inputs!$C$26:$M$36,5,0),HLOOKUP(F107,Inputs!$C$45:$M$49,5,0)))</f>
        <v/>
      </c>
      <c r="AN107" s="655">
        <f t="shared" si="47"/>
        <v>0</v>
      </c>
      <c r="AO107" s="654" t="str">
        <f>IF(AJ107="","",IF(AN107="Dubai",VLOOKUP(AJ107,'Inputs Mapping'!$V$17:$W$24,2,0),VLOOKUP(AI107,'Inputs Mapping'!$V$27:$W$31,2,0)))</f>
        <v/>
      </c>
      <c r="AP107" s="666">
        <f>IFERROR(IF($AN107="","",HLOOKUP($AN107&amp;RIGHT($AL107,1),'input for formula'!$B$16:$I$20,3,0)),0)</f>
        <v>0</v>
      </c>
      <c r="AQ107" s="656">
        <f>IFERROR(IF($AN107="","",HLOOKUP($AN107&amp;$F107,'input for formula'!$B$22:$M$25,2,0)),0)</f>
        <v>0</v>
      </c>
      <c r="AR107" s="666">
        <f>IFERROR(IF($AN107="","",HLOOKUP($AN107&amp;RIGHT($AL107,1),'input for formula'!$B$16:$I$20,4,0)),0)</f>
        <v>0</v>
      </c>
      <c r="AS107" s="656">
        <f>IFERROR(IF($AN107="","",HLOOKUP($AN107&amp;$F107,'input for formula'!$B$22:$M$25,3,0)),0)</f>
        <v>0</v>
      </c>
      <c r="AT107" s="656">
        <f>IFERROR(IF($AN107="","",HLOOKUP($AN107&amp;RIGHT($AL107,1),'input for formula'!$B$16:$I$20,5,0)),0)</f>
        <v>0</v>
      </c>
      <c r="AU107" s="656">
        <f>IFERROR(IF($AN107="","",HLOOKUP($AN107&amp;$F107,'input for formula'!$B$22:$M$25,4,0)),0)</f>
        <v>0</v>
      </c>
      <c r="AV107" s="666">
        <f>IFERROR(IF($AN107="","",IF('Census Data'!$AN107="Abu Dhabi",VLOOKUP('Census Data'!$AM107,'input for formula'!$A$28:$C$41,3,0),VLOOKUP('Census Data'!$AM107,'input for formula'!$A$28:$C$47,2,0))),0)*IFERROR(1+IF(AN107="Dubai",VLOOKUP(F107,'Quotation for Dubai Plans'!$V$6:$X$12,3,FALSE),VLOOKUP(F107,'Quotation for Abu Dhabi Plans'!$W$6:$Y$12,3,FALSE)),0)</f>
        <v>0</v>
      </c>
      <c r="AW107" s="656" t="str">
        <f t="shared" si="52"/>
        <v/>
      </c>
      <c r="AX107" s="667" t="str">
        <f>IFERROR(IF(AL107="","",IF(AN107="Dubai",HLOOKUP((AL107&amp;AM107),Deviation!$B$7:$S$8,2,0)*BF107*BH107*BI107*BG107,HLOOKUP((AL107&amp;AM107),Deviation!$B$9:$O$10,2,0)*BF107*BH107*BI107*BG107)),0)</f>
        <v/>
      </c>
      <c r="AY107" s="668"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formula'!$M$3:$O$7,AO107,FALSE)))*AX107+AP107*AQ107+AR107*AS107+AT107*AU107),0)*$AZ$3*BK107*BJ107*IF(AND(Inputs!$C$19&gt;19,Inputs!$C$19&lt;30),(1+$AZ$2),1)*(1+$AZ$1))</f>
        <v/>
      </c>
      <c r="AZ107" s="148" t="str">
        <f t="shared" si="48"/>
        <v/>
      </c>
      <c r="BA107" s="669" t="str">
        <f>IF(F107="","",IF(AE107="Dubai",HLOOKUP(F107,Inputs!$C$26:$M$37,9,0),HLOOKUP(F107,Inputs!$C$45:$M$56,9,0)))</f>
        <v/>
      </c>
      <c r="BB107" s="670" t="str">
        <f>IF(F107="","",IF(AE107="Dubai",HLOOKUP(F107,Inputs!$C$26:$M$37,10,0),HLOOKUP(F107,Inputs!$C$45:$M$56,10,0)))</f>
        <v/>
      </c>
      <c r="BC107" s="670" t="str">
        <f>IF(F107="","",IF(AE107="Dubai",HLOOKUP(F107,Inputs!$C$26:$M$37,11,0),HLOOKUP(F107,Inputs!$C$45:$M$56,11,0)))</f>
        <v/>
      </c>
      <c r="BD107" s="669" t="str">
        <f>IF(F107="","",IF(AE107="Dubai",HLOOKUP(F107,Inputs!$C$26:$M$37,12,0),HLOOKUP(F107,Inputs!$C$45:$M$56,12,0)))</f>
        <v/>
      </c>
      <c r="BE107" s="654"/>
      <c r="BF107" s="669" t="str">
        <f>IFERROR(IF(AL107="","",IF(AN107="Dubai",IF(OR(AL107="Plan1",AL107="Plan2"),VLOOKUP(BA107,Deviation!$B$31:$D$33,2,FALSE),VLOOKUP(BA107,Deviation!$B$31:$D$33,3,FALSE)),IF(OR(AL107="Plan1",AL107="Plan2"),VLOOKUP(BA107,Deviation!$E$31:$AE$33,2,FALSE),VLOOKUP(BA107,Deviation!$E$31:$AE$33,3,FALSE)))),0)</f>
        <v/>
      </c>
      <c r="BG107" s="671" t="str">
        <f>IFERROR(IF(AL107="","",IF(AN107="Dubai",IF(AL107="Plan1",VLOOKUP(BB107,Deviation!$B$39:$C$40,2,FALSE),IF(AL107="Plan2",VLOOKUP(BB107,Deviation!$B$42:$C$43,2,FALSE),IF(AL107="Plan5",VLOOKUP(BB107,Deviation!$B$48:$C$49,2,FALSE),VLOOKUP(BB107,Deviation!$B$45:$C$46,2,FALSE)))),IF(AL107="Plan1",VLOOKUP(BB107,Deviation!$E$39:$F$40,2,FALSE),IF(AL107="Plan2",VLOOKUP(BB107,Deviation!$E$42:$F$43,2,FALSE),VLOOKUP(BB107,Deviation!$E$45:$F$46,2,FALSE))))),0)</f>
        <v/>
      </c>
      <c r="BH107" s="671" t="str">
        <f>IFERROR(IF(AL107="","",IF(AN107="Dubai",IF(OR(AL107="Plan1",AL107="Plan2"),VLOOKUP(BC107,Deviation!$B$15:$D$19,2,FALSE),VLOOKUP(BC107,Deviation!$B$15:$D$19,3,FALSE)),IF(OR(AL107="Plan1",AL107="Plan2"),VLOOKUP(BC107,Deviation!$E$15:$AE$19,2,FALSE),VLOOKUP(BC107,Deviation!$E$15:$AE$19,3,FALSE)))),0)</f>
        <v/>
      </c>
      <c r="BI107" s="669" t="str">
        <f>IFERROR(IF(AL107="","",IF(AN107="Dubai",VLOOKUP(BD107,Deviation!$B$24:$C$26,2,FALSE),100%)),0)</f>
        <v/>
      </c>
      <c r="BJ107" s="672">
        <f>IF(AE107="Abu Dhabi",1,IFERROR(VLOOKUP(AM107,Deviation!$B$67:$E$79,MATCH('Census Data'!AA107,Deviation!$B$66:$E$66,0),0),1))</f>
        <v>1</v>
      </c>
      <c r="BK107" s="659">
        <f>IFERROR(VLOOKUP(I107,Deviation!$B$54:$C$62,2,0),1)</f>
        <v>1</v>
      </c>
      <c r="BL107" s="148"/>
      <c r="BM107" s="148"/>
      <c r="BN107" s="148"/>
      <c r="BO107" s="148"/>
      <c r="BP107" s="148"/>
      <c r="BQ107" s="148"/>
      <c r="BR107" s="148"/>
      <c r="BS107" s="148"/>
      <c r="BT107" s="148" t="e">
        <f t="shared" si="49"/>
        <v>#VALUE!</v>
      </c>
      <c r="BU107"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f>
        <v/>
      </c>
    </row>
    <row r="108" spans="1:73" ht="15" x14ac:dyDescent="0.25">
      <c r="A108" s="59">
        <v>103</v>
      </c>
      <c r="B108" s="470"/>
      <c r="C108" s="628"/>
      <c r="D108" s="629"/>
      <c r="E108" s="471"/>
      <c r="F108" s="298"/>
      <c r="G108" s="298"/>
      <c r="H108" s="298"/>
      <c r="I108" s="298"/>
      <c r="J108" s="80" t="str">
        <f>IFERROR(IF(C108="","",DATEDIF('Census Data'!C108,eff_date,"y")),"")</f>
        <v/>
      </c>
      <c r="K108" s="59" t="str">
        <f>IF(F108="","",IF(AE108="Dubai",HLOOKUP(F108,Inputs!$C$26:$M$28,3,0),HLOOKUP(F108,Inputs!$C$45:$M$46,2,0)))</f>
        <v/>
      </c>
      <c r="L108" s="104"/>
      <c r="M108" s="105">
        <f t="shared" si="32"/>
        <v>0</v>
      </c>
      <c r="N108" s="654" t="b">
        <f t="shared" si="53"/>
        <v>0</v>
      </c>
      <c r="O108" s="655" t="str">
        <f t="shared" si="54"/>
        <v>x</v>
      </c>
      <c r="P108" s="655" t="str">
        <f t="shared" si="55"/>
        <v>x</v>
      </c>
      <c r="Q108" s="655" t="str">
        <f t="shared" si="56"/>
        <v>x</v>
      </c>
      <c r="R108" s="655" t="str">
        <f t="shared" si="51"/>
        <v>x</v>
      </c>
      <c r="S108" s="655" t="str">
        <f t="shared" si="57"/>
        <v>x</v>
      </c>
      <c r="T108" s="655" t="str">
        <f>IF(ISERROR(MATCH(G108,'Inputs Mapping'!$T$4:$T$10,0)),"x","")</f>
        <v>x</v>
      </c>
      <c r="U108" s="655" t="str">
        <f>IF(ISERROR(MATCH(AA108,'Inputs Mapping'!$U$4:$U$5,0)),"x","")</f>
        <v>x</v>
      </c>
      <c r="V108" s="655" t="str">
        <f>IF(ISERROR(MATCH(AB108,'Inputs Mapping'!$V$4:$V$5,0)),"x","")</f>
        <v>x</v>
      </c>
      <c r="W108" s="655" t="str">
        <f>IF(ISERROR(MATCH(F108,'Inputs Mapping'!$W$4:$W$8,0)),"x","")</f>
        <v>x</v>
      </c>
      <c r="X108" s="655" t="str">
        <f t="shared" si="58"/>
        <v/>
      </c>
      <c r="Y108" s="655" t="str">
        <f t="shared" si="59"/>
        <v/>
      </c>
      <c r="Z108" s="655" t="str">
        <f t="shared" si="40"/>
        <v/>
      </c>
      <c r="AA108" s="655" t="str">
        <f t="shared" si="41"/>
        <v/>
      </c>
      <c r="AB108" s="655" t="str">
        <f t="shared" si="43"/>
        <v/>
      </c>
      <c r="AC108" s="655" t="str">
        <f t="shared" si="50"/>
        <v>x</v>
      </c>
      <c r="AD108" s="655" t="str">
        <f>IF(ISBLANK(I108),"x",IF(ISNUMBER(MATCH(I108,'Inputs Mapping'!$AF$5:$AF$199,0)),"","x"))</f>
        <v>x</v>
      </c>
      <c r="AE108" s="655" t="str">
        <f t="shared" si="44"/>
        <v/>
      </c>
      <c r="AF108" s="148"/>
      <c r="AG108" s="148"/>
      <c r="AH108" s="148" t="str">
        <f t="shared" si="45"/>
        <v/>
      </c>
      <c r="AI108" s="654" t="str">
        <f>IF(J108="","",VLOOKUP(J108,'Inputs Mapping'!$T$27:$V$31,3))</f>
        <v/>
      </c>
      <c r="AJ108" s="654" t="str">
        <f>IF(J108="","",VLOOKUP(J108,'Inputs Mapping'!$T$17:$V$24,3))</f>
        <v/>
      </c>
      <c r="AK108" s="654" t="str">
        <f t="shared" si="46"/>
        <v/>
      </c>
      <c r="AL108" s="655" t="str">
        <f t="shared" si="60"/>
        <v/>
      </c>
      <c r="AM108" s="655" t="str">
        <f>IF(F108="","",IF(AE108="Dubai",HLOOKUP(F108,Inputs!$C$26:$M$36,5,0),HLOOKUP(F108,Inputs!$C$45:$M$49,5,0)))</f>
        <v/>
      </c>
      <c r="AN108" s="655">
        <f t="shared" si="47"/>
        <v>0</v>
      </c>
      <c r="AO108" s="654" t="str">
        <f>IF(AJ108="","",IF(AN108="Dubai",VLOOKUP(AJ108,'Inputs Mapping'!$V$17:$W$24,2,0),VLOOKUP(AI108,'Inputs Mapping'!$V$27:$W$31,2,0)))</f>
        <v/>
      </c>
      <c r="AP108" s="666">
        <f>IFERROR(IF($AN108="","",HLOOKUP($AN108&amp;RIGHT($AL108,1),'input for formula'!$B$16:$I$20,3,0)),0)</f>
        <v>0</v>
      </c>
      <c r="AQ108" s="656">
        <f>IFERROR(IF($AN108="","",HLOOKUP($AN108&amp;$F108,'input for formula'!$B$22:$M$25,2,0)),0)</f>
        <v>0</v>
      </c>
      <c r="AR108" s="666">
        <f>IFERROR(IF($AN108="","",HLOOKUP($AN108&amp;RIGHT($AL108,1),'input for formula'!$B$16:$I$20,4,0)),0)</f>
        <v>0</v>
      </c>
      <c r="AS108" s="656">
        <f>IFERROR(IF($AN108="","",HLOOKUP($AN108&amp;$F108,'input for formula'!$B$22:$M$25,3,0)),0)</f>
        <v>0</v>
      </c>
      <c r="AT108" s="656">
        <f>IFERROR(IF($AN108="","",HLOOKUP($AN108&amp;RIGHT($AL108,1),'input for formula'!$B$16:$I$20,5,0)),0)</f>
        <v>0</v>
      </c>
      <c r="AU108" s="656">
        <f>IFERROR(IF($AN108="","",HLOOKUP($AN108&amp;$F108,'input for formula'!$B$22:$M$25,4,0)),0)</f>
        <v>0</v>
      </c>
      <c r="AV108" s="666">
        <f>IFERROR(IF($AN108="","",IF('Census Data'!$AN108="Abu Dhabi",VLOOKUP('Census Data'!$AM108,'input for formula'!$A$28:$C$41,3,0),VLOOKUP('Census Data'!$AM108,'input for formula'!$A$28:$C$47,2,0))),0)*IFERROR(1+IF(AN108="Dubai",VLOOKUP(F108,'Quotation for Dubai Plans'!$V$6:$X$12,3,FALSE),VLOOKUP(F108,'Quotation for Abu Dhabi Plans'!$W$6:$Y$12,3,FALSE)),0)</f>
        <v>0</v>
      </c>
      <c r="AW108" s="656" t="str">
        <f t="shared" si="52"/>
        <v/>
      </c>
      <c r="AX108" s="667" t="str">
        <f>IFERROR(IF(AL108="","",IF(AN108="Dubai",HLOOKUP((AL108&amp;AM108),Deviation!$B$7:$S$8,2,0)*BF108*BH108*BI108*BG108,HLOOKUP((AL108&amp;AM108),Deviation!$B$9:$O$10,2,0)*BF108*BH108*BI108*BG108)),0)</f>
        <v/>
      </c>
      <c r="AY108" s="66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formula'!$M$3:$O$7,AO108,FALSE)))*AX108+AP108*AQ108+AR108*AS108+AT108*AU108),0)*$AZ$3*BK108*BJ108*IF(AND(Inputs!$C$19&gt;19,Inputs!$C$19&lt;30),(1+$AZ$2),1)*(1+$AZ$1))</f>
        <v/>
      </c>
      <c r="AZ108" s="148" t="str">
        <f t="shared" si="48"/>
        <v/>
      </c>
      <c r="BA108" s="669" t="str">
        <f>IF(F108="","",IF(AE108="Dubai",HLOOKUP(F108,Inputs!$C$26:$M$37,9,0),HLOOKUP(F108,Inputs!$C$45:$M$56,9,0)))</f>
        <v/>
      </c>
      <c r="BB108" s="670" t="str">
        <f>IF(F108="","",IF(AE108="Dubai",HLOOKUP(F108,Inputs!$C$26:$M$37,10,0),HLOOKUP(F108,Inputs!$C$45:$M$56,10,0)))</f>
        <v/>
      </c>
      <c r="BC108" s="670" t="str">
        <f>IF(F108="","",IF(AE108="Dubai",HLOOKUP(F108,Inputs!$C$26:$M$37,11,0),HLOOKUP(F108,Inputs!$C$45:$M$56,11,0)))</f>
        <v/>
      </c>
      <c r="BD108" s="669" t="str">
        <f>IF(F108="","",IF(AE108="Dubai",HLOOKUP(F108,Inputs!$C$26:$M$37,12,0),HLOOKUP(F108,Inputs!$C$45:$M$56,12,0)))</f>
        <v/>
      </c>
      <c r="BE108" s="654"/>
      <c r="BF108" s="669" t="str">
        <f>IFERROR(IF(AL108="","",IF(AN108="Dubai",IF(OR(AL108="Plan1",AL108="Plan2"),VLOOKUP(BA108,Deviation!$B$31:$D$33,2,FALSE),VLOOKUP(BA108,Deviation!$B$31:$D$33,3,FALSE)),IF(OR(AL108="Plan1",AL108="Plan2"),VLOOKUP(BA108,Deviation!$E$31:$AE$33,2,FALSE),VLOOKUP(BA108,Deviation!$E$31:$AE$33,3,FALSE)))),0)</f>
        <v/>
      </c>
      <c r="BG108" s="671" t="str">
        <f>IFERROR(IF(AL108="","",IF(AN108="Dubai",IF(AL108="Plan1",VLOOKUP(BB108,Deviation!$B$39:$C$40,2,FALSE),IF(AL108="Plan2",VLOOKUP(BB108,Deviation!$B$42:$C$43,2,FALSE),IF(AL108="Plan5",VLOOKUP(BB108,Deviation!$B$48:$C$49,2,FALSE),VLOOKUP(BB108,Deviation!$B$45:$C$46,2,FALSE)))),IF(AL108="Plan1",VLOOKUP(BB108,Deviation!$E$39:$F$40,2,FALSE),IF(AL108="Plan2",VLOOKUP(BB108,Deviation!$E$42:$F$43,2,FALSE),VLOOKUP(BB108,Deviation!$E$45:$F$46,2,FALSE))))),0)</f>
        <v/>
      </c>
      <c r="BH108" s="671" t="str">
        <f>IFERROR(IF(AL108="","",IF(AN108="Dubai",IF(OR(AL108="Plan1",AL108="Plan2"),VLOOKUP(BC108,Deviation!$B$15:$D$19,2,FALSE),VLOOKUP(BC108,Deviation!$B$15:$D$19,3,FALSE)),IF(OR(AL108="Plan1",AL108="Plan2"),VLOOKUP(BC108,Deviation!$E$15:$AE$19,2,FALSE),VLOOKUP(BC108,Deviation!$E$15:$AE$19,3,FALSE)))),0)</f>
        <v/>
      </c>
      <c r="BI108" s="669" t="str">
        <f>IFERROR(IF(AL108="","",IF(AN108="Dubai",VLOOKUP(BD108,Deviation!$B$24:$C$26,2,FALSE),100%)),0)</f>
        <v/>
      </c>
      <c r="BJ108" s="672">
        <f>IF(AE108="Abu Dhabi",1,IFERROR(VLOOKUP(AM108,Deviation!$B$67:$E$79,MATCH('Census Data'!AA108,Deviation!$B$66:$E$66,0),0),1))</f>
        <v>1</v>
      </c>
      <c r="BK108" s="659">
        <f>IFERROR(VLOOKUP(I108,Deviation!$B$54:$C$62,2,0),1)</f>
        <v>1</v>
      </c>
      <c r="BL108" s="148"/>
      <c r="BM108" s="148"/>
      <c r="BN108" s="148"/>
      <c r="BO108" s="148"/>
      <c r="BP108" s="148"/>
      <c r="BQ108" s="148"/>
      <c r="BR108" s="148"/>
      <c r="BS108" s="148"/>
      <c r="BT108" s="148" t="e">
        <f t="shared" si="49"/>
        <v>#VALUE!</v>
      </c>
      <c r="BU10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f>
        <v/>
      </c>
    </row>
    <row r="109" spans="1:73" ht="15" x14ac:dyDescent="0.25">
      <c r="A109" s="59">
        <v>104</v>
      </c>
      <c r="B109" s="470"/>
      <c r="C109" s="628"/>
      <c r="D109" s="629"/>
      <c r="E109" s="471"/>
      <c r="F109" s="298"/>
      <c r="G109" s="298"/>
      <c r="H109" s="298"/>
      <c r="I109" s="298"/>
      <c r="J109" s="80" t="str">
        <f>IFERROR(IF(C109="","",DATEDIF('Census Data'!C109,eff_date,"y")),"")</f>
        <v/>
      </c>
      <c r="K109" s="59" t="str">
        <f>IF(F109="","",IF(AE109="Dubai",HLOOKUP(F109,Inputs!$C$26:$M$28,3,0),HLOOKUP(F109,Inputs!$C$45:$M$46,2,0)))</f>
        <v/>
      </c>
      <c r="L109" s="104"/>
      <c r="M109" s="105">
        <f t="shared" si="32"/>
        <v>0</v>
      </c>
      <c r="N109" s="654" t="b">
        <f t="shared" si="53"/>
        <v>0</v>
      </c>
      <c r="O109" s="655" t="str">
        <f t="shared" si="54"/>
        <v>x</v>
      </c>
      <c r="P109" s="655" t="str">
        <f t="shared" si="55"/>
        <v>x</v>
      </c>
      <c r="Q109" s="655" t="str">
        <f t="shared" si="56"/>
        <v>x</v>
      </c>
      <c r="R109" s="655" t="str">
        <f t="shared" si="51"/>
        <v>x</v>
      </c>
      <c r="S109" s="655" t="str">
        <f t="shared" si="57"/>
        <v>x</v>
      </c>
      <c r="T109" s="655" t="str">
        <f>IF(ISERROR(MATCH(G109,'Inputs Mapping'!$T$4:$T$10,0)),"x","")</f>
        <v>x</v>
      </c>
      <c r="U109" s="655" t="str">
        <f>IF(ISERROR(MATCH(AA109,'Inputs Mapping'!$U$4:$U$5,0)),"x","")</f>
        <v>x</v>
      </c>
      <c r="V109" s="655" t="str">
        <f>IF(ISERROR(MATCH(AB109,'Inputs Mapping'!$V$4:$V$5,0)),"x","")</f>
        <v>x</v>
      </c>
      <c r="W109" s="655" t="str">
        <f>IF(ISERROR(MATCH(F109,'Inputs Mapping'!$W$4:$W$8,0)),"x","")</f>
        <v>x</v>
      </c>
      <c r="X109" s="655" t="str">
        <f t="shared" si="58"/>
        <v/>
      </c>
      <c r="Y109" s="655" t="str">
        <f t="shared" si="59"/>
        <v/>
      </c>
      <c r="Z109" s="655" t="str">
        <f t="shared" si="40"/>
        <v/>
      </c>
      <c r="AA109" s="655" t="str">
        <f t="shared" si="41"/>
        <v/>
      </c>
      <c r="AB109" s="655" t="str">
        <f t="shared" si="43"/>
        <v/>
      </c>
      <c r="AC109" s="655" t="str">
        <f t="shared" si="50"/>
        <v>x</v>
      </c>
      <c r="AD109" s="655" t="str">
        <f>IF(ISBLANK(I109),"x",IF(ISNUMBER(MATCH(I109,'Inputs Mapping'!$AF$5:$AF$199,0)),"","x"))</f>
        <v>x</v>
      </c>
      <c r="AE109" s="655" t="str">
        <f t="shared" si="44"/>
        <v/>
      </c>
      <c r="AF109" s="148"/>
      <c r="AG109" s="148"/>
      <c r="AH109" s="148" t="str">
        <f t="shared" si="45"/>
        <v/>
      </c>
      <c r="AI109" s="654" t="str">
        <f>IF(J109="","",VLOOKUP(J109,'Inputs Mapping'!$T$27:$V$31,3))</f>
        <v/>
      </c>
      <c r="AJ109" s="654" t="str">
        <f>IF(J109="","",VLOOKUP(J109,'Inputs Mapping'!$T$17:$V$24,3))</f>
        <v/>
      </c>
      <c r="AK109" s="654" t="str">
        <f t="shared" si="46"/>
        <v/>
      </c>
      <c r="AL109" s="655" t="str">
        <f t="shared" si="60"/>
        <v/>
      </c>
      <c r="AM109" s="655" t="str">
        <f>IF(F109="","",IF(AE109="Dubai",HLOOKUP(F109,Inputs!$C$26:$M$36,5,0),HLOOKUP(F109,Inputs!$C$45:$M$49,5,0)))</f>
        <v/>
      </c>
      <c r="AN109" s="655">
        <f t="shared" si="47"/>
        <v>0</v>
      </c>
      <c r="AO109" s="654" t="str">
        <f>IF(AJ109="","",IF(AN109="Dubai",VLOOKUP(AJ109,'Inputs Mapping'!$V$17:$W$24,2,0),VLOOKUP(AI109,'Inputs Mapping'!$V$27:$W$31,2,0)))</f>
        <v/>
      </c>
      <c r="AP109" s="666">
        <f>IFERROR(IF($AN109="","",HLOOKUP($AN109&amp;RIGHT($AL109,1),'input for formula'!$B$16:$I$20,3,0)),0)</f>
        <v>0</v>
      </c>
      <c r="AQ109" s="656">
        <f>IFERROR(IF($AN109="","",HLOOKUP($AN109&amp;$F109,'input for formula'!$B$22:$M$25,2,0)),0)</f>
        <v>0</v>
      </c>
      <c r="AR109" s="666">
        <f>IFERROR(IF($AN109="","",HLOOKUP($AN109&amp;RIGHT($AL109,1),'input for formula'!$B$16:$I$20,4,0)),0)</f>
        <v>0</v>
      </c>
      <c r="AS109" s="656">
        <f>IFERROR(IF($AN109="","",HLOOKUP($AN109&amp;$F109,'input for formula'!$B$22:$M$25,3,0)),0)</f>
        <v>0</v>
      </c>
      <c r="AT109" s="656">
        <f>IFERROR(IF($AN109="","",HLOOKUP($AN109&amp;RIGHT($AL109,1),'input for formula'!$B$16:$I$20,5,0)),0)</f>
        <v>0</v>
      </c>
      <c r="AU109" s="656">
        <f>IFERROR(IF($AN109="","",HLOOKUP($AN109&amp;$F109,'input for formula'!$B$22:$M$25,4,0)),0)</f>
        <v>0</v>
      </c>
      <c r="AV109" s="666">
        <f>IFERROR(IF($AN109="","",IF('Census Data'!$AN109="Abu Dhabi",VLOOKUP('Census Data'!$AM109,'input for formula'!$A$28:$C$41,3,0),VLOOKUP('Census Data'!$AM109,'input for formula'!$A$28:$C$47,2,0))),0)*IFERROR(1+IF(AN109="Dubai",VLOOKUP(F109,'Quotation for Dubai Plans'!$V$6:$X$12,3,FALSE),VLOOKUP(F109,'Quotation for Abu Dhabi Plans'!$W$6:$Y$12,3,FALSE)),0)</f>
        <v>0</v>
      </c>
      <c r="AW109" s="656" t="str">
        <f t="shared" si="52"/>
        <v/>
      </c>
      <c r="AX109" s="667" t="str">
        <f>IFERROR(IF(AL109="","",IF(AN109="Dubai",HLOOKUP((AL109&amp;AM109),Deviation!$B$7:$S$8,2,0)*BF109*BH109*BI109*BG109,HLOOKUP((AL109&amp;AM109),Deviation!$B$9:$O$10,2,0)*BF109*BH109*BI109*BG109)),0)</f>
        <v/>
      </c>
      <c r="AY109" s="668"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formula'!$M$3:$O$7,AO109,FALSE)))*AX109+AP109*AQ109+AR109*AS109+AT109*AU109),0)*$AZ$3*BK109*BJ109*IF(AND(Inputs!$C$19&gt;19,Inputs!$C$19&lt;30),(1+$AZ$2),1)*(1+$AZ$1))</f>
        <v/>
      </c>
      <c r="AZ109" s="148" t="str">
        <f t="shared" si="48"/>
        <v/>
      </c>
      <c r="BA109" s="669" t="str">
        <f>IF(F109="","",IF(AE109="Dubai",HLOOKUP(F109,Inputs!$C$26:$M$37,9,0),HLOOKUP(F109,Inputs!$C$45:$M$56,9,0)))</f>
        <v/>
      </c>
      <c r="BB109" s="670" t="str">
        <f>IF(F109="","",IF(AE109="Dubai",HLOOKUP(F109,Inputs!$C$26:$M$37,10,0),HLOOKUP(F109,Inputs!$C$45:$M$56,10,0)))</f>
        <v/>
      </c>
      <c r="BC109" s="670" t="str">
        <f>IF(F109="","",IF(AE109="Dubai",HLOOKUP(F109,Inputs!$C$26:$M$37,11,0),HLOOKUP(F109,Inputs!$C$45:$M$56,11,0)))</f>
        <v/>
      </c>
      <c r="BD109" s="669" t="str">
        <f>IF(F109="","",IF(AE109="Dubai",HLOOKUP(F109,Inputs!$C$26:$M$37,12,0),HLOOKUP(F109,Inputs!$C$45:$M$56,12,0)))</f>
        <v/>
      </c>
      <c r="BE109" s="654"/>
      <c r="BF109" s="669" t="str">
        <f>IFERROR(IF(AL109="","",IF(AN109="Dubai",IF(OR(AL109="Plan1",AL109="Plan2"),VLOOKUP(BA109,Deviation!$B$31:$D$33,2,FALSE),VLOOKUP(BA109,Deviation!$B$31:$D$33,3,FALSE)),IF(OR(AL109="Plan1",AL109="Plan2"),VLOOKUP(BA109,Deviation!$E$31:$AE$33,2,FALSE),VLOOKUP(BA109,Deviation!$E$31:$AE$33,3,FALSE)))),0)</f>
        <v/>
      </c>
      <c r="BG109" s="671" t="str">
        <f>IFERROR(IF(AL109="","",IF(AN109="Dubai",IF(AL109="Plan1",VLOOKUP(BB109,Deviation!$B$39:$C$40,2,FALSE),IF(AL109="Plan2",VLOOKUP(BB109,Deviation!$B$42:$C$43,2,FALSE),IF(AL109="Plan5",VLOOKUP(BB109,Deviation!$B$48:$C$49,2,FALSE),VLOOKUP(BB109,Deviation!$B$45:$C$46,2,FALSE)))),IF(AL109="Plan1",VLOOKUP(BB109,Deviation!$E$39:$F$40,2,FALSE),IF(AL109="Plan2",VLOOKUP(BB109,Deviation!$E$42:$F$43,2,FALSE),VLOOKUP(BB109,Deviation!$E$45:$F$46,2,FALSE))))),0)</f>
        <v/>
      </c>
      <c r="BH109" s="671" t="str">
        <f>IFERROR(IF(AL109="","",IF(AN109="Dubai",IF(OR(AL109="Plan1",AL109="Plan2"),VLOOKUP(BC109,Deviation!$B$15:$D$19,2,FALSE),VLOOKUP(BC109,Deviation!$B$15:$D$19,3,FALSE)),IF(OR(AL109="Plan1",AL109="Plan2"),VLOOKUP(BC109,Deviation!$E$15:$AE$19,2,FALSE),VLOOKUP(BC109,Deviation!$E$15:$AE$19,3,FALSE)))),0)</f>
        <v/>
      </c>
      <c r="BI109" s="669" t="str">
        <f>IFERROR(IF(AL109="","",IF(AN109="Dubai",VLOOKUP(BD109,Deviation!$B$24:$C$26,2,FALSE),100%)),0)</f>
        <v/>
      </c>
      <c r="BJ109" s="672">
        <f>IF(AE109="Abu Dhabi",1,IFERROR(VLOOKUP(AM109,Deviation!$B$67:$E$79,MATCH('Census Data'!AA109,Deviation!$B$66:$E$66,0),0),1))</f>
        <v>1</v>
      </c>
      <c r="BK109" s="659">
        <f>IFERROR(VLOOKUP(I109,Deviation!$B$54:$C$62,2,0),1)</f>
        <v>1</v>
      </c>
      <c r="BL109" s="148"/>
      <c r="BM109" s="148"/>
      <c r="BN109" s="148"/>
      <c r="BO109" s="148"/>
      <c r="BP109" s="148"/>
      <c r="BQ109" s="148"/>
      <c r="BR109" s="148"/>
      <c r="BS109" s="148"/>
      <c r="BT109" s="148" t="e">
        <f t="shared" si="49"/>
        <v>#VALUE!</v>
      </c>
      <c r="BU109"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f>
        <v/>
      </c>
    </row>
    <row r="110" spans="1:73" ht="15" x14ac:dyDescent="0.25">
      <c r="A110" s="59">
        <v>105</v>
      </c>
      <c r="B110" s="470"/>
      <c r="C110" s="628"/>
      <c r="D110" s="629"/>
      <c r="E110" s="471"/>
      <c r="F110" s="298"/>
      <c r="G110" s="298"/>
      <c r="H110" s="298"/>
      <c r="I110" s="298"/>
      <c r="J110" s="80" t="str">
        <f>IFERROR(IF(C110="","",DATEDIF('Census Data'!C110,eff_date,"y")),"")</f>
        <v/>
      </c>
      <c r="K110" s="59" t="str">
        <f>IF(F110="","",IF(AE110="Dubai",HLOOKUP(F110,Inputs!$C$26:$M$28,3,0),HLOOKUP(F110,Inputs!$C$45:$M$46,2,0)))</f>
        <v/>
      </c>
      <c r="L110" s="104"/>
      <c r="M110" s="105">
        <f t="shared" si="32"/>
        <v>0</v>
      </c>
      <c r="N110" s="654" t="b">
        <f t="shared" si="53"/>
        <v>0</v>
      </c>
      <c r="O110" s="655" t="str">
        <f t="shared" si="54"/>
        <v>x</v>
      </c>
      <c r="P110" s="655" t="str">
        <f t="shared" si="55"/>
        <v>x</v>
      </c>
      <c r="Q110" s="655" t="str">
        <f t="shared" si="56"/>
        <v>x</v>
      </c>
      <c r="R110" s="655" t="str">
        <f t="shared" si="51"/>
        <v>x</v>
      </c>
      <c r="S110" s="655" t="str">
        <f t="shared" si="57"/>
        <v>x</v>
      </c>
      <c r="T110" s="655" t="str">
        <f>IF(ISERROR(MATCH(G110,'Inputs Mapping'!$T$4:$T$10,0)),"x","")</f>
        <v>x</v>
      </c>
      <c r="U110" s="655" t="str">
        <f>IF(ISERROR(MATCH(AA110,'Inputs Mapping'!$U$4:$U$5,0)),"x","")</f>
        <v>x</v>
      </c>
      <c r="V110" s="655" t="str">
        <f>IF(ISERROR(MATCH(AB110,'Inputs Mapping'!$V$4:$V$5,0)),"x","")</f>
        <v>x</v>
      </c>
      <c r="W110" s="655" t="str">
        <f>IF(ISERROR(MATCH(F110,'Inputs Mapping'!$W$4:$W$8,0)),"x","")</f>
        <v>x</v>
      </c>
      <c r="X110" s="655" t="str">
        <f t="shared" si="58"/>
        <v/>
      </c>
      <c r="Y110" s="655" t="str">
        <f t="shared" si="59"/>
        <v/>
      </c>
      <c r="Z110" s="655" t="str">
        <f t="shared" si="40"/>
        <v/>
      </c>
      <c r="AA110" s="655" t="str">
        <f t="shared" si="41"/>
        <v/>
      </c>
      <c r="AB110" s="655" t="str">
        <f t="shared" si="43"/>
        <v/>
      </c>
      <c r="AC110" s="655" t="str">
        <f t="shared" si="50"/>
        <v>x</v>
      </c>
      <c r="AD110" s="655" t="str">
        <f>IF(ISBLANK(I110),"x",IF(ISNUMBER(MATCH(I110,'Inputs Mapping'!$AF$5:$AF$199,0)),"","x"))</f>
        <v>x</v>
      </c>
      <c r="AE110" s="655" t="str">
        <f t="shared" si="44"/>
        <v/>
      </c>
      <c r="AF110" s="148"/>
      <c r="AG110" s="148"/>
      <c r="AH110" s="148" t="str">
        <f t="shared" si="45"/>
        <v/>
      </c>
      <c r="AI110" s="654" t="str">
        <f>IF(J110="","",VLOOKUP(J110,'Inputs Mapping'!$T$27:$V$31,3))</f>
        <v/>
      </c>
      <c r="AJ110" s="654" t="str">
        <f>IF(J110="","",VLOOKUP(J110,'Inputs Mapping'!$T$17:$V$24,3))</f>
        <v/>
      </c>
      <c r="AK110" s="654" t="str">
        <f t="shared" si="46"/>
        <v/>
      </c>
      <c r="AL110" s="655" t="str">
        <f t="shared" si="60"/>
        <v/>
      </c>
      <c r="AM110" s="655" t="str">
        <f>IF(F110="","",IF(AE110="Dubai",HLOOKUP(F110,Inputs!$C$26:$M$36,5,0),HLOOKUP(F110,Inputs!$C$45:$M$49,5,0)))</f>
        <v/>
      </c>
      <c r="AN110" s="655">
        <f t="shared" si="47"/>
        <v>0</v>
      </c>
      <c r="AO110" s="654" t="str">
        <f>IF(AJ110="","",IF(AN110="Dubai",VLOOKUP(AJ110,'Inputs Mapping'!$V$17:$W$24,2,0),VLOOKUP(AI110,'Inputs Mapping'!$V$27:$W$31,2,0)))</f>
        <v/>
      </c>
      <c r="AP110" s="666">
        <f>IFERROR(IF($AN110="","",HLOOKUP($AN110&amp;RIGHT($AL110,1),'input for formula'!$B$16:$I$20,3,0)),0)</f>
        <v>0</v>
      </c>
      <c r="AQ110" s="656">
        <f>IFERROR(IF($AN110="","",HLOOKUP($AN110&amp;$F110,'input for formula'!$B$22:$M$25,2,0)),0)</f>
        <v>0</v>
      </c>
      <c r="AR110" s="666">
        <f>IFERROR(IF($AN110="","",HLOOKUP($AN110&amp;RIGHT($AL110,1),'input for formula'!$B$16:$I$20,4,0)),0)</f>
        <v>0</v>
      </c>
      <c r="AS110" s="656">
        <f>IFERROR(IF($AN110="","",HLOOKUP($AN110&amp;$F110,'input for formula'!$B$22:$M$25,3,0)),0)</f>
        <v>0</v>
      </c>
      <c r="AT110" s="656">
        <f>IFERROR(IF($AN110="","",HLOOKUP($AN110&amp;RIGHT($AL110,1),'input for formula'!$B$16:$I$20,5,0)),0)</f>
        <v>0</v>
      </c>
      <c r="AU110" s="656">
        <f>IFERROR(IF($AN110="","",HLOOKUP($AN110&amp;$F110,'input for formula'!$B$22:$M$25,4,0)),0)</f>
        <v>0</v>
      </c>
      <c r="AV110" s="666">
        <f>IFERROR(IF($AN110="","",IF('Census Data'!$AN110="Abu Dhabi",VLOOKUP('Census Data'!$AM110,'input for formula'!$A$28:$C$41,3,0),VLOOKUP('Census Data'!$AM110,'input for formula'!$A$28:$C$47,2,0))),0)*IFERROR(1+IF(AN110="Dubai",VLOOKUP(F110,'Quotation for Dubai Plans'!$V$6:$X$12,3,FALSE),VLOOKUP(F110,'Quotation for Abu Dhabi Plans'!$W$6:$Y$12,3,FALSE)),0)</f>
        <v>0</v>
      </c>
      <c r="AW110" s="656" t="str">
        <f t="shared" si="52"/>
        <v/>
      </c>
      <c r="AX110" s="667" t="str">
        <f>IFERROR(IF(AL110="","",IF(AN110="Dubai",HLOOKUP((AL110&amp;AM110),Deviation!$B$7:$S$8,2,0)*BF110*BH110*BI110*BG110,HLOOKUP((AL110&amp;AM110),Deviation!$B$9:$O$10,2,0)*BF110*BH110*BI110*BG110)),0)</f>
        <v/>
      </c>
      <c r="AY110" s="668"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formula'!$M$3:$O$7,AO110,FALSE)))*AX110+AP110*AQ110+AR110*AS110+AT110*AU110),0)*$AZ$3*BK110*BJ110*IF(AND(Inputs!$C$19&gt;19,Inputs!$C$19&lt;30),(1+$AZ$2),1)*(1+$AZ$1))</f>
        <v/>
      </c>
      <c r="AZ110" s="148" t="str">
        <f t="shared" si="48"/>
        <v/>
      </c>
      <c r="BA110" s="669" t="str">
        <f>IF(F110="","",IF(AE110="Dubai",HLOOKUP(F110,Inputs!$C$26:$M$37,9,0),HLOOKUP(F110,Inputs!$C$45:$M$56,9,0)))</f>
        <v/>
      </c>
      <c r="BB110" s="670" t="str">
        <f>IF(F110="","",IF(AE110="Dubai",HLOOKUP(F110,Inputs!$C$26:$M$37,10,0),HLOOKUP(F110,Inputs!$C$45:$M$56,10,0)))</f>
        <v/>
      </c>
      <c r="BC110" s="670" t="str">
        <f>IF(F110="","",IF(AE110="Dubai",HLOOKUP(F110,Inputs!$C$26:$M$37,11,0),HLOOKUP(F110,Inputs!$C$45:$M$56,11,0)))</f>
        <v/>
      </c>
      <c r="BD110" s="669" t="str">
        <f>IF(F110="","",IF(AE110="Dubai",HLOOKUP(F110,Inputs!$C$26:$M$37,12,0),HLOOKUP(F110,Inputs!$C$45:$M$56,12,0)))</f>
        <v/>
      </c>
      <c r="BE110" s="654"/>
      <c r="BF110" s="669" t="str">
        <f>IFERROR(IF(AL110="","",IF(AN110="Dubai",IF(OR(AL110="Plan1",AL110="Plan2"),VLOOKUP(BA110,Deviation!$B$31:$D$33,2,FALSE),VLOOKUP(BA110,Deviation!$B$31:$D$33,3,FALSE)),IF(OR(AL110="Plan1",AL110="Plan2"),VLOOKUP(BA110,Deviation!$E$31:$AE$33,2,FALSE),VLOOKUP(BA110,Deviation!$E$31:$AE$33,3,FALSE)))),0)</f>
        <v/>
      </c>
      <c r="BG110" s="671" t="str">
        <f>IFERROR(IF(AL110="","",IF(AN110="Dubai",IF(AL110="Plan1",VLOOKUP(BB110,Deviation!$B$39:$C$40,2,FALSE),IF(AL110="Plan2",VLOOKUP(BB110,Deviation!$B$42:$C$43,2,FALSE),IF(AL110="Plan5",VLOOKUP(BB110,Deviation!$B$48:$C$49,2,FALSE),VLOOKUP(BB110,Deviation!$B$45:$C$46,2,FALSE)))),IF(AL110="Plan1",VLOOKUP(BB110,Deviation!$E$39:$F$40,2,FALSE),IF(AL110="Plan2",VLOOKUP(BB110,Deviation!$E$42:$F$43,2,FALSE),VLOOKUP(BB110,Deviation!$E$45:$F$46,2,FALSE))))),0)</f>
        <v/>
      </c>
      <c r="BH110" s="671" t="str">
        <f>IFERROR(IF(AL110="","",IF(AN110="Dubai",IF(OR(AL110="Plan1",AL110="Plan2"),VLOOKUP(BC110,Deviation!$B$15:$D$19,2,FALSE),VLOOKUP(BC110,Deviation!$B$15:$D$19,3,FALSE)),IF(OR(AL110="Plan1",AL110="Plan2"),VLOOKUP(BC110,Deviation!$E$15:$AE$19,2,FALSE),VLOOKUP(BC110,Deviation!$E$15:$AE$19,3,FALSE)))),0)</f>
        <v/>
      </c>
      <c r="BI110" s="669" t="str">
        <f>IFERROR(IF(AL110="","",IF(AN110="Dubai",VLOOKUP(BD110,Deviation!$B$24:$C$26,2,FALSE),100%)),0)</f>
        <v/>
      </c>
      <c r="BJ110" s="672">
        <f>IF(AE110="Abu Dhabi",1,IFERROR(VLOOKUP(AM110,Deviation!$B$67:$E$79,MATCH('Census Data'!AA110,Deviation!$B$66:$E$66,0),0),1))</f>
        <v>1</v>
      </c>
      <c r="BK110" s="659">
        <f>IFERROR(VLOOKUP(I110,Deviation!$B$54:$C$62,2,0),1)</f>
        <v>1</v>
      </c>
      <c r="BL110" s="148"/>
      <c r="BM110" s="148"/>
      <c r="BN110" s="148"/>
      <c r="BO110" s="148"/>
      <c r="BP110" s="148"/>
      <c r="BQ110" s="148"/>
      <c r="BR110" s="148"/>
      <c r="BS110" s="148"/>
      <c r="BT110" s="148" t="e">
        <f t="shared" si="49"/>
        <v>#VALUE!</v>
      </c>
      <c r="BU110"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f>
        <v/>
      </c>
    </row>
    <row r="111" spans="1:73" ht="15" x14ac:dyDescent="0.25">
      <c r="A111" s="59">
        <v>106</v>
      </c>
      <c r="B111" s="470"/>
      <c r="C111" s="628"/>
      <c r="D111" s="629"/>
      <c r="E111" s="471"/>
      <c r="F111" s="298"/>
      <c r="G111" s="298"/>
      <c r="H111" s="298"/>
      <c r="I111" s="298"/>
      <c r="J111" s="80" t="str">
        <f>IFERROR(IF(C111="","",DATEDIF('Census Data'!C111,eff_date,"y")),"")</f>
        <v/>
      </c>
      <c r="K111" s="59" t="str">
        <f>IF(F111="","",IF(AE111="Dubai",HLOOKUP(F111,Inputs!$C$26:$M$28,3,0),HLOOKUP(F111,Inputs!$C$45:$M$46,2,0)))</f>
        <v/>
      </c>
      <c r="L111" s="104"/>
      <c r="M111" s="105">
        <f t="shared" si="32"/>
        <v>0</v>
      </c>
      <c r="N111" s="654" t="b">
        <f t="shared" si="53"/>
        <v>0</v>
      </c>
      <c r="O111" s="655" t="str">
        <f t="shared" si="54"/>
        <v>x</v>
      </c>
      <c r="P111" s="655" t="str">
        <f t="shared" si="55"/>
        <v>x</v>
      </c>
      <c r="Q111" s="655" t="str">
        <f t="shared" si="56"/>
        <v>x</v>
      </c>
      <c r="R111" s="655" t="str">
        <f t="shared" si="51"/>
        <v>x</v>
      </c>
      <c r="S111" s="655" t="str">
        <f t="shared" si="57"/>
        <v>x</v>
      </c>
      <c r="T111" s="655" t="str">
        <f>IF(ISERROR(MATCH(G111,'Inputs Mapping'!$T$4:$T$10,0)),"x","")</f>
        <v>x</v>
      </c>
      <c r="U111" s="655" t="str">
        <f>IF(ISERROR(MATCH(AA111,'Inputs Mapping'!$U$4:$U$5,0)),"x","")</f>
        <v>x</v>
      </c>
      <c r="V111" s="655" t="str">
        <f>IF(ISERROR(MATCH(AB111,'Inputs Mapping'!$V$4:$V$5,0)),"x","")</f>
        <v>x</v>
      </c>
      <c r="W111" s="655" t="str">
        <f>IF(ISERROR(MATCH(F111,'Inputs Mapping'!$W$4:$W$8,0)),"x","")</f>
        <v>x</v>
      </c>
      <c r="X111" s="655" t="str">
        <f t="shared" si="58"/>
        <v/>
      </c>
      <c r="Y111" s="655" t="str">
        <f t="shared" si="59"/>
        <v/>
      </c>
      <c r="Z111" s="655" t="str">
        <f t="shared" si="40"/>
        <v/>
      </c>
      <c r="AA111" s="655" t="str">
        <f t="shared" si="41"/>
        <v/>
      </c>
      <c r="AB111" s="655" t="str">
        <f t="shared" si="43"/>
        <v/>
      </c>
      <c r="AC111" s="655" t="str">
        <f t="shared" si="50"/>
        <v>x</v>
      </c>
      <c r="AD111" s="655" t="str">
        <f>IF(ISBLANK(I111),"x",IF(ISNUMBER(MATCH(I111,'Inputs Mapping'!$AF$5:$AF$199,0)),"","x"))</f>
        <v>x</v>
      </c>
      <c r="AE111" s="655" t="str">
        <f t="shared" si="44"/>
        <v/>
      </c>
      <c r="AF111" s="148"/>
      <c r="AG111" s="148"/>
      <c r="AH111" s="148" t="str">
        <f t="shared" si="45"/>
        <v/>
      </c>
      <c r="AI111" s="654" t="str">
        <f>IF(J111="","",VLOOKUP(J111,'Inputs Mapping'!$T$27:$V$31,3))</f>
        <v/>
      </c>
      <c r="AJ111" s="654" t="str">
        <f>IF(J111="","",VLOOKUP(J111,'Inputs Mapping'!$T$17:$V$24,3))</f>
        <v/>
      </c>
      <c r="AK111" s="654" t="str">
        <f t="shared" si="46"/>
        <v/>
      </c>
      <c r="AL111" s="655" t="str">
        <f t="shared" si="60"/>
        <v/>
      </c>
      <c r="AM111" s="655" t="str">
        <f>IF(F111="","",IF(AE111="Dubai",HLOOKUP(F111,Inputs!$C$26:$M$36,5,0),HLOOKUP(F111,Inputs!$C$45:$M$49,5,0)))</f>
        <v/>
      </c>
      <c r="AN111" s="655">
        <f t="shared" si="47"/>
        <v>0</v>
      </c>
      <c r="AO111" s="654" t="str">
        <f>IF(AJ111="","",IF(AN111="Dubai",VLOOKUP(AJ111,'Inputs Mapping'!$V$17:$W$24,2,0),VLOOKUP(AI111,'Inputs Mapping'!$V$27:$W$31,2,0)))</f>
        <v/>
      </c>
      <c r="AP111" s="666">
        <f>IFERROR(IF($AN111="","",HLOOKUP($AN111&amp;RIGHT($AL111,1),'input for formula'!$B$16:$I$20,3,0)),0)</f>
        <v>0</v>
      </c>
      <c r="AQ111" s="656">
        <f>IFERROR(IF($AN111="","",HLOOKUP($AN111&amp;$F111,'input for formula'!$B$22:$M$25,2,0)),0)</f>
        <v>0</v>
      </c>
      <c r="AR111" s="666">
        <f>IFERROR(IF($AN111="","",HLOOKUP($AN111&amp;RIGHT($AL111,1),'input for formula'!$B$16:$I$20,4,0)),0)</f>
        <v>0</v>
      </c>
      <c r="AS111" s="656">
        <f>IFERROR(IF($AN111="","",HLOOKUP($AN111&amp;$F111,'input for formula'!$B$22:$M$25,3,0)),0)</f>
        <v>0</v>
      </c>
      <c r="AT111" s="656">
        <f>IFERROR(IF($AN111="","",HLOOKUP($AN111&amp;RIGHT($AL111,1),'input for formula'!$B$16:$I$20,5,0)),0)</f>
        <v>0</v>
      </c>
      <c r="AU111" s="656">
        <f>IFERROR(IF($AN111="","",HLOOKUP($AN111&amp;$F111,'input for formula'!$B$22:$M$25,4,0)),0)</f>
        <v>0</v>
      </c>
      <c r="AV111" s="666">
        <f>IFERROR(IF($AN111="","",IF('Census Data'!$AN111="Abu Dhabi",VLOOKUP('Census Data'!$AM111,'input for formula'!$A$28:$C$41,3,0),VLOOKUP('Census Data'!$AM111,'input for formula'!$A$28:$C$47,2,0))),0)*IFERROR(1+IF(AN111="Dubai",VLOOKUP(F111,'Quotation for Dubai Plans'!$V$6:$X$12,3,FALSE),VLOOKUP(F111,'Quotation for Abu Dhabi Plans'!$W$6:$Y$12,3,FALSE)),0)</f>
        <v>0</v>
      </c>
      <c r="AW111" s="656" t="str">
        <f t="shared" si="52"/>
        <v/>
      </c>
      <c r="AX111" s="667" t="str">
        <f>IFERROR(IF(AL111="","",IF(AN111="Dubai",HLOOKUP((AL111&amp;AM111),Deviation!$B$7:$S$8,2,0)*BF111*BH111*BI111*BG111,HLOOKUP((AL111&amp;AM111),Deviation!$B$9:$O$10,2,0)*BF111*BH111*BI111*BG111)),0)</f>
        <v/>
      </c>
      <c r="AY111" s="668"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formula'!$M$3:$O$7,AO111,FALSE)))*AX111+AP111*AQ111+AR111*AS111+AT111*AU111),0)*$AZ$3*BK111*BJ111*IF(AND(Inputs!$C$19&gt;19,Inputs!$C$19&lt;30),(1+$AZ$2),1)*(1+$AZ$1))</f>
        <v/>
      </c>
      <c r="AZ111" s="148" t="str">
        <f t="shared" si="48"/>
        <v/>
      </c>
      <c r="BA111" s="669" t="str">
        <f>IF(F111="","",IF(AE111="Dubai",HLOOKUP(F111,Inputs!$C$26:$M$37,9,0),HLOOKUP(F111,Inputs!$C$45:$M$56,9,0)))</f>
        <v/>
      </c>
      <c r="BB111" s="670" t="str">
        <f>IF(F111="","",IF(AE111="Dubai",HLOOKUP(F111,Inputs!$C$26:$M$37,10,0),HLOOKUP(F111,Inputs!$C$45:$M$56,10,0)))</f>
        <v/>
      </c>
      <c r="BC111" s="670" t="str">
        <f>IF(F111="","",IF(AE111="Dubai",HLOOKUP(F111,Inputs!$C$26:$M$37,11,0),HLOOKUP(F111,Inputs!$C$45:$M$56,11,0)))</f>
        <v/>
      </c>
      <c r="BD111" s="669" t="str">
        <f>IF(F111="","",IF(AE111="Dubai",HLOOKUP(F111,Inputs!$C$26:$M$37,12,0),HLOOKUP(F111,Inputs!$C$45:$M$56,12,0)))</f>
        <v/>
      </c>
      <c r="BE111" s="654"/>
      <c r="BF111" s="669" t="str">
        <f>IFERROR(IF(AL111="","",IF(AN111="Dubai",IF(OR(AL111="Plan1",AL111="Plan2"),VLOOKUP(BA111,Deviation!$B$31:$D$33,2,FALSE),VLOOKUP(BA111,Deviation!$B$31:$D$33,3,FALSE)),IF(OR(AL111="Plan1",AL111="Plan2"),VLOOKUP(BA111,Deviation!$E$31:$AE$33,2,FALSE),VLOOKUP(BA111,Deviation!$E$31:$AE$33,3,FALSE)))),0)</f>
        <v/>
      </c>
      <c r="BG111" s="671" t="str">
        <f>IFERROR(IF(AL111="","",IF(AN111="Dubai",IF(AL111="Plan1",VLOOKUP(BB111,Deviation!$B$39:$C$40,2,FALSE),IF(AL111="Plan2",VLOOKUP(BB111,Deviation!$B$42:$C$43,2,FALSE),IF(AL111="Plan5",VLOOKUP(BB111,Deviation!$B$48:$C$49,2,FALSE),VLOOKUP(BB111,Deviation!$B$45:$C$46,2,FALSE)))),IF(AL111="Plan1",VLOOKUP(BB111,Deviation!$E$39:$F$40,2,FALSE),IF(AL111="Plan2",VLOOKUP(BB111,Deviation!$E$42:$F$43,2,FALSE),VLOOKUP(BB111,Deviation!$E$45:$F$46,2,FALSE))))),0)</f>
        <v/>
      </c>
      <c r="BH111" s="671" t="str">
        <f>IFERROR(IF(AL111="","",IF(AN111="Dubai",IF(OR(AL111="Plan1",AL111="Plan2"),VLOOKUP(BC111,Deviation!$B$15:$D$19,2,FALSE),VLOOKUP(BC111,Deviation!$B$15:$D$19,3,FALSE)),IF(OR(AL111="Plan1",AL111="Plan2"),VLOOKUP(BC111,Deviation!$E$15:$AE$19,2,FALSE),VLOOKUP(BC111,Deviation!$E$15:$AE$19,3,FALSE)))),0)</f>
        <v/>
      </c>
      <c r="BI111" s="669" t="str">
        <f>IFERROR(IF(AL111="","",IF(AN111="Dubai",VLOOKUP(BD111,Deviation!$B$24:$C$26,2,FALSE),100%)),0)</f>
        <v/>
      </c>
      <c r="BJ111" s="672">
        <f>IF(AE111="Abu Dhabi",1,IFERROR(VLOOKUP(AM111,Deviation!$B$67:$E$79,MATCH('Census Data'!AA111,Deviation!$B$66:$E$66,0),0),1))</f>
        <v>1</v>
      </c>
      <c r="BK111" s="659">
        <f>IFERROR(VLOOKUP(I111,Deviation!$B$54:$C$62,2,0),1)</f>
        <v>1</v>
      </c>
      <c r="BL111" s="148"/>
      <c r="BM111" s="148"/>
      <c r="BN111" s="148"/>
      <c r="BO111" s="148"/>
      <c r="BP111" s="148"/>
      <c r="BQ111" s="148"/>
      <c r="BR111" s="148"/>
      <c r="BS111" s="148"/>
      <c r="BT111" s="148" t="e">
        <f t="shared" si="49"/>
        <v>#VALUE!</v>
      </c>
      <c r="BU111"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f>
        <v/>
      </c>
    </row>
    <row r="112" spans="1:73" ht="15" x14ac:dyDescent="0.25">
      <c r="A112" s="59">
        <v>107</v>
      </c>
      <c r="B112" s="470"/>
      <c r="C112" s="630"/>
      <c r="D112" s="629"/>
      <c r="E112" s="471"/>
      <c r="F112" s="298"/>
      <c r="G112" s="298"/>
      <c r="H112" s="298"/>
      <c r="I112" s="298"/>
      <c r="J112" s="80" t="str">
        <f>IFERROR(IF(C112="","",DATEDIF('Census Data'!C112,eff_date,"y")),"")</f>
        <v/>
      </c>
      <c r="K112" s="59" t="str">
        <f>IF(F112="","",IF(AE112="Dubai",HLOOKUP(F112,Inputs!$C$26:$M$28,3,0),HLOOKUP(F112,Inputs!$C$45:$M$46,2,0)))</f>
        <v/>
      </c>
      <c r="L112" s="104"/>
      <c r="M112" s="105">
        <f t="shared" si="32"/>
        <v>0</v>
      </c>
      <c r="N112" s="654" t="b">
        <f t="shared" si="53"/>
        <v>0</v>
      </c>
      <c r="O112" s="655" t="str">
        <f t="shared" si="54"/>
        <v>x</v>
      </c>
      <c r="P112" s="655" t="str">
        <f t="shared" si="55"/>
        <v>x</v>
      </c>
      <c r="Q112" s="655" t="str">
        <f t="shared" si="56"/>
        <v>x</v>
      </c>
      <c r="R112" s="655" t="str">
        <f t="shared" si="51"/>
        <v>x</v>
      </c>
      <c r="S112" s="655" t="str">
        <f t="shared" si="57"/>
        <v>x</v>
      </c>
      <c r="T112" s="655" t="str">
        <f>IF(ISERROR(MATCH(G112,'Inputs Mapping'!$T$4:$T$10,0)),"x","")</f>
        <v>x</v>
      </c>
      <c r="U112" s="655" t="str">
        <f>IF(ISERROR(MATCH(AA112,'Inputs Mapping'!$U$4:$U$5,0)),"x","")</f>
        <v>x</v>
      </c>
      <c r="V112" s="655" t="str">
        <f>IF(ISERROR(MATCH(AB112,'Inputs Mapping'!$V$4:$V$5,0)),"x","")</f>
        <v>x</v>
      </c>
      <c r="W112" s="655" t="str">
        <f>IF(ISERROR(MATCH(F112,'Inputs Mapping'!$W$4:$W$8,0)),"x","")</f>
        <v>x</v>
      </c>
      <c r="X112" s="655" t="str">
        <f t="shared" si="58"/>
        <v/>
      </c>
      <c r="Y112" s="655" t="str">
        <f t="shared" si="59"/>
        <v/>
      </c>
      <c r="Z112" s="655" t="str">
        <f t="shared" si="40"/>
        <v/>
      </c>
      <c r="AA112" s="655" t="str">
        <f t="shared" si="41"/>
        <v/>
      </c>
      <c r="AB112" s="655" t="str">
        <f t="shared" si="43"/>
        <v/>
      </c>
      <c r="AC112" s="655" t="str">
        <f t="shared" si="50"/>
        <v>x</v>
      </c>
      <c r="AD112" s="655" t="str">
        <f>IF(ISBLANK(I112),"x",IF(ISNUMBER(MATCH(I112,'Inputs Mapping'!$AF$5:$AF$199,0)),"","x"))</f>
        <v>x</v>
      </c>
      <c r="AE112" s="655" t="str">
        <f t="shared" si="44"/>
        <v/>
      </c>
      <c r="AF112" s="148"/>
      <c r="AG112" s="148"/>
      <c r="AH112" s="148" t="str">
        <f t="shared" si="45"/>
        <v/>
      </c>
      <c r="AI112" s="654" t="str">
        <f>IF(J112="","",VLOOKUP(J112,'Inputs Mapping'!$T$27:$V$31,3))</f>
        <v/>
      </c>
      <c r="AJ112" s="654" t="str">
        <f>IF(J112="","",VLOOKUP(J112,'Inputs Mapping'!$T$17:$V$24,3))</f>
        <v/>
      </c>
      <c r="AK112" s="654" t="str">
        <f t="shared" si="46"/>
        <v/>
      </c>
      <c r="AL112" s="655" t="str">
        <f t="shared" si="60"/>
        <v/>
      </c>
      <c r="AM112" s="655" t="str">
        <f>IF(F112="","",IF(AE112="Dubai",HLOOKUP(F112,Inputs!$C$26:$M$36,5,0),HLOOKUP(F112,Inputs!$C$45:$M$49,5,0)))</f>
        <v/>
      </c>
      <c r="AN112" s="655">
        <f t="shared" si="47"/>
        <v>0</v>
      </c>
      <c r="AO112" s="654" t="str">
        <f>IF(AJ112="","",IF(AN112="Dubai",VLOOKUP(AJ112,'Inputs Mapping'!$V$17:$W$24,2,0),VLOOKUP(AI112,'Inputs Mapping'!$V$27:$W$31,2,0)))</f>
        <v/>
      </c>
      <c r="AP112" s="666">
        <f>IFERROR(IF($AN112="","",HLOOKUP($AN112&amp;RIGHT($AL112,1),'input for formula'!$B$16:$I$20,3,0)),0)</f>
        <v>0</v>
      </c>
      <c r="AQ112" s="656">
        <f>IFERROR(IF($AN112="","",HLOOKUP($AN112&amp;$F112,'input for formula'!$B$22:$M$25,2,0)),0)</f>
        <v>0</v>
      </c>
      <c r="AR112" s="666">
        <f>IFERROR(IF($AN112="","",HLOOKUP($AN112&amp;RIGHT($AL112,1),'input for formula'!$B$16:$I$20,4,0)),0)</f>
        <v>0</v>
      </c>
      <c r="AS112" s="656">
        <f>IFERROR(IF($AN112="","",HLOOKUP($AN112&amp;$F112,'input for formula'!$B$22:$M$25,3,0)),0)</f>
        <v>0</v>
      </c>
      <c r="AT112" s="656">
        <f>IFERROR(IF($AN112="","",HLOOKUP($AN112&amp;RIGHT($AL112,1),'input for formula'!$B$16:$I$20,5,0)),0)</f>
        <v>0</v>
      </c>
      <c r="AU112" s="656">
        <f>IFERROR(IF($AN112="","",HLOOKUP($AN112&amp;$F112,'input for formula'!$B$22:$M$25,4,0)),0)</f>
        <v>0</v>
      </c>
      <c r="AV112" s="666">
        <f>IFERROR(IF($AN112="","",IF('Census Data'!$AN112="Abu Dhabi",VLOOKUP('Census Data'!$AM112,'input for formula'!$A$28:$C$41,3,0),VLOOKUP('Census Data'!$AM112,'input for formula'!$A$28:$C$47,2,0))),0)*IFERROR(1+IF(AN112="Dubai",VLOOKUP(F112,'Quotation for Dubai Plans'!$V$6:$X$12,3,FALSE),VLOOKUP(F112,'Quotation for Abu Dhabi Plans'!$W$6:$Y$12,3,FALSE)),0)</f>
        <v>0</v>
      </c>
      <c r="AW112" s="656" t="str">
        <f t="shared" si="52"/>
        <v/>
      </c>
      <c r="AX112" s="667" t="str">
        <f>IFERROR(IF(AL112="","",IF(AN112="Dubai",HLOOKUP((AL112&amp;AM112),Deviation!$B$7:$S$8,2,0)*BF112*BH112*BI112*BG112,HLOOKUP((AL112&amp;AM112),Deviation!$B$9:$O$10,2,0)*BF112*BH112*BI112*BG112)),0)</f>
        <v/>
      </c>
      <c r="AY112" s="668"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formula'!$M$3:$O$7,AO112,FALSE)))*AX112+AP112*AQ112+AR112*AS112+AT112*AU112),0)*$AZ$3*BK112*BJ112*IF(AND(Inputs!$C$19&gt;19,Inputs!$C$19&lt;30),(1+$AZ$2),1)*(1+$AZ$1))</f>
        <v/>
      </c>
      <c r="AZ112" s="148" t="str">
        <f t="shared" si="48"/>
        <v/>
      </c>
      <c r="BA112" s="669" t="str">
        <f>IF(F112="","",IF(AE112="Dubai",HLOOKUP(F112,Inputs!$C$26:$M$37,9,0),HLOOKUP(F112,Inputs!$C$45:$M$56,9,0)))</f>
        <v/>
      </c>
      <c r="BB112" s="670" t="str">
        <f>IF(F112="","",IF(AE112="Dubai",HLOOKUP(F112,Inputs!$C$26:$M$37,10,0),HLOOKUP(F112,Inputs!$C$45:$M$56,10,0)))</f>
        <v/>
      </c>
      <c r="BC112" s="670" t="str">
        <f>IF(F112="","",IF(AE112="Dubai",HLOOKUP(F112,Inputs!$C$26:$M$37,11,0),HLOOKUP(F112,Inputs!$C$45:$M$56,11,0)))</f>
        <v/>
      </c>
      <c r="BD112" s="669" t="str">
        <f>IF(F112="","",IF(AE112="Dubai",HLOOKUP(F112,Inputs!$C$26:$M$37,12,0),HLOOKUP(F112,Inputs!$C$45:$M$56,12,0)))</f>
        <v/>
      </c>
      <c r="BE112" s="654"/>
      <c r="BF112" s="669" t="str">
        <f>IFERROR(IF(AL112="","",IF(AN112="Dubai",IF(OR(AL112="Plan1",AL112="Plan2"),VLOOKUP(BA112,Deviation!$B$31:$D$33,2,FALSE),VLOOKUP(BA112,Deviation!$B$31:$D$33,3,FALSE)),IF(OR(AL112="Plan1",AL112="Plan2"),VLOOKUP(BA112,Deviation!$E$31:$AE$33,2,FALSE),VLOOKUP(BA112,Deviation!$E$31:$AE$33,3,FALSE)))),0)</f>
        <v/>
      </c>
      <c r="BG112" s="671" t="str">
        <f>IFERROR(IF(AL112="","",IF(AN112="Dubai",IF(AL112="Plan1",VLOOKUP(BB112,Deviation!$B$39:$C$40,2,FALSE),IF(AL112="Plan2",VLOOKUP(BB112,Deviation!$B$42:$C$43,2,FALSE),IF(AL112="Plan5",VLOOKUP(BB112,Deviation!$B$48:$C$49,2,FALSE),VLOOKUP(BB112,Deviation!$B$45:$C$46,2,FALSE)))),IF(AL112="Plan1",VLOOKUP(BB112,Deviation!$E$39:$F$40,2,FALSE),IF(AL112="Plan2",VLOOKUP(BB112,Deviation!$E$42:$F$43,2,FALSE),VLOOKUP(BB112,Deviation!$E$45:$F$46,2,FALSE))))),0)</f>
        <v/>
      </c>
      <c r="BH112" s="671" t="str">
        <f>IFERROR(IF(AL112="","",IF(AN112="Dubai",IF(OR(AL112="Plan1",AL112="Plan2"),VLOOKUP(BC112,Deviation!$B$15:$D$19,2,FALSE),VLOOKUP(BC112,Deviation!$B$15:$D$19,3,FALSE)),IF(OR(AL112="Plan1",AL112="Plan2"),VLOOKUP(BC112,Deviation!$E$15:$AE$19,2,FALSE),VLOOKUP(BC112,Deviation!$E$15:$AE$19,3,FALSE)))),0)</f>
        <v/>
      </c>
      <c r="BI112" s="669" t="str">
        <f>IFERROR(IF(AL112="","",IF(AN112="Dubai",VLOOKUP(BD112,Deviation!$B$24:$C$26,2,FALSE),100%)),0)</f>
        <v/>
      </c>
      <c r="BJ112" s="672">
        <f>IF(AE112="Abu Dhabi",1,IFERROR(VLOOKUP(AM112,Deviation!$B$67:$E$79,MATCH('Census Data'!AA112,Deviation!$B$66:$E$66,0),0),1))</f>
        <v>1</v>
      </c>
      <c r="BK112" s="659">
        <f>IFERROR(VLOOKUP(I112,Deviation!$B$54:$C$62,2,0),1)</f>
        <v>1</v>
      </c>
      <c r="BL112" s="148"/>
      <c r="BM112" s="148"/>
      <c r="BN112" s="148"/>
      <c r="BO112" s="148"/>
      <c r="BP112" s="148"/>
      <c r="BQ112" s="148"/>
      <c r="BR112" s="148"/>
      <c r="BS112" s="148"/>
      <c r="BT112" s="148" t="e">
        <f t="shared" si="49"/>
        <v>#VALUE!</v>
      </c>
      <c r="BU112"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f>
        <v/>
      </c>
    </row>
    <row r="113" spans="1:73" ht="15" x14ac:dyDescent="0.25">
      <c r="A113" s="59">
        <v>108</v>
      </c>
      <c r="B113" s="470"/>
      <c r="C113" s="628"/>
      <c r="D113" s="629"/>
      <c r="E113" s="471"/>
      <c r="F113" s="298"/>
      <c r="G113" s="298"/>
      <c r="H113" s="298"/>
      <c r="I113" s="298"/>
      <c r="J113" s="80" t="str">
        <f>IFERROR(IF(C113="","",DATEDIF('Census Data'!C113,eff_date,"y")),"")</f>
        <v/>
      </c>
      <c r="K113" s="59" t="str">
        <f>IF(F113="","",IF(AE113="Dubai",HLOOKUP(F113,Inputs!$C$26:$M$28,3,0),HLOOKUP(F113,Inputs!$C$45:$M$46,2,0)))</f>
        <v/>
      </c>
      <c r="L113" s="104"/>
      <c r="M113" s="105">
        <f t="shared" si="32"/>
        <v>0</v>
      </c>
      <c r="N113" s="654" t="b">
        <f t="shared" si="53"/>
        <v>0</v>
      </c>
      <c r="O113" s="655" t="str">
        <f t="shared" si="54"/>
        <v>x</v>
      </c>
      <c r="P113" s="655" t="str">
        <f t="shared" si="55"/>
        <v>x</v>
      </c>
      <c r="Q113" s="655" t="str">
        <f t="shared" si="56"/>
        <v>x</v>
      </c>
      <c r="R113" s="655" t="str">
        <f t="shared" si="51"/>
        <v>x</v>
      </c>
      <c r="S113" s="655" t="str">
        <f t="shared" si="57"/>
        <v>x</v>
      </c>
      <c r="T113" s="655" t="str">
        <f>IF(ISERROR(MATCH(G113,'Inputs Mapping'!$T$4:$T$10,0)),"x","")</f>
        <v>x</v>
      </c>
      <c r="U113" s="655" t="str">
        <f>IF(ISERROR(MATCH(AA113,'Inputs Mapping'!$U$4:$U$5,0)),"x","")</f>
        <v>x</v>
      </c>
      <c r="V113" s="655" t="str">
        <f>IF(ISERROR(MATCH(AB113,'Inputs Mapping'!$V$4:$V$5,0)),"x","")</f>
        <v>x</v>
      </c>
      <c r="W113" s="655" t="str">
        <f>IF(ISERROR(MATCH(F113,'Inputs Mapping'!$W$4:$W$8,0)),"x","")</f>
        <v>x</v>
      </c>
      <c r="X113" s="655" t="str">
        <f t="shared" si="58"/>
        <v/>
      </c>
      <c r="Y113" s="655" t="str">
        <f t="shared" si="59"/>
        <v/>
      </c>
      <c r="Z113" s="655" t="str">
        <f t="shared" si="40"/>
        <v/>
      </c>
      <c r="AA113" s="655" t="str">
        <f t="shared" si="41"/>
        <v/>
      </c>
      <c r="AB113" s="655" t="str">
        <f t="shared" si="43"/>
        <v/>
      </c>
      <c r="AC113" s="655" t="str">
        <f t="shared" si="50"/>
        <v>x</v>
      </c>
      <c r="AD113" s="655" t="str">
        <f>IF(ISBLANK(I113),"x",IF(ISNUMBER(MATCH(I113,'Inputs Mapping'!$AF$5:$AF$199,0)),"","x"))</f>
        <v>x</v>
      </c>
      <c r="AE113" s="655" t="str">
        <f t="shared" si="44"/>
        <v/>
      </c>
      <c r="AF113" s="148"/>
      <c r="AG113" s="148"/>
      <c r="AH113" s="148" t="str">
        <f t="shared" si="45"/>
        <v/>
      </c>
      <c r="AI113" s="654" t="str">
        <f>IF(J113="","",VLOOKUP(J113,'Inputs Mapping'!$T$27:$V$31,3))</f>
        <v/>
      </c>
      <c r="AJ113" s="654" t="str">
        <f>IF(J113="","",VLOOKUP(J113,'Inputs Mapping'!$T$17:$V$24,3))</f>
        <v/>
      </c>
      <c r="AK113" s="654" t="str">
        <f t="shared" si="46"/>
        <v/>
      </c>
      <c r="AL113" s="655" t="str">
        <f t="shared" si="60"/>
        <v/>
      </c>
      <c r="AM113" s="655" t="str">
        <f>IF(F113="","",IF(AE113="Dubai",HLOOKUP(F113,Inputs!$C$26:$M$36,5,0),HLOOKUP(F113,Inputs!$C$45:$M$49,5,0)))</f>
        <v/>
      </c>
      <c r="AN113" s="655">
        <f t="shared" si="47"/>
        <v>0</v>
      </c>
      <c r="AO113" s="654" t="str">
        <f>IF(AJ113="","",IF(AN113="Dubai",VLOOKUP(AJ113,'Inputs Mapping'!$V$17:$W$24,2,0),VLOOKUP(AI113,'Inputs Mapping'!$V$27:$W$31,2,0)))</f>
        <v/>
      </c>
      <c r="AP113" s="666">
        <f>IFERROR(IF($AN113="","",HLOOKUP($AN113&amp;RIGHT($AL113,1),'input for formula'!$B$16:$I$20,3,0)),0)</f>
        <v>0</v>
      </c>
      <c r="AQ113" s="656">
        <f>IFERROR(IF($AN113="","",HLOOKUP($AN113&amp;$F113,'input for formula'!$B$22:$M$25,2,0)),0)</f>
        <v>0</v>
      </c>
      <c r="AR113" s="666">
        <f>IFERROR(IF($AN113="","",HLOOKUP($AN113&amp;RIGHT($AL113,1),'input for formula'!$B$16:$I$20,4,0)),0)</f>
        <v>0</v>
      </c>
      <c r="AS113" s="656">
        <f>IFERROR(IF($AN113="","",HLOOKUP($AN113&amp;$F113,'input for formula'!$B$22:$M$25,3,0)),0)</f>
        <v>0</v>
      </c>
      <c r="AT113" s="656">
        <f>IFERROR(IF($AN113="","",HLOOKUP($AN113&amp;RIGHT($AL113,1),'input for formula'!$B$16:$I$20,5,0)),0)</f>
        <v>0</v>
      </c>
      <c r="AU113" s="656">
        <f>IFERROR(IF($AN113="","",HLOOKUP($AN113&amp;$F113,'input for formula'!$B$22:$M$25,4,0)),0)</f>
        <v>0</v>
      </c>
      <c r="AV113" s="666">
        <f>IFERROR(IF($AN113="","",IF('Census Data'!$AN113="Abu Dhabi",VLOOKUP('Census Data'!$AM113,'input for formula'!$A$28:$C$41,3,0),VLOOKUP('Census Data'!$AM113,'input for formula'!$A$28:$C$47,2,0))),0)*IFERROR(1+IF(AN113="Dubai",VLOOKUP(F113,'Quotation for Dubai Plans'!$V$6:$X$12,3,FALSE),VLOOKUP(F113,'Quotation for Abu Dhabi Plans'!$W$6:$Y$12,3,FALSE)),0)</f>
        <v>0</v>
      </c>
      <c r="AW113" s="656" t="str">
        <f t="shared" si="52"/>
        <v/>
      </c>
      <c r="AX113" s="667" t="str">
        <f>IFERROR(IF(AL113="","",IF(AN113="Dubai",HLOOKUP((AL113&amp;AM113),Deviation!$B$7:$S$8,2,0)*BF113*BH113*BI113*BG113,HLOOKUP((AL113&amp;AM113),Deviation!$B$9:$O$10,2,0)*BF113*BH113*BI113*BG113)),0)</f>
        <v/>
      </c>
      <c r="AY113" s="668"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formula'!$M$3:$O$7,AO113,FALSE)))*AX113+AP113*AQ113+AR113*AS113+AT113*AU113),0)*$AZ$3*BK113*BJ113*IF(AND(Inputs!$C$19&gt;19,Inputs!$C$19&lt;30),(1+$AZ$2),1)*(1+$AZ$1))</f>
        <v/>
      </c>
      <c r="AZ113" s="148" t="str">
        <f t="shared" si="48"/>
        <v/>
      </c>
      <c r="BA113" s="669" t="str">
        <f>IF(F113="","",IF(AE113="Dubai",HLOOKUP(F113,Inputs!$C$26:$M$37,9,0),HLOOKUP(F113,Inputs!$C$45:$M$56,9,0)))</f>
        <v/>
      </c>
      <c r="BB113" s="670" t="str">
        <f>IF(F113="","",IF(AE113="Dubai",HLOOKUP(F113,Inputs!$C$26:$M$37,10,0),HLOOKUP(F113,Inputs!$C$45:$M$56,10,0)))</f>
        <v/>
      </c>
      <c r="BC113" s="670" t="str">
        <f>IF(F113="","",IF(AE113="Dubai",HLOOKUP(F113,Inputs!$C$26:$M$37,11,0),HLOOKUP(F113,Inputs!$C$45:$M$56,11,0)))</f>
        <v/>
      </c>
      <c r="BD113" s="669" t="str">
        <f>IF(F113="","",IF(AE113="Dubai",HLOOKUP(F113,Inputs!$C$26:$M$37,12,0),HLOOKUP(F113,Inputs!$C$45:$M$56,12,0)))</f>
        <v/>
      </c>
      <c r="BE113" s="654"/>
      <c r="BF113" s="669" t="str">
        <f>IFERROR(IF(AL113="","",IF(AN113="Dubai",IF(OR(AL113="Plan1",AL113="Plan2"),VLOOKUP(BA113,Deviation!$B$31:$D$33,2,FALSE),VLOOKUP(BA113,Deviation!$B$31:$D$33,3,FALSE)),IF(OR(AL113="Plan1",AL113="Plan2"),VLOOKUP(BA113,Deviation!$E$31:$AE$33,2,FALSE),VLOOKUP(BA113,Deviation!$E$31:$AE$33,3,FALSE)))),0)</f>
        <v/>
      </c>
      <c r="BG113" s="671" t="str">
        <f>IFERROR(IF(AL113="","",IF(AN113="Dubai",IF(AL113="Plan1",VLOOKUP(BB113,Deviation!$B$39:$C$40,2,FALSE),IF(AL113="Plan2",VLOOKUP(BB113,Deviation!$B$42:$C$43,2,FALSE),IF(AL113="Plan5",VLOOKUP(BB113,Deviation!$B$48:$C$49,2,FALSE),VLOOKUP(BB113,Deviation!$B$45:$C$46,2,FALSE)))),IF(AL113="Plan1",VLOOKUP(BB113,Deviation!$E$39:$F$40,2,FALSE),IF(AL113="Plan2",VLOOKUP(BB113,Deviation!$E$42:$F$43,2,FALSE),VLOOKUP(BB113,Deviation!$E$45:$F$46,2,FALSE))))),0)</f>
        <v/>
      </c>
      <c r="BH113" s="671" t="str">
        <f>IFERROR(IF(AL113="","",IF(AN113="Dubai",IF(OR(AL113="Plan1",AL113="Plan2"),VLOOKUP(BC113,Deviation!$B$15:$D$19,2,FALSE),VLOOKUP(BC113,Deviation!$B$15:$D$19,3,FALSE)),IF(OR(AL113="Plan1",AL113="Plan2"),VLOOKUP(BC113,Deviation!$E$15:$AE$19,2,FALSE),VLOOKUP(BC113,Deviation!$E$15:$AE$19,3,FALSE)))),0)</f>
        <v/>
      </c>
      <c r="BI113" s="669" t="str">
        <f>IFERROR(IF(AL113="","",IF(AN113="Dubai",VLOOKUP(BD113,Deviation!$B$24:$C$26,2,FALSE),100%)),0)</f>
        <v/>
      </c>
      <c r="BJ113" s="672">
        <f>IF(AE113="Abu Dhabi",1,IFERROR(VLOOKUP(AM113,Deviation!$B$67:$E$79,MATCH('Census Data'!AA113,Deviation!$B$66:$E$66,0),0),1))</f>
        <v>1</v>
      </c>
      <c r="BK113" s="659">
        <f>IFERROR(VLOOKUP(I113,Deviation!$B$54:$C$62,2,0),1)</f>
        <v>1</v>
      </c>
      <c r="BL113" s="148"/>
      <c r="BM113" s="148"/>
      <c r="BN113" s="148"/>
      <c r="BO113" s="148"/>
      <c r="BP113" s="148"/>
      <c r="BQ113" s="148"/>
      <c r="BR113" s="148"/>
      <c r="BS113" s="148"/>
      <c r="BT113" s="148" t="e">
        <f t="shared" si="49"/>
        <v>#VALUE!</v>
      </c>
      <c r="BU113"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f>
        <v/>
      </c>
    </row>
    <row r="114" spans="1:73" ht="15" x14ac:dyDescent="0.25">
      <c r="A114" s="59">
        <v>109</v>
      </c>
      <c r="B114" s="470"/>
      <c r="C114" s="628"/>
      <c r="D114" s="629"/>
      <c r="E114" s="471"/>
      <c r="F114" s="298"/>
      <c r="G114" s="298"/>
      <c r="H114" s="298"/>
      <c r="I114" s="298"/>
      <c r="J114" s="80" t="str">
        <f>IFERROR(IF(C114="","",DATEDIF('Census Data'!C114,eff_date,"y")),"")</f>
        <v/>
      </c>
      <c r="K114" s="59" t="str">
        <f>IF(F114="","",IF(AE114="Dubai",HLOOKUP(F114,Inputs!$C$26:$M$28,3,0),HLOOKUP(F114,Inputs!$C$45:$M$46,2,0)))</f>
        <v/>
      </c>
      <c r="L114" s="104"/>
      <c r="M114" s="105">
        <f t="shared" si="32"/>
        <v>0</v>
      </c>
      <c r="N114" s="654" t="b">
        <f t="shared" ref="N114:N133" si="61">NOT(AND(ISBLANK(C114),ISBLANK(D114),ISBLANK(E114),ISBLANK(F114),ISBLANK(G114)))</f>
        <v>0</v>
      </c>
      <c r="O114" s="655" t="str">
        <f t="shared" ref="O114:O133" si="62">IF(ISBLANK(C114),"x","")</f>
        <v>x</v>
      </c>
      <c r="P114" s="655" t="str">
        <f t="shared" ref="P114:P133" si="63">IF(ISBLANK(D114),"x","")</f>
        <v>x</v>
      </c>
      <c r="Q114" s="655" t="str">
        <f t="shared" ref="Q114:Q133" si="64">IF(ISBLANK(E114),"x","")</f>
        <v>x</v>
      </c>
      <c r="R114" s="655" t="str">
        <f t="shared" si="51"/>
        <v>x</v>
      </c>
      <c r="S114" s="655" t="str">
        <f t="shared" ref="S114:S133" si="65">IF(ISBLANK(G114),"x","")</f>
        <v>x</v>
      </c>
      <c r="T114" s="655" t="str">
        <f>IF(ISERROR(MATCH(G114,'Inputs Mapping'!$T$4:$T$10,0)),"x","")</f>
        <v>x</v>
      </c>
      <c r="U114" s="655" t="str">
        <f>IF(ISERROR(MATCH(AA114,'Inputs Mapping'!$U$4:$U$5,0)),"x","")</f>
        <v>x</v>
      </c>
      <c r="V114" s="655" t="str">
        <f>IF(ISERROR(MATCH(AB114,'Inputs Mapping'!$V$4:$V$5,0)),"x","")</f>
        <v>x</v>
      </c>
      <c r="W114" s="655" t="str">
        <f>IF(ISERROR(MATCH(F114,'Inputs Mapping'!$W$4:$W$8,0)),"x","")</f>
        <v>x</v>
      </c>
      <c r="X114" s="655" t="str">
        <f t="shared" ref="X114:X133" si="66">IF(ISBLANK(C114),"",IF(OR(ISERROR(J114),NOT(ISNUMBER(C114))),"x",""))</f>
        <v/>
      </c>
      <c r="Y114" s="655" t="str">
        <f t="shared" ref="Y114:Y133" si="67">IF(ISBLANK(C114),"",IF(ISERROR(J114),"",""))</f>
        <v/>
      </c>
      <c r="Z114" s="655" t="str">
        <f t="shared" si="40"/>
        <v/>
      </c>
      <c r="AA114" s="655" t="str">
        <f t="shared" si="41"/>
        <v/>
      </c>
      <c r="AB114" s="655" t="str">
        <f t="shared" si="43"/>
        <v/>
      </c>
      <c r="AC114" s="655" t="str">
        <f t="shared" si="50"/>
        <v>x</v>
      </c>
      <c r="AD114" s="655" t="str">
        <f>IF(ISBLANK(I114),"x",IF(ISNUMBER(MATCH(I114,'Inputs Mapping'!$AF$5:$AF$199,0)),"","x"))</f>
        <v>x</v>
      </c>
      <c r="AE114" s="655" t="str">
        <f t="shared" si="44"/>
        <v/>
      </c>
      <c r="AF114" s="148"/>
      <c r="AG114" s="148"/>
      <c r="AH114" s="148" t="str">
        <f t="shared" si="45"/>
        <v/>
      </c>
      <c r="AI114" s="654" t="str">
        <f>IF(J114="","",VLOOKUP(J114,'Inputs Mapping'!$T$27:$V$31,3))</f>
        <v/>
      </c>
      <c r="AJ114" s="654" t="str">
        <f>IF(J114="","",VLOOKUP(J114,'Inputs Mapping'!$T$17:$V$24,3))</f>
        <v/>
      </c>
      <c r="AK114" s="654" t="str">
        <f t="shared" si="46"/>
        <v/>
      </c>
      <c r="AL114" s="655" t="str">
        <f t="shared" si="60"/>
        <v/>
      </c>
      <c r="AM114" s="655" t="str">
        <f>IF(F114="","",IF(AE114="Dubai",HLOOKUP(F114,Inputs!$C$26:$M$36,5,0),HLOOKUP(F114,Inputs!$C$45:$M$49,5,0)))</f>
        <v/>
      </c>
      <c r="AN114" s="655">
        <f t="shared" si="47"/>
        <v>0</v>
      </c>
      <c r="AO114" s="654" t="str">
        <f>IF(AJ114="","",IF(AN114="Dubai",VLOOKUP(AJ114,'Inputs Mapping'!$V$17:$W$24,2,0),VLOOKUP(AI114,'Inputs Mapping'!$V$27:$W$31,2,0)))</f>
        <v/>
      </c>
      <c r="AP114" s="666">
        <f>IFERROR(IF($AN114="","",HLOOKUP($AN114&amp;RIGHT($AL114,1),'input for formula'!$B$16:$I$20,3,0)),0)</f>
        <v>0</v>
      </c>
      <c r="AQ114" s="656">
        <f>IFERROR(IF($AN114="","",HLOOKUP($AN114&amp;$F114,'input for formula'!$B$22:$M$25,2,0)),0)</f>
        <v>0</v>
      </c>
      <c r="AR114" s="666">
        <f>IFERROR(IF($AN114="","",HLOOKUP($AN114&amp;RIGHT($AL114,1),'input for formula'!$B$16:$I$20,4,0)),0)</f>
        <v>0</v>
      </c>
      <c r="AS114" s="656">
        <f>IFERROR(IF($AN114="","",HLOOKUP($AN114&amp;$F114,'input for formula'!$B$22:$M$25,3,0)),0)</f>
        <v>0</v>
      </c>
      <c r="AT114" s="656">
        <f>IFERROR(IF($AN114="","",HLOOKUP($AN114&amp;RIGHT($AL114,1),'input for formula'!$B$16:$I$20,5,0)),0)</f>
        <v>0</v>
      </c>
      <c r="AU114" s="656">
        <f>IFERROR(IF($AN114="","",HLOOKUP($AN114&amp;$F114,'input for formula'!$B$22:$M$25,4,0)),0)</f>
        <v>0</v>
      </c>
      <c r="AV114" s="666">
        <f>IFERROR(IF($AN114="","",IF('Census Data'!$AN114="Abu Dhabi",VLOOKUP('Census Data'!$AM114,'input for formula'!$A$28:$C$41,3,0),VLOOKUP('Census Data'!$AM114,'input for formula'!$A$28:$C$47,2,0))),0)*IFERROR(1+IF(AN114="Dubai",VLOOKUP(F114,'Quotation for Dubai Plans'!$V$6:$X$12,3,FALSE),VLOOKUP(F114,'Quotation for Abu Dhabi Plans'!$W$6:$Y$12,3,FALSE)),0)</f>
        <v>0</v>
      </c>
      <c r="AW114" s="656" t="str">
        <f t="shared" si="52"/>
        <v/>
      </c>
      <c r="AX114" s="667" t="str">
        <f>IFERROR(IF(AL114="","",IF(AN114="Dubai",HLOOKUP((AL114&amp;AM114),Deviation!$B$7:$S$8,2,0)*BF114*BH114*BI114*BG114,HLOOKUP((AL114&amp;AM114),Deviation!$B$9:$O$10,2,0)*BF114*BH114*BI114*BG114)),0)</f>
        <v/>
      </c>
      <c r="AY114" s="668"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formula'!$M$3:$O$7,AO114,FALSE)))*AX114+AP114*AQ114+AR114*AS114+AT114*AU114),0)*$AZ$3*BK114*BJ114*IF(AND(Inputs!$C$19&gt;19,Inputs!$C$19&lt;30),(1+$AZ$2),1)*(1+$AZ$1))</f>
        <v/>
      </c>
      <c r="AZ114" s="148" t="str">
        <f t="shared" si="48"/>
        <v/>
      </c>
      <c r="BA114" s="669" t="str">
        <f>IF(F114="","",IF(AE114="Dubai",HLOOKUP(F114,Inputs!$C$26:$M$37,9,0),HLOOKUP(F114,Inputs!$C$45:$M$56,9,0)))</f>
        <v/>
      </c>
      <c r="BB114" s="670" t="str">
        <f>IF(F114="","",IF(AE114="Dubai",HLOOKUP(F114,Inputs!$C$26:$M$37,10,0),HLOOKUP(F114,Inputs!$C$45:$M$56,10,0)))</f>
        <v/>
      </c>
      <c r="BC114" s="670" t="str">
        <f>IF(F114="","",IF(AE114="Dubai",HLOOKUP(F114,Inputs!$C$26:$M$37,11,0),HLOOKUP(F114,Inputs!$C$45:$M$56,11,0)))</f>
        <v/>
      </c>
      <c r="BD114" s="669" t="str">
        <f>IF(F114="","",IF(AE114="Dubai",HLOOKUP(F114,Inputs!$C$26:$M$37,12,0),HLOOKUP(F114,Inputs!$C$45:$M$56,12,0)))</f>
        <v/>
      </c>
      <c r="BE114" s="654"/>
      <c r="BF114" s="669" t="str">
        <f>IFERROR(IF(AL114="","",IF(AN114="Dubai",IF(OR(AL114="Plan1",AL114="Plan2"),VLOOKUP(BA114,Deviation!$B$31:$D$33,2,FALSE),VLOOKUP(BA114,Deviation!$B$31:$D$33,3,FALSE)),IF(OR(AL114="Plan1",AL114="Plan2"),VLOOKUP(BA114,Deviation!$E$31:$AE$33,2,FALSE),VLOOKUP(BA114,Deviation!$E$31:$AE$33,3,FALSE)))),0)</f>
        <v/>
      </c>
      <c r="BG114" s="671" t="str">
        <f>IFERROR(IF(AL114="","",IF(AN114="Dubai",IF(AL114="Plan1",VLOOKUP(BB114,Deviation!$B$39:$C$40,2,FALSE),IF(AL114="Plan2",VLOOKUP(BB114,Deviation!$B$42:$C$43,2,FALSE),IF(AL114="Plan5",VLOOKUP(BB114,Deviation!$B$48:$C$49,2,FALSE),VLOOKUP(BB114,Deviation!$B$45:$C$46,2,FALSE)))),IF(AL114="Plan1",VLOOKUP(BB114,Deviation!$E$39:$F$40,2,FALSE),IF(AL114="Plan2",VLOOKUP(BB114,Deviation!$E$42:$F$43,2,FALSE),VLOOKUP(BB114,Deviation!$E$45:$F$46,2,FALSE))))),0)</f>
        <v/>
      </c>
      <c r="BH114" s="671" t="str">
        <f>IFERROR(IF(AL114="","",IF(AN114="Dubai",IF(OR(AL114="Plan1",AL114="Plan2"),VLOOKUP(BC114,Deviation!$B$15:$D$19,2,FALSE),VLOOKUP(BC114,Deviation!$B$15:$D$19,3,FALSE)),IF(OR(AL114="Plan1",AL114="Plan2"),VLOOKUP(BC114,Deviation!$E$15:$AE$19,2,FALSE),VLOOKUP(BC114,Deviation!$E$15:$AE$19,3,FALSE)))),0)</f>
        <v/>
      </c>
      <c r="BI114" s="669" t="str">
        <f>IFERROR(IF(AL114="","",IF(AN114="Dubai",VLOOKUP(BD114,Deviation!$B$24:$C$26,2,FALSE),100%)),0)</f>
        <v/>
      </c>
      <c r="BJ114" s="672">
        <f>IF(AE114="Abu Dhabi",1,IFERROR(VLOOKUP(AM114,Deviation!$B$67:$E$79,MATCH('Census Data'!AA114,Deviation!$B$66:$E$66,0),0),1))</f>
        <v>1</v>
      </c>
      <c r="BK114" s="659">
        <f>IFERROR(VLOOKUP(I114,Deviation!$B$54:$C$62,2,0),1)</f>
        <v>1</v>
      </c>
      <c r="BL114" s="148"/>
      <c r="BM114" s="148"/>
      <c r="BN114" s="148"/>
      <c r="BO114" s="148"/>
      <c r="BP114" s="148"/>
      <c r="BQ114" s="148"/>
      <c r="BR114" s="148"/>
      <c r="BS114" s="148"/>
      <c r="BT114" s="148" t="e">
        <f t="shared" si="49"/>
        <v>#VALUE!</v>
      </c>
      <c r="BU114"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f>
        <v/>
      </c>
    </row>
    <row r="115" spans="1:73" ht="15" x14ac:dyDescent="0.25">
      <c r="A115" s="59">
        <v>110</v>
      </c>
      <c r="B115" s="470"/>
      <c r="C115" s="628"/>
      <c r="D115" s="629"/>
      <c r="E115" s="471"/>
      <c r="F115" s="298"/>
      <c r="G115" s="298"/>
      <c r="H115" s="298"/>
      <c r="I115" s="298"/>
      <c r="J115" s="80" t="str">
        <f>IFERROR(IF(C115="","",DATEDIF('Census Data'!C115,eff_date,"y")),"")</f>
        <v/>
      </c>
      <c r="K115" s="59" t="str">
        <f>IF(F115="","",IF(AE115="Dubai",HLOOKUP(F115,Inputs!$C$26:$M$28,3,0),HLOOKUP(F115,Inputs!$C$45:$M$46,2,0)))</f>
        <v/>
      </c>
      <c r="L115" s="104"/>
      <c r="M115" s="105">
        <f t="shared" si="32"/>
        <v>0</v>
      </c>
      <c r="N115" s="654" t="b">
        <f t="shared" si="61"/>
        <v>0</v>
      </c>
      <c r="O115" s="655" t="str">
        <f t="shared" si="62"/>
        <v>x</v>
      </c>
      <c r="P115" s="655" t="str">
        <f t="shared" si="63"/>
        <v>x</v>
      </c>
      <c r="Q115" s="655" t="str">
        <f t="shared" si="64"/>
        <v>x</v>
      </c>
      <c r="R115" s="655" t="str">
        <f t="shared" si="51"/>
        <v>x</v>
      </c>
      <c r="S115" s="655" t="str">
        <f t="shared" si="65"/>
        <v>x</v>
      </c>
      <c r="T115" s="655" t="str">
        <f>IF(ISERROR(MATCH(G115,'Inputs Mapping'!$T$4:$T$10,0)),"x","")</f>
        <v>x</v>
      </c>
      <c r="U115" s="655" t="str">
        <f>IF(ISERROR(MATCH(AA115,'Inputs Mapping'!$U$4:$U$5,0)),"x","")</f>
        <v>x</v>
      </c>
      <c r="V115" s="655" t="str">
        <f>IF(ISERROR(MATCH(AB115,'Inputs Mapping'!$V$4:$V$5,0)),"x","")</f>
        <v>x</v>
      </c>
      <c r="W115" s="655" t="str">
        <f>IF(ISERROR(MATCH(F115,'Inputs Mapping'!$W$4:$W$8,0)),"x","")</f>
        <v>x</v>
      </c>
      <c r="X115" s="655" t="str">
        <f t="shared" si="66"/>
        <v/>
      </c>
      <c r="Y115" s="655" t="str">
        <f t="shared" si="67"/>
        <v/>
      </c>
      <c r="Z115" s="655" t="str">
        <f t="shared" si="40"/>
        <v/>
      </c>
      <c r="AA115" s="655" t="str">
        <f t="shared" si="41"/>
        <v/>
      </c>
      <c r="AB115" s="655" t="str">
        <f t="shared" si="43"/>
        <v/>
      </c>
      <c r="AC115" s="655" t="str">
        <f t="shared" si="50"/>
        <v>x</v>
      </c>
      <c r="AD115" s="655" t="str">
        <f>IF(ISBLANK(I115),"x",IF(ISNUMBER(MATCH(I115,'Inputs Mapping'!$AF$5:$AF$199,0)),"","x"))</f>
        <v>x</v>
      </c>
      <c r="AE115" s="655" t="str">
        <f t="shared" si="44"/>
        <v/>
      </c>
      <c r="AF115" s="148"/>
      <c r="AG115" s="148"/>
      <c r="AH115" s="148" t="str">
        <f t="shared" si="45"/>
        <v/>
      </c>
      <c r="AI115" s="654" t="str">
        <f>IF(J115="","",VLOOKUP(J115,'Inputs Mapping'!$T$27:$V$31,3))</f>
        <v/>
      </c>
      <c r="AJ115" s="654" t="str">
        <f>IF(J115="","",VLOOKUP(J115,'Inputs Mapping'!$T$17:$V$24,3))</f>
        <v/>
      </c>
      <c r="AK115" s="654" t="str">
        <f t="shared" si="46"/>
        <v/>
      </c>
      <c r="AL115" s="655" t="str">
        <f t="shared" si="60"/>
        <v/>
      </c>
      <c r="AM115" s="655" t="str">
        <f>IF(F115="","",IF(AE115="Dubai",HLOOKUP(F115,Inputs!$C$26:$M$36,5,0),HLOOKUP(F115,Inputs!$C$45:$M$49,5,0)))</f>
        <v/>
      </c>
      <c r="AN115" s="655">
        <f t="shared" si="47"/>
        <v>0</v>
      </c>
      <c r="AO115" s="654" t="str">
        <f>IF(AJ115="","",IF(AN115="Dubai",VLOOKUP(AJ115,'Inputs Mapping'!$V$17:$W$24,2,0),VLOOKUP(AI115,'Inputs Mapping'!$V$27:$W$31,2,0)))</f>
        <v/>
      </c>
      <c r="AP115" s="666">
        <f>IFERROR(IF($AN115="","",HLOOKUP($AN115&amp;RIGHT($AL115,1),'input for formula'!$B$16:$I$20,3,0)),0)</f>
        <v>0</v>
      </c>
      <c r="AQ115" s="656">
        <f>IFERROR(IF($AN115="","",HLOOKUP($AN115&amp;$F115,'input for formula'!$B$22:$M$25,2,0)),0)</f>
        <v>0</v>
      </c>
      <c r="AR115" s="666">
        <f>IFERROR(IF($AN115="","",HLOOKUP($AN115&amp;RIGHT($AL115,1),'input for formula'!$B$16:$I$20,4,0)),0)</f>
        <v>0</v>
      </c>
      <c r="AS115" s="656">
        <f>IFERROR(IF($AN115="","",HLOOKUP($AN115&amp;$F115,'input for formula'!$B$22:$M$25,3,0)),0)</f>
        <v>0</v>
      </c>
      <c r="AT115" s="656">
        <f>IFERROR(IF($AN115="","",HLOOKUP($AN115&amp;RIGHT($AL115,1),'input for formula'!$B$16:$I$20,5,0)),0)</f>
        <v>0</v>
      </c>
      <c r="AU115" s="656">
        <f>IFERROR(IF($AN115="","",HLOOKUP($AN115&amp;$F115,'input for formula'!$B$22:$M$25,4,0)),0)</f>
        <v>0</v>
      </c>
      <c r="AV115" s="666">
        <f>IFERROR(IF($AN115="","",IF('Census Data'!$AN115="Abu Dhabi",VLOOKUP('Census Data'!$AM115,'input for formula'!$A$28:$C$41,3,0),VLOOKUP('Census Data'!$AM115,'input for formula'!$A$28:$C$47,2,0))),0)*IFERROR(1+IF(AN115="Dubai",VLOOKUP(F115,'Quotation for Dubai Plans'!$V$6:$X$12,3,FALSE),VLOOKUP(F115,'Quotation for Abu Dhabi Plans'!$W$6:$Y$12,3,FALSE)),0)</f>
        <v>0</v>
      </c>
      <c r="AW115" s="656" t="str">
        <f t="shared" si="52"/>
        <v/>
      </c>
      <c r="AX115" s="667" t="str">
        <f>IFERROR(IF(AL115="","",IF(AN115="Dubai",HLOOKUP((AL115&amp;AM115),Deviation!$B$7:$S$8,2,0)*BF115*BH115*BI115*BG115,HLOOKUP((AL115&amp;AM115),Deviation!$B$9:$O$10,2,0)*BF115*BH115*BI115*BG115)),0)</f>
        <v/>
      </c>
      <c r="AY115" s="668"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formula'!$M$3:$O$7,AO115,FALSE)))*AX115+AP115*AQ115+AR115*AS115+AT115*AU115),0)*$AZ$3*BK115*BJ115*IF(AND(Inputs!$C$19&gt;19,Inputs!$C$19&lt;30),(1+$AZ$2),1)*(1+$AZ$1))</f>
        <v/>
      </c>
      <c r="AZ115" s="148" t="str">
        <f t="shared" si="48"/>
        <v/>
      </c>
      <c r="BA115" s="669" t="str">
        <f>IF(F115="","",IF(AE115="Dubai",HLOOKUP(F115,Inputs!$C$26:$M$37,9,0),HLOOKUP(F115,Inputs!$C$45:$M$56,9,0)))</f>
        <v/>
      </c>
      <c r="BB115" s="670" t="str">
        <f>IF(F115="","",IF(AE115="Dubai",HLOOKUP(F115,Inputs!$C$26:$M$37,10,0),HLOOKUP(F115,Inputs!$C$45:$M$56,10,0)))</f>
        <v/>
      </c>
      <c r="BC115" s="670" t="str">
        <f>IF(F115="","",IF(AE115="Dubai",HLOOKUP(F115,Inputs!$C$26:$M$37,11,0),HLOOKUP(F115,Inputs!$C$45:$M$56,11,0)))</f>
        <v/>
      </c>
      <c r="BD115" s="669" t="str">
        <f>IF(F115="","",IF(AE115="Dubai",HLOOKUP(F115,Inputs!$C$26:$M$37,12,0),HLOOKUP(F115,Inputs!$C$45:$M$56,12,0)))</f>
        <v/>
      </c>
      <c r="BE115" s="654"/>
      <c r="BF115" s="669" t="str">
        <f>IFERROR(IF(AL115="","",IF(AN115="Dubai",IF(OR(AL115="Plan1",AL115="Plan2"),VLOOKUP(BA115,Deviation!$B$31:$D$33,2,FALSE),VLOOKUP(BA115,Deviation!$B$31:$D$33,3,FALSE)),IF(OR(AL115="Plan1",AL115="Plan2"),VLOOKUP(BA115,Deviation!$E$31:$AE$33,2,FALSE),VLOOKUP(BA115,Deviation!$E$31:$AE$33,3,FALSE)))),0)</f>
        <v/>
      </c>
      <c r="BG115" s="671" t="str">
        <f>IFERROR(IF(AL115="","",IF(AN115="Dubai",IF(AL115="Plan1",VLOOKUP(BB115,Deviation!$B$39:$C$40,2,FALSE),IF(AL115="Plan2",VLOOKUP(BB115,Deviation!$B$42:$C$43,2,FALSE),IF(AL115="Plan5",VLOOKUP(BB115,Deviation!$B$48:$C$49,2,FALSE),VLOOKUP(BB115,Deviation!$B$45:$C$46,2,FALSE)))),IF(AL115="Plan1",VLOOKUP(BB115,Deviation!$E$39:$F$40,2,FALSE),IF(AL115="Plan2",VLOOKUP(BB115,Deviation!$E$42:$F$43,2,FALSE),VLOOKUP(BB115,Deviation!$E$45:$F$46,2,FALSE))))),0)</f>
        <v/>
      </c>
      <c r="BH115" s="671" t="str">
        <f>IFERROR(IF(AL115="","",IF(AN115="Dubai",IF(OR(AL115="Plan1",AL115="Plan2"),VLOOKUP(BC115,Deviation!$B$15:$D$19,2,FALSE),VLOOKUP(BC115,Deviation!$B$15:$D$19,3,FALSE)),IF(OR(AL115="Plan1",AL115="Plan2"),VLOOKUP(BC115,Deviation!$E$15:$AE$19,2,FALSE),VLOOKUP(BC115,Deviation!$E$15:$AE$19,3,FALSE)))),0)</f>
        <v/>
      </c>
      <c r="BI115" s="669" t="str">
        <f>IFERROR(IF(AL115="","",IF(AN115="Dubai",VLOOKUP(BD115,Deviation!$B$24:$C$26,2,FALSE),100%)),0)</f>
        <v/>
      </c>
      <c r="BJ115" s="672">
        <f>IF(AE115="Abu Dhabi",1,IFERROR(VLOOKUP(AM115,Deviation!$B$67:$E$79,MATCH('Census Data'!AA115,Deviation!$B$66:$E$66,0),0),1))</f>
        <v>1</v>
      </c>
      <c r="BK115" s="659">
        <f>IFERROR(VLOOKUP(I115,Deviation!$B$54:$C$62,2,0),1)</f>
        <v>1</v>
      </c>
      <c r="BL115" s="148"/>
      <c r="BM115" s="148"/>
      <c r="BN115" s="148"/>
      <c r="BO115" s="148"/>
      <c r="BP115" s="148"/>
      <c r="BQ115" s="148"/>
      <c r="BR115" s="148"/>
      <c r="BS115" s="148"/>
      <c r="BT115" s="148" t="e">
        <f t="shared" si="49"/>
        <v>#VALUE!</v>
      </c>
      <c r="BU115"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f>
        <v/>
      </c>
    </row>
    <row r="116" spans="1:73" ht="15" x14ac:dyDescent="0.25">
      <c r="A116" s="59">
        <v>111</v>
      </c>
      <c r="B116" s="470"/>
      <c r="C116" s="628"/>
      <c r="D116" s="629"/>
      <c r="E116" s="471"/>
      <c r="F116" s="298"/>
      <c r="G116" s="298"/>
      <c r="H116" s="298"/>
      <c r="I116" s="298"/>
      <c r="J116" s="80" t="str">
        <f>IFERROR(IF(C116="","",DATEDIF('Census Data'!C116,eff_date,"y")),"")</f>
        <v/>
      </c>
      <c r="K116" s="59" t="str">
        <f>IF(F116="","",IF(AE116="Dubai",HLOOKUP(F116,Inputs!$C$26:$M$28,3,0),HLOOKUP(F116,Inputs!$C$45:$M$46,2,0)))</f>
        <v/>
      </c>
      <c r="L116" s="104"/>
      <c r="M116" s="105">
        <f t="shared" si="32"/>
        <v>0</v>
      </c>
      <c r="N116" s="654" t="b">
        <f t="shared" si="61"/>
        <v>0</v>
      </c>
      <c r="O116" s="655" t="str">
        <f t="shared" si="62"/>
        <v>x</v>
      </c>
      <c r="P116" s="655" t="str">
        <f t="shared" si="63"/>
        <v>x</v>
      </c>
      <c r="Q116" s="655" t="str">
        <f t="shared" si="64"/>
        <v>x</v>
      </c>
      <c r="R116" s="655" t="str">
        <f t="shared" si="51"/>
        <v>x</v>
      </c>
      <c r="S116" s="655" t="str">
        <f t="shared" si="65"/>
        <v>x</v>
      </c>
      <c r="T116" s="655" t="str">
        <f>IF(ISERROR(MATCH(G116,'Inputs Mapping'!$T$4:$T$10,0)),"x","")</f>
        <v>x</v>
      </c>
      <c r="U116" s="655" t="str">
        <f>IF(ISERROR(MATCH(AA116,'Inputs Mapping'!$U$4:$U$5,0)),"x","")</f>
        <v>x</v>
      </c>
      <c r="V116" s="655" t="str">
        <f>IF(ISERROR(MATCH(AB116,'Inputs Mapping'!$V$4:$V$5,0)),"x","")</f>
        <v>x</v>
      </c>
      <c r="W116" s="655" t="str">
        <f>IF(ISERROR(MATCH(F116,'Inputs Mapping'!$W$4:$W$8,0)),"x","")</f>
        <v>x</v>
      </c>
      <c r="X116" s="655" t="str">
        <f t="shared" si="66"/>
        <v/>
      </c>
      <c r="Y116" s="655" t="str">
        <f t="shared" si="67"/>
        <v/>
      </c>
      <c r="Z116" s="655" t="str">
        <f t="shared" si="40"/>
        <v/>
      </c>
      <c r="AA116" s="655" t="str">
        <f t="shared" si="41"/>
        <v/>
      </c>
      <c r="AB116" s="655" t="str">
        <f t="shared" si="43"/>
        <v/>
      </c>
      <c r="AC116" s="655" t="str">
        <f t="shared" si="50"/>
        <v>x</v>
      </c>
      <c r="AD116" s="655" t="str">
        <f>IF(ISBLANK(I116),"x",IF(ISNUMBER(MATCH(I116,'Inputs Mapping'!$AF$5:$AF$199,0)),"","x"))</f>
        <v>x</v>
      </c>
      <c r="AE116" s="655" t="str">
        <f t="shared" si="44"/>
        <v/>
      </c>
      <c r="AF116" s="148"/>
      <c r="AG116" s="148"/>
      <c r="AH116" s="148" t="str">
        <f t="shared" si="45"/>
        <v/>
      </c>
      <c r="AI116" s="654" t="str">
        <f>IF(J116="","",VLOOKUP(J116,'Inputs Mapping'!$T$27:$V$31,3))</f>
        <v/>
      </c>
      <c r="AJ116" s="654" t="str">
        <f>IF(J116="","",VLOOKUP(J116,'Inputs Mapping'!$T$17:$V$24,3))</f>
        <v/>
      </c>
      <c r="AK116" s="654" t="str">
        <f t="shared" si="46"/>
        <v/>
      </c>
      <c r="AL116" s="655" t="str">
        <f t="shared" si="60"/>
        <v/>
      </c>
      <c r="AM116" s="655" t="str">
        <f>IF(F116="","",IF(AE116="Dubai",HLOOKUP(F116,Inputs!$C$26:$M$36,5,0),HLOOKUP(F116,Inputs!$C$45:$M$49,5,0)))</f>
        <v/>
      </c>
      <c r="AN116" s="655">
        <f t="shared" si="47"/>
        <v>0</v>
      </c>
      <c r="AO116" s="654" t="str">
        <f>IF(AJ116="","",IF(AN116="Dubai",VLOOKUP(AJ116,'Inputs Mapping'!$V$17:$W$24,2,0),VLOOKUP(AI116,'Inputs Mapping'!$V$27:$W$31,2,0)))</f>
        <v/>
      </c>
      <c r="AP116" s="666">
        <f>IFERROR(IF($AN116="","",HLOOKUP($AN116&amp;RIGHT($AL116,1),'input for formula'!$B$16:$I$20,3,0)),0)</f>
        <v>0</v>
      </c>
      <c r="AQ116" s="656">
        <f>IFERROR(IF($AN116="","",HLOOKUP($AN116&amp;$F116,'input for formula'!$B$22:$M$25,2,0)),0)</f>
        <v>0</v>
      </c>
      <c r="AR116" s="666">
        <f>IFERROR(IF($AN116="","",HLOOKUP($AN116&amp;RIGHT($AL116,1),'input for formula'!$B$16:$I$20,4,0)),0)</f>
        <v>0</v>
      </c>
      <c r="AS116" s="656">
        <f>IFERROR(IF($AN116="","",HLOOKUP($AN116&amp;$F116,'input for formula'!$B$22:$M$25,3,0)),0)</f>
        <v>0</v>
      </c>
      <c r="AT116" s="656">
        <f>IFERROR(IF($AN116="","",HLOOKUP($AN116&amp;RIGHT($AL116,1),'input for formula'!$B$16:$I$20,5,0)),0)</f>
        <v>0</v>
      </c>
      <c r="AU116" s="656">
        <f>IFERROR(IF($AN116="","",HLOOKUP($AN116&amp;$F116,'input for formula'!$B$22:$M$25,4,0)),0)</f>
        <v>0</v>
      </c>
      <c r="AV116" s="666">
        <f>IFERROR(IF($AN116="","",IF('Census Data'!$AN116="Abu Dhabi",VLOOKUP('Census Data'!$AM116,'input for formula'!$A$28:$C$41,3,0),VLOOKUP('Census Data'!$AM116,'input for formula'!$A$28:$C$47,2,0))),0)*IFERROR(1+IF(AN116="Dubai",VLOOKUP(F116,'Quotation for Dubai Plans'!$V$6:$X$12,3,FALSE),VLOOKUP(F116,'Quotation for Abu Dhabi Plans'!$W$6:$Y$12,3,FALSE)),0)</f>
        <v>0</v>
      </c>
      <c r="AW116" s="656" t="str">
        <f t="shared" si="52"/>
        <v/>
      </c>
      <c r="AX116" s="667" t="str">
        <f>IFERROR(IF(AL116="","",IF(AN116="Dubai",HLOOKUP((AL116&amp;AM116),Deviation!$B$7:$S$8,2,0)*BF116*BH116*BI116*BG116,HLOOKUP((AL116&amp;AM116),Deviation!$B$9:$O$10,2,0)*BF116*BH116*BI116*BG116)),0)</f>
        <v/>
      </c>
      <c r="AY116" s="668"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formula'!$M$3:$O$7,AO116,FALSE)))*AX116+AP116*AQ116+AR116*AS116+AT116*AU116),0)*$AZ$3*BK116*BJ116*IF(AND(Inputs!$C$19&gt;19,Inputs!$C$19&lt;30),(1+$AZ$2),1)*(1+$AZ$1))</f>
        <v/>
      </c>
      <c r="AZ116" s="148" t="str">
        <f t="shared" si="48"/>
        <v/>
      </c>
      <c r="BA116" s="669" t="str">
        <f>IF(F116="","",IF(AE116="Dubai",HLOOKUP(F116,Inputs!$C$26:$M$37,9,0),HLOOKUP(F116,Inputs!$C$45:$M$56,9,0)))</f>
        <v/>
      </c>
      <c r="BB116" s="670" t="str">
        <f>IF(F116="","",IF(AE116="Dubai",HLOOKUP(F116,Inputs!$C$26:$M$37,10,0),HLOOKUP(F116,Inputs!$C$45:$M$56,10,0)))</f>
        <v/>
      </c>
      <c r="BC116" s="670" t="str">
        <f>IF(F116="","",IF(AE116="Dubai",HLOOKUP(F116,Inputs!$C$26:$M$37,11,0),HLOOKUP(F116,Inputs!$C$45:$M$56,11,0)))</f>
        <v/>
      </c>
      <c r="BD116" s="669" t="str">
        <f>IF(F116="","",IF(AE116="Dubai",HLOOKUP(F116,Inputs!$C$26:$M$37,12,0),HLOOKUP(F116,Inputs!$C$45:$M$56,12,0)))</f>
        <v/>
      </c>
      <c r="BE116" s="654"/>
      <c r="BF116" s="669" t="str">
        <f>IFERROR(IF(AL116="","",IF(AN116="Dubai",IF(OR(AL116="Plan1",AL116="Plan2"),VLOOKUP(BA116,Deviation!$B$31:$D$33,2,FALSE),VLOOKUP(BA116,Deviation!$B$31:$D$33,3,FALSE)),IF(OR(AL116="Plan1",AL116="Plan2"),VLOOKUP(BA116,Deviation!$E$31:$AE$33,2,FALSE),VLOOKUP(BA116,Deviation!$E$31:$AE$33,3,FALSE)))),0)</f>
        <v/>
      </c>
      <c r="BG116" s="671" t="str">
        <f>IFERROR(IF(AL116="","",IF(AN116="Dubai",IF(AL116="Plan1",VLOOKUP(BB116,Deviation!$B$39:$C$40,2,FALSE),IF(AL116="Plan2",VLOOKUP(BB116,Deviation!$B$42:$C$43,2,FALSE),IF(AL116="Plan5",VLOOKUP(BB116,Deviation!$B$48:$C$49,2,FALSE),VLOOKUP(BB116,Deviation!$B$45:$C$46,2,FALSE)))),IF(AL116="Plan1",VLOOKUP(BB116,Deviation!$E$39:$F$40,2,FALSE),IF(AL116="Plan2",VLOOKUP(BB116,Deviation!$E$42:$F$43,2,FALSE),VLOOKUP(BB116,Deviation!$E$45:$F$46,2,FALSE))))),0)</f>
        <v/>
      </c>
      <c r="BH116" s="671" t="str">
        <f>IFERROR(IF(AL116="","",IF(AN116="Dubai",IF(OR(AL116="Plan1",AL116="Plan2"),VLOOKUP(BC116,Deviation!$B$15:$D$19,2,FALSE),VLOOKUP(BC116,Deviation!$B$15:$D$19,3,FALSE)),IF(OR(AL116="Plan1",AL116="Plan2"),VLOOKUP(BC116,Deviation!$E$15:$AE$19,2,FALSE),VLOOKUP(BC116,Deviation!$E$15:$AE$19,3,FALSE)))),0)</f>
        <v/>
      </c>
      <c r="BI116" s="669" t="str">
        <f>IFERROR(IF(AL116="","",IF(AN116="Dubai",VLOOKUP(BD116,Deviation!$B$24:$C$26,2,FALSE),100%)),0)</f>
        <v/>
      </c>
      <c r="BJ116" s="672">
        <f>IF(AE116="Abu Dhabi",1,IFERROR(VLOOKUP(AM116,Deviation!$B$67:$E$79,MATCH('Census Data'!AA116,Deviation!$B$66:$E$66,0),0),1))</f>
        <v>1</v>
      </c>
      <c r="BK116" s="659">
        <f>IFERROR(VLOOKUP(I116,Deviation!$B$54:$C$62,2,0),1)</f>
        <v>1</v>
      </c>
      <c r="BL116" s="148"/>
      <c r="BM116" s="148"/>
      <c r="BN116" s="148"/>
      <c r="BO116" s="148"/>
      <c r="BP116" s="148"/>
      <c r="BQ116" s="148"/>
      <c r="BR116" s="148"/>
      <c r="BS116" s="148"/>
      <c r="BT116" s="148" t="e">
        <f t="shared" si="49"/>
        <v>#VALUE!</v>
      </c>
      <c r="BU116"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f>
        <v/>
      </c>
    </row>
    <row r="117" spans="1:73" ht="15" x14ac:dyDescent="0.25">
      <c r="A117" s="59">
        <v>112</v>
      </c>
      <c r="B117" s="470"/>
      <c r="C117" s="628"/>
      <c r="D117" s="629"/>
      <c r="E117" s="471"/>
      <c r="F117" s="298"/>
      <c r="G117" s="298"/>
      <c r="H117" s="298"/>
      <c r="I117" s="298"/>
      <c r="J117" s="80" t="str">
        <f>IFERROR(IF(C117="","",DATEDIF('Census Data'!C117,eff_date,"y")),"")</f>
        <v/>
      </c>
      <c r="K117" s="59" t="str">
        <f>IF(F117="","",IF(AE117="Dubai",HLOOKUP(F117,Inputs!$C$26:$M$28,3,0),HLOOKUP(F117,Inputs!$C$45:$M$46,2,0)))</f>
        <v/>
      </c>
      <c r="L117" s="104"/>
      <c r="M117" s="105">
        <f t="shared" si="32"/>
        <v>0</v>
      </c>
      <c r="N117" s="654" t="b">
        <f t="shared" si="61"/>
        <v>0</v>
      </c>
      <c r="O117" s="655" t="str">
        <f t="shared" si="62"/>
        <v>x</v>
      </c>
      <c r="P117" s="655" t="str">
        <f t="shared" si="63"/>
        <v>x</v>
      </c>
      <c r="Q117" s="655" t="str">
        <f t="shared" si="64"/>
        <v>x</v>
      </c>
      <c r="R117" s="655" t="str">
        <f t="shared" si="51"/>
        <v>x</v>
      </c>
      <c r="S117" s="655" t="str">
        <f t="shared" si="65"/>
        <v>x</v>
      </c>
      <c r="T117" s="655" t="str">
        <f>IF(ISERROR(MATCH(G117,'Inputs Mapping'!$T$4:$T$10,0)),"x","")</f>
        <v>x</v>
      </c>
      <c r="U117" s="655" t="str">
        <f>IF(ISERROR(MATCH(AA117,'Inputs Mapping'!$U$4:$U$5,0)),"x","")</f>
        <v>x</v>
      </c>
      <c r="V117" s="655" t="str">
        <f>IF(ISERROR(MATCH(AB117,'Inputs Mapping'!$V$4:$V$5,0)),"x","")</f>
        <v>x</v>
      </c>
      <c r="W117" s="655" t="str">
        <f>IF(ISERROR(MATCH(F117,'Inputs Mapping'!$W$4:$W$8,0)),"x","")</f>
        <v>x</v>
      </c>
      <c r="X117" s="655" t="str">
        <f t="shared" si="66"/>
        <v/>
      </c>
      <c r="Y117" s="655" t="str">
        <f t="shared" si="67"/>
        <v/>
      </c>
      <c r="Z117" s="655" t="str">
        <f t="shared" si="40"/>
        <v/>
      </c>
      <c r="AA117" s="655" t="str">
        <f t="shared" si="41"/>
        <v/>
      </c>
      <c r="AB117" s="655" t="str">
        <f t="shared" si="43"/>
        <v/>
      </c>
      <c r="AC117" s="655" t="str">
        <f t="shared" si="50"/>
        <v>x</v>
      </c>
      <c r="AD117" s="655" t="str">
        <f>IF(ISBLANK(I117),"x",IF(ISNUMBER(MATCH(I117,'Inputs Mapping'!$AF$5:$AF$199,0)),"","x"))</f>
        <v>x</v>
      </c>
      <c r="AE117" s="655" t="str">
        <f t="shared" si="44"/>
        <v/>
      </c>
      <c r="AF117" s="148"/>
      <c r="AG117" s="148"/>
      <c r="AH117" s="148" t="str">
        <f t="shared" si="45"/>
        <v/>
      </c>
      <c r="AI117" s="654" t="str">
        <f>IF(J117="","",VLOOKUP(J117,'Inputs Mapping'!$T$27:$V$31,3))</f>
        <v/>
      </c>
      <c r="AJ117" s="654" t="str">
        <f>IF(J117="","",VLOOKUP(J117,'Inputs Mapping'!$T$17:$V$24,3))</f>
        <v/>
      </c>
      <c r="AK117" s="654" t="str">
        <f t="shared" si="46"/>
        <v/>
      </c>
      <c r="AL117" s="655" t="str">
        <f t="shared" si="60"/>
        <v/>
      </c>
      <c r="AM117" s="655" t="str">
        <f>IF(F117="","",IF(AE117="Dubai",HLOOKUP(F117,Inputs!$C$26:$M$36,5,0),HLOOKUP(F117,Inputs!$C$45:$M$49,5,0)))</f>
        <v/>
      </c>
      <c r="AN117" s="655">
        <f t="shared" si="47"/>
        <v>0</v>
      </c>
      <c r="AO117" s="654" t="str">
        <f>IF(AJ117="","",IF(AN117="Dubai",VLOOKUP(AJ117,'Inputs Mapping'!$V$17:$W$24,2,0),VLOOKUP(AI117,'Inputs Mapping'!$V$27:$W$31,2,0)))</f>
        <v/>
      </c>
      <c r="AP117" s="666">
        <f>IFERROR(IF($AN117="","",HLOOKUP($AN117&amp;RIGHT($AL117,1),'input for formula'!$B$16:$I$20,3,0)),0)</f>
        <v>0</v>
      </c>
      <c r="AQ117" s="656">
        <f>IFERROR(IF($AN117="","",HLOOKUP($AN117&amp;$F117,'input for formula'!$B$22:$M$25,2,0)),0)</f>
        <v>0</v>
      </c>
      <c r="AR117" s="666">
        <f>IFERROR(IF($AN117="","",HLOOKUP($AN117&amp;RIGHT($AL117,1),'input for formula'!$B$16:$I$20,4,0)),0)</f>
        <v>0</v>
      </c>
      <c r="AS117" s="656">
        <f>IFERROR(IF($AN117="","",HLOOKUP($AN117&amp;$F117,'input for formula'!$B$22:$M$25,3,0)),0)</f>
        <v>0</v>
      </c>
      <c r="AT117" s="656">
        <f>IFERROR(IF($AN117="","",HLOOKUP($AN117&amp;RIGHT($AL117,1),'input for formula'!$B$16:$I$20,5,0)),0)</f>
        <v>0</v>
      </c>
      <c r="AU117" s="656">
        <f>IFERROR(IF($AN117="","",HLOOKUP($AN117&amp;$F117,'input for formula'!$B$22:$M$25,4,0)),0)</f>
        <v>0</v>
      </c>
      <c r="AV117" s="666">
        <f>IFERROR(IF($AN117="","",IF('Census Data'!$AN117="Abu Dhabi",VLOOKUP('Census Data'!$AM117,'input for formula'!$A$28:$C$41,3,0),VLOOKUP('Census Data'!$AM117,'input for formula'!$A$28:$C$47,2,0))),0)*IFERROR(1+IF(AN117="Dubai",VLOOKUP(F117,'Quotation for Dubai Plans'!$V$6:$X$12,3,FALSE),VLOOKUP(F117,'Quotation for Abu Dhabi Plans'!$W$6:$Y$12,3,FALSE)),0)</f>
        <v>0</v>
      </c>
      <c r="AW117" s="656" t="str">
        <f t="shared" si="52"/>
        <v/>
      </c>
      <c r="AX117" s="667" t="str">
        <f>IFERROR(IF(AL117="","",IF(AN117="Dubai",HLOOKUP((AL117&amp;AM117),Deviation!$B$7:$S$8,2,0)*BF117*BH117*BI117*BG117,HLOOKUP((AL117&amp;AM117),Deviation!$B$9:$O$10,2,0)*BF117*BH117*BI117*BG117)),0)</f>
        <v/>
      </c>
      <c r="AY117" s="668"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formula'!$M$3:$O$7,AO117,FALSE)))*AX117+AP117*AQ117+AR117*AS117+AT117*AU117),0)*$AZ$3*BK117*BJ117*IF(AND(Inputs!$C$19&gt;19,Inputs!$C$19&lt;30),(1+$AZ$2),1)*(1+$AZ$1))</f>
        <v/>
      </c>
      <c r="AZ117" s="148" t="str">
        <f t="shared" si="48"/>
        <v/>
      </c>
      <c r="BA117" s="669" t="str">
        <f>IF(F117="","",IF(AE117="Dubai",HLOOKUP(F117,Inputs!$C$26:$M$37,9,0),HLOOKUP(F117,Inputs!$C$45:$M$56,9,0)))</f>
        <v/>
      </c>
      <c r="BB117" s="670" t="str">
        <f>IF(F117="","",IF(AE117="Dubai",HLOOKUP(F117,Inputs!$C$26:$M$37,10,0),HLOOKUP(F117,Inputs!$C$45:$M$56,10,0)))</f>
        <v/>
      </c>
      <c r="BC117" s="670" t="str">
        <f>IF(F117="","",IF(AE117="Dubai",HLOOKUP(F117,Inputs!$C$26:$M$37,11,0),HLOOKUP(F117,Inputs!$C$45:$M$56,11,0)))</f>
        <v/>
      </c>
      <c r="BD117" s="669" t="str">
        <f>IF(F117="","",IF(AE117="Dubai",HLOOKUP(F117,Inputs!$C$26:$M$37,12,0),HLOOKUP(F117,Inputs!$C$45:$M$56,12,0)))</f>
        <v/>
      </c>
      <c r="BE117" s="654"/>
      <c r="BF117" s="669" t="str">
        <f>IFERROR(IF(AL117="","",IF(AN117="Dubai",IF(OR(AL117="Plan1",AL117="Plan2"),VLOOKUP(BA117,Deviation!$B$31:$D$33,2,FALSE),VLOOKUP(BA117,Deviation!$B$31:$D$33,3,FALSE)),IF(OR(AL117="Plan1",AL117="Plan2"),VLOOKUP(BA117,Deviation!$E$31:$AE$33,2,FALSE),VLOOKUP(BA117,Deviation!$E$31:$AE$33,3,FALSE)))),0)</f>
        <v/>
      </c>
      <c r="BG117" s="671" t="str">
        <f>IFERROR(IF(AL117="","",IF(AN117="Dubai",IF(AL117="Plan1",VLOOKUP(BB117,Deviation!$B$39:$C$40,2,FALSE),IF(AL117="Plan2",VLOOKUP(BB117,Deviation!$B$42:$C$43,2,FALSE),IF(AL117="Plan5",VLOOKUP(BB117,Deviation!$B$48:$C$49,2,FALSE),VLOOKUP(BB117,Deviation!$B$45:$C$46,2,FALSE)))),IF(AL117="Plan1",VLOOKUP(BB117,Deviation!$E$39:$F$40,2,FALSE),IF(AL117="Plan2",VLOOKUP(BB117,Deviation!$E$42:$F$43,2,FALSE),VLOOKUP(BB117,Deviation!$E$45:$F$46,2,FALSE))))),0)</f>
        <v/>
      </c>
      <c r="BH117" s="671" t="str">
        <f>IFERROR(IF(AL117="","",IF(AN117="Dubai",IF(OR(AL117="Plan1",AL117="Plan2"),VLOOKUP(BC117,Deviation!$B$15:$D$19,2,FALSE),VLOOKUP(BC117,Deviation!$B$15:$D$19,3,FALSE)),IF(OR(AL117="Plan1",AL117="Plan2"),VLOOKUP(BC117,Deviation!$E$15:$AE$19,2,FALSE),VLOOKUP(BC117,Deviation!$E$15:$AE$19,3,FALSE)))),0)</f>
        <v/>
      </c>
      <c r="BI117" s="669" t="str">
        <f>IFERROR(IF(AL117="","",IF(AN117="Dubai",VLOOKUP(BD117,Deviation!$B$24:$C$26,2,FALSE),100%)),0)</f>
        <v/>
      </c>
      <c r="BJ117" s="672">
        <f>IF(AE117="Abu Dhabi",1,IFERROR(VLOOKUP(AM117,Deviation!$B$67:$E$79,MATCH('Census Data'!AA117,Deviation!$B$66:$E$66,0),0),1))</f>
        <v>1</v>
      </c>
      <c r="BK117" s="659">
        <f>IFERROR(VLOOKUP(I117,Deviation!$B$54:$C$62,2,0),1)</f>
        <v>1</v>
      </c>
      <c r="BL117" s="148"/>
      <c r="BM117" s="148"/>
      <c r="BN117" s="148"/>
      <c r="BO117" s="148"/>
      <c r="BP117" s="148"/>
      <c r="BQ117" s="148"/>
      <c r="BR117" s="148"/>
      <c r="BS117" s="148"/>
      <c r="BT117" s="148" t="e">
        <f t="shared" si="49"/>
        <v>#VALUE!</v>
      </c>
      <c r="BU117"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f>
        <v/>
      </c>
    </row>
    <row r="118" spans="1:73" ht="15" x14ac:dyDescent="0.25">
      <c r="A118" s="59">
        <v>113</v>
      </c>
      <c r="B118" s="470"/>
      <c r="C118" s="628"/>
      <c r="D118" s="629"/>
      <c r="E118" s="471"/>
      <c r="F118" s="298"/>
      <c r="G118" s="298"/>
      <c r="H118" s="298"/>
      <c r="I118" s="298"/>
      <c r="J118" s="80" t="str">
        <f>IFERROR(IF(C118="","",DATEDIF('Census Data'!C118,eff_date,"y")),"")</f>
        <v/>
      </c>
      <c r="K118" s="59" t="str">
        <f>IF(F118="","",IF(AE118="Dubai",HLOOKUP(F118,Inputs!$C$26:$M$28,3,0),HLOOKUP(F118,Inputs!$C$45:$M$46,2,0)))</f>
        <v/>
      </c>
      <c r="L118" s="104"/>
      <c r="M118" s="105">
        <f t="shared" si="32"/>
        <v>0</v>
      </c>
      <c r="N118" s="654" t="b">
        <f t="shared" si="61"/>
        <v>0</v>
      </c>
      <c r="O118" s="655" t="str">
        <f t="shared" si="62"/>
        <v>x</v>
      </c>
      <c r="P118" s="655" t="str">
        <f t="shared" si="63"/>
        <v>x</v>
      </c>
      <c r="Q118" s="655" t="str">
        <f t="shared" si="64"/>
        <v>x</v>
      </c>
      <c r="R118" s="655" t="str">
        <f t="shared" si="51"/>
        <v>x</v>
      </c>
      <c r="S118" s="655" t="str">
        <f t="shared" si="65"/>
        <v>x</v>
      </c>
      <c r="T118" s="655" t="str">
        <f>IF(ISERROR(MATCH(G118,'Inputs Mapping'!$T$4:$T$10,0)),"x","")</f>
        <v>x</v>
      </c>
      <c r="U118" s="655" t="str">
        <f>IF(ISERROR(MATCH(AA118,'Inputs Mapping'!$U$4:$U$5,0)),"x","")</f>
        <v>x</v>
      </c>
      <c r="V118" s="655" t="str">
        <f>IF(ISERROR(MATCH(AB118,'Inputs Mapping'!$V$4:$V$5,0)),"x","")</f>
        <v>x</v>
      </c>
      <c r="W118" s="655" t="str">
        <f>IF(ISERROR(MATCH(F118,'Inputs Mapping'!$W$4:$W$8,0)),"x","")</f>
        <v>x</v>
      </c>
      <c r="X118" s="655" t="str">
        <f t="shared" si="66"/>
        <v/>
      </c>
      <c r="Y118" s="655" t="str">
        <f t="shared" si="67"/>
        <v/>
      </c>
      <c r="Z118" s="655" t="str">
        <f t="shared" si="40"/>
        <v/>
      </c>
      <c r="AA118" s="655" t="str">
        <f t="shared" si="41"/>
        <v/>
      </c>
      <c r="AB118" s="655" t="str">
        <f t="shared" si="43"/>
        <v/>
      </c>
      <c r="AC118" s="655" t="str">
        <f t="shared" si="50"/>
        <v>x</v>
      </c>
      <c r="AD118" s="655" t="str">
        <f>IF(ISBLANK(I118),"x",IF(ISNUMBER(MATCH(I118,'Inputs Mapping'!$AF$5:$AF$199,0)),"","x"))</f>
        <v>x</v>
      </c>
      <c r="AE118" s="655" t="str">
        <f t="shared" si="44"/>
        <v/>
      </c>
      <c r="AF118" s="148"/>
      <c r="AG118" s="148"/>
      <c r="AH118" s="148" t="str">
        <f t="shared" si="45"/>
        <v/>
      </c>
      <c r="AI118" s="654" t="str">
        <f>IF(J118="","",VLOOKUP(J118,'Inputs Mapping'!$T$27:$V$31,3))</f>
        <v/>
      </c>
      <c r="AJ118" s="654" t="str">
        <f>IF(J118="","",VLOOKUP(J118,'Inputs Mapping'!$T$17:$V$24,3))</f>
        <v/>
      </c>
      <c r="AK118" s="654" t="str">
        <f t="shared" si="46"/>
        <v/>
      </c>
      <c r="AL118" s="655" t="str">
        <f t="shared" si="60"/>
        <v/>
      </c>
      <c r="AM118" s="655" t="str">
        <f>IF(F118="","",IF(AE118="Dubai",HLOOKUP(F118,Inputs!$C$26:$M$36,5,0),HLOOKUP(F118,Inputs!$C$45:$M$49,5,0)))</f>
        <v/>
      </c>
      <c r="AN118" s="655">
        <f t="shared" si="47"/>
        <v>0</v>
      </c>
      <c r="AO118" s="654" t="str">
        <f>IF(AJ118="","",IF(AN118="Dubai",VLOOKUP(AJ118,'Inputs Mapping'!$V$17:$W$24,2,0),VLOOKUP(AI118,'Inputs Mapping'!$V$27:$W$31,2,0)))</f>
        <v/>
      </c>
      <c r="AP118" s="666">
        <f>IFERROR(IF($AN118="","",HLOOKUP($AN118&amp;RIGHT($AL118,1),'input for formula'!$B$16:$I$20,3,0)),0)</f>
        <v>0</v>
      </c>
      <c r="AQ118" s="656">
        <f>IFERROR(IF($AN118="","",HLOOKUP($AN118&amp;$F118,'input for formula'!$B$22:$M$25,2,0)),0)</f>
        <v>0</v>
      </c>
      <c r="AR118" s="666">
        <f>IFERROR(IF($AN118="","",HLOOKUP($AN118&amp;RIGHT($AL118,1),'input for formula'!$B$16:$I$20,4,0)),0)</f>
        <v>0</v>
      </c>
      <c r="AS118" s="656">
        <f>IFERROR(IF($AN118="","",HLOOKUP($AN118&amp;$F118,'input for formula'!$B$22:$M$25,3,0)),0)</f>
        <v>0</v>
      </c>
      <c r="AT118" s="656">
        <f>IFERROR(IF($AN118="","",HLOOKUP($AN118&amp;RIGHT($AL118,1),'input for formula'!$B$16:$I$20,5,0)),0)</f>
        <v>0</v>
      </c>
      <c r="AU118" s="656">
        <f>IFERROR(IF($AN118="","",HLOOKUP($AN118&amp;$F118,'input for formula'!$B$22:$M$25,4,0)),0)</f>
        <v>0</v>
      </c>
      <c r="AV118" s="666">
        <f>IFERROR(IF($AN118="","",IF('Census Data'!$AN118="Abu Dhabi",VLOOKUP('Census Data'!$AM118,'input for formula'!$A$28:$C$41,3,0),VLOOKUP('Census Data'!$AM118,'input for formula'!$A$28:$C$47,2,0))),0)*IFERROR(1+IF(AN118="Dubai",VLOOKUP(F118,'Quotation for Dubai Plans'!$V$6:$X$12,3,FALSE),VLOOKUP(F118,'Quotation for Abu Dhabi Plans'!$W$6:$Y$12,3,FALSE)),0)</f>
        <v>0</v>
      </c>
      <c r="AW118" s="656" t="str">
        <f t="shared" si="52"/>
        <v/>
      </c>
      <c r="AX118" s="667" t="str">
        <f>IFERROR(IF(AL118="","",IF(AN118="Dubai",HLOOKUP((AL118&amp;AM118),Deviation!$B$7:$S$8,2,0)*BF118*BH118*BI118*BG118,HLOOKUP((AL118&amp;AM118),Deviation!$B$9:$O$10,2,0)*BF118*BH118*BI118*BG118)),0)</f>
        <v/>
      </c>
      <c r="AY118" s="66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formula'!$M$3:$O$7,AO118,FALSE)))*AX118+AP118*AQ118+AR118*AS118+AT118*AU118),0)*$AZ$3*BK118*BJ118*IF(AND(Inputs!$C$19&gt;19,Inputs!$C$19&lt;30),(1+$AZ$2),1)*(1+$AZ$1))</f>
        <v/>
      </c>
      <c r="AZ118" s="148" t="str">
        <f t="shared" si="48"/>
        <v/>
      </c>
      <c r="BA118" s="669" t="str">
        <f>IF(F118="","",IF(AE118="Dubai",HLOOKUP(F118,Inputs!$C$26:$M$37,9,0),HLOOKUP(F118,Inputs!$C$45:$M$56,9,0)))</f>
        <v/>
      </c>
      <c r="BB118" s="670" t="str">
        <f>IF(F118="","",IF(AE118="Dubai",HLOOKUP(F118,Inputs!$C$26:$M$37,10,0),HLOOKUP(F118,Inputs!$C$45:$M$56,10,0)))</f>
        <v/>
      </c>
      <c r="BC118" s="670" t="str">
        <f>IF(F118="","",IF(AE118="Dubai",HLOOKUP(F118,Inputs!$C$26:$M$37,11,0),HLOOKUP(F118,Inputs!$C$45:$M$56,11,0)))</f>
        <v/>
      </c>
      <c r="BD118" s="669" t="str">
        <f>IF(F118="","",IF(AE118="Dubai",HLOOKUP(F118,Inputs!$C$26:$M$37,12,0),HLOOKUP(F118,Inputs!$C$45:$M$56,12,0)))</f>
        <v/>
      </c>
      <c r="BE118" s="654"/>
      <c r="BF118" s="669" t="str">
        <f>IFERROR(IF(AL118="","",IF(AN118="Dubai",IF(OR(AL118="Plan1",AL118="Plan2"),VLOOKUP(BA118,Deviation!$B$31:$D$33,2,FALSE),VLOOKUP(BA118,Deviation!$B$31:$D$33,3,FALSE)),IF(OR(AL118="Plan1",AL118="Plan2"),VLOOKUP(BA118,Deviation!$E$31:$AE$33,2,FALSE),VLOOKUP(BA118,Deviation!$E$31:$AE$33,3,FALSE)))),0)</f>
        <v/>
      </c>
      <c r="BG118" s="671" t="str">
        <f>IFERROR(IF(AL118="","",IF(AN118="Dubai",IF(AL118="Plan1",VLOOKUP(BB118,Deviation!$B$39:$C$40,2,FALSE),IF(AL118="Plan2",VLOOKUP(BB118,Deviation!$B$42:$C$43,2,FALSE),IF(AL118="Plan5",VLOOKUP(BB118,Deviation!$B$48:$C$49,2,FALSE),VLOOKUP(BB118,Deviation!$B$45:$C$46,2,FALSE)))),IF(AL118="Plan1",VLOOKUP(BB118,Deviation!$E$39:$F$40,2,FALSE),IF(AL118="Plan2",VLOOKUP(BB118,Deviation!$E$42:$F$43,2,FALSE),VLOOKUP(BB118,Deviation!$E$45:$F$46,2,FALSE))))),0)</f>
        <v/>
      </c>
      <c r="BH118" s="671" t="str">
        <f>IFERROR(IF(AL118="","",IF(AN118="Dubai",IF(OR(AL118="Plan1",AL118="Plan2"),VLOOKUP(BC118,Deviation!$B$15:$D$19,2,FALSE),VLOOKUP(BC118,Deviation!$B$15:$D$19,3,FALSE)),IF(OR(AL118="Plan1",AL118="Plan2"),VLOOKUP(BC118,Deviation!$E$15:$AE$19,2,FALSE),VLOOKUP(BC118,Deviation!$E$15:$AE$19,3,FALSE)))),0)</f>
        <v/>
      </c>
      <c r="BI118" s="669" t="str">
        <f>IFERROR(IF(AL118="","",IF(AN118="Dubai",VLOOKUP(BD118,Deviation!$B$24:$C$26,2,FALSE),100%)),0)</f>
        <v/>
      </c>
      <c r="BJ118" s="672">
        <f>IF(AE118="Abu Dhabi",1,IFERROR(VLOOKUP(AM118,Deviation!$B$67:$E$79,MATCH('Census Data'!AA118,Deviation!$B$66:$E$66,0),0),1))</f>
        <v>1</v>
      </c>
      <c r="BK118" s="659">
        <f>IFERROR(VLOOKUP(I118,Deviation!$B$54:$C$62,2,0),1)</f>
        <v>1</v>
      </c>
      <c r="BL118" s="148"/>
      <c r="BM118" s="148"/>
      <c r="BN118" s="148"/>
      <c r="BO118" s="148"/>
      <c r="BP118" s="148"/>
      <c r="BQ118" s="148"/>
      <c r="BR118" s="148"/>
      <c r="BS118" s="148"/>
      <c r="BT118" s="148" t="e">
        <f t="shared" si="49"/>
        <v>#VALUE!</v>
      </c>
      <c r="BU11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f>
        <v/>
      </c>
    </row>
    <row r="119" spans="1:73" ht="15" x14ac:dyDescent="0.25">
      <c r="A119" s="59">
        <v>114</v>
      </c>
      <c r="B119" s="470"/>
      <c r="C119" s="628"/>
      <c r="D119" s="629"/>
      <c r="E119" s="471"/>
      <c r="F119" s="298"/>
      <c r="G119" s="298"/>
      <c r="H119" s="298"/>
      <c r="I119" s="298"/>
      <c r="J119" s="80" t="str">
        <f>IFERROR(IF(C119="","",DATEDIF('Census Data'!C119,eff_date,"y")),"")</f>
        <v/>
      </c>
      <c r="K119" s="59" t="str">
        <f>IF(F119="","",IF(AE119="Dubai",HLOOKUP(F119,Inputs!$C$26:$M$28,3,0),HLOOKUP(F119,Inputs!$C$45:$M$46,2,0)))</f>
        <v/>
      </c>
      <c r="L119" s="104"/>
      <c r="M119" s="105">
        <f t="shared" si="32"/>
        <v>0</v>
      </c>
      <c r="N119" s="654" t="b">
        <f t="shared" si="61"/>
        <v>0</v>
      </c>
      <c r="O119" s="655" t="str">
        <f t="shared" si="62"/>
        <v>x</v>
      </c>
      <c r="P119" s="655" t="str">
        <f t="shared" si="63"/>
        <v>x</v>
      </c>
      <c r="Q119" s="655" t="str">
        <f t="shared" si="64"/>
        <v>x</v>
      </c>
      <c r="R119" s="655" t="str">
        <f t="shared" si="51"/>
        <v>x</v>
      </c>
      <c r="S119" s="655" t="str">
        <f t="shared" si="65"/>
        <v>x</v>
      </c>
      <c r="T119" s="655" t="str">
        <f>IF(ISERROR(MATCH(G119,'Inputs Mapping'!$T$4:$T$10,0)),"x","")</f>
        <v>x</v>
      </c>
      <c r="U119" s="655" t="str">
        <f>IF(ISERROR(MATCH(AA119,'Inputs Mapping'!$U$4:$U$5,0)),"x","")</f>
        <v>x</v>
      </c>
      <c r="V119" s="655" t="str">
        <f>IF(ISERROR(MATCH(AB119,'Inputs Mapping'!$V$4:$V$5,0)),"x","")</f>
        <v>x</v>
      </c>
      <c r="W119" s="655" t="str">
        <f>IF(ISERROR(MATCH(F119,'Inputs Mapping'!$W$4:$W$8,0)),"x","")</f>
        <v>x</v>
      </c>
      <c r="X119" s="655" t="str">
        <f t="shared" si="66"/>
        <v/>
      </c>
      <c r="Y119" s="655" t="str">
        <f t="shared" si="67"/>
        <v/>
      </c>
      <c r="Z119" s="655" t="str">
        <f t="shared" si="40"/>
        <v/>
      </c>
      <c r="AA119" s="655" t="str">
        <f t="shared" si="41"/>
        <v/>
      </c>
      <c r="AB119" s="655" t="str">
        <f t="shared" si="43"/>
        <v/>
      </c>
      <c r="AC119" s="655" t="str">
        <f t="shared" si="50"/>
        <v>x</v>
      </c>
      <c r="AD119" s="655" t="str">
        <f>IF(ISBLANK(I119),"x",IF(ISNUMBER(MATCH(I119,'Inputs Mapping'!$AF$5:$AF$199,0)),"","x"))</f>
        <v>x</v>
      </c>
      <c r="AE119" s="655" t="str">
        <f t="shared" si="44"/>
        <v/>
      </c>
      <c r="AF119" s="148"/>
      <c r="AG119" s="148"/>
      <c r="AH119" s="148" t="str">
        <f t="shared" si="45"/>
        <v/>
      </c>
      <c r="AI119" s="654" t="str">
        <f>IF(J119="","",VLOOKUP(J119,'Inputs Mapping'!$T$27:$V$31,3))</f>
        <v/>
      </c>
      <c r="AJ119" s="654" t="str">
        <f>IF(J119="","",VLOOKUP(J119,'Inputs Mapping'!$T$17:$V$24,3))</f>
        <v/>
      </c>
      <c r="AK119" s="654" t="str">
        <f t="shared" si="46"/>
        <v/>
      </c>
      <c r="AL119" s="655" t="str">
        <f t="shared" si="60"/>
        <v/>
      </c>
      <c r="AM119" s="655" t="str">
        <f>IF(F119="","",IF(AE119="Dubai",HLOOKUP(F119,Inputs!$C$26:$M$36,5,0),HLOOKUP(F119,Inputs!$C$45:$M$49,5,0)))</f>
        <v/>
      </c>
      <c r="AN119" s="655">
        <f t="shared" si="47"/>
        <v>0</v>
      </c>
      <c r="AO119" s="654" t="str">
        <f>IF(AJ119="","",IF(AN119="Dubai",VLOOKUP(AJ119,'Inputs Mapping'!$V$17:$W$24,2,0),VLOOKUP(AI119,'Inputs Mapping'!$V$27:$W$31,2,0)))</f>
        <v/>
      </c>
      <c r="AP119" s="666">
        <f>IFERROR(IF($AN119="","",HLOOKUP($AN119&amp;RIGHT($AL119,1),'input for formula'!$B$16:$I$20,3,0)),0)</f>
        <v>0</v>
      </c>
      <c r="AQ119" s="656">
        <f>IFERROR(IF($AN119="","",HLOOKUP($AN119&amp;$F119,'input for formula'!$B$22:$M$25,2,0)),0)</f>
        <v>0</v>
      </c>
      <c r="AR119" s="666">
        <f>IFERROR(IF($AN119="","",HLOOKUP($AN119&amp;RIGHT($AL119,1),'input for formula'!$B$16:$I$20,4,0)),0)</f>
        <v>0</v>
      </c>
      <c r="AS119" s="656">
        <f>IFERROR(IF($AN119="","",HLOOKUP($AN119&amp;$F119,'input for formula'!$B$22:$M$25,3,0)),0)</f>
        <v>0</v>
      </c>
      <c r="AT119" s="656">
        <f>IFERROR(IF($AN119="","",HLOOKUP($AN119&amp;RIGHT($AL119,1),'input for formula'!$B$16:$I$20,5,0)),0)</f>
        <v>0</v>
      </c>
      <c r="AU119" s="656">
        <f>IFERROR(IF($AN119="","",HLOOKUP($AN119&amp;$F119,'input for formula'!$B$22:$M$25,4,0)),0)</f>
        <v>0</v>
      </c>
      <c r="AV119" s="666">
        <f>IFERROR(IF($AN119="","",IF('Census Data'!$AN119="Abu Dhabi",VLOOKUP('Census Data'!$AM119,'input for formula'!$A$28:$C$41,3,0),VLOOKUP('Census Data'!$AM119,'input for formula'!$A$28:$C$47,2,0))),0)*IFERROR(1+IF(AN119="Dubai",VLOOKUP(F119,'Quotation for Dubai Plans'!$V$6:$X$12,3,FALSE),VLOOKUP(F119,'Quotation for Abu Dhabi Plans'!$W$6:$Y$12,3,FALSE)),0)</f>
        <v>0</v>
      </c>
      <c r="AW119" s="656" t="str">
        <f t="shared" si="52"/>
        <v/>
      </c>
      <c r="AX119" s="667" t="str">
        <f>IFERROR(IF(AL119="","",IF(AN119="Dubai",HLOOKUP((AL119&amp;AM119),Deviation!$B$7:$S$8,2,0)*BF119*BH119*BI119*BG119,HLOOKUP((AL119&amp;AM119),Deviation!$B$9:$O$10,2,0)*BF119*BH119*BI119*BG119)),0)</f>
        <v/>
      </c>
      <c r="AY119" s="668"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formula'!$M$3:$O$7,AO119,FALSE)))*AX119+AP119*AQ119+AR119*AS119+AT119*AU119),0)*$AZ$3*BK119*BJ119*IF(AND(Inputs!$C$19&gt;19,Inputs!$C$19&lt;30),(1+$AZ$2),1)*(1+$AZ$1))</f>
        <v/>
      </c>
      <c r="AZ119" s="148" t="str">
        <f t="shared" si="48"/>
        <v/>
      </c>
      <c r="BA119" s="669" t="str">
        <f>IF(F119="","",IF(AE119="Dubai",HLOOKUP(F119,Inputs!$C$26:$M$37,9,0),HLOOKUP(F119,Inputs!$C$45:$M$56,9,0)))</f>
        <v/>
      </c>
      <c r="BB119" s="670" t="str">
        <f>IF(F119="","",IF(AE119="Dubai",HLOOKUP(F119,Inputs!$C$26:$M$37,10,0),HLOOKUP(F119,Inputs!$C$45:$M$56,10,0)))</f>
        <v/>
      </c>
      <c r="BC119" s="670" t="str">
        <f>IF(F119="","",IF(AE119="Dubai",HLOOKUP(F119,Inputs!$C$26:$M$37,11,0),HLOOKUP(F119,Inputs!$C$45:$M$56,11,0)))</f>
        <v/>
      </c>
      <c r="BD119" s="669" t="str">
        <f>IF(F119="","",IF(AE119="Dubai",HLOOKUP(F119,Inputs!$C$26:$M$37,12,0),HLOOKUP(F119,Inputs!$C$45:$M$56,12,0)))</f>
        <v/>
      </c>
      <c r="BE119" s="654"/>
      <c r="BF119" s="669" t="str">
        <f>IFERROR(IF(AL119="","",IF(AN119="Dubai",IF(OR(AL119="Plan1",AL119="Plan2"),VLOOKUP(BA119,Deviation!$B$31:$D$33,2,FALSE),VLOOKUP(BA119,Deviation!$B$31:$D$33,3,FALSE)),IF(OR(AL119="Plan1",AL119="Plan2"),VLOOKUP(BA119,Deviation!$E$31:$AE$33,2,FALSE),VLOOKUP(BA119,Deviation!$E$31:$AE$33,3,FALSE)))),0)</f>
        <v/>
      </c>
      <c r="BG119" s="671" t="str">
        <f>IFERROR(IF(AL119="","",IF(AN119="Dubai",IF(AL119="Plan1",VLOOKUP(BB119,Deviation!$B$39:$C$40,2,FALSE),IF(AL119="Plan2",VLOOKUP(BB119,Deviation!$B$42:$C$43,2,FALSE),IF(AL119="Plan5",VLOOKUP(BB119,Deviation!$B$48:$C$49,2,FALSE),VLOOKUP(BB119,Deviation!$B$45:$C$46,2,FALSE)))),IF(AL119="Plan1",VLOOKUP(BB119,Deviation!$E$39:$F$40,2,FALSE),IF(AL119="Plan2",VLOOKUP(BB119,Deviation!$E$42:$F$43,2,FALSE),VLOOKUP(BB119,Deviation!$E$45:$F$46,2,FALSE))))),0)</f>
        <v/>
      </c>
      <c r="BH119" s="671" t="str">
        <f>IFERROR(IF(AL119="","",IF(AN119="Dubai",IF(OR(AL119="Plan1",AL119="Plan2"),VLOOKUP(BC119,Deviation!$B$15:$D$19,2,FALSE),VLOOKUP(BC119,Deviation!$B$15:$D$19,3,FALSE)),IF(OR(AL119="Plan1",AL119="Plan2"),VLOOKUP(BC119,Deviation!$E$15:$AE$19,2,FALSE),VLOOKUP(BC119,Deviation!$E$15:$AE$19,3,FALSE)))),0)</f>
        <v/>
      </c>
      <c r="BI119" s="669" t="str">
        <f>IFERROR(IF(AL119="","",IF(AN119="Dubai",VLOOKUP(BD119,Deviation!$B$24:$C$26,2,FALSE),100%)),0)</f>
        <v/>
      </c>
      <c r="BJ119" s="672">
        <f>IF(AE119="Abu Dhabi",1,IFERROR(VLOOKUP(AM119,Deviation!$B$67:$E$79,MATCH('Census Data'!AA119,Deviation!$B$66:$E$66,0),0),1))</f>
        <v>1</v>
      </c>
      <c r="BK119" s="659">
        <f>IFERROR(VLOOKUP(I119,Deviation!$B$54:$C$62,2,0),1)</f>
        <v>1</v>
      </c>
      <c r="BL119" s="148"/>
      <c r="BM119" s="148"/>
      <c r="BN119" s="148"/>
      <c r="BO119" s="148"/>
      <c r="BP119" s="148"/>
      <c r="BQ119" s="148"/>
      <c r="BR119" s="148"/>
      <c r="BS119" s="148"/>
      <c r="BT119" s="148" t="e">
        <f t="shared" si="49"/>
        <v>#VALUE!</v>
      </c>
      <c r="BU119"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f>
        <v/>
      </c>
    </row>
    <row r="120" spans="1:73" ht="15" x14ac:dyDescent="0.25">
      <c r="A120" s="59">
        <v>115</v>
      </c>
      <c r="B120" s="470"/>
      <c r="C120" s="628"/>
      <c r="D120" s="629"/>
      <c r="E120" s="471"/>
      <c r="F120" s="298"/>
      <c r="G120" s="298"/>
      <c r="H120" s="298"/>
      <c r="I120" s="298"/>
      <c r="J120" s="80" t="str">
        <f>IFERROR(IF(C120="","",DATEDIF('Census Data'!C120,eff_date,"y")),"")</f>
        <v/>
      </c>
      <c r="K120" s="59" t="str">
        <f>IF(F120="","",IF(AE120="Dubai",HLOOKUP(F120,Inputs!$C$26:$M$28,3,0),HLOOKUP(F120,Inputs!$C$45:$M$46,2,0)))</f>
        <v/>
      </c>
      <c r="L120" s="104"/>
      <c r="M120" s="105">
        <f t="shared" si="32"/>
        <v>0</v>
      </c>
      <c r="N120" s="654" t="b">
        <f t="shared" si="61"/>
        <v>0</v>
      </c>
      <c r="O120" s="655" t="str">
        <f t="shared" si="62"/>
        <v>x</v>
      </c>
      <c r="P120" s="655" t="str">
        <f t="shared" si="63"/>
        <v>x</v>
      </c>
      <c r="Q120" s="655" t="str">
        <f t="shared" si="64"/>
        <v>x</v>
      </c>
      <c r="R120" s="655" t="str">
        <f t="shared" si="51"/>
        <v>x</v>
      </c>
      <c r="S120" s="655" t="str">
        <f t="shared" si="65"/>
        <v>x</v>
      </c>
      <c r="T120" s="655" t="str">
        <f>IF(ISERROR(MATCH(G120,'Inputs Mapping'!$T$4:$T$10,0)),"x","")</f>
        <v>x</v>
      </c>
      <c r="U120" s="655" t="str">
        <f>IF(ISERROR(MATCH(AA120,'Inputs Mapping'!$U$4:$U$5,0)),"x","")</f>
        <v>x</v>
      </c>
      <c r="V120" s="655" t="str">
        <f>IF(ISERROR(MATCH(AB120,'Inputs Mapping'!$V$4:$V$5,0)),"x","")</f>
        <v>x</v>
      </c>
      <c r="W120" s="655" t="str">
        <f>IF(ISERROR(MATCH(F120,'Inputs Mapping'!$W$4:$W$8,0)),"x","")</f>
        <v>x</v>
      </c>
      <c r="X120" s="655" t="str">
        <f t="shared" si="66"/>
        <v/>
      </c>
      <c r="Y120" s="655" t="str">
        <f t="shared" si="67"/>
        <v/>
      </c>
      <c r="Z120" s="655" t="str">
        <f t="shared" si="40"/>
        <v/>
      </c>
      <c r="AA120" s="655" t="str">
        <f t="shared" si="41"/>
        <v/>
      </c>
      <c r="AB120" s="655" t="str">
        <f t="shared" si="43"/>
        <v/>
      </c>
      <c r="AC120" s="655" t="str">
        <f t="shared" si="50"/>
        <v>x</v>
      </c>
      <c r="AD120" s="655" t="str">
        <f>IF(ISBLANK(I120),"x",IF(ISNUMBER(MATCH(I120,'Inputs Mapping'!$AF$5:$AF$199,0)),"","x"))</f>
        <v>x</v>
      </c>
      <c r="AE120" s="655" t="str">
        <f t="shared" si="44"/>
        <v/>
      </c>
      <c r="AF120" s="148"/>
      <c r="AG120" s="148"/>
      <c r="AH120" s="148" t="str">
        <f t="shared" si="45"/>
        <v/>
      </c>
      <c r="AI120" s="654" t="str">
        <f>IF(J120="","",VLOOKUP(J120,'Inputs Mapping'!$T$27:$V$31,3))</f>
        <v/>
      </c>
      <c r="AJ120" s="654" t="str">
        <f>IF(J120="","",VLOOKUP(J120,'Inputs Mapping'!$T$17:$V$24,3))</f>
        <v/>
      </c>
      <c r="AK120" s="654" t="str">
        <f t="shared" si="46"/>
        <v/>
      </c>
      <c r="AL120" s="655" t="str">
        <f t="shared" si="60"/>
        <v/>
      </c>
      <c r="AM120" s="655" t="str">
        <f>IF(F120="","",IF(AE120="Dubai",HLOOKUP(F120,Inputs!$C$26:$M$36,5,0),HLOOKUP(F120,Inputs!$C$45:$M$49,5,0)))</f>
        <v/>
      </c>
      <c r="AN120" s="655">
        <f t="shared" si="47"/>
        <v>0</v>
      </c>
      <c r="AO120" s="654" t="str">
        <f>IF(AJ120="","",IF(AN120="Dubai",VLOOKUP(AJ120,'Inputs Mapping'!$V$17:$W$24,2,0),VLOOKUP(AI120,'Inputs Mapping'!$V$27:$W$31,2,0)))</f>
        <v/>
      </c>
      <c r="AP120" s="666">
        <f>IFERROR(IF($AN120="","",HLOOKUP($AN120&amp;RIGHT($AL120,1),'input for formula'!$B$16:$I$20,3,0)),0)</f>
        <v>0</v>
      </c>
      <c r="AQ120" s="656">
        <f>IFERROR(IF($AN120="","",HLOOKUP($AN120&amp;$F120,'input for formula'!$B$22:$M$25,2,0)),0)</f>
        <v>0</v>
      </c>
      <c r="AR120" s="666">
        <f>IFERROR(IF($AN120="","",HLOOKUP($AN120&amp;RIGHT($AL120,1),'input for formula'!$B$16:$I$20,4,0)),0)</f>
        <v>0</v>
      </c>
      <c r="AS120" s="656">
        <f>IFERROR(IF($AN120="","",HLOOKUP($AN120&amp;$F120,'input for formula'!$B$22:$M$25,3,0)),0)</f>
        <v>0</v>
      </c>
      <c r="AT120" s="656">
        <f>IFERROR(IF($AN120="","",HLOOKUP($AN120&amp;RIGHT($AL120,1),'input for formula'!$B$16:$I$20,5,0)),0)</f>
        <v>0</v>
      </c>
      <c r="AU120" s="656">
        <f>IFERROR(IF($AN120="","",HLOOKUP($AN120&amp;$F120,'input for formula'!$B$22:$M$25,4,0)),0)</f>
        <v>0</v>
      </c>
      <c r="AV120" s="666">
        <f>IFERROR(IF($AN120="","",IF('Census Data'!$AN120="Abu Dhabi",VLOOKUP('Census Data'!$AM120,'input for formula'!$A$28:$C$41,3,0),VLOOKUP('Census Data'!$AM120,'input for formula'!$A$28:$C$47,2,0))),0)*IFERROR(1+IF(AN120="Dubai",VLOOKUP(F120,'Quotation for Dubai Plans'!$V$6:$X$12,3,FALSE),VLOOKUP(F120,'Quotation for Abu Dhabi Plans'!$W$6:$Y$12,3,FALSE)),0)</f>
        <v>0</v>
      </c>
      <c r="AW120" s="656" t="str">
        <f t="shared" si="52"/>
        <v/>
      </c>
      <c r="AX120" s="667" t="str">
        <f>IFERROR(IF(AL120="","",IF(AN120="Dubai",HLOOKUP((AL120&amp;AM120),Deviation!$B$7:$S$8,2,0)*BF120*BH120*BI120*BG120,HLOOKUP((AL120&amp;AM120),Deviation!$B$9:$O$10,2,0)*BF120*BH120*BI120*BG120)),0)</f>
        <v/>
      </c>
      <c r="AY120" s="668"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formula'!$M$3:$O$7,AO120,FALSE)))*AX120+AP120*AQ120+AR120*AS120+AT120*AU120),0)*$AZ$3*BK120*BJ120*IF(AND(Inputs!$C$19&gt;19,Inputs!$C$19&lt;30),(1+$AZ$2),1)*(1+$AZ$1))</f>
        <v/>
      </c>
      <c r="AZ120" s="148" t="str">
        <f t="shared" si="48"/>
        <v/>
      </c>
      <c r="BA120" s="669" t="str">
        <f>IF(F120="","",IF(AE120="Dubai",HLOOKUP(F120,Inputs!$C$26:$M$37,9,0),HLOOKUP(F120,Inputs!$C$45:$M$56,9,0)))</f>
        <v/>
      </c>
      <c r="BB120" s="670" t="str">
        <f>IF(F120="","",IF(AE120="Dubai",HLOOKUP(F120,Inputs!$C$26:$M$37,10,0),HLOOKUP(F120,Inputs!$C$45:$M$56,10,0)))</f>
        <v/>
      </c>
      <c r="BC120" s="670" t="str">
        <f>IF(F120="","",IF(AE120="Dubai",HLOOKUP(F120,Inputs!$C$26:$M$37,11,0),HLOOKUP(F120,Inputs!$C$45:$M$56,11,0)))</f>
        <v/>
      </c>
      <c r="BD120" s="669" t="str">
        <f>IF(F120="","",IF(AE120="Dubai",HLOOKUP(F120,Inputs!$C$26:$M$37,12,0),HLOOKUP(F120,Inputs!$C$45:$M$56,12,0)))</f>
        <v/>
      </c>
      <c r="BE120" s="654"/>
      <c r="BF120" s="669" t="str">
        <f>IFERROR(IF(AL120="","",IF(AN120="Dubai",IF(OR(AL120="Plan1",AL120="Plan2"),VLOOKUP(BA120,Deviation!$B$31:$D$33,2,FALSE),VLOOKUP(BA120,Deviation!$B$31:$D$33,3,FALSE)),IF(OR(AL120="Plan1",AL120="Plan2"),VLOOKUP(BA120,Deviation!$E$31:$AE$33,2,FALSE),VLOOKUP(BA120,Deviation!$E$31:$AE$33,3,FALSE)))),0)</f>
        <v/>
      </c>
      <c r="BG120" s="671" t="str">
        <f>IFERROR(IF(AL120="","",IF(AN120="Dubai",IF(AL120="Plan1",VLOOKUP(BB120,Deviation!$B$39:$C$40,2,FALSE),IF(AL120="Plan2",VLOOKUP(BB120,Deviation!$B$42:$C$43,2,FALSE),IF(AL120="Plan5",VLOOKUP(BB120,Deviation!$B$48:$C$49,2,FALSE),VLOOKUP(BB120,Deviation!$B$45:$C$46,2,FALSE)))),IF(AL120="Plan1",VLOOKUP(BB120,Deviation!$E$39:$F$40,2,FALSE),IF(AL120="Plan2",VLOOKUP(BB120,Deviation!$E$42:$F$43,2,FALSE),VLOOKUP(BB120,Deviation!$E$45:$F$46,2,FALSE))))),0)</f>
        <v/>
      </c>
      <c r="BH120" s="671" t="str">
        <f>IFERROR(IF(AL120="","",IF(AN120="Dubai",IF(OR(AL120="Plan1",AL120="Plan2"),VLOOKUP(BC120,Deviation!$B$15:$D$19,2,FALSE),VLOOKUP(BC120,Deviation!$B$15:$D$19,3,FALSE)),IF(OR(AL120="Plan1",AL120="Plan2"),VLOOKUP(BC120,Deviation!$E$15:$AE$19,2,FALSE),VLOOKUP(BC120,Deviation!$E$15:$AE$19,3,FALSE)))),0)</f>
        <v/>
      </c>
      <c r="BI120" s="669" t="str">
        <f>IFERROR(IF(AL120="","",IF(AN120="Dubai",VLOOKUP(BD120,Deviation!$B$24:$C$26,2,FALSE),100%)),0)</f>
        <v/>
      </c>
      <c r="BJ120" s="672">
        <f>IF(AE120="Abu Dhabi",1,IFERROR(VLOOKUP(AM120,Deviation!$B$67:$E$79,MATCH('Census Data'!AA120,Deviation!$B$66:$E$66,0),0),1))</f>
        <v>1</v>
      </c>
      <c r="BK120" s="659">
        <f>IFERROR(VLOOKUP(I120,Deviation!$B$54:$C$62,2,0),1)</f>
        <v>1</v>
      </c>
      <c r="BL120" s="148"/>
      <c r="BM120" s="148"/>
      <c r="BN120" s="148"/>
      <c r="BO120" s="148"/>
      <c r="BP120" s="148"/>
      <c r="BQ120" s="148"/>
      <c r="BR120" s="148"/>
      <c r="BS120" s="148"/>
      <c r="BT120" s="148" t="e">
        <f t="shared" si="49"/>
        <v>#VALUE!</v>
      </c>
      <c r="BU120"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f>
        <v/>
      </c>
    </row>
    <row r="121" spans="1:73" ht="15" x14ac:dyDescent="0.25">
      <c r="A121" s="59">
        <v>116</v>
      </c>
      <c r="B121" s="470"/>
      <c r="C121" s="628"/>
      <c r="D121" s="629"/>
      <c r="E121" s="471"/>
      <c r="F121" s="298"/>
      <c r="G121" s="298"/>
      <c r="H121" s="298"/>
      <c r="I121" s="298"/>
      <c r="J121" s="80" t="str">
        <f>IFERROR(IF(C121="","",DATEDIF('Census Data'!C121,eff_date,"y")),"")</f>
        <v/>
      </c>
      <c r="K121" s="59" t="str">
        <f>IF(F121="","",IF(AE121="Dubai",HLOOKUP(F121,Inputs!$C$26:$M$28,3,0),HLOOKUP(F121,Inputs!$C$45:$M$46,2,0)))</f>
        <v/>
      </c>
      <c r="L121" s="104"/>
      <c r="M121" s="105">
        <f t="shared" si="32"/>
        <v>0</v>
      </c>
      <c r="N121" s="654" t="b">
        <f t="shared" si="61"/>
        <v>0</v>
      </c>
      <c r="O121" s="655" t="str">
        <f t="shared" si="62"/>
        <v>x</v>
      </c>
      <c r="P121" s="655" t="str">
        <f t="shared" si="63"/>
        <v>x</v>
      </c>
      <c r="Q121" s="655" t="str">
        <f t="shared" si="64"/>
        <v>x</v>
      </c>
      <c r="R121" s="655" t="str">
        <f t="shared" si="51"/>
        <v>x</v>
      </c>
      <c r="S121" s="655" t="str">
        <f t="shared" si="65"/>
        <v>x</v>
      </c>
      <c r="T121" s="655" t="str">
        <f>IF(ISERROR(MATCH(G121,'Inputs Mapping'!$T$4:$T$10,0)),"x","")</f>
        <v>x</v>
      </c>
      <c r="U121" s="655" t="str">
        <f>IF(ISERROR(MATCH(AA121,'Inputs Mapping'!$U$4:$U$5,0)),"x","")</f>
        <v>x</v>
      </c>
      <c r="V121" s="655" t="str">
        <f>IF(ISERROR(MATCH(AB121,'Inputs Mapping'!$V$4:$V$5,0)),"x","")</f>
        <v>x</v>
      </c>
      <c r="W121" s="655" t="str">
        <f>IF(ISERROR(MATCH(F121,'Inputs Mapping'!$W$4:$W$8,0)),"x","")</f>
        <v>x</v>
      </c>
      <c r="X121" s="655" t="str">
        <f t="shared" si="66"/>
        <v/>
      </c>
      <c r="Y121" s="655" t="str">
        <f t="shared" si="67"/>
        <v/>
      </c>
      <c r="Z121" s="655" t="str">
        <f t="shared" si="40"/>
        <v/>
      </c>
      <c r="AA121" s="655" t="str">
        <f t="shared" si="41"/>
        <v/>
      </c>
      <c r="AB121" s="655" t="str">
        <f t="shared" si="43"/>
        <v/>
      </c>
      <c r="AC121" s="655" t="str">
        <f t="shared" si="50"/>
        <v>x</v>
      </c>
      <c r="AD121" s="655" t="str">
        <f>IF(ISBLANK(I121),"x",IF(ISNUMBER(MATCH(I121,'Inputs Mapping'!$AF$5:$AF$199,0)),"","x"))</f>
        <v>x</v>
      </c>
      <c r="AE121" s="655" t="str">
        <f t="shared" si="44"/>
        <v/>
      </c>
      <c r="AF121" s="148"/>
      <c r="AG121" s="148"/>
      <c r="AH121" s="148" t="str">
        <f t="shared" si="45"/>
        <v/>
      </c>
      <c r="AI121" s="654" t="str">
        <f>IF(J121="","",VLOOKUP(J121,'Inputs Mapping'!$T$27:$V$31,3))</f>
        <v/>
      </c>
      <c r="AJ121" s="654" t="str">
        <f>IF(J121="","",VLOOKUP(J121,'Inputs Mapping'!$T$17:$V$24,3))</f>
        <v/>
      </c>
      <c r="AK121" s="654" t="str">
        <f t="shared" si="46"/>
        <v/>
      </c>
      <c r="AL121" s="655" t="str">
        <f t="shared" si="60"/>
        <v/>
      </c>
      <c r="AM121" s="655" t="str">
        <f>IF(F121="","",IF(AE121="Dubai",HLOOKUP(F121,Inputs!$C$26:$M$36,5,0),HLOOKUP(F121,Inputs!$C$45:$M$49,5,0)))</f>
        <v/>
      </c>
      <c r="AN121" s="655">
        <f t="shared" si="47"/>
        <v>0</v>
      </c>
      <c r="AO121" s="654" t="str">
        <f>IF(AJ121="","",IF(AN121="Dubai",VLOOKUP(AJ121,'Inputs Mapping'!$V$17:$W$24,2,0),VLOOKUP(AI121,'Inputs Mapping'!$V$27:$W$31,2,0)))</f>
        <v/>
      </c>
      <c r="AP121" s="666">
        <f>IFERROR(IF($AN121="","",HLOOKUP($AN121&amp;RIGHT($AL121,1),'input for formula'!$B$16:$I$20,3,0)),0)</f>
        <v>0</v>
      </c>
      <c r="AQ121" s="656">
        <f>IFERROR(IF($AN121="","",HLOOKUP($AN121&amp;$F121,'input for formula'!$B$22:$M$25,2,0)),0)</f>
        <v>0</v>
      </c>
      <c r="AR121" s="666">
        <f>IFERROR(IF($AN121="","",HLOOKUP($AN121&amp;RIGHT($AL121,1),'input for formula'!$B$16:$I$20,4,0)),0)</f>
        <v>0</v>
      </c>
      <c r="AS121" s="656">
        <f>IFERROR(IF($AN121="","",HLOOKUP($AN121&amp;$F121,'input for formula'!$B$22:$M$25,3,0)),0)</f>
        <v>0</v>
      </c>
      <c r="AT121" s="656">
        <f>IFERROR(IF($AN121="","",HLOOKUP($AN121&amp;RIGHT($AL121,1),'input for formula'!$B$16:$I$20,5,0)),0)</f>
        <v>0</v>
      </c>
      <c r="AU121" s="656">
        <f>IFERROR(IF($AN121="","",HLOOKUP($AN121&amp;$F121,'input for formula'!$B$22:$M$25,4,0)),0)</f>
        <v>0</v>
      </c>
      <c r="AV121" s="666">
        <f>IFERROR(IF($AN121="","",IF('Census Data'!$AN121="Abu Dhabi",VLOOKUP('Census Data'!$AM121,'input for formula'!$A$28:$C$41,3,0),VLOOKUP('Census Data'!$AM121,'input for formula'!$A$28:$C$47,2,0))),0)*IFERROR(1+IF(AN121="Dubai",VLOOKUP(F121,'Quotation for Dubai Plans'!$V$6:$X$12,3,FALSE),VLOOKUP(F121,'Quotation for Abu Dhabi Plans'!$W$6:$Y$12,3,FALSE)),0)</f>
        <v>0</v>
      </c>
      <c r="AW121" s="656" t="str">
        <f t="shared" si="52"/>
        <v/>
      </c>
      <c r="AX121" s="667" t="str">
        <f>IFERROR(IF(AL121="","",IF(AN121="Dubai",HLOOKUP((AL121&amp;AM121),Deviation!$B$7:$S$8,2,0)*BF121*BH121*BI121*BG121,HLOOKUP((AL121&amp;AM121),Deviation!$B$9:$O$10,2,0)*BF121*BH121*BI121*BG121)),0)</f>
        <v/>
      </c>
      <c r="AY121" s="668"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formula'!$M$3:$O$7,AO121,FALSE)))*AX121+AP121*AQ121+AR121*AS121+AT121*AU121),0)*$AZ$3*BK121*BJ121*IF(AND(Inputs!$C$19&gt;19,Inputs!$C$19&lt;30),(1+$AZ$2),1)*(1+$AZ$1))</f>
        <v/>
      </c>
      <c r="AZ121" s="148" t="str">
        <f t="shared" si="48"/>
        <v/>
      </c>
      <c r="BA121" s="669" t="str">
        <f>IF(F121="","",IF(AE121="Dubai",HLOOKUP(F121,Inputs!$C$26:$M$37,9,0),HLOOKUP(F121,Inputs!$C$45:$M$56,9,0)))</f>
        <v/>
      </c>
      <c r="BB121" s="670" t="str">
        <f>IF(F121="","",IF(AE121="Dubai",HLOOKUP(F121,Inputs!$C$26:$M$37,10,0),HLOOKUP(F121,Inputs!$C$45:$M$56,10,0)))</f>
        <v/>
      </c>
      <c r="BC121" s="670" t="str">
        <f>IF(F121="","",IF(AE121="Dubai",HLOOKUP(F121,Inputs!$C$26:$M$37,11,0),HLOOKUP(F121,Inputs!$C$45:$M$56,11,0)))</f>
        <v/>
      </c>
      <c r="BD121" s="669" t="str">
        <f>IF(F121="","",IF(AE121="Dubai",HLOOKUP(F121,Inputs!$C$26:$M$37,12,0),HLOOKUP(F121,Inputs!$C$45:$M$56,12,0)))</f>
        <v/>
      </c>
      <c r="BE121" s="654"/>
      <c r="BF121" s="669" t="str">
        <f>IFERROR(IF(AL121="","",IF(AN121="Dubai",IF(OR(AL121="Plan1",AL121="Plan2"),VLOOKUP(BA121,Deviation!$B$31:$D$33,2,FALSE),VLOOKUP(BA121,Deviation!$B$31:$D$33,3,FALSE)),IF(OR(AL121="Plan1",AL121="Plan2"),VLOOKUP(BA121,Deviation!$E$31:$AE$33,2,FALSE),VLOOKUP(BA121,Deviation!$E$31:$AE$33,3,FALSE)))),0)</f>
        <v/>
      </c>
      <c r="BG121" s="671" t="str">
        <f>IFERROR(IF(AL121="","",IF(AN121="Dubai",IF(AL121="Plan1",VLOOKUP(BB121,Deviation!$B$39:$C$40,2,FALSE),IF(AL121="Plan2",VLOOKUP(BB121,Deviation!$B$42:$C$43,2,FALSE),IF(AL121="Plan5",VLOOKUP(BB121,Deviation!$B$48:$C$49,2,FALSE),VLOOKUP(BB121,Deviation!$B$45:$C$46,2,FALSE)))),IF(AL121="Plan1",VLOOKUP(BB121,Deviation!$E$39:$F$40,2,FALSE),IF(AL121="Plan2",VLOOKUP(BB121,Deviation!$E$42:$F$43,2,FALSE),VLOOKUP(BB121,Deviation!$E$45:$F$46,2,FALSE))))),0)</f>
        <v/>
      </c>
      <c r="BH121" s="671" t="str">
        <f>IFERROR(IF(AL121="","",IF(AN121="Dubai",IF(OR(AL121="Plan1",AL121="Plan2"),VLOOKUP(BC121,Deviation!$B$15:$D$19,2,FALSE),VLOOKUP(BC121,Deviation!$B$15:$D$19,3,FALSE)),IF(OR(AL121="Plan1",AL121="Plan2"),VLOOKUP(BC121,Deviation!$E$15:$AE$19,2,FALSE),VLOOKUP(BC121,Deviation!$E$15:$AE$19,3,FALSE)))),0)</f>
        <v/>
      </c>
      <c r="BI121" s="669" t="str">
        <f>IFERROR(IF(AL121="","",IF(AN121="Dubai",VLOOKUP(BD121,Deviation!$B$24:$C$26,2,FALSE),100%)),0)</f>
        <v/>
      </c>
      <c r="BJ121" s="672">
        <f>IF(AE121="Abu Dhabi",1,IFERROR(VLOOKUP(AM121,Deviation!$B$67:$E$79,MATCH('Census Data'!AA121,Deviation!$B$66:$E$66,0),0),1))</f>
        <v>1</v>
      </c>
      <c r="BK121" s="659">
        <f>IFERROR(VLOOKUP(I121,Deviation!$B$54:$C$62,2,0),1)</f>
        <v>1</v>
      </c>
      <c r="BL121" s="148"/>
      <c r="BM121" s="148"/>
      <c r="BN121" s="148"/>
      <c r="BO121" s="148"/>
      <c r="BP121" s="148"/>
      <c r="BQ121" s="148"/>
      <c r="BR121" s="148"/>
      <c r="BS121" s="148"/>
      <c r="BT121" s="148" t="e">
        <f t="shared" si="49"/>
        <v>#VALUE!</v>
      </c>
      <c r="BU121"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f>
        <v/>
      </c>
    </row>
    <row r="122" spans="1:73" ht="15" x14ac:dyDescent="0.25">
      <c r="A122" s="59">
        <v>117</v>
      </c>
      <c r="B122" s="470"/>
      <c r="C122" s="628"/>
      <c r="D122" s="629"/>
      <c r="E122" s="471"/>
      <c r="F122" s="298"/>
      <c r="G122" s="298"/>
      <c r="H122" s="298"/>
      <c r="I122" s="298"/>
      <c r="J122" s="80" t="str">
        <f>IFERROR(IF(C122="","",DATEDIF('Census Data'!C122,eff_date,"y")),"")</f>
        <v/>
      </c>
      <c r="K122" s="59" t="str">
        <f>IF(F122="","",IF(AE122="Dubai",HLOOKUP(F122,Inputs!$C$26:$M$28,3,0),HLOOKUP(F122,Inputs!$C$45:$M$46,2,0)))</f>
        <v/>
      </c>
      <c r="L122" s="104"/>
      <c r="M122" s="105">
        <f t="shared" si="32"/>
        <v>0</v>
      </c>
      <c r="N122" s="654" t="b">
        <f t="shared" si="61"/>
        <v>0</v>
      </c>
      <c r="O122" s="655" t="str">
        <f t="shared" si="62"/>
        <v>x</v>
      </c>
      <c r="P122" s="655" t="str">
        <f t="shared" si="63"/>
        <v>x</v>
      </c>
      <c r="Q122" s="655" t="str">
        <f t="shared" si="64"/>
        <v>x</v>
      </c>
      <c r="R122" s="655" t="str">
        <f t="shared" si="51"/>
        <v>x</v>
      </c>
      <c r="S122" s="655" t="str">
        <f t="shared" si="65"/>
        <v>x</v>
      </c>
      <c r="T122" s="655" t="str">
        <f>IF(ISERROR(MATCH(G122,'Inputs Mapping'!$T$4:$T$10,0)),"x","")</f>
        <v>x</v>
      </c>
      <c r="U122" s="655" t="str">
        <f>IF(ISERROR(MATCH(AA122,'Inputs Mapping'!$U$4:$U$5,0)),"x","")</f>
        <v>x</v>
      </c>
      <c r="V122" s="655" t="str">
        <f>IF(ISERROR(MATCH(AB122,'Inputs Mapping'!$V$4:$V$5,0)),"x","")</f>
        <v>x</v>
      </c>
      <c r="W122" s="655" t="str">
        <f>IF(ISERROR(MATCH(F122,'Inputs Mapping'!$W$4:$W$8,0)),"x","")</f>
        <v>x</v>
      </c>
      <c r="X122" s="655" t="str">
        <f t="shared" si="66"/>
        <v/>
      </c>
      <c r="Y122" s="655" t="str">
        <f t="shared" si="67"/>
        <v/>
      </c>
      <c r="Z122" s="655" t="str">
        <f t="shared" si="40"/>
        <v/>
      </c>
      <c r="AA122" s="655" t="str">
        <f t="shared" si="41"/>
        <v/>
      </c>
      <c r="AB122" s="655" t="str">
        <f t="shared" si="43"/>
        <v/>
      </c>
      <c r="AC122" s="655" t="str">
        <f t="shared" si="50"/>
        <v>x</v>
      </c>
      <c r="AD122" s="655" t="str">
        <f>IF(ISBLANK(I122),"x",IF(ISNUMBER(MATCH(I122,'Inputs Mapping'!$AF$5:$AF$199,0)),"","x"))</f>
        <v>x</v>
      </c>
      <c r="AE122" s="655" t="str">
        <f t="shared" si="44"/>
        <v/>
      </c>
      <c r="AF122" s="148"/>
      <c r="AG122" s="148"/>
      <c r="AH122" s="148" t="str">
        <f t="shared" si="45"/>
        <v/>
      </c>
      <c r="AI122" s="654" t="str">
        <f>IF(J122="","",VLOOKUP(J122,'Inputs Mapping'!$T$27:$V$31,3))</f>
        <v/>
      </c>
      <c r="AJ122" s="654" t="str">
        <f>IF(J122="","",VLOOKUP(J122,'Inputs Mapping'!$T$17:$V$24,3))</f>
        <v/>
      </c>
      <c r="AK122" s="654" t="str">
        <f t="shared" si="46"/>
        <v/>
      </c>
      <c r="AL122" s="655" t="str">
        <f t="shared" si="60"/>
        <v/>
      </c>
      <c r="AM122" s="655" t="str">
        <f>IF(F122="","",IF(AE122="Dubai",HLOOKUP(F122,Inputs!$C$26:$M$36,5,0),HLOOKUP(F122,Inputs!$C$45:$M$49,5,0)))</f>
        <v/>
      </c>
      <c r="AN122" s="655">
        <f t="shared" si="47"/>
        <v>0</v>
      </c>
      <c r="AO122" s="654" t="str">
        <f>IF(AJ122="","",IF(AN122="Dubai",VLOOKUP(AJ122,'Inputs Mapping'!$V$17:$W$24,2,0),VLOOKUP(AI122,'Inputs Mapping'!$V$27:$W$31,2,0)))</f>
        <v/>
      </c>
      <c r="AP122" s="666">
        <f>IFERROR(IF($AN122="","",HLOOKUP($AN122&amp;RIGHT($AL122,1),'input for formula'!$B$16:$I$20,3,0)),0)</f>
        <v>0</v>
      </c>
      <c r="AQ122" s="656">
        <f>IFERROR(IF($AN122="","",HLOOKUP($AN122&amp;$F122,'input for formula'!$B$22:$M$25,2,0)),0)</f>
        <v>0</v>
      </c>
      <c r="AR122" s="666">
        <f>IFERROR(IF($AN122="","",HLOOKUP($AN122&amp;RIGHT($AL122,1),'input for formula'!$B$16:$I$20,4,0)),0)</f>
        <v>0</v>
      </c>
      <c r="AS122" s="656">
        <f>IFERROR(IF($AN122="","",HLOOKUP($AN122&amp;$F122,'input for formula'!$B$22:$M$25,3,0)),0)</f>
        <v>0</v>
      </c>
      <c r="AT122" s="656">
        <f>IFERROR(IF($AN122="","",HLOOKUP($AN122&amp;RIGHT($AL122,1),'input for formula'!$B$16:$I$20,5,0)),0)</f>
        <v>0</v>
      </c>
      <c r="AU122" s="656">
        <f>IFERROR(IF($AN122="","",HLOOKUP($AN122&amp;$F122,'input for formula'!$B$22:$M$25,4,0)),0)</f>
        <v>0</v>
      </c>
      <c r="AV122" s="666">
        <f>IFERROR(IF($AN122="","",IF('Census Data'!$AN122="Abu Dhabi",VLOOKUP('Census Data'!$AM122,'input for formula'!$A$28:$C$41,3,0),VLOOKUP('Census Data'!$AM122,'input for formula'!$A$28:$C$47,2,0))),0)*IFERROR(1+IF(AN122="Dubai",VLOOKUP(F122,'Quotation for Dubai Plans'!$V$6:$X$12,3,FALSE),VLOOKUP(F122,'Quotation for Abu Dhabi Plans'!$W$6:$Y$12,3,FALSE)),0)</f>
        <v>0</v>
      </c>
      <c r="AW122" s="656" t="str">
        <f t="shared" si="52"/>
        <v/>
      </c>
      <c r="AX122" s="667" t="str">
        <f>IFERROR(IF(AL122="","",IF(AN122="Dubai",HLOOKUP((AL122&amp;AM122),Deviation!$B$7:$S$8,2,0)*BF122*BH122*BI122*BG122,HLOOKUP((AL122&amp;AM122),Deviation!$B$9:$O$10,2,0)*BF122*BH122*BI122*BG122)),0)</f>
        <v/>
      </c>
      <c r="AY122" s="668"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formula'!$M$3:$O$7,AO122,FALSE)))*AX122+AP122*AQ122+AR122*AS122+AT122*AU122),0)*$AZ$3*BK122*BJ122*IF(AND(Inputs!$C$19&gt;19,Inputs!$C$19&lt;30),(1+$AZ$2),1)*(1+$AZ$1))</f>
        <v/>
      </c>
      <c r="AZ122" s="148" t="str">
        <f t="shared" si="48"/>
        <v/>
      </c>
      <c r="BA122" s="669" t="str">
        <f>IF(F122="","",IF(AE122="Dubai",HLOOKUP(F122,Inputs!$C$26:$M$37,9,0),HLOOKUP(F122,Inputs!$C$45:$M$56,9,0)))</f>
        <v/>
      </c>
      <c r="BB122" s="670" t="str">
        <f>IF(F122="","",IF(AE122="Dubai",HLOOKUP(F122,Inputs!$C$26:$M$37,10,0),HLOOKUP(F122,Inputs!$C$45:$M$56,10,0)))</f>
        <v/>
      </c>
      <c r="BC122" s="670" t="str">
        <f>IF(F122="","",IF(AE122="Dubai",HLOOKUP(F122,Inputs!$C$26:$M$37,11,0),HLOOKUP(F122,Inputs!$C$45:$M$56,11,0)))</f>
        <v/>
      </c>
      <c r="BD122" s="669" t="str">
        <f>IF(F122="","",IF(AE122="Dubai",HLOOKUP(F122,Inputs!$C$26:$M$37,12,0),HLOOKUP(F122,Inputs!$C$45:$M$56,12,0)))</f>
        <v/>
      </c>
      <c r="BE122" s="654"/>
      <c r="BF122" s="669" t="str">
        <f>IFERROR(IF(AL122="","",IF(AN122="Dubai",IF(OR(AL122="Plan1",AL122="Plan2"),VLOOKUP(BA122,Deviation!$B$31:$D$33,2,FALSE),VLOOKUP(BA122,Deviation!$B$31:$D$33,3,FALSE)),IF(OR(AL122="Plan1",AL122="Plan2"),VLOOKUP(BA122,Deviation!$E$31:$AE$33,2,FALSE),VLOOKUP(BA122,Deviation!$E$31:$AE$33,3,FALSE)))),0)</f>
        <v/>
      </c>
      <c r="BG122" s="671" t="str">
        <f>IFERROR(IF(AL122="","",IF(AN122="Dubai",IF(AL122="Plan1",VLOOKUP(BB122,Deviation!$B$39:$C$40,2,FALSE),IF(AL122="Plan2",VLOOKUP(BB122,Deviation!$B$42:$C$43,2,FALSE),IF(AL122="Plan5",VLOOKUP(BB122,Deviation!$B$48:$C$49,2,FALSE),VLOOKUP(BB122,Deviation!$B$45:$C$46,2,FALSE)))),IF(AL122="Plan1",VLOOKUP(BB122,Deviation!$E$39:$F$40,2,FALSE),IF(AL122="Plan2",VLOOKUP(BB122,Deviation!$E$42:$F$43,2,FALSE),VLOOKUP(BB122,Deviation!$E$45:$F$46,2,FALSE))))),0)</f>
        <v/>
      </c>
      <c r="BH122" s="671" t="str">
        <f>IFERROR(IF(AL122="","",IF(AN122="Dubai",IF(OR(AL122="Plan1",AL122="Plan2"),VLOOKUP(BC122,Deviation!$B$15:$D$19,2,FALSE),VLOOKUP(BC122,Deviation!$B$15:$D$19,3,FALSE)),IF(OR(AL122="Plan1",AL122="Plan2"),VLOOKUP(BC122,Deviation!$E$15:$AE$19,2,FALSE),VLOOKUP(BC122,Deviation!$E$15:$AE$19,3,FALSE)))),0)</f>
        <v/>
      </c>
      <c r="BI122" s="669" t="str">
        <f>IFERROR(IF(AL122="","",IF(AN122="Dubai",VLOOKUP(BD122,Deviation!$B$24:$C$26,2,FALSE),100%)),0)</f>
        <v/>
      </c>
      <c r="BJ122" s="672">
        <f>IF(AE122="Abu Dhabi",1,IFERROR(VLOOKUP(AM122,Deviation!$B$67:$E$79,MATCH('Census Data'!AA122,Deviation!$B$66:$E$66,0),0),1))</f>
        <v>1</v>
      </c>
      <c r="BK122" s="659">
        <f>IFERROR(VLOOKUP(I122,Deviation!$B$54:$C$62,2,0),1)</f>
        <v>1</v>
      </c>
      <c r="BL122" s="148"/>
      <c r="BM122" s="148"/>
      <c r="BN122" s="148"/>
      <c r="BO122" s="148"/>
      <c r="BP122" s="148"/>
      <c r="BQ122" s="148"/>
      <c r="BR122" s="148"/>
      <c r="BS122" s="148"/>
      <c r="BT122" s="148" t="e">
        <f t="shared" si="49"/>
        <v>#VALUE!</v>
      </c>
      <c r="BU122"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f>
        <v/>
      </c>
    </row>
    <row r="123" spans="1:73" ht="15" x14ac:dyDescent="0.25">
      <c r="A123" s="59">
        <v>118</v>
      </c>
      <c r="B123" s="470"/>
      <c r="C123" s="628"/>
      <c r="D123" s="629"/>
      <c r="E123" s="471"/>
      <c r="F123" s="298"/>
      <c r="G123" s="298"/>
      <c r="H123" s="298"/>
      <c r="I123" s="298"/>
      <c r="J123" s="80" t="str">
        <f>IFERROR(IF(C123="","",DATEDIF('Census Data'!C123,eff_date,"y")),"")</f>
        <v/>
      </c>
      <c r="K123" s="59" t="str">
        <f>IF(F123="","",IF(AE123="Dubai",HLOOKUP(F123,Inputs!$C$26:$M$28,3,0),HLOOKUP(F123,Inputs!$C$45:$M$46,2,0)))</f>
        <v/>
      </c>
      <c r="L123" s="104"/>
      <c r="M123" s="105">
        <f t="shared" si="32"/>
        <v>0</v>
      </c>
      <c r="N123" s="654" t="b">
        <f t="shared" si="61"/>
        <v>0</v>
      </c>
      <c r="O123" s="655" t="str">
        <f t="shared" si="62"/>
        <v>x</v>
      </c>
      <c r="P123" s="655" t="str">
        <f t="shared" si="63"/>
        <v>x</v>
      </c>
      <c r="Q123" s="655" t="str">
        <f t="shared" si="64"/>
        <v>x</v>
      </c>
      <c r="R123" s="655" t="str">
        <f t="shared" si="51"/>
        <v>x</v>
      </c>
      <c r="S123" s="655" t="str">
        <f t="shared" si="65"/>
        <v>x</v>
      </c>
      <c r="T123" s="655" t="str">
        <f>IF(ISERROR(MATCH(G123,'Inputs Mapping'!$T$4:$T$10,0)),"x","")</f>
        <v>x</v>
      </c>
      <c r="U123" s="655" t="str">
        <f>IF(ISERROR(MATCH(AA123,'Inputs Mapping'!$U$4:$U$5,0)),"x","")</f>
        <v>x</v>
      </c>
      <c r="V123" s="655" t="str">
        <f>IF(ISERROR(MATCH(AB123,'Inputs Mapping'!$V$4:$V$5,0)),"x","")</f>
        <v>x</v>
      </c>
      <c r="W123" s="655" t="str">
        <f>IF(ISERROR(MATCH(F123,'Inputs Mapping'!$W$4:$W$8,0)),"x","")</f>
        <v>x</v>
      </c>
      <c r="X123" s="655" t="str">
        <f t="shared" si="66"/>
        <v/>
      </c>
      <c r="Y123" s="655" t="str">
        <f t="shared" si="67"/>
        <v/>
      </c>
      <c r="Z123" s="655" t="str">
        <f t="shared" si="40"/>
        <v/>
      </c>
      <c r="AA123" s="655" t="str">
        <f t="shared" si="41"/>
        <v/>
      </c>
      <c r="AB123" s="655" t="str">
        <f t="shared" si="43"/>
        <v/>
      </c>
      <c r="AC123" s="655" t="str">
        <f t="shared" si="50"/>
        <v>x</v>
      </c>
      <c r="AD123" s="655" t="str">
        <f>IF(ISBLANK(I123),"x",IF(ISNUMBER(MATCH(I123,'Inputs Mapping'!$AF$5:$AF$199,0)),"","x"))</f>
        <v>x</v>
      </c>
      <c r="AE123" s="655" t="str">
        <f t="shared" si="44"/>
        <v/>
      </c>
      <c r="AF123" s="148"/>
      <c r="AG123" s="148"/>
      <c r="AH123" s="148" t="str">
        <f t="shared" si="45"/>
        <v/>
      </c>
      <c r="AI123" s="654" t="str">
        <f>IF(J123="","",VLOOKUP(J123,'Inputs Mapping'!$T$27:$V$31,3))</f>
        <v/>
      </c>
      <c r="AJ123" s="654" t="str">
        <f>IF(J123="","",VLOOKUP(J123,'Inputs Mapping'!$T$17:$V$24,3))</f>
        <v/>
      </c>
      <c r="AK123" s="654" t="str">
        <f t="shared" si="46"/>
        <v/>
      </c>
      <c r="AL123" s="655" t="str">
        <f t="shared" si="60"/>
        <v/>
      </c>
      <c r="AM123" s="655" t="str">
        <f>IF(F123="","",IF(AE123="Dubai",HLOOKUP(F123,Inputs!$C$26:$M$36,5,0),HLOOKUP(F123,Inputs!$C$45:$M$49,5,0)))</f>
        <v/>
      </c>
      <c r="AN123" s="655">
        <f t="shared" si="47"/>
        <v>0</v>
      </c>
      <c r="AO123" s="654" t="str">
        <f>IF(AJ123="","",IF(AN123="Dubai",VLOOKUP(AJ123,'Inputs Mapping'!$V$17:$W$24,2,0),VLOOKUP(AI123,'Inputs Mapping'!$V$27:$W$31,2,0)))</f>
        <v/>
      </c>
      <c r="AP123" s="666">
        <f>IFERROR(IF($AN123="","",HLOOKUP($AN123&amp;RIGHT($AL123,1),'input for formula'!$B$16:$I$20,3,0)),0)</f>
        <v>0</v>
      </c>
      <c r="AQ123" s="656">
        <f>IFERROR(IF($AN123="","",HLOOKUP($AN123&amp;$F123,'input for formula'!$B$22:$M$25,2,0)),0)</f>
        <v>0</v>
      </c>
      <c r="AR123" s="666">
        <f>IFERROR(IF($AN123="","",HLOOKUP($AN123&amp;RIGHT($AL123,1),'input for formula'!$B$16:$I$20,4,0)),0)</f>
        <v>0</v>
      </c>
      <c r="AS123" s="656">
        <f>IFERROR(IF($AN123="","",HLOOKUP($AN123&amp;$F123,'input for formula'!$B$22:$M$25,3,0)),0)</f>
        <v>0</v>
      </c>
      <c r="AT123" s="656">
        <f>IFERROR(IF($AN123="","",HLOOKUP($AN123&amp;RIGHT($AL123,1),'input for formula'!$B$16:$I$20,5,0)),0)</f>
        <v>0</v>
      </c>
      <c r="AU123" s="656">
        <f>IFERROR(IF($AN123="","",HLOOKUP($AN123&amp;$F123,'input for formula'!$B$22:$M$25,4,0)),0)</f>
        <v>0</v>
      </c>
      <c r="AV123" s="666">
        <f>IFERROR(IF($AN123="","",IF('Census Data'!$AN123="Abu Dhabi",VLOOKUP('Census Data'!$AM123,'input for formula'!$A$28:$C$41,3,0),VLOOKUP('Census Data'!$AM123,'input for formula'!$A$28:$C$47,2,0))),0)*IFERROR(1+IF(AN123="Dubai",VLOOKUP(F123,'Quotation for Dubai Plans'!$V$6:$X$12,3,FALSE),VLOOKUP(F123,'Quotation for Abu Dhabi Plans'!$W$6:$Y$12,3,FALSE)),0)</f>
        <v>0</v>
      </c>
      <c r="AW123" s="656" t="str">
        <f t="shared" si="52"/>
        <v/>
      </c>
      <c r="AX123" s="667" t="str">
        <f>IFERROR(IF(AL123="","",IF(AN123="Dubai",HLOOKUP((AL123&amp;AM123),Deviation!$B$7:$S$8,2,0)*BF123*BH123*BI123*BG123,HLOOKUP((AL123&amp;AM123),Deviation!$B$9:$O$10,2,0)*BF123*BH123*BI123*BG123)),0)</f>
        <v/>
      </c>
      <c r="AY123" s="668"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formula'!$M$3:$O$7,AO123,FALSE)))*AX123+AP123*AQ123+AR123*AS123+AT123*AU123),0)*$AZ$3*BK123*BJ123*IF(AND(Inputs!$C$19&gt;19,Inputs!$C$19&lt;30),(1+$AZ$2),1)*(1+$AZ$1))</f>
        <v/>
      </c>
      <c r="AZ123" s="148" t="str">
        <f t="shared" si="48"/>
        <v/>
      </c>
      <c r="BA123" s="669" t="str">
        <f>IF(F123="","",IF(AE123="Dubai",HLOOKUP(F123,Inputs!$C$26:$M$37,9,0),HLOOKUP(F123,Inputs!$C$45:$M$56,9,0)))</f>
        <v/>
      </c>
      <c r="BB123" s="670" t="str">
        <f>IF(F123="","",IF(AE123="Dubai",HLOOKUP(F123,Inputs!$C$26:$M$37,10,0),HLOOKUP(F123,Inputs!$C$45:$M$56,10,0)))</f>
        <v/>
      </c>
      <c r="BC123" s="670" t="str">
        <f>IF(F123="","",IF(AE123="Dubai",HLOOKUP(F123,Inputs!$C$26:$M$37,11,0),HLOOKUP(F123,Inputs!$C$45:$M$56,11,0)))</f>
        <v/>
      </c>
      <c r="BD123" s="669" t="str">
        <f>IF(F123="","",IF(AE123="Dubai",HLOOKUP(F123,Inputs!$C$26:$M$37,12,0),HLOOKUP(F123,Inputs!$C$45:$M$56,12,0)))</f>
        <v/>
      </c>
      <c r="BE123" s="654"/>
      <c r="BF123" s="669" t="str">
        <f>IFERROR(IF(AL123="","",IF(AN123="Dubai",IF(OR(AL123="Plan1",AL123="Plan2"),VLOOKUP(BA123,Deviation!$B$31:$D$33,2,FALSE),VLOOKUP(BA123,Deviation!$B$31:$D$33,3,FALSE)),IF(OR(AL123="Plan1",AL123="Plan2"),VLOOKUP(BA123,Deviation!$E$31:$AE$33,2,FALSE),VLOOKUP(BA123,Deviation!$E$31:$AE$33,3,FALSE)))),0)</f>
        <v/>
      </c>
      <c r="BG123" s="671" t="str">
        <f>IFERROR(IF(AL123="","",IF(AN123="Dubai",IF(AL123="Plan1",VLOOKUP(BB123,Deviation!$B$39:$C$40,2,FALSE),IF(AL123="Plan2",VLOOKUP(BB123,Deviation!$B$42:$C$43,2,FALSE),IF(AL123="Plan5",VLOOKUP(BB123,Deviation!$B$48:$C$49,2,FALSE),VLOOKUP(BB123,Deviation!$B$45:$C$46,2,FALSE)))),IF(AL123="Plan1",VLOOKUP(BB123,Deviation!$E$39:$F$40,2,FALSE),IF(AL123="Plan2",VLOOKUP(BB123,Deviation!$E$42:$F$43,2,FALSE),VLOOKUP(BB123,Deviation!$E$45:$F$46,2,FALSE))))),0)</f>
        <v/>
      </c>
      <c r="BH123" s="671" t="str">
        <f>IFERROR(IF(AL123="","",IF(AN123="Dubai",IF(OR(AL123="Plan1",AL123="Plan2"),VLOOKUP(BC123,Deviation!$B$15:$D$19,2,FALSE),VLOOKUP(BC123,Deviation!$B$15:$D$19,3,FALSE)),IF(OR(AL123="Plan1",AL123="Plan2"),VLOOKUP(BC123,Deviation!$E$15:$AE$19,2,FALSE),VLOOKUP(BC123,Deviation!$E$15:$AE$19,3,FALSE)))),0)</f>
        <v/>
      </c>
      <c r="BI123" s="669" t="str">
        <f>IFERROR(IF(AL123="","",IF(AN123="Dubai",VLOOKUP(BD123,Deviation!$B$24:$C$26,2,FALSE),100%)),0)</f>
        <v/>
      </c>
      <c r="BJ123" s="672">
        <f>IF(AE123="Abu Dhabi",1,IFERROR(VLOOKUP(AM123,Deviation!$B$67:$E$79,MATCH('Census Data'!AA123,Deviation!$B$66:$E$66,0),0),1))</f>
        <v>1</v>
      </c>
      <c r="BK123" s="659">
        <f>IFERROR(VLOOKUP(I123,Deviation!$B$54:$C$62,2,0),1)</f>
        <v>1</v>
      </c>
      <c r="BL123" s="148"/>
      <c r="BM123" s="148"/>
      <c r="BN123" s="148"/>
      <c r="BO123" s="148"/>
      <c r="BP123" s="148"/>
      <c r="BQ123" s="148"/>
      <c r="BR123" s="148"/>
      <c r="BS123" s="148"/>
      <c r="BT123" s="148" t="e">
        <f t="shared" si="49"/>
        <v>#VALUE!</v>
      </c>
      <c r="BU123"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f>
        <v/>
      </c>
    </row>
    <row r="124" spans="1:73" ht="15" x14ac:dyDescent="0.25">
      <c r="A124" s="59">
        <v>119</v>
      </c>
      <c r="B124" s="470"/>
      <c r="C124" s="628"/>
      <c r="D124" s="629"/>
      <c r="E124" s="471"/>
      <c r="F124" s="298"/>
      <c r="G124" s="298"/>
      <c r="H124" s="298"/>
      <c r="I124" s="298"/>
      <c r="J124" s="80" t="str">
        <f>IFERROR(IF(C124="","",DATEDIF('Census Data'!C124,eff_date,"y")),"")</f>
        <v/>
      </c>
      <c r="K124" s="59" t="str">
        <f>IF(F124="","",IF(AE124="Dubai",HLOOKUP(F124,Inputs!$C$26:$M$28,3,0),HLOOKUP(F124,Inputs!$C$45:$M$46,2,0)))</f>
        <v/>
      </c>
      <c r="L124" s="104"/>
      <c r="M124" s="105">
        <f t="shared" si="32"/>
        <v>0</v>
      </c>
      <c r="N124" s="654" t="b">
        <f t="shared" si="61"/>
        <v>0</v>
      </c>
      <c r="O124" s="655" t="str">
        <f t="shared" si="62"/>
        <v>x</v>
      </c>
      <c r="P124" s="655" t="str">
        <f t="shared" si="63"/>
        <v>x</v>
      </c>
      <c r="Q124" s="655" t="str">
        <f t="shared" si="64"/>
        <v>x</v>
      </c>
      <c r="R124" s="655" t="str">
        <f t="shared" si="51"/>
        <v>x</v>
      </c>
      <c r="S124" s="655" t="str">
        <f t="shared" si="65"/>
        <v>x</v>
      </c>
      <c r="T124" s="655" t="str">
        <f>IF(ISERROR(MATCH(G124,'Inputs Mapping'!$T$4:$T$10,0)),"x","")</f>
        <v>x</v>
      </c>
      <c r="U124" s="655" t="str">
        <f>IF(ISERROR(MATCH(AA124,'Inputs Mapping'!$U$4:$U$5,0)),"x","")</f>
        <v>x</v>
      </c>
      <c r="V124" s="655" t="str">
        <f>IF(ISERROR(MATCH(AB124,'Inputs Mapping'!$V$4:$V$5,0)),"x","")</f>
        <v>x</v>
      </c>
      <c r="W124" s="655" t="str">
        <f>IF(ISERROR(MATCH(F124,'Inputs Mapping'!$W$4:$W$8,0)),"x","")</f>
        <v>x</v>
      </c>
      <c r="X124" s="655" t="str">
        <f t="shared" si="66"/>
        <v/>
      </c>
      <c r="Y124" s="655" t="str">
        <f t="shared" si="67"/>
        <v/>
      </c>
      <c r="Z124" s="655" t="str">
        <f t="shared" si="40"/>
        <v/>
      </c>
      <c r="AA124" s="655" t="str">
        <f t="shared" si="41"/>
        <v/>
      </c>
      <c r="AB124" s="655" t="str">
        <f t="shared" si="43"/>
        <v/>
      </c>
      <c r="AC124" s="655" t="str">
        <f t="shared" si="50"/>
        <v>x</v>
      </c>
      <c r="AD124" s="655" t="str">
        <f>IF(ISBLANK(I124),"x",IF(ISNUMBER(MATCH(I124,'Inputs Mapping'!$AF$5:$AF$199,0)),"","x"))</f>
        <v>x</v>
      </c>
      <c r="AE124" s="655" t="str">
        <f t="shared" si="44"/>
        <v/>
      </c>
      <c r="AF124" s="148"/>
      <c r="AG124" s="148"/>
      <c r="AH124" s="148" t="str">
        <f t="shared" si="45"/>
        <v/>
      </c>
      <c r="AI124" s="654" t="str">
        <f>IF(J124="","",VLOOKUP(J124,'Inputs Mapping'!$T$27:$V$31,3))</f>
        <v/>
      </c>
      <c r="AJ124" s="654" t="str">
        <f>IF(J124="","",VLOOKUP(J124,'Inputs Mapping'!$T$17:$V$24,3))</f>
        <v/>
      </c>
      <c r="AK124" s="654" t="str">
        <f t="shared" si="46"/>
        <v/>
      </c>
      <c r="AL124" s="655" t="str">
        <f t="shared" si="60"/>
        <v/>
      </c>
      <c r="AM124" s="655" t="str">
        <f>IF(F124="","",IF(AE124="Dubai",HLOOKUP(F124,Inputs!$C$26:$M$36,5,0),HLOOKUP(F124,Inputs!$C$45:$M$49,5,0)))</f>
        <v/>
      </c>
      <c r="AN124" s="655">
        <f t="shared" si="47"/>
        <v>0</v>
      </c>
      <c r="AO124" s="654" t="str">
        <f>IF(AJ124="","",IF(AN124="Dubai",VLOOKUP(AJ124,'Inputs Mapping'!$V$17:$W$24,2,0),VLOOKUP(AI124,'Inputs Mapping'!$V$27:$W$31,2,0)))</f>
        <v/>
      </c>
      <c r="AP124" s="666">
        <f>IFERROR(IF($AN124="","",HLOOKUP($AN124&amp;RIGHT($AL124,1),'input for formula'!$B$16:$I$20,3,0)),0)</f>
        <v>0</v>
      </c>
      <c r="AQ124" s="656">
        <f>IFERROR(IF($AN124="","",HLOOKUP($AN124&amp;$F124,'input for formula'!$B$22:$M$25,2,0)),0)</f>
        <v>0</v>
      </c>
      <c r="AR124" s="666">
        <f>IFERROR(IF($AN124="","",HLOOKUP($AN124&amp;RIGHT($AL124,1),'input for formula'!$B$16:$I$20,4,0)),0)</f>
        <v>0</v>
      </c>
      <c r="AS124" s="656">
        <f>IFERROR(IF($AN124="","",HLOOKUP($AN124&amp;$F124,'input for formula'!$B$22:$M$25,3,0)),0)</f>
        <v>0</v>
      </c>
      <c r="AT124" s="656">
        <f>IFERROR(IF($AN124="","",HLOOKUP($AN124&amp;RIGHT($AL124,1),'input for formula'!$B$16:$I$20,5,0)),0)</f>
        <v>0</v>
      </c>
      <c r="AU124" s="656">
        <f>IFERROR(IF($AN124="","",HLOOKUP($AN124&amp;$F124,'input for formula'!$B$22:$M$25,4,0)),0)</f>
        <v>0</v>
      </c>
      <c r="AV124" s="666">
        <f>IFERROR(IF($AN124="","",IF('Census Data'!$AN124="Abu Dhabi",VLOOKUP('Census Data'!$AM124,'input for formula'!$A$28:$C$41,3,0),VLOOKUP('Census Data'!$AM124,'input for formula'!$A$28:$C$47,2,0))),0)*IFERROR(1+IF(AN124="Dubai",VLOOKUP(F124,'Quotation for Dubai Plans'!$V$6:$X$12,3,FALSE),VLOOKUP(F124,'Quotation for Abu Dhabi Plans'!$W$6:$Y$12,3,FALSE)),0)</f>
        <v>0</v>
      </c>
      <c r="AW124" s="656" t="str">
        <f t="shared" si="52"/>
        <v/>
      </c>
      <c r="AX124" s="667" t="str">
        <f>IFERROR(IF(AL124="","",IF(AN124="Dubai",HLOOKUP((AL124&amp;AM124),Deviation!$B$7:$S$8,2,0)*BF124*BH124*BI124*BG124,HLOOKUP((AL124&amp;AM124),Deviation!$B$9:$O$10,2,0)*BF124*BH124*BI124*BG124)),0)</f>
        <v/>
      </c>
      <c r="AY124" s="668"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formula'!$M$3:$O$7,AO124,FALSE)))*AX124+AP124*AQ124+AR124*AS124+AT124*AU124),0)*$AZ$3*BK124*BJ124*IF(AND(Inputs!$C$19&gt;19,Inputs!$C$19&lt;30),(1+$AZ$2),1)*(1+$AZ$1))</f>
        <v/>
      </c>
      <c r="AZ124" s="148" t="str">
        <f t="shared" si="48"/>
        <v/>
      </c>
      <c r="BA124" s="669" t="str">
        <f>IF(F124="","",IF(AE124="Dubai",HLOOKUP(F124,Inputs!$C$26:$M$37,9,0),HLOOKUP(F124,Inputs!$C$45:$M$56,9,0)))</f>
        <v/>
      </c>
      <c r="BB124" s="670" t="str">
        <f>IF(F124="","",IF(AE124="Dubai",HLOOKUP(F124,Inputs!$C$26:$M$37,10,0),HLOOKUP(F124,Inputs!$C$45:$M$56,10,0)))</f>
        <v/>
      </c>
      <c r="BC124" s="670" t="str">
        <f>IF(F124="","",IF(AE124="Dubai",HLOOKUP(F124,Inputs!$C$26:$M$37,11,0),HLOOKUP(F124,Inputs!$C$45:$M$56,11,0)))</f>
        <v/>
      </c>
      <c r="BD124" s="669" t="str">
        <f>IF(F124="","",IF(AE124="Dubai",HLOOKUP(F124,Inputs!$C$26:$M$37,12,0),HLOOKUP(F124,Inputs!$C$45:$M$56,12,0)))</f>
        <v/>
      </c>
      <c r="BE124" s="654"/>
      <c r="BF124" s="669" t="str">
        <f>IFERROR(IF(AL124="","",IF(AN124="Dubai",IF(OR(AL124="Plan1",AL124="Plan2"),VLOOKUP(BA124,Deviation!$B$31:$D$33,2,FALSE),VLOOKUP(BA124,Deviation!$B$31:$D$33,3,FALSE)),IF(OR(AL124="Plan1",AL124="Plan2"),VLOOKUP(BA124,Deviation!$E$31:$AE$33,2,FALSE),VLOOKUP(BA124,Deviation!$E$31:$AE$33,3,FALSE)))),0)</f>
        <v/>
      </c>
      <c r="BG124" s="671" t="str">
        <f>IFERROR(IF(AL124="","",IF(AN124="Dubai",IF(AL124="Plan1",VLOOKUP(BB124,Deviation!$B$39:$C$40,2,FALSE),IF(AL124="Plan2",VLOOKUP(BB124,Deviation!$B$42:$C$43,2,FALSE),IF(AL124="Plan5",VLOOKUP(BB124,Deviation!$B$48:$C$49,2,FALSE),VLOOKUP(BB124,Deviation!$B$45:$C$46,2,FALSE)))),IF(AL124="Plan1",VLOOKUP(BB124,Deviation!$E$39:$F$40,2,FALSE),IF(AL124="Plan2",VLOOKUP(BB124,Deviation!$E$42:$F$43,2,FALSE),VLOOKUP(BB124,Deviation!$E$45:$F$46,2,FALSE))))),0)</f>
        <v/>
      </c>
      <c r="BH124" s="671" t="str">
        <f>IFERROR(IF(AL124="","",IF(AN124="Dubai",IF(OR(AL124="Plan1",AL124="Plan2"),VLOOKUP(BC124,Deviation!$B$15:$D$19,2,FALSE),VLOOKUP(BC124,Deviation!$B$15:$D$19,3,FALSE)),IF(OR(AL124="Plan1",AL124="Plan2"),VLOOKUP(BC124,Deviation!$E$15:$AE$19,2,FALSE),VLOOKUP(BC124,Deviation!$E$15:$AE$19,3,FALSE)))),0)</f>
        <v/>
      </c>
      <c r="BI124" s="669" t="str">
        <f>IFERROR(IF(AL124="","",IF(AN124="Dubai",VLOOKUP(BD124,Deviation!$B$24:$C$26,2,FALSE),100%)),0)</f>
        <v/>
      </c>
      <c r="BJ124" s="672">
        <f>IF(AE124="Abu Dhabi",1,IFERROR(VLOOKUP(AM124,Deviation!$B$67:$E$79,MATCH('Census Data'!AA124,Deviation!$B$66:$E$66,0),0),1))</f>
        <v>1</v>
      </c>
      <c r="BK124" s="659">
        <f>IFERROR(VLOOKUP(I124,Deviation!$B$54:$C$62,2,0),1)</f>
        <v>1</v>
      </c>
      <c r="BL124" s="148"/>
      <c r="BM124" s="148"/>
      <c r="BN124" s="148"/>
      <c r="BO124" s="148"/>
      <c r="BP124" s="148"/>
      <c r="BQ124" s="148"/>
      <c r="BR124" s="148"/>
      <c r="BS124" s="148"/>
      <c r="BT124" s="148" t="e">
        <f t="shared" si="49"/>
        <v>#VALUE!</v>
      </c>
      <c r="BU124"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f>
        <v/>
      </c>
    </row>
    <row r="125" spans="1:73" ht="15" x14ac:dyDescent="0.25">
      <c r="A125" s="59">
        <v>120</v>
      </c>
      <c r="B125" s="470"/>
      <c r="C125" s="628"/>
      <c r="D125" s="629"/>
      <c r="E125" s="471"/>
      <c r="F125" s="298"/>
      <c r="G125" s="298"/>
      <c r="H125" s="298"/>
      <c r="I125" s="298"/>
      <c r="J125" s="80" t="str">
        <f>IFERROR(IF(C125="","",DATEDIF('Census Data'!C125,eff_date,"y")),"")</f>
        <v/>
      </c>
      <c r="K125" s="59" t="str">
        <f>IF(F125="","",IF(AE125="Dubai",HLOOKUP(F125,Inputs!$C$26:$M$28,3,0),HLOOKUP(F125,Inputs!$C$45:$M$46,2,0)))</f>
        <v/>
      </c>
      <c r="L125" s="104"/>
      <c r="M125" s="105">
        <f t="shared" si="32"/>
        <v>0</v>
      </c>
      <c r="N125" s="654" t="b">
        <f t="shared" si="61"/>
        <v>0</v>
      </c>
      <c r="O125" s="655" t="str">
        <f t="shared" si="62"/>
        <v>x</v>
      </c>
      <c r="P125" s="655" t="str">
        <f t="shared" si="63"/>
        <v>x</v>
      </c>
      <c r="Q125" s="655" t="str">
        <f t="shared" si="64"/>
        <v>x</v>
      </c>
      <c r="R125" s="655" t="str">
        <f t="shared" si="51"/>
        <v>x</v>
      </c>
      <c r="S125" s="655" t="str">
        <f t="shared" si="65"/>
        <v>x</v>
      </c>
      <c r="T125" s="655" t="str">
        <f>IF(ISERROR(MATCH(G125,'Inputs Mapping'!$T$4:$T$10,0)),"x","")</f>
        <v>x</v>
      </c>
      <c r="U125" s="655" t="str">
        <f>IF(ISERROR(MATCH(AA125,'Inputs Mapping'!$U$4:$U$5,0)),"x","")</f>
        <v>x</v>
      </c>
      <c r="V125" s="655" t="str">
        <f>IF(ISERROR(MATCH(AB125,'Inputs Mapping'!$V$4:$V$5,0)),"x","")</f>
        <v>x</v>
      </c>
      <c r="W125" s="655" t="str">
        <f>IF(ISERROR(MATCH(F125,'Inputs Mapping'!$W$4:$W$8,0)),"x","")</f>
        <v>x</v>
      </c>
      <c r="X125" s="655" t="str">
        <f t="shared" si="66"/>
        <v/>
      </c>
      <c r="Y125" s="655" t="str">
        <f t="shared" si="67"/>
        <v/>
      </c>
      <c r="Z125" s="655" t="str">
        <f t="shared" si="40"/>
        <v/>
      </c>
      <c r="AA125" s="655" t="str">
        <f t="shared" si="41"/>
        <v/>
      </c>
      <c r="AB125" s="655" t="str">
        <f t="shared" si="43"/>
        <v/>
      </c>
      <c r="AC125" s="655" t="str">
        <f t="shared" si="50"/>
        <v>x</v>
      </c>
      <c r="AD125" s="655" t="str">
        <f>IF(ISBLANK(I125),"x",IF(ISNUMBER(MATCH(I125,'Inputs Mapping'!$AF$5:$AF$199,0)),"","x"))</f>
        <v>x</v>
      </c>
      <c r="AE125" s="655" t="str">
        <f t="shared" si="44"/>
        <v/>
      </c>
      <c r="AF125" s="148"/>
      <c r="AG125" s="148"/>
      <c r="AH125" s="148" t="str">
        <f t="shared" si="45"/>
        <v/>
      </c>
      <c r="AI125" s="654" t="str">
        <f>IF(J125="","",VLOOKUP(J125,'Inputs Mapping'!$T$27:$V$31,3))</f>
        <v/>
      </c>
      <c r="AJ125" s="654" t="str">
        <f>IF(J125="","",VLOOKUP(J125,'Inputs Mapping'!$T$17:$V$24,3))</f>
        <v/>
      </c>
      <c r="AK125" s="654" t="str">
        <f t="shared" si="46"/>
        <v/>
      </c>
      <c r="AL125" s="655" t="str">
        <f t="shared" si="60"/>
        <v/>
      </c>
      <c r="AM125" s="655" t="str">
        <f>IF(F125="","",IF(AE125="Dubai",HLOOKUP(F125,Inputs!$C$26:$M$36,5,0),HLOOKUP(F125,Inputs!$C$45:$M$49,5,0)))</f>
        <v/>
      </c>
      <c r="AN125" s="655">
        <f t="shared" si="47"/>
        <v>0</v>
      </c>
      <c r="AO125" s="654" t="str">
        <f>IF(AJ125="","",IF(AN125="Dubai",VLOOKUP(AJ125,'Inputs Mapping'!$V$17:$W$24,2,0),VLOOKUP(AI125,'Inputs Mapping'!$V$27:$W$31,2,0)))</f>
        <v/>
      </c>
      <c r="AP125" s="666">
        <f>IFERROR(IF($AN125="","",HLOOKUP($AN125&amp;RIGHT($AL125,1),'input for formula'!$B$16:$I$20,3,0)),0)</f>
        <v>0</v>
      </c>
      <c r="AQ125" s="656">
        <f>IFERROR(IF($AN125="","",HLOOKUP($AN125&amp;$F125,'input for formula'!$B$22:$M$25,2,0)),0)</f>
        <v>0</v>
      </c>
      <c r="AR125" s="666">
        <f>IFERROR(IF($AN125="","",HLOOKUP($AN125&amp;RIGHT($AL125,1),'input for formula'!$B$16:$I$20,4,0)),0)</f>
        <v>0</v>
      </c>
      <c r="AS125" s="656">
        <f>IFERROR(IF($AN125="","",HLOOKUP($AN125&amp;$F125,'input for formula'!$B$22:$M$25,3,0)),0)</f>
        <v>0</v>
      </c>
      <c r="AT125" s="656">
        <f>IFERROR(IF($AN125="","",HLOOKUP($AN125&amp;RIGHT($AL125,1),'input for formula'!$B$16:$I$20,5,0)),0)</f>
        <v>0</v>
      </c>
      <c r="AU125" s="656">
        <f>IFERROR(IF($AN125="","",HLOOKUP($AN125&amp;$F125,'input for formula'!$B$22:$M$25,4,0)),0)</f>
        <v>0</v>
      </c>
      <c r="AV125" s="666">
        <f>IFERROR(IF($AN125="","",IF('Census Data'!$AN125="Abu Dhabi",VLOOKUP('Census Data'!$AM125,'input for formula'!$A$28:$C$41,3,0),VLOOKUP('Census Data'!$AM125,'input for formula'!$A$28:$C$47,2,0))),0)*IFERROR(1+IF(AN125="Dubai",VLOOKUP(F125,'Quotation for Dubai Plans'!$V$6:$X$12,3,FALSE),VLOOKUP(F125,'Quotation for Abu Dhabi Plans'!$W$6:$Y$12,3,FALSE)),0)</f>
        <v>0</v>
      </c>
      <c r="AW125" s="656" t="str">
        <f t="shared" si="52"/>
        <v/>
      </c>
      <c r="AX125" s="667" t="str">
        <f>IFERROR(IF(AL125="","",IF(AN125="Dubai",HLOOKUP((AL125&amp;AM125),Deviation!$B$7:$S$8,2,0)*BF125*BH125*BI125*BG125,HLOOKUP((AL125&amp;AM125),Deviation!$B$9:$O$10,2,0)*BF125*BH125*BI125*BG125)),0)</f>
        <v/>
      </c>
      <c r="AY125" s="668"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formula'!$M$3:$O$7,AO125,FALSE)))*AX125+AP125*AQ125+AR125*AS125+AT125*AU125),0)*$AZ$3*BK125*BJ125*IF(AND(Inputs!$C$19&gt;19,Inputs!$C$19&lt;30),(1+$AZ$2),1)*(1+$AZ$1))</f>
        <v/>
      </c>
      <c r="AZ125" s="148" t="str">
        <f t="shared" si="48"/>
        <v/>
      </c>
      <c r="BA125" s="669" t="str">
        <f>IF(F125="","",IF(AE125="Dubai",HLOOKUP(F125,Inputs!$C$26:$M$37,9,0),HLOOKUP(F125,Inputs!$C$45:$M$56,9,0)))</f>
        <v/>
      </c>
      <c r="BB125" s="670" t="str">
        <f>IF(F125="","",IF(AE125="Dubai",HLOOKUP(F125,Inputs!$C$26:$M$37,10,0),HLOOKUP(F125,Inputs!$C$45:$M$56,10,0)))</f>
        <v/>
      </c>
      <c r="BC125" s="670" t="str">
        <f>IF(F125="","",IF(AE125="Dubai",HLOOKUP(F125,Inputs!$C$26:$M$37,11,0),HLOOKUP(F125,Inputs!$C$45:$M$56,11,0)))</f>
        <v/>
      </c>
      <c r="BD125" s="669" t="str">
        <f>IF(F125="","",IF(AE125="Dubai",HLOOKUP(F125,Inputs!$C$26:$M$37,12,0),HLOOKUP(F125,Inputs!$C$45:$M$56,12,0)))</f>
        <v/>
      </c>
      <c r="BE125" s="654"/>
      <c r="BF125" s="669" t="str">
        <f>IFERROR(IF(AL125="","",IF(AN125="Dubai",IF(OR(AL125="Plan1",AL125="Plan2"),VLOOKUP(BA125,Deviation!$B$31:$D$33,2,FALSE),VLOOKUP(BA125,Deviation!$B$31:$D$33,3,FALSE)),IF(OR(AL125="Plan1",AL125="Plan2"),VLOOKUP(BA125,Deviation!$E$31:$AE$33,2,FALSE),VLOOKUP(BA125,Deviation!$E$31:$AE$33,3,FALSE)))),0)</f>
        <v/>
      </c>
      <c r="BG125" s="671" t="str">
        <f>IFERROR(IF(AL125="","",IF(AN125="Dubai",IF(AL125="Plan1",VLOOKUP(BB125,Deviation!$B$39:$C$40,2,FALSE),IF(AL125="Plan2",VLOOKUP(BB125,Deviation!$B$42:$C$43,2,FALSE),IF(AL125="Plan5",VLOOKUP(BB125,Deviation!$B$48:$C$49,2,FALSE),VLOOKUP(BB125,Deviation!$B$45:$C$46,2,FALSE)))),IF(AL125="Plan1",VLOOKUP(BB125,Deviation!$E$39:$F$40,2,FALSE),IF(AL125="Plan2",VLOOKUP(BB125,Deviation!$E$42:$F$43,2,FALSE),VLOOKUP(BB125,Deviation!$E$45:$F$46,2,FALSE))))),0)</f>
        <v/>
      </c>
      <c r="BH125" s="671" t="str">
        <f>IFERROR(IF(AL125="","",IF(AN125="Dubai",IF(OR(AL125="Plan1",AL125="Plan2"),VLOOKUP(BC125,Deviation!$B$15:$D$19,2,FALSE),VLOOKUP(BC125,Deviation!$B$15:$D$19,3,FALSE)),IF(OR(AL125="Plan1",AL125="Plan2"),VLOOKUP(BC125,Deviation!$E$15:$AE$19,2,FALSE),VLOOKUP(BC125,Deviation!$E$15:$AE$19,3,FALSE)))),0)</f>
        <v/>
      </c>
      <c r="BI125" s="669" t="str">
        <f>IFERROR(IF(AL125="","",IF(AN125="Dubai",VLOOKUP(BD125,Deviation!$B$24:$C$26,2,FALSE),100%)),0)</f>
        <v/>
      </c>
      <c r="BJ125" s="672">
        <f>IF(AE125="Abu Dhabi",1,IFERROR(VLOOKUP(AM125,Deviation!$B$67:$E$79,MATCH('Census Data'!AA125,Deviation!$B$66:$E$66,0),0),1))</f>
        <v>1</v>
      </c>
      <c r="BK125" s="659">
        <f>IFERROR(VLOOKUP(I125,Deviation!$B$54:$C$62,2,0),1)</f>
        <v>1</v>
      </c>
      <c r="BL125" s="148"/>
      <c r="BM125" s="148"/>
      <c r="BN125" s="148"/>
      <c r="BO125" s="148"/>
      <c r="BP125" s="148"/>
      <c r="BQ125" s="148"/>
      <c r="BR125" s="148"/>
      <c r="BS125" s="148"/>
      <c r="BT125" s="148" t="e">
        <f t="shared" si="49"/>
        <v>#VALUE!</v>
      </c>
      <c r="BU125"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f>
        <v/>
      </c>
    </row>
    <row r="126" spans="1:73" ht="15" x14ac:dyDescent="0.25">
      <c r="A126" s="59">
        <v>121</v>
      </c>
      <c r="B126" s="470"/>
      <c r="C126" s="628"/>
      <c r="D126" s="629"/>
      <c r="E126" s="471"/>
      <c r="F126" s="298"/>
      <c r="G126" s="298"/>
      <c r="H126" s="298"/>
      <c r="I126" s="298"/>
      <c r="J126" s="80" t="str">
        <f>IFERROR(IF(C126="","",DATEDIF('Census Data'!C126,eff_date,"y")),"")</f>
        <v/>
      </c>
      <c r="K126" s="59" t="str">
        <f>IF(F126="","",IF(AE126="Dubai",HLOOKUP(F126,Inputs!$C$26:$M$28,3,0),HLOOKUP(F126,Inputs!$C$45:$M$46,2,0)))</f>
        <v/>
      </c>
      <c r="L126" s="94"/>
      <c r="M126" s="105">
        <f t="shared" si="32"/>
        <v>0</v>
      </c>
      <c r="N126" s="654" t="b">
        <f t="shared" si="61"/>
        <v>0</v>
      </c>
      <c r="O126" s="655" t="str">
        <f t="shared" si="62"/>
        <v>x</v>
      </c>
      <c r="P126" s="655" t="str">
        <f t="shared" si="63"/>
        <v>x</v>
      </c>
      <c r="Q126" s="655" t="str">
        <f t="shared" si="64"/>
        <v>x</v>
      </c>
      <c r="R126" s="655" t="str">
        <f t="shared" si="51"/>
        <v>x</v>
      </c>
      <c r="S126" s="655" t="str">
        <f t="shared" si="65"/>
        <v>x</v>
      </c>
      <c r="T126" s="655" t="str">
        <f>IF(ISERROR(MATCH(G126,'Inputs Mapping'!$T$4:$T$10,0)),"x","")</f>
        <v>x</v>
      </c>
      <c r="U126" s="655" t="str">
        <f>IF(ISERROR(MATCH(AA126,'Inputs Mapping'!$U$4:$U$5,0)),"x","")</f>
        <v>x</v>
      </c>
      <c r="V126" s="655" t="str">
        <f>IF(ISERROR(MATCH(AB126,'Inputs Mapping'!$V$4:$V$5,0)),"x","")</f>
        <v>x</v>
      </c>
      <c r="W126" s="655" t="str">
        <f>IF(ISERROR(MATCH(F126,'Inputs Mapping'!$W$4:$W$8,0)),"x","")</f>
        <v>x</v>
      </c>
      <c r="X126" s="655" t="str">
        <f t="shared" si="66"/>
        <v/>
      </c>
      <c r="Y126" s="655" t="str">
        <f t="shared" si="67"/>
        <v/>
      </c>
      <c r="Z126" s="655" t="str">
        <f t="shared" si="40"/>
        <v/>
      </c>
      <c r="AA126" s="655" t="str">
        <f t="shared" si="41"/>
        <v/>
      </c>
      <c r="AB126" s="655" t="str">
        <f t="shared" si="43"/>
        <v/>
      </c>
      <c r="AC126" s="655" t="str">
        <f t="shared" si="50"/>
        <v>x</v>
      </c>
      <c r="AD126" s="655" t="str">
        <f>IF(ISBLANK(I126),"x",IF(ISNUMBER(MATCH(I126,'Inputs Mapping'!$AF$5:$AF$199,0)),"","x"))</f>
        <v>x</v>
      </c>
      <c r="AE126" s="655" t="str">
        <f t="shared" si="44"/>
        <v/>
      </c>
      <c r="AF126" s="148"/>
      <c r="AG126" s="148"/>
      <c r="AH126" s="148" t="str">
        <f t="shared" si="45"/>
        <v/>
      </c>
      <c r="AI126" s="654" t="str">
        <f>IF(J126="","",VLOOKUP(J126,'Inputs Mapping'!$T$27:$V$31,3))</f>
        <v/>
      </c>
      <c r="AJ126" s="654" t="str">
        <f>IF(J126="","",VLOOKUP(J126,'Inputs Mapping'!$T$17:$V$24,3))</f>
        <v/>
      </c>
      <c r="AK126" s="654" t="str">
        <f t="shared" si="46"/>
        <v/>
      </c>
      <c r="AL126" s="655" t="str">
        <f t="shared" si="60"/>
        <v/>
      </c>
      <c r="AM126" s="655" t="str">
        <f>IF(F126="","",IF(AE126="Dubai",HLOOKUP(F126,Inputs!$C$26:$M$36,5,0),HLOOKUP(F126,Inputs!$C$45:$M$49,5,0)))</f>
        <v/>
      </c>
      <c r="AN126" s="655">
        <f t="shared" si="47"/>
        <v>0</v>
      </c>
      <c r="AO126" s="654" t="str">
        <f>IF(AJ126="","",IF(AN126="Dubai",VLOOKUP(AJ126,'Inputs Mapping'!$V$17:$W$24,2,0),VLOOKUP(AI126,'Inputs Mapping'!$V$27:$W$31,2,0)))</f>
        <v/>
      </c>
      <c r="AP126" s="666">
        <f>IFERROR(IF($AN126="","",HLOOKUP($AN126&amp;RIGHT($AL126,1),'input for formula'!$B$16:$I$20,3,0)),0)</f>
        <v>0</v>
      </c>
      <c r="AQ126" s="656">
        <f>IFERROR(IF($AN126="","",HLOOKUP($AN126&amp;$F126,'input for formula'!$B$22:$M$25,2,0)),0)</f>
        <v>0</v>
      </c>
      <c r="AR126" s="666">
        <f>IFERROR(IF($AN126="","",HLOOKUP($AN126&amp;RIGHT($AL126,1),'input for formula'!$B$16:$I$20,4,0)),0)</f>
        <v>0</v>
      </c>
      <c r="AS126" s="656">
        <f>IFERROR(IF($AN126="","",HLOOKUP($AN126&amp;$F126,'input for formula'!$B$22:$M$25,3,0)),0)</f>
        <v>0</v>
      </c>
      <c r="AT126" s="656">
        <f>IFERROR(IF($AN126="","",HLOOKUP($AN126&amp;RIGHT($AL126,1),'input for formula'!$B$16:$I$20,5,0)),0)</f>
        <v>0</v>
      </c>
      <c r="AU126" s="656">
        <f>IFERROR(IF($AN126="","",HLOOKUP($AN126&amp;$F126,'input for formula'!$B$22:$M$25,4,0)),0)</f>
        <v>0</v>
      </c>
      <c r="AV126" s="666">
        <f>IFERROR(IF($AN126="","",IF('Census Data'!$AN126="Abu Dhabi",VLOOKUP('Census Data'!$AM126,'input for formula'!$A$28:$C$41,3,0),VLOOKUP('Census Data'!$AM126,'input for formula'!$A$28:$C$47,2,0))),0)*IFERROR(1+IF(AN126="Dubai",VLOOKUP(F126,'Quotation for Dubai Plans'!$V$6:$X$12,3,FALSE),VLOOKUP(F126,'Quotation for Abu Dhabi Plans'!$W$6:$Y$12,3,FALSE)),0)</f>
        <v>0</v>
      </c>
      <c r="AW126" s="656" t="str">
        <f t="shared" si="52"/>
        <v/>
      </c>
      <c r="AX126" s="667" t="str">
        <f>IFERROR(IF(AL126="","",IF(AN126="Dubai",HLOOKUP((AL126&amp;AM126),Deviation!$B$7:$S$8,2,0)*BF126*BH126*BI126*BG126,HLOOKUP((AL126&amp;AM126),Deviation!$B$9:$O$10,2,0)*BF126*BH126*BI126*BG126)),0)</f>
        <v/>
      </c>
      <c r="AY126" s="668"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formula'!$M$3:$O$7,AO126,FALSE)))*AX126+AP126*AQ126+AR126*AS126+AT126*AU126),0)*$AZ$3*BK126*BJ126*IF(AND(Inputs!$C$19&gt;19,Inputs!$C$19&lt;30),(1+$AZ$2),1)*(1+$AZ$1))</f>
        <v/>
      </c>
      <c r="AZ126" s="148" t="str">
        <f t="shared" si="48"/>
        <v/>
      </c>
      <c r="BA126" s="669" t="str">
        <f>IF(F126="","",IF(AE126="Dubai",HLOOKUP(F126,Inputs!$C$26:$M$37,9,0),HLOOKUP(F126,Inputs!$C$45:$M$56,9,0)))</f>
        <v/>
      </c>
      <c r="BB126" s="670" t="str">
        <f>IF(F126="","",IF(AE126="Dubai",HLOOKUP(F126,Inputs!$C$26:$M$37,10,0),HLOOKUP(F126,Inputs!$C$45:$M$56,10,0)))</f>
        <v/>
      </c>
      <c r="BC126" s="670" t="str">
        <f>IF(F126="","",IF(AE126="Dubai",HLOOKUP(F126,Inputs!$C$26:$M$37,11,0),HLOOKUP(F126,Inputs!$C$45:$M$56,11,0)))</f>
        <v/>
      </c>
      <c r="BD126" s="669" t="str">
        <f>IF(F126="","",IF(AE126="Dubai",HLOOKUP(F126,Inputs!$C$26:$M$37,12,0),HLOOKUP(F126,Inputs!$C$45:$M$56,12,0)))</f>
        <v/>
      </c>
      <c r="BE126" s="654"/>
      <c r="BF126" s="669" t="str">
        <f>IFERROR(IF(AL126="","",IF(AN126="Dubai",IF(OR(AL126="Plan1",AL126="Plan2"),VLOOKUP(BA126,Deviation!$B$31:$D$33,2,FALSE),VLOOKUP(BA126,Deviation!$B$31:$D$33,3,FALSE)),IF(OR(AL126="Plan1",AL126="Plan2"),VLOOKUP(BA126,Deviation!$E$31:$AE$33,2,FALSE),VLOOKUP(BA126,Deviation!$E$31:$AE$33,3,FALSE)))),0)</f>
        <v/>
      </c>
      <c r="BG126" s="671" t="str">
        <f>IFERROR(IF(AL126="","",IF(AN126="Dubai",IF(AL126="Plan1",VLOOKUP(BB126,Deviation!$B$39:$C$40,2,FALSE),IF(AL126="Plan2",VLOOKUP(BB126,Deviation!$B$42:$C$43,2,FALSE),IF(AL126="Plan5",VLOOKUP(BB126,Deviation!$B$48:$C$49,2,FALSE),VLOOKUP(BB126,Deviation!$B$45:$C$46,2,FALSE)))),IF(AL126="Plan1",VLOOKUP(BB126,Deviation!$E$39:$F$40,2,FALSE),IF(AL126="Plan2",VLOOKUP(BB126,Deviation!$E$42:$F$43,2,FALSE),VLOOKUP(BB126,Deviation!$E$45:$F$46,2,FALSE))))),0)</f>
        <v/>
      </c>
      <c r="BH126" s="671" t="str">
        <f>IFERROR(IF(AL126="","",IF(AN126="Dubai",IF(OR(AL126="Plan1",AL126="Plan2"),VLOOKUP(BC126,Deviation!$B$15:$D$19,2,FALSE),VLOOKUP(BC126,Deviation!$B$15:$D$19,3,FALSE)),IF(OR(AL126="Plan1",AL126="Plan2"),VLOOKUP(BC126,Deviation!$E$15:$AE$19,2,FALSE),VLOOKUP(BC126,Deviation!$E$15:$AE$19,3,FALSE)))),0)</f>
        <v/>
      </c>
      <c r="BI126" s="669" t="str">
        <f>IFERROR(IF(AL126="","",IF(AN126="Dubai",VLOOKUP(BD126,Deviation!$B$24:$C$26,2,FALSE),100%)),0)</f>
        <v/>
      </c>
      <c r="BJ126" s="672">
        <f>IF(AE126="Abu Dhabi",1,IFERROR(VLOOKUP(AM126,Deviation!$B$67:$E$79,MATCH('Census Data'!AA126,Deviation!$B$66:$E$66,0),0),1))</f>
        <v>1</v>
      </c>
      <c r="BK126" s="659">
        <f>IFERROR(VLOOKUP(I126,Deviation!$B$54:$C$62,2,0),1)</f>
        <v>1</v>
      </c>
      <c r="BL126" s="148"/>
      <c r="BM126" s="148"/>
      <c r="BN126" s="148"/>
      <c r="BO126" s="148"/>
      <c r="BP126" s="148"/>
      <c r="BQ126" s="148"/>
      <c r="BR126" s="148"/>
      <c r="BS126" s="148"/>
      <c r="BT126" s="148" t="e">
        <f t="shared" si="49"/>
        <v>#VALUE!</v>
      </c>
      <c r="BU126"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f>
        <v/>
      </c>
    </row>
    <row r="127" spans="1:73" ht="15" x14ac:dyDescent="0.25">
      <c r="A127" s="59">
        <v>122</v>
      </c>
      <c r="B127" s="470"/>
      <c r="C127" s="633"/>
      <c r="D127" s="629"/>
      <c r="E127" s="471"/>
      <c r="F127" s="298"/>
      <c r="G127" s="298"/>
      <c r="H127" s="298"/>
      <c r="I127" s="298"/>
      <c r="J127" s="80" t="str">
        <f>IFERROR(IF(C127="","",DATEDIF('Census Data'!C127,eff_date,"y")),"")</f>
        <v/>
      </c>
      <c r="K127" s="59" t="str">
        <f>IF(F127="","",IF(AE127="Dubai",HLOOKUP(F127,Inputs!$C$26:$M$28,3,0),HLOOKUP(F127,Inputs!$C$45:$M$46,2,0)))</f>
        <v/>
      </c>
      <c r="L127" s="94"/>
      <c r="M127" s="105">
        <f t="shared" si="32"/>
        <v>0</v>
      </c>
      <c r="N127" s="654" t="b">
        <f t="shared" si="61"/>
        <v>0</v>
      </c>
      <c r="O127" s="655" t="str">
        <f t="shared" si="62"/>
        <v>x</v>
      </c>
      <c r="P127" s="655" t="str">
        <f t="shared" si="63"/>
        <v>x</v>
      </c>
      <c r="Q127" s="655" t="str">
        <f t="shared" si="64"/>
        <v>x</v>
      </c>
      <c r="R127" s="655" t="str">
        <f t="shared" si="51"/>
        <v>x</v>
      </c>
      <c r="S127" s="655" t="str">
        <f t="shared" si="65"/>
        <v>x</v>
      </c>
      <c r="T127" s="655" t="str">
        <f>IF(ISERROR(MATCH(G127,'Inputs Mapping'!$T$4:$T$10,0)),"x","")</f>
        <v>x</v>
      </c>
      <c r="U127" s="655" t="str">
        <f>IF(ISERROR(MATCH(AA127,'Inputs Mapping'!$U$4:$U$5,0)),"x","")</f>
        <v>x</v>
      </c>
      <c r="V127" s="655" t="str">
        <f>IF(ISERROR(MATCH(AB127,'Inputs Mapping'!$V$4:$V$5,0)),"x","")</f>
        <v>x</v>
      </c>
      <c r="W127" s="655" t="str">
        <f>IF(ISERROR(MATCH(F127,'Inputs Mapping'!$W$4:$W$8,0)),"x","")</f>
        <v>x</v>
      </c>
      <c r="X127" s="655" t="str">
        <f t="shared" si="66"/>
        <v/>
      </c>
      <c r="Y127" s="655" t="str">
        <f t="shared" si="67"/>
        <v/>
      </c>
      <c r="Z127" s="655" t="str">
        <f t="shared" si="40"/>
        <v/>
      </c>
      <c r="AA127" s="655" t="str">
        <f t="shared" si="41"/>
        <v/>
      </c>
      <c r="AB127" s="655" t="str">
        <f t="shared" si="43"/>
        <v/>
      </c>
      <c r="AC127" s="655" t="str">
        <f t="shared" si="50"/>
        <v>x</v>
      </c>
      <c r="AD127" s="655" t="str">
        <f>IF(ISBLANK(I127),"x",IF(ISNUMBER(MATCH(I127,'Inputs Mapping'!$AF$5:$AF$199,0)),"","x"))</f>
        <v>x</v>
      </c>
      <c r="AE127" s="655" t="str">
        <f t="shared" si="44"/>
        <v/>
      </c>
      <c r="AF127" s="148"/>
      <c r="AG127" s="148"/>
      <c r="AH127" s="148" t="str">
        <f t="shared" si="45"/>
        <v/>
      </c>
      <c r="AI127" s="654" t="str">
        <f>IF(J127="","",VLOOKUP(J127,'Inputs Mapping'!$T$27:$V$31,3))</f>
        <v/>
      </c>
      <c r="AJ127" s="654" t="str">
        <f>IF(J127="","",VLOOKUP(J127,'Inputs Mapping'!$T$17:$V$24,3))</f>
        <v/>
      </c>
      <c r="AK127" s="654" t="str">
        <f t="shared" si="46"/>
        <v/>
      </c>
      <c r="AL127" s="655" t="str">
        <f t="shared" si="60"/>
        <v/>
      </c>
      <c r="AM127" s="655" t="str">
        <f>IF(F127="","",IF(AE127="Dubai",HLOOKUP(F127,Inputs!$C$26:$M$36,5,0),HLOOKUP(F127,Inputs!$C$45:$M$49,5,0)))</f>
        <v/>
      </c>
      <c r="AN127" s="655">
        <f t="shared" si="47"/>
        <v>0</v>
      </c>
      <c r="AO127" s="654" t="str">
        <f>IF(AJ127="","",IF(AN127="Dubai",VLOOKUP(AJ127,'Inputs Mapping'!$V$17:$W$24,2,0),VLOOKUP(AI127,'Inputs Mapping'!$V$27:$W$31,2,0)))</f>
        <v/>
      </c>
      <c r="AP127" s="666">
        <f>IFERROR(IF($AN127="","",HLOOKUP($AN127&amp;RIGHT($AL127,1),'input for formula'!$B$16:$I$20,3,0)),0)</f>
        <v>0</v>
      </c>
      <c r="AQ127" s="656">
        <f>IFERROR(IF($AN127="","",HLOOKUP($AN127&amp;$F127,'input for formula'!$B$22:$M$25,2,0)),0)</f>
        <v>0</v>
      </c>
      <c r="AR127" s="666">
        <f>IFERROR(IF($AN127="","",HLOOKUP($AN127&amp;RIGHT($AL127,1),'input for formula'!$B$16:$I$20,4,0)),0)</f>
        <v>0</v>
      </c>
      <c r="AS127" s="656">
        <f>IFERROR(IF($AN127="","",HLOOKUP($AN127&amp;$F127,'input for formula'!$B$22:$M$25,3,0)),0)</f>
        <v>0</v>
      </c>
      <c r="AT127" s="656">
        <f>IFERROR(IF($AN127="","",HLOOKUP($AN127&amp;RIGHT($AL127,1),'input for formula'!$B$16:$I$20,5,0)),0)</f>
        <v>0</v>
      </c>
      <c r="AU127" s="656">
        <f>IFERROR(IF($AN127="","",HLOOKUP($AN127&amp;$F127,'input for formula'!$B$22:$M$25,4,0)),0)</f>
        <v>0</v>
      </c>
      <c r="AV127" s="666">
        <f>IFERROR(IF($AN127="","",IF('Census Data'!$AN127="Abu Dhabi",VLOOKUP('Census Data'!$AM127,'input for formula'!$A$28:$C$41,3,0),VLOOKUP('Census Data'!$AM127,'input for formula'!$A$28:$C$47,2,0))),0)*IFERROR(1+IF(AN127="Dubai",VLOOKUP(F127,'Quotation for Dubai Plans'!$V$6:$X$12,3,FALSE),VLOOKUP(F127,'Quotation for Abu Dhabi Plans'!$W$6:$Y$12,3,FALSE)),0)</f>
        <v>0</v>
      </c>
      <c r="AW127" s="656" t="str">
        <f t="shared" si="52"/>
        <v/>
      </c>
      <c r="AX127" s="667" t="str">
        <f>IFERROR(IF(AL127="","",IF(AN127="Dubai",HLOOKUP((AL127&amp;AM127),Deviation!$B$7:$S$8,2,0)*BF127*BH127*BI127*BG127,HLOOKUP((AL127&amp;AM127),Deviation!$B$9:$O$10,2,0)*BF127*BH127*BI127*BG127)),0)</f>
        <v/>
      </c>
      <c r="AY127" s="668"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formula'!$M$3:$O$7,AO127,FALSE)))*AX127+AP127*AQ127+AR127*AS127+AT127*AU127),0)*$AZ$3*BK127*BJ127*IF(AND(Inputs!$C$19&gt;19,Inputs!$C$19&lt;30),(1+$AZ$2),1)*(1+$AZ$1))</f>
        <v/>
      </c>
      <c r="AZ127" s="148" t="str">
        <f t="shared" si="48"/>
        <v/>
      </c>
      <c r="BA127" s="669" t="str">
        <f>IF(F127="","",IF(AE127="Dubai",HLOOKUP(F127,Inputs!$C$26:$M$37,9,0),HLOOKUP(F127,Inputs!$C$45:$M$56,9,0)))</f>
        <v/>
      </c>
      <c r="BB127" s="670" t="str">
        <f>IF(F127="","",IF(AE127="Dubai",HLOOKUP(F127,Inputs!$C$26:$M$37,10,0),HLOOKUP(F127,Inputs!$C$45:$M$56,10,0)))</f>
        <v/>
      </c>
      <c r="BC127" s="670" t="str">
        <f>IF(F127="","",IF(AE127="Dubai",HLOOKUP(F127,Inputs!$C$26:$M$37,11,0),HLOOKUP(F127,Inputs!$C$45:$M$56,11,0)))</f>
        <v/>
      </c>
      <c r="BD127" s="669" t="str">
        <f>IF(F127="","",IF(AE127="Dubai",HLOOKUP(F127,Inputs!$C$26:$M$37,12,0),HLOOKUP(F127,Inputs!$C$45:$M$56,12,0)))</f>
        <v/>
      </c>
      <c r="BE127" s="654"/>
      <c r="BF127" s="669" t="str">
        <f>IFERROR(IF(AL127="","",IF(AN127="Dubai",IF(OR(AL127="Plan1",AL127="Plan2"),VLOOKUP(BA127,Deviation!$B$31:$D$33,2,FALSE),VLOOKUP(BA127,Deviation!$B$31:$D$33,3,FALSE)),IF(OR(AL127="Plan1",AL127="Plan2"),VLOOKUP(BA127,Deviation!$E$31:$AE$33,2,FALSE),VLOOKUP(BA127,Deviation!$E$31:$AE$33,3,FALSE)))),0)</f>
        <v/>
      </c>
      <c r="BG127" s="671" t="str">
        <f>IFERROR(IF(AL127="","",IF(AN127="Dubai",IF(AL127="Plan1",VLOOKUP(BB127,Deviation!$B$39:$C$40,2,FALSE),IF(AL127="Plan2",VLOOKUP(BB127,Deviation!$B$42:$C$43,2,FALSE),IF(AL127="Plan5",VLOOKUP(BB127,Deviation!$B$48:$C$49,2,FALSE),VLOOKUP(BB127,Deviation!$B$45:$C$46,2,FALSE)))),IF(AL127="Plan1",VLOOKUP(BB127,Deviation!$E$39:$F$40,2,FALSE),IF(AL127="Plan2",VLOOKUP(BB127,Deviation!$E$42:$F$43,2,FALSE),VLOOKUP(BB127,Deviation!$E$45:$F$46,2,FALSE))))),0)</f>
        <v/>
      </c>
      <c r="BH127" s="671" t="str">
        <f>IFERROR(IF(AL127="","",IF(AN127="Dubai",IF(OR(AL127="Plan1",AL127="Plan2"),VLOOKUP(BC127,Deviation!$B$15:$D$19,2,FALSE),VLOOKUP(BC127,Deviation!$B$15:$D$19,3,FALSE)),IF(OR(AL127="Plan1",AL127="Plan2"),VLOOKUP(BC127,Deviation!$E$15:$AE$19,2,FALSE),VLOOKUP(BC127,Deviation!$E$15:$AE$19,3,FALSE)))),0)</f>
        <v/>
      </c>
      <c r="BI127" s="669" t="str">
        <f>IFERROR(IF(AL127="","",IF(AN127="Dubai",VLOOKUP(BD127,Deviation!$B$24:$C$26,2,FALSE),100%)),0)</f>
        <v/>
      </c>
      <c r="BJ127" s="672">
        <f>IF(AE127="Abu Dhabi",1,IFERROR(VLOOKUP(AM127,Deviation!$B$67:$E$79,MATCH('Census Data'!AA127,Deviation!$B$66:$E$66,0),0),1))</f>
        <v>1</v>
      </c>
      <c r="BK127" s="659">
        <f>IFERROR(VLOOKUP(I127,Deviation!$B$54:$C$62,2,0),1)</f>
        <v>1</v>
      </c>
      <c r="BL127" s="148"/>
      <c r="BM127" s="148"/>
      <c r="BN127" s="148"/>
      <c r="BO127" s="148"/>
      <c r="BP127" s="148"/>
      <c r="BQ127" s="148"/>
      <c r="BR127" s="148"/>
      <c r="BS127" s="148"/>
      <c r="BT127" s="148" t="e">
        <f t="shared" si="49"/>
        <v>#VALUE!</v>
      </c>
      <c r="BU127"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f>
        <v/>
      </c>
    </row>
    <row r="128" spans="1:73" ht="15" x14ac:dyDescent="0.25">
      <c r="A128" s="59">
        <v>123</v>
      </c>
      <c r="B128" s="470"/>
      <c r="C128" s="633"/>
      <c r="D128" s="629"/>
      <c r="E128" s="471"/>
      <c r="F128" s="298"/>
      <c r="G128" s="298"/>
      <c r="H128" s="298"/>
      <c r="I128" s="298"/>
      <c r="J128" s="80" t="str">
        <f>IFERROR(IF(C128="","",DATEDIF('Census Data'!C128,eff_date,"y")),"")</f>
        <v/>
      </c>
      <c r="K128" s="59" t="str">
        <f>IF(F128="","",IF(AE128="Dubai",HLOOKUP(F128,Inputs!$C$26:$M$28,3,0),HLOOKUP(F128,Inputs!$C$45:$M$46,2,0)))</f>
        <v/>
      </c>
      <c r="L128" s="94"/>
      <c r="M128" s="105">
        <f t="shared" si="32"/>
        <v>0</v>
      </c>
      <c r="N128" s="654" t="b">
        <f t="shared" si="61"/>
        <v>0</v>
      </c>
      <c r="O128" s="655" t="str">
        <f t="shared" si="62"/>
        <v>x</v>
      </c>
      <c r="P128" s="655" t="str">
        <f t="shared" si="63"/>
        <v>x</v>
      </c>
      <c r="Q128" s="655" t="str">
        <f t="shared" si="64"/>
        <v>x</v>
      </c>
      <c r="R128" s="655" t="str">
        <f t="shared" si="51"/>
        <v>x</v>
      </c>
      <c r="S128" s="655" t="str">
        <f t="shared" si="65"/>
        <v>x</v>
      </c>
      <c r="T128" s="655" t="str">
        <f>IF(ISERROR(MATCH(G128,'Inputs Mapping'!$T$4:$T$10,0)),"x","")</f>
        <v>x</v>
      </c>
      <c r="U128" s="655" t="str">
        <f>IF(ISERROR(MATCH(AA128,'Inputs Mapping'!$U$4:$U$5,0)),"x","")</f>
        <v>x</v>
      </c>
      <c r="V128" s="655" t="str">
        <f>IF(ISERROR(MATCH(AB128,'Inputs Mapping'!$V$4:$V$5,0)),"x","")</f>
        <v>x</v>
      </c>
      <c r="W128" s="655" t="str">
        <f>IF(ISERROR(MATCH(F128,'Inputs Mapping'!$W$4:$W$8,0)),"x","")</f>
        <v>x</v>
      </c>
      <c r="X128" s="655" t="str">
        <f t="shared" si="66"/>
        <v/>
      </c>
      <c r="Y128" s="655" t="str">
        <f t="shared" si="67"/>
        <v/>
      </c>
      <c r="Z128" s="655" t="str">
        <f t="shared" si="40"/>
        <v/>
      </c>
      <c r="AA128" s="655" t="str">
        <f t="shared" si="41"/>
        <v/>
      </c>
      <c r="AB128" s="655" t="str">
        <f t="shared" si="43"/>
        <v/>
      </c>
      <c r="AC128" s="655" t="str">
        <f t="shared" si="50"/>
        <v>x</v>
      </c>
      <c r="AD128" s="655" t="str">
        <f>IF(ISBLANK(I128),"x",IF(ISNUMBER(MATCH(I128,'Inputs Mapping'!$AF$5:$AF$199,0)),"","x"))</f>
        <v>x</v>
      </c>
      <c r="AE128" s="655" t="str">
        <f t="shared" si="44"/>
        <v/>
      </c>
      <c r="AF128" s="148"/>
      <c r="AG128" s="148"/>
      <c r="AH128" s="148" t="str">
        <f t="shared" si="45"/>
        <v/>
      </c>
      <c r="AI128" s="654" t="str">
        <f>IF(J128="","",VLOOKUP(J128,'Inputs Mapping'!$T$27:$V$31,3))</f>
        <v/>
      </c>
      <c r="AJ128" s="654" t="str">
        <f>IF(J128="","",VLOOKUP(J128,'Inputs Mapping'!$T$17:$V$24,3))</f>
        <v/>
      </c>
      <c r="AK128" s="654" t="str">
        <f t="shared" si="46"/>
        <v/>
      </c>
      <c r="AL128" s="655" t="str">
        <f t="shared" si="60"/>
        <v/>
      </c>
      <c r="AM128" s="655" t="str">
        <f>IF(F128="","",IF(AE128="Dubai",HLOOKUP(F128,Inputs!$C$26:$M$36,5,0),HLOOKUP(F128,Inputs!$C$45:$M$49,5,0)))</f>
        <v/>
      </c>
      <c r="AN128" s="655">
        <f t="shared" si="47"/>
        <v>0</v>
      </c>
      <c r="AO128" s="654" t="str">
        <f>IF(AJ128="","",IF(AN128="Dubai",VLOOKUP(AJ128,'Inputs Mapping'!$V$17:$W$24,2,0),VLOOKUP(AI128,'Inputs Mapping'!$V$27:$W$31,2,0)))</f>
        <v/>
      </c>
      <c r="AP128" s="666">
        <f>IFERROR(IF($AN128="","",HLOOKUP($AN128&amp;RIGHT($AL128,1),'input for formula'!$B$16:$I$20,3,0)),0)</f>
        <v>0</v>
      </c>
      <c r="AQ128" s="656">
        <f>IFERROR(IF($AN128="","",HLOOKUP($AN128&amp;$F128,'input for formula'!$B$22:$M$25,2,0)),0)</f>
        <v>0</v>
      </c>
      <c r="AR128" s="666">
        <f>IFERROR(IF($AN128="","",HLOOKUP($AN128&amp;RIGHT($AL128,1),'input for formula'!$B$16:$I$20,4,0)),0)</f>
        <v>0</v>
      </c>
      <c r="AS128" s="656">
        <f>IFERROR(IF($AN128="","",HLOOKUP($AN128&amp;$F128,'input for formula'!$B$22:$M$25,3,0)),0)</f>
        <v>0</v>
      </c>
      <c r="AT128" s="656">
        <f>IFERROR(IF($AN128="","",HLOOKUP($AN128&amp;RIGHT($AL128,1),'input for formula'!$B$16:$I$20,5,0)),0)</f>
        <v>0</v>
      </c>
      <c r="AU128" s="656">
        <f>IFERROR(IF($AN128="","",HLOOKUP($AN128&amp;$F128,'input for formula'!$B$22:$M$25,4,0)),0)</f>
        <v>0</v>
      </c>
      <c r="AV128" s="666">
        <f>IFERROR(IF($AN128="","",IF('Census Data'!$AN128="Abu Dhabi",VLOOKUP('Census Data'!$AM128,'input for formula'!$A$28:$C$41,3,0),VLOOKUP('Census Data'!$AM128,'input for formula'!$A$28:$C$47,2,0))),0)*IFERROR(1+IF(AN128="Dubai",VLOOKUP(F128,'Quotation for Dubai Plans'!$V$6:$X$12,3,FALSE),VLOOKUP(F128,'Quotation for Abu Dhabi Plans'!$W$6:$Y$12,3,FALSE)),0)</f>
        <v>0</v>
      </c>
      <c r="AW128" s="656" t="str">
        <f t="shared" si="52"/>
        <v/>
      </c>
      <c r="AX128" s="667" t="str">
        <f>IFERROR(IF(AL128="","",IF(AN128="Dubai",HLOOKUP((AL128&amp;AM128),Deviation!$B$7:$S$8,2,0)*BF128*BH128*BI128*BG128,HLOOKUP((AL128&amp;AM128),Deviation!$B$9:$O$10,2,0)*BF128*BH128*BI128*BG128)),0)</f>
        <v/>
      </c>
      <c r="AY128" s="66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formula'!$M$3:$O$7,AO128,FALSE)))*AX128+AP128*AQ128+AR128*AS128+AT128*AU128),0)*$AZ$3*BK128*BJ128*IF(AND(Inputs!$C$19&gt;19,Inputs!$C$19&lt;30),(1+$AZ$2),1)*(1+$AZ$1))</f>
        <v/>
      </c>
      <c r="AZ128" s="148" t="str">
        <f t="shared" si="48"/>
        <v/>
      </c>
      <c r="BA128" s="669" t="str">
        <f>IF(F128="","",IF(AE128="Dubai",HLOOKUP(F128,Inputs!$C$26:$M$37,9,0),HLOOKUP(F128,Inputs!$C$45:$M$56,9,0)))</f>
        <v/>
      </c>
      <c r="BB128" s="670" t="str">
        <f>IF(F128="","",IF(AE128="Dubai",HLOOKUP(F128,Inputs!$C$26:$M$37,10,0),HLOOKUP(F128,Inputs!$C$45:$M$56,10,0)))</f>
        <v/>
      </c>
      <c r="BC128" s="670" t="str">
        <f>IF(F128="","",IF(AE128="Dubai",HLOOKUP(F128,Inputs!$C$26:$M$37,11,0),HLOOKUP(F128,Inputs!$C$45:$M$56,11,0)))</f>
        <v/>
      </c>
      <c r="BD128" s="669" t="str">
        <f>IF(F128="","",IF(AE128="Dubai",HLOOKUP(F128,Inputs!$C$26:$M$37,12,0),HLOOKUP(F128,Inputs!$C$45:$M$56,12,0)))</f>
        <v/>
      </c>
      <c r="BE128" s="654"/>
      <c r="BF128" s="669" t="str">
        <f>IFERROR(IF(AL128="","",IF(AN128="Dubai",IF(OR(AL128="Plan1",AL128="Plan2"),VLOOKUP(BA128,Deviation!$B$31:$D$33,2,FALSE),VLOOKUP(BA128,Deviation!$B$31:$D$33,3,FALSE)),IF(OR(AL128="Plan1",AL128="Plan2"),VLOOKUP(BA128,Deviation!$E$31:$AE$33,2,FALSE),VLOOKUP(BA128,Deviation!$E$31:$AE$33,3,FALSE)))),0)</f>
        <v/>
      </c>
      <c r="BG128" s="671" t="str">
        <f>IFERROR(IF(AL128="","",IF(AN128="Dubai",IF(AL128="Plan1",VLOOKUP(BB128,Deviation!$B$39:$C$40,2,FALSE),IF(AL128="Plan2",VLOOKUP(BB128,Deviation!$B$42:$C$43,2,FALSE),IF(AL128="Plan5",VLOOKUP(BB128,Deviation!$B$48:$C$49,2,FALSE),VLOOKUP(BB128,Deviation!$B$45:$C$46,2,FALSE)))),IF(AL128="Plan1",VLOOKUP(BB128,Deviation!$E$39:$F$40,2,FALSE),IF(AL128="Plan2",VLOOKUP(BB128,Deviation!$E$42:$F$43,2,FALSE),VLOOKUP(BB128,Deviation!$E$45:$F$46,2,FALSE))))),0)</f>
        <v/>
      </c>
      <c r="BH128" s="671" t="str">
        <f>IFERROR(IF(AL128="","",IF(AN128="Dubai",IF(OR(AL128="Plan1",AL128="Plan2"),VLOOKUP(BC128,Deviation!$B$15:$D$19,2,FALSE),VLOOKUP(BC128,Deviation!$B$15:$D$19,3,FALSE)),IF(OR(AL128="Plan1",AL128="Plan2"),VLOOKUP(BC128,Deviation!$E$15:$AE$19,2,FALSE),VLOOKUP(BC128,Deviation!$E$15:$AE$19,3,FALSE)))),0)</f>
        <v/>
      </c>
      <c r="BI128" s="669" t="str">
        <f>IFERROR(IF(AL128="","",IF(AN128="Dubai",VLOOKUP(BD128,Deviation!$B$24:$C$26,2,FALSE),100%)),0)</f>
        <v/>
      </c>
      <c r="BJ128" s="672">
        <f>IF(AE128="Abu Dhabi",1,IFERROR(VLOOKUP(AM128,Deviation!$B$67:$E$79,MATCH('Census Data'!AA128,Deviation!$B$66:$E$66,0),0),1))</f>
        <v>1</v>
      </c>
      <c r="BK128" s="659">
        <f>IFERROR(VLOOKUP(I128,Deviation!$B$54:$C$62,2,0),1)</f>
        <v>1</v>
      </c>
      <c r="BL128" s="148"/>
      <c r="BM128" s="148"/>
      <c r="BN128" s="148"/>
      <c r="BO128" s="148"/>
      <c r="BP128" s="148"/>
      <c r="BQ128" s="148"/>
      <c r="BR128" s="148"/>
      <c r="BS128" s="148"/>
      <c r="BT128" s="148" t="e">
        <f t="shared" si="49"/>
        <v>#VALUE!</v>
      </c>
      <c r="BU12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f>
        <v/>
      </c>
    </row>
    <row r="129" spans="1:73" ht="15" x14ac:dyDescent="0.25">
      <c r="A129" s="59">
        <v>124</v>
      </c>
      <c r="B129" s="470"/>
      <c r="C129" s="633"/>
      <c r="D129" s="629"/>
      <c r="E129" s="471"/>
      <c r="F129" s="298"/>
      <c r="G129" s="298"/>
      <c r="H129" s="298"/>
      <c r="I129" s="298"/>
      <c r="J129" s="80" t="str">
        <f>IFERROR(IF(C129="","",DATEDIF('Census Data'!C129,eff_date,"y")),"")</f>
        <v/>
      </c>
      <c r="K129" s="59" t="str">
        <f>IF(F129="","",IF(AE129="Dubai",HLOOKUP(F129,Inputs!$C$26:$M$28,3,0),HLOOKUP(F129,Inputs!$C$45:$M$46,2,0)))</f>
        <v/>
      </c>
      <c r="L129" s="94"/>
      <c r="M129" s="105">
        <f t="shared" si="32"/>
        <v>0</v>
      </c>
      <c r="N129" s="654" t="b">
        <f t="shared" si="61"/>
        <v>0</v>
      </c>
      <c r="O129" s="655" t="str">
        <f t="shared" si="62"/>
        <v>x</v>
      </c>
      <c r="P129" s="655" t="str">
        <f t="shared" si="63"/>
        <v>x</v>
      </c>
      <c r="Q129" s="655" t="str">
        <f t="shared" si="64"/>
        <v>x</v>
      </c>
      <c r="R129" s="655" t="str">
        <f t="shared" si="51"/>
        <v>x</v>
      </c>
      <c r="S129" s="655" t="str">
        <f t="shared" si="65"/>
        <v>x</v>
      </c>
      <c r="T129" s="655" t="str">
        <f>IF(ISERROR(MATCH(G129,'Inputs Mapping'!$T$4:$T$10,0)),"x","")</f>
        <v>x</v>
      </c>
      <c r="U129" s="655" t="str">
        <f>IF(ISERROR(MATCH(AA129,'Inputs Mapping'!$U$4:$U$5,0)),"x","")</f>
        <v>x</v>
      </c>
      <c r="V129" s="655" t="str">
        <f>IF(ISERROR(MATCH(AB129,'Inputs Mapping'!$V$4:$V$5,0)),"x","")</f>
        <v>x</v>
      </c>
      <c r="W129" s="655" t="str">
        <f>IF(ISERROR(MATCH(F129,'Inputs Mapping'!$W$4:$W$8,0)),"x","")</f>
        <v>x</v>
      </c>
      <c r="X129" s="655" t="str">
        <f t="shared" si="66"/>
        <v/>
      </c>
      <c r="Y129" s="655" t="str">
        <f t="shared" si="67"/>
        <v/>
      </c>
      <c r="Z129" s="655" t="str">
        <f t="shared" si="40"/>
        <v/>
      </c>
      <c r="AA129" s="655" t="str">
        <f t="shared" si="41"/>
        <v/>
      </c>
      <c r="AB129" s="655" t="str">
        <f t="shared" si="43"/>
        <v/>
      </c>
      <c r="AC129" s="655" t="str">
        <f t="shared" si="50"/>
        <v>x</v>
      </c>
      <c r="AD129" s="655" t="str">
        <f>IF(ISBLANK(I129),"x",IF(ISNUMBER(MATCH(I129,'Inputs Mapping'!$AF$5:$AF$199,0)),"","x"))</f>
        <v>x</v>
      </c>
      <c r="AE129" s="655" t="str">
        <f t="shared" si="44"/>
        <v/>
      </c>
      <c r="AF129" s="148"/>
      <c r="AG129" s="148"/>
      <c r="AH129" s="148" t="str">
        <f t="shared" si="45"/>
        <v/>
      </c>
      <c r="AI129" s="654" t="str">
        <f>IF(J129="","",VLOOKUP(J129,'Inputs Mapping'!$T$27:$V$31,3))</f>
        <v/>
      </c>
      <c r="AJ129" s="654" t="str">
        <f>IF(J129="","",VLOOKUP(J129,'Inputs Mapping'!$T$17:$V$24,3))</f>
        <v/>
      </c>
      <c r="AK129" s="654" t="str">
        <f t="shared" si="46"/>
        <v/>
      </c>
      <c r="AL129" s="655" t="str">
        <f t="shared" si="60"/>
        <v/>
      </c>
      <c r="AM129" s="655" t="str">
        <f>IF(F129="","",IF(AE129="Dubai",HLOOKUP(F129,Inputs!$C$26:$M$36,5,0),HLOOKUP(F129,Inputs!$C$45:$M$49,5,0)))</f>
        <v/>
      </c>
      <c r="AN129" s="655">
        <f t="shared" si="47"/>
        <v>0</v>
      </c>
      <c r="AO129" s="654" t="str">
        <f>IF(AJ129="","",IF(AN129="Dubai",VLOOKUP(AJ129,'Inputs Mapping'!$V$17:$W$24,2,0),VLOOKUP(AI129,'Inputs Mapping'!$V$27:$W$31,2,0)))</f>
        <v/>
      </c>
      <c r="AP129" s="666">
        <f>IFERROR(IF($AN129="","",HLOOKUP($AN129&amp;RIGHT($AL129,1),'input for formula'!$B$16:$I$20,3,0)),0)</f>
        <v>0</v>
      </c>
      <c r="AQ129" s="656">
        <f>IFERROR(IF($AN129="","",HLOOKUP($AN129&amp;$F129,'input for formula'!$B$22:$M$25,2,0)),0)</f>
        <v>0</v>
      </c>
      <c r="AR129" s="666">
        <f>IFERROR(IF($AN129="","",HLOOKUP($AN129&amp;RIGHT($AL129,1),'input for formula'!$B$16:$I$20,4,0)),0)</f>
        <v>0</v>
      </c>
      <c r="AS129" s="656">
        <f>IFERROR(IF($AN129="","",HLOOKUP($AN129&amp;$F129,'input for formula'!$B$22:$M$25,3,0)),0)</f>
        <v>0</v>
      </c>
      <c r="AT129" s="656">
        <f>IFERROR(IF($AN129="","",HLOOKUP($AN129&amp;RIGHT($AL129,1),'input for formula'!$B$16:$I$20,5,0)),0)</f>
        <v>0</v>
      </c>
      <c r="AU129" s="656">
        <f>IFERROR(IF($AN129="","",HLOOKUP($AN129&amp;$F129,'input for formula'!$B$22:$M$25,4,0)),0)</f>
        <v>0</v>
      </c>
      <c r="AV129" s="666">
        <f>IFERROR(IF($AN129="","",IF('Census Data'!$AN129="Abu Dhabi",VLOOKUP('Census Data'!$AM129,'input for formula'!$A$28:$C$41,3,0),VLOOKUP('Census Data'!$AM129,'input for formula'!$A$28:$C$47,2,0))),0)*IFERROR(1+IF(AN129="Dubai",VLOOKUP(F129,'Quotation for Dubai Plans'!$V$6:$X$12,3,FALSE),VLOOKUP(F129,'Quotation for Abu Dhabi Plans'!$W$6:$Y$12,3,FALSE)),0)</f>
        <v>0</v>
      </c>
      <c r="AW129" s="656" t="str">
        <f t="shared" si="52"/>
        <v/>
      </c>
      <c r="AX129" s="667" t="str">
        <f>IFERROR(IF(AL129="","",IF(AN129="Dubai",HLOOKUP((AL129&amp;AM129),Deviation!$B$7:$S$8,2,0)*BF129*BH129*BI129*BG129,HLOOKUP((AL129&amp;AM129),Deviation!$B$9:$O$10,2,0)*BF129*BH129*BI129*BG129)),0)</f>
        <v/>
      </c>
      <c r="AY129" s="668"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formula'!$M$3:$O$7,AO129,FALSE)))*AX129+AP129*AQ129+AR129*AS129+AT129*AU129),0)*$AZ$3*BK129*BJ129*IF(AND(Inputs!$C$19&gt;19,Inputs!$C$19&lt;30),(1+$AZ$2),1)*(1+$AZ$1))</f>
        <v/>
      </c>
      <c r="AZ129" s="148" t="str">
        <f t="shared" si="48"/>
        <v/>
      </c>
      <c r="BA129" s="669" t="str">
        <f>IF(F129="","",IF(AE129="Dubai",HLOOKUP(F129,Inputs!$C$26:$M$37,9,0),HLOOKUP(F129,Inputs!$C$45:$M$56,9,0)))</f>
        <v/>
      </c>
      <c r="BB129" s="670" t="str">
        <f>IF(F129="","",IF(AE129="Dubai",HLOOKUP(F129,Inputs!$C$26:$M$37,10,0),HLOOKUP(F129,Inputs!$C$45:$M$56,10,0)))</f>
        <v/>
      </c>
      <c r="BC129" s="670" t="str">
        <f>IF(F129="","",IF(AE129="Dubai",HLOOKUP(F129,Inputs!$C$26:$M$37,11,0),HLOOKUP(F129,Inputs!$C$45:$M$56,11,0)))</f>
        <v/>
      </c>
      <c r="BD129" s="669" t="str">
        <f>IF(F129="","",IF(AE129="Dubai",HLOOKUP(F129,Inputs!$C$26:$M$37,12,0),HLOOKUP(F129,Inputs!$C$45:$M$56,12,0)))</f>
        <v/>
      </c>
      <c r="BE129" s="654"/>
      <c r="BF129" s="669" t="str">
        <f>IFERROR(IF(AL129="","",IF(AN129="Dubai",IF(OR(AL129="Plan1",AL129="Plan2"),VLOOKUP(BA129,Deviation!$B$31:$D$33,2,FALSE),VLOOKUP(BA129,Deviation!$B$31:$D$33,3,FALSE)),IF(OR(AL129="Plan1",AL129="Plan2"),VLOOKUP(BA129,Deviation!$E$31:$AE$33,2,FALSE),VLOOKUP(BA129,Deviation!$E$31:$AE$33,3,FALSE)))),0)</f>
        <v/>
      </c>
      <c r="BG129" s="671" t="str">
        <f>IFERROR(IF(AL129="","",IF(AN129="Dubai",IF(AL129="Plan1",VLOOKUP(BB129,Deviation!$B$39:$C$40,2,FALSE),IF(AL129="Plan2",VLOOKUP(BB129,Deviation!$B$42:$C$43,2,FALSE),IF(AL129="Plan5",VLOOKUP(BB129,Deviation!$B$48:$C$49,2,FALSE),VLOOKUP(BB129,Deviation!$B$45:$C$46,2,FALSE)))),IF(AL129="Plan1",VLOOKUP(BB129,Deviation!$E$39:$F$40,2,FALSE),IF(AL129="Plan2",VLOOKUP(BB129,Deviation!$E$42:$F$43,2,FALSE),VLOOKUP(BB129,Deviation!$E$45:$F$46,2,FALSE))))),0)</f>
        <v/>
      </c>
      <c r="BH129" s="671" t="str">
        <f>IFERROR(IF(AL129="","",IF(AN129="Dubai",IF(OR(AL129="Plan1",AL129="Plan2"),VLOOKUP(BC129,Deviation!$B$15:$D$19,2,FALSE),VLOOKUP(BC129,Deviation!$B$15:$D$19,3,FALSE)),IF(OR(AL129="Plan1",AL129="Plan2"),VLOOKUP(BC129,Deviation!$E$15:$AE$19,2,FALSE),VLOOKUP(BC129,Deviation!$E$15:$AE$19,3,FALSE)))),0)</f>
        <v/>
      </c>
      <c r="BI129" s="669" t="str">
        <f>IFERROR(IF(AL129="","",IF(AN129="Dubai",VLOOKUP(BD129,Deviation!$B$24:$C$26,2,FALSE),100%)),0)</f>
        <v/>
      </c>
      <c r="BJ129" s="672">
        <f>IF(AE129="Abu Dhabi",1,IFERROR(VLOOKUP(AM129,Deviation!$B$67:$E$79,MATCH('Census Data'!AA129,Deviation!$B$66:$E$66,0),0),1))</f>
        <v>1</v>
      </c>
      <c r="BK129" s="659">
        <f>IFERROR(VLOOKUP(I129,Deviation!$B$54:$C$62,2,0),1)</f>
        <v>1</v>
      </c>
      <c r="BL129" s="148"/>
      <c r="BM129" s="148"/>
      <c r="BN129" s="148"/>
      <c r="BO129" s="148"/>
      <c r="BP129" s="148"/>
      <c r="BQ129" s="148"/>
      <c r="BR129" s="148"/>
      <c r="BS129" s="148"/>
      <c r="BT129" s="148" t="e">
        <f t="shared" si="49"/>
        <v>#VALUE!</v>
      </c>
      <c r="BU129"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f>
        <v/>
      </c>
    </row>
    <row r="130" spans="1:73" ht="15" x14ac:dyDescent="0.25">
      <c r="A130" s="59">
        <v>125</v>
      </c>
      <c r="B130" s="470"/>
      <c r="C130" s="630"/>
      <c r="D130" s="621"/>
      <c r="E130" s="632"/>
      <c r="F130" s="298"/>
      <c r="G130" s="298"/>
      <c r="H130" s="298"/>
      <c r="I130" s="298"/>
      <c r="J130" s="80" t="str">
        <f>IFERROR(IF(C130="","",DATEDIF('Census Data'!C130,eff_date,"y")),"")</f>
        <v/>
      </c>
      <c r="K130" s="59" t="str">
        <f>IF(F130="","",IF(AE130="Dubai",HLOOKUP(F130,Inputs!$C$26:$M$28,3,0),HLOOKUP(F130,Inputs!$C$45:$M$46,2,0)))</f>
        <v/>
      </c>
      <c r="L130" s="94"/>
      <c r="M130" s="105">
        <f t="shared" si="32"/>
        <v>0</v>
      </c>
      <c r="N130" s="654" t="b">
        <f t="shared" si="61"/>
        <v>0</v>
      </c>
      <c r="O130" s="655" t="str">
        <f t="shared" si="62"/>
        <v>x</v>
      </c>
      <c r="P130" s="655" t="str">
        <f t="shared" si="63"/>
        <v>x</v>
      </c>
      <c r="Q130" s="655" t="str">
        <f t="shared" si="64"/>
        <v>x</v>
      </c>
      <c r="R130" s="655" t="str">
        <f t="shared" si="51"/>
        <v>x</v>
      </c>
      <c r="S130" s="655" t="str">
        <f t="shared" si="65"/>
        <v>x</v>
      </c>
      <c r="T130" s="655" t="str">
        <f>IF(ISERROR(MATCH(G130,'Inputs Mapping'!$T$4:$T$10,0)),"x","")</f>
        <v>x</v>
      </c>
      <c r="U130" s="655" t="str">
        <f>IF(ISERROR(MATCH(AA130,'Inputs Mapping'!$U$4:$U$5,0)),"x","")</f>
        <v>x</v>
      </c>
      <c r="V130" s="655" t="str">
        <f>IF(ISERROR(MATCH(AB130,'Inputs Mapping'!$V$4:$V$5,0)),"x","")</f>
        <v>x</v>
      </c>
      <c r="W130" s="655" t="str">
        <f>IF(ISERROR(MATCH(F130,'Inputs Mapping'!$W$4:$W$8,0)),"x","")</f>
        <v>x</v>
      </c>
      <c r="X130" s="655" t="str">
        <f t="shared" si="66"/>
        <v/>
      </c>
      <c r="Y130" s="655" t="str">
        <f t="shared" si="67"/>
        <v/>
      </c>
      <c r="Z130" s="655" t="str">
        <f t="shared" si="40"/>
        <v/>
      </c>
      <c r="AA130" s="655" t="str">
        <f t="shared" si="41"/>
        <v/>
      </c>
      <c r="AB130" s="655" t="str">
        <f t="shared" si="43"/>
        <v/>
      </c>
      <c r="AC130" s="655" t="str">
        <f t="shared" si="50"/>
        <v>x</v>
      </c>
      <c r="AD130" s="655" t="str">
        <f>IF(ISBLANK(I130),"x",IF(ISNUMBER(MATCH(I130,'Inputs Mapping'!$AF$5:$AF$199,0)),"","x"))</f>
        <v>x</v>
      </c>
      <c r="AE130" s="655" t="str">
        <f t="shared" si="44"/>
        <v/>
      </c>
      <c r="AF130" s="148"/>
      <c r="AG130" s="148"/>
      <c r="AH130" s="148" t="str">
        <f t="shared" si="45"/>
        <v/>
      </c>
      <c r="AI130" s="654" t="str">
        <f>IF(J130="","",VLOOKUP(J130,'Inputs Mapping'!$T$27:$V$31,3))</f>
        <v/>
      </c>
      <c r="AJ130" s="654" t="str">
        <f>IF(J130="","",VLOOKUP(J130,'Inputs Mapping'!$T$17:$V$24,3))</f>
        <v/>
      </c>
      <c r="AK130" s="654" t="str">
        <f t="shared" si="46"/>
        <v/>
      </c>
      <c r="AL130" s="655" t="str">
        <f t="shared" si="60"/>
        <v/>
      </c>
      <c r="AM130" s="655" t="str">
        <f>IF(F130="","",IF(AE130="Dubai",HLOOKUP(F130,Inputs!$C$26:$M$36,5,0),HLOOKUP(F130,Inputs!$C$45:$M$49,5,0)))</f>
        <v/>
      </c>
      <c r="AN130" s="655">
        <f t="shared" si="47"/>
        <v>0</v>
      </c>
      <c r="AO130" s="654" t="str">
        <f>IF(AJ130="","",IF(AN130="Dubai",VLOOKUP(AJ130,'Inputs Mapping'!$V$17:$W$24,2,0),VLOOKUP(AI130,'Inputs Mapping'!$V$27:$W$31,2,0)))</f>
        <v/>
      </c>
      <c r="AP130" s="666">
        <f>IFERROR(IF($AN130="","",HLOOKUP($AN130&amp;RIGHT($AL130,1),'input for formula'!$B$16:$I$20,3,0)),0)</f>
        <v>0</v>
      </c>
      <c r="AQ130" s="656">
        <f>IFERROR(IF($AN130="","",HLOOKUP($AN130&amp;$F130,'input for formula'!$B$22:$M$25,2,0)),0)</f>
        <v>0</v>
      </c>
      <c r="AR130" s="666">
        <f>IFERROR(IF($AN130="","",HLOOKUP($AN130&amp;RIGHT($AL130,1),'input for formula'!$B$16:$I$20,4,0)),0)</f>
        <v>0</v>
      </c>
      <c r="AS130" s="656">
        <f>IFERROR(IF($AN130="","",HLOOKUP($AN130&amp;$F130,'input for formula'!$B$22:$M$25,3,0)),0)</f>
        <v>0</v>
      </c>
      <c r="AT130" s="656">
        <f>IFERROR(IF($AN130="","",HLOOKUP($AN130&amp;RIGHT($AL130,1),'input for formula'!$B$16:$I$20,5,0)),0)</f>
        <v>0</v>
      </c>
      <c r="AU130" s="656">
        <f>IFERROR(IF($AN130="","",HLOOKUP($AN130&amp;$F130,'input for formula'!$B$22:$M$25,4,0)),0)</f>
        <v>0</v>
      </c>
      <c r="AV130" s="666">
        <f>IFERROR(IF($AN130="","",IF('Census Data'!$AN130="Abu Dhabi",VLOOKUP('Census Data'!$AM130,'input for formula'!$A$28:$C$41,3,0),VLOOKUP('Census Data'!$AM130,'input for formula'!$A$28:$C$47,2,0))),0)*IFERROR(1+IF(AN130="Dubai",VLOOKUP(F130,'Quotation for Dubai Plans'!$V$6:$X$12,3,FALSE),VLOOKUP(F130,'Quotation for Abu Dhabi Plans'!$W$6:$Y$12,3,FALSE)),0)</f>
        <v>0</v>
      </c>
      <c r="AW130" s="656" t="str">
        <f t="shared" si="52"/>
        <v/>
      </c>
      <c r="AX130" s="667" t="str">
        <f>IFERROR(IF(AL130="","",IF(AN130="Dubai",HLOOKUP((AL130&amp;AM130),Deviation!$B$7:$S$8,2,0)*BF130*BH130*BI130*BG130,HLOOKUP((AL130&amp;AM130),Deviation!$B$9:$O$10,2,0)*BF130*BH130*BI130*BG130)),0)</f>
        <v/>
      </c>
      <c r="AY130" s="668"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formula'!$M$3:$O$7,AO130,FALSE)))*AX130+AP130*AQ130+AR130*AS130+AT130*AU130),0)*$AZ$3*BK130*BJ130*IF(AND(Inputs!$C$19&gt;19,Inputs!$C$19&lt;30),(1+$AZ$2),1)*(1+$AZ$1))</f>
        <v/>
      </c>
      <c r="AZ130" s="148" t="str">
        <f t="shared" si="48"/>
        <v/>
      </c>
      <c r="BA130" s="669" t="str">
        <f>IF(F130="","",IF(AE130="Dubai",HLOOKUP(F130,Inputs!$C$26:$M$37,9,0),HLOOKUP(F130,Inputs!$C$45:$M$56,9,0)))</f>
        <v/>
      </c>
      <c r="BB130" s="670" t="str">
        <f>IF(F130="","",IF(AE130="Dubai",HLOOKUP(F130,Inputs!$C$26:$M$37,10,0),HLOOKUP(F130,Inputs!$C$45:$M$56,10,0)))</f>
        <v/>
      </c>
      <c r="BC130" s="670" t="str">
        <f>IF(F130="","",IF(AE130="Dubai",HLOOKUP(F130,Inputs!$C$26:$M$37,11,0),HLOOKUP(F130,Inputs!$C$45:$M$56,11,0)))</f>
        <v/>
      </c>
      <c r="BD130" s="669" t="str">
        <f>IF(F130="","",IF(AE130="Dubai",HLOOKUP(F130,Inputs!$C$26:$M$37,12,0),HLOOKUP(F130,Inputs!$C$45:$M$56,12,0)))</f>
        <v/>
      </c>
      <c r="BE130" s="654"/>
      <c r="BF130" s="669" t="str">
        <f>IFERROR(IF(AL130="","",IF(AN130="Dubai",IF(OR(AL130="Plan1",AL130="Plan2"),VLOOKUP(BA130,Deviation!$B$31:$D$33,2,FALSE),VLOOKUP(BA130,Deviation!$B$31:$D$33,3,FALSE)),IF(OR(AL130="Plan1",AL130="Plan2"),VLOOKUP(BA130,Deviation!$E$31:$AE$33,2,FALSE),VLOOKUP(BA130,Deviation!$E$31:$AE$33,3,FALSE)))),0)</f>
        <v/>
      </c>
      <c r="BG130" s="671" t="str">
        <f>IFERROR(IF(AL130="","",IF(AN130="Dubai",IF(AL130="Plan1",VLOOKUP(BB130,Deviation!$B$39:$C$40,2,FALSE),IF(AL130="Plan2",VLOOKUP(BB130,Deviation!$B$42:$C$43,2,FALSE),IF(AL130="Plan5",VLOOKUP(BB130,Deviation!$B$48:$C$49,2,FALSE),VLOOKUP(BB130,Deviation!$B$45:$C$46,2,FALSE)))),IF(AL130="Plan1",VLOOKUP(BB130,Deviation!$E$39:$F$40,2,FALSE),IF(AL130="Plan2",VLOOKUP(BB130,Deviation!$E$42:$F$43,2,FALSE),VLOOKUP(BB130,Deviation!$E$45:$F$46,2,FALSE))))),0)</f>
        <v/>
      </c>
      <c r="BH130" s="671" t="str">
        <f>IFERROR(IF(AL130="","",IF(AN130="Dubai",IF(OR(AL130="Plan1",AL130="Plan2"),VLOOKUP(BC130,Deviation!$B$15:$D$19,2,FALSE),VLOOKUP(BC130,Deviation!$B$15:$D$19,3,FALSE)),IF(OR(AL130="Plan1",AL130="Plan2"),VLOOKUP(BC130,Deviation!$E$15:$AE$19,2,FALSE),VLOOKUP(BC130,Deviation!$E$15:$AE$19,3,FALSE)))),0)</f>
        <v/>
      </c>
      <c r="BI130" s="669" t="str">
        <f>IFERROR(IF(AL130="","",IF(AN130="Dubai",VLOOKUP(BD130,Deviation!$B$24:$C$26,2,FALSE),100%)),0)</f>
        <v/>
      </c>
      <c r="BJ130" s="672">
        <f>IF(AE130="Abu Dhabi",1,IFERROR(VLOOKUP(AM130,Deviation!$B$67:$E$79,MATCH('Census Data'!AA130,Deviation!$B$66:$E$66,0),0),1))</f>
        <v>1</v>
      </c>
      <c r="BK130" s="659">
        <f>IFERROR(VLOOKUP(I130,Deviation!$B$54:$C$62,2,0),1)</f>
        <v>1</v>
      </c>
      <c r="BL130" s="148"/>
      <c r="BM130" s="148"/>
      <c r="BN130" s="148"/>
      <c r="BO130" s="148"/>
      <c r="BP130" s="148"/>
      <c r="BQ130" s="148"/>
      <c r="BR130" s="148"/>
      <c r="BS130" s="148"/>
      <c r="BT130" s="148" t="e">
        <f t="shared" si="49"/>
        <v>#VALUE!</v>
      </c>
      <c r="BU130"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f>
        <v/>
      </c>
    </row>
    <row r="131" spans="1:73" ht="15" x14ac:dyDescent="0.25">
      <c r="A131" s="59">
        <v>126</v>
      </c>
      <c r="B131" s="470"/>
      <c r="C131" s="630"/>
      <c r="D131" s="621"/>
      <c r="E131" s="631"/>
      <c r="F131" s="298"/>
      <c r="G131" s="298"/>
      <c r="H131" s="298"/>
      <c r="I131" s="298"/>
      <c r="J131" s="80" t="str">
        <f>IFERROR(IF(C131="","",DATEDIF('Census Data'!C131,eff_date,"y")),"")</f>
        <v/>
      </c>
      <c r="K131" s="59" t="str">
        <f>IF(F131="","",IF(AE131="Dubai",HLOOKUP(F131,Inputs!$C$26:$M$28,3,0),HLOOKUP(F131,Inputs!$C$45:$M$46,2,0)))</f>
        <v/>
      </c>
      <c r="L131" s="94"/>
      <c r="M131" s="105">
        <f t="shared" si="32"/>
        <v>0</v>
      </c>
      <c r="N131" s="654" t="b">
        <f t="shared" si="61"/>
        <v>0</v>
      </c>
      <c r="O131" s="655" t="str">
        <f t="shared" si="62"/>
        <v>x</v>
      </c>
      <c r="P131" s="655" t="str">
        <f t="shared" si="63"/>
        <v>x</v>
      </c>
      <c r="Q131" s="655" t="str">
        <f t="shared" si="64"/>
        <v>x</v>
      </c>
      <c r="R131" s="655" t="str">
        <f t="shared" si="51"/>
        <v>x</v>
      </c>
      <c r="S131" s="655" t="str">
        <f t="shared" si="65"/>
        <v>x</v>
      </c>
      <c r="T131" s="655" t="str">
        <f>IF(ISERROR(MATCH(G131,'Inputs Mapping'!$T$4:$T$10,0)),"x","")</f>
        <v>x</v>
      </c>
      <c r="U131" s="655" t="str">
        <f>IF(ISERROR(MATCH(AA131,'Inputs Mapping'!$U$4:$U$5,0)),"x","")</f>
        <v>x</v>
      </c>
      <c r="V131" s="655" t="str">
        <f>IF(ISERROR(MATCH(AB131,'Inputs Mapping'!$V$4:$V$5,0)),"x","")</f>
        <v>x</v>
      </c>
      <c r="W131" s="655" t="str">
        <f>IF(ISERROR(MATCH(F131,'Inputs Mapping'!$W$4:$W$8,0)),"x","")</f>
        <v>x</v>
      </c>
      <c r="X131" s="655" t="str">
        <f t="shared" si="66"/>
        <v/>
      </c>
      <c r="Y131" s="655" t="str">
        <f t="shared" si="67"/>
        <v/>
      </c>
      <c r="Z131" s="655" t="str">
        <f t="shared" si="40"/>
        <v/>
      </c>
      <c r="AA131" s="655" t="str">
        <f t="shared" si="41"/>
        <v/>
      </c>
      <c r="AB131" s="655" t="str">
        <f t="shared" si="43"/>
        <v/>
      </c>
      <c r="AC131" s="655" t="str">
        <f t="shared" si="50"/>
        <v>x</v>
      </c>
      <c r="AD131" s="655" t="str">
        <f>IF(ISBLANK(I131),"x",IF(ISNUMBER(MATCH(I131,'Inputs Mapping'!$AF$5:$AF$199,0)),"","x"))</f>
        <v>x</v>
      </c>
      <c r="AE131" s="655" t="str">
        <f t="shared" si="44"/>
        <v/>
      </c>
      <c r="AF131" s="148"/>
      <c r="AG131" s="148"/>
      <c r="AH131" s="148" t="str">
        <f t="shared" si="45"/>
        <v/>
      </c>
      <c r="AI131" s="654" t="str">
        <f>IF(J131="","",VLOOKUP(J131,'Inputs Mapping'!$T$27:$V$31,3))</f>
        <v/>
      </c>
      <c r="AJ131" s="654" t="str">
        <f>IF(J131="","",VLOOKUP(J131,'Inputs Mapping'!$T$17:$V$24,3))</f>
        <v/>
      </c>
      <c r="AK131" s="654" t="str">
        <f t="shared" si="46"/>
        <v/>
      </c>
      <c r="AL131" s="655" t="str">
        <f t="shared" si="60"/>
        <v/>
      </c>
      <c r="AM131" s="655" t="str">
        <f>IF(F131="","",IF(AE131="Dubai",HLOOKUP(F131,Inputs!$C$26:$M$36,5,0),HLOOKUP(F131,Inputs!$C$45:$M$49,5,0)))</f>
        <v/>
      </c>
      <c r="AN131" s="655">
        <f t="shared" si="47"/>
        <v>0</v>
      </c>
      <c r="AO131" s="654" t="str">
        <f>IF(AJ131="","",IF(AN131="Dubai",VLOOKUP(AJ131,'Inputs Mapping'!$V$17:$W$24,2,0),VLOOKUP(AI131,'Inputs Mapping'!$V$27:$W$31,2,0)))</f>
        <v/>
      </c>
      <c r="AP131" s="666">
        <f>IFERROR(IF($AN131="","",HLOOKUP($AN131&amp;RIGHT($AL131,1),'input for formula'!$B$16:$I$20,3,0)),0)</f>
        <v>0</v>
      </c>
      <c r="AQ131" s="656">
        <f>IFERROR(IF($AN131="","",HLOOKUP($AN131&amp;$F131,'input for formula'!$B$22:$M$25,2,0)),0)</f>
        <v>0</v>
      </c>
      <c r="AR131" s="666">
        <f>IFERROR(IF($AN131="","",HLOOKUP($AN131&amp;RIGHT($AL131,1),'input for formula'!$B$16:$I$20,4,0)),0)</f>
        <v>0</v>
      </c>
      <c r="AS131" s="656">
        <f>IFERROR(IF($AN131="","",HLOOKUP($AN131&amp;$F131,'input for formula'!$B$22:$M$25,3,0)),0)</f>
        <v>0</v>
      </c>
      <c r="AT131" s="656">
        <f>IFERROR(IF($AN131="","",HLOOKUP($AN131&amp;RIGHT($AL131,1),'input for formula'!$B$16:$I$20,5,0)),0)</f>
        <v>0</v>
      </c>
      <c r="AU131" s="656">
        <f>IFERROR(IF($AN131="","",HLOOKUP($AN131&amp;$F131,'input for formula'!$B$22:$M$25,4,0)),0)</f>
        <v>0</v>
      </c>
      <c r="AV131" s="666">
        <f>IFERROR(IF($AN131="","",IF('Census Data'!$AN131="Abu Dhabi",VLOOKUP('Census Data'!$AM131,'input for formula'!$A$28:$C$41,3,0),VLOOKUP('Census Data'!$AM131,'input for formula'!$A$28:$C$47,2,0))),0)*IFERROR(1+IF(AN131="Dubai",VLOOKUP(F131,'Quotation for Dubai Plans'!$V$6:$X$12,3,FALSE),VLOOKUP(F131,'Quotation for Abu Dhabi Plans'!$W$6:$Y$12,3,FALSE)),0)</f>
        <v>0</v>
      </c>
      <c r="AW131" s="656" t="str">
        <f t="shared" si="52"/>
        <v/>
      </c>
      <c r="AX131" s="667" t="str">
        <f>IFERROR(IF(AL131="","",IF(AN131="Dubai",HLOOKUP((AL131&amp;AM131),Deviation!$B$7:$S$8,2,0)*BF131*BH131*BI131*BG131,HLOOKUP((AL131&amp;AM131),Deviation!$B$9:$O$10,2,0)*BF131*BH131*BI131*BG131)),0)</f>
        <v/>
      </c>
      <c r="AY131" s="668"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formula'!$M$3:$O$7,AO131,FALSE)))*AX131+AP131*AQ131+AR131*AS131+AT131*AU131),0)*$AZ$3*BK131*BJ131*IF(AND(Inputs!$C$19&gt;19,Inputs!$C$19&lt;30),(1+$AZ$2),1)*(1+$AZ$1))</f>
        <v/>
      </c>
      <c r="AZ131" s="148" t="str">
        <f t="shared" si="48"/>
        <v/>
      </c>
      <c r="BA131" s="669" t="str">
        <f>IF(F131="","",IF(AE131="Dubai",HLOOKUP(F131,Inputs!$C$26:$M$37,9,0),HLOOKUP(F131,Inputs!$C$45:$M$56,9,0)))</f>
        <v/>
      </c>
      <c r="BB131" s="670" t="str">
        <f>IF(F131="","",IF(AE131="Dubai",HLOOKUP(F131,Inputs!$C$26:$M$37,10,0),HLOOKUP(F131,Inputs!$C$45:$M$56,10,0)))</f>
        <v/>
      </c>
      <c r="BC131" s="670" t="str">
        <f>IF(F131="","",IF(AE131="Dubai",HLOOKUP(F131,Inputs!$C$26:$M$37,11,0),HLOOKUP(F131,Inputs!$C$45:$M$56,11,0)))</f>
        <v/>
      </c>
      <c r="BD131" s="669" t="str">
        <f>IF(F131="","",IF(AE131="Dubai",HLOOKUP(F131,Inputs!$C$26:$M$37,12,0),HLOOKUP(F131,Inputs!$C$45:$M$56,12,0)))</f>
        <v/>
      </c>
      <c r="BE131" s="654"/>
      <c r="BF131" s="669" t="str">
        <f>IFERROR(IF(AL131="","",IF(AN131="Dubai",IF(OR(AL131="Plan1",AL131="Plan2"),VLOOKUP(BA131,Deviation!$B$31:$D$33,2,FALSE),VLOOKUP(BA131,Deviation!$B$31:$D$33,3,FALSE)),IF(OR(AL131="Plan1",AL131="Plan2"),VLOOKUP(BA131,Deviation!$E$31:$AE$33,2,FALSE),VLOOKUP(BA131,Deviation!$E$31:$AE$33,3,FALSE)))),0)</f>
        <v/>
      </c>
      <c r="BG131" s="671" t="str">
        <f>IFERROR(IF(AL131="","",IF(AN131="Dubai",IF(AL131="Plan1",VLOOKUP(BB131,Deviation!$B$39:$C$40,2,FALSE),IF(AL131="Plan2",VLOOKUP(BB131,Deviation!$B$42:$C$43,2,FALSE),IF(AL131="Plan5",VLOOKUP(BB131,Deviation!$B$48:$C$49,2,FALSE),VLOOKUP(BB131,Deviation!$B$45:$C$46,2,FALSE)))),IF(AL131="Plan1",VLOOKUP(BB131,Deviation!$E$39:$F$40,2,FALSE),IF(AL131="Plan2",VLOOKUP(BB131,Deviation!$E$42:$F$43,2,FALSE),VLOOKUP(BB131,Deviation!$E$45:$F$46,2,FALSE))))),0)</f>
        <v/>
      </c>
      <c r="BH131" s="671" t="str">
        <f>IFERROR(IF(AL131="","",IF(AN131="Dubai",IF(OR(AL131="Plan1",AL131="Plan2"),VLOOKUP(BC131,Deviation!$B$15:$D$19,2,FALSE),VLOOKUP(BC131,Deviation!$B$15:$D$19,3,FALSE)),IF(OR(AL131="Plan1",AL131="Plan2"),VLOOKUP(BC131,Deviation!$E$15:$AE$19,2,FALSE),VLOOKUP(BC131,Deviation!$E$15:$AE$19,3,FALSE)))),0)</f>
        <v/>
      </c>
      <c r="BI131" s="669" t="str">
        <f>IFERROR(IF(AL131="","",IF(AN131="Dubai",VLOOKUP(BD131,Deviation!$B$24:$C$26,2,FALSE),100%)),0)</f>
        <v/>
      </c>
      <c r="BJ131" s="672">
        <f>IF(AE131="Abu Dhabi",1,IFERROR(VLOOKUP(AM131,Deviation!$B$67:$E$79,MATCH('Census Data'!AA131,Deviation!$B$66:$E$66,0),0),1))</f>
        <v>1</v>
      </c>
      <c r="BK131" s="659">
        <f>IFERROR(VLOOKUP(I131,Deviation!$B$54:$C$62,2,0),1)</f>
        <v>1</v>
      </c>
      <c r="BL131" s="148"/>
      <c r="BM131" s="148"/>
      <c r="BN131" s="148"/>
      <c r="BO131" s="148"/>
      <c r="BP131" s="148"/>
      <c r="BQ131" s="148"/>
      <c r="BR131" s="148"/>
      <c r="BS131" s="148"/>
      <c r="BT131" s="148" t="e">
        <f t="shared" si="49"/>
        <v>#VALUE!</v>
      </c>
      <c r="BU131"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f>
        <v/>
      </c>
    </row>
    <row r="132" spans="1:73" ht="15" x14ac:dyDescent="0.25">
      <c r="A132" s="59">
        <v>127</v>
      </c>
      <c r="B132" s="470"/>
      <c r="C132" s="630"/>
      <c r="D132" s="621"/>
      <c r="E132" s="632"/>
      <c r="F132" s="298"/>
      <c r="G132" s="298"/>
      <c r="H132" s="298"/>
      <c r="I132" s="298"/>
      <c r="J132" s="80" t="str">
        <f>IFERROR(IF(C132="","",DATEDIF('Census Data'!C132,eff_date,"y")),"")</f>
        <v/>
      </c>
      <c r="K132" s="59" t="str">
        <f>IF(F132="","",IF(AE132="Dubai",HLOOKUP(F132,Inputs!$C$26:$M$28,3,0),HLOOKUP(F132,Inputs!$C$45:$M$46,2,0)))</f>
        <v/>
      </c>
      <c r="L132" s="94"/>
      <c r="M132" s="105">
        <f t="shared" si="32"/>
        <v>0</v>
      </c>
      <c r="N132" s="654" t="b">
        <f t="shared" si="61"/>
        <v>0</v>
      </c>
      <c r="O132" s="655" t="str">
        <f t="shared" si="62"/>
        <v>x</v>
      </c>
      <c r="P132" s="655" t="str">
        <f t="shared" si="63"/>
        <v>x</v>
      </c>
      <c r="Q132" s="655" t="str">
        <f t="shared" si="64"/>
        <v>x</v>
      </c>
      <c r="R132" s="655" t="str">
        <f t="shared" si="51"/>
        <v>x</v>
      </c>
      <c r="S132" s="655" t="str">
        <f t="shared" si="65"/>
        <v>x</v>
      </c>
      <c r="T132" s="655" t="str">
        <f>IF(ISERROR(MATCH(G132,'Inputs Mapping'!$T$4:$T$10,0)),"x","")</f>
        <v>x</v>
      </c>
      <c r="U132" s="655" t="str">
        <f>IF(ISERROR(MATCH(AA132,'Inputs Mapping'!$U$4:$U$5,0)),"x","")</f>
        <v>x</v>
      </c>
      <c r="V132" s="655" t="str">
        <f>IF(ISERROR(MATCH(AB132,'Inputs Mapping'!$V$4:$V$5,0)),"x","")</f>
        <v>x</v>
      </c>
      <c r="W132" s="655" t="str">
        <f>IF(ISERROR(MATCH(F132,'Inputs Mapping'!$W$4:$W$8,0)),"x","")</f>
        <v>x</v>
      </c>
      <c r="X132" s="655" t="str">
        <f t="shared" si="66"/>
        <v/>
      </c>
      <c r="Y132" s="655" t="str">
        <f t="shared" si="67"/>
        <v/>
      </c>
      <c r="Z132" s="655" t="str">
        <f t="shared" si="40"/>
        <v/>
      </c>
      <c r="AA132" s="655" t="str">
        <f t="shared" si="41"/>
        <v/>
      </c>
      <c r="AB132" s="655" t="str">
        <f t="shared" si="43"/>
        <v/>
      </c>
      <c r="AC132" s="655" t="str">
        <f t="shared" si="50"/>
        <v>x</v>
      </c>
      <c r="AD132" s="655" t="str">
        <f>IF(ISBLANK(I132),"x",IF(ISNUMBER(MATCH(I132,'Inputs Mapping'!$AF$5:$AF$199,0)),"","x"))</f>
        <v>x</v>
      </c>
      <c r="AE132" s="655" t="str">
        <f t="shared" si="44"/>
        <v/>
      </c>
      <c r="AF132" s="148"/>
      <c r="AG132" s="148"/>
      <c r="AH132" s="148" t="str">
        <f t="shared" si="45"/>
        <v/>
      </c>
      <c r="AI132" s="654" t="str">
        <f>IF(J132="","",VLOOKUP(J132,'Inputs Mapping'!$T$27:$V$31,3))</f>
        <v/>
      </c>
      <c r="AJ132" s="654" t="str">
        <f>IF(J132="","",VLOOKUP(J132,'Inputs Mapping'!$T$17:$V$24,3))</f>
        <v/>
      </c>
      <c r="AK132" s="654" t="str">
        <f t="shared" si="46"/>
        <v/>
      </c>
      <c r="AL132" s="655" t="str">
        <f t="shared" si="60"/>
        <v/>
      </c>
      <c r="AM132" s="655" t="str">
        <f>IF(F132="","",IF(AE132="Dubai",HLOOKUP(F132,Inputs!$C$26:$M$36,5,0),HLOOKUP(F132,Inputs!$C$45:$M$49,5,0)))</f>
        <v/>
      </c>
      <c r="AN132" s="655">
        <f t="shared" si="47"/>
        <v>0</v>
      </c>
      <c r="AO132" s="654" t="str">
        <f>IF(AJ132="","",IF(AN132="Dubai",VLOOKUP(AJ132,'Inputs Mapping'!$V$17:$W$24,2,0),VLOOKUP(AI132,'Inputs Mapping'!$V$27:$W$31,2,0)))</f>
        <v/>
      </c>
      <c r="AP132" s="666">
        <f>IFERROR(IF($AN132="","",HLOOKUP($AN132&amp;RIGHT($AL132,1),'input for formula'!$B$16:$I$20,3,0)),0)</f>
        <v>0</v>
      </c>
      <c r="AQ132" s="656">
        <f>IFERROR(IF($AN132="","",HLOOKUP($AN132&amp;$F132,'input for formula'!$B$22:$M$25,2,0)),0)</f>
        <v>0</v>
      </c>
      <c r="AR132" s="666">
        <f>IFERROR(IF($AN132="","",HLOOKUP($AN132&amp;RIGHT($AL132,1),'input for formula'!$B$16:$I$20,4,0)),0)</f>
        <v>0</v>
      </c>
      <c r="AS132" s="656">
        <f>IFERROR(IF($AN132="","",HLOOKUP($AN132&amp;$F132,'input for formula'!$B$22:$M$25,3,0)),0)</f>
        <v>0</v>
      </c>
      <c r="AT132" s="656">
        <f>IFERROR(IF($AN132="","",HLOOKUP($AN132&amp;RIGHT($AL132,1),'input for formula'!$B$16:$I$20,5,0)),0)</f>
        <v>0</v>
      </c>
      <c r="AU132" s="656">
        <f>IFERROR(IF($AN132="","",HLOOKUP($AN132&amp;$F132,'input for formula'!$B$22:$M$25,4,0)),0)</f>
        <v>0</v>
      </c>
      <c r="AV132" s="666">
        <f>IFERROR(IF($AN132="","",IF('Census Data'!$AN132="Abu Dhabi",VLOOKUP('Census Data'!$AM132,'input for formula'!$A$28:$C$41,3,0),VLOOKUP('Census Data'!$AM132,'input for formula'!$A$28:$C$47,2,0))),0)*IFERROR(1+IF(AN132="Dubai",VLOOKUP(F132,'Quotation for Dubai Plans'!$V$6:$X$12,3,FALSE),VLOOKUP(F132,'Quotation for Abu Dhabi Plans'!$W$6:$Y$12,3,FALSE)),0)</f>
        <v>0</v>
      </c>
      <c r="AW132" s="656" t="str">
        <f t="shared" si="52"/>
        <v/>
      </c>
      <c r="AX132" s="667" t="str">
        <f>IFERROR(IF(AL132="","",IF(AN132="Dubai",HLOOKUP((AL132&amp;AM132),Deviation!$B$7:$S$8,2,0)*BF132*BH132*BI132*BG132,HLOOKUP((AL132&amp;AM132),Deviation!$B$9:$O$10,2,0)*BF132*BH132*BI132*BG132)),0)</f>
        <v/>
      </c>
      <c r="AY132" s="668"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formula'!$M$3:$O$7,AO132,FALSE)))*AX132+AP132*AQ132+AR132*AS132+AT132*AU132),0)*$AZ$3*BK132*BJ132*IF(AND(Inputs!$C$19&gt;19,Inputs!$C$19&lt;30),(1+$AZ$2),1)*(1+$AZ$1))</f>
        <v/>
      </c>
      <c r="AZ132" s="148" t="str">
        <f t="shared" si="48"/>
        <v/>
      </c>
      <c r="BA132" s="669" t="str">
        <f>IF(F132="","",IF(AE132="Dubai",HLOOKUP(F132,Inputs!$C$26:$M$37,9,0),HLOOKUP(F132,Inputs!$C$45:$M$56,9,0)))</f>
        <v/>
      </c>
      <c r="BB132" s="670" t="str">
        <f>IF(F132="","",IF(AE132="Dubai",HLOOKUP(F132,Inputs!$C$26:$M$37,10,0),HLOOKUP(F132,Inputs!$C$45:$M$56,10,0)))</f>
        <v/>
      </c>
      <c r="BC132" s="670" t="str">
        <f>IF(F132="","",IF(AE132="Dubai",HLOOKUP(F132,Inputs!$C$26:$M$37,11,0),HLOOKUP(F132,Inputs!$C$45:$M$56,11,0)))</f>
        <v/>
      </c>
      <c r="BD132" s="669" t="str">
        <f>IF(F132="","",IF(AE132="Dubai",HLOOKUP(F132,Inputs!$C$26:$M$37,12,0),HLOOKUP(F132,Inputs!$C$45:$M$56,12,0)))</f>
        <v/>
      </c>
      <c r="BE132" s="654"/>
      <c r="BF132" s="669" t="str">
        <f>IFERROR(IF(AL132="","",IF(AN132="Dubai",IF(OR(AL132="Plan1",AL132="Plan2"),VLOOKUP(BA132,Deviation!$B$31:$D$33,2,FALSE),VLOOKUP(BA132,Deviation!$B$31:$D$33,3,FALSE)),IF(OR(AL132="Plan1",AL132="Plan2"),VLOOKUP(BA132,Deviation!$E$31:$AE$33,2,FALSE),VLOOKUP(BA132,Deviation!$E$31:$AE$33,3,FALSE)))),0)</f>
        <v/>
      </c>
      <c r="BG132" s="671" t="str">
        <f>IFERROR(IF(AL132="","",IF(AN132="Dubai",IF(AL132="Plan1",VLOOKUP(BB132,Deviation!$B$39:$C$40,2,FALSE),IF(AL132="Plan2",VLOOKUP(BB132,Deviation!$B$42:$C$43,2,FALSE),IF(AL132="Plan5",VLOOKUP(BB132,Deviation!$B$48:$C$49,2,FALSE),VLOOKUP(BB132,Deviation!$B$45:$C$46,2,FALSE)))),IF(AL132="Plan1",VLOOKUP(BB132,Deviation!$E$39:$F$40,2,FALSE),IF(AL132="Plan2",VLOOKUP(BB132,Deviation!$E$42:$F$43,2,FALSE),VLOOKUP(BB132,Deviation!$E$45:$F$46,2,FALSE))))),0)</f>
        <v/>
      </c>
      <c r="BH132" s="671" t="str">
        <f>IFERROR(IF(AL132="","",IF(AN132="Dubai",IF(OR(AL132="Plan1",AL132="Plan2"),VLOOKUP(BC132,Deviation!$B$15:$D$19,2,FALSE),VLOOKUP(BC132,Deviation!$B$15:$D$19,3,FALSE)),IF(OR(AL132="Plan1",AL132="Plan2"),VLOOKUP(BC132,Deviation!$E$15:$AE$19,2,FALSE),VLOOKUP(BC132,Deviation!$E$15:$AE$19,3,FALSE)))),0)</f>
        <v/>
      </c>
      <c r="BI132" s="669" t="str">
        <f>IFERROR(IF(AL132="","",IF(AN132="Dubai",VLOOKUP(BD132,Deviation!$B$24:$C$26,2,FALSE),100%)),0)</f>
        <v/>
      </c>
      <c r="BJ132" s="672">
        <f>IF(AE132="Abu Dhabi",1,IFERROR(VLOOKUP(AM132,Deviation!$B$67:$E$79,MATCH('Census Data'!AA132,Deviation!$B$66:$E$66,0),0),1))</f>
        <v>1</v>
      </c>
      <c r="BK132" s="659">
        <f>IFERROR(VLOOKUP(I132,Deviation!$B$54:$C$62,2,0),1)</f>
        <v>1</v>
      </c>
      <c r="BL132" s="148"/>
      <c r="BM132" s="148"/>
      <c r="BN132" s="148"/>
      <c r="BO132" s="148"/>
      <c r="BP132" s="148"/>
      <c r="BQ132" s="148"/>
      <c r="BR132" s="148"/>
      <c r="BS132" s="148"/>
      <c r="BT132" s="148" t="e">
        <f t="shared" si="49"/>
        <v>#VALUE!</v>
      </c>
      <c r="BU132"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f>
        <v/>
      </c>
    </row>
    <row r="133" spans="1:73" ht="15" x14ac:dyDescent="0.25">
      <c r="A133" s="59">
        <v>128</v>
      </c>
      <c r="B133" s="470"/>
      <c r="C133" s="630"/>
      <c r="D133" s="621"/>
      <c r="E133" s="631"/>
      <c r="F133" s="298"/>
      <c r="G133" s="298"/>
      <c r="H133" s="298"/>
      <c r="I133" s="298"/>
      <c r="J133" s="80" t="str">
        <f>IFERROR(IF(C133="","",DATEDIF('Census Data'!C133,eff_date,"y")),"")</f>
        <v/>
      </c>
      <c r="K133" s="59" t="str">
        <f>IF(F133="","",IF(AE133="Dubai",HLOOKUP(F133,Inputs!$C$26:$M$28,3,0),HLOOKUP(F133,Inputs!$C$45:$M$46,2,0)))</f>
        <v/>
      </c>
      <c r="L133" s="94"/>
      <c r="M133" s="105">
        <f t="shared" si="32"/>
        <v>0</v>
      </c>
      <c r="N133" s="654" t="b">
        <f t="shared" si="61"/>
        <v>0</v>
      </c>
      <c r="O133" s="655" t="str">
        <f t="shared" si="62"/>
        <v>x</v>
      </c>
      <c r="P133" s="655" t="str">
        <f t="shared" si="63"/>
        <v>x</v>
      </c>
      <c r="Q133" s="655" t="str">
        <f t="shared" si="64"/>
        <v>x</v>
      </c>
      <c r="R133" s="655" t="str">
        <f t="shared" si="51"/>
        <v>x</v>
      </c>
      <c r="S133" s="655" t="str">
        <f t="shared" si="65"/>
        <v>x</v>
      </c>
      <c r="T133" s="655" t="str">
        <f>IF(ISERROR(MATCH(G133,'Inputs Mapping'!$T$4:$T$10,0)),"x","")</f>
        <v>x</v>
      </c>
      <c r="U133" s="655" t="str">
        <f>IF(ISERROR(MATCH(AA133,'Inputs Mapping'!$U$4:$U$5,0)),"x","")</f>
        <v>x</v>
      </c>
      <c r="V133" s="655" t="str">
        <f>IF(ISERROR(MATCH(AB133,'Inputs Mapping'!$V$4:$V$5,0)),"x","")</f>
        <v>x</v>
      </c>
      <c r="W133" s="655" t="str">
        <f>IF(ISERROR(MATCH(F133,'Inputs Mapping'!$W$4:$W$8,0)),"x","")</f>
        <v>x</v>
      </c>
      <c r="X133" s="655" t="str">
        <f t="shared" si="66"/>
        <v/>
      </c>
      <c r="Y133" s="655" t="str">
        <f t="shared" si="67"/>
        <v/>
      </c>
      <c r="Z133" s="655" t="str">
        <f t="shared" si="40"/>
        <v/>
      </c>
      <c r="AA133" s="655" t="str">
        <f t="shared" si="41"/>
        <v/>
      </c>
      <c r="AB133" s="655" t="str">
        <f t="shared" si="43"/>
        <v/>
      </c>
      <c r="AC133" s="655" t="str">
        <f t="shared" si="50"/>
        <v>x</v>
      </c>
      <c r="AD133" s="655" t="str">
        <f>IF(ISBLANK(I133),"x",IF(ISNUMBER(MATCH(I133,'Inputs Mapping'!$AF$5:$AF$199,0)),"","x"))</f>
        <v>x</v>
      </c>
      <c r="AE133" s="655" t="str">
        <f t="shared" si="44"/>
        <v/>
      </c>
      <c r="AF133" s="148"/>
      <c r="AG133" s="148"/>
      <c r="AH133" s="148" t="str">
        <f t="shared" si="45"/>
        <v/>
      </c>
      <c r="AI133" s="654" t="str">
        <f>IF(J133="","",VLOOKUP(J133,'Inputs Mapping'!$T$27:$V$31,3))</f>
        <v/>
      </c>
      <c r="AJ133" s="654" t="str">
        <f>IF(J133="","",VLOOKUP(J133,'Inputs Mapping'!$T$17:$V$24,3))</f>
        <v/>
      </c>
      <c r="AK133" s="654" t="str">
        <f t="shared" si="46"/>
        <v/>
      </c>
      <c r="AL133" s="655" t="str">
        <f t="shared" si="60"/>
        <v/>
      </c>
      <c r="AM133" s="655" t="str">
        <f>IF(F133="","",IF(AE133="Dubai",HLOOKUP(F133,Inputs!$C$26:$M$36,5,0),HLOOKUP(F133,Inputs!$C$45:$M$49,5,0)))</f>
        <v/>
      </c>
      <c r="AN133" s="655">
        <f t="shared" si="47"/>
        <v>0</v>
      </c>
      <c r="AO133" s="654" t="str">
        <f>IF(AJ133="","",IF(AN133="Dubai",VLOOKUP(AJ133,'Inputs Mapping'!$V$17:$W$24,2,0),VLOOKUP(AI133,'Inputs Mapping'!$V$27:$W$31,2,0)))</f>
        <v/>
      </c>
      <c r="AP133" s="666">
        <f>IFERROR(IF($AN133="","",HLOOKUP($AN133&amp;RIGHT($AL133,1),'input for formula'!$B$16:$I$20,3,0)),0)</f>
        <v>0</v>
      </c>
      <c r="AQ133" s="656">
        <f>IFERROR(IF($AN133="","",HLOOKUP($AN133&amp;$F133,'input for formula'!$B$22:$M$25,2,0)),0)</f>
        <v>0</v>
      </c>
      <c r="AR133" s="666">
        <f>IFERROR(IF($AN133="","",HLOOKUP($AN133&amp;RIGHT($AL133,1),'input for formula'!$B$16:$I$20,4,0)),0)</f>
        <v>0</v>
      </c>
      <c r="AS133" s="656">
        <f>IFERROR(IF($AN133="","",HLOOKUP($AN133&amp;$F133,'input for formula'!$B$22:$M$25,3,0)),0)</f>
        <v>0</v>
      </c>
      <c r="AT133" s="656">
        <f>IFERROR(IF($AN133="","",HLOOKUP($AN133&amp;RIGHT($AL133,1),'input for formula'!$B$16:$I$20,5,0)),0)</f>
        <v>0</v>
      </c>
      <c r="AU133" s="656">
        <f>IFERROR(IF($AN133="","",HLOOKUP($AN133&amp;$F133,'input for formula'!$B$22:$M$25,4,0)),0)</f>
        <v>0</v>
      </c>
      <c r="AV133" s="666">
        <f>IFERROR(IF($AN133="","",IF('Census Data'!$AN133="Abu Dhabi",VLOOKUP('Census Data'!$AM133,'input for formula'!$A$28:$C$41,3,0),VLOOKUP('Census Data'!$AM133,'input for formula'!$A$28:$C$47,2,0))),0)*IFERROR(1+IF(AN133="Dubai",VLOOKUP(F133,'Quotation for Dubai Plans'!$V$6:$X$12,3,FALSE),VLOOKUP(F133,'Quotation for Abu Dhabi Plans'!$W$6:$Y$12,3,FALSE)),0)</f>
        <v>0</v>
      </c>
      <c r="AW133" s="656" t="str">
        <f t="shared" si="52"/>
        <v/>
      </c>
      <c r="AX133" s="667" t="str">
        <f>IFERROR(IF(AL133="","",IF(AN133="Dubai",HLOOKUP((AL133&amp;AM133),Deviation!$B$7:$S$8,2,0)*BF133*BH133*BI133*BG133,HLOOKUP((AL133&amp;AM133),Deviation!$B$9:$O$10,2,0)*BF133*BH133*BI133*BG133)),0)</f>
        <v/>
      </c>
      <c r="AY133" s="668"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formula'!$M$3:$O$7,AO133,FALSE)))*AX133+AP133*AQ133+AR133*AS133+AT133*AU133),0)*$AZ$3*BK133*BJ133*IF(AND(Inputs!$C$19&gt;19,Inputs!$C$19&lt;30),(1+$AZ$2),1)*(1+$AZ$1))</f>
        <v/>
      </c>
      <c r="AZ133" s="148" t="str">
        <f t="shared" si="48"/>
        <v/>
      </c>
      <c r="BA133" s="669" t="str">
        <f>IF(F133="","",IF(AE133="Dubai",HLOOKUP(F133,Inputs!$C$26:$M$37,9,0),HLOOKUP(F133,Inputs!$C$45:$M$56,9,0)))</f>
        <v/>
      </c>
      <c r="BB133" s="670" t="str">
        <f>IF(F133="","",IF(AE133="Dubai",HLOOKUP(F133,Inputs!$C$26:$M$37,10,0),HLOOKUP(F133,Inputs!$C$45:$M$56,10,0)))</f>
        <v/>
      </c>
      <c r="BC133" s="670" t="str">
        <f>IF(F133="","",IF(AE133="Dubai",HLOOKUP(F133,Inputs!$C$26:$M$37,11,0),HLOOKUP(F133,Inputs!$C$45:$M$56,11,0)))</f>
        <v/>
      </c>
      <c r="BD133" s="669" t="str">
        <f>IF(F133="","",IF(AE133="Dubai",HLOOKUP(F133,Inputs!$C$26:$M$37,12,0),HLOOKUP(F133,Inputs!$C$45:$M$56,12,0)))</f>
        <v/>
      </c>
      <c r="BE133" s="654"/>
      <c r="BF133" s="669" t="str">
        <f>IFERROR(IF(AL133="","",IF(AN133="Dubai",IF(OR(AL133="Plan1",AL133="Plan2"),VLOOKUP(BA133,Deviation!$B$31:$D$33,2,FALSE),VLOOKUP(BA133,Deviation!$B$31:$D$33,3,FALSE)),IF(OR(AL133="Plan1",AL133="Plan2"),VLOOKUP(BA133,Deviation!$E$31:$AE$33,2,FALSE),VLOOKUP(BA133,Deviation!$E$31:$AE$33,3,FALSE)))),0)</f>
        <v/>
      </c>
      <c r="BG133" s="671" t="str">
        <f>IFERROR(IF(AL133="","",IF(AN133="Dubai",IF(AL133="Plan1",VLOOKUP(BB133,Deviation!$B$39:$C$40,2,FALSE),IF(AL133="Plan2",VLOOKUP(BB133,Deviation!$B$42:$C$43,2,FALSE),IF(AL133="Plan5",VLOOKUP(BB133,Deviation!$B$48:$C$49,2,FALSE),VLOOKUP(BB133,Deviation!$B$45:$C$46,2,FALSE)))),IF(AL133="Plan1",VLOOKUP(BB133,Deviation!$E$39:$F$40,2,FALSE),IF(AL133="Plan2",VLOOKUP(BB133,Deviation!$E$42:$F$43,2,FALSE),VLOOKUP(BB133,Deviation!$E$45:$F$46,2,FALSE))))),0)</f>
        <v/>
      </c>
      <c r="BH133" s="671" t="str">
        <f>IFERROR(IF(AL133="","",IF(AN133="Dubai",IF(OR(AL133="Plan1",AL133="Plan2"),VLOOKUP(BC133,Deviation!$B$15:$D$19,2,FALSE),VLOOKUP(BC133,Deviation!$B$15:$D$19,3,FALSE)),IF(OR(AL133="Plan1",AL133="Plan2"),VLOOKUP(BC133,Deviation!$E$15:$AE$19,2,FALSE),VLOOKUP(BC133,Deviation!$E$15:$AE$19,3,FALSE)))),0)</f>
        <v/>
      </c>
      <c r="BI133" s="669" t="str">
        <f>IFERROR(IF(AL133="","",IF(AN133="Dubai",VLOOKUP(BD133,Deviation!$B$24:$C$26,2,FALSE),100%)),0)</f>
        <v/>
      </c>
      <c r="BJ133" s="672">
        <f>IF(AE133="Abu Dhabi",1,IFERROR(VLOOKUP(AM133,Deviation!$B$67:$E$79,MATCH('Census Data'!AA133,Deviation!$B$66:$E$66,0),0),1))</f>
        <v>1</v>
      </c>
      <c r="BK133" s="659">
        <f>IFERROR(VLOOKUP(I133,Deviation!$B$54:$C$62,2,0),1)</f>
        <v>1</v>
      </c>
      <c r="BL133" s="148"/>
      <c r="BM133" s="148"/>
      <c r="BN133" s="148"/>
      <c r="BO133" s="148"/>
      <c r="BP133" s="148"/>
      <c r="BQ133" s="148"/>
      <c r="BR133" s="148"/>
      <c r="BS133" s="148"/>
      <c r="BT133" s="148" t="e">
        <f t="shared" si="49"/>
        <v>#VALUE!</v>
      </c>
      <c r="BU133"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f>
        <v/>
      </c>
    </row>
    <row r="134" spans="1:73" ht="15" x14ac:dyDescent="0.25">
      <c r="A134" s="59">
        <v>129</v>
      </c>
      <c r="B134" s="470"/>
      <c r="C134" s="630"/>
      <c r="D134" s="621"/>
      <c r="E134" s="632"/>
      <c r="F134" s="298"/>
      <c r="G134" s="298"/>
      <c r="H134" s="298"/>
      <c r="I134" s="298"/>
      <c r="J134" s="80" t="str">
        <f>IFERROR(IF(C134="","",DATEDIF('Census Data'!C134,eff_date,"y")),"")</f>
        <v/>
      </c>
      <c r="K134" s="59" t="str">
        <f>IF(F134="","",IF(AE134="Dubai",HLOOKUP(F134,Inputs!$C$26:$M$28,3,0),HLOOKUP(F134,Inputs!$C$45:$M$46,2,0)))</f>
        <v/>
      </c>
      <c r="L134" s="94"/>
      <c r="M134" s="105">
        <f t="shared" ref="M134:M247" si="68">IF(N134,IF(COUNTIF(N134:AD134,"x")=0,1,IF(OR(O134="x",P134="x",Q134="×",R134="x",S134="x",T134="x",V134="x",U134="x",W134="x",X134="x",Y134="x",Z134="x",AC134="x",AD134="x"),-2,-1)),0)</f>
        <v>0</v>
      </c>
      <c r="N134" s="654" t="b">
        <f t="shared" ref="N134:N154" si="69">NOT(AND(ISBLANK(C134),ISBLANK(D134),ISBLANK(E134),ISBLANK(F134),ISBLANK(G134)))</f>
        <v>0</v>
      </c>
      <c r="O134" s="655" t="str">
        <f t="shared" ref="O134:O154" si="70">IF(ISBLANK(C134),"x","")</f>
        <v>x</v>
      </c>
      <c r="P134" s="655" t="str">
        <f t="shared" ref="P134:P154" si="71">IF(ISBLANK(D134),"x","")</f>
        <v>x</v>
      </c>
      <c r="Q134" s="655" t="str">
        <f t="shared" ref="Q134:Q154" si="72">IF(ISBLANK(E134),"x","")</f>
        <v>x</v>
      </c>
      <c r="R134" s="655" t="str">
        <f t="shared" si="51"/>
        <v>x</v>
      </c>
      <c r="S134" s="655" t="str">
        <f t="shared" ref="S134:S154" si="73">IF(ISBLANK(G134),"x","")</f>
        <v>x</v>
      </c>
      <c r="T134" s="655" t="str">
        <f>IF(ISERROR(MATCH(G134,'Inputs Mapping'!$T$4:$T$10,0)),"x","")</f>
        <v>x</v>
      </c>
      <c r="U134" s="655" t="str">
        <f>IF(ISERROR(MATCH(AA134,'Inputs Mapping'!$U$4:$U$5,0)),"x","")</f>
        <v>x</v>
      </c>
      <c r="V134" s="655" t="str">
        <f>IF(ISERROR(MATCH(AB134,'Inputs Mapping'!$V$4:$V$5,0)),"x","")</f>
        <v>x</v>
      </c>
      <c r="W134" s="655" t="str">
        <f>IF(ISERROR(MATCH(F134,'Inputs Mapping'!$W$4:$W$8,0)),"x","")</f>
        <v>x</v>
      </c>
      <c r="X134" s="655" t="str">
        <f t="shared" ref="X134:X154" si="74">IF(ISBLANK(C134),"",IF(OR(ISERROR(J134),NOT(ISNUMBER(C134))),"x",""))</f>
        <v/>
      </c>
      <c r="Y134" s="655" t="str">
        <f t="shared" ref="Y134:Y154" si="75">IF(ISBLANK(C134),"",IF(ISERROR(J134),"",""))</f>
        <v/>
      </c>
      <c r="Z134" s="655" t="str">
        <f t="shared" ref="Z134:Z247" si="76">IF(ISBLANK(C134),"",IF(ISERROR(J134),"",IF(AND(eff_date-C134&lt;0,C134&lt;&gt;""),"x","")))</f>
        <v/>
      </c>
      <c r="AA134" s="655" t="str">
        <f t="shared" ref="AA134:AA197" si="77">IF(D134="","",IF(OR(D134="M",D134="Male"),"M",IF(OR(D134="F",D134="Female"),"F",IF(D134="M/F","M/F",""))))</f>
        <v/>
      </c>
      <c r="AB134" s="655" t="str">
        <f t="shared" si="43"/>
        <v/>
      </c>
      <c r="AC134" s="655" t="str">
        <f t="shared" si="50"/>
        <v>x</v>
      </c>
      <c r="AD134" s="655" t="str">
        <f>IF(ISBLANK(I134),"x",IF(ISNUMBER(MATCH(I134,'Inputs Mapping'!$AF$5:$AF$199,0)),"","x"))</f>
        <v>x</v>
      </c>
      <c r="AE134" s="655" t="str">
        <f t="shared" si="44"/>
        <v/>
      </c>
      <c r="AF134" s="148"/>
      <c r="AG134" s="148"/>
      <c r="AH134" s="148" t="str">
        <f t="shared" si="45"/>
        <v/>
      </c>
      <c r="AI134" s="654" t="str">
        <f>IF(J134="","",VLOOKUP(J134,'Inputs Mapping'!$T$27:$V$31,3))</f>
        <v/>
      </c>
      <c r="AJ134" s="654" t="str">
        <f>IF(J134="","",VLOOKUP(J134,'Inputs Mapping'!$T$17:$V$24,3))</f>
        <v/>
      </c>
      <c r="AK134" s="654" t="str">
        <f t="shared" si="46"/>
        <v/>
      </c>
      <c r="AL134" s="655" t="str">
        <f t="shared" ref="AL134:AL154" si="78">K134</f>
        <v/>
      </c>
      <c r="AM134" s="655" t="str">
        <f>IF(F134="","",IF(AE134="Dubai",HLOOKUP(F134,Inputs!$C$26:$M$36,5,0),HLOOKUP(F134,Inputs!$C$45:$M$49,5,0)))</f>
        <v/>
      </c>
      <c r="AN134" s="655">
        <f t="shared" si="47"/>
        <v>0</v>
      </c>
      <c r="AO134" s="654" t="str">
        <f>IF(AJ134="","",IF(AN134="Dubai",VLOOKUP(AJ134,'Inputs Mapping'!$V$17:$W$24,2,0),VLOOKUP(AI134,'Inputs Mapping'!$V$27:$W$31,2,0)))</f>
        <v/>
      </c>
      <c r="AP134" s="666">
        <f>IFERROR(IF($AN134="","",HLOOKUP($AN134&amp;RIGHT($AL134,1),'input for formula'!$B$16:$I$20,3,0)),0)</f>
        <v>0</v>
      </c>
      <c r="AQ134" s="656">
        <f>IFERROR(IF($AN134="","",HLOOKUP($AN134&amp;$F134,'input for formula'!$B$22:$M$25,2,0)),0)</f>
        <v>0</v>
      </c>
      <c r="AR134" s="666">
        <f>IFERROR(IF($AN134="","",HLOOKUP($AN134&amp;RIGHT($AL134,1),'input for formula'!$B$16:$I$20,4,0)),0)</f>
        <v>0</v>
      </c>
      <c r="AS134" s="656">
        <f>IFERROR(IF($AN134="","",HLOOKUP($AN134&amp;$F134,'input for formula'!$B$22:$M$25,3,0)),0)</f>
        <v>0</v>
      </c>
      <c r="AT134" s="656">
        <f>IFERROR(IF($AN134="","",HLOOKUP($AN134&amp;RIGHT($AL134,1),'input for formula'!$B$16:$I$20,5,0)),0)</f>
        <v>0</v>
      </c>
      <c r="AU134" s="656">
        <f>IFERROR(IF($AN134="","",HLOOKUP($AN134&amp;$F134,'input for formula'!$B$22:$M$25,4,0)),0)</f>
        <v>0</v>
      </c>
      <c r="AV134" s="666">
        <f>IFERROR(IF($AN134="","",IF('Census Data'!$AN134="Abu Dhabi",VLOOKUP('Census Data'!$AM134,'input for formula'!$A$28:$C$41,3,0),VLOOKUP('Census Data'!$AM134,'input for formula'!$A$28:$C$47,2,0))),0)*IFERROR(1+IF(AN134="Dubai",VLOOKUP(F134,'Quotation for Dubai Plans'!$V$6:$X$12,3,FALSE),VLOOKUP(F134,'Quotation for Abu Dhabi Plans'!$W$6:$Y$12,3,FALSE)),0)</f>
        <v>0</v>
      </c>
      <c r="AW134" s="656" t="str">
        <f t="shared" si="52"/>
        <v/>
      </c>
      <c r="AX134" s="667" t="str">
        <f>IFERROR(IF(AL134="","",IF(AN134="Dubai",HLOOKUP((AL134&amp;AM134),Deviation!$B$7:$S$8,2,0)*BF134*BH134*BI134*BG134,HLOOKUP((AL134&amp;AM134),Deviation!$B$9:$O$10,2,0)*BF134*BH134*BI134*BG134)),0)</f>
        <v/>
      </c>
      <c r="AY134" s="668"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formula'!$M$3:$O$7,AO134,FALSE)))*AX134+AP134*AQ134+AR134*AS134+AT134*AU134),0)*$AZ$3*BK134*BJ134*IF(AND(Inputs!$C$19&gt;19,Inputs!$C$19&lt;30),(1+$AZ$2),1)*(1+$AZ$1))</f>
        <v/>
      </c>
      <c r="AZ134" s="148" t="str">
        <f t="shared" si="48"/>
        <v/>
      </c>
      <c r="BA134" s="669" t="str">
        <f>IF(F134="","",IF(AE134="Dubai",HLOOKUP(F134,Inputs!$C$26:$M$37,9,0),HLOOKUP(F134,Inputs!$C$45:$M$56,9,0)))</f>
        <v/>
      </c>
      <c r="BB134" s="670" t="str">
        <f>IF(F134="","",IF(AE134="Dubai",HLOOKUP(F134,Inputs!$C$26:$M$37,10,0),HLOOKUP(F134,Inputs!$C$45:$M$56,10,0)))</f>
        <v/>
      </c>
      <c r="BC134" s="670" t="str">
        <f>IF(F134="","",IF(AE134="Dubai",HLOOKUP(F134,Inputs!$C$26:$M$37,11,0),HLOOKUP(F134,Inputs!$C$45:$M$56,11,0)))</f>
        <v/>
      </c>
      <c r="BD134" s="669" t="str">
        <f>IF(F134="","",IF(AE134="Dubai",HLOOKUP(F134,Inputs!$C$26:$M$37,12,0),HLOOKUP(F134,Inputs!$C$45:$M$56,12,0)))</f>
        <v/>
      </c>
      <c r="BE134" s="654"/>
      <c r="BF134" s="669" t="str">
        <f>IFERROR(IF(AL134="","",IF(AN134="Dubai",IF(OR(AL134="Plan1",AL134="Plan2"),VLOOKUP(BA134,Deviation!$B$31:$D$33,2,FALSE),VLOOKUP(BA134,Deviation!$B$31:$D$33,3,FALSE)),IF(OR(AL134="Plan1",AL134="Plan2"),VLOOKUP(BA134,Deviation!$E$31:$AE$33,2,FALSE),VLOOKUP(BA134,Deviation!$E$31:$AE$33,3,FALSE)))),0)</f>
        <v/>
      </c>
      <c r="BG134" s="671" t="str">
        <f>IFERROR(IF(AL134="","",IF(AN134="Dubai",IF(AL134="Plan1",VLOOKUP(BB134,Deviation!$B$39:$C$40,2,FALSE),IF(AL134="Plan2",VLOOKUP(BB134,Deviation!$B$42:$C$43,2,FALSE),IF(AL134="Plan5",VLOOKUP(BB134,Deviation!$B$48:$C$49,2,FALSE),VLOOKUP(BB134,Deviation!$B$45:$C$46,2,FALSE)))),IF(AL134="Plan1",VLOOKUP(BB134,Deviation!$E$39:$F$40,2,FALSE),IF(AL134="Plan2",VLOOKUP(BB134,Deviation!$E$42:$F$43,2,FALSE),VLOOKUP(BB134,Deviation!$E$45:$F$46,2,FALSE))))),0)</f>
        <v/>
      </c>
      <c r="BH134" s="671" t="str">
        <f>IFERROR(IF(AL134="","",IF(AN134="Dubai",IF(OR(AL134="Plan1",AL134="Plan2"),VLOOKUP(BC134,Deviation!$B$15:$D$19,2,FALSE),VLOOKUP(BC134,Deviation!$B$15:$D$19,3,FALSE)),IF(OR(AL134="Plan1",AL134="Plan2"),VLOOKUP(BC134,Deviation!$E$15:$AE$19,2,FALSE),VLOOKUP(BC134,Deviation!$E$15:$AE$19,3,FALSE)))),0)</f>
        <v/>
      </c>
      <c r="BI134" s="669" t="str">
        <f>IFERROR(IF(AL134="","",IF(AN134="Dubai",VLOOKUP(BD134,Deviation!$B$24:$C$26,2,FALSE),100%)),0)</f>
        <v/>
      </c>
      <c r="BJ134" s="672">
        <f>IF(AE134="Abu Dhabi",1,IFERROR(VLOOKUP(AM134,Deviation!$B$67:$E$79,MATCH('Census Data'!AA134,Deviation!$B$66:$E$66,0),0),1))</f>
        <v>1</v>
      </c>
      <c r="BK134" s="659">
        <f>IFERROR(VLOOKUP(I134,Deviation!$B$54:$C$62,2,0),1)</f>
        <v>1</v>
      </c>
      <c r="BL134" s="148"/>
      <c r="BM134" s="148"/>
      <c r="BN134" s="148"/>
      <c r="BO134" s="148"/>
      <c r="BP134" s="148"/>
      <c r="BQ134" s="148"/>
      <c r="BR134" s="148"/>
      <c r="BS134" s="148"/>
      <c r="BT134" s="148" t="e">
        <f t="shared" si="49"/>
        <v>#VALUE!</v>
      </c>
      <c r="BU134"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f>
        <v/>
      </c>
    </row>
    <row r="135" spans="1:73" ht="15" x14ac:dyDescent="0.25">
      <c r="A135" s="59">
        <v>130</v>
      </c>
      <c r="B135" s="470"/>
      <c r="C135" s="630"/>
      <c r="D135" s="621"/>
      <c r="E135" s="631"/>
      <c r="F135" s="298"/>
      <c r="G135" s="298"/>
      <c r="H135" s="298"/>
      <c r="I135" s="298"/>
      <c r="J135" s="80" t="str">
        <f>IFERROR(IF(C135="","",DATEDIF('Census Data'!C135,eff_date,"y")),"")</f>
        <v/>
      </c>
      <c r="K135" s="59" t="str">
        <f>IF(F135="","",IF(AE135="Dubai",HLOOKUP(F135,Inputs!$C$26:$M$28,3,0),HLOOKUP(F135,Inputs!$C$45:$M$46,2,0)))</f>
        <v/>
      </c>
      <c r="L135" s="94"/>
      <c r="M135" s="105">
        <f t="shared" si="68"/>
        <v>0</v>
      </c>
      <c r="N135" s="654" t="b">
        <f t="shared" si="69"/>
        <v>0</v>
      </c>
      <c r="O135" s="655" t="str">
        <f t="shared" si="70"/>
        <v>x</v>
      </c>
      <c r="P135" s="655" t="str">
        <f t="shared" si="71"/>
        <v>x</v>
      </c>
      <c r="Q135" s="655" t="str">
        <f t="shared" si="72"/>
        <v>x</v>
      </c>
      <c r="R135" s="655" t="str">
        <f t="shared" si="51"/>
        <v>x</v>
      </c>
      <c r="S135" s="655" t="str">
        <f t="shared" si="73"/>
        <v>x</v>
      </c>
      <c r="T135" s="655" t="str">
        <f>IF(ISERROR(MATCH(G135,'Inputs Mapping'!$T$4:$T$10,0)),"x","")</f>
        <v>x</v>
      </c>
      <c r="U135" s="655" t="str">
        <f>IF(ISERROR(MATCH(AA135,'Inputs Mapping'!$U$4:$U$5,0)),"x","")</f>
        <v>x</v>
      </c>
      <c r="V135" s="655" t="str">
        <f>IF(ISERROR(MATCH(AB135,'Inputs Mapping'!$V$4:$V$5,0)),"x","")</f>
        <v>x</v>
      </c>
      <c r="W135" s="655" t="str">
        <f>IF(ISERROR(MATCH(F135,'Inputs Mapping'!$W$4:$W$8,0)),"x","")</f>
        <v>x</v>
      </c>
      <c r="X135" s="655" t="str">
        <f t="shared" si="74"/>
        <v/>
      </c>
      <c r="Y135" s="655" t="str">
        <f t="shared" si="75"/>
        <v/>
      </c>
      <c r="Z135" s="655" t="str">
        <f t="shared" si="76"/>
        <v/>
      </c>
      <c r="AA135" s="655" t="str">
        <f t="shared" si="77"/>
        <v/>
      </c>
      <c r="AB135" s="655" t="str">
        <f t="shared" ref="AB135:AB248" si="79">IF(E135="","",IF(OR(E135="Married",E135="M"),"M",IF(OR(E135="Single",E135="S"),"S","")))</f>
        <v/>
      </c>
      <c r="AC135" s="655" t="str">
        <f t="shared" si="50"/>
        <v>x</v>
      </c>
      <c r="AD135" s="655" t="str">
        <f>IF(ISBLANK(I135),"x",IF(ISNUMBER(MATCH(I135,'Inputs Mapping'!$AF$5:$AF$199,0)),"","x"))</f>
        <v>x</v>
      </c>
      <c r="AE135" s="655" t="str">
        <f t="shared" ref="AE135:AE198" si="80">IF(D135="","",IF(G135="Abu Dhabi","Abu Dhabi","Dubai"))</f>
        <v/>
      </c>
      <c r="AF135" s="148"/>
      <c r="AG135" s="148"/>
      <c r="AH135" s="148" t="str">
        <f t="shared" ref="AH135:AH198" si="81">F135&amp;AE135</f>
        <v/>
      </c>
      <c r="AI135" s="654" t="str">
        <f>IF(J135="","",VLOOKUP(J135,'Inputs Mapping'!$T$27:$V$31,3))</f>
        <v/>
      </c>
      <c r="AJ135" s="654" t="str">
        <f>IF(J135="","",VLOOKUP(J135,'Inputs Mapping'!$T$17:$V$24,3))</f>
        <v/>
      </c>
      <c r="AK135" s="654" t="str">
        <f t="shared" ref="AK135:AK198" si="82">IF(AE135="Dubai",IF(J135="","",1*AND(LEFT(AA135)="F",LEFT(AB135)="M",J135&gt;=$AK$3,J135&lt;$AK$4+1)),IF(J135="","",1*AND(LEFT(AA135)="F",LEFT(AB135)="M",J135&gt;=$AJ$3,J135&lt;$AJ$4+1)))</f>
        <v/>
      </c>
      <c r="AL135" s="655" t="str">
        <f t="shared" si="78"/>
        <v/>
      </c>
      <c r="AM135" s="655" t="str">
        <f>IF(F135="","",IF(AE135="Dubai",HLOOKUP(F135,Inputs!$C$26:$M$36,5,0),HLOOKUP(F135,Inputs!$C$45:$M$49,5,0)))</f>
        <v/>
      </c>
      <c r="AN135" s="655">
        <f t="shared" ref="AN135:AN198" si="83">IF(C135="",0,IF(G135="Abu Dhabi","Abu Dhabi","Dubai"))</f>
        <v>0</v>
      </c>
      <c r="AO135" s="654" t="str">
        <f>IF(AJ135="","",IF(AN135="Dubai",VLOOKUP(AJ135,'Inputs Mapping'!$V$17:$W$24,2,0),VLOOKUP(AI135,'Inputs Mapping'!$V$27:$W$31,2,0)))</f>
        <v/>
      </c>
      <c r="AP135" s="666">
        <f>IFERROR(IF($AN135="","",HLOOKUP($AN135&amp;RIGHT($AL135,1),'input for formula'!$B$16:$I$20,3,0)),0)</f>
        <v>0</v>
      </c>
      <c r="AQ135" s="656">
        <f>IFERROR(IF($AN135="","",HLOOKUP($AN135&amp;$F135,'input for formula'!$B$22:$M$25,2,0)),0)</f>
        <v>0</v>
      </c>
      <c r="AR135" s="666">
        <f>IFERROR(IF($AN135="","",HLOOKUP($AN135&amp;RIGHT($AL135,1),'input for formula'!$B$16:$I$20,4,0)),0)</f>
        <v>0</v>
      </c>
      <c r="AS135" s="656">
        <f>IFERROR(IF($AN135="","",HLOOKUP($AN135&amp;$F135,'input for formula'!$B$22:$M$25,3,0)),0)</f>
        <v>0</v>
      </c>
      <c r="AT135" s="656">
        <f>IFERROR(IF($AN135="","",HLOOKUP($AN135&amp;RIGHT($AL135,1),'input for formula'!$B$16:$I$20,5,0)),0)</f>
        <v>0</v>
      </c>
      <c r="AU135" s="656">
        <f>IFERROR(IF($AN135="","",HLOOKUP($AN135&amp;$F135,'input for formula'!$B$22:$M$25,4,0)),0)</f>
        <v>0</v>
      </c>
      <c r="AV135" s="666">
        <f>IFERROR(IF($AN135="","",IF('Census Data'!$AN135="Abu Dhabi",VLOOKUP('Census Data'!$AM135,'input for formula'!$A$28:$C$41,3,0),VLOOKUP('Census Data'!$AM135,'input for formula'!$A$28:$C$47,2,0))),0)*IFERROR(1+IF(AN135="Dubai",VLOOKUP(F135,'Quotation for Dubai Plans'!$V$6:$X$12,3,FALSE),VLOOKUP(F135,'Quotation for Abu Dhabi Plans'!$W$6:$Y$12,3,FALSE)),0)</f>
        <v>0</v>
      </c>
      <c r="AW135" s="656" t="str">
        <f t="shared" si="52"/>
        <v/>
      </c>
      <c r="AX135" s="667" t="str">
        <f>IFERROR(IF(AL135="","",IF(AN135="Dubai",HLOOKUP((AL135&amp;AM135),Deviation!$B$7:$S$8,2,0)*BF135*BH135*BI135*BG135,HLOOKUP((AL135&amp;AM135),Deviation!$B$9:$O$10,2,0)*BF135*BH135*BI135*BG135)),0)</f>
        <v/>
      </c>
      <c r="AY135" s="668"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formula'!$M$3:$O$7,AO135,FALSE)))*AX135+AP135*AQ135+AR135*AS135+AT135*AU135),0)*$AZ$3*BK135*BJ135*IF(AND(Inputs!$C$19&gt;19,Inputs!$C$19&lt;30),(1+$AZ$2),1)*(1+$AZ$1))</f>
        <v/>
      </c>
      <c r="AZ135" s="148" t="str">
        <f t="shared" ref="AZ135:AZ248" si="84">IF(AL135="","",IF(AN135="","",AN135&amp;RIGHT(AL135,1)))</f>
        <v/>
      </c>
      <c r="BA135" s="669" t="str">
        <f>IF(F135="","",IF(AE135="Dubai",HLOOKUP(F135,Inputs!$C$26:$M$37,9,0),HLOOKUP(F135,Inputs!$C$45:$M$56,9,0)))</f>
        <v/>
      </c>
      <c r="BB135" s="670" t="str">
        <f>IF(F135="","",IF(AE135="Dubai",HLOOKUP(F135,Inputs!$C$26:$M$37,10,0),HLOOKUP(F135,Inputs!$C$45:$M$56,10,0)))</f>
        <v/>
      </c>
      <c r="BC135" s="670" t="str">
        <f>IF(F135="","",IF(AE135="Dubai",HLOOKUP(F135,Inputs!$C$26:$M$37,11,0),HLOOKUP(F135,Inputs!$C$45:$M$56,11,0)))</f>
        <v/>
      </c>
      <c r="BD135" s="669" t="str">
        <f>IF(F135="","",IF(AE135="Dubai",HLOOKUP(F135,Inputs!$C$26:$M$37,12,0),HLOOKUP(F135,Inputs!$C$45:$M$56,12,0)))</f>
        <v/>
      </c>
      <c r="BE135" s="654"/>
      <c r="BF135" s="669" t="str">
        <f>IFERROR(IF(AL135="","",IF(AN135="Dubai",IF(OR(AL135="Plan1",AL135="Plan2"),VLOOKUP(BA135,Deviation!$B$31:$D$33,2,FALSE),VLOOKUP(BA135,Deviation!$B$31:$D$33,3,FALSE)),IF(OR(AL135="Plan1",AL135="Plan2"),VLOOKUP(BA135,Deviation!$E$31:$AE$33,2,FALSE),VLOOKUP(BA135,Deviation!$E$31:$AE$33,3,FALSE)))),0)</f>
        <v/>
      </c>
      <c r="BG135" s="671" t="str">
        <f>IFERROR(IF(AL135="","",IF(AN135="Dubai",IF(AL135="Plan1",VLOOKUP(BB135,Deviation!$B$39:$C$40,2,FALSE),IF(AL135="Plan2",VLOOKUP(BB135,Deviation!$B$42:$C$43,2,FALSE),IF(AL135="Plan5",VLOOKUP(BB135,Deviation!$B$48:$C$49,2,FALSE),VLOOKUP(BB135,Deviation!$B$45:$C$46,2,FALSE)))),IF(AL135="Plan1",VLOOKUP(BB135,Deviation!$E$39:$F$40,2,FALSE),IF(AL135="Plan2",VLOOKUP(BB135,Deviation!$E$42:$F$43,2,FALSE),VLOOKUP(BB135,Deviation!$E$45:$F$46,2,FALSE))))),0)</f>
        <v/>
      </c>
      <c r="BH135" s="671" t="str">
        <f>IFERROR(IF(AL135="","",IF(AN135="Dubai",IF(OR(AL135="Plan1",AL135="Plan2"),VLOOKUP(BC135,Deviation!$B$15:$D$19,2,FALSE),VLOOKUP(BC135,Deviation!$B$15:$D$19,3,FALSE)),IF(OR(AL135="Plan1",AL135="Plan2"),VLOOKUP(BC135,Deviation!$E$15:$AE$19,2,FALSE),VLOOKUP(BC135,Deviation!$E$15:$AE$19,3,FALSE)))),0)</f>
        <v/>
      </c>
      <c r="BI135" s="669" t="str">
        <f>IFERROR(IF(AL135="","",IF(AN135="Dubai",VLOOKUP(BD135,Deviation!$B$24:$C$26,2,FALSE),100%)),0)</f>
        <v/>
      </c>
      <c r="BJ135" s="672">
        <f>IF(AE135="Abu Dhabi",1,IFERROR(VLOOKUP(AM135,Deviation!$B$67:$E$79,MATCH('Census Data'!AA135,Deviation!$B$66:$E$66,0),0),1))</f>
        <v>1</v>
      </c>
      <c r="BK135" s="659">
        <f>IFERROR(VLOOKUP(I135,Deviation!$B$54:$C$62,2,0),1)</f>
        <v>1</v>
      </c>
      <c r="BL135" s="148"/>
      <c r="BM135" s="148"/>
      <c r="BN135" s="148"/>
      <c r="BO135" s="148"/>
      <c r="BP135" s="148"/>
      <c r="BQ135" s="148"/>
      <c r="BR135" s="148"/>
      <c r="BS135" s="148"/>
      <c r="BT135" s="148" t="e">
        <f t="shared" ref="BT135:BT198" si="85">IF(AK135=0,AY135,(AY135+AV135))</f>
        <v>#VALUE!</v>
      </c>
      <c r="BU135"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f>
        <v/>
      </c>
    </row>
    <row r="136" spans="1:73" ht="15" x14ac:dyDescent="0.25">
      <c r="A136" s="59">
        <v>131</v>
      </c>
      <c r="B136" s="470"/>
      <c r="C136" s="630"/>
      <c r="D136" s="621"/>
      <c r="E136" s="631"/>
      <c r="F136" s="298"/>
      <c r="G136" s="298"/>
      <c r="H136" s="298"/>
      <c r="I136" s="298"/>
      <c r="J136" s="80" t="str">
        <f>IFERROR(IF(C136="","",DATEDIF('Census Data'!C136,eff_date,"y")),"")</f>
        <v/>
      </c>
      <c r="K136" s="59" t="str">
        <f>IF(F136="","",IF(AE136="Dubai",HLOOKUP(F136,Inputs!$C$26:$M$28,3,0),HLOOKUP(F136,Inputs!$C$45:$M$46,2,0)))</f>
        <v/>
      </c>
      <c r="L136" s="94"/>
      <c r="M136" s="105">
        <f t="shared" si="68"/>
        <v>0</v>
      </c>
      <c r="N136" s="654" t="b">
        <f t="shared" si="69"/>
        <v>0</v>
      </c>
      <c r="O136" s="655" t="str">
        <f t="shared" si="70"/>
        <v>x</v>
      </c>
      <c r="P136" s="655" t="str">
        <f t="shared" si="71"/>
        <v>x</v>
      </c>
      <c r="Q136" s="655" t="str">
        <f t="shared" si="72"/>
        <v>x</v>
      </c>
      <c r="R136" s="655" t="str">
        <f t="shared" si="51"/>
        <v>x</v>
      </c>
      <c r="S136" s="655" t="str">
        <f t="shared" si="73"/>
        <v>x</v>
      </c>
      <c r="T136" s="655" t="str">
        <f>IF(ISERROR(MATCH(G136,'Inputs Mapping'!$T$4:$T$10,0)),"x","")</f>
        <v>x</v>
      </c>
      <c r="U136" s="655" t="str">
        <f>IF(ISERROR(MATCH(AA136,'Inputs Mapping'!$U$4:$U$5,0)),"x","")</f>
        <v>x</v>
      </c>
      <c r="V136" s="655" t="str">
        <f>IF(ISERROR(MATCH(AB136,'Inputs Mapping'!$V$4:$V$5,0)),"x","")</f>
        <v>x</v>
      </c>
      <c r="W136" s="655" t="str">
        <f>IF(ISERROR(MATCH(F136,'Inputs Mapping'!$W$4:$W$8,0)),"x","")</f>
        <v>x</v>
      </c>
      <c r="X136" s="655" t="str">
        <f t="shared" si="74"/>
        <v/>
      </c>
      <c r="Y136" s="655" t="str">
        <f t="shared" si="75"/>
        <v/>
      </c>
      <c r="Z136" s="655" t="str">
        <f t="shared" si="76"/>
        <v/>
      </c>
      <c r="AA136" s="655" t="str">
        <f t="shared" si="77"/>
        <v/>
      </c>
      <c r="AB136" s="655" t="str">
        <f t="shared" si="79"/>
        <v/>
      </c>
      <c r="AC136" s="655" t="str">
        <f t="shared" ref="AC136:AC199" si="86">IF(AND(H136="Employee",J136&gt;=18),"",IF(H136="Dependent","","x"))</f>
        <v>x</v>
      </c>
      <c r="AD136" s="655" t="str">
        <f>IF(ISBLANK(I136),"x",IF(ISNUMBER(MATCH(I136,'Inputs Mapping'!$AF$5:$AF$199,0)),"","x"))</f>
        <v>x</v>
      </c>
      <c r="AE136" s="655" t="str">
        <f t="shared" si="80"/>
        <v/>
      </c>
      <c r="AF136" s="148"/>
      <c r="AG136" s="148"/>
      <c r="AH136" s="148" t="str">
        <f t="shared" si="81"/>
        <v/>
      </c>
      <c r="AI136" s="654" t="str">
        <f>IF(J136="","",VLOOKUP(J136,'Inputs Mapping'!$T$27:$V$31,3))</f>
        <v/>
      </c>
      <c r="AJ136" s="654" t="str">
        <f>IF(J136="","",VLOOKUP(J136,'Inputs Mapping'!$T$17:$V$24,3))</f>
        <v/>
      </c>
      <c r="AK136" s="654" t="str">
        <f t="shared" si="82"/>
        <v/>
      </c>
      <c r="AL136" s="655" t="str">
        <f t="shared" si="78"/>
        <v/>
      </c>
      <c r="AM136" s="655" t="str">
        <f>IF(F136="","",IF(AE136="Dubai",HLOOKUP(F136,Inputs!$C$26:$M$36,5,0),HLOOKUP(F136,Inputs!$C$45:$M$49,5,0)))</f>
        <v/>
      </c>
      <c r="AN136" s="655">
        <f t="shared" si="83"/>
        <v>0</v>
      </c>
      <c r="AO136" s="654" t="str">
        <f>IF(AJ136="","",IF(AN136="Dubai",VLOOKUP(AJ136,'Inputs Mapping'!$V$17:$W$24,2,0),VLOOKUP(AI136,'Inputs Mapping'!$V$27:$W$31,2,0)))</f>
        <v/>
      </c>
      <c r="AP136" s="666">
        <f>IFERROR(IF($AN136="","",HLOOKUP($AN136&amp;RIGHT($AL136,1),'input for formula'!$B$16:$I$20,3,0)),0)</f>
        <v>0</v>
      </c>
      <c r="AQ136" s="656">
        <f>IFERROR(IF($AN136="","",HLOOKUP($AN136&amp;$F136,'input for formula'!$B$22:$M$25,2,0)),0)</f>
        <v>0</v>
      </c>
      <c r="AR136" s="666">
        <f>IFERROR(IF($AN136="","",HLOOKUP($AN136&amp;RIGHT($AL136,1),'input for formula'!$B$16:$I$20,4,0)),0)</f>
        <v>0</v>
      </c>
      <c r="AS136" s="656">
        <f>IFERROR(IF($AN136="","",HLOOKUP($AN136&amp;$F136,'input for formula'!$B$22:$M$25,3,0)),0)</f>
        <v>0</v>
      </c>
      <c r="AT136" s="656">
        <f>IFERROR(IF($AN136="","",HLOOKUP($AN136&amp;RIGHT($AL136,1),'input for formula'!$B$16:$I$20,5,0)),0)</f>
        <v>0</v>
      </c>
      <c r="AU136" s="656">
        <f>IFERROR(IF($AN136="","",HLOOKUP($AN136&amp;$F136,'input for formula'!$B$22:$M$25,4,0)),0)</f>
        <v>0</v>
      </c>
      <c r="AV136" s="666">
        <f>IFERROR(IF($AN136="","",IF('Census Data'!$AN136="Abu Dhabi",VLOOKUP('Census Data'!$AM136,'input for formula'!$A$28:$C$41,3,0),VLOOKUP('Census Data'!$AM136,'input for formula'!$A$28:$C$47,2,0))),0)*IFERROR(1+IF(AN136="Dubai",VLOOKUP(F136,'Quotation for Dubai Plans'!$V$6:$X$12,3,FALSE),VLOOKUP(F136,'Quotation for Abu Dhabi Plans'!$W$6:$Y$12,3,FALSE)),0)</f>
        <v>0</v>
      </c>
      <c r="AW136" s="656" t="str">
        <f t="shared" si="52"/>
        <v/>
      </c>
      <c r="AX136" s="667" t="str">
        <f>IFERROR(IF(AL136="","",IF(AN136="Dubai",HLOOKUP((AL136&amp;AM136),Deviation!$B$7:$S$8,2,0)*BF136*BH136*BI136*BG136,HLOOKUP((AL136&amp;AM136),Deviation!$B$9:$O$10,2,0)*BF136*BH136*BI136*BG136)),0)</f>
        <v/>
      </c>
      <c r="AY136" s="668"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formula'!$M$3:$O$7,AO136,FALSE)))*AX136+AP136*AQ136+AR136*AS136+AT136*AU136),0)*$AZ$3*BK136*BJ136*IF(AND(Inputs!$C$19&gt;19,Inputs!$C$19&lt;30),(1+$AZ$2),1)*(1+$AZ$1))</f>
        <v/>
      </c>
      <c r="AZ136" s="148" t="str">
        <f t="shared" si="84"/>
        <v/>
      </c>
      <c r="BA136" s="669" t="str">
        <f>IF(F136="","",IF(AE136="Dubai",HLOOKUP(F136,Inputs!$C$26:$M$37,9,0),HLOOKUP(F136,Inputs!$C$45:$M$56,9,0)))</f>
        <v/>
      </c>
      <c r="BB136" s="670" t="str">
        <f>IF(F136="","",IF(AE136="Dubai",HLOOKUP(F136,Inputs!$C$26:$M$37,10,0),HLOOKUP(F136,Inputs!$C$45:$M$56,10,0)))</f>
        <v/>
      </c>
      <c r="BC136" s="670" t="str">
        <f>IF(F136="","",IF(AE136="Dubai",HLOOKUP(F136,Inputs!$C$26:$M$37,11,0),HLOOKUP(F136,Inputs!$C$45:$M$56,11,0)))</f>
        <v/>
      </c>
      <c r="BD136" s="669" t="str">
        <f>IF(F136="","",IF(AE136="Dubai",HLOOKUP(F136,Inputs!$C$26:$M$37,12,0),HLOOKUP(F136,Inputs!$C$45:$M$56,12,0)))</f>
        <v/>
      </c>
      <c r="BE136" s="654"/>
      <c r="BF136" s="669" t="str">
        <f>IFERROR(IF(AL136="","",IF(AN136="Dubai",IF(OR(AL136="Plan1",AL136="Plan2"),VLOOKUP(BA136,Deviation!$B$31:$D$33,2,FALSE),VLOOKUP(BA136,Deviation!$B$31:$D$33,3,FALSE)),IF(OR(AL136="Plan1",AL136="Plan2"),VLOOKUP(BA136,Deviation!$E$31:$AE$33,2,FALSE),VLOOKUP(BA136,Deviation!$E$31:$AE$33,3,FALSE)))),0)</f>
        <v/>
      </c>
      <c r="BG136" s="671" t="str">
        <f>IFERROR(IF(AL136="","",IF(AN136="Dubai",IF(AL136="Plan1",VLOOKUP(BB136,Deviation!$B$39:$C$40,2,FALSE),IF(AL136="Plan2",VLOOKUP(BB136,Deviation!$B$42:$C$43,2,FALSE),IF(AL136="Plan5",VLOOKUP(BB136,Deviation!$B$48:$C$49,2,FALSE),VLOOKUP(BB136,Deviation!$B$45:$C$46,2,FALSE)))),IF(AL136="Plan1",VLOOKUP(BB136,Deviation!$E$39:$F$40,2,FALSE),IF(AL136="Plan2",VLOOKUP(BB136,Deviation!$E$42:$F$43,2,FALSE),VLOOKUP(BB136,Deviation!$E$45:$F$46,2,FALSE))))),0)</f>
        <v/>
      </c>
      <c r="BH136" s="671" t="str">
        <f>IFERROR(IF(AL136="","",IF(AN136="Dubai",IF(OR(AL136="Plan1",AL136="Plan2"),VLOOKUP(BC136,Deviation!$B$15:$D$19,2,FALSE),VLOOKUP(BC136,Deviation!$B$15:$D$19,3,FALSE)),IF(OR(AL136="Plan1",AL136="Plan2"),VLOOKUP(BC136,Deviation!$E$15:$AE$19,2,FALSE),VLOOKUP(BC136,Deviation!$E$15:$AE$19,3,FALSE)))),0)</f>
        <v/>
      </c>
      <c r="BI136" s="669" t="str">
        <f>IFERROR(IF(AL136="","",IF(AN136="Dubai",VLOOKUP(BD136,Deviation!$B$24:$C$26,2,FALSE),100%)),0)</f>
        <v/>
      </c>
      <c r="BJ136" s="672">
        <f>IF(AE136="Abu Dhabi",1,IFERROR(VLOOKUP(AM136,Deviation!$B$67:$E$79,MATCH('Census Data'!AA136,Deviation!$B$66:$E$66,0),0),1))</f>
        <v>1</v>
      </c>
      <c r="BK136" s="659">
        <f>IFERROR(VLOOKUP(I136,Deviation!$B$54:$C$62,2,0),1)</f>
        <v>1</v>
      </c>
      <c r="BL136" s="148"/>
      <c r="BM136" s="148"/>
      <c r="BN136" s="148"/>
      <c r="BO136" s="148"/>
      <c r="BP136" s="148"/>
      <c r="BQ136" s="148"/>
      <c r="BR136" s="148"/>
      <c r="BS136" s="148"/>
      <c r="BT136" s="148" t="e">
        <f t="shared" si="85"/>
        <v>#VALUE!</v>
      </c>
      <c r="BU136"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f>
        <v/>
      </c>
    </row>
    <row r="137" spans="1:73" ht="15" x14ac:dyDescent="0.25">
      <c r="A137" s="59">
        <v>132</v>
      </c>
      <c r="B137" s="470"/>
      <c r="C137" s="630"/>
      <c r="D137" s="621"/>
      <c r="E137" s="631"/>
      <c r="F137" s="298"/>
      <c r="G137" s="298"/>
      <c r="H137" s="298"/>
      <c r="I137" s="298"/>
      <c r="J137" s="80" t="str">
        <f>IFERROR(IF(C137="","",DATEDIF('Census Data'!C137,eff_date,"y")),"")</f>
        <v/>
      </c>
      <c r="K137" s="59" t="str">
        <f>IF(F137="","",IF(AE137="Dubai",HLOOKUP(F137,Inputs!$C$26:$M$28,3,0),HLOOKUP(F137,Inputs!$C$45:$M$46,2,0)))</f>
        <v/>
      </c>
      <c r="L137" s="94"/>
      <c r="M137" s="105">
        <f t="shared" si="68"/>
        <v>0</v>
      </c>
      <c r="N137" s="654" t="b">
        <f t="shared" si="69"/>
        <v>0</v>
      </c>
      <c r="O137" s="655" t="str">
        <f t="shared" si="70"/>
        <v>x</v>
      </c>
      <c r="P137" s="655" t="str">
        <f t="shared" si="71"/>
        <v>x</v>
      </c>
      <c r="Q137" s="655" t="str">
        <f t="shared" si="72"/>
        <v>x</v>
      </c>
      <c r="R137" s="655" t="str">
        <f t="shared" si="51"/>
        <v>x</v>
      </c>
      <c r="S137" s="655" t="str">
        <f t="shared" si="73"/>
        <v>x</v>
      </c>
      <c r="T137" s="655" t="str">
        <f>IF(ISERROR(MATCH(G137,'Inputs Mapping'!$T$4:$T$10,0)),"x","")</f>
        <v>x</v>
      </c>
      <c r="U137" s="655" t="str">
        <f>IF(ISERROR(MATCH(AA137,'Inputs Mapping'!$U$4:$U$5,0)),"x","")</f>
        <v>x</v>
      </c>
      <c r="V137" s="655" t="str">
        <f>IF(ISERROR(MATCH(AB137,'Inputs Mapping'!$V$4:$V$5,0)),"x","")</f>
        <v>x</v>
      </c>
      <c r="W137" s="655" t="str">
        <f>IF(ISERROR(MATCH(F137,'Inputs Mapping'!$W$4:$W$8,0)),"x","")</f>
        <v>x</v>
      </c>
      <c r="X137" s="655" t="str">
        <f t="shared" si="74"/>
        <v/>
      </c>
      <c r="Y137" s="655" t="str">
        <f t="shared" si="75"/>
        <v/>
      </c>
      <c r="Z137" s="655" t="str">
        <f t="shared" si="76"/>
        <v/>
      </c>
      <c r="AA137" s="655" t="str">
        <f t="shared" si="77"/>
        <v/>
      </c>
      <c r="AB137" s="655" t="str">
        <f t="shared" si="79"/>
        <v/>
      </c>
      <c r="AC137" s="655" t="str">
        <f t="shared" si="86"/>
        <v>x</v>
      </c>
      <c r="AD137" s="655" t="str">
        <f>IF(ISBLANK(I137),"x",IF(ISNUMBER(MATCH(I137,'Inputs Mapping'!$AF$5:$AF$199,0)),"","x"))</f>
        <v>x</v>
      </c>
      <c r="AE137" s="655" t="str">
        <f t="shared" si="80"/>
        <v/>
      </c>
      <c r="AF137" s="148"/>
      <c r="AG137" s="148"/>
      <c r="AH137" s="148" t="str">
        <f t="shared" si="81"/>
        <v/>
      </c>
      <c r="AI137" s="654" t="str">
        <f>IF(J137="","",VLOOKUP(J137,'Inputs Mapping'!$T$27:$V$31,3))</f>
        <v/>
      </c>
      <c r="AJ137" s="654" t="str">
        <f>IF(J137="","",VLOOKUP(J137,'Inputs Mapping'!$T$17:$V$24,3))</f>
        <v/>
      </c>
      <c r="AK137" s="654" t="str">
        <f t="shared" si="82"/>
        <v/>
      </c>
      <c r="AL137" s="655" t="str">
        <f t="shared" si="78"/>
        <v/>
      </c>
      <c r="AM137" s="655" t="str">
        <f>IF(F137="","",IF(AE137="Dubai",HLOOKUP(F137,Inputs!$C$26:$M$36,5,0),HLOOKUP(F137,Inputs!$C$45:$M$49,5,0)))</f>
        <v/>
      </c>
      <c r="AN137" s="655">
        <f t="shared" si="83"/>
        <v>0</v>
      </c>
      <c r="AO137" s="654" t="str">
        <f>IF(AJ137="","",IF(AN137="Dubai",VLOOKUP(AJ137,'Inputs Mapping'!$V$17:$W$24,2,0),VLOOKUP(AI137,'Inputs Mapping'!$V$27:$W$31,2,0)))</f>
        <v/>
      </c>
      <c r="AP137" s="666">
        <f>IFERROR(IF($AN137="","",HLOOKUP($AN137&amp;RIGHT($AL137,1),'input for formula'!$B$16:$I$20,3,0)),0)</f>
        <v>0</v>
      </c>
      <c r="AQ137" s="656">
        <f>IFERROR(IF($AN137="","",HLOOKUP($AN137&amp;$F137,'input for formula'!$B$22:$M$25,2,0)),0)</f>
        <v>0</v>
      </c>
      <c r="AR137" s="666">
        <f>IFERROR(IF($AN137="","",HLOOKUP($AN137&amp;RIGHT($AL137,1),'input for formula'!$B$16:$I$20,4,0)),0)</f>
        <v>0</v>
      </c>
      <c r="AS137" s="656">
        <f>IFERROR(IF($AN137="","",HLOOKUP($AN137&amp;$F137,'input for formula'!$B$22:$M$25,3,0)),0)</f>
        <v>0</v>
      </c>
      <c r="AT137" s="656">
        <f>IFERROR(IF($AN137="","",HLOOKUP($AN137&amp;RIGHT($AL137,1),'input for formula'!$B$16:$I$20,5,0)),0)</f>
        <v>0</v>
      </c>
      <c r="AU137" s="656">
        <f>IFERROR(IF($AN137="","",HLOOKUP($AN137&amp;$F137,'input for formula'!$B$22:$M$25,4,0)),0)</f>
        <v>0</v>
      </c>
      <c r="AV137" s="666">
        <f>IFERROR(IF($AN137="","",IF('Census Data'!$AN137="Abu Dhabi",VLOOKUP('Census Data'!$AM137,'input for formula'!$A$28:$C$41,3,0),VLOOKUP('Census Data'!$AM137,'input for formula'!$A$28:$C$47,2,0))),0)*IFERROR(1+IF(AN137="Dubai",VLOOKUP(F137,'Quotation for Dubai Plans'!$V$6:$X$12,3,FALSE),VLOOKUP(F137,'Quotation for Abu Dhabi Plans'!$W$6:$Y$12,3,FALSE)),0)</f>
        <v>0</v>
      </c>
      <c r="AW137" s="656" t="str">
        <f t="shared" si="52"/>
        <v/>
      </c>
      <c r="AX137" s="667" t="str">
        <f>IFERROR(IF(AL137="","",IF(AN137="Dubai",HLOOKUP((AL137&amp;AM137),Deviation!$B$7:$S$8,2,0)*BF137*BH137*BI137*BG137,HLOOKUP((AL137&amp;AM137),Deviation!$B$9:$O$10,2,0)*BF137*BH137*BI137*BG137)),0)</f>
        <v/>
      </c>
      <c r="AY137" s="668"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formula'!$M$3:$O$7,AO137,FALSE)))*AX137+AP137*AQ137+AR137*AS137+AT137*AU137),0)*$AZ$3*BK137*BJ137*IF(AND(Inputs!$C$19&gt;19,Inputs!$C$19&lt;30),(1+$AZ$2),1)*(1+$AZ$1))</f>
        <v/>
      </c>
      <c r="AZ137" s="148" t="str">
        <f t="shared" si="84"/>
        <v/>
      </c>
      <c r="BA137" s="669" t="str">
        <f>IF(F137="","",IF(AE137="Dubai",HLOOKUP(F137,Inputs!$C$26:$M$37,9,0),HLOOKUP(F137,Inputs!$C$45:$M$56,9,0)))</f>
        <v/>
      </c>
      <c r="BB137" s="670" t="str">
        <f>IF(F137="","",IF(AE137="Dubai",HLOOKUP(F137,Inputs!$C$26:$M$37,10,0),HLOOKUP(F137,Inputs!$C$45:$M$56,10,0)))</f>
        <v/>
      </c>
      <c r="BC137" s="670" t="str">
        <f>IF(F137="","",IF(AE137="Dubai",HLOOKUP(F137,Inputs!$C$26:$M$37,11,0),HLOOKUP(F137,Inputs!$C$45:$M$56,11,0)))</f>
        <v/>
      </c>
      <c r="BD137" s="669" t="str">
        <f>IF(F137="","",IF(AE137="Dubai",HLOOKUP(F137,Inputs!$C$26:$M$37,12,0),HLOOKUP(F137,Inputs!$C$45:$M$56,12,0)))</f>
        <v/>
      </c>
      <c r="BE137" s="654"/>
      <c r="BF137" s="669" t="str">
        <f>IFERROR(IF(AL137="","",IF(AN137="Dubai",IF(OR(AL137="Plan1",AL137="Plan2"),VLOOKUP(BA137,Deviation!$B$31:$D$33,2,FALSE),VLOOKUP(BA137,Deviation!$B$31:$D$33,3,FALSE)),IF(OR(AL137="Plan1",AL137="Plan2"),VLOOKUP(BA137,Deviation!$E$31:$AE$33,2,FALSE),VLOOKUP(BA137,Deviation!$E$31:$AE$33,3,FALSE)))),0)</f>
        <v/>
      </c>
      <c r="BG137" s="671" t="str">
        <f>IFERROR(IF(AL137="","",IF(AN137="Dubai",IF(AL137="Plan1",VLOOKUP(BB137,Deviation!$B$39:$C$40,2,FALSE),IF(AL137="Plan2",VLOOKUP(BB137,Deviation!$B$42:$C$43,2,FALSE),IF(AL137="Plan5",VLOOKUP(BB137,Deviation!$B$48:$C$49,2,FALSE),VLOOKUP(BB137,Deviation!$B$45:$C$46,2,FALSE)))),IF(AL137="Plan1",VLOOKUP(BB137,Deviation!$E$39:$F$40,2,FALSE),IF(AL137="Plan2",VLOOKUP(BB137,Deviation!$E$42:$F$43,2,FALSE),VLOOKUP(BB137,Deviation!$E$45:$F$46,2,FALSE))))),0)</f>
        <v/>
      </c>
      <c r="BH137" s="671" t="str">
        <f>IFERROR(IF(AL137="","",IF(AN137="Dubai",IF(OR(AL137="Plan1",AL137="Plan2"),VLOOKUP(BC137,Deviation!$B$15:$D$19,2,FALSE),VLOOKUP(BC137,Deviation!$B$15:$D$19,3,FALSE)),IF(OR(AL137="Plan1",AL137="Plan2"),VLOOKUP(BC137,Deviation!$E$15:$AE$19,2,FALSE),VLOOKUP(BC137,Deviation!$E$15:$AE$19,3,FALSE)))),0)</f>
        <v/>
      </c>
      <c r="BI137" s="669" t="str">
        <f>IFERROR(IF(AL137="","",IF(AN137="Dubai",VLOOKUP(BD137,Deviation!$B$24:$C$26,2,FALSE),100%)),0)</f>
        <v/>
      </c>
      <c r="BJ137" s="672">
        <f>IF(AE137="Abu Dhabi",1,IFERROR(VLOOKUP(AM137,Deviation!$B$67:$E$79,MATCH('Census Data'!AA137,Deviation!$B$66:$E$66,0),0),1))</f>
        <v>1</v>
      </c>
      <c r="BK137" s="659">
        <f>IFERROR(VLOOKUP(I137,Deviation!$B$54:$C$62,2,0),1)</f>
        <v>1</v>
      </c>
      <c r="BL137" s="148"/>
      <c r="BM137" s="148"/>
      <c r="BN137" s="148"/>
      <c r="BO137" s="148"/>
      <c r="BP137" s="148"/>
      <c r="BQ137" s="148"/>
      <c r="BR137" s="148"/>
      <c r="BS137" s="148"/>
      <c r="BT137" s="148" t="e">
        <f t="shared" si="85"/>
        <v>#VALUE!</v>
      </c>
      <c r="BU137"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f>
        <v/>
      </c>
    </row>
    <row r="138" spans="1:73" ht="15" x14ac:dyDescent="0.25">
      <c r="A138" s="59">
        <v>133</v>
      </c>
      <c r="B138" s="470"/>
      <c r="C138" s="630"/>
      <c r="D138" s="621"/>
      <c r="E138" s="631"/>
      <c r="F138" s="298"/>
      <c r="G138" s="298"/>
      <c r="H138" s="298"/>
      <c r="I138" s="298"/>
      <c r="J138" s="80" t="str">
        <f>IFERROR(IF(C138="","",DATEDIF('Census Data'!C138,eff_date,"y")),"")</f>
        <v/>
      </c>
      <c r="K138" s="59" t="str">
        <f>IF(F138="","",IF(AE138="Dubai",HLOOKUP(F138,Inputs!$C$26:$M$28,3,0),HLOOKUP(F138,Inputs!$C$45:$M$46,2,0)))</f>
        <v/>
      </c>
      <c r="L138" s="94"/>
      <c r="M138" s="105">
        <f t="shared" si="68"/>
        <v>0</v>
      </c>
      <c r="N138" s="654" t="b">
        <f t="shared" si="69"/>
        <v>0</v>
      </c>
      <c r="O138" s="655" t="str">
        <f t="shared" si="70"/>
        <v>x</v>
      </c>
      <c r="P138" s="655" t="str">
        <f t="shared" si="71"/>
        <v>x</v>
      </c>
      <c r="Q138" s="655" t="str">
        <f t="shared" si="72"/>
        <v>x</v>
      </c>
      <c r="R138" s="655" t="str">
        <f t="shared" si="51"/>
        <v>x</v>
      </c>
      <c r="S138" s="655" t="str">
        <f t="shared" si="73"/>
        <v>x</v>
      </c>
      <c r="T138" s="655" t="str">
        <f>IF(ISERROR(MATCH(G138,'Inputs Mapping'!$T$4:$T$10,0)),"x","")</f>
        <v>x</v>
      </c>
      <c r="U138" s="655" t="str">
        <f>IF(ISERROR(MATCH(AA138,'Inputs Mapping'!$U$4:$U$5,0)),"x","")</f>
        <v>x</v>
      </c>
      <c r="V138" s="655" t="str">
        <f>IF(ISERROR(MATCH(AB138,'Inputs Mapping'!$V$4:$V$5,0)),"x","")</f>
        <v>x</v>
      </c>
      <c r="W138" s="655" t="str">
        <f>IF(ISERROR(MATCH(F138,'Inputs Mapping'!$W$4:$W$8,0)),"x","")</f>
        <v>x</v>
      </c>
      <c r="X138" s="655" t="str">
        <f t="shared" si="74"/>
        <v/>
      </c>
      <c r="Y138" s="655" t="str">
        <f t="shared" si="75"/>
        <v/>
      </c>
      <c r="Z138" s="655" t="str">
        <f t="shared" si="76"/>
        <v/>
      </c>
      <c r="AA138" s="655" t="str">
        <f t="shared" si="77"/>
        <v/>
      </c>
      <c r="AB138" s="655" t="str">
        <f t="shared" si="79"/>
        <v/>
      </c>
      <c r="AC138" s="655" t="str">
        <f t="shared" si="86"/>
        <v>x</v>
      </c>
      <c r="AD138" s="655" t="str">
        <f>IF(ISBLANK(I138),"x",IF(ISNUMBER(MATCH(I138,'Inputs Mapping'!$AF$5:$AF$199,0)),"","x"))</f>
        <v>x</v>
      </c>
      <c r="AE138" s="655" t="str">
        <f t="shared" si="80"/>
        <v/>
      </c>
      <c r="AF138" s="148"/>
      <c r="AG138" s="148"/>
      <c r="AH138" s="148" t="str">
        <f t="shared" si="81"/>
        <v/>
      </c>
      <c r="AI138" s="654" t="str">
        <f>IF(J138="","",VLOOKUP(J138,'Inputs Mapping'!$T$27:$V$31,3))</f>
        <v/>
      </c>
      <c r="AJ138" s="654" t="str">
        <f>IF(J138="","",VLOOKUP(J138,'Inputs Mapping'!$T$17:$V$24,3))</f>
        <v/>
      </c>
      <c r="AK138" s="654" t="str">
        <f t="shared" si="82"/>
        <v/>
      </c>
      <c r="AL138" s="655" t="str">
        <f t="shared" si="78"/>
        <v/>
      </c>
      <c r="AM138" s="655" t="str">
        <f>IF(F138="","",IF(AE138="Dubai",HLOOKUP(F138,Inputs!$C$26:$M$36,5,0),HLOOKUP(F138,Inputs!$C$45:$M$49,5,0)))</f>
        <v/>
      </c>
      <c r="AN138" s="655">
        <f t="shared" si="83"/>
        <v>0</v>
      </c>
      <c r="AO138" s="654" t="str">
        <f>IF(AJ138="","",IF(AN138="Dubai",VLOOKUP(AJ138,'Inputs Mapping'!$V$17:$W$24,2,0),VLOOKUP(AI138,'Inputs Mapping'!$V$27:$W$31,2,0)))</f>
        <v/>
      </c>
      <c r="AP138" s="666">
        <f>IFERROR(IF($AN138="","",HLOOKUP($AN138&amp;RIGHT($AL138,1),'input for formula'!$B$16:$I$20,3,0)),0)</f>
        <v>0</v>
      </c>
      <c r="AQ138" s="656">
        <f>IFERROR(IF($AN138="","",HLOOKUP($AN138&amp;$F138,'input for formula'!$B$22:$M$25,2,0)),0)</f>
        <v>0</v>
      </c>
      <c r="AR138" s="666">
        <f>IFERROR(IF($AN138="","",HLOOKUP($AN138&amp;RIGHT($AL138,1),'input for formula'!$B$16:$I$20,4,0)),0)</f>
        <v>0</v>
      </c>
      <c r="AS138" s="656">
        <f>IFERROR(IF($AN138="","",HLOOKUP($AN138&amp;$F138,'input for formula'!$B$22:$M$25,3,0)),0)</f>
        <v>0</v>
      </c>
      <c r="AT138" s="656">
        <f>IFERROR(IF($AN138="","",HLOOKUP($AN138&amp;RIGHT($AL138,1),'input for formula'!$B$16:$I$20,5,0)),0)</f>
        <v>0</v>
      </c>
      <c r="AU138" s="656">
        <f>IFERROR(IF($AN138="","",HLOOKUP($AN138&amp;$F138,'input for formula'!$B$22:$M$25,4,0)),0)</f>
        <v>0</v>
      </c>
      <c r="AV138" s="666">
        <f>IFERROR(IF($AN138="","",IF('Census Data'!$AN138="Abu Dhabi",VLOOKUP('Census Data'!$AM138,'input for formula'!$A$28:$C$41,3,0),VLOOKUP('Census Data'!$AM138,'input for formula'!$A$28:$C$47,2,0))),0)*IFERROR(1+IF(AN138="Dubai",VLOOKUP(F138,'Quotation for Dubai Plans'!$V$6:$X$12,3,FALSE),VLOOKUP(F138,'Quotation for Abu Dhabi Plans'!$W$6:$Y$12,3,FALSE)),0)</f>
        <v>0</v>
      </c>
      <c r="AW138" s="656" t="str">
        <f t="shared" si="52"/>
        <v/>
      </c>
      <c r="AX138" s="667" t="str">
        <f>IFERROR(IF(AL138="","",IF(AN138="Dubai",HLOOKUP((AL138&amp;AM138),Deviation!$B$7:$S$8,2,0)*BF138*BH138*BI138*BG138,HLOOKUP((AL138&amp;AM138),Deviation!$B$9:$O$10,2,0)*BF138*BH138*BI138*BG138)),0)</f>
        <v/>
      </c>
      <c r="AY138" s="66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formula'!$M$3:$O$7,AO138,FALSE)))*AX138+AP138*AQ138+AR138*AS138+AT138*AU138),0)*$AZ$3*BK138*BJ138*IF(AND(Inputs!$C$19&gt;19,Inputs!$C$19&lt;30),(1+$AZ$2),1)*(1+$AZ$1))</f>
        <v/>
      </c>
      <c r="AZ138" s="148" t="str">
        <f t="shared" si="84"/>
        <v/>
      </c>
      <c r="BA138" s="669" t="str">
        <f>IF(F138="","",IF(AE138="Dubai",HLOOKUP(F138,Inputs!$C$26:$M$37,9,0),HLOOKUP(F138,Inputs!$C$45:$M$56,9,0)))</f>
        <v/>
      </c>
      <c r="BB138" s="670" t="str">
        <f>IF(F138="","",IF(AE138="Dubai",HLOOKUP(F138,Inputs!$C$26:$M$37,10,0),HLOOKUP(F138,Inputs!$C$45:$M$56,10,0)))</f>
        <v/>
      </c>
      <c r="BC138" s="670" t="str">
        <f>IF(F138="","",IF(AE138="Dubai",HLOOKUP(F138,Inputs!$C$26:$M$37,11,0),HLOOKUP(F138,Inputs!$C$45:$M$56,11,0)))</f>
        <v/>
      </c>
      <c r="BD138" s="669" t="str">
        <f>IF(F138="","",IF(AE138="Dubai",HLOOKUP(F138,Inputs!$C$26:$M$37,12,0),HLOOKUP(F138,Inputs!$C$45:$M$56,12,0)))</f>
        <v/>
      </c>
      <c r="BE138" s="654"/>
      <c r="BF138" s="669" t="str">
        <f>IFERROR(IF(AL138="","",IF(AN138="Dubai",IF(OR(AL138="Plan1",AL138="Plan2"),VLOOKUP(BA138,Deviation!$B$31:$D$33,2,FALSE),VLOOKUP(BA138,Deviation!$B$31:$D$33,3,FALSE)),IF(OR(AL138="Plan1",AL138="Plan2"),VLOOKUP(BA138,Deviation!$E$31:$AE$33,2,FALSE),VLOOKUP(BA138,Deviation!$E$31:$AE$33,3,FALSE)))),0)</f>
        <v/>
      </c>
      <c r="BG138" s="671" t="str">
        <f>IFERROR(IF(AL138="","",IF(AN138="Dubai",IF(AL138="Plan1",VLOOKUP(BB138,Deviation!$B$39:$C$40,2,FALSE),IF(AL138="Plan2",VLOOKUP(BB138,Deviation!$B$42:$C$43,2,FALSE),IF(AL138="Plan5",VLOOKUP(BB138,Deviation!$B$48:$C$49,2,FALSE),VLOOKUP(BB138,Deviation!$B$45:$C$46,2,FALSE)))),IF(AL138="Plan1",VLOOKUP(BB138,Deviation!$E$39:$F$40,2,FALSE),IF(AL138="Plan2",VLOOKUP(BB138,Deviation!$E$42:$F$43,2,FALSE),VLOOKUP(BB138,Deviation!$E$45:$F$46,2,FALSE))))),0)</f>
        <v/>
      </c>
      <c r="BH138" s="671" t="str">
        <f>IFERROR(IF(AL138="","",IF(AN138="Dubai",IF(OR(AL138="Plan1",AL138="Plan2"),VLOOKUP(BC138,Deviation!$B$15:$D$19,2,FALSE),VLOOKUP(BC138,Deviation!$B$15:$D$19,3,FALSE)),IF(OR(AL138="Plan1",AL138="Plan2"),VLOOKUP(BC138,Deviation!$E$15:$AE$19,2,FALSE),VLOOKUP(BC138,Deviation!$E$15:$AE$19,3,FALSE)))),0)</f>
        <v/>
      </c>
      <c r="BI138" s="669" t="str">
        <f>IFERROR(IF(AL138="","",IF(AN138="Dubai",VLOOKUP(BD138,Deviation!$B$24:$C$26,2,FALSE),100%)),0)</f>
        <v/>
      </c>
      <c r="BJ138" s="672">
        <f>IF(AE138="Abu Dhabi",1,IFERROR(VLOOKUP(AM138,Deviation!$B$67:$E$79,MATCH('Census Data'!AA138,Deviation!$B$66:$E$66,0),0),1))</f>
        <v>1</v>
      </c>
      <c r="BK138" s="659">
        <f>IFERROR(VLOOKUP(I138,Deviation!$B$54:$C$62,2,0),1)</f>
        <v>1</v>
      </c>
      <c r="BL138" s="148"/>
      <c r="BM138" s="148"/>
      <c r="BN138" s="148"/>
      <c r="BO138" s="148"/>
      <c r="BP138" s="148"/>
      <c r="BQ138" s="148"/>
      <c r="BR138" s="148"/>
      <c r="BS138" s="148"/>
      <c r="BT138" s="148" t="e">
        <f t="shared" si="85"/>
        <v>#VALUE!</v>
      </c>
      <c r="BU13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f>
        <v/>
      </c>
    </row>
    <row r="139" spans="1:73" ht="15" x14ac:dyDescent="0.25">
      <c r="A139" s="59">
        <v>134</v>
      </c>
      <c r="B139" s="470"/>
      <c r="C139" s="630"/>
      <c r="D139" s="621"/>
      <c r="E139" s="632"/>
      <c r="F139" s="298"/>
      <c r="G139" s="298"/>
      <c r="H139" s="298"/>
      <c r="I139" s="298"/>
      <c r="J139" s="80" t="str">
        <f>IFERROR(IF(C139="","",DATEDIF('Census Data'!C139,eff_date,"y")),"")</f>
        <v/>
      </c>
      <c r="K139" s="59" t="str">
        <f>IF(F139="","",IF(AE139="Dubai",HLOOKUP(F139,Inputs!$C$26:$M$28,3,0),HLOOKUP(F139,Inputs!$C$45:$M$46,2,0)))</f>
        <v/>
      </c>
      <c r="L139" s="94"/>
      <c r="M139" s="105">
        <f t="shared" si="68"/>
        <v>0</v>
      </c>
      <c r="N139" s="654" t="b">
        <f t="shared" si="69"/>
        <v>0</v>
      </c>
      <c r="O139" s="655" t="str">
        <f t="shared" si="70"/>
        <v>x</v>
      </c>
      <c r="P139" s="655" t="str">
        <f t="shared" si="71"/>
        <v>x</v>
      </c>
      <c r="Q139" s="655" t="str">
        <f t="shared" si="72"/>
        <v>x</v>
      </c>
      <c r="R139" s="655" t="str">
        <f t="shared" si="51"/>
        <v>x</v>
      </c>
      <c r="S139" s="655" t="str">
        <f t="shared" si="73"/>
        <v>x</v>
      </c>
      <c r="T139" s="655" t="str">
        <f>IF(ISERROR(MATCH(G139,'Inputs Mapping'!$T$4:$T$10,0)),"x","")</f>
        <v>x</v>
      </c>
      <c r="U139" s="655" t="str">
        <f>IF(ISERROR(MATCH(AA139,'Inputs Mapping'!$U$4:$U$5,0)),"x","")</f>
        <v>x</v>
      </c>
      <c r="V139" s="655" t="str">
        <f>IF(ISERROR(MATCH(AB139,'Inputs Mapping'!$V$4:$V$5,0)),"x","")</f>
        <v>x</v>
      </c>
      <c r="W139" s="655" t="str">
        <f>IF(ISERROR(MATCH(F139,'Inputs Mapping'!$W$4:$W$8,0)),"x","")</f>
        <v>x</v>
      </c>
      <c r="X139" s="655" t="str">
        <f t="shared" si="74"/>
        <v/>
      </c>
      <c r="Y139" s="655" t="str">
        <f t="shared" si="75"/>
        <v/>
      </c>
      <c r="Z139" s="655" t="str">
        <f t="shared" si="76"/>
        <v/>
      </c>
      <c r="AA139" s="655" t="str">
        <f t="shared" si="77"/>
        <v/>
      </c>
      <c r="AB139" s="655" t="str">
        <f t="shared" si="79"/>
        <v/>
      </c>
      <c r="AC139" s="655" t="str">
        <f t="shared" si="86"/>
        <v>x</v>
      </c>
      <c r="AD139" s="655" t="str">
        <f>IF(ISBLANK(I139),"x",IF(ISNUMBER(MATCH(I139,'Inputs Mapping'!$AF$5:$AF$199,0)),"","x"))</f>
        <v>x</v>
      </c>
      <c r="AE139" s="655" t="str">
        <f t="shared" si="80"/>
        <v/>
      </c>
      <c r="AF139" s="148"/>
      <c r="AG139" s="148"/>
      <c r="AH139" s="148" t="str">
        <f t="shared" si="81"/>
        <v/>
      </c>
      <c r="AI139" s="654" t="str">
        <f>IF(J139="","",VLOOKUP(J139,'Inputs Mapping'!$T$27:$V$31,3))</f>
        <v/>
      </c>
      <c r="AJ139" s="654" t="str">
        <f>IF(J139="","",VLOOKUP(J139,'Inputs Mapping'!$T$17:$V$24,3))</f>
        <v/>
      </c>
      <c r="AK139" s="654" t="str">
        <f t="shared" si="82"/>
        <v/>
      </c>
      <c r="AL139" s="655" t="str">
        <f t="shared" si="78"/>
        <v/>
      </c>
      <c r="AM139" s="655" t="str">
        <f>IF(F139="","",IF(AE139="Dubai",HLOOKUP(F139,Inputs!$C$26:$M$36,5,0),HLOOKUP(F139,Inputs!$C$45:$M$49,5,0)))</f>
        <v/>
      </c>
      <c r="AN139" s="655">
        <f t="shared" si="83"/>
        <v>0</v>
      </c>
      <c r="AO139" s="654" t="str">
        <f>IF(AJ139="","",IF(AN139="Dubai",VLOOKUP(AJ139,'Inputs Mapping'!$V$17:$W$24,2,0),VLOOKUP(AI139,'Inputs Mapping'!$V$27:$W$31,2,0)))</f>
        <v/>
      </c>
      <c r="AP139" s="666">
        <f>IFERROR(IF($AN139="","",HLOOKUP($AN139&amp;RIGHT($AL139,1),'input for formula'!$B$16:$I$20,3,0)),0)</f>
        <v>0</v>
      </c>
      <c r="AQ139" s="656">
        <f>IFERROR(IF($AN139="","",HLOOKUP($AN139&amp;$F139,'input for formula'!$B$22:$M$25,2,0)),0)</f>
        <v>0</v>
      </c>
      <c r="AR139" s="666">
        <f>IFERROR(IF($AN139="","",HLOOKUP($AN139&amp;RIGHT($AL139,1),'input for formula'!$B$16:$I$20,4,0)),0)</f>
        <v>0</v>
      </c>
      <c r="AS139" s="656">
        <f>IFERROR(IF($AN139="","",HLOOKUP($AN139&amp;$F139,'input for formula'!$B$22:$M$25,3,0)),0)</f>
        <v>0</v>
      </c>
      <c r="AT139" s="656">
        <f>IFERROR(IF($AN139="","",HLOOKUP($AN139&amp;RIGHT($AL139,1),'input for formula'!$B$16:$I$20,5,0)),0)</f>
        <v>0</v>
      </c>
      <c r="AU139" s="656">
        <f>IFERROR(IF($AN139="","",HLOOKUP($AN139&amp;$F139,'input for formula'!$B$22:$M$25,4,0)),0)</f>
        <v>0</v>
      </c>
      <c r="AV139" s="666">
        <f>IFERROR(IF($AN139="","",IF('Census Data'!$AN139="Abu Dhabi",VLOOKUP('Census Data'!$AM139,'input for formula'!$A$28:$C$41,3,0),VLOOKUP('Census Data'!$AM139,'input for formula'!$A$28:$C$47,2,0))),0)*IFERROR(1+IF(AN139="Dubai",VLOOKUP(F139,'Quotation for Dubai Plans'!$V$6:$X$12,3,FALSE),VLOOKUP(F139,'Quotation for Abu Dhabi Plans'!$W$6:$Y$12,3,FALSE)),0)</f>
        <v>0</v>
      </c>
      <c r="AW139" s="656" t="str">
        <f t="shared" si="52"/>
        <v/>
      </c>
      <c r="AX139" s="667" t="str">
        <f>IFERROR(IF(AL139="","",IF(AN139="Dubai",HLOOKUP((AL139&amp;AM139),Deviation!$B$7:$S$8,2,0)*BF139*BH139*BI139*BG139,HLOOKUP((AL139&amp;AM139),Deviation!$B$9:$O$10,2,0)*BF139*BH139*BI139*BG139)),0)</f>
        <v/>
      </c>
      <c r="AY139" s="668"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formula'!$M$3:$O$7,AO139,FALSE)))*AX139+AP139*AQ139+AR139*AS139+AT139*AU139),0)*$AZ$3*BK139*BJ139*IF(AND(Inputs!$C$19&gt;19,Inputs!$C$19&lt;30),(1+$AZ$2),1)*(1+$AZ$1))</f>
        <v/>
      </c>
      <c r="AZ139" s="148" t="str">
        <f t="shared" si="84"/>
        <v/>
      </c>
      <c r="BA139" s="669" t="str">
        <f>IF(F139="","",IF(AE139="Dubai",HLOOKUP(F139,Inputs!$C$26:$M$37,9,0),HLOOKUP(F139,Inputs!$C$45:$M$56,9,0)))</f>
        <v/>
      </c>
      <c r="BB139" s="670" t="str">
        <f>IF(F139="","",IF(AE139="Dubai",HLOOKUP(F139,Inputs!$C$26:$M$37,10,0),HLOOKUP(F139,Inputs!$C$45:$M$56,10,0)))</f>
        <v/>
      </c>
      <c r="BC139" s="670" t="str">
        <f>IF(F139="","",IF(AE139="Dubai",HLOOKUP(F139,Inputs!$C$26:$M$37,11,0),HLOOKUP(F139,Inputs!$C$45:$M$56,11,0)))</f>
        <v/>
      </c>
      <c r="BD139" s="669" t="str">
        <f>IF(F139="","",IF(AE139="Dubai",HLOOKUP(F139,Inputs!$C$26:$M$37,12,0),HLOOKUP(F139,Inputs!$C$45:$M$56,12,0)))</f>
        <v/>
      </c>
      <c r="BE139" s="654"/>
      <c r="BF139" s="669" t="str">
        <f>IFERROR(IF(AL139="","",IF(AN139="Dubai",IF(OR(AL139="Plan1",AL139="Plan2"),VLOOKUP(BA139,Deviation!$B$31:$D$33,2,FALSE),VLOOKUP(BA139,Deviation!$B$31:$D$33,3,FALSE)),IF(OR(AL139="Plan1",AL139="Plan2"),VLOOKUP(BA139,Deviation!$E$31:$AE$33,2,FALSE),VLOOKUP(BA139,Deviation!$E$31:$AE$33,3,FALSE)))),0)</f>
        <v/>
      </c>
      <c r="BG139" s="671" t="str">
        <f>IFERROR(IF(AL139="","",IF(AN139="Dubai",IF(AL139="Plan1",VLOOKUP(BB139,Deviation!$B$39:$C$40,2,FALSE),IF(AL139="Plan2",VLOOKUP(BB139,Deviation!$B$42:$C$43,2,FALSE),IF(AL139="Plan5",VLOOKUP(BB139,Deviation!$B$48:$C$49,2,FALSE),VLOOKUP(BB139,Deviation!$B$45:$C$46,2,FALSE)))),IF(AL139="Plan1",VLOOKUP(BB139,Deviation!$E$39:$F$40,2,FALSE),IF(AL139="Plan2",VLOOKUP(BB139,Deviation!$E$42:$F$43,2,FALSE),VLOOKUP(BB139,Deviation!$E$45:$F$46,2,FALSE))))),0)</f>
        <v/>
      </c>
      <c r="BH139" s="671" t="str">
        <f>IFERROR(IF(AL139="","",IF(AN139="Dubai",IF(OR(AL139="Plan1",AL139="Plan2"),VLOOKUP(BC139,Deviation!$B$15:$D$19,2,FALSE),VLOOKUP(BC139,Deviation!$B$15:$D$19,3,FALSE)),IF(OR(AL139="Plan1",AL139="Plan2"),VLOOKUP(BC139,Deviation!$E$15:$AE$19,2,FALSE),VLOOKUP(BC139,Deviation!$E$15:$AE$19,3,FALSE)))),0)</f>
        <v/>
      </c>
      <c r="BI139" s="669" t="str">
        <f>IFERROR(IF(AL139="","",IF(AN139="Dubai",VLOOKUP(BD139,Deviation!$B$24:$C$26,2,FALSE),100%)),0)</f>
        <v/>
      </c>
      <c r="BJ139" s="672">
        <f>IF(AE139="Abu Dhabi",1,IFERROR(VLOOKUP(AM139,Deviation!$B$67:$E$79,MATCH('Census Data'!AA139,Deviation!$B$66:$E$66,0),0),1))</f>
        <v>1</v>
      </c>
      <c r="BK139" s="659">
        <f>IFERROR(VLOOKUP(I139,Deviation!$B$54:$C$62,2,0),1)</f>
        <v>1</v>
      </c>
      <c r="BL139" s="148"/>
      <c r="BM139" s="148"/>
      <c r="BN139" s="148"/>
      <c r="BO139" s="148"/>
      <c r="BP139" s="148"/>
      <c r="BQ139" s="148"/>
      <c r="BR139" s="148"/>
      <c r="BS139" s="148"/>
      <c r="BT139" s="148" t="e">
        <f t="shared" si="85"/>
        <v>#VALUE!</v>
      </c>
      <c r="BU139"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f>
        <v/>
      </c>
    </row>
    <row r="140" spans="1:73" ht="15" x14ac:dyDescent="0.25">
      <c r="A140" s="59">
        <v>135</v>
      </c>
      <c r="B140" s="470"/>
      <c r="C140" s="630"/>
      <c r="D140" s="621"/>
      <c r="E140" s="631"/>
      <c r="F140" s="298"/>
      <c r="G140" s="298"/>
      <c r="H140" s="298"/>
      <c r="I140" s="298"/>
      <c r="J140" s="80" t="str">
        <f>IFERROR(IF(C140="","",DATEDIF('Census Data'!C140,eff_date,"y")),"")</f>
        <v/>
      </c>
      <c r="K140" s="59" t="str">
        <f>IF(F140="","",IF(AE140="Dubai",HLOOKUP(F140,Inputs!$C$26:$M$28,3,0),HLOOKUP(F140,Inputs!$C$45:$M$46,2,0)))</f>
        <v/>
      </c>
      <c r="L140" s="94"/>
      <c r="M140" s="105">
        <f t="shared" si="68"/>
        <v>0</v>
      </c>
      <c r="N140" s="654" t="b">
        <f t="shared" si="69"/>
        <v>0</v>
      </c>
      <c r="O140" s="655" t="str">
        <f t="shared" si="70"/>
        <v>x</v>
      </c>
      <c r="P140" s="655" t="str">
        <f t="shared" si="71"/>
        <v>x</v>
      </c>
      <c r="Q140" s="655" t="str">
        <f t="shared" si="72"/>
        <v>x</v>
      </c>
      <c r="R140" s="655" t="str">
        <f t="shared" si="51"/>
        <v>x</v>
      </c>
      <c r="S140" s="655" t="str">
        <f t="shared" si="73"/>
        <v>x</v>
      </c>
      <c r="T140" s="655" t="str">
        <f>IF(ISERROR(MATCH(G140,'Inputs Mapping'!$T$4:$T$10,0)),"x","")</f>
        <v>x</v>
      </c>
      <c r="U140" s="655" t="str">
        <f>IF(ISERROR(MATCH(AA140,'Inputs Mapping'!$U$4:$U$5,0)),"x","")</f>
        <v>x</v>
      </c>
      <c r="V140" s="655" t="str">
        <f>IF(ISERROR(MATCH(AB140,'Inputs Mapping'!$V$4:$V$5,0)),"x","")</f>
        <v>x</v>
      </c>
      <c r="W140" s="655" t="str">
        <f>IF(ISERROR(MATCH(F140,'Inputs Mapping'!$W$4:$W$8,0)),"x","")</f>
        <v>x</v>
      </c>
      <c r="X140" s="655" t="str">
        <f t="shared" si="74"/>
        <v/>
      </c>
      <c r="Y140" s="655" t="str">
        <f t="shared" si="75"/>
        <v/>
      </c>
      <c r="Z140" s="655" t="str">
        <f t="shared" si="76"/>
        <v/>
      </c>
      <c r="AA140" s="655" t="str">
        <f t="shared" si="77"/>
        <v/>
      </c>
      <c r="AB140" s="655" t="str">
        <f t="shared" si="79"/>
        <v/>
      </c>
      <c r="AC140" s="655" t="str">
        <f t="shared" si="86"/>
        <v>x</v>
      </c>
      <c r="AD140" s="655" t="str">
        <f>IF(ISBLANK(I140),"x",IF(ISNUMBER(MATCH(I140,'Inputs Mapping'!$AF$5:$AF$199,0)),"","x"))</f>
        <v>x</v>
      </c>
      <c r="AE140" s="655" t="str">
        <f t="shared" si="80"/>
        <v/>
      </c>
      <c r="AF140" s="148"/>
      <c r="AG140" s="148"/>
      <c r="AH140" s="148" t="str">
        <f t="shared" si="81"/>
        <v/>
      </c>
      <c r="AI140" s="654" t="str">
        <f>IF(J140="","",VLOOKUP(J140,'Inputs Mapping'!$T$27:$V$31,3))</f>
        <v/>
      </c>
      <c r="AJ140" s="654" t="str">
        <f>IF(J140="","",VLOOKUP(J140,'Inputs Mapping'!$T$17:$V$24,3))</f>
        <v/>
      </c>
      <c r="AK140" s="654" t="str">
        <f t="shared" si="82"/>
        <v/>
      </c>
      <c r="AL140" s="655" t="str">
        <f t="shared" si="78"/>
        <v/>
      </c>
      <c r="AM140" s="655" t="str">
        <f>IF(F140="","",IF(AE140="Dubai",HLOOKUP(F140,Inputs!$C$26:$M$36,5,0),HLOOKUP(F140,Inputs!$C$45:$M$49,5,0)))</f>
        <v/>
      </c>
      <c r="AN140" s="655">
        <f t="shared" si="83"/>
        <v>0</v>
      </c>
      <c r="AO140" s="654" t="str">
        <f>IF(AJ140="","",IF(AN140="Dubai",VLOOKUP(AJ140,'Inputs Mapping'!$V$17:$W$24,2,0),VLOOKUP(AI140,'Inputs Mapping'!$V$27:$W$31,2,0)))</f>
        <v/>
      </c>
      <c r="AP140" s="666">
        <f>IFERROR(IF($AN140="","",HLOOKUP($AN140&amp;RIGHT($AL140,1),'input for formula'!$B$16:$I$20,3,0)),0)</f>
        <v>0</v>
      </c>
      <c r="AQ140" s="656">
        <f>IFERROR(IF($AN140="","",HLOOKUP($AN140&amp;$F140,'input for formula'!$B$22:$M$25,2,0)),0)</f>
        <v>0</v>
      </c>
      <c r="AR140" s="666">
        <f>IFERROR(IF($AN140="","",HLOOKUP($AN140&amp;RIGHT($AL140,1),'input for formula'!$B$16:$I$20,4,0)),0)</f>
        <v>0</v>
      </c>
      <c r="AS140" s="656">
        <f>IFERROR(IF($AN140="","",HLOOKUP($AN140&amp;$F140,'input for formula'!$B$22:$M$25,3,0)),0)</f>
        <v>0</v>
      </c>
      <c r="AT140" s="656">
        <f>IFERROR(IF($AN140="","",HLOOKUP($AN140&amp;RIGHT($AL140,1),'input for formula'!$B$16:$I$20,5,0)),0)</f>
        <v>0</v>
      </c>
      <c r="AU140" s="656">
        <f>IFERROR(IF($AN140="","",HLOOKUP($AN140&amp;$F140,'input for formula'!$B$22:$M$25,4,0)),0)</f>
        <v>0</v>
      </c>
      <c r="AV140" s="666">
        <f>IFERROR(IF($AN140="","",IF('Census Data'!$AN140="Abu Dhabi",VLOOKUP('Census Data'!$AM140,'input for formula'!$A$28:$C$41,3,0),VLOOKUP('Census Data'!$AM140,'input for formula'!$A$28:$C$47,2,0))),0)*IFERROR(1+IF(AN140="Dubai",VLOOKUP(F140,'Quotation for Dubai Plans'!$V$6:$X$12,3,FALSE),VLOOKUP(F140,'Quotation for Abu Dhabi Plans'!$W$6:$Y$12,3,FALSE)),0)</f>
        <v>0</v>
      </c>
      <c r="AW140" s="656" t="str">
        <f t="shared" si="52"/>
        <v/>
      </c>
      <c r="AX140" s="667" t="str">
        <f>IFERROR(IF(AL140="","",IF(AN140="Dubai",HLOOKUP((AL140&amp;AM140),Deviation!$B$7:$S$8,2,0)*BF140*BH140*BI140*BG140,HLOOKUP((AL140&amp;AM140),Deviation!$B$9:$O$10,2,0)*BF140*BH140*BI140*BG140)),0)</f>
        <v/>
      </c>
      <c r="AY140" s="668"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formula'!$M$3:$O$7,AO140,FALSE)))*AX140+AP140*AQ140+AR140*AS140+AT140*AU140),0)*$AZ$3*BK140*BJ140*IF(AND(Inputs!$C$19&gt;19,Inputs!$C$19&lt;30),(1+$AZ$2),1)*(1+$AZ$1))</f>
        <v/>
      </c>
      <c r="AZ140" s="148" t="str">
        <f t="shared" si="84"/>
        <v/>
      </c>
      <c r="BA140" s="669" t="str">
        <f>IF(F140="","",IF(AE140="Dubai",HLOOKUP(F140,Inputs!$C$26:$M$37,9,0),HLOOKUP(F140,Inputs!$C$45:$M$56,9,0)))</f>
        <v/>
      </c>
      <c r="BB140" s="670" t="str">
        <f>IF(F140="","",IF(AE140="Dubai",HLOOKUP(F140,Inputs!$C$26:$M$37,10,0),HLOOKUP(F140,Inputs!$C$45:$M$56,10,0)))</f>
        <v/>
      </c>
      <c r="BC140" s="670" t="str">
        <f>IF(F140="","",IF(AE140="Dubai",HLOOKUP(F140,Inputs!$C$26:$M$37,11,0),HLOOKUP(F140,Inputs!$C$45:$M$56,11,0)))</f>
        <v/>
      </c>
      <c r="BD140" s="669" t="str">
        <f>IF(F140="","",IF(AE140="Dubai",HLOOKUP(F140,Inputs!$C$26:$M$37,12,0),HLOOKUP(F140,Inputs!$C$45:$M$56,12,0)))</f>
        <v/>
      </c>
      <c r="BE140" s="654"/>
      <c r="BF140" s="669" t="str">
        <f>IFERROR(IF(AL140="","",IF(AN140="Dubai",IF(OR(AL140="Plan1",AL140="Plan2"),VLOOKUP(BA140,Deviation!$B$31:$D$33,2,FALSE),VLOOKUP(BA140,Deviation!$B$31:$D$33,3,FALSE)),IF(OR(AL140="Plan1",AL140="Plan2"),VLOOKUP(BA140,Deviation!$E$31:$AE$33,2,FALSE),VLOOKUP(BA140,Deviation!$E$31:$AE$33,3,FALSE)))),0)</f>
        <v/>
      </c>
      <c r="BG140" s="671" t="str">
        <f>IFERROR(IF(AL140="","",IF(AN140="Dubai",IF(AL140="Plan1",VLOOKUP(BB140,Deviation!$B$39:$C$40,2,FALSE),IF(AL140="Plan2",VLOOKUP(BB140,Deviation!$B$42:$C$43,2,FALSE),IF(AL140="Plan5",VLOOKUP(BB140,Deviation!$B$48:$C$49,2,FALSE),VLOOKUP(BB140,Deviation!$B$45:$C$46,2,FALSE)))),IF(AL140="Plan1",VLOOKUP(BB140,Deviation!$E$39:$F$40,2,FALSE),IF(AL140="Plan2",VLOOKUP(BB140,Deviation!$E$42:$F$43,2,FALSE),VLOOKUP(BB140,Deviation!$E$45:$F$46,2,FALSE))))),0)</f>
        <v/>
      </c>
      <c r="BH140" s="671" t="str">
        <f>IFERROR(IF(AL140="","",IF(AN140="Dubai",IF(OR(AL140="Plan1",AL140="Plan2"),VLOOKUP(BC140,Deviation!$B$15:$D$19,2,FALSE),VLOOKUP(BC140,Deviation!$B$15:$D$19,3,FALSE)),IF(OR(AL140="Plan1",AL140="Plan2"),VLOOKUP(BC140,Deviation!$E$15:$AE$19,2,FALSE),VLOOKUP(BC140,Deviation!$E$15:$AE$19,3,FALSE)))),0)</f>
        <v/>
      </c>
      <c r="BI140" s="669" t="str">
        <f>IFERROR(IF(AL140="","",IF(AN140="Dubai",VLOOKUP(BD140,Deviation!$B$24:$C$26,2,FALSE),100%)),0)</f>
        <v/>
      </c>
      <c r="BJ140" s="672">
        <f>IF(AE140="Abu Dhabi",1,IFERROR(VLOOKUP(AM140,Deviation!$B$67:$E$79,MATCH('Census Data'!AA140,Deviation!$B$66:$E$66,0),0),1))</f>
        <v>1</v>
      </c>
      <c r="BK140" s="659">
        <f>IFERROR(VLOOKUP(I140,Deviation!$B$54:$C$62,2,0),1)</f>
        <v>1</v>
      </c>
      <c r="BL140" s="148"/>
      <c r="BM140" s="148"/>
      <c r="BN140" s="148"/>
      <c r="BO140" s="148"/>
      <c r="BP140" s="148"/>
      <c r="BQ140" s="148"/>
      <c r="BR140" s="148"/>
      <c r="BS140" s="148"/>
      <c r="BT140" s="148" t="e">
        <f t="shared" si="85"/>
        <v>#VALUE!</v>
      </c>
      <c r="BU140"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f>
        <v/>
      </c>
    </row>
    <row r="141" spans="1:73" ht="15" x14ac:dyDescent="0.25">
      <c r="A141" s="59">
        <v>136</v>
      </c>
      <c r="B141" s="470"/>
      <c r="C141" s="630"/>
      <c r="D141" s="621"/>
      <c r="E141" s="631"/>
      <c r="F141" s="298"/>
      <c r="G141" s="298"/>
      <c r="H141" s="298"/>
      <c r="I141" s="298"/>
      <c r="J141" s="80" t="str">
        <f>IFERROR(IF(C141="","",DATEDIF('Census Data'!C141,eff_date,"y")),"")</f>
        <v/>
      </c>
      <c r="K141" s="59" t="str">
        <f>IF(F141="","",IF(AE141="Dubai",HLOOKUP(F141,Inputs!$C$26:$M$28,3,0),HLOOKUP(F141,Inputs!$C$45:$M$46,2,0)))</f>
        <v/>
      </c>
      <c r="L141" s="94"/>
      <c r="M141" s="105">
        <f t="shared" si="68"/>
        <v>0</v>
      </c>
      <c r="N141" s="654" t="b">
        <f t="shared" si="69"/>
        <v>0</v>
      </c>
      <c r="O141" s="655" t="str">
        <f t="shared" si="70"/>
        <v>x</v>
      </c>
      <c r="P141" s="655" t="str">
        <f t="shared" si="71"/>
        <v>x</v>
      </c>
      <c r="Q141" s="655" t="str">
        <f t="shared" si="72"/>
        <v>x</v>
      </c>
      <c r="R141" s="655" t="str">
        <f t="shared" si="51"/>
        <v>x</v>
      </c>
      <c r="S141" s="655" t="str">
        <f t="shared" si="73"/>
        <v>x</v>
      </c>
      <c r="T141" s="655" t="str">
        <f>IF(ISERROR(MATCH(G141,'Inputs Mapping'!$T$4:$T$10,0)),"x","")</f>
        <v>x</v>
      </c>
      <c r="U141" s="655" t="str">
        <f>IF(ISERROR(MATCH(AA141,'Inputs Mapping'!$U$4:$U$5,0)),"x","")</f>
        <v>x</v>
      </c>
      <c r="V141" s="655" t="str">
        <f>IF(ISERROR(MATCH(AB141,'Inputs Mapping'!$V$4:$V$5,0)),"x","")</f>
        <v>x</v>
      </c>
      <c r="W141" s="655" t="str">
        <f>IF(ISERROR(MATCH(F141,'Inputs Mapping'!$W$4:$W$8,0)),"x","")</f>
        <v>x</v>
      </c>
      <c r="X141" s="655" t="str">
        <f t="shared" si="74"/>
        <v/>
      </c>
      <c r="Y141" s="655" t="str">
        <f t="shared" si="75"/>
        <v/>
      </c>
      <c r="Z141" s="655" t="str">
        <f t="shared" si="76"/>
        <v/>
      </c>
      <c r="AA141" s="655" t="str">
        <f t="shared" si="77"/>
        <v/>
      </c>
      <c r="AB141" s="655" t="str">
        <f t="shared" si="79"/>
        <v/>
      </c>
      <c r="AC141" s="655" t="str">
        <f t="shared" si="86"/>
        <v>x</v>
      </c>
      <c r="AD141" s="655" t="str">
        <f>IF(ISBLANK(I141),"x",IF(ISNUMBER(MATCH(I141,'Inputs Mapping'!$AF$5:$AF$199,0)),"","x"))</f>
        <v>x</v>
      </c>
      <c r="AE141" s="655" t="str">
        <f t="shared" si="80"/>
        <v/>
      </c>
      <c r="AF141" s="148"/>
      <c r="AG141" s="148"/>
      <c r="AH141" s="148" t="str">
        <f t="shared" si="81"/>
        <v/>
      </c>
      <c r="AI141" s="654" t="str">
        <f>IF(J141="","",VLOOKUP(J141,'Inputs Mapping'!$T$27:$V$31,3))</f>
        <v/>
      </c>
      <c r="AJ141" s="654" t="str">
        <f>IF(J141="","",VLOOKUP(J141,'Inputs Mapping'!$T$17:$V$24,3))</f>
        <v/>
      </c>
      <c r="AK141" s="654" t="str">
        <f t="shared" si="82"/>
        <v/>
      </c>
      <c r="AL141" s="655" t="str">
        <f t="shared" si="78"/>
        <v/>
      </c>
      <c r="AM141" s="655" t="str">
        <f>IF(F141="","",IF(AE141="Dubai",HLOOKUP(F141,Inputs!$C$26:$M$36,5,0),HLOOKUP(F141,Inputs!$C$45:$M$49,5,0)))</f>
        <v/>
      </c>
      <c r="AN141" s="655">
        <f t="shared" si="83"/>
        <v>0</v>
      </c>
      <c r="AO141" s="654" t="str">
        <f>IF(AJ141="","",IF(AN141="Dubai",VLOOKUP(AJ141,'Inputs Mapping'!$V$17:$W$24,2,0),VLOOKUP(AI141,'Inputs Mapping'!$V$27:$W$31,2,0)))</f>
        <v/>
      </c>
      <c r="AP141" s="666">
        <f>IFERROR(IF($AN141="","",HLOOKUP($AN141&amp;RIGHT($AL141,1),'input for formula'!$B$16:$I$20,3,0)),0)</f>
        <v>0</v>
      </c>
      <c r="AQ141" s="656">
        <f>IFERROR(IF($AN141="","",HLOOKUP($AN141&amp;$F141,'input for formula'!$B$22:$M$25,2,0)),0)</f>
        <v>0</v>
      </c>
      <c r="AR141" s="666">
        <f>IFERROR(IF($AN141="","",HLOOKUP($AN141&amp;RIGHT($AL141,1),'input for formula'!$B$16:$I$20,4,0)),0)</f>
        <v>0</v>
      </c>
      <c r="AS141" s="656">
        <f>IFERROR(IF($AN141="","",HLOOKUP($AN141&amp;$F141,'input for formula'!$B$22:$M$25,3,0)),0)</f>
        <v>0</v>
      </c>
      <c r="AT141" s="656">
        <f>IFERROR(IF($AN141="","",HLOOKUP($AN141&amp;RIGHT($AL141,1),'input for formula'!$B$16:$I$20,5,0)),0)</f>
        <v>0</v>
      </c>
      <c r="AU141" s="656">
        <f>IFERROR(IF($AN141="","",HLOOKUP($AN141&amp;$F141,'input for formula'!$B$22:$M$25,4,0)),0)</f>
        <v>0</v>
      </c>
      <c r="AV141" s="666">
        <f>IFERROR(IF($AN141="","",IF('Census Data'!$AN141="Abu Dhabi",VLOOKUP('Census Data'!$AM141,'input for formula'!$A$28:$C$41,3,0),VLOOKUP('Census Data'!$AM141,'input for formula'!$A$28:$C$47,2,0))),0)*IFERROR(1+IF(AN141="Dubai",VLOOKUP(F141,'Quotation for Dubai Plans'!$V$6:$X$12,3,FALSE),VLOOKUP(F141,'Quotation for Abu Dhabi Plans'!$W$6:$Y$12,3,FALSE)),0)</f>
        <v>0</v>
      </c>
      <c r="AW141" s="656" t="str">
        <f t="shared" si="52"/>
        <v/>
      </c>
      <c r="AX141" s="667" t="str">
        <f>IFERROR(IF(AL141="","",IF(AN141="Dubai",HLOOKUP((AL141&amp;AM141),Deviation!$B$7:$S$8,2,0)*BF141*BH141*BI141*BG141,HLOOKUP((AL141&amp;AM141),Deviation!$B$9:$O$10,2,0)*BF141*BH141*BI141*BG141)),0)</f>
        <v/>
      </c>
      <c r="AY141" s="668"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formula'!$M$3:$O$7,AO141,FALSE)))*AX141+AP141*AQ141+AR141*AS141+AT141*AU141),0)*$AZ$3*BK141*BJ141*IF(AND(Inputs!$C$19&gt;19,Inputs!$C$19&lt;30),(1+$AZ$2),1)*(1+$AZ$1))</f>
        <v/>
      </c>
      <c r="AZ141" s="148" t="str">
        <f t="shared" si="84"/>
        <v/>
      </c>
      <c r="BA141" s="669" t="str">
        <f>IF(F141="","",IF(AE141="Dubai",HLOOKUP(F141,Inputs!$C$26:$M$37,9,0),HLOOKUP(F141,Inputs!$C$45:$M$56,9,0)))</f>
        <v/>
      </c>
      <c r="BB141" s="670" t="str">
        <f>IF(F141="","",IF(AE141="Dubai",HLOOKUP(F141,Inputs!$C$26:$M$37,10,0),HLOOKUP(F141,Inputs!$C$45:$M$56,10,0)))</f>
        <v/>
      </c>
      <c r="BC141" s="670" t="str">
        <f>IF(F141="","",IF(AE141="Dubai",HLOOKUP(F141,Inputs!$C$26:$M$37,11,0),HLOOKUP(F141,Inputs!$C$45:$M$56,11,0)))</f>
        <v/>
      </c>
      <c r="BD141" s="669" t="str">
        <f>IF(F141="","",IF(AE141="Dubai",HLOOKUP(F141,Inputs!$C$26:$M$37,12,0),HLOOKUP(F141,Inputs!$C$45:$M$56,12,0)))</f>
        <v/>
      </c>
      <c r="BE141" s="654"/>
      <c r="BF141" s="669" t="str">
        <f>IFERROR(IF(AL141="","",IF(AN141="Dubai",IF(OR(AL141="Plan1",AL141="Plan2"),VLOOKUP(BA141,Deviation!$B$31:$D$33,2,FALSE),VLOOKUP(BA141,Deviation!$B$31:$D$33,3,FALSE)),IF(OR(AL141="Plan1",AL141="Plan2"),VLOOKUP(BA141,Deviation!$E$31:$AE$33,2,FALSE),VLOOKUP(BA141,Deviation!$E$31:$AE$33,3,FALSE)))),0)</f>
        <v/>
      </c>
      <c r="BG141" s="671" t="str">
        <f>IFERROR(IF(AL141="","",IF(AN141="Dubai",IF(AL141="Plan1",VLOOKUP(BB141,Deviation!$B$39:$C$40,2,FALSE),IF(AL141="Plan2",VLOOKUP(BB141,Deviation!$B$42:$C$43,2,FALSE),IF(AL141="Plan5",VLOOKUP(BB141,Deviation!$B$48:$C$49,2,FALSE),VLOOKUP(BB141,Deviation!$B$45:$C$46,2,FALSE)))),IF(AL141="Plan1",VLOOKUP(BB141,Deviation!$E$39:$F$40,2,FALSE),IF(AL141="Plan2",VLOOKUP(BB141,Deviation!$E$42:$F$43,2,FALSE),VLOOKUP(BB141,Deviation!$E$45:$F$46,2,FALSE))))),0)</f>
        <v/>
      </c>
      <c r="BH141" s="671" t="str">
        <f>IFERROR(IF(AL141="","",IF(AN141="Dubai",IF(OR(AL141="Plan1",AL141="Plan2"),VLOOKUP(BC141,Deviation!$B$15:$D$19,2,FALSE),VLOOKUP(BC141,Deviation!$B$15:$D$19,3,FALSE)),IF(OR(AL141="Plan1",AL141="Plan2"),VLOOKUP(BC141,Deviation!$E$15:$AE$19,2,FALSE),VLOOKUP(BC141,Deviation!$E$15:$AE$19,3,FALSE)))),0)</f>
        <v/>
      </c>
      <c r="BI141" s="669" t="str">
        <f>IFERROR(IF(AL141="","",IF(AN141="Dubai",VLOOKUP(BD141,Deviation!$B$24:$C$26,2,FALSE),100%)),0)</f>
        <v/>
      </c>
      <c r="BJ141" s="672">
        <f>IF(AE141="Abu Dhabi",1,IFERROR(VLOOKUP(AM141,Deviation!$B$67:$E$79,MATCH('Census Data'!AA141,Deviation!$B$66:$E$66,0),0),1))</f>
        <v>1</v>
      </c>
      <c r="BK141" s="659">
        <f>IFERROR(VLOOKUP(I141,Deviation!$B$54:$C$62,2,0),1)</f>
        <v>1</v>
      </c>
      <c r="BL141" s="148"/>
      <c r="BM141" s="148"/>
      <c r="BN141" s="148"/>
      <c r="BO141" s="148"/>
      <c r="BP141" s="148"/>
      <c r="BQ141" s="148"/>
      <c r="BR141" s="148"/>
      <c r="BS141" s="148"/>
      <c r="BT141" s="148" t="e">
        <f t="shared" si="85"/>
        <v>#VALUE!</v>
      </c>
      <c r="BU141"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f>
        <v/>
      </c>
    </row>
    <row r="142" spans="1:73" ht="15" x14ac:dyDescent="0.25">
      <c r="A142" s="59">
        <v>137</v>
      </c>
      <c r="B142" s="470"/>
      <c r="C142" s="630"/>
      <c r="D142" s="621"/>
      <c r="E142" s="631"/>
      <c r="F142" s="298"/>
      <c r="G142" s="298"/>
      <c r="H142" s="298"/>
      <c r="I142" s="298"/>
      <c r="J142" s="80" t="str">
        <f>IFERROR(IF(C142="","",DATEDIF('Census Data'!C142,eff_date,"y")),"")</f>
        <v/>
      </c>
      <c r="K142" s="59" t="str">
        <f>IF(F142="","",IF(AE142="Dubai",HLOOKUP(F142,Inputs!$C$26:$M$28,3,0),HLOOKUP(F142,Inputs!$C$45:$M$46,2,0)))</f>
        <v/>
      </c>
      <c r="L142" s="94"/>
      <c r="M142" s="105">
        <f t="shared" si="68"/>
        <v>0</v>
      </c>
      <c r="N142" s="654" t="b">
        <f t="shared" si="69"/>
        <v>0</v>
      </c>
      <c r="O142" s="655" t="str">
        <f t="shared" si="70"/>
        <v>x</v>
      </c>
      <c r="P142" s="655" t="str">
        <f t="shared" si="71"/>
        <v>x</v>
      </c>
      <c r="Q142" s="655" t="str">
        <f t="shared" si="72"/>
        <v>x</v>
      </c>
      <c r="R142" s="655" t="str">
        <f t="shared" si="51"/>
        <v>x</v>
      </c>
      <c r="S142" s="655" t="str">
        <f t="shared" si="73"/>
        <v>x</v>
      </c>
      <c r="T142" s="655" t="str">
        <f>IF(ISERROR(MATCH(G142,'Inputs Mapping'!$T$4:$T$10,0)),"x","")</f>
        <v>x</v>
      </c>
      <c r="U142" s="655" t="str">
        <f>IF(ISERROR(MATCH(AA142,'Inputs Mapping'!$U$4:$U$5,0)),"x","")</f>
        <v>x</v>
      </c>
      <c r="V142" s="655" t="str">
        <f>IF(ISERROR(MATCH(AB142,'Inputs Mapping'!$V$4:$V$5,0)),"x","")</f>
        <v>x</v>
      </c>
      <c r="W142" s="655" t="str">
        <f>IF(ISERROR(MATCH(F142,'Inputs Mapping'!$W$4:$W$8,0)),"x","")</f>
        <v>x</v>
      </c>
      <c r="X142" s="655" t="str">
        <f t="shared" si="74"/>
        <v/>
      </c>
      <c r="Y142" s="655" t="str">
        <f t="shared" si="75"/>
        <v/>
      </c>
      <c r="Z142" s="655" t="str">
        <f t="shared" si="76"/>
        <v/>
      </c>
      <c r="AA142" s="655" t="str">
        <f t="shared" si="77"/>
        <v/>
      </c>
      <c r="AB142" s="655" t="str">
        <f t="shared" si="79"/>
        <v/>
      </c>
      <c r="AC142" s="655" t="str">
        <f t="shared" si="86"/>
        <v>x</v>
      </c>
      <c r="AD142" s="655" t="str">
        <f>IF(ISBLANK(I142),"x",IF(ISNUMBER(MATCH(I142,'Inputs Mapping'!$AF$5:$AF$199,0)),"","x"))</f>
        <v>x</v>
      </c>
      <c r="AE142" s="655" t="str">
        <f t="shared" si="80"/>
        <v/>
      </c>
      <c r="AF142" s="148"/>
      <c r="AG142" s="148"/>
      <c r="AH142" s="148" t="str">
        <f t="shared" si="81"/>
        <v/>
      </c>
      <c r="AI142" s="654" t="str">
        <f>IF(J142="","",VLOOKUP(J142,'Inputs Mapping'!$T$27:$V$31,3))</f>
        <v/>
      </c>
      <c r="AJ142" s="654" t="str">
        <f>IF(J142="","",VLOOKUP(J142,'Inputs Mapping'!$T$17:$V$24,3))</f>
        <v/>
      </c>
      <c r="AK142" s="654" t="str">
        <f t="shared" si="82"/>
        <v/>
      </c>
      <c r="AL142" s="655" t="str">
        <f t="shared" si="78"/>
        <v/>
      </c>
      <c r="AM142" s="655" t="str">
        <f>IF(F142="","",IF(AE142="Dubai",HLOOKUP(F142,Inputs!$C$26:$M$36,5,0),HLOOKUP(F142,Inputs!$C$45:$M$49,5,0)))</f>
        <v/>
      </c>
      <c r="AN142" s="655">
        <f t="shared" si="83"/>
        <v>0</v>
      </c>
      <c r="AO142" s="654" t="str">
        <f>IF(AJ142="","",IF(AN142="Dubai",VLOOKUP(AJ142,'Inputs Mapping'!$V$17:$W$24,2,0),VLOOKUP(AI142,'Inputs Mapping'!$V$27:$W$31,2,0)))</f>
        <v/>
      </c>
      <c r="AP142" s="666">
        <f>IFERROR(IF($AN142="","",HLOOKUP($AN142&amp;RIGHT($AL142,1),'input for formula'!$B$16:$I$20,3,0)),0)</f>
        <v>0</v>
      </c>
      <c r="AQ142" s="656">
        <f>IFERROR(IF($AN142="","",HLOOKUP($AN142&amp;$F142,'input for formula'!$B$22:$M$25,2,0)),0)</f>
        <v>0</v>
      </c>
      <c r="AR142" s="666">
        <f>IFERROR(IF($AN142="","",HLOOKUP($AN142&amp;RIGHT($AL142,1),'input for formula'!$B$16:$I$20,4,0)),0)</f>
        <v>0</v>
      </c>
      <c r="AS142" s="656">
        <f>IFERROR(IF($AN142="","",HLOOKUP($AN142&amp;$F142,'input for formula'!$B$22:$M$25,3,0)),0)</f>
        <v>0</v>
      </c>
      <c r="AT142" s="656">
        <f>IFERROR(IF($AN142="","",HLOOKUP($AN142&amp;RIGHT($AL142,1),'input for formula'!$B$16:$I$20,5,0)),0)</f>
        <v>0</v>
      </c>
      <c r="AU142" s="656">
        <f>IFERROR(IF($AN142="","",HLOOKUP($AN142&amp;$F142,'input for formula'!$B$22:$M$25,4,0)),0)</f>
        <v>0</v>
      </c>
      <c r="AV142" s="666">
        <f>IFERROR(IF($AN142="","",IF('Census Data'!$AN142="Abu Dhabi",VLOOKUP('Census Data'!$AM142,'input for formula'!$A$28:$C$41,3,0),VLOOKUP('Census Data'!$AM142,'input for formula'!$A$28:$C$47,2,0))),0)*IFERROR(1+IF(AN142="Dubai",VLOOKUP(F142,'Quotation for Dubai Plans'!$V$6:$X$12,3,FALSE),VLOOKUP(F142,'Quotation for Abu Dhabi Plans'!$W$6:$Y$12,3,FALSE)),0)</f>
        <v>0</v>
      </c>
      <c r="AW142" s="656" t="str">
        <f t="shared" si="52"/>
        <v/>
      </c>
      <c r="AX142" s="667" t="str">
        <f>IFERROR(IF(AL142="","",IF(AN142="Dubai",HLOOKUP((AL142&amp;AM142),Deviation!$B$7:$S$8,2,0)*BF142*BH142*BI142*BG142,HLOOKUP((AL142&amp;AM142),Deviation!$B$9:$O$10,2,0)*BF142*BH142*BI142*BG142)),0)</f>
        <v/>
      </c>
      <c r="AY142" s="668"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formula'!$M$3:$O$7,AO142,FALSE)))*AX142+AP142*AQ142+AR142*AS142+AT142*AU142),0)*$AZ$3*BK142*BJ142*IF(AND(Inputs!$C$19&gt;19,Inputs!$C$19&lt;30),(1+$AZ$2),1)*(1+$AZ$1))</f>
        <v/>
      </c>
      <c r="AZ142" s="148" t="str">
        <f t="shared" si="84"/>
        <v/>
      </c>
      <c r="BA142" s="669" t="str">
        <f>IF(F142="","",IF(AE142="Dubai",HLOOKUP(F142,Inputs!$C$26:$M$37,9,0),HLOOKUP(F142,Inputs!$C$45:$M$56,9,0)))</f>
        <v/>
      </c>
      <c r="BB142" s="670" t="str">
        <f>IF(F142="","",IF(AE142="Dubai",HLOOKUP(F142,Inputs!$C$26:$M$37,10,0),HLOOKUP(F142,Inputs!$C$45:$M$56,10,0)))</f>
        <v/>
      </c>
      <c r="BC142" s="670" t="str">
        <f>IF(F142="","",IF(AE142="Dubai",HLOOKUP(F142,Inputs!$C$26:$M$37,11,0),HLOOKUP(F142,Inputs!$C$45:$M$56,11,0)))</f>
        <v/>
      </c>
      <c r="BD142" s="669" t="str">
        <f>IF(F142="","",IF(AE142="Dubai",HLOOKUP(F142,Inputs!$C$26:$M$37,12,0),HLOOKUP(F142,Inputs!$C$45:$M$56,12,0)))</f>
        <v/>
      </c>
      <c r="BE142" s="654"/>
      <c r="BF142" s="669" t="str">
        <f>IFERROR(IF(AL142="","",IF(AN142="Dubai",IF(OR(AL142="Plan1",AL142="Plan2"),VLOOKUP(BA142,Deviation!$B$31:$D$33,2,FALSE),VLOOKUP(BA142,Deviation!$B$31:$D$33,3,FALSE)),IF(OR(AL142="Plan1",AL142="Plan2"),VLOOKUP(BA142,Deviation!$E$31:$AE$33,2,FALSE),VLOOKUP(BA142,Deviation!$E$31:$AE$33,3,FALSE)))),0)</f>
        <v/>
      </c>
      <c r="BG142" s="671" t="str">
        <f>IFERROR(IF(AL142="","",IF(AN142="Dubai",IF(AL142="Plan1",VLOOKUP(BB142,Deviation!$B$39:$C$40,2,FALSE),IF(AL142="Plan2",VLOOKUP(BB142,Deviation!$B$42:$C$43,2,FALSE),IF(AL142="Plan5",VLOOKUP(BB142,Deviation!$B$48:$C$49,2,FALSE),VLOOKUP(BB142,Deviation!$B$45:$C$46,2,FALSE)))),IF(AL142="Plan1",VLOOKUP(BB142,Deviation!$E$39:$F$40,2,FALSE),IF(AL142="Plan2",VLOOKUP(BB142,Deviation!$E$42:$F$43,2,FALSE),VLOOKUP(BB142,Deviation!$E$45:$F$46,2,FALSE))))),0)</f>
        <v/>
      </c>
      <c r="BH142" s="671" t="str">
        <f>IFERROR(IF(AL142="","",IF(AN142="Dubai",IF(OR(AL142="Plan1",AL142="Plan2"),VLOOKUP(BC142,Deviation!$B$15:$D$19,2,FALSE),VLOOKUP(BC142,Deviation!$B$15:$D$19,3,FALSE)),IF(OR(AL142="Plan1",AL142="Plan2"),VLOOKUP(BC142,Deviation!$E$15:$AE$19,2,FALSE),VLOOKUP(BC142,Deviation!$E$15:$AE$19,3,FALSE)))),0)</f>
        <v/>
      </c>
      <c r="BI142" s="669" t="str">
        <f>IFERROR(IF(AL142="","",IF(AN142="Dubai",VLOOKUP(BD142,Deviation!$B$24:$C$26,2,FALSE),100%)),0)</f>
        <v/>
      </c>
      <c r="BJ142" s="672">
        <f>IF(AE142="Abu Dhabi",1,IFERROR(VLOOKUP(AM142,Deviation!$B$67:$E$79,MATCH('Census Data'!AA142,Deviation!$B$66:$E$66,0),0),1))</f>
        <v>1</v>
      </c>
      <c r="BK142" s="659">
        <f>IFERROR(VLOOKUP(I142,Deviation!$B$54:$C$62,2,0),1)</f>
        <v>1</v>
      </c>
      <c r="BL142" s="148"/>
      <c r="BM142" s="148"/>
      <c r="BN142" s="148"/>
      <c r="BO142" s="148"/>
      <c r="BP142" s="148"/>
      <c r="BQ142" s="148"/>
      <c r="BR142" s="148"/>
      <c r="BS142" s="148"/>
      <c r="BT142" s="148" t="e">
        <f t="shared" si="85"/>
        <v>#VALUE!</v>
      </c>
      <c r="BU142"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f>
        <v/>
      </c>
    </row>
    <row r="143" spans="1:73" ht="15" x14ac:dyDescent="0.25">
      <c r="A143" s="59">
        <v>138</v>
      </c>
      <c r="B143" s="470"/>
      <c r="C143" s="630"/>
      <c r="D143" s="621"/>
      <c r="E143" s="631"/>
      <c r="F143" s="298"/>
      <c r="G143" s="298"/>
      <c r="H143" s="298"/>
      <c r="I143" s="298"/>
      <c r="J143" s="80" t="str">
        <f>IFERROR(IF(C143="","",DATEDIF('Census Data'!C143,eff_date,"y")),"")</f>
        <v/>
      </c>
      <c r="K143" s="59" t="str">
        <f>IF(F143="","",IF(AE143="Dubai",HLOOKUP(F143,Inputs!$C$26:$M$28,3,0),HLOOKUP(F143,Inputs!$C$45:$M$46,2,0)))</f>
        <v/>
      </c>
      <c r="L143" s="94"/>
      <c r="M143" s="105">
        <f t="shared" si="68"/>
        <v>0</v>
      </c>
      <c r="N143" s="654" t="b">
        <f t="shared" si="69"/>
        <v>0</v>
      </c>
      <c r="O143" s="655" t="str">
        <f t="shared" si="70"/>
        <v>x</v>
      </c>
      <c r="P143" s="655" t="str">
        <f t="shared" si="71"/>
        <v>x</v>
      </c>
      <c r="Q143" s="655" t="str">
        <f t="shared" si="72"/>
        <v>x</v>
      </c>
      <c r="R143" s="655" t="str">
        <f t="shared" si="51"/>
        <v>x</v>
      </c>
      <c r="S143" s="655" t="str">
        <f t="shared" si="73"/>
        <v>x</v>
      </c>
      <c r="T143" s="655" t="str">
        <f>IF(ISERROR(MATCH(G143,'Inputs Mapping'!$T$4:$T$10,0)),"x","")</f>
        <v>x</v>
      </c>
      <c r="U143" s="655" t="str">
        <f>IF(ISERROR(MATCH(AA143,'Inputs Mapping'!$U$4:$U$5,0)),"x","")</f>
        <v>x</v>
      </c>
      <c r="V143" s="655" t="str">
        <f>IF(ISERROR(MATCH(AB143,'Inputs Mapping'!$V$4:$V$5,0)),"x","")</f>
        <v>x</v>
      </c>
      <c r="W143" s="655" t="str">
        <f>IF(ISERROR(MATCH(F143,'Inputs Mapping'!$W$4:$W$8,0)),"x","")</f>
        <v>x</v>
      </c>
      <c r="X143" s="655" t="str">
        <f t="shared" si="74"/>
        <v/>
      </c>
      <c r="Y143" s="655" t="str">
        <f t="shared" si="75"/>
        <v/>
      </c>
      <c r="Z143" s="655" t="str">
        <f t="shared" si="76"/>
        <v/>
      </c>
      <c r="AA143" s="655" t="str">
        <f t="shared" si="77"/>
        <v/>
      </c>
      <c r="AB143" s="655" t="str">
        <f t="shared" si="79"/>
        <v/>
      </c>
      <c r="AC143" s="655" t="str">
        <f t="shared" si="86"/>
        <v>x</v>
      </c>
      <c r="AD143" s="655" t="str">
        <f>IF(ISBLANK(I143),"x",IF(ISNUMBER(MATCH(I143,'Inputs Mapping'!$AF$5:$AF$199,0)),"","x"))</f>
        <v>x</v>
      </c>
      <c r="AE143" s="655" t="str">
        <f t="shared" si="80"/>
        <v/>
      </c>
      <c r="AF143" s="148"/>
      <c r="AG143" s="148"/>
      <c r="AH143" s="148" t="str">
        <f t="shared" si="81"/>
        <v/>
      </c>
      <c r="AI143" s="654" t="str">
        <f>IF(J143="","",VLOOKUP(J143,'Inputs Mapping'!$T$27:$V$31,3))</f>
        <v/>
      </c>
      <c r="AJ143" s="654" t="str">
        <f>IF(J143="","",VLOOKUP(J143,'Inputs Mapping'!$T$17:$V$24,3))</f>
        <v/>
      </c>
      <c r="AK143" s="654" t="str">
        <f t="shared" si="82"/>
        <v/>
      </c>
      <c r="AL143" s="655" t="str">
        <f t="shared" si="78"/>
        <v/>
      </c>
      <c r="AM143" s="655" t="str">
        <f>IF(F143="","",IF(AE143="Dubai",HLOOKUP(F143,Inputs!$C$26:$M$36,5,0),HLOOKUP(F143,Inputs!$C$45:$M$49,5,0)))</f>
        <v/>
      </c>
      <c r="AN143" s="655">
        <f t="shared" si="83"/>
        <v>0</v>
      </c>
      <c r="AO143" s="654" t="str">
        <f>IF(AJ143="","",IF(AN143="Dubai",VLOOKUP(AJ143,'Inputs Mapping'!$V$17:$W$24,2,0),VLOOKUP(AI143,'Inputs Mapping'!$V$27:$W$31,2,0)))</f>
        <v/>
      </c>
      <c r="AP143" s="666">
        <f>IFERROR(IF($AN143="","",HLOOKUP($AN143&amp;RIGHT($AL143,1),'input for formula'!$B$16:$I$20,3,0)),0)</f>
        <v>0</v>
      </c>
      <c r="AQ143" s="656">
        <f>IFERROR(IF($AN143="","",HLOOKUP($AN143&amp;$F143,'input for formula'!$B$22:$M$25,2,0)),0)</f>
        <v>0</v>
      </c>
      <c r="AR143" s="666">
        <f>IFERROR(IF($AN143="","",HLOOKUP($AN143&amp;RIGHT($AL143,1),'input for formula'!$B$16:$I$20,4,0)),0)</f>
        <v>0</v>
      </c>
      <c r="AS143" s="656">
        <f>IFERROR(IF($AN143="","",HLOOKUP($AN143&amp;$F143,'input for formula'!$B$22:$M$25,3,0)),0)</f>
        <v>0</v>
      </c>
      <c r="AT143" s="656">
        <f>IFERROR(IF($AN143="","",HLOOKUP($AN143&amp;RIGHT($AL143,1),'input for formula'!$B$16:$I$20,5,0)),0)</f>
        <v>0</v>
      </c>
      <c r="AU143" s="656">
        <f>IFERROR(IF($AN143="","",HLOOKUP($AN143&amp;$F143,'input for formula'!$B$22:$M$25,4,0)),0)</f>
        <v>0</v>
      </c>
      <c r="AV143" s="666">
        <f>IFERROR(IF($AN143="","",IF('Census Data'!$AN143="Abu Dhabi",VLOOKUP('Census Data'!$AM143,'input for formula'!$A$28:$C$41,3,0),VLOOKUP('Census Data'!$AM143,'input for formula'!$A$28:$C$47,2,0))),0)*IFERROR(1+IF(AN143="Dubai",VLOOKUP(F143,'Quotation for Dubai Plans'!$V$6:$X$12,3,FALSE),VLOOKUP(F143,'Quotation for Abu Dhabi Plans'!$W$6:$Y$12,3,FALSE)),0)</f>
        <v>0</v>
      </c>
      <c r="AW143" s="656" t="str">
        <f t="shared" si="52"/>
        <v/>
      </c>
      <c r="AX143" s="667" t="str">
        <f>IFERROR(IF(AL143="","",IF(AN143="Dubai",HLOOKUP((AL143&amp;AM143),Deviation!$B$7:$S$8,2,0)*BF143*BH143*BI143*BG143,HLOOKUP((AL143&amp;AM143),Deviation!$B$9:$O$10,2,0)*BF143*BH143*BI143*BG143)),0)</f>
        <v/>
      </c>
      <c r="AY143" s="668"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formula'!$M$3:$O$7,AO143,FALSE)))*AX143+AP143*AQ143+AR143*AS143+AT143*AU143),0)*$AZ$3*BK143*BJ143*IF(AND(Inputs!$C$19&gt;19,Inputs!$C$19&lt;30),(1+$AZ$2),1)*(1+$AZ$1))</f>
        <v/>
      </c>
      <c r="AZ143" s="148" t="str">
        <f t="shared" si="84"/>
        <v/>
      </c>
      <c r="BA143" s="669" t="str">
        <f>IF(F143="","",IF(AE143="Dubai",HLOOKUP(F143,Inputs!$C$26:$M$37,9,0),HLOOKUP(F143,Inputs!$C$45:$M$56,9,0)))</f>
        <v/>
      </c>
      <c r="BB143" s="670" t="str">
        <f>IF(F143="","",IF(AE143="Dubai",HLOOKUP(F143,Inputs!$C$26:$M$37,10,0),HLOOKUP(F143,Inputs!$C$45:$M$56,10,0)))</f>
        <v/>
      </c>
      <c r="BC143" s="670" t="str">
        <f>IF(F143="","",IF(AE143="Dubai",HLOOKUP(F143,Inputs!$C$26:$M$37,11,0),HLOOKUP(F143,Inputs!$C$45:$M$56,11,0)))</f>
        <v/>
      </c>
      <c r="BD143" s="669" t="str">
        <f>IF(F143="","",IF(AE143="Dubai",HLOOKUP(F143,Inputs!$C$26:$M$37,12,0),HLOOKUP(F143,Inputs!$C$45:$M$56,12,0)))</f>
        <v/>
      </c>
      <c r="BE143" s="654"/>
      <c r="BF143" s="669" t="str">
        <f>IFERROR(IF(AL143="","",IF(AN143="Dubai",IF(OR(AL143="Plan1",AL143="Plan2"),VLOOKUP(BA143,Deviation!$B$31:$D$33,2,FALSE),VLOOKUP(BA143,Deviation!$B$31:$D$33,3,FALSE)),IF(OR(AL143="Plan1",AL143="Plan2"),VLOOKUP(BA143,Deviation!$E$31:$AE$33,2,FALSE),VLOOKUP(BA143,Deviation!$E$31:$AE$33,3,FALSE)))),0)</f>
        <v/>
      </c>
      <c r="BG143" s="671" t="str">
        <f>IFERROR(IF(AL143="","",IF(AN143="Dubai",IF(AL143="Plan1",VLOOKUP(BB143,Deviation!$B$39:$C$40,2,FALSE),IF(AL143="Plan2",VLOOKUP(BB143,Deviation!$B$42:$C$43,2,FALSE),IF(AL143="Plan5",VLOOKUP(BB143,Deviation!$B$48:$C$49,2,FALSE),VLOOKUP(BB143,Deviation!$B$45:$C$46,2,FALSE)))),IF(AL143="Plan1",VLOOKUP(BB143,Deviation!$E$39:$F$40,2,FALSE),IF(AL143="Plan2",VLOOKUP(BB143,Deviation!$E$42:$F$43,2,FALSE),VLOOKUP(BB143,Deviation!$E$45:$F$46,2,FALSE))))),0)</f>
        <v/>
      </c>
      <c r="BH143" s="671" t="str">
        <f>IFERROR(IF(AL143="","",IF(AN143="Dubai",IF(OR(AL143="Plan1",AL143="Plan2"),VLOOKUP(BC143,Deviation!$B$15:$D$19,2,FALSE),VLOOKUP(BC143,Deviation!$B$15:$D$19,3,FALSE)),IF(OR(AL143="Plan1",AL143="Plan2"),VLOOKUP(BC143,Deviation!$E$15:$AE$19,2,FALSE),VLOOKUP(BC143,Deviation!$E$15:$AE$19,3,FALSE)))),0)</f>
        <v/>
      </c>
      <c r="BI143" s="669" t="str">
        <f>IFERROR(IF(AL143="","",IF(AN143="Dubai",VLOOKUP(BD143,Deviation!$B$24:$C$26,2,FALSE),100%)),0)</f>
        <v/>
      </c>
      <c r="BJ143" s="672">
        <f>IF(AE143="Abu Dhabi",1,IFERROR(VLOOKUP(AM143,Deviation!$B$67:$E$79,MATCH('Census Data'!AA143,Deviation!$B$66:$E$66,0),0),1))</f>
        <v>1</v>
      </c>
      <c r="BK143" s="659">
        <f>IFERROR(VLOOKUP(I143,Deviation!$B$54:$C$62,2,0),1)</f>
        <v>1</v>
      </c>
      <c r="BL143" s="148"/>
      <c r="BM143" s="148"/>
      <c r="BN143" s="148"/>
      <c r="BO143" s="148"/>
      <c r="BP143" s="148"/>
      <c r="BQ143" s="148"/>
      <c r="BR143" s="148"/>
      <c r="BS143" s="148"/>
      <c r="BT143" s="148" t="e">
        <f t="shared" si="85"/>
        <v>#VALUE!</v>
      </c>
      <c r="BU143"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f>
        <v/>
      </c>
    </row>
    <row r="144" spans="1:73" ht="15" x14ac:dyDescent="0.25">
      <c r="A144" s="59">
        <v>139</v>
      </c>
      <c r="B144" s="470"/>
      <c r="C144" s="630"/>
      <c r="D144" s="621"/>
      <c r="E144" s="631"/>
      <c r="F144" s="298"/>
      <c r="G144" s="298"/>
      <c r="H144" s="298"/>
      <c r="I144" s="298"/>
      <c r="J144" s="80" t="str">
        <f>IFERROR(IF(C144="","",DATEDIF('Census Data'!C144,eff_date,"y")),"")</f>
        <v/>
      </c>
      <c r="K144" s="59" t="str">
        <f>IF(F144="","",IF(AE144="Dubai",HLOOKUP(F144,Inputs!$C$26:$M$28,3,0),HLOOKUP(F144,Inputs!$C$45:$M$46,2,0)))</f>
        <v/>
      </c>
      <c r="L144" s="94"/>
      <c r="M144" s="105">
        <f t="shared" si="68"/>
        <v>0</v>
      </c>
      <c r="N144" s="654" t="b">
        <f t="shared" si="69"/>
        <v>0</v>
      </c>
      <c r="O144" s="655" t="str">
        <f t="shared" si="70"/>
        <v>x</v>
      </c>
      <c r="P144" s="655" t="str">
        <f t="shared" si="71"/>
        <v>x</v>
      </c>
      <c r="Q144" s="655" t="str">
        <f t="shared" si="72"/>
        <v>x</v>
      </c>
      <c r="R144" s="655" t="str">
        <f t="shared" si="51"/>
        <v>x</v>
      </c>
      <c r="S144" s="655" t="str">
        <f t="shared" si="73"/>
        <v>x</v>
      </c>
      <c r="T144" s="655" t="str">
        <f>IF(ISERROR(MATCH(G144,'Inputs Mapping'!$T$4:$T$10,0)),"x","")</f>
        <v>x</v>
      </c>
      <c r="U144" s="655" t="str">
        <f>IF(ISERROR(MATCH(AA144,'Inputs Mapping'!$U$4:$U$5,0)),"x","")</f>
        <v>x</v>
      </c>
      <c r="V144" s="655" t="str">
        <f>IF(ISERROR(MATCH(AB144,'Inputs Mapping'!$V$4:$V$5,0)),"x","")</f>
        <v>x</v>
      </c>
      <c r="W144" s="655" t="str">
        <f>IF(ISERROR(MATCH(F144,'Inputs Mapping'!$W$4:$W$8,0)),"x","")</f>
        <v>x</v>
      </c>
      <c r="X144" s="655" t="str">
        <f t="shared" si="74"/>
        <v/>
      </c>
      <c r="Y144" s="655" t="str">
        <f t="shared" si="75"/>
        <v/>
      </c>
      <c r="Z144" s="655" t="str">
        <f t="shared" si="76"/>
        <v/>
      </c>
      <c r="AA144" s="655" t="str">
        <f t="shared" si="77"/>
        <v/>
      </c>
      <c r="AB144" s="655" t="str">
        <f t="shared" si="79"/>
        <v/>
      </c>
      <c r="AC144" s="655" t="str">
        <f t="shared" si="86"/>
        <v>x</v>
      </c>
      <c r="AD144" s="655" t="str">
        <f>IF(ISBLANK(I144),"x",IF(ISNUMBER(MATCH(I144,'Inputs Mapping'!$AF$5:$AF$199,0)),"","x"))</f>
        <v>x</v>
      </c>
      <c r="AE144" s="655" t="str">
        <f t="shared" si="80"/>
        <v/>
      </c>
      <c r="AF144" s="148"/>
      <c r="AG144" s="148"/>
      <c r="AH144" s="148" t="str">
        <f t="shared" si="81"/>
        <v/>
      </c>
      <c r="AI144" s="654" t="str">
        <f>IF(J144="","",VLOOKUP(J144,'Inputs Mapping'!$T$27:$V$31,3))</f>
        <v/>
      </c>
      <c r="AJ144" s="654" t="str">
        <f>IF(J144="","",VLOOKUP(J144,'Inputs Mapping'!$T$17:$V$24,3))</f>
        <v/>
      </c>
      <c r="AK144" s="654" t="str">
        <f t="shared" si="82"/>
        <v/>
      </c>
      <c r="AL144" s="655" t="str">
        <f t="shared" si="78"/>
        <v/>
      </c>
      <c r="AM144" s="655" t="str">
        <f>IF(F144="","",IF(AE144="Dubai",HLOOKUP(F144,Inputs!$C$26:$M$36,5,0),HLOOKUP(F144,Inputs!$C$45:$M$49,5,0)))</f>
        <v/>
      </c>
      <c r="AN144" s="655">
        <f t="shared" si="83"/>
        <v>0</v>
      </c>
      <c r="AO144" s="654" t="str">
        <f>IF(AJ144="","",IF(AN144="Dubai",VLOOKUP(AJ144,'Inputs Mapping'!$V$17:$W$24,2,0),VLOOKUP(AI144,'Inputs Mapping'!$V$27:$W$31,2,0)))</f>
        <v/>
      </c>
      <c r="AP144" s="666">
        <f>IFERROR(IF($AN144="","",HLOOKUP($AN144&amp;RIGHT($AL144,1),'input for formula'!$B$16:$I$20,3,0)),0)</f>
        <v>0</v>
      </c>
      <c r="AQ144" s="656">
        <f>IFERROR(IF($AN144="","",HLOOKUP($AN144&amp;$F144,'input for formula'!$B$22:$M$25,2,0)),0)</f>
        <v>0</v>
      </c>
      <c r="AR144" s="666">
        <f>IFERROR(IF($AN144="","",HLOOKUP($AN144&amp;RIGHT($AL144,1),'input for formula'!$B$16:$I$20,4,0)),0)</f>
        <v>0</v>
      </c>
      <c r="AS144" s="656">
        <f>IFERROR(IF($AN144="","",HLOOKUP($AN144&amp;$F144,'input for formula'!$B$22:$M$25,3,0)),0)</f>
        <v>0</v>
      </c>
      <c r="AT144" s="656">
        <f>IFERROR(IF($AN144="","",HLOOKUP($AN144&amp;RIGHT($AL144,1),'input for formula'!$B$16:$I$20,5,0)),0)</f>
        <v>0</v>
      </c>
      <c r="AU144" s="656">
        <f>IFERROR(IF($AN144="","",HLOOKUP($AN144&amp;$F144,'input for formula'!$B$22:$M$25,4,0)),0)</f>
        <v>0</v>
      </c>
      <c r="AV144" s="666">
        <f>IFERROR(IF($AN144="","",IF('Census Data'!$AN144="Abu Dhabi",VLOOKUP('Census Data'!$AM144,'input for formula'!$A$28:$C$41,3,0),VLOOKUP('Census Data'!$AM144,'input for formula'!$A$28:$C$47,2,0))),0)*IFERROR(1+IF(AN144="Dubai",VLOOKUP(F144,'Quotation for Dubai Plans'!$V$6:$X$12,3,FALSE),VLOOKUP(F144,'Quotation for Abu Dhabi Plans'!$W$6:$Y$12,3,FALSE)),0)</f>
        <v>0</v>
      </c>
      <c r="AW144" s="656" t="str">
        <f t="shared" si="52"/>
        <v/>
      </c>
      <c r="AX144" s="667" t="str">
        <f>IFERROR(IF(AL144="","",IF(AN144="Dubai",HLOOKUP((AL144&amp;AM144),Deviation!$B$7:$S$8,2,0)*BF144*BH144*BI144*BG144,HLOOKUP((AL144&amp;AM144),Deviation!$B$9:$O$10,2,0)*BF144*BH144*BI144*BG144)),0)</f>
        <v/>
      </c>
      <c r="AY144" s="668"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formula'!$M$3:$O$7,AO144,FALSE)))*AX144+AP144*AQ144+AR144*AS144+AT144*AU144),0)*$AZ$3*BK144*BJ144*IF(AND(Inputs!$C$19&gt;19,Inputs!$C$19&lt;30),(1+$AZ$2),1)*(1+$AZ$1))</f>
        <v/>
      </c>
      <c r="AZ144" s="148" t="str">
        <f t="shared" si="84"/>
        <v/>
      </c>
      <c r="BA144" s="669" t="str">
        <f>IF(F144="","",IF(AE144="Dubai",HLOOKUP(F144,Inputs!$C$26:$M$37,9,0),HLOOKUP(F144,Inputs!$C$45:$M$56,9,0)))</f>
        <v/>
      </c>
      <c r="BB144" s="670" t="str">
        <f>IF(F144="","",IF(AE144="Dubai",HLOOKUP(F144,Inputs!$C$26:$M$37,10,0),HLOOKUP(F144,Inputs!$C$45:$M$56,10,0)))</f>
        <v/>
      </c>
      <c r="BC144" s="670" t="str">
        <f>IF(F144="","",IF(AE144="Dubai",HLOOKUP(F144,Inputs!$C$26:$M$37,11,0),HLOOKUP(F144,Inputs!$C$45:$M$56,11,0)))</f>
        <v/>
      </c>
      <c r="BD144" s="669" t="str">
        <f>IF(F144="","",IF(AE144="Dubai",HLOOKUP(F144,Inputs!$C$26:$M$37,12,0),HLOOKUP(F144,Inputs!$C$45:$M$56,12,0)))</f>
        <v/>
      </c>
      <c r="BE144" s="654"/>
      <c r="BF144" s="669" t="str">
        <f>IFERROR(IF(AL144="","",IF(AN144="Dubai",IF(OR(AL144="Plan1",AL144="Plan2"),VLOOKUP(BA144,Deviation!$B$31:$D$33,2,FALSE),VLOOKUP(BA144,Deviation!$B$31:$D$33,3,FALSE)),IF(OR(AL144="Plan1",AL144="Plan2"),VLOOKUP(BA144,Deviation!$E$31:$AE$33,2,FALSE),VLOOKUP(BA144,Deviation!$E$31:$AE$33,3,FALSE)))),0)</f>
        <v/>
      </c>
      <c r="BG144" s="671" t="str">
        <f>IFERROR(IF(AL144="","",IF(AN144="Dubai",IF(AL144="Plan1",VLOOKUP(BB144,Deviation!$B$39:$C$40,2,FALSE),IF(AL144="Plan2",VLOOKUP(BB144,Deviation!$B$42:$C$43,2,FALSE),IF(AL144="Plan5",VLOOKUP(BB144,Deviation!$B$48:$C$49,2,FALSE),VLOOKUP(BB144,Deviation!$B$45:$C$46,2,FALSE)))),IF(AL144="Plan1",VLOOKUP(BB144,Deviation!$E$39:$F$40,2,FALSE),IF(AL144="Plan2",VLOOKUP(BB144,Deviation!$E$42:$F$43,2,FALSE),VLOOKUP(BB144,Deviation!$E$45:$F$46,2,FALSE))))),0)</f>
        <v/>
      </c>
      <c r="BH144" s="671" t="str">
        <f>IFERROR(IF(AL144="","",IF(AN144="Dubai",IF(OR(AL144="Plan1",AL144="Plan2"),VLOOKUP(BC144,Deviation!$B$15:$D$19,2,FALSE),VLOOKUP(BC144,Deviation!$B$15:$D$19,3,FALSE)),IF(OR(AL144="Plan1",AL144="Plan2"),VLOOKUP(BC144,Deviation!$E$15:$AE$19,2,FALSE),VLOOKUP(BC144,Deviation!$E$15:$AE$19,3,FALSE)))),0)</f>
        <v/>
      </c>
      <c r="BI144" s="669" t="str">
        <f>IFERROR(IF(AL144="","",IF(AN144="Dubai",VLOOKUP(BD144,Deviation!$B$24:$C$26,2,FALSE),100%)),0)</f>
        <v/>
      </c>
      <c r="BJ144" s="672">
        <f>IF(AE144="Abu Dhabi",1,IFERROR(VLOOKUP(AM144,Deviation!$B$67:$E$79,MATCH('Census Data'!AA144,Deviation!$B$66:$E$66,0),0),1))</f>
        <v>1</v>
      </c>
      <c r="BK144" s="659">
        <f>IFERROR(VLOOKUP(I144,Deviation!$B$54:$C$62,2,0),1)</f>
        <v>1</v>
      </c>
      <c r="BL144" s="148"/>
      <c r="BM144" s="148"/>
      <c r="BN144" s="148"/>
      <c r="BO144" s="148"/>
      <c r="BP144" s="148"/>
      <c r="BQ144" s="148"/>
      <c r="BR144" s="148"/>
      <c r="BS144" s="148"/>
      <c r="BT144" s="148" t="e">
        <f t="shared" si="85"/>
        <v>#VALUE!</v>
      </c>
      <c r="BU144"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f>
        <v/>
      </c>
    </row>
    <row r="145" spans="1:73" ht="15" x14ac:dyDescent="0.25">
      <c r="A145" s="59">
        <v>140</v>
      </c>
      <c r="B145" s="470"/>
      <c r="C145" s="630"/>
      <c r="D145" s="621"/>
      <c r="E145" s="631"/>
      <c r="F145" s="298"/>
      <c r="G145" s="298"/>
      <c r="H145" s="298"/>
      <c r="I145" s="298"/>
      <c r="J145" s="80" t="str">
        <f>IFERROR(IF(C145="","",DATEDIF('Census Data'!C145,eff_date,"y")),"")</f>
        <v/>
      </c>
      <c r="K145" s="59" t="str">
        <f>IF(F145="","",IF(AE145="Dubai",HLOOKUP(F145,Inputs!$C$26:$M$28,3,0),HLOOKUP(F145,Inputs!$C$45:$M$46,2,0)))</f>
        <v/>
      </c>
      <c r="L145" s="94"/>
      <c r="M145" s="105">
        <f t="shared" si="68"/>
        <v>0</v>
      </c>
      <c r="N145" s="654" t="b">
        <f t="shared" si="69"/>
        <v>0</v>
      </c>
      <c r="O145" s="655" t="str">
        <f t="shared" si="70"/>
        <v>x</v>
      </c>
      <c r="P145" s="655" t="str">
        <f t="shared" si="71"/>
        <v>x</v>
      </c>
      <c r="Q145" s="655" t="str">
        <f t="shared" si="72"/>
        <v>x</v>
      </c>
      <c r="R145" s="655" t="str">
        <f t="shared" si="51"/>
        <v>x</v>
      </c>
      <c r="S145" s="655" t="str">
        <f t="shared" si="73"/>
        <v>x</v>
      </c>
      <c r="T145" s="655" t="str">
        <f>IF(ISERROR(MATCH(G145,'Inputs Mapping'!$T$4:$T$10,0)),"x","")</f>
        <v>x</v>
      </c>
      <c r="U145" s="655" t="str">
        <f>IF(ISERROR(MATCH(AA145,'Inputs Mapping'!$U$4:$U$5,0)),"x","")</f>
        <v>x</v>
      </c>
      <c r="V145" s="655" t="str">
        <f>IF(ISERROR(MATCH(AB145,'Inputs Mapping'!$V$4:$V$5,0)),"x","")</f>
        <v>x</v>
      </c>
      <c r="W145" s="655" t="str">
        <f>IF(ISERROR(MATCH(F145,'Inputs Mapping'!$W$4:$W$8,0)),"x","")</f>
        <v>x</v>
      </c>
      <c r="X145" s="655" t="str">
        <f t="shared" si="74"/>
        <v/>
      </c>
      <c r="Y145" s="655" t="str">
        <f t="shared" si="75"/>
        <v/>
      </c>
      <c r="Z145" s="655" t="str">
        <f t="shared" si="76"/>
        <v/>
      </c>
      <c r="AA145" s="655" t="str">
        <f t="shared" si="77"/>
        <v/>
      </c>
      <c r="AB145" s="655" t="str">
        <f t="shared" si="79"/>
        <v/>
      </c>
      <c r="AC145" s="655" t="str">
        <f t="shared" si="86"/>
        <v>x</v>
      </c>
      <c r="AD145" s="655" t="str">
        <f>IF(ISBLANK(I145),"x",IF(ISNUMBER(MATCH(I145,'Inputs Mapping'!$AF$5:$AF$199,0)),"","x"))</f>
        <v>x</v>
      </c>
      <c r="AE145" s="655" t="str">
        <f t="shared" si="80"/>
        <v/>
      </c>
      <c r="AF145" s="148"/>
      <c r="AG145" s="148"/>
      <c r="AH145" s="148" t="str">
        <f t="shared" si="81"/>
        <v/>
      </c>
      <c r="AI145" s="654" t="str">
        <f>IF(J145="","",VLOOKUP(J145,'Inputs Mapping'!$T$27:$V$31,3))</f>
        <v/>
      </c>
      <c r="AJ145" s="654" t="str">
        <f>IF(J145="","",VLOOKUP(J145,'Inputs Mapping'!$T$17:$V$24,3))</f>
        <v/>
      </c>
      <c r="AK145" s="654" t="str">
        <f t="shared" si="82"/>
        <v/>
      </c>
      <c r="AL145" s="655" t="str">
        <f t="shared" si="78"/>
        <v/>
      </c>
      <c r="AM145" s="655" t="str">
        <f>IF(F145="","",IF(AE145="Dubai",HLOOKUP(F145,Inputs!$C$26:$M$36,5,0),HLOOKUP(F145,Inputs!$C$45:$M$49,5,0)))</f>
        <v/>
      </c>
      <c r="AN145" s="655">
        <f t="shared" si="83"/>
        <v>0</v>
      </c>
      <c r="AO145" s="654" t="str">
        <f>IF(AJ145="","",IF(AN145="Dubai",VLOOKUP(AJ145,'Inputs Mapping'!$V$17:$W$24,2,0),VLOOKUP(AI145,'Inputs Mapping'!$V$27:$W$31,2,0)))</f>
        <v/>
      </c>
      <c r="AP145" s="666">
        <f>IFERROR(IF($AN145="","",HLOOKUP($AN145&amp;RIGHT($AL145,1),'input for formula'!$B$16:$I$20,3,0)),0)</f>
        <v>0</v>
      </c>
      <c r="AQ145" s="656">
        <f>IFERROR(IF($AN145="","",HLOOKUP($AN145&amp;$F145,'input for formula'!$B$22:$M$25,2,0)),0)</f>
        <v>0</v>
      </c>
      <c r="AR145" s="666">
        <f>IFERROR(IF($AN145="","",HLOOKUP($AN145&amp;RIGHT($AL145,1),'input for formula'!$B$16:$I$20,4,0)),0)</f>
        <v>0</v>
      </c>
      <c r="AS145" s="656">
        <f>IFERROR(IF($AN145="","",HLOOKUP($AN145&amp;$F145,'input for formula'!$B$22:$M$25,3,0)),0)</f>
        <v>0</v>
      </c>
      <c r="AT145" s="656">
        <f>IFERROR(IF($AN145="","",HLOOKUP($AN145&amp;RIGHT($AL145,1),'input for formula'!$B$16:$I$20,5,0)),0)</f>
        <v>0</v>
      </c>
      <c r="AU145" s="656">
        <f>IFERROR(IF($AN145="","",HLOOKUP($AN145&amp;$F145,'input for formula'!$B$22:$M$25,4,0)),0)</f>
        <v>0</v>
      </c>
      <c r="AV145" s="666">
        <f>IFERROR(IF($AN145="","",IF('Census Data'!$AN145="Abu Dhabi",VLOOKUP('Census Data'!$AM145,'input for formula'!$A$28:$C$41,3,0),VLOOKUP('Census Data'!$AM145,'input for formula'!$A$28:$C$47,2,0))),0)*IFERROR(1+IF(AN145="Dubai",VLOOKUP(F145,'Quotation for Dubai Plans'!$V$6:$X$12,3,FALSE),VLOOKUP(F145,'Quotation for Abu Dhabi Plans'!$W$6:$Y$12,3,FALSE)),0)</f>
        <v>0</v>
      </c>
      <c r="AW145" s="656" t="str">
        <f t="shared" si="52"/>
        <v/>
      </c>
      <c r="AX145" s="667" t="str">
        <f>IFERROR(IF(AL145="","",IF(AN145="Dubai",HLOOKUP((AL145&amp;AM145),Deviation!$B$7:$S$8,2,0)*BF145*BH145*BI145*BG145,HLOOKUP((AL145&amp;AM145),Deviation!$B$9:$O$10,2,0)*BF145*BH145*BI145*BG145)),0)</f>
        <v/>
      </c>
      <c r="AY145" s="668"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formula'!$M$3:$O$7,AO145,FALSE)))*AX145+AP145*AQ145+AR145*AS145+AT145*AU145),0)*$AZ$3*BK145*BJ145*IF(AND(Inputs!$C$19&gt;19,Inputs!$C$19&lt;30),(1+$AZ$2),1)*(1+$AZ$1))</f>
        <v/>
      </c>
      <c r="AZ145" s="148" t="str">
        <f t="shared" si="84"/>
        <v/>
      </c>
      <c r="BA145" s="669" t="str">
        <f>IF(F145="","",IF(AE145="Dubai",HLOOKUP(F145,Inputs!$C$26:$M$37,9,0),HLOOKUP(F145,Inputs!$C$45:$M$56,9,0)))</f>
        <v/>
      </c>
      <c r="BB145" s="670" t="str">
        <f>IF(F145="","",IF(AE145="Dubai",HLOOKUP(F145,Inputs!$C$26:$M$37,10,0),HLOOKUP(F145,Inputs!$C$45:$M$56,10,0)))</f>
        <v/>
      </c>
      <c r="BC145" s="670" t="str">
        <f>IF(F145="","",IF(AE145="Dubai",HLOOKUP(F145,Inputs!$C$26:$M$37,11,0),HLOOKUP(F145,Inputs!$C$45:$M$56,11,0)))</f>
        <v/>
      </c>
      <c r="BD145" s="669" t="str">
        <f>IF(F145="","",IF(AE145="Dubai",HLOOKUP(F145,Inputs!$C$26:$M$37,12,0),HLOOKUP(F145,Inputs!$C$45:$M$56,12,0)))</f>
        <v/>
      </c>
      <c r="BE145" s="654"/>
      <c r="BF145" s="669" t="str">
        <f>IFERROR(IF(AL145="","",IF(AN145="Dubai",IF(OR(AL145="Plan1",AL145="Plan2"),VLOOKUP(BA145,Deviation!$B$31:$D$33,2,FALSE),VLOOKUP(BA145,Deviation!$B$31:$D$33,3,FALSE)),IF(OR(AL145="Plan1",AL145="Plan2"),VLOOKUP(BA145,Deviation!$E$31:$AE$33,2,FALSE),VLOOKUP(BA145,Deviation!$E$31:$AE$33,3,FALSE)))),0)</f>
        <v/>
      </c>
      <c r="BG145" s="671" t="str">
        <f>IFERROR(IF(AL145="","",IF(AN145="Dubai",IF(AL145="Plan1",VLOOKUP(BB145,Deviation!$B$39:$C$40,2,FALSE),IF(AL145="Plan2",VLOOKUP(BB145,Deviation!$B$42:$C$43,2,FALSE),IF(AL145="Plan5",VLOOKUP(BB145,Deviation!$B$48:$C$49,2,FALSE),VLOOKUP(BB145,Deviation!$B$45:$C$46,2,FALSE)))),IF(AL145="Plan1",VLOOKUP(BB145,Deviation!$E$39:$F$40,2,FALSE),IF(AL145="Plan2",VLOOKUP(BB145,Deviation!$E$42:$F$43,2,FALSE),VLOOKUP(BB145,Deviation!$E$45:$F$46,2,FALSE))))),0)</f>
        <v/>
      </c>
      <c r="BH145" s="671" t="str">
        <f>IFERROR(IF(AL145="","",IF(AN145="Dubai",IF(OR(AL145="Plan1",AL145="Plan2"),VLOOKUP(BC145,Deviation!$B$15:$D$19,2,FALSE),VLOOKUP(BC145,Deviation!$B$15:$D$19,3,FALSE)),IF(OR(AL145="Plan1",AL145="Plan2"),VLOOKUP(BC145,Deviation!$E$15:$AE$19,2,FALSE),VLOOKUP(BC145,Deviation!$E$15:$AE$19,3,FALSE)))),0)</f>
        <v/>
      </c>
      <c r="BI145" s="669" t="str">
        <f>IFERROR(IF(AL145="","",IF(AN145="Dubai",VLOOKUP(BD145,Deviation!$B$24:$C$26,2,FALSE),100%)),0)</f>
        <v/>
      </c>
      <c r="BJ145" s="672">
        <f>IF(AE145="Abu Dhabi",1,IFERROR(VLOOKUP(AM145,Deviation!$B$67:$E$79,MATCH('Census Data'!AA145,Deviation!$B$66:$E$66,0),0),1))</f>
        <v>1</v>
      </c>
      <c r="BK145" s="659">
        <f>IFERROR(VLOOKUP(I145,Deviation!$B$54:$C$62,2,0),1)</f>
        <v>1</v>
      </c>
      <c r="BL145" s="148"/>
      <c r="BM145" s="148"/>
      <c r="BN145" s="148"/>
      <c r="BO145" s="148"/>
      <c r="BP145" s="148"/>
      <c r="BQ145" s="148"/>
      <c r="BR145" s="148"/>
      <c r="BS145" s="148"/>
      <c r="BT145" s="148" t="e">
        <f t="shared" si="85"/>
        <v>#VALUE!</v>
      </c>
      <c r="BU145"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f>
        <v/>
      </c>
    </row>
    <row r="146" spans="1:73" ht="15" x14ac:dyDescent="0.25">
      <c r="A146" s="59">
        <v>141</v>
      </c>
      <c r="B146" s="470"/>
      <c r="C146" s="630"/>
      <c r="D146" s="621"/>
      <c r="E146" s="631"/>
      <c r="F146" s="298"/>
      <c r="G146" s="298"/>
      <c r="H146" s="298"/>
      <c r="I146" s="298"/>
      <c r="J146" s="80" t="str">
        <f>IFERROR(IF(C146="","",DATEDIF('Census Data'!C146,eff_date,"y")),"")</f>
        <v/>
      </c>
      <c r="K146" s="59" t="str">
        <f>IF(F146="","",IF(AE146="Dubai",HLOOKUP(F146,Inputs!$C$26:$M$28,3,0),HLOOKUP(F146,Inputs!$C$45:$M$46,2,0)))</f>
        <v/>
      </c>
      <c r="L146" s="94"/>
      <c r="M146" s="105">
        <f t="shared" si="68"/>
        <v>0</v>
      </c>
      <c r="N146" s="654" t="b">
        <f t="shared" si="69"/>
        <v>0</v>
      </c>
      <c r="O146" s="655" t="str">
        <f t="shared" si="70"/>
        <v>x</v>
      </c>
      <c r="P146" s="655" t="str">
        <f t="shared" si="71"/>
        <v>x</v>
      </c>
      <c r="Q146" s="655" t="str">
        <f t="shared" si="72"/>
        <v>x</v>
      </c>
      <c r="R146" s="655" t="str">
        <f t="shared" si="51"/>
        <v>x</v>
      </c>
      <c r="S146" s="655" t="str">
        <f t="shared" si="73"/>
        <v>x</v>
      </c>
      <c r="T146" s="655" t="str">
        <f>IF(ISERROR(MATCH(G146,'Inputs Mapping'!$T$4:$T$10,0)),"x","")</f>
        <v>x</v>
      </c>
      <c r="U146" s="655" t="str">
        <f>IF(ISERROR(MATCH(AA146,'Inputs Mapping'!$U$4:$U$5,0)),"x","")</f>
        <v>x</v>
      </c>
      <c r="V146" s="655" t="str">
        <f>IF(ISERROR(MATCH(AB146,'Inputs Mapping'!$V$4:$V$5,0)),"x","")</f>
        <v>x</v>
      </c>
      <c r="W146" s="655" t="str">
        <f>IF(ISERROR(MATCH(F146,'Inputs Mapping'!$W$4:$W$8,0)),"x","")</f>
        <v>x</v>
      </c>
      <c r="X146" s="655" t="str">
        <f t="shared" si="74"/>
        <v/>
      </c>
      <c r="Y146" s="655" t="str">
        <f t="shared" si="75"/>
        <v/>
      </c>
      <c r="Z146" s="655" t="str">
        <f t="shared" si="76"/>
        <v/>
      </c>
      <c r="AA146" s="655" t="str">
        <f t="shared" si="77"/>
        <v/>
      </c>
      <c r="AB146" s="655" t="str">
        <f t="shared" si="79"/>
        <v/>
      </c>
      <c r="AC146" s="655" t="str">
        <f t="shared" si="86"/>
        <v>x</v>
      </c>
      <c r="AD146" s="655" t="str">
        <f>IF(ISBLANK(I146),"x",IF(ISNUMBER(MATCH(I146,'Inputs Mapping'!$AF$5:$AF$199,0)),"","x"))</f>
        <v>x</v>
      </c>
      <c r="AE146" s="655" t="str">
        <f t="shared" si="80"/>
        <v/>
      </c>
      <c r="AF146" s="148"/>
      <c r="AG146" s="148"/>
      <c r="AH146" s="148" t="str">
        <f t="shared" si="81"/>
        <v/>
      </c>
      <c r="AI146" s="654" t="str">
        <f>IF(J146="","",VLOOKUP(J146,'Inputs Mapping'!$T$27:$V$31,3))</f>
        <v/>
      </c>
      <c r="AJ146" s="654" t="str">
        <f>IF(J146="","",VLOOKUP(J146,'Inputs Mapping'!$T$17:$V$24,3))</f>
        <v/>
      </c>
      <c r="AK146" s="654" t="str">
        <f t="shared" si="82"/>
        <v/>
      </c>
      <c r="AL146" s="655" t="str">
        <f t="shared" si="78"/>
        <v/>
      </c>
      <c r="AM146" s="655" t="str">
        <f>IF(F146="","",IF(AE146="Dubai",HLOOKUP(F146,Inputs!$C$26:$M$36,5,0),HLOOKUP(F146,Inputs!$C$45:$M$49,5,0)))</f>
        <v/>
      </c>
      <c r="AN146" s="655">
        <f t="shared" si="83"/>
        <v>0</v>
      </c>
      <c r="AO146" s="654" t="str">
        <f>IF(AJ146="","",IF(AN146="Dubai",VLOOKUP(AJ146,'Inputs Mapping'!$V$17:$W$24,2,0),VLOOKUP(AI146,'Inputs Mapping'!$V$27:$W$31,2,0)))</f>
        <v/>
      </c>
      <c r="AP146" s="666">
        <f>IFERROR(IF($AN146="","",HLOOKUP($AN146&amp;RIGHT($AL146,1),'input for formula'!$B$16:$I$20,3,0)),0)</f>
        <v>0</v>
      </c>
      <c r="AQ146" s="656">
        <f>IFERROR(IF($AN146="","",HLOOKUP($AN146&amp;$F146,'input for formula'!$B$22:$M$25,2,0)),0)</f>
        <v>0</v>
      </c>
      <c r="AR146" s="666">
        <f>IFERROR(IF($AN146="","",HLOOKUP($AN146&amp;RIGHT($AL146,1),'input for formula'!$B$16:$I$20,4,0)),0)</f>
        <v>0</v>
      </c>
      <c r="AS146" s="656">
        <f>IFERROR(IF($AN146="","",HLOOKUP($AN146&amp;$F146,'input for formula'!$B$22:$M$25,3,0)),0)</f>
        <v>0</v>
      </c>
      <c r="AT146" s="656">
        <f>IFERROR(IF($AN146="","",HLOOKUP($AN146&amp;RIGHT($AL146,1),'input for formula'!$B$16:$I$20,5,0)),0)</f>
        <v>0</v>
      </c>
      <c r="AU146" s="656">
        <f>IFERROR(IF($AN146="","",HLOOKUP($AN146&amp;$F146,'input for formula'!$B$22:$M$25,4,0)),0)</f>
        <v>0</v>
      </c>
      <c r="AV146" s="666">
        <f>IFERROR(IF($AN146="","",IF('Census Data'!$AN146="Abu Dhabi",VLOOKUP('Census Data'!$AM146,'input for formula'!$A$28:$C$41,3,0),VLOOKUP('Census Data'!$AM146,'input for formula'!$A$28:$C$47,2,0))),0)*IFERROR(1+IF(AN146="Dubai",VLOOKUP(F146,'Quotation for Dubai Plans'!$V$6:$X$12,3,FALSE),VLOOKUP(F146,'Quotation for Abu Dhabi Plans'!$W$6:$Y$12,3,FALSE)),0)</f>
        <v>0</v>
      </c>
      <c r="AW146" s="656" t="str">
        <f t="shared" si="52"/>
        <v/>
      </c>
      <c r="AX146" s="667" t="str">
        <f>IFERROR(IF(AL146="","",IF(AN146="Dubai",HLOOKUP((AL146&amp;AM146),Deviation!$B$7:$S$8,2,0)*BF146*BH146*BI146*BG146,HLOOKUP((AL146&amp;AM146),Deviation!$B$9:$O$10,2,0)*BF146*BH146*BI146*BG146)),0)</f>
        <v/>
      </c>
      <c r="AY146" s="668"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formula'!$M$3:$O$7,AO146,FALSE)))*AX146+AP146*AQ146+AR146*AS146+AT146*AU146),0)*$AZ$3*BK146*BJ146*IF(AND(Inputs!$C$19&gt;19,Inputs!$C$19&lt;30),(1+$AZ$2),1)*(1+$AZ$1))</f>
        <v/>
      </c>
      <c r="AZ146" s="148" t="str">
        <f t="shared" si="84"/>
        <v/>
      </c>
      <c r="BA146" s="669" t="str">
        <f>IF(F146="","",IF(AE146="Dubai",HLOOKUP(F146,Inputs!$C$26:$M$37,9,0),HLOOKUP(F146,Inputs!$C$45:$M$56,9,0)))</f>
        <v/>
      </c>
      <c r="BB146" s="670" t="str">
        <f>IF(F146="","",IF(AE146="Dubai",HLOOKUP(F146,Inputs!$C$26:$M$37,10,0),HLOOKUP(F146,Inputs!$C$45:$M$56,10,0)))</f>
        <v/>
      </c>
      <c r="BC146" s="670" t="str">
        <f>IF(F146="","",IF(AE146="Dubai",HLOOKUP(F146,Inputs!$C$26:$M$37,11,0),HLOOKUP(F146,Inputs!$C$45:$M$56,11,0)))</f>
        <v/>
      </c>
      <c r="BD146" s="669" t="str">
        <f>IF(F146="","",IF(AE146="Dubai",HLOOKUP(F146,Inputs!$C$26:$M$37,12,0),HLOOKUP(F146,Inputs!$C$45:$M$56,12,0)))</f>
        <v/>
      </c>
      <c r="BE146" s="654"/>
      <c r="BF146" s="669" t="str">
        <f>IFERROR(IF(AL146="","",IF(AN146="Dubai",IF(OR(AL146="Plan1",AL146="Plan2"),VLOOKUP(BA146,Deviation!$B$31:$D$33,2,FALSE),VLOOKUP(BA146,Deviation!$B$31:$D$33,3,FALSE)),IF(OR(AL146="Plan1",AL146="Plan2"),VLOOKUP(BA146,Deviation!$E$31:$AE$33,2,FALSE),VLOOKUP(BA146,Deviation!$E$31:$AE$33,3,FALSE)))),0)</f>
        <v/>
      </c>
      <c r="BG146" s="671" t="str">
        <f>IFERROR(IF(AL146="","",IF(AN146="Dubai",IF(AL146="Plan1",VLOOKUP(BB146,Deviation!$B$39:$C$40,2,FALSE),IF(AL146="Plan2",VLOOKUP(BB146,Deviation!$B$42:$C$43,2,FALSE),IF(AL146="Plan5",VLOOKUP(BB146,Deviation!$B$48:$C$49,2,FALSE),VLOOKUP(BB146,Deviation!$B$45:$C$46,2,FALSE)))),IF(AL146="Plan1",VLOOKUP(BB146,Deviation!$E$39:$F$40,2,FALSE),IF(AL146="Plan2",VLOOKUP(BB146,Deviation!$E$42:$F$43,2,FALSE),VLOOKUP(BB146,Deviation!$E$45:$F$46,2,FALSE))))),0)</f>
        <v/>
      </c>
      <c r="BH146" s="671" t="str">
        <f>IFERROR(IF(AL146="","",IF(AN146="Dubai",IF(OR(AL146="Plan1",AL146="Plan2"),VLOOKUP(BC146,Deviation!$B$15:$D$19,2,FALSE),VLOOKUP(BC146,Deviation!$B$15:$D$19,3,FALSE)),IF(OR(AL146="Plan1",AL146="Plan2"),VLOOKUP(BC146,Deviation!$E$15:$AE$19,2,FALSE),VLOOKUP(BC146,Deviation!$E$15:$AE$19,3,FALSE)))),0)</f>
        <v/>
      </c>
      <c r="BI146" s="669" t="str">
        <f>IFERROR(IF(AL146="","",IF(AN146="Dubai",VLOOKUP(BD146,Deviation!$B$24:$C$26,2,FALSE),100%)),0)</f>
        <v/>
      </c>
      <c r="BJ146" s="672">
        <f>IF(AE146="Abu Dhabi",1,IFERROR(VLOOKUP(AM146,Deviation!$B$67:$E$79,MATCH('Census Data'!AA146,Deviation!$B$66:$E$66,0),0),1))</f>
        <v>1</v>
      </c>
      <c r="BK146" s="659">
        <f>IFERROR(VLOOKUP(I146,Deviation!$B$54:$C$62,2,0),1)</f>
        <v>1</v>
      </c>
      <c r="BL146" s="148"/>
      <c r="BM146" s="148"/>
      <c r="BN146" s="148"/>
      <c r="BO146" s="148"/>
      <c r="BP146" s="148"/>
      <c r="BQ146" s="148"/>
      <c r="BR146" s="148"/>
      <c r="BS146" s="148"/>
      <c r="BT146" s="148" t="e">
        <f t="shared" si="85"/>
        <v>#VALUE!</v>
      </c>
      <c r="BU146"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f>
        <v/>
      </c>
    </row>
    <row r="147" spans="1:73" ht="15" x14ac:dyDescent="0.25">
      <c r="A147" s="59">
        <v>142</v>
      </c>
      <c r="B147" s="470"/>
      <c r="C147" s="630"/>
      <c r="D147" s="621"/>
      <c r="E147" s="631"/>
      <c r="F147" s="298"/>
      <c r="G147" s="298"/>
      <c r="H147" s="298"/>
      <c r="I147" s="298"/>
      <c r="J147" s="80" t="str">
        <f>IFERROR(IF(C147="","",DATEDIF('Census Data'!C147,eff_date,"y")),"")</f>
        <v/>
      </c>
      <c r="K147" s="59" t="str">
        <f>IF(F147="","",IF(AE147="Dubai",HLOOKUP(F147,Inputs!$C$26:$M$28,3,0),HLOOKUP(F147,Inputs!$C$45:$M$46,2,0)))</f>
        <v/>
      </c>
      <c r="L147" s="94"/>
      <c r="M147" s="105">
        <f t="shared" si="68"/>
        <v>0</v>
      </c>
      <c r="N147" s="654" t="b">
        <f t="shared" si="69"/>
        <v>0</v>
      </c>
      <c r="O147" s="655" t="str">
        <f t="shared" si="70"/>
        <v>x</v>
      </c>
      <c r="P147" s="655" t="str">
        <f t="shared" si="71"/>
        <v>x</v>
      </c>
      <c r="Q147" s="655" t="str">
        <f t="shared" si="72"/>
        <v>x</v>
      </c>
      <c r="R147" s="655" t="str">
        <f t="shared" si="51"/>
        <v>x</v>
      </c>
      <c r="S147" s="655" t="str">
        <f t="shared" si="73"/>
        <v>x</v>
      </c>
      <c r="T147" s="655" t="str">
        <f>IF(ISERROR(MATCH(G147,'Inputs Mapping'!$T$4:$T$10,0)),"x","")</f>
        <v>x</v>
      </c>
      <c r="U147" s="655" t="str">
        <f>IF(ISERROR(MATCH(AA147,'Inputs Mapping'!$U$4:$U$5,0)),"x","")</f>
        <v>x</v>
      </c>
      <c r="V147" s="655" t="str">
        <f>IF(ISERROR(MATCH(AB147,'Inputs Mapping'!$V$4:$V$5,0)),"x","")</f>
        <v>x</v>
      </c>
      <c r="W147" s="655" t="str">
        <f>IF(ISERROR(MATCH(F147,'Inputs Mapping'!$W$4:$W$8,0)),"x","")</f>
        <v>x</v>
      </c>
      <c r="X147" s="655" t="str">
        <f t="shared" si="74"/>
        <v/>
      </c>
      <c r="Y147" s="655" t="str">
        <f t="shared" si="75"/>
        <v/>
      </c>
      <c r="Z147" s="655" t="str">
        <f t="shared" si="76"/>
        <v/>
      </c>
      <c r="AA147" s="655" t="str">
        <f t="shared" si="77"/>
        <v/>
      </c>
      <c r="AB147" s="655" t="str">
        <f t="shared" si="79"/>
        <v/>
      </c>
      <c r="AC147" s="655" t="str">
        <f t="shared" si="86"/>
        <v>x</v>
      </c>
      <c r="AD147" s="655" t="str">
        <f>IF(ISBLANK(I147),"x",IF(ISNUMBER(MATCH(I147,'Inputs Mapping'!$AF$5:$AF$199,0)),"","x"))</f>
        <v>x</v>
      </c>
      <c r="AE147" s="655" t="str">
        <f t="shared" si="80"/>
        <v/>
      </c>
      <c r="AF147" s="148"/>
      <c r="AG147" s="148"/>
      <c r="AH147" s="148" t="str">
        <f t="shared" si="81"/>
        <v/>
      </c>
      <c r="AI147" s="654" t="str">
        <f>IF(J147="","",VLOOKUP(J147,'Inputs Mapping'!$T$27:$V$31,3))</f>
        <v/>
      </c>
      <c r="AJ147" s="654" t="str">
        <f>IF(J147="","",VLOOKUP(J147,'Inputs Mapping'!$T$17:$V$24,3))</f>
        <v/>
      </c>
      <c r="AK147" s="654" t="str">
        <f t="shared" si="82"/>
        <v/>
      </c>
      <c r="AL147" s="655" t="str">
        <f t="shared" si="78"/>
        <v/>
      </c>
      <c r="AM147" s="655" t="str">
        <f>IF(F147="","",IF(AE147="Dubai",HLOOKUP(F147,Inputs!$C$26:$M$36,5,0),HLOOKUP(F147,Inputs!$C$45:$M$49,5,0)))</f>
        <v/>
      </c>
      <c r="AN147" s="655">
        <f t="shared" si="83"/>
        <v>0</v>
      </c>
      <c r="AO147" s="654" t="str">
        <f>IF(AJ147="","",IF(AN147="Dubai",VLOOKUP(AJ147,'Inputs Mapping'!$V$17:$W$24,2,0),VLOOKUP(AI147,'Inputs Mapping'!$V$27:$W$31,2,0)))</f>
        <v/>
      </c>
      <c r="AP147" s="666">
        <f>IFERROR(IF($AN147="","",HLOOKUP($AN147&amp;RIGHT($AL147,1),'input for formula'!$B$16:$I$20,3,0)),0)</f>
        <v>0</v>
      </c>
      <c r="AQ147" s="656">
        <f>IFERROR(IF($AN147="","",HLOOKUP($AN147&amp;$F147,'input for formula'!$B$22:$M$25,2,0)),0)</f>
        <v>0</v>
      </c>
      <c r="AR147" s="666">
        <f>IFERROR(IF($AN147="","",HLOOKUP($AN147&amp;RIGHT($AL147,1),'input for formula'!$B$16:$I$20,4,0)),0)</f>
        <v>0</v>
      </c>
      <c r="AS147" s="656">
        <f>IFERROR(IF($AN147="","",HLOOKUP($AN147&amp;$F147,'input for formula'!$B$22:$M$25,3,0)),0)</f>
        <v>0</v>
      </c>
      <c r="AT147" s="656">
        <f>IFERROR(IF($AN147="","",HLOOKUP($AN147&amp;RIGHT($AL147,1),'input for formula'!$B$16:$I$20,5,0)),0)</f>
        <v>0</v>
      </c>
      <c r="AU147" s="656">
        <f>IFERROR(IF($AN147="","",HLOOKUP($AN147&amp;$F147,'input for formula'!$B$22:$M$25,4,0)),0)</f>
        <v>0</v>
      </c>
      <c r="AV147" s="666">
        <f>IFERROR(IF($AN147="","",IF('Census Data'!$AN147="Abu Dhabi",VLOOKUP('Census Data'!$AM147,'input for formula'!$A$28:$C$41,3,0),VLOOKUP('Census Data'!$AM147,'input for formula'!$A$28:$C$47,2,0))),0)*IFERROR(1+IF(AN147="Dubai",VLOOKUP(F147,'Quotation for Dubai Plans'!$V$6:$X$12,3,FALSE),VLOOKUP(F147,'Quotation for Abu Dhabi Plans'!$W$6:$Y$12,3,FALSE)),0)</f>
        <v>0</v>
      </c>
      <c r="AW147" s="656" t="str">
        <f t="shared" si="52"/>
        <v/>
      </c>
      <c r="AX147" s="667" t="str">
        <f>IFERROR(IF(AL147="","",IF(AN147="Dubai",HLOOKUP((AL147&amp;AM147),Deviation!$B$7:$S$8,2,0)*BF147*BH147*BI147*BG147,HLOOKUP((AL147&amp;AM147),Deviation!$B$9:$O$10,2,0)*BF147*BH147*BI147*BG147)),0)</f>
        <v/>
      </c>
      <c r="AY147" s="668"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formula'!$M$3:$O$7,AO147,FALSE)))*AX147+AP147*AQ147+AR147*AS147+AT147*AU147),0)*$AZ$3*BK147*BJ147*IF(AND(Inputs!$C$19&gt;19,Inputs!$C$19&lt;30),(1+$AZ$2),1)*(1+$AZ$1))</f>
        <v/>
      </c>
      <c r="AZ147" s="148" t="str">
        <f t="shared" si="84"/>
        <v/>
      </c>
      <c r="BA147" s="669" t="str">
        <f>IF(F147="","",IF(AE147="Dubai",HLOOKUP(F147,Inputs!$C$26:$M$37,9,0),HLOOKUP(F147,Inputs!$C$45:$M$56,9,0)))</f>
        <v/>
      </c>
      <c r="BB147" s="670" t="str">
        <f>IF(F147="","",IF(AE147="Dubai",HLOOKUP(F147,Inputs!$C$26:$M$37,10,0),HLOOKUP(F147,Inputs!$C$45:$M$56,10,0)))</f>
        <v/>
      </c>
      <c r="BC147" s="670" t="str">
        <f>IF(F147="","",IF(AE147="Dubai",HLOOKUP(F147,Inputs!$C$26:$M$37,11,0),HLOOKUP(F147,Inputs!$C$45:$M$56,11,0)))</f>
        <v/>
      </c>
      <c r="BD147" s="669" t="str">
        <f>IF(F147="","",IF(AE147="Dubai",HLOOKUP(F147,Inputs!$C$26:$M$37,12,0),HLOOKUP(F147,Inputs!$C$45:$M$56,12,0)))</f>
        <v/>
      </c>
      <c r="BE147" s="654"/>
      <c r="BF147" s="669" t="str">
        <f>IFERROR(IF(AL147="","",IF(AN147="Dubai",IF(OR(AL147="Plan1",AL147="Plan2"),VLOOKUP(BA147,Deviation!$B$31:$D$33,2,FALSE),VLOOKUP(BA147,Deviation!$B$31:$D$33,3,FALSE)),IF(OR(AL147="Plan1",AL147="Plan2"),VLOOKUP(BA147,Deviation!$E$31:$AE$33,2,FALSE),VLOOKUP(BA147,Deviation!$E$31:$AE$33,3,FALSE)))),0)</f>
        <v/>
      </c>
      <c r="BG147" s="671" t="str">
        <f>IFERROR(IF(AL147="","",IF(AN147="Dubai",IF(AL147="Plan1",VLOOKUP(BB147,Deviation!$B$39:$C$40,2,FALSE),IF(AL147="Plan2",VLOOKUP(BB147,Deviation!$B$42:$C$43,2,FALSE),IF(AL147="Plan5",VLOOKUP(BB147,Deviation!$B$48:$C$49,2,FALSE),VLOOKUP(BB147,Deviation!$B$45:$C$46,2,FALSE)))),IF(AL147="Plan1",VLOOKUP(BB147,Deviation!$E$39:$F$40,2,FALSE),IF(AL147="Plan2",VLOOKUP(BB147,Deviation!$E$42:$F$43,2,FALSE),VLOOKUP(BB147,Deviation!$E$45:$F$46,2,FALSE))))),0)</f>
        <v/>
      </c>
      <c r="BH147" s="671" t="str">
        <f>IFERROR(IF(AL147="","",IF(AN147="Dubai",IF(OR(AL147="Plan1",AL147="Plan2"),VLOOKUP(BC147,Deviation!$B$15:$D$19,2,FALSE),VLOOKUP(BC147,Deviation!$B$15:$D$19,3,FALSE)),IF(OR(AL147="Plan1",AL147="Plan2"),VLOOKUP(BC147,Deviation!$E$15:$AE$19,2,FALSE),VLOOKUP(BC147,Deviation!$E$15:$AE$19,3,FALSE)))),0)</f>
        <v/>
      </c>
      <c r="BI147" s="669" t="str">
        <f>IFERROR(IF(AL147="","",IF(AN147="Dubai",VLOOKUP(BD147,Deviation!$B$24:$C$26,2,FALSE),100%)),0)</f>
        <v/>
      </c>
      <c r="BJ147" s="672">
        <f>IF(AE147="Abu Dhabi",1,IFERROR(VLOOKUP(AM147,Deviation!$B$67:$E$79,MATCH('Census Data'!AA147,Deviation!$B$66:$E$66,0),0),1))</f>
        <v>1</v>
      </c>
      <c r="BK147" s="659">
        <f>IFERROR(VLOOKUP(I147,Deviation!$B$54:$C$62,2,0),1)</f>
        <v>1</v>
      </c>
      <c r="BL147" s="148"/>
      <c r="BM147" s="148"/>
      <c r="BN147" s="148"/>
      <c r="BO147" s="148"/>
      <c r="BP147" s="148"/>
      <c r="BQ147" s="148"/>
      <c r="BR147" s="148"/>
      <c r="BS147" s="148"/>
      <c r="BT147" s="148" t="e">
        <f t="shared" si="85"/>
        <v>#VALUE!</v>
      </c>
      <c r="BU147"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f>
        <v/>
      </c>
    </row>
    <row r="148" spans="1:73" ht="15" x14ac:dyDescent="0.25">
      <c r="A148" s="59">
        <v>143</v>
      </c>
      <c r="B148" s="470"/>
      <c r="C148" s="630"/>
      <c r="D148" s="621"/>
      <c r="E148" s="631"/>
      <c r="F148" s="298"/>
      <c r="G148" s="298"/>
      <c r="H148" s="298"/>
      <c r="I148" s="298"/>
      <c r="J148" s="80" t="str">
        <f>IFERROR(IF(C148="","",DATEDIF('Census Data'!C148,eff_date,"y")),"")</f>
        <v/>
      </c>
      <c r="K148" s="59" t="str">
        <f>IF(F148="","",IF(AE148="Dubai",HLOOKUP(F148,Inputs!$C$26:$M$28,3,0),HLOOKUP(F148,Inputs!$C$45:$M$46,2,0)))</f>
        <v/>
      </c>
      <c r="L148" s="94"/>
      <c r="M148" s="105">
        <f t="shared" si="68"/>
        <v>0</v>
      </c>
      <c r="N148" s="654" t="b">
        <f t="shared" si="69"/>
        <v>0</v>
      </c>
      <c r="O148" s="655" t="str">
        <f t="shared" si="70"/>
        <v>x</v>
      </c>
      <c r="P148" s="655" t="str">
        <f t="shared" si="71"/>
        <v>x</v>
      </c>
      <c r="Q148" s="655" t="str">
        <f t="shared" si="72"/>
        <v>x</v>
      </c>
      <c r="R148" s="655" t="str">
        <f t="shared" si="51"/>
        <v>x</v>
      </c>
      <c r="S148" s="655" t="str">
        <f t="shared" si="73"/>
        <v>x</v>
      </c>
      <c r="T148" s="655" t="str">
        <f>IF(ISERROR(MATCH(G148,'Inputs Mapping'!$T$4:$T$10,0)),"x","")</f>
        <v>x</v>
      </c>
      <c r="U148" s="655" t="str">
        <f>IF(ISERROR(MATCH(AA148,'Inputs Mapping'!$U$4:$U$5,0)),"x","")</f>
        <v>x</v>
      </c>
      <c r="V148" s="655" t="str">
        <f>IF(ISERROR(MATCH(AB148,'Inputs Mapping'!$V$4:$V$5,0)),"x","")</f>
        <v>x</v>
      </c>
      <c r="W148" s="655" t="str">
        <f>IF(ISERROR(MATCH(F148,'Inputs Mapping'!$W$4:$W$8,0)),"x","")</f>
        <v>x</v>
      </c>
      <c r="X148" s="655" t="str">
        <f t="shared" si="74"/>
        <v/>
      </c>
      <c r="Y148" s="655" t="str">
        <f t="shared" si="75"/>
        <v/>
      </c>
      <c r="Z148" s="655" t="str">
        <f t="shared" si="76"/>
        <v/>
      </c>
      <c r="AA148" s="655" t="str">
        <f t="shared" si="77"/>
        <v/>
      </c>
      <c r="AB148" s="655" t="str">
        <f t="shared" si="79"/>
        <v/>
      </c>
      <c r="AC148" s="655" t="str">
        <f t="shared" si="86"/>
        <v>x</v>
      </c>
      <c r="AD148" s="655" t="str">
        <f>IF(ISBLANK(I148),"x",IF(ISNUMBER(MATCH(I148,'Inputs Mapping'!$AF$5:$AF$199,0)),"","x"))</f>
        <v>x</v>
      </c>
      <c r="AE148" s="655" t="str">
        <f t="shared" si="80"/>
        <v/>
      </c>
      <c r="AF148" s="148"/>
      <c r="AG148" s="148"/>
      <c r="AH148" s="148" t="str">
        <f t="shared" si="81"/>
        <v/>
      </c>
      <c r="AI148" s="654" t="str">
        <f>IF(J148="","",VLOOKUP(J148,'Inputs Mapping'!$T$27:$V$31,3))</f>
        <v/>
      </c>
      <c r="AJ148" s="654" t="str">
        <f>IF(J148="","",VLOOKUP(J148,'Inputs Mapping'!$T$17:$V$24,3))</f>
        <v/>
      </c>
      <c r="AK148" s="654" t="str">
        <f t="shared" si="82"/>
        <v/>
      </c>
      <c r="AL148" s="655" t="str">
        <f t="shared" si="78"/>
        <v/>
      </c>
      <c r="AM148" s="655" t="str">
        <f>IF(F148="","",IF(AE148="Dubai",HLOOKUP(F148,Inputs!$C$26:$M$36,5,0),HLOOKUP(F148,Inputs!$C$45:$M$49,5,0)))</f>
        <v/>
      </c>
      <c r="AN148" s="655">
        <f t="shared" si="83"/>
        <v>0</v>
      </c>
      <c r="AO148" s="654" t="str">
        <f>IF(AJ148="","",IF(AN148="Dubai",VLOOKUP(AJ148,'Inputs Mapping'!$V$17:$W$24,2,0),VLOOKUP(AI148,'Inputs Mapping'!$V$27:$W$31,2,0)))</f>
        <v/>
      </c>
      <c r="AP148" s="666">
        <f>IFERROR(IF($AN148="","",HLOOKUP($AN148&amp;RIGHT($AL148,1),'input for formula'!$B$16:$I$20,3,0)),0)</f>
        <v>0</v>
      </c>
      <c r="AQ148" s="656">
        <f>IFERROR(IF($AN148="","",HLOOKUP($AN148&amp;$F148,'input for formula'!$B$22:$M$25,2,0)),0)</f>
        <v>0</v>
      </c>
      <c r="AR148" s="666">
        <f>IFERROR(IF($AN148="","",HLOOKUP($AN148&amp;RIGHT($AL148,1),'input for formula'!$B$16:$I$20,4,0)),0)</f>
        <v>0</v>
      </c>
      <c r="AS148" s="656">
        <f>IFERROR(IF($AN148="","",HLOOKUP($AN148&amp;$F148,'input for formula'!$B$22:$M$25,3,0)),0)</f>
        <v>0</v>
      </c>
      <c r="AT148" s="656">
        <f>IFERROR(IF($AN148="","",HLOOKUP($AN148&amp;RIGHT($AL148,1),'input for formula'!$B$16:$I$20,5,0)),0)</f>
        <v>0</v>
      </c>
      <c r="AU148" s="656">
        <f>IFERROR(IF($AN148="","",HLOOKUP($AN148&amp;$F148,'input for formula'!$B$22:$M$25,4,0)),0)</f>
        <v>0</v>
      </c>
      <c r="AV148" s="666">
        <f>IFERROR(IF($AN148="","",IF('Census Data'!$AN148="Abu Dhabi",VLOOKUP('Census Data'!$AM148,'input for formula'!$A$28:$C$41,3,0),VLOOKUP('Census Data'!$AM148,'input for formula'!$A$28:$C$47,2,0))),0)*IFERROR(1+IF(AN148="Dubai",VLOOKUP(F148,'Quotation for Dubai Plans'!$V$6:$X$12,3,FALSE),VLOOKUP(F148,'Quotation for Abu Dhabi Plans'!$W$6:$Y$12,3,FALSE)),0)</f>
        <v>0</v>
      </c>
      <c r="AW148" s="656" t="str">
        <f t="shared" si="52"/>
        <v/>
      </c>
      <c r="AX148" s="667" t="str">
        <f>IFERROR(IF(AL148="","",IF(AN148="Dubai",HLOOKUP((AL148&amp;AM148),Deviation!$B$7:$S$8,2,0)*BF148*BH148*BI148*BG148,HLOOKUP((AL148&amp;AM148),Deviation!$B$9:$O$10,2,0)*BF148*BH148*BI148*BG148)),0)</f>
        <v/>
      </c>
      <c r="AY148" s="66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formula'!$M$3:$O$7,AO148,FALSE)))*AX148+AP148*AQ148+AR148*AS148+AT148*AU148),0)*$AZ$3*BK148*BJ148*IF(AND(Inputs!$C$19&gt;19,Inputs!$C$19&lt;30),(1+$AZ$2),1)*(1+$AZ$1))</f>
        <v/>
      </c>
      <c r="AZ148" s="148" t="str">
        <f t="shared" si="84"/>
        <v/>
      </c>
      <c r="BA148" s="669" t="str">
        <f>IF(F148="","",IF(AE148="Dubai",HLOOKUP(F148,Inputs!$C$26:$M$37,9,0),HLOOKUP(F148,Inputs!$C$45:$M$56,9,0)))</f>
        <v/>
      </c>
      <c r="BB148" s="670" t="str">
        <f>IF(F148="","",IF(AE148="Dubai",HLOOKUP(F148,Inputs!$C$26:$M$37,10,0),HLOOKUP(F148,Inputs!$C$45:$M$56,10,0)))</f>
        <v/>
      </c>
      <c r="BC148" s="670" t="str">
        <f>IF(F148="","",IF(AE148="Dubai",HLOOKUP(F148,Inputs!$C$26:$M$37,11,0),HLOOKUP(F148,Inputs!$C$45:$M$56,11,0)))</f>
        <v/>
      </c>
      <c r="BD148" s="669" t="str">
        <f>IF(F148="","",IF(AE148="Dubai",HLOOKUP(F148,Inputs!$C$26:$M$37,12,0),HLOOKUP(F148,Inputs!$C$45:$M$56,12,0)))</f>
        <v/>
      </c>
      <c r="BE148" s="654"/>
      <c r="BF148" s="669" t="str">
        <f>IFERROR(IF(AL148="","",IF(AN148="Dubai",IF(OR(AL148="Plan1",AL148="Plan2"),VLOOKUP(BA148,Deviation!$B$31:$D$33,2,FALSE),VLOOKUP(BA148,Deviation!$B$31:$D$33,3,FALSE)),IF(OR(AL148="Plan1",AL148="Plan2"),VLOOKUP(BA148,Deviation!$E$31:$AE$33,2,FALSE),VLOOKUP(BA148,Deviation!$E$31:$AE$33,3,FALSE)))),0)</f>
        <v/>
      </c>
      <c r="BG148" s="671" t="str">
        <f>IFERROR(IF(AL148="","",IF(AN148="Dubai",IF(AL148="Plan1",VLOOKUP(BB148,Deviation!$B$39:$C$40,2,FALSE),IF(AL148="Plan2",VLOOKUP(BB148,Deviation!$B$42:$C$43,2,FALSE),IF(AL148="Plan5",VLOOKUP(BB148,Deviation!$B$48:$C$49,2,FALSE),VLOOKUP(BB148,Deviation!$B$45:$C$46,2,FALSE)))),IF(AL148="Plan1",VLOOKUP(BB148,Deviation!$E$39:$F$40,2,FALSE),IF(AL148="Plan2",VLOOKUP(BB148,Deviation!$E$42:$F$43,2,FALSE),VLOOKUP(BB148,Deviation!$E$45:$F$46,2,FALSE))))),0)</f>
        <v/>
      </c>
      <c r="BH148" s="671" t="str">
        <f>IFERROR(IF(AL148="","",IF(AN148="Dubai",IF(OR(AL148="Plan1",AL148="Plan2"),VLOOKUP(BC148,Deviation!$B$15:$D$19,2,FALSE),VLOOKUP(BC148,Deviation!$B$15:$D$19,3,FALSE)),IF(OR(AL148="Plan1",AL148="Plan2"),VLOOKUP(BC148,Deviation!$E$15:$AE$19,2,FALSE),VLOOKUP(BC148,Deviation!$E$15:$AE$19,3,FALSE)))),0)</f>
        <v/>
      </c>
      <c r="BI148" s="669" t="str">
        <f>IFERROR(IF(AL148="","",IF(AN148="Dubai",VLOOKUP(BD148,Deviation!$B$24:$C$26,2,FALSE),100%)),0)</f>
        <v/>
      </c>
      <c r="BJ148" s="672">
        <f>IF(AE148="Abu Dhabi",1,IFERROR(VLOOKUP(AM148,Deviation!$B$67:$E$79,MATCH('Census Data'!AA148,Deviation!$B$66:$E$66,0),0),1))</f>
        <v>1</v>
      </c>
      <c r="BK148" s="659">
        <f>IFERROR(VLOOKUP(I148,Deviation!$B$54:$C$62,2,0),1)</f>
        <v>1</v>
      </c>
      <c r="BL148" s="148"/>
      <c r="BM148" s="148"/>
      <c r="BN148" s="148"/>
      <c r="BO148" s="148"/>
      <c r="BP148" s="148"/>
      <c r="BQ148" s="148"/>
      <c r="BR148" s="148"/>
      <c r="BS148" s="148"/>
      <c r="BT148" s="148" t="e">
        <f t="shared" si="85"/>
        <v>#VALUE!</v>
      </c>
      <c r="BU14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f>
        <v/>
      </c>
    </row>
    <row r="149" spans="1:73" ht="15" x14ac:dyDescent="0.25">
      <c r="A149" s="59">
        <v>144</v>
      </c>
      <c r="B149" s="470"/>
      <c r="C149" s="630"/>
      <c r="D149" s="621"/>
      <c r="E149" s="631"/>
      <c r="F149" s="298"/>
      <c r="G149" s="298"/>
      <c r="H149" s="298"/>
      <c r="I149" s="298"/>
      <c r="J149" s="80" t="str">
        <f>IFERROR(IF(C149="","",DATEDIF('Census Data'!C149,eff_date,"y")),"")</f>
        <v/>
      </c>
      <c r="K149" s="59" t="str">
        <f>IF(F149="","",IF(AE149="Dubai",HLOOKUP(F149,Inputs!$C$26:$M$28,3,0),HLOOKUP(F149,Inputs!$C$45:$M$46,2,0)))</f>
        <v/>
      </c>
      <c r="L149" s="94"/>
      <c r="M149" s="105">
        <f t="shared" si="68"/>
        <v>0</v>
      </c>
      <c r="N149" s="654" t="b">
        <f t="shared" si="69"/>
        <v>0</v>
      </c>
      <c r="O149" s="655" t="str">
        <f t="shared" si="70"/>
        <v>x</v>
      </c>
      <c r="P149" s="655" t="str">
        <f t="shared" si="71"/>
        <v>x</v>
      </c>
      <c r="Q149" s="655" t="str">
        <f t="shared" si="72"/>
        <v>x</v>
      </c>
      <c r="R149" s="655" t="str">
        <f t="shared" si="51"/>
        <v>x</v>
      </c>
      <c r="S149" s="655" t="str">
        <f t="shared" si="73"/>
        <v>x</v>
      </c>
      <c r="T149" s="655" t="str">
        <f>IF(ISERROR(MATCH(G149,'Inputs Mapping'!$T$4:$T$10,0)),"x","")</f>
        <v>x</v>
      </c>
      <c r="U149" s="655" t="str">
        <f>IF(ISERROR(MATCH(AA149,'Inputs Mapping'!$U$4:$U$5,0)),"x","")</f>
        <v>x</v>
      </c>
      <c r="V149" s="655" t="str">
        <f>IF(ISERROR(MATCH(AB149,'Inputs Mapping'!$V$4:$V$5,0)),"x","")</f>
        <v>x</v>
      </c>
      <c r="W149" s="655" t="str">
        <f>IF(ISERROR(MATCH(F149,'Inputs Mapping'!$W$4:$W$8,0)),"x","")</f>
        <v>x</v>
      </c>
      <c r="X149" s="655" t="str">
        <f t="shared" si="74"/>
        <v/>
      </c>
      <c r="Y149" s="655" t="str">
        <f t="shared" si="75"/>
        <v/>
      </c>
      <c r="Z149" s="655" t="str">
        <f t="shared" si="76"/>
        <v/>
      </c>
      <c r="AA149" s="655" t="str">
        <f t="shared" si="77"/>
        <v/>
      </c>
      <c r="AB149" s="655" t="str">
        <f t="shared" si="79"/>
        <v/>
      </c>
      <c r="AC149" s="655" t="str">
        <f t="shared" si="86"/>
        <v>x</v>
      </c>
      <c r="AD149" s="655" t="str">
        <f>IF(ISBLANK(I149),"x",IF(ISNUMBER(MATCH(I149,'Inputs Mapping'!$AF$5:$AF$199,0)),"","x"))</f>
        <v>x</v>
      </c>
      <c r="AE149" s="655" t="str">
        <f t="shared" si="80"/>
        <v/>
      </c>
      <c r="AF149" s="148"/>
      <c r="AG149" s="148"/>
      <c r="AH149" s="148" t="str">
        <f t="shared" si="81"/>
        <v/>
      </c>
      <c r="AI149" s="654" t="str">
        <f>IF(J149="","",VLOOKUP(J149,'Inputs Mapping'!$T$27:$V$31,3))</f>
        <v/>
      </c>
      <c r="AJ149" s="654" t="str">
        <f>IF(J149="","",VLOOKUP(J149,'Inputs Mapping'!$T$17:$V$24,3))</f>
        <v/>
      </c>
      <c r="AK149" s="654" t="str">
        <f t="shared" si="82"/>
        <v/>
      </c>
      <c r="AL149" s="655" t="str">
        <f t="shared" si="78"/>
        <v/>
      </c>
      <c r="AM149" s="655" t="str">
        <f>IF(F149="","",IF(AE149="Dubai",HLOOKUP(F149,Inputs!$C$26:$M$36,5,0),HLOOKUP(F149,Inputs!$C$45:$M$49,5,0)))</f>
        <v/>
      </c>
      <c r="AN149" s="655">
        <f t="shared" si="83"/>
        <v>0</v>
      </c>
      <c r="AO149" s="654" t="str">
        <f>IF(AJ149="","",IF(AN149="Dubai",VLOOKUP(AJ149,'Inputs Mapping'!$V$17:$W$24,2,0),VLOOKUP(AI149,'Inputs Mapping'!$V$27:$W$31,2,0)))</f>
        <v/>
      </c>
      <c r="AP149" s="666">
        <f>IFERROR(IF($AN149="","",HLOOKUP($AN149&amp;RIGHT($AL149,1),'input for formula'!$B$16:$I$20,3,0)),0)</f>
        <v>0</v>
      </c>
      <c r="AQ149" s="656">
        <f>IFERROR(IF($AN149="","",HLOOKUP($AN149&amp;$F149,'input for formula'!$B$22:$M$25,2,0)),0)</f>
        <v>0</v>
      </c>
      <c r="AR149" s="666">
        <f>IFERROR(IF($AN149="","",HLOOKUP($AN149&amp;RIGHT($AL149,1),'input for formula'!$B$16:$I$20,4,0)),0)</f>
        <v>0</v>
      </c>
      <c r="AS149" s="656">
        <f>IFERROR(IF($AN149="","",HLOOKUP($AN149&amp;$F149,'input for formula'!$B$22:$M$25,3,0)),0)</f>
        <v>0</v>
      </c>
      <c r="AT149" s="656">
        <f>IFERROR(IF($AN149="","",HLOOKUP($AN149&amp;RIGHT($AL149,1),'input for formula'!$B$16:$I$20,5,0)),0)</f>
        <v>0</v>
      </c>
      <c r="AU149" s="656">
        <f>IFERROR(IF($AN149="","",HLOOKUP($AN149&amp;$F149,'input for formula'!$B$22:$M$25,4,0)),0)</f>
        <v>0</v>
      </c>
      <c r="AV149" s="666">
        <f>IFERROR(IF($AN149="","",IF('Census Data'!$AN149="Abu Dhabi",VLOOKUP('Census Data'!$AM149,'input for formula'!$A$28:$C$41,3,0),VLOOKUP('Census Data'!$AM149,'input for formula'!$A$28:$C$47,2,0))),0)*IFERROR(1+IF(AN149="Dubai",VLOOKUP(F149,'Quotation for Dubai Plans'!$V$6:$X$12,3,FALSE),VLOOKUP(F149,'Quotation for Abu Dhabi Plans'!$W$6:$Y$12,3,FALSE)),0)</f>
        <v>0</v>
      </c>
      <c r="AW149" s="656" t="str">
        <f t="shared" si="52"/>
        <v/>
      </c>
      <c r="AX149" s="667" t="str">
        <f>IFERROR(IF(AL149="","",IF(AN149="Dubai",HLOOKUP((AL149&amp;AM149),Deviation!$B$7:$S$8,2,0)*BF149*BH149*BI149*BG149,HLOOKUP((AL149&amp;AM149),Deviation!$B$9:$O$10,2,0)*BF149*BH149*BI149*BG149)),0)</f>
        <v/>
      </c>
      <c r="AY149" s="668"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formula'!$M$3:$O$7,AO149,FALSE)))*AX149+AP149*AQ149+AR149*AS149+AT149*AU149),0)*$AZ$3*BK149*BJ149*IF(AND(Inputs!$C$19&gt;19,Inputs!$C$19&lt;30),(1+$AZ$2),1)*(1+$AZ$1))</f>
        <v/>
      </c>
      <c r="AZ149" s="148" t="str">
        <f t="shared" si="84"/>
        <v/>
      </c>
      <c r="BA149" s="669" t="str">
        <f>IF(F149="","",IF(AE149="Dubai",HLOOKUP(F149,Inputs!$C$26:$M$37,9,0),HLOOKUP(F149,Inputs!$C$45:$M$56,9,0)))</f>
        <v/>
      </c>
      <c r="BB149" s="670" t="str">
        <f>IF(F149="","",IF(AE149="Dubai",HLOOKUP(F149,Inputs!$C$26:$M$37,10,0),HLOOKUP(F149,Inputs!$C$45:$M$56,10,0)))</f>
        <v/>
      </c>
      <c r="BC149" s="670" t="str">
        <f>IF(F149="","",IF(AE149="Dubai",HLOOKUP(F149,Inputs!$C$26:$M$37,11,0),HLOOKUP(F149,Inputs!$C$45:$M$56,11,0)))</f>
        <v/>
      </c>
      <c r="BD149" s="669" t="str">
        <f>IF(F149="","",IF(AE149="Dubai",HLOOKUP(F149,Inputs!$C$26:$M$37,12,0),HLOOKUP(F149,Inputs!$C$45:$M$56,12,0)))</f>
        <v/>
      </c>
      <c r="BE149" s="654"/>
      <c r="BF149" s="669" t="str">
        <f>IFERROR(IF(AL149="","",IF(AN149="Dubai",IF(OR(AL149="Plan1",AL149="Plan2"),VLOOKUP(BA149,Deviation!$B$31:$D$33,2,FALSE),VLOOKUP(BA149,Deviation!$B$31:$D$33,3,FALSE)),IF(OR(AL149="Plan1",AL149="Plan2"),VLOOKUP(BA149,Deviation!$E$31:$AE$33,2,FALSE),VLOOKUP(BA149,Deviation!$E$31:$AE$33,3,FALSE)))),0)</f>
        <v/>
      </c>
      <c r="BG149" s="671" t="str">
        <f>IFERROR(IF(AL149="","",IF(AN149="Dubai",IF(AL149="Plan1",VLOOKUP(BB149,Deviation!$B$39:$C$40,2,FALSE),IF(AL149="Plan2",VLOOKUP(BB149,Deviation!$B$42:$C$43,2,FALSE),IF(AL149="Plan5",VLOOKUP(BB149,Deviation!$B$48:$C$49,2,FALSE),VLOOKUP(BB149,Deviation!$B$45:$C$46,2,FALSE)))),IF(AL149="Plan1",VLOOKUP(BB149,Deviation!$E$39:$F$40,2,FALSE),IF(AL149="Plan2",VLOOKUP(BB149,Deviation!$E$42:$F$43,2,FALSE),VLOOKUP(BB149,Deviation!$E$45:$F$46,2,FALSE))))),0)</f>
        <v/>
      </c>
      <c r="BH149" s="671" t="str">
        <f>IFERROR(IF(AL149="","",IF(AN149="Dubai",IF(OR(AL149="Plan1",AL149="Plan2"),VLOOKUP(BC149,Deviation!$B$15:$D$19,2,FALSE),VLOOKUP(BC149,Deviation!$B$15:$D$19,3,FALSE)),IF(OR(AL149="Plan1",AL149="Plan2"),VLOOKUP(BC149,Deviation!$E$15:$AE$19,2,FALSE),VLOOKUP(BC149,Deviation!$E$15:$AE$19,3,FALSE)))),0)</f>
        <v/>
      </c>
      <c r="BI149" s="669" t="str">
        <f>IFERROR(IF(AL149="","",IF(AN149="Dubai",VLOOKUP(BD149,Deviation!$B$24:$C$26,2,FALSE),100%)),0)</f>
        <v/>
      </c>
      <c r="BJ149" s="672">
        <f>IF(AE149="Abu Dhabi",1,IFERROR(VLOOKUP(AM149,Deviation!$B$67:$E$79,MATCH('Census Data'!AA149,Deviation!$B$66:$E$66,0),0),1))</f>
        <v>1</v>
      </c>
      <c r="BK149" s="659">
        <f>IFERROR(VLOOKUP(I149,Deviation!$B$54:$C$62,2,0),1)</f>
        <v>1</v>
      </c>
      <c r="BL149" s="148"/>
      <c r="BM149" s="148"/>
      <c r="BN149" s="148"/>
      <c r="BO149" s="148"/>
      <c r="BP149" s="148"/>
      <c r="BQ149" s="148"/>
      <c r="BR149" s="148"/>
      <c r="BS149" s="148"/>
      <c r="BT149" s="148" t="e">
        <f t="shared" si="85"/>
        <v>#VALUE!</v>
      </c>
      <c r="BU149"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f>
        <v/>
      </c>
    </row>
    <row r="150" spans="1:73" ht="15" x14ac:dyDescent="0.25">
      <c r="A150" s="59">
        <v>145</v>
      </c>
      <c r="B150" s="470"/>
      <c r="C150" s="630"/>
      <c r="D150" s="621"/>
      <c r="E150" s="631"/>
      <c r="F150" s="298"/>
      <c r="G150" s="298"/>
      <c r="H150" s="298"/>
      <c r="I150" s="298"/>
      <c r="J150" s="80" t="str">
        <f>IFERROR(IF(C150="","",DATEDIF('Census Data'!C150,eff_date,"y")),"")</f>
        <v/>
      </c>
      <c r="K150" s="59" t="str">
        <f>IF(F150="","",IF(AE150="Dubai",HLOOKUP(F150,Inputs!$C$26:$M$28,3,0),HLOOKUP(F150,Inputs!$C$45:$M$46,2,0)))</f>
        <v/>
      </c>
      <c r="L150" s="94"/>
      <c r="M150" s="105">
        <f t="shared" si="68"/>
        <v>0</v>
      </c>
      <c r="N150" s="654" t="b">
        <f t="shared" si="69"/>
        <v>0</v>
      </c>
      <c r="O150" s="655" t="str">
        <f t="shared" si="70"/>
        <v>x</v>
      </c>
      <c r="P150" s="655" t="str">
        <f t="shared" si="71"/>
        <v>x</v>
      </c>
      <c r="Q150" s="655" t="str">
        <f t="shared" si="72"/>
        <v>x</v>
      </c>
      <c r="R150" s="655" t="str">
        <f t="shared" si="51"/>
        <v>x</v>
      </c>
      <c r="S150" s="655" t="str">
        <f t="shared" si="73"/>
        <v>x</v>
      </c>
      <c r="T150" s="655" t="str">
        <f>IF(ISERROR(MATCH(G150,'Inputs Mapping'!$T$4:$T$10,0)),"x","")</f>
        <v>x</v>
      </c>
      <c r="U150" s="655" t="str">
        <f>IF(ISERROR(MATCH(AA150,'Inputs Mapping'!$U$4:$U$5,0)),"x","")</f>
        <v>x</v>
      </c>
      <c r="V150" s="655" t="str">
        <f>IF(ISERROR(MATCH(AB150,'Inputs Mapping'!$V$4:$V$5,0)),"x","")</f>
        <v>x</v>
      </c>
      <c r="W150" s="655" t="str">
        <f>IF(ISERROR(MATCH(F150,'Inputs Mapping'!$W$4:$W$8,0)),"x","")</f>
        <v>x</v>
      </c>
      <c r="X150" s="655" t="str">
        <f t="shared" si="74"/>
        <v/>
      </c>
      <c r="Y150" s="655" t="str">
        <f t="shared" si="75"/>
        <v/>
      </c>
      <c r="Z150" s="655" t="str">
        <f t="shared" si="76"/>
        <v/>
      </c>
      <c r="AA150" s="655" t="str">
        <f t="shared" si="77"/>
        <v/>
      </c>
      <c r="AB150" s="655" t="str">
        <f t="shared" si="79"/>
        <v/>
      </c>
      <c r="AC150" s="655" t="str">
        <f t="shared" si="86"/>
        <v>x</v>
      </c>
      <c r="AD150" s="655" t="str">
        <f>IF(ISBLANK(I150),"x",IF(ISNUMBER(MATCH(I150,'Inputs Mapping'!$AF$5:$AF$199,0)),"","x"))</f>
        <v>x</v>
      </c>
      <c r="AE150" s="655" t="str">
        <f t="shared" si="80"/>
        <v/>
      </c>
      <c r="AF150" s="148"/>
      <c r="AG150" s="148"/>
      <c r="AH150" s="148" t="str">
        <f t="shared" si="81"/>
        <v/>
      </c>
      <c r="AI150" s="654" t="str">
        <f>IF(J150="","",VLOOKUP(J150,'Inputs Mapping'!$T$27:$V$31,3))</f>
        <v/>
      </c>
      <c r="AJ150" s="654" t="str">
        <f>IF(J150="","",VLOOKUP(J150,'Inputs Mapping'!$T$17:$V$24,3))</f>
        <v/>
      </c>
      <c r="AK150" s="654" t="str">
        <f t="shared" si="82"/>
        <v/>
      </c>
      <c r="AL150" s="655" t="str">
        <f t="shared" si="78"/>
        <v/>
      </c>
      <c r="AM150" s="655" t="str">
        <f>IF(F150="","",IF(AE150="Dubai",HLOOKUP(F150,Inputs!$C$26:$M$36,5,0),HLOOKUP(F150,Inputs!$C$45:$M$49,5,0)))</f>
        <v/>
      </c>
      <c r="AN150" s="655">
        <f t="shared" si="83"/>
        <v>0</v>
      </c>
      <c r="AO150" s="654" t="str">
        <f>IF(AJ150="","",IF(AN150="Dubai",VLOOKUP(AJ150,'Inputs Mapping'!$V$17:$W$24,2,0),VLOOKUP(AI150,'Inputs Mapping'!$V$27:$W$31,2,0)))</f>
        <v/>
      </c>
      <c r="AP150" s="666">
        <f>IFERROR(IF($AN150="","",HLOOKUP($AN150&amp;RIGHT($AL150,1),'input for formula'!$B$16:$I$20,3,0)),0)</f>
        <v>0</v>
      </c>
      <c r="AQ150" s="656">
        <f>IFERROR(IF($AN150="","",HLOOKUP($AN150&amp;$F150,'input for formula'!$B$22:$M$25,2,0)),0)</f>
        <v>0</v>
      </c>
      <c r="AR150" s="666">
        <f>IFERROR(IF($AN150="","",HLOOKUP($AN150&amp;RIGHT($AL150,1),'input for formula'!$B$16:$I$20,4,0)),0)</f>
        <v>0</v>
      </c>
      <c r="AS150" s="656">
        <f>IFERROR(IF($AN150="","",HLOOKUP($AN150&amp;$F150,'input for formula'!$B$22:$M$25,3,0)),0)</f>
        <v>0</v>
      </c>
      <c r="AT150" s="656">
        <f>IFERROR(IF($AN150="","",HLOOKUP($AN150&amp;RIGHT($AL150,1),'input for formula'!$B$16:$I$20,5,0)),0)</f>
        <v>0</v>
      </c>
      <c r="AU150" s="656">
        <f>IFERROR(IF($AN150="","",HLOOKUP($AN150&amp;$F150,'input for formula'!$B$22:$M$25,4,0)),0)</f>
        <v>0</v>
      </c>
      <c r="AV150" s="666">
        <f>IFERROR(IF($AN150="","",IF('Census Data'!$AN150="Abu Dhabi",VLOOKUP('Census Data'!$AM150,'input for formula'!$A$28:$C$41,3,0),VLOOKUP('Census Data'!$AM150,'input for formula'!$A$28:$C$47,2,0))),0)*IFERROR(1+IF(AN150="Dubai",VLOOKUP(F150,'Quotation for Dubai Plans'!$V$6:$X$12,3,FALSE),VLOOKUP(F150,'Quotation for Abu Dhabi Plans'!$W$6:$Y$12,3,FALSE)),0)</f>
        <v>0</v>
      </c>
      <c r="AW150" s="656" t="str">
        <f t="shared" si="52"/>
        <v/>
      </c>
      <c r="AX150" s="667" t="str">
        <f>IFERROR(IF(AL150="","",IF(AN150="Dubai",HLOOKUP((AL150&amp;AM150),Deviation!$B$7:$S$8,2,0)*BF150*BH150*BI150*BG150,HLOOKUP((AL150&amp;AM150),Deviation!$B$9:$O$10,2,0)*BF150*BH150*BI150*BG150)),0)</f>
        <v/>
      </c>
      <c r="AY150" s="668"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formula'!$M$3:$O$7,AO150,FALSE)))*AX150+AP150*AQ150+AR150*AS150+AT150*AU150),0)*$AZ$3*BK150*BJ150*IF(AND(Inputs!$C$19&gt;19,Inputs!$C$19&lt;30),(1+$AZ$2),1)*(1+$AZ$1))</f>
        <v/>
      </c>
      <c r="AZ150" s="148" t="str">
        <f t="shared" si="84"/>
        <v/>
      </c>
      <c r="BA150" s="669" t="str">
        <f>IF(F150="","",IF(AE150="Dubai",HLOOKUP(F150,Inputs!$C$26:$M$37,9,0),HLOOKUP(F150,Inputs!$C$45:$M$56,9,0)))</f>
        <v/>
      </c>
      <c r="BB150" s="670" t="str">
        <f>IF(F150="","",IF(AE150="Dubai",HLOOKUP(F150,Inputs!$C$26:$M$37,10,0),HLOOKUP(F150,Inputs!$C$45:$M$56,10,0)))</f>
        <v/>
      </c>
      <c r="BC150" s="670" t="str">
        <f>IF(F150="","",IF(AE150="Dubai",HLOOKUP(F150,Inputs!$C$26:$M$37,11,0),HLOOKUP(F150,Inputs!$C$45:$M$56,11,0)))</f>
        <v/>
      </c>
      <c r="BD150" s="669" t="str">
        <f>IF(F150="","",IF(AE150="Dubai",HLOOKUP(F150,Inputs!$C$26:$M$37,12,0),HLOOKUP(F150,Inputs!$C$45:$M$56,12,0)))</f>
        <v/>
      </c>
      <c r="BE150" s="654"/>
      <c r="BF150" s="669" t="str">
        <f>IFERROR(IF(AL150="","",IF(AN150="Dubai",IF(OR(AL150="Plan1",AL150="Plan2"),VLOOKUP(BA150,Deviation!$B$31:$D$33,2,FALSE),VLOOKUP(BA150,Deviation!$B$31:$D$33,3,FALSE)),IF(OR(AL150="Plan1",AL150="Plan2"),VLOOKUP(BA150,Deviation!$E$31:$AE$33,2,FALSE),VLOOKUP(BA150,Deviation!$E$31:$AE$33,3,FALSE)))),0)</f>
        <v/>
      </c>
      <c r="BG150" s="671" t="str">
        <f>IFERROR(IF(AL150="","",IF(AN150="Dubai",IF(AL150="Plan1",VLOOKUP(BB150,Deviation!$B$39:$C$40,2,FALSE),IF(AL150="Plan2",VLOOKUP(BB150,Deviation!$B$42:$C$43,2,FALSE),IF(AL150="Plan5",VLOOKUP(BB150,Deviation!$B$48:$C$49,2,FALSE),VLOOKUP(BB150,Deviation!$B$45:$C$46,2,FALSE)))),IF(AL150="Plan1",VLOOKUP(BB150,Deviation!$E$39:$F$40,2,FALSE),IF(AL150="Plan2",VLOOKUP(BB150,Deviation!$E$42:$F$43,2,FALSE),VLOOKUP(BB150,Deviation!$E$45:$F$46,2,FALSE))))),0)</f>
        <v/>
      </c>
      <c r="BH150" s="671" t="str">
        <f>IFERROR(IF(AL150="","",IF(AN150="Dubai",IF(OR(AL150="Plan1",AL150="Plan2"),VLOOKUP(BC150,Deviation!$B$15:$D$19,2,FALSE),VLOOKUP(BC150,Deviation!$B$15:$D$19,3,FALSE)),IF(OR(AL150="Plan1",AL150="Plan2"),VLOOKUP(BC150,Deviation!$E$15:$AE$19,2,FALSE),VLOOKUP(BC150,Deviation!$E$15:$AE$19,3,FALSE)))),0)</f>
        <v/>
      </c>
      <c r="BI150" s="669" t="str">
        <f>IFERROR(IF(AL150="","",IF(AN150="Dubai",VLOOKUP(BD150,Deviation!$B$24:$C$26,2,FALSE),100%)),0)</f>
        <v/>
      </c>
      <c r="BJ150" s="672">
        <f>IF(AE150="Abu Dhabi",1,IFERROR(VLOOKUP(AM150,Deviation!$B$67:$E$79,MATCH('Census Data'!AA150,Deviation!$B$66:$E$66,0),0),1))</f>
        <v>1</v>
      </c>
      <c r="BK150" s="659">
        <f>IFERROR(VLOOKUP(I150,Deviation!$B$54:$C$62,2,0),1)</f>
        <v>1</v>
      </c>
      <c r="BL150" s="148"/>
      <c r="BM150" s="148"/>
      <c r="BN150" s="148"/>
      <c r="BO150" s="148"/>
      <c r="BP150" s="148"/>
      <c r="BQ150" s="148"/>
      <c r="BR150" s="148"/>
      <c r="BS150" s="148"/>
      <c r="BT150" s="148" t="e">
        <f t="shared" si="85"/>
        <v>#VALUE!</v>
      </c>
      <c r="BU150"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f>
        <v/>
      </c>
    </row>
    <row r="151" spans="1:73" ht="15" x14ac:dyDescent="0.25">
      <c r="A151" s="59">
        <v>146</v>
      </c>
      <c r="B151" s="470"/>
      <c r="C151" s="630"/>
      <c r="D151" s="621"/>
      <c r="E151" s="631"/>
      <c r="F151" s="298"/>
      <c r="G151" s="298"/>
      <c r="H151" s="298"/>
      <c r="I151" s="298"/>
      <c r="J151" s="80" t="str">
        <f>IFERROR(IF(C151="","",DATEDIF('Census Data'!C151,eff_date,"y")),"")</f>
        <v/>
      </c>
      <c r="K151" s="59" t="str">
        <f>IF(F151="","",IF(AE151="Dubai",HLOOKUP(F151,Inputs!$C$26:$M$28,3,0),HLOOKUP(F151,Inputs!$C$45:$M$46,2,0)))</f>
        <v/>
      </c>
      <c r="L151" s="94"/>
      <c r="M151" s="105">
        <f t="shared" si="68"/>
        <v>0</v>
      </c>
      <c r="N151" s="654" t="b">
        <f t="shared" si="69"/>
        <v>0</v>
      </c>
      <c r="O151" s="655" t="str">
        <f t="shared" si="70"/>
        <v>x</v>
      </c>
      <c r="P151" s="655" t="str">
        <f t="shared" si="71"/>
        <v>x</v>
      </c>
      <c r="Q151" s="655" t="str">
        <f t="shared" si="72"/>
        <v>x</v>
      </c>
      <c r="R151" s="655" t="str">
        <f t="shared" si="51"/>
        <v>x</v>
      </c>
      <c r="S151" s="655" t="str">
        <f t="shared" si="73"/>
        <v>x</v>
      </c>
      <c r="T151" s="655" t="str">
        <f>IF(ISERROR(MATCH(G151,'Inputs Mapping'!$T$4:$T$10,0)),"x","")</f>
        <v>x</v>
      </c>
      <c r="U151" s="655" t="str">
        <f>IF(ISERROR(MATCH(AA151,'Inputs Mapping'!$U$4:$U$5,0)),"x","")</f>
        <v>x</v>
      </c>
      <c r="V151" s="655" t="str">
        <f>IF(ISERROR(MATCH(AB151,'Inputs Mapping'!$V$4:$V$5,0)),"x","")</f>
        <v>x</v>
      </c>
      <c r="W151" s="655" t="str">
        <f>IF(ISERROR(MATCH(F151,'Inputs Mapping'!$W$4:$W$8,0)),"x","")</f>
        <v>x</v>
      </c>
      <c r="X151" s="655" t="str">
        <f t="shared" si="74"/>
        <v/>
      </c>
      <c r="Y151" s="655" t="str">
        <f t="shared" si="75"/>
        <v/>
      </c>
      <c r="Z151" s="655" t="str">
        <f t="shared" si="76"/>
        <v/>
      </c>
      <c r="AA151" s="655" t="str">
        <f t="shared" si="77"/>
        <v/>
      </c>
      <c r="AB151" s="655" t="str">
        <f t="shared" si="79"/>
        <v/>
      </c>
      <c r="AC151" s="655" t="str">
        <f t="shared" si="86"/>
        <v>x</v>
      </c>
      <c r="AD151" s="655" t="str">
        <f>IF(ISBLANK(I151),"x",IF(ISNUMBER(MATCH(I151,'Inputs Mapping'!$AF$5:$AF$199,0)),"","x"))</f>
        <v>x</v>
      </c>
      <c r="AE151" s="655" t="str">
        <f t="shared" si="80"/>
        <v/>
      </c>
      <c r="AF151" s="148"/>
      <c r="AG151" s="148"/>
      <c r="AH151" s="148" t="str">
        <f t="shared" si="81"/>
        <v/>
      </c>
      <c r="AI151" s="654" t="str">
        <f>IF(J151="","",VLOOKUP(J151,'Inputs Mapping'!$T$27:$V$31,3))</f>
        <v/>
      </c>
      <c r="AJ151" s="654" t="str">
        <f>IF(J151="","",VLOOKUP(J151,'Inputs Mapping'!$T$17:$V$24,3))</f>
        <v/>
      </c>
      <c r="AK151" s="654" t="str">
        <f t="shared" si="82"/>
        <v/>
      </c>
      <c r="AL151" s="655" t="str">
        <f t="shared" si="78"/>
        <v/>
      </c>
      <c r="AM151" s="655" t="str">
        <f>IF(F151="","",IF(AE151="Dubai",HLOOKUP(F151,Inputs!$C$26:$M$36,5,0),HLOOKUP(F151,Inputs!$C$45:$M$49,5,0)))</f>
        <v/>
      </c>
      <c r="AN151" s="655">
        <f t="shared" si="83"/>
        <v>0</v>
      </c>
      <c r="AO151" s="654" t="str">
        <f>IF(AJ151="","",IF(AN151="Dubai",VLOOKUP(AJ151,'Inputs Mapping'!$V$17:$W$24,2,0),VLOOKUP(AI151,'Inputs Mapping'!$V$27:$W$31,2,0)))</f>
        <v/>
      </c>
      <c r="AP151" s="666">
        <f>IFERROR(IF($AN151="","",HLOOKUP($AN151&amp;RIGHT($AL151,1),'input for formula'!$B$16:$I$20,3,0)),0)</f>
        <v>0</v>
      </c>
      <c r="AQ151" s="656">
        <f>IFERROR(IF($AN151="","",HLOOKUP($AN151&amp;$F151,'input for formula'!$B$22:$M$25,2,0)),0)</f>
        <v>0</v>
      </c>
      <c r="AR151" s="666">
        <f>IFERROR(IF($AN151="","",HLOOKUP($AN151&amp;RIGHT($AL151,1),'input for formula'!$B$16:$I$20,4,0)),0)</f>
        <v>0</v>
      </c>
      <c r="AS151" s="656">
        <f>IFERROR(IF($AN151="","",HLOOKUP($AN151&amp;$F151,'input for formula'!$B$22:$M$25,3,0)),0)</f>
        <v>0</v>
      </c>
      <c r="AT151" s="656">
        <f>IFERROR(IF($AN151="","",HLOOKUP($AN151&amp;RIGHT($AL151,1),'input for formula'!$B$16:$I$20,5,0)),0)</f>
        <v>0</v>
      </c>
      <c r="AU151" s="656">
        <f>IFERROR(IF($AN151="","",HLOOKUP($AN151&amp;$F151,'input for formula'!$B$22:$M$25,4,0)),0)</f>
        <v>0</v>
      </c>
      <c r="AV151" s="666">
        <f>IFERROR(IF($AN151="","",IF('Census Data'!$AN151="Abu Dhabi",VLOOKUP('Census Data'!$AM151,'input for formula'!$A$28:$C$41,3,0),VLOOKUP('Census Data'!$AM151,'input for formula'!$A$28:$C$47,2,0))),0)*IFERROR(1+IF(AN151="Dubai",VLOOKUP(F151,'Quotation for Dubai Plans'!$V$6:$X$12,3,FALSE),VLOOKUP(F151,'Quotation for Abu Dhabi Plans'!$W$6:$Y$12,3,FALSE)),0)</f>
        <v>0</v>
      </c>
      <c r="AW151" s="656" t="str">
        <f t="shared" si="52"/>
        <v/>
      </c>
      <c r="AX151" s="667" t="str">
        <f>IFERROR(IF(AL151="","",IF(AN151="Dubai",HLOOKUP((AL151&amp;AM151),Deviation!$B$7:$S$8,2,0)*BF151*BH151*BI151*BG151,HLOOKUP((AL151&amp;AM151),Deviation!$B$9:$O$10,2,0)*BF151*BH151*BI151*BG151)),0)</f>
        <v/>
      </c>
      <c r="AY151" s="668"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formula'!$M$3:$O$7,AO151,FALSE)))*AX151+AP151*AQ151+AR151*AS151+AT151*AU151),0)*$AZ$3*BK151*BJ151*IF(AND(Inputs!$C$19&gt;19,Inputs!$C$19&lt;30),(1+$AZ$2),1)*(1+$AZ$1))</f>
        <v/>
      </c>
      <c r="AZ151" s="148" t="str">
        <f t="shared" si="84"/>
        <v/>
      </c>
      <c r="BA151" s="669" t="str">
        <f>IF(F151="","",IF(AE151="Dubai",HLOOKUP(F151,Inputs!$C$26:$M$37,9,0),HLOOKUP(F151,Inputs!$C$45:$M$56,9,0)))</f>
        <v/>
      </c>
      <c r="BB151" s="670" t="str">
        <f>IF(F151="","",IF(AE151="Dubai",HLOOKUP(F151,Inputs!$C$26:$M$37,10,0),HLOOKUP(F151,Inputs!$C$45:$M$56,10,0)))</f>
        <v/>
      </c>
      <c r="BC151" s="670" t="str">
        <f>IF(F151="","",IF(AE151="Dubai",HLOOKUP(F151,Inputs!$C$26:$M$37,11,0),HLOOKUP(F151,Inputs!$C$45:$M$56,11,0)))</f>
        <v/>
      </c>
      <c r="BD151" s="669" t="str">
        <f>IF(F151="","",IF(AE151="Dubai",HLOOKUP(F151,Inputs!$C$26:$M$37,12,0),HLOOKUP(F151,Inputs!$C$45:$M$56,12,0)))</f>
        <v/>
      </c>
      <c r="BE151" s="654"/>
      <c r="BF151" s="669" t="str">
        <f>IFERROR(IF(AL151="","",IF(AN151="Dubai",IF(OR(AL151="Plan1",AL151="Plan2"),VLOOKUP(BA151,Deviation!$B$31:$D$33,2,FALSE),VLOOKUP(BA151,Deviation!$B$31:$D$33,3,FALSE)),IF(OR(AL151="Plan1",AL151="Plan2"),VLOOKUP(BA151,Deviation!$E$31:$AE$33,2,FALSE),VLOOKUP(BA151,Deviation!$E$31:$AE$33,3,FALSE)))),0)</f>
        <v/>
      </c>
      <c r="BG151" s="671" t="str">
        <f>IFERROR(IF(AL151="","",IF(AN151="Dubai",IF(AL151="Plan1",VLOOKUP(BB151,Deviation!$B$39:$C$40,2,FALSE),IF(AL151="Plan2",VLOOKUP(BB151,Deviation!$B$42:$C$43,2,FALSE),IF(AL151="Plan5",VLOOKUP(BB151,Deviation!$B$48:$C$49,2,FALSE),VLOOKUP(BB151,Deviation!$B$45:$C$46,2,FALSE)))),IF(AL151="Plan1",VLOOKUP(BB151,Deviation!$E$39:$F$40,2,FALSE),IF(AL151="Plan2",VLOOKUP(BB151,Deviation!$E$42:$F$43,2,FALSE),VLOOKUP(BB151,Deviation!$E$45:$F$46,2,FALSE))))),0)</f>
        <v/>
      </c>
      <c r="BH151" s="671" t="str">
        <f>IFERROR(IF(AL151="","",IF(AN151="Dubai",IF(OR(AL151="Plan1",AL151="Plan2"),VLOOKUP(BC151,Deviation!$B$15:$D$19,2,FALSE),VLOOKUP(BC151,Deviation!$B$15:$D$19,3,FALSE)),IF(OR(AL151="Plan1",AL151="Plan2"),VLOOKUP(BC151,Deviation!$E$15:$AE$19,2,FALSE),VLOOKUP(BC151,Deviation!$E$15:$AE$19,3,FALSE)))),0)</f>
        <v/>
      </c>
      <c r="BI151" s="669" t="str">
        <f>IFERROR(IF(AL151="","",IF(AN151="Dubai",VLOOKUP(BD151,Deviation!$B$24:$C$26,2,FALSE),100%)),0)</f>
        <v/>
      </c>
      <c r="BJ151" s="672">
        <f>IF(AE151="Abu Dhabi",1,IFERROR(VLOOKUP(AM151,Deviation!$B$67:$E$79,MATCH('Census Data'!AA151,Deviation!$B$66:$E$66,0),0),1))</f>
        <v>1</v>
      </c>
      <c r="BK151" s="659">
        <f>IFERROR(VLOOKUP(I151,Deviation!$B$54:$C$62,2,0),1)</f>
        <v>1</v>
      </c>
      <c r="BL151" s="148"/>
      <c r="BM151" s="148"/>
      <c r="BN151" s="148"/>
      <c r="BO151" s="148"/>
      <c r="BP151" s="148"/>
      <c r="BQ151" s="148"/>
      <c r="BR151" s="148"/>
      <c r="BS151" s="148"/>
      <c r="BT151" s="148" t="e">
        <f t="shared" si="85"/>
        <v>#VALUE!</v>
      </c>
      <c r="BU151"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f>
        <v/>
      </c>
    </row>
    <row r="152" spans="1:73" ht="15" x14ac:dyDescent="0.25">
      <c r="A152" s="59">
        <v>147</v>
      </c>
      <c r="B152" s="470"/>
      <c r="C152" s="628"/>
      <c r="D152" s="629"/>
      <c r="E152" s="471"/>
      <c r="F152" s="298"/>
      <c r="G152" s="298"/>
      <c r="H152" s="298"/>
      <c r="I152" s="298"/>
      <c r="J152" s="80" t="str">
        <f>IFERROR(IF(C152="","",DATEDIF('Census Data'!C152,eff_date,"y")),"")</f>
        <v/>
      </c>
      <c r="K152" s="59" t="str">
        <f>IF(F152="","",IF(AE152="Dubai",HLOOKUP(F152,Inputs!$C$26:$M$28,3,0),HLOOKUP(F152,Inputs!$C$45:$M$46,2,0)))</f>
        <v/>
      </c>
      <c r="L152" s="94"/>
      <c r="M152" s="105">
        <f t="shared" si="68"/>
        <v>0</v>
      </c>
      <c r="N152" s="654" t="b">
        <f t="shared" si="69"/>
        <v>0</v>
      </c>
      <c r="O152" s="655" t="str">
        <f t="shared" si="70"/>
        <v>x</v>
      </c>
      <c r="P152" s="655" t="str">
        <f t="shared" si="71"/>
        <v>x</v>
      </c>
      <c r="Q152" s="655" t="str">
        <f t="shared" si="72"/>
        <v>x</v>
      </c>
      <c r="R152" s="655" t="str">
        <f t="shared" si="51"/>
        <v>x</v>
      </c>
      <c r="S152" s="655" t="str">
        <f t="shared" si="73"/>
        <v>x</v>
      </c>
      <c r="T152" s="655" t="str">
        <f>IF(ISERROR(MATCH(G152,'Inputs Mapping'!$T$4:$T$10,0)),"x","")</f>
        <v>x</v>
      </c>
      <c r="U152" s="655" t="str">
        <f>IF(ISERROR(MATCH(AA152,'Inputs Mapping'!$U$4:$U$5,0)),"x","")</f>
        <v>x</v>
      </c>
      <c r="V152" s="655" t="str">
        <f>IF(ISERROR(MATCH(AB152,'Inputs Mapping'!$V$4:$V$5,0)),"x","")</f>
        <v>x</v>
      </c>
      <c r="W152" s="655" t="str">
        <f>IF(ISERROR(MATCH(F152,'Inputs Mapping'!$W$4:$W$8,0)),"x","")</f>
        <v>x</v>
      </c>
      <c r="X152" s="655" t="str">
        <f t="shared" si="74"/>
        <v/>
      </c>
      <c r="Y152" s="655" t="str">
        <f t="shared" si="75"/>
        <v/>
      </c>
      <c r="Z152" s="655" t="str">
        <f t="shared" si="76"/>
        <v/>
      </c>
      <c r="AA152" s="655" t="str">
        <f t="shared" si="77"/>
        <v/>
      </c>
      <c r="AB152" s="655" t="str">
        <f t="shared" si="79"/>
        <v/>
      </c>
      <c r="AC152" s="655" t="str">
        <f t="shared" si="86"/>
        <v>x</v>
      </c>
      <c r="AD152" s="655" t="str">
        <f>IF(ISBLANK(I152),"x",IF(ISNUMBER(MATCH(I152,'Inputs Mapping'!$AF$5:$AF$199,0)),"","x"))</f>
        <v>x</v>
      </c>
      <c r="AE152" s="655" t="str">
        <f t="shared" si="80"/>
        <v/>
      </c>
      <c r="AF152" s="148"/>
      <c r="AG152" s="148"/>
      <c r="AH152" s="148" t="str">
        <f t="shared" si="81"/>
        <v/>
      </c>
      <c r="AI152" s="654" t="str">
        <f>IF(J152="","",VLOOKUP(J152,'Inputs Mapping'!$T$27:$V$31,3))</f>
        <v/>
      </c>
      <c r="AJ152" s="654" t="str">
        <f>IF(J152="","",VLOOKUP(J152,'Inputs Mapping'!$T$17:$V$24,3))</f>
        <v/>
      </c>
      <c r="AK152" s="654" t="str">
        <f t="shared" si="82"/>
        <v/>
      </c>
      <c r="AL152" s="655" t="str">
        <f t="shared" si="78"/>
        <v/>
      </c>
      <c r="AM152" s="655" t="str">
        <f>IF(F152="","",IF(AE152="Dubai",HLOOKUP(F152,Inputs!$C$26:$M$36,5,0),HLOOKUP(F152,Inputs!$C$45:$M$49,5,0)))</f>
        <v/>
      </c>
      <c r="AN152" s="655">
        <f t="shared" si="83"/>
        <v>0</v>
      </c>
      <c r="AO152" s="654" t="str">
        <f>IF(AJ152="","",IF(AN152="Dubai",VLOOKUP(AJ152,'Inputs Mapping'!$V$17:$W$24,2,0),VLOOKUP(AI152,'Inputs Mapping'!$V$27:$W$31,2,0)))</f>
        <v/>
      </c>
      <c r="AP152" s="666">
        <f>IFERROR(IF($AN152="","",HLOOKUP($AN152&amp;RIGHT($AL152,1),'input for formula'!$B$16:$I$20,3,0)),0)</f>
        <v>0</v>
      </c>
      <c r="AQ152" s="656">
        <f>IFERROR(IF($AN152="","",HLOOKUP($AN152&amp;$F152,'input for formula'!$B$22:$M$25,2,0)),0)</f>
        <v>0</v>
      </c>
      <c r="AR152" s="666">
        <f>IFERROR(IF($AN152="","",HLOOKUP($AN152&amp;RIGHT($AL152,1),'input for formula'!$B$16:$I$20,4,0)),0)</f>
        <v>0</v>
      </c>
      <c r="AS152" s="656">
        <f>IFERROR(IF($AN152="","",HLOOKUP($AN152&amp;$F152,'input for formula'!$B$22:$M$25,3,0)),0)</f>
        <v>0</v>
      </c>
      <c r="AT152" s="656">
        <f>IFERROR(IF($AN152="","",HLOOKUP($AN152&amp;RIGHT($AL152,1),'input for formula'!$B$16:$I$20,5,0)),0)</f>
        <v>0</v>
      </c>
      <c r="AU152" s="656">
        <f>IFERROR(IF($AN152="","",HLOOKUP($AN152&amp;$F152,'input for formula'!$B$22:$M$25,4,0)),0)</f>
        <v>0</v>
      </c>
      <c r="AV152" s="666">
        <f>IFERROR(IF($AN152="","",IF('Census Data'!$AN152="Abu Dhabi",VLOOKUP('Census Data'!$AM152,'input for formula'!$A$28:$C$41,3,0),VLOOKUP('Census Data'!$AM152,'input for formula'!$A$28:$C$47,2,0))),0)*IFERROR(1+IF(AN152="Dubai",VLOOKUP(F152,'Quotation for Dubai Plans'!$V$6:$X$12,3,FALSE),VLOOKUP(F152,'Quotation for Abu Dhabi Plans'!$W$6:$Y$12,3,FALSE)),0)</f>
        <v>0</v>
      </c>
      <c r="AW152" s="656" t="str">
        <f t="shared" si="52"/>
        <v/>
      </c>
      <c r="AX152" s="667" t="str">
        <f>IFERROR(IF(AL152="","",IF(AN152="Dubai",HLOOKUP((AL152&amp;AM152),Deviation!$B$7:$S$8,2,0)*BF152*BH152*BI152*BG152,HLOOKUP((AL152&amp;AM152),Deviation!$B$9:$O$10,2,0)*BF152*BH152*BI152*BG152)),0)</f>
        <v/>
      </c>
      <c r="AY152" s="668"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formula'!$M$3:$O$7,AO152,FALSE)))*AX152+AP152*AQ152+AR152*AS152+AT152*AU152),0)*$AZ$3*BK152*BJ152*IF(AND(Inputs!$C$19&gt;19,Inputs!$C$19&lt;30),(1+$AZ$2),1)*(1+$AZ$1))</f>
        <v/>
      </c>
      <c r="AZ152" s="148" t="str">
        <f t="shared" si="84"/>
        <v/>
      </c>
      <c r="BA152" s="669" t="str">
        <f>IF(F152="","",IF(AE152="Dubai",HLOOKUP(F152,Inputs!$C$26:$M$37,9,0),HLOOKUP(F152,Inputs!$C$45:$M$56,9,0)))</f>
        <v/>
      </c>
      <c r="BB152" s="670" t="str">
        <f>IF(F152="","",IF(AE152="Dubai",HLOOKUP(F152,Inputs!$C$26:$M$37,10,0),HLOOKUP(F152,Inputs!$C$45:$M$56,10,0)))</f>
        <v/>
      </c>
      <c r="BC152" s="670" t="str">
        <f>IF(F152="","",IF(AE152="Dubai",HLOOKUP(F152,Inputs!$C$26:$M$37,11,0),HLOOKUP(F152,Inputs!$C$45:$M$56,11,0)))</f>
        <v/>
      </c>
      <c r="BD152" s="669" t="str">
        <f>IF(F152="","",IF(AE152="Dubai",HLOOKUP(F152,Inputs!$C$26:$M$37,12,0),HLOOKUP(F152,Inputs!$C$45:$M$56,12,0)))</f>
        <v/>
      </c>
      <c r="BE152" s="654"/>
      <c r="BF152" s="669" t="str">
        <f>IFERROR(IF(AL152="","",IF(AN152="Dubai",IF(OR(AL152="Plan1",AL152="Plan2"),VLOOKUP(BA152,Deviation!$B$31:$D$33,2,FALSE),VLOOKUP(BA152,Deviation!$B$31:$D$33,3,FALSE)),IF(OR(AL152="Plan1",AL152="Plan2"),VLOOKUP(BA152,Deviation!$E$31:$AE$33,2,FALSE),VLOOKUP(BA152,Deviation!$E$31:$AE$33,3,FALSE)))),0)</f>
        <v/>
      </c>
      <c r="BG152" s="671" t="str">
        <f>IFERROR(IF(AL152="","",IF(AN152="Dubai",IF(AL152="Plan1",VLOOKUP(BB152,Deviation!$B$39:$C$40,2,FALSE),IF(AL152="Plan2",VLOOKUP(BB152,Deviation!$B$42:$C$43,2,FALSE),IF(AL152="Plan5",VLOOKUP(BB152,Deviation!$B$48:$C$49,2,FALSE),VLOOKUP(BB152,Deviation!$B$45:$C$46,2,FALSE)))),IF(AL152="Plan1",VLOOKUP(BB152,Deviation!$E$39:$F$40,2,FALSE),IF(AL152="Plan2",VLOOKUP(BB152,Deviation!$E$42:$F$43,2,FALSE),VLOOKUP(BB152,Deviation!$E$45:$F$46,2,FALSE))))),0)</f>
        <v/>
      </c>
      <c r="BH152" s="671" t="str">
        <f>IFERROR(IF(AL152="","",IF(AN152="Dubai",IF(OR(AL152="Plan1",AL152="Plan2"),VLOOKUP(BC152,Deviation!$B$15:$D$19,2,FALSE),VLOOKUP(BC152,Deviation!$B$15:$D$19,3,FALSE)),IF(OR(AL152="Plan1",AL152="Plan2"),VLOOKUP(BC152,Deviation!$E$15:$AE$19,2,FALSE),VLOOKUP(BC152,Deviation!$E$15:$AE$19,3,FALSE)))),0)</f>
        <v/>
      </c>
      <c r="BI152" s="669" t="str">
        <f>IFERROR(IF(AL152="","",IF(AN152="Dubai",VLOOKUP(BD152,Deviation!$B$24:$C$26,2,FALSE),100%)),0)</f>
        <v/>
      </c>
      <c r="BJ152" s="672">
        <f>IF(AE152="Abu Dhabi",1,IFERROR(VLOOKUP(AM152,Deviation!$B$67:$E$79,MATCH('Census Data'!AA152,Deviation!$B$66:$E$66,0),0),1))</f>
        <v>1</v>
      </c>
      <c r="BK152" s="659">
        <f>IFERROR(VLOOKUP(I152,Deviation!$B$54:$C$62,2,0),1)</f>
        <v>1</v>
      </c>
      <c r="BL152" s="148"/>
      <c r="BM152" s="148"/>
      <c r="BN152" s="148"/>
      <c r="BO152" s="148"/>
      <c r="BP152" s="148"/>
      <c r="BQ152" s="148"/>
      <c r="BR152" s="148"/>
      <c r="BS152" s="148"/>
      <c r="BT152" s="148" t="e">
        <f t="shared" si="85"/>
        <v>#VALUE!</v>
      </c>
      <c r="BU152"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f>
        <v/>
      </c>
    </row>
    <row r="153" spans="1:73" ht="15" x14ac:dyDescent="0.25">
      <c r="A153" s="59">
        <v>148</v>
      </c>
      <c r="B153" s="470"/>
      <c r="C153" s="628"/>
      <c r="D153" s="629"/>
      <c r="E153" s="471"/>
      <c r="F153" s="298"/>
      <c r="G153" s="298"/>
      <c r="H153" s="298"/>
      <c r="I153" s="298"/>
      <c r="J153" s="80" t="str">
        <f>IFERROR(IF(C153="","",DATEDIF('Census Data'!C153,eff_date,"y")),"")</f>
        <v/>
      </c>
      <c r="K153" s="59" t="str">
        <f>IF(F153="","",IF(AE153="Dubai",HLOOKUP(F153,Inputs!$C$26:$M$28,3,0),HLOOKUP(F153,Inputs!$C$45:$M$46,2,0)))</f>
        <v/>
      </c>
      <c r="L153" s="94"/>
      <c r="M153" s="105">
        <f t="shared" si="68"/>
        <v>0</v>
      </c>
      <c r="N153" s="654" t="b">
        <f t="shared" si="69"/>
        <v>0</v>
      </c>
      <c r="O153" s="655" t="str">
        <f t="shared" si="70"/>
        <v>x</v>
      </c>
      <c r="P153" s="655" t="str">
        <f t="shared" si="71"/>
        <v>x</v>
      </c>
      <c r="Q153" s="655" t="str">
        <f t="shared" si="72"/>
        <v>x</v>
      </c>
      <c r="R153" s="655" t="str">
        <f t="shared" si="51"/>
        <v>x</v>
      </c>
      <c r="S153" s="655" t="str">
        <f t="shared" si="73"/>
        <v>x</v>
      </c>
      <c r="T153" s="655" t="str">
        <f>IF(ISERROR(MATCH(G153,'Inputs Mapping'!$T$4:$T$10,0)),"x","")</f>
        <v>x</v>
      </c>
      <c r="U153" s="655" t="str">
        <f>IF(ISERROR(MATCH(AA153,'Inputs Mapping'!$U$4:$U$5,0)),"x","")</f>
        <v>x</v>
      </c>
      <c r="V153" s="655" t="str">
        <f>IF(ISERROR(MATCH(AB153,'Inputs Mapping'!$V$4:$V$5,0)),"x","")</f>
        <v>x</v>
      </c>
      <c r="W153" s="655" t="str">
        <f>IF(ISERROR(MATCH(F153,'Inputs Mapping'!$W$4:$W$8,0)),"x","")</f>
        <v>x</v>
      </c>
      <c r="X153" s="655" t="str">
        <f t="shared" si="74"/>
        <v/>
      </c>
      <c r="Y153" s="655" t="str">
        <f t="shared" si="75"/>
        <v/>
      </c>
      <c r="Z153" s="655" t="str">
        <f t="shared" si="76"/>
        <v/>
      </c>
      <c r="AA153" s="655" t="str">
        <f t="shared" si="77"/>
        <v/>
      </c>
      <c r="AB153" s="655" t="str">
        <f t="shared" si="79"/>
        <v/>
      </c>
      <c r="AC153" s="655" t="str">
        <f t="shared" si="86"/>
        <v>x</v>
      </c>
      <c r="AD153" s="655" t="str">
        <f>IF(ISBLANK(I153),"x",IF(ISNUMBER(MATCH(I153,'Inputs Mapping'!$AF$5:$AF$199,0)),"","x"))</f>
        <v>x</v>
      </c>
      <c r="AE153" s="655" t="str">
        <f t="shared" si="80"/>
        <v/>
      </c>
      <c r="AF153" s="148"/>
      <c r="AG153" s="148"/>
      <c r="AH153" s="148" t="str">
        <f t="shared" si="81"/>
        <v/>
      </c>
      <c r="AI153" s="654" t="str">
        <f>IF(J153="","",VLOOKUP(J153,'Inputs Mapping'!$T$27:$V$31,3))</f>
        <v/>
      </c>
      <c r="AJ153" s="654" t="str">
        <f>IF(J153="","",VLOOKUP(J153,'Inputs Mapping'!$T$17:$V$24,3))</f>
        <v/>
      </c>
      <c r="AK153" s="654" t="str">
        <f t="shared" si="82"/>
        <v/>
      </c>
      <c r="AL153" s="655" t="str">
        <f t="shared" si="78"/>
        <v/>
      </c>
      <c r="AM153" s="655" t="str">
        <f>IF(F153="","",IF(AE153="Dubai",HLOOKUP(F153,Inputs!$C$26:$M$36,5,0),HLOOKUP(F153,Inputs!$C$45:$M$49,5,0)))</f>
        <v/>
      </c>
      <c r="AN153" s="655">
        <f t="shared" si="83"/>
        <v>0</v>
      </c>
      <c r="AO153" s="654" t="str">
        <f>IF(AJ153="","",IF(AN153="Dubai",VLOOKUP(AJ153,'Inputs Mapping'!$V$17:$W$24,2,0),VLOOKUP(AI153,'Inputs Mapping'!$V$27:$W$31,2,0)))</f>
        <v/>
      </c>
      <c r="AP153" s="666">
        <f>IFERROR(IF($AN153="","",HLOOKUP($AN153&amp;RIGHT($AL153,1),'input for formula'!$B$16:$I$20,3,0)),0)</f>
        <v>0</v>
      </c>
      <c r="AQ153" s="656">
        <f>IFERROR(IF($AN153="","",HLOOKUP($AN153&amp;$F153,'input for formula'!$B$22:$M$25,2,0)),0)</f>
        <v>0</v>
      </c>
      <c r="AR153" s="666">
        <f>IFERROR(IF($AN153="","",HLOOKUP($AN153&amp;RIGHT($AL153,1),'input for formula'!$B$16:$I$20,4,0)),0)</f>
        <v>0</v>
      </c>
      <c r="AS153" s="656">
        <f>IFERROR(IF($AN153="","",HLOOKUP($AN153&amp;$F153,'input for formula'!$B$22:$M$25,3,0)),0)</f>
        <v>0</v>
      </c>
      <c r="AT153" s="656">
        <f>IFERROR(IF($AN153="","",HLOOKUP($AN153&amp;RIGHT($AL153,1),'input for formula'!$B$16:$I$20,5,0)),0)</f>
        <v>0</v>
      </c>
      <c r="AU153" s="656">
        <f>IFERROR(IF($AN153="","",HLOOKUP($AN153&amp;$F153,'input for formula'!$B$22:$M$25,4,0)),0)</f>
        <v>0</v>
      </c>
      <c r="AV153" s="666">
        <f>IFERROR(IF($AN153="","",IF('Census Data'!$AN153="Abu Dhabi",VLOOKUP('Census Data'!$AM153,'input for formula'!$A$28:$C$41,3,0),VLOOKUP('Census Data'!$AM153,'input for formula'!$A$28:$C$47,2,0))),0)*IFERROR(1+IF(AN153="Dubai",VLOOKUP(F153,'Quotation for Dubai Plans'!$V$6:$X$12,3,FALSE),VLOOKUP(F153,'Quotation for Abu Dhabi Plans'!$W$6:$Y$12,3,FALSE)),0)</f>
        <v>0</v>
      </c>
      <c r="AW153" s="656" t="str">
        <f t="shared" si="52"/>
        <v/>
      </c>
      <c r="AX153" s="667" t="str">
        <f>IFERROR(IF(AL153="","",IF(AN153="Dubai",HLOOKUP((AL153&amp;AM153),Deviation!$B$7:$S$8,2,0)*BF153*BH153*BI153*BG153,HLOOKUP((AL153&amp;AM153),Deviation!$B$9:$O$10,2,0)*BF153*BH153*BI153*BG153)),0)</f>
        <v/>
      </c>
      <c r="AY153" s="668"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formula'!$M$3:$O$7,AO153,FALSE)))*AX153+AP153*AQ153+AR153*AS153+AT153*AU153),0)*$AZ$3*BK153*BJ153*IF(AND(Inputs!$C$19&gt;19,Inputs!$C$19&lt;30),(1+$AZ$2),1)*(1+$AZ$1))</f>
        <v/>
      </c>
      <c r="AZ153" s="148" t="str">
        <f t="shared" si="84"/>
        <v/>
      </c>
      <c r="BA153" s="669" t="str">
        <f>IF(F153="","",IF(AE153="Dubai",HLOOKUP(F153,Inputs!$C$26:$M$37,9,0),HLOOKUP(F153,Inputs!$C$45:$M$56,9,0)))</f>
        <v/>
      </c>
      <c r="BB153" s="670" t="str">
        <f>IF(F153="","",IF(AE153="Dubai",HLOOKUP(F153,Inputs!$C$26:$M$37,10,0),HLOOKUP(F153,Inputs!$C$45:$M$56,10,0)))</f>
        <v/>
      </c>
      <c r="BC153" s="670" t="str">
        <f>IF(F153="","",IF(AE153="Dubai",HLOOKUP(F153,Inputs!$C$26:$M$37,11,0),HLOOKUP(F153,Inputs!$C$45:$M$56,11,0)))</f>
        <v/>
      </c>
      <c r="BD153" s="669" t="str">
        <f>IF(F153="","",IF(AE153="Dubai",HLOOKUP(F153,Inputs!$C$26:$M$37,12,0),HLOOKUP(F153,Inputs!$C$45:$M$56,12,0)))</f>
        <v/>
      </c>
      <c r="BE153" s="654"/>
      <c r="BF153" s="669" t="str">
        <f>IFERROR(IF(AL153="","",IF(AN153="Dubai",IF(OR(AL153="Plan1",AL153="Plan2"),VLOOKUP(BA153,Deviation!$B$31:$D$33,2,FALSE),VLOOKUP(BA153,Deviation!$B$31:$D$33,3,FALSE)),IF(OR(AL153="Plan1",AL153="Plan2"),VLOOKUP(BA153,Deviation!$E$31:$AE$33,2,FALSE),VLOOKUP(BA153,Deviation!$E$31:$AE$33,3,FALSE)))),0)</f>
        <v/>
      </c>
      <c r="BG153" s="671" t="str">
        <f>IFERROR(IF(AL153="","",IF(AN153="Dubai",IF(AL153="Plan1",VLOOKUP(BB153,Deviation!$B$39:$C$40,2,FALSE),IF(AL153="Plan2",VLOOKUP(BB153,Deviation!$B$42:$C$43,2,FALSE),IF(AL153="Plan5",VLOOKUP(BB153,Deviation!$B$48:$C$49,2,FALSE),VLOOKUP(BB153,Deviation!$B$45:$C$46,2,FALSE)))),IF(AL153="Plan1",VLOOKUP(BB153,Deviation!$E$39:$F$40,2,FALSE),IF(AL153="Plan2",VLOOKUP(BB153,Deviation!$E$42:$F$43,2,FALSE),VLOOKUP(BB153,Deviation!$E$45:$F$46,2,FALSE))))),0)</f>
        <v/>
      </c>
      <c r="BH153" s="671" t="str">
        <f>IFERROR(IF(AL153="","",IF(AN153="Dubai",IF(OR(AL153="Plan1",AL153="Plan2"),VLOOKUP(BC153,Deviation!$B$15:$D$19,2,FALSE),VLOOKUP(BC153,Deviation!$B$15:$D$19,3,FALSE)),IF(OR(AL153="Plan1",AL153="Plan2"),VLOOKUP(BC153,Deviation!$E$15:$AE$19,2,FALSE),VLOOKUP(BC153,Deviation!$E$15:$AE$19,3,FALSE)))),0)</f>
        <v/>
      </c>
      <c r="BI153" s="669" t="str">
        <f>IFERROR(IF(AL153="","",IF(AN153="Dubai",VLOOKUP(BD153,Deviation!$B$24:$C$26,2,FALSE),100%)),0)</f>
        <v/>
      </c>
      <c r="BJ153" s="672">
        <f>IF(AE153="Abu Dhabi",1,IFERROR(VLOOKUP(AM153,Deviation!$B$67:$E$79,MATCH('Census Data'!AA153,Deviation!$B$66:$E$66,0),0),1))</f>
        <v>1</v>
      </c>
      <c r="BK153" s="659">
        <f>IFERROR(VLOOKUP(I153,Deviation!$B$54:$C$62,2,0),1)</f>
        <v>1</v>
      </c>
      <c r="BL153" s="148"/>
      <c r="BM153" s="148"/>
      <c r="BN153" s="148"/>
      <c r="BO153" s="148"/>
      <c r="BP153" s="148"/>
      <c r="BQ153" s="148"/>
      <c r="BR153" s="148"/>
      <c r="BS153" s="148"/>
      <c r="BT153" s="148" t="e">
        <f t="shared" si="85"/>
        <v>#VALUE!</v>
      </c>
      <c r="BU153"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f>
        <v/>
      </c>
    </row>
    <row r="154" spans="1:73" ht="15" x14ac:dyDescent="0.25">
      <c r="A154" s="59">
        <v>149</v>
      </c>
      <c r="B154" s="470"/>
      <c r="C154" s="628"/>
      <c r="D154" s="629"/>
      <c r="E154" s="471"/>
      <c r="F154" s="298"/>
      <c r="G154" s="298"/>
      <c r="H154" s="298"/>
      <c r="I154" s="298"/>
      <c r="J154" s="80" t="str">
        <f>IFERROR(IF(C154="","",DATEDIF('Census Data'!C154,eff_date,"y")),"")</f>
        <v/>
      </c>
      <c r="K154" s="59" t="str">
        <f>IF(F154="","",IF(AE154="Dubai",HLOOKUP(F154,Inputs!$C$26:$M$28,3,0),HLOOKUP(F154,Inputs!$C$45:$M$46,2,0)))</f>
        <v/>
      </c>
      <c r="L154" s="94"/>
      <c r="M154" s="105">
        <f t="shared" si="68"/>
        <v>0</v>
      </c>
      <c r="N154" s="654" t="b">
        <f t="shared" si="69"/>
        <v>0</v>
      </c>
      <c r="O154" s="655" t="str">
        <f t="shared" si="70"/>
        <v>x</v>
      </c>
      <c r="P154" s="655" t="str">
        <f t="shared" si="71"/>
        <v>x</v>
      </c>
      <c r="Q154" s="655" t="str">
        <f t="shared" si="72"/>
        <v>x</v>
      </c>
      <c r="R154" s="655" t="str">
        <f t="shared" si="51"/>
        <v>x</v>
      </c>
      <c r="S154" s="655" t="str">
        <f t="shared" si="73"/>
        <v>x</v>
      </c>
      <c r="T154" s="655" t="str">
        <f>IF(ISERROR(MATCH(G154,'Inputs Mapping'!$T$4:$T$10,0)),"x","")</f>
        <v>x</v>
      </c>
      <c r="U154" s="655" t="str">
        <f>IF(ISERROR(MATCH(AA154,'Inputs Mapping'!$U$4:$U$5,0)),"x","")</f>
        <v>x</v>
      </c>
      <c r="V154" s="655" t="str">
        <f>IF(ISERROR(MATCH(AB154,'Inputs Mapping'!$V$4:$V$5,0)),"x","")</f>
        <v>x</v>
      </c>
      <c r="W154" s="655" t="str">
        <f>IF(ISERROR(MATCH(F154,'Inputs Mapping'!$W$4:$W$8,0)),"x","")</f>
        <v>x</v>
      </c>
      <c r="X154" s="655" t="str">
        <f t="shared" si="74"/>
        <v/>
      </c>
      <c r="Y154" s="655" t="str">
        <f t="shared" si="75"/>
        <v/>
      </c>
      <c r="Z154" s="655" t="str">
        <f t="shared" si="76"/>
        <v/>
      </c>
      <c r="AA154" s="655" t="str">
        <f t="shared" si="77"/>
        <v/>
      </c>
      <c r="AB154" s="655" t="str">
        <f t="shared" si="79"/>
        <v/>
      </c>
      <c r="AC154" s="655" t="str">
        <f t="shared" si="86"/>
        <v>x</v>
      </c>
      <c r="AD154" s="655" t="str">
        <f>IF(ISBLANK(I154),"x",IF(ISNUMBER(MATCH(I154,'Inputs Mapping'!$AF$5:$AF$199,0)),"","x"))</f>
        <v>x</v>
      </c>
      <c r="AE154" s="655" t="str">
        <f t="shared" si="80"/>
        <v/>
      </c>
      <c r="AF154" s="148"/>
      <c r="AG154" s="148"/>
      <c r="AH154" s="148" t="str">
        <f t="shared" si="81"/>
        <v/>
      </c>
      <c r="AI154" s="654" t="str">
        <f>IF(J154="","",VLOOKUP(J154,'Inputs Mapping'!$T$27:$V$31,3))</f>
        <v/>
      </c>
      <c r="AJ154" s="654" t="str">
        <f>IF(J154="","",VLOOKUP(J154,'Inputs Mapping'!$T$17:$V$24,3))</f>
        <v/>
      </c>
      <c r="AK154" s="654" t="str">
        <f t="shared" si="82"/>
        <v/>
      </c>
      <c r="AL154" s="655" t="str">
        <f t="shared" si="78"/>
        <v/>
      </c>
      <c r="AM154" s="655" t="str">
        <f>IF(F154="","",IF(AE154="Dubai",HLOOKUP(F154,Inputs!$C$26:$M$36,5,0),HLOOKUP(F154,Inputs!$C$45:$M$49,5,0)))</f>
        <v/>
      </c>
      <c r="AN154" s="655">
        <f t="shared" si="83"/>
        <v>0</v>
      </c>
      <c r="AO154" s="654" t="str">
        <f>IF(AJ154="","",IF(AN154="Dubai",VLOOKUP(AJ154,'Inputs Mapping'!$V$17:$W$24,2,0),VLOOKUP(AI154,'Inputs Mapping'!$V$27:$W$31,2,0)))</f>
        <v/>
      </c>
      <c r="AP154" s="666">
        <f>IFERROR(IF($AN154="","",HLOOKUP($AN154&amp;RIGHT($AL154,1),'input for formula'!$B$16:$I$20,3,0)),0)</f>
        <v>0</v>
      </c>
      <c r="AQ154" s="656">
        <f>IFERROR(IF($AN154="","",HLOOKUP($AN154&amp;$F154,'input for formula'!$B$22:$M$25,2,0)),0)</f>
        <v>0</v>
      </c>
      <c r="AR154" s="666">
        <f>IFERROR(IF($AN154="","",HLOOKUP($AN154&amp;RIGHT($AL154,1),'input for formula'!$B$16:$I$20,4,0)),0)</f>
        <v>0</v>
      </c>
      <c r="AS154" s="656">
        <f>IFERROR(IF($AN154="","",HLOOKUP($AN154&amp;$F154,'input for formula'!$B$22:$M$25,3,0)),0)</f>
        <v>0</v>
      </c>
      <c r="AT154" s="656">
        <f>IFERROR(IF($AN154="","",HLOOKUP($AN154&amp;RIGHT($AL154,1),'input for formula'!$B$16:$I$20,5,0)),0)</f>
        <v>0</v>
      </c>
      <c r="AU154" s="656">
        <f>IFERROR(IF($AN154="","",HLOOKUP($AN154&amp;$F154,'input for formula'!$B$22:$M$25,4,0)),0)</f>
        <v>0</v>
      </c>
      <c r="AV154" s="666">
        <f>IFERROR(IF($AN154="","",IF('Census Data'!$AN154="Abu Dhabi",VLOOKUP('Census Data'!$AM154,'input for formula'!$A$28:$C$41,3,0),VLOOKUP('Census Data'!$AM154,'input for formula'!$A$28:$C$47,2,0))),0)*IFERROR(1+IF(AN154="Dubai",VLOOKUP(F154,'Quotation for Dubai Plans'!$V$6:$X$12,3,FALSE),VLOOKUP(F154,'Quotation for Abu Dhabi Plans'!$W$6:$Y$12,3,FALSE)),0)</f>
        <v>0</v>
      </c>
      <c r="AW154" s="656" t="str">
        <f t="shared" si="52"/>
        <v/>
      </c>
      <c r="AX154" s="667" t="str">
        <f>IFERROR(IF(AL154="","",IF(AN154="Dubai",HLOOKUP((AL154&amp;AM154),Deviation!$B$7:$S$8,2,0)*BF154*BH154*BI154*BG154,HLOOKUP((AL154&amp;AM154),Deviation!$B$9:$O$10,2,0)*BF154*BH154*BI154*BG154)),0)</f>
        <v/>
      </c>
      <c r="AY154" s="668"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formula'!$M$3:$O$7,AO154,FALSE)))*AX154+AP154*AQ154+AR154*AS154+AT154*AU154),0)*$AZ$3*BK154*BJ154*IF(AND(Inputs!$C$19&gt;19,Inputs!$C$19&lt;30),(1+$AZ$2),1)*(1+$AZ$1))</f>
        <v/>
      </c>
      <c r="AZ154" s="148" t="str">
        <f t="shared" si="84"/>
        <v/>
      </c>
      <c r="BA154" s="669" t="str">
        <f>IF(F154="","",IF(AE154="Dubai",HLOOKUP(F154,Inputs!$C$26:$M$37,9,0),HLOOKUP(F154,Inputs!$C$45:$M$56,9,0)))</f>
        <v/>
      </c>
      <c r="BB154" s="670" t="str">
        <f>IF(F154="","",IF(AE154="Dubai",HLOOKUP(F154,Inputs!$C$26:$M$37,10,0),HLOOKUP(F154,Inputs!$C$45:$M$56,10,0)))</f>
        <v/>
      </c>
      <c r="BC154" s="670" t="str">
        <f>IF(F154="","",IF(AE154="Dubai",HLOOKUP(F154,Inputs!$C$26:$M$37,11,0),HLOOKUP(F154,Inputs!$C$45:$M$56,11,0)))</f>
        <v/>
      </c>
      <c r="BD154" s="669" t="str">
        <f>IF(F154="","",IF(AE154="Dubai",HLOOKUP(F154,Inputs!$C$26:$M$37,12,0),HLOOKUP(F154,Inputs!$C$45:$M$56,12,0)))</f>
        <v/>
      </c>
      <c r="BE154" s="654"/>
      <c r="BF154" s="669" t="str">
        <f>IFERROR(IF(AL154="","",IF(AN154="Dubai",IF(OR(AL154="Plan1",AL154="Plan2"),VLOOKUP(BA154,Deviation!$B$31:$D$33,2,FALSE),VLOOKUP(BA154,Deviation!$B$31:$D$33,3,FALSE)),IF(OR(AL154="Plan1",AL154="Plan2"),VLOOKUP(BA154,Deviation!$E$31:$AE$33,2,FALSE),VLOOKUP(BA154,Deviation!$E$31:$AE$33,3,FALSE)))),0)</f>
        <v/>
      </c>
      <c r="BG154" s="671" t="str">
        <f>IFERROR(IF(AL154="","",IF(AN154="Dubai",IF(AL154="Plan1",VLOOKUP(BB154,Deviation!$B$39:$C$40,2,FALSE),IF(AL154="Plan2",VLOOKUP(BB154,Deviation!$B$42:$C$43,2,FALSE),IF(AL154="Plan5",VLOOKUP(BB154,Deviation!$B$48:$C$49,2,FALSE),VLOOKUP(BB154,Deviation!$B$45:$C$46,2,FALSE)))),IF(AL154="Plan1",VLOOKUP(BB154,Deviation!$E$39:$F$40,2,FALSE),IF(AL154="Plan2",VLOOKUP(BB154,Deviation!$E$42:$F$43,2,FALSE),VLOOKUP(BB154,Deviation!$E$45:$F$46,2,FALSE))))),0)</f>
        <v/>
      </c>
      <c r="BH154" s="671" t="str">
        <f>IFERROR(IF(AL154="","",IF(AN154="Dubai",IF(OR(AL154="Plan1",AL154="Plan2"),VLOOKUP(BC154,Deviation!$B$15:$D$19,2,FALSE),VLOOKUP(BC154,Deviation!$B$15:$D$19,3,FALSE)),IF(OR(AL154="Plan1",AL154="Plan2"),VLOOKUP(BC154,Deviation!$E$15:$AE$19,2,FALSE),VLOOKUP(BC154,Deviation!$E$15:$AE$19,3,FALSE)))),0)</f>
        <v/>
      </c>
      <c r="BI154" s="669" t="str">
        <f>IFERROR(IF(AL154="","",IF(AN154="Dubai",VLOOKUP(BD154,Deviation!$B$24:$C$26,2,FALSE),100%)),0)</f>
        <v/>
      </c>
      <c r="BJ154" s="672">
        <f>IF(AE154="Abu Dhabi",1,IFERROR(VLOOKUP(AM154,Deviation!$B$67:$E$79,MATCH('Census Data'!AA154,Deviation!$B$66:$E$66,0),0),1))</f>
        <v>1</v>
      </c>
      <c r="BK154" s="659">
        <f>IFERROR(VLOOKUP(I154,Deviation!$B$54:$C$62,2,0),1)</f>
        <v>1</v>
      </c>
      <c r="BL154" s="148"/>
      <c r="BM154" s="148"/>
      <c r="BN154" s="148"/>
      <c r="BO154" s="148"/>
      <c r="BP154" s="148"/>
      <c r="BQ154" s="148"/>
      <c r="BR154" s="148"/>
      <c r="BS154" s="148"/>
      <c r="BT154" s="148" t="e">
        <f t="shared" si="85"/>
        <v>#VALUE!</v>
      </c>
      <c r="BU154"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f>
        <v/>
      </c>
    </row>
    <row r="155" spans="1:73" ht="15" x14ac:dyDescent="0.25">
      <c r="A155" s="59">
        <v>150</v>
      </c>
      <c r="B155" s="470"/>
      <c r="C155" s="628"/>
      <c r="D155" s="629"/>
      <c r="E155" s="471"/>
      <c r="F155" s="298"/>
      <c r="G155" s="298"/>
      <c r="H155" s="298"/>
      <c r="I155" s="298"/>
      <c r="J155" s="80" t="str">
        <f>IFERROR(IF(C155="","",DATEDIF('Census Data'!C155,eff_date,"y")),"")</f>
        <v/>
      </c>
      <c r="K155" s="59" t="str">
        <f>IF(F155="","",IF(AE155="Dubai",HLOOKUP(F155,Inputs!$C$26:$M$28,3,0),HLOOKUP(F155,Inputs!$C$45:$M$46,2,0)))</f>
        <v/>
      </c>
      <c r="L155" s="94"/>
      <c r="M155" s="105">
        <f t="shared" ref="M155:M188" si="87">IF(N155,IF(COUNTIF(N155:AD155,"x")=0,1,IF(OR(O155="x",P155="x",Q155="×",R155="x",S155="x",T155="x",V155="x",U155="x",W155="x",X155="x",Y155="x",Z155="x",AC155="x",AD155="x"),-2,-1)),0)</f>
        <v>0</v>
      </c>
      <c r="N155" s="654" t="b">
        <f t="shared" ref="N155:N188" si="88">NOT(AND(ISBLANK(C155),ISBLANK(D155),ISBLANK(E155),ISBLANK(F155),ISBLANK(G155)))</f>
        <v>0</v>
      </c>
      <c r="O155" s="655" t="str">
        <f t="shared" ref="O155:O188" si="89">IF(ISBLANK(C155),"x","")</f>
        <v>x</v>
      </c>
      <c r="P155" s="655" t="str">
        <f t="shared" ref="P155:P188" si="90">IF(ISBLANK(D155),"x","")</f>
        <v>x</v>
      </c>
      <c r="Q155" s="655" t="str">
        <f t="shared" ref="Q155:Q188" si="91">IF(ISBLANK(E155),"x","")</f>
        <v>x</v>
      </c>
      <c r="R155" s="655" t="str">
        <f t="shared" si="51"/>
        <v>x</v>
      </c>
      <c r="S155" s="655" t="str">
        <f t="shared" ref="S155:S188" si="92">IF(ISBLANK(G155),"x","")</f>
        <v>x</v>
      </c>
      <c r="T155" s="655" t="str">
        <f>IF(ISERROR(MATCH(G155,'Inputs Mapping'!$T$4:$T$10,0)),"x","")</f>
        <v>x</v>
      </c>
      <c r="U155" s="655" t="str">
        <f>IF(ISERROR(MATCH(AA155,'Inputs Mapping'!$U$4:$U$5,0)),"x","")</f>
        <v>x</v>
      </c>
      <c r="V155" s="655" t="str">
        <f>IF(ISERROR(MATCH(AB155,'Inputs Mapping'!$V$4:$V$5,0)),"x","")</f>
        <v>x</v>
      </c>
      <c r="W155" s="655" t="str">
        <f>IF(ISERROR(MATCH(F155,'Inputs Mapping'!$W$4:$W$8,0)),"x","")</f>
        <v>x</v>
      </c>
      <c r="X155" s="655" t="str">
        <f t="shared" ref="X155:X188" si="93">IF(ISBLANK(C155),"",IF(OR(ISERROR(J155),NOT(ISNUMBER(C155))),"x",""))</f>
        <v/>
      </c>
      <c r="Y155" s="655" t="str">
        <f t="shared" ref="Y155:Y188" si="94">IF(ISBLANK(C155),"",IF(ISERROR(J155),"",""))</f>
        <v/>
      </c>
      <c r="Z155" s="655" t="str">
        <f t="shared" ref="Z155:Z188" si="95">IF(ISBLANK(C155),"",IF(ISERROR(J155),"",IF(AND(eff_date-C155&lt;0,C155&lt;&gt;""),"x","")))</f>
        <v/>
      </c>
      <c r="AA155" s="655" t="str">
        <f t="shared" si="77"/>
        <v/>
      </c>
      <c r="AB155" s="655" t="str">
        <f t="shared" ref="AB155:AB188" si="96">IF(E155="","",IF(OR(E155="Married",E155="M"),"M",IF(OR(E155="Single",E155="S"),"S","")))</f>
        <v/>
      </c>
      <c r="AC155" s="655" t="str">
        <f t="shared" si="86"/>
        <v>x</v>
      </c>
      <c r="AD155" s="655" t="str">
        <f>IF(ISBLANK(I155),"x",IF(ISNUMBER(MATCH(I155,'Inputs Mapping'!$AF$5:$AF$199,0)),"","x"))</f>
        <v>x</v>
      </c>
      <c r="AE155" s="655" t="str">
        <f t="shared" si="80"/>
        <v/>
      </c>
      <c r="AF155" s="148"/>
      <c r="AG155" s="148"/>
      <c r="AH155" s="148" t="str">
        <f t="shared" si="81"/>
        <v/>
      </c>
      <c r="AI155" s="654" t="str">
        <f>IF(J155="","",VLOOKUP(J155,'Inputs Mapping'!$T$27:$V$31,3))</f>
        <v/>
      </c>
      <c r="AJ155" s="654" t="str">
        <f>IF(J155="","",VLOOKUP(J155,'Inputs Mapping'!$T$17:$V$24,3))</f>
        <v/>
      </c>
      <c r="AK155" s="654" t="str">
        <f t="shared" si="82"/>
        <v/>
      </c>
      <c r="AL155" s="655" t="str">
        <f t="shared" ref="AL155:AL188" si="97">K155</f>
        <v/>
      </c>
      <c r="AM155" s="655" t="str">
        <f>IF(F155="","",IF(AE155="Dubai",HLOOKUP(F155,Inputs!$C$26:$M$36,5,0),HLOOKUP(F155,Inputs!$C$45:$M$49,5,0)))</f>
        <v/>
      </c>
      <c r="AN155" s="655">
        <f t="shared" si="83"/>
        <v>0</v>
      </c>
      <c r="AO155" s="654" t="str">
        <f>IF(AJ155="","",IF(AN155="Dubai",VLOOKUP(AJ155,'Inputs Mapping'!$V$17:$W$24,2,0),VLOOKUP(AI155,'Inputs Mapping'!$V$27:$W$31,2,0)))</f>
        <v/>
      </c>
      <c r="AP155" s="666">
        <f>IFERROR(IF($AN155="","",HLOOKUP($AN155&amp;RIGHT($AL155,1),'input for formula'!$B$16:$I$20,3,0)),0)</f>
        <v>0</v>
      </c>
      <c r="AQ155" s="656">
        <f>IFERROR(IF($AN155="","",HLOOKUP($AN155&amp;$F155,'input for formula'!$B$22:$M$25,2,0)),0)</f>
        <v>0</v>
      </c>
      <c r="AR155" s="666">
        <f>IFERROR(IF($AN155="","",HLOOKUP($AN155&amp;RIGHT($AL155,1),'input for formula'!$B$16:$I$20,4,0)),0)</f>
        <v>0</v>
      </c>
      <c r="AS155" s="656">
        <f>IFERROR(IF($AN155="","",HLOOKUP($AN155&amp;$F155,'input for formula'!$B$22:$M$25,3,0)),0)</f>
        <v>0</v>
      </c>
      <c r="AT155" s="656">
        <f>IFERROR(IF($AN155="","",HLOOKUP($AN155&amp;RIGHT($AL155,1),'input for formula'!$B$16:$I$20,5,0)),0)</f>
        <v>0</v>
      </c>
      <c r="AU155" s="656">
        <f>IFERROR(IF($AN155="","",HLOOKUP($AN155&amp;$F155,'input for formula'!$B$22:$M$25,4,0)),0)</f>
        <v>0</v>
      </c>
      <c r="AV155" s="666">
        <f>IFERROR(IF($AN155="","",IF('Census Data'!$AN155="Abu Dhabi",VLOOKUP('Census Data'!$AM155,'input for formula'!$A$28:$C$41,3,0),VLOOKUP('Census Data'!$AM155,'input for formula'!$A$28:$C$47,2,0))),0)*IFERROR(1+IF(AN155="Dubai",VLOOKUP(F155,'Quotation for Dubai Plans'!$V$6:$X$12,3,FALSE),VLOOKUP(F155,'Quotation for Abu Dhabi Plans'!$W$6:$Y$12,3,FALSE)),0)</f>
        <v>0</v>
      </c>
      <c r="AW155" s="656" t="str">
        <f t="shared" ref="AW155:AW188" si="98">AK155</f>
        <v/>
      </c>
      <c r="AX155" s="667" t="str">
        <f>IFERROR(IF(AL155="","",IF(AN155="Dubai",HLOOKUP((AL155&amp;AM155),Deviation!$B$7:$S$8,2,0)*BF155*BH155*BI155*BG155,HLOOKUP((AL155&amp;AM155),Deviation!$B$9:$O$10,2,0)*BF155*BH155*BI155*BG155)),0)</f>
        <v/>
      </c>
      <c r="AY155" s="668"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formula'!$M$3:$O$7,AO155,FALSE)))*AX155+AP155*AQ155+AR155*AS155+AT155*AU155),0)*$AZ$3*BK155*BJ155*IF(AND(Inputs!$C$19&gt;19,Inputs!$C$19&lt;30),(1+$AZ$2),1)*(1+$AZ$1))</f>
        <v/>
      </c>
      <c r="AZ155" s="148" t="str">
        <f t="shared" ref="AZ155:AZ188" si="99">IF(AL155="","",IF(AN155="","",AN155&amp;RIGHT(AL155,1)))</f>
        <v/>
      </c>
      <c r="BA155" s="669" t="str">
        <f>IF(F155="","",IF(AE155="Dubai",HLOOKUP(F155,Inputs!$C$26:$M$37,9,0),HLOOKUP(F155,Inputs!$C$45:$M$56,9,0)))</f>
        <v/>
      </c>
      <c r="BB155" s="670" t="str">
        <f>IF(F155="","",IF(AE155="Dubai",HLOOKUP(F155,Inputs!$C$26:$M$37,10,0),HLOOKUP(F155,Inputs!$C$45:$M$56,10,0)))</f>
        <v/>
      </c>
      <c r="BC155" s="670" t="str">
        <f>IF(F155="","",IF(AE155="Dubai",HLOOKUP(F155,Inputs!$C$26:$M$37,11,0),HLOOKUP(F155,Inputs!$C$45:$M$56,11,0)))</f>
        <v/>
      </c>
      <c r="BD155" s="669" t="str">
        <f>IF(F155="","",IF(AE155="Dubai",HLOOKUP(F155,Inputs!$C$26:$M$37,12,0),HLOOKUP(F155,Inputs!$C$45:$M$56,12,0)))</f>
        <v/>
      </c>
      <c r="BE155" s="654"/>
      <c r="BF155" s="669" t="str">
        <f>IFERROR(IF(AL155="","",IF(AN155="Dubai",IF(OR(AL155="Plan1",AL155="Plan2"),VLOOKUP(BA155,Deviation!$B$31:$D$33,2,FALSE),VLOOKUP(BA155,Deviation!$B$31:$D$33,3,FALSE)),IF(OR(AL155="Plan1",AL155="Plan2"),VLOOKUP(BA155,Deviation!$E$31:$AE$33,2,FALSE),VLOOKUP(BA155,Deviation!$E$31:$AE$33,3,FALSE)))),0)</f>
        <v/>
      </c>
      <c r="BG155" s="671" t="str">
        <f>IFERROR(IF(AL155="","",IF(AN155="Dubai",IF(AL155="Plan1",VLOOKUP(BB155,Deviation!$B$39:$C$40,2,FALSE),IF(AL155="Plan2",VLOOKUP(BB155,Deviation!$B$42:$C$43,2,FALSE),IF(AL155="Plan5",VLOOKUP(BB155,Deviation!$B$48:$C$49,2,FALSE),VLOOKUP(BB155,Deviation!$B$45:$C$46,2,FALSE)))),IF(AL155="Plan1",VLOOKUP(BB155,Deviation!$E$39:$F$40,2,FALSE),IF(AL155="Plan2",VLOOKUP(BB155,Deviation!$E$42:$F$43,2,FALSE),VLOOKUP(BB155,Deviation!$E$45:$F$46,2,FALSE))))),0)</f>
        <v/>
      </c>
      <c r="BH155" s="671" t="str">
        <f>IFERROR(IF(AL155="","",IF(AN155="Dubai",IF(OR(AL155="Plan1",AL155="Plan2"),VLOOKUP(BC155,Deviation!$B$15:$D$19,2,FALSE),VLOOKUP(BC155,Deviation!$B$15:$D$19,3,FALSE)),IF(OR(AL155="Plan1",AL155="Plan2"),VLOOKUP(BC155,Deviation!$E$15:$AE$19,2,FALSE),VLOOKUP(BC155,Deviation!$E$15:$AE$19,3,FALSE)))),0)</f>
        <v/>
      </c>
      <c r="BI155" s="669" t="str">
        <f>IFERROR(IF(AL155="","",IF(AN155="Dubai",VLOOKUP(BD155,Deviation!$B$24:$C$26,2,FALSE),100%)),0)</f>
        <v/>
      </c>
      <c r="BJ155" s="672">
        <f>IF(AE155="Abu Dhabi",1,IFERROR(VLOOKUP(AM155,Deviation!$B$67:$E$79,MATCH('Census Data'!AA155,Deviation!$B$66:$E$66,0),0),1))</f>
        <v>1</v>
      </c>
      <c r="BK155" s="659">
        <f>IFERROR(VLOOKUP(I155,Deviation!$B$54:$C$62,2,0),1)</f>
        <v>1</v>
      </c>
      <c r="BL155" s="148"/>
      <c r="BM155" s="148"/>
      <c r="BN155" s="148"/>
      <c r="BO155" s="148"/>
      <c r="BP155" s="148"/>
      <c r="BQ155" s="148"/>
      <c r="BR155" s="148"/>
      <c r="BS155" s="148"/>
      <c r="BT155" s="148" t="e">
        <f t="shared" si="85"/>
        <v>#VALUE!</v>
      </c>
      <c r="BU155"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f>
        <v/>
      </c>
    </row>
    <row r="156" spans="1:73" ht="15" x14ac:dyDescent="0.25">
      <c r="A156" s="59">
        <v>151</v>
      </c>
      <c r="B156" s="470"/>
      <c r="C156" s="628"/>
      <c r="D156" s="629"/>
      <c r="E156" s="471"/>
      <c r="F156" s="298"/>
      <c r="G156" s="298"/>
      <c r="H156" s="298"/>
      <c r="I156" s="298"/>
      <c r="J156" s="80" t="str">
        <f>IFERROR(IF(C156="","",DATEDIF('Census Data'!C156,eff_date,"y")),"")</f>
        <v/>
      </c>
      <c r="K156" s="59" t="str">
        <f>IF(F156="","",IF(AE156="Dubai",HLOOKUP(F156,Inputs!$C$26:$M$28,3,0),HLOOKUP(F156,Inputs!$C$45:$M$46,2,0)))</f>
        <v/>
      </c>
      <c r="L156" s="94"/>
      <c r="M156" s="105">
        <f t="shared" si="87"/>
        <v>0</v>
      </c>
      <c r="N156" s="654" t="b">
        <f t="shared" si="88"/>
        <v>0</v>
      </c>
      <c r="O156" s="655" t="str">
        <f t="shared" si="89"/>
        <v>x</v>
      </c>
      <c r="P156" s="655" t="str">
        <f t="shared" si="90"/>
        <v>x</v>
      </c>
      <c r="Q156" s="655" t="str">
        <f t="shared" si="91"/>
        <v>x</v>
      </c>
      <c r="R156" s="655" t="str">
        <f t="shared" ref="R156:R205" si="100">IF(OR(ISBLANK(F156),K156=0),"x","")</f>
        <v>x</v>
      </c>
      <c r="S156" s="655" t="str">
        <f t="shared" si="92"/>
        <v>x</v>
      </c>
      <c r="T156" s="655" t="str">
        <f>IF(ISERROR(MATCH(G156,'Inputs Mapping'!$T$4:$T$10,0)),"x","")</f>
        <v>x</v>
      </c>
      <c r="U156" s="655" t="str">
        <f>IF(ISERROR(MATCH(AA156,'Inputs Mapping'!$U$4:$U$5,0)),"x","")</f>
        <v>x</v>
      </c>
      <c r="V156" s="655" t="str">
        <f>IF(ISERROR(MATCH(AB156,'Inputs Mapping'!$V$4:$V$5,0)),"x","")</f>
        <v>x</v>
      </c>
      <c r="W156" s="655" t="str">
        <f>IF(ISERROR(MATCH(F156,'Inputs Mapping'!$W$4:$W$8,0)),"x","")</f>
        <v>x</v>
      </c>
      <c r="X156" s="655" t="str">
        <f t="shared" si="93"/>
        <v/>
      </c>
      <c r="Y156" s="655" t="str">
        <f t="shared" si="94"/>
        <v/>
      </c>
      <c r="Z156" s="655" t="str">
        <f t="shared" si="95"/>
        <v/>
      </c>
      <c r="AA156" s="655" t="str">
        <f t="shared" si="77"/>
        <v/>
      </c>
      <c r="AB156" s="655" t="str">
        <f t="shared" si="96"/>
        <v/>
      </c>
      <c r="AC156" s="655" t="str">
        <f t="shared" si="86"/>
        <v>x</v>
      </c>
      <c r="AD156" s="655" t="str">
        <f>IF(ISBLANK(I156),"x",IF(ISNUMBER(MATCH(I156,'Inputs Mapping'!$AF$5:$AF$199,0)),"","x"))</f>
        <v>x</v>
      </c>
      <c r="AE156" s="655" t="str">
        <f t="shared" si="80"/>
        <v/>
      </c>
      <c r="AF156" s="148"/>
      <c r="AG156" s="148"/>
      <c r="AH156" s="148" t="str">
        <f t="shared" si="81"/>
        <v/>
      </c>
      <c r="AI156" s="654" t="str">
        <f>IF(J156="","",VLOOKUP(J156,'Inputs Mapping'!$T$27:$V$31,3))</f>
        <v/>
      </c>
      <c r="AJ156" s="654" t="str">
        <f>IF(J156="","",VLOOKUP(J156,'Inputs Mapping'!$T$17:$V$24,3))</f>
        <v/>
      </c>
      <c r="AK156" s="654" t="str">
        <f t="shared" si="82"/>
        <v/>
      </c>
      <c r="AL156" s="655" t="str">
        <f t="shared" si="97"/>
        <v/>
      </c>
      <c r="AM156" s="655" t="str">
        <f>IF(F156="","",IF(AE156="Dubai",HLOOKUP(F156,Inputs!$C$26:$M$36,5,0),HLOOKUP(F156,Inputs!$C$45:$M$49,5,0)))</f>
        <v/>
      </c>
      <c r="AN156" s="655">
        <f t="shared" si="83"/>
        <v>0</v>
      </c>
      <c r="AO156" s="654" t="str">
        <f>IF(AJ156="","",IF(AN156="Dubai",VLOOKUP(AJ156,'Inputs Mapping'!$V$17:$W$24,2,0),VLOOKUP(AI156,'Inputs Mapping'!$V$27:$W$31,2,0)))</f>
        <v/>
      </c>
      <c r="AP156" s="666">
        <f>IFERROR(IF($AN156="","",HLOOKUP($AN156&amp;RIGHT($AL156,1),'input for formula'!$B$16:$I$20,3,0)),0)</f>
        <v>0</v>
      </c>
      <c r="AQ156" s="656">
        <f>IFERROR(IF($AN156="","",HLOOKUP($AN156&amp;$F156,'input for formula'!$B$22:$M$25,2,0)),0)</f>
        <v>0</v>
      </c>
      <c r="AR156" s="666">
        <f>IFERROR(IF($AN156="","",HLOOKUP($AN156&amp;RIGHT($AL156,1),'input for formula'!$B$16:$I$20,4,0)),0)</f>
        <v>0</v>
      </c>
      <c r="AS156" s="656">
        <f>IFERROR(IF($AN156="","",HLOOKUP($AN156&amp;$F156,'input for formula'!$B$22:$M$25,3,0)),0)</f>
        <v>0</v>
      </c>
      <c r="AT156" s="656">
        <f>IFERROR(IF($AN156="","",HLOOKUP($AN156&amp;RIGHT($AL156,1),'input for formula'!$B$16:$I$20,5,0)),0)</f>
        <v>0</v>
      </c>
      <c r="AU156" s="656">
        <f>IFERROR(IF($AN156="","",HLOOKUP($AN156&amp;$F156,'input for formula'!$B$22:$M$25,4,0)),0)</f>
        <v>0</v>
      </c>
      <c r="AV156" s="666">
        <f>IFERROR(IF($AN156="","",IF('Census Data'!$AN156="Abu Dhabi",VLOOKUP('Census Data'!$AM156,'input for formula'!$A$28:$C$41,3,0),VLOOKUP('Census Data'!$AM156,'input for formula'!$A$28:$C$47,2,0))),0)*IFERROR(1+IF(AN156="Dubai",VLOOKUP(F156,'Quotation for Dubai Plans'!$V$6:$X$12,3,FALSE),VLOOKUP(F156,'Quotation for Abu Dhabi Plans'!$W$6:$Y$12,3,FALSE)),0)</f>
        <v>0</v>
      </c>
      <c r="AW156" s="656" t="str">
        <f t="shared" si="98"/>
        <v/>
      </c>
      <c r="AX156" s="667" t="str">
        <f>IFERROR(IF(AL156="","",IF(AN156="Dubai",HLOOKUP((AL156&amp;AM156),Deviation!$B$7:$S$8,2,0)*BF156*BH156*BI156*BG156,HLOOKUP((AL156&amp;AM156),Deviation!$B$9:$O$10,2,0)*BF156*BH156*BI156*BG156)),0)</f>
        <v/>
      </c>
      <c r="AY156" s="668"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formula'!$M$3:$O$7,AO156,FALSE)))*AX156+AP156*AQ156+AR156*AS156+AT156*AU156),0)*$AZ$3*BK156*BJ156*IF(AND(Inputs!$C$19&gt;19,Inputs!$C$19&lt;30),(1+$AZ$2),1)*(1+$AZ$1))</f>
        <v/>
      </c>
      <c r="AZ156" s="148" t="str">
        <f t="shared" si="99"/>
        <v/>
      </c>
      <c r="BA156" s="669" t="str">
        <f>IF(F156="","",IF(AE156="Dubai",HLOOKUP(F156,Inputs!$C$26:$M$37,9,0),HLOOKUP(F156,Inputs!$C$45:$M$56,9,0)))</f>
        <v/>
      </c>
      <c r="BB156" s="670" t="str">
        <f>IF(F156="","",IF(AE156="Dubai",HLOOKUP(F156,Inputs!$C$26:$M$37,10,0),HLOOKUP(F156,Inputs!$C$45:$M$56,10,0)))</f>
        <v/>
      </c>
      <c r="BC156" s="670" t="str">
        <f>IF(F156="","",IF(AE156="Dubai",HLOOKUP(F156,Inputs!$C$26:$M$37,11,0),HLOOKUP(F156,Inputs!$C$45:$M$56,11,0)))</f>
        <v/>
      </c>
      <c r="BD156" s="669" t="str">
        <f>IF(F156="","",IF(AE156="Dubai",HLOOKUP(F156,Inputs!$C$26:$M$37,12,0),HLOOKUP(F156,Inputs!$C$45:$M$56,12,0)))</f>
        <v/>
      </c>
      <c r="BE156" s="654"/>
      <c r="BF156" s="669" t="str">
        <f>IFERROR(IF(AL156="","",IF(AN156="Dubai",IF(OR(AL156="Plan1",AL156="Plan2"),VLOOKUP(BA156,Deviation!$B$31:$D$33,2,FALSE),VLOOKUP(BA156,Deviation!$B$31:$D$33,3,FALSE)),IF(OR(AL156="Plan1",AL156="Plan2"),VLOOKUP(BA156,Deviation!$E$31:$AE$33,2,FALSE),VLOOKUP(BA156,Deviation!$E$31:$AE$33,3,FALSE)))),0)</f>
        <v/>
      </c>
      <c r="BG156" s="671" t="str">
        <f>IFERROR(IF(AL156="","",IF(AN156="Dubai",IF(AL156="Plan1",VLOOKUP(BB156,Deviation!$B$39:$C$40,2,FALSE),IF(AL156="Plan2",VLOOKUP(BB156,Deviation!$B$42:$C$43,2,FALSE),IF(AL156="Plan5",VLOOKUP(BB156,Deviation!$B$48:$C$49,2,FALSE),VLOOKUP(BB156,Deviation!$B$45:$C$46,2,FALSE)))),IF(AL156="Plan1",VLOOKUP(BB156,Deviation!$E$39:$F$40,2,FALSE),IF(AL156="Plan2",VLOOKUP(BB156,Deviation!$E$42:$F$43,2,FALSE),VLOOKUP(BB156,Deviation!$E$45:$F$46,2,FALSE))))),0)</f>
        <v/>
      </c>
      <c r="BH156" s="671" t="str">
        <f>IFERROR(IF(AL156="","",IF(AN156="Dubai",IF(OR(AL156="Plan1",AL156="Plan2"),VLOOKUP(BC156,Deviation!$B$15:$D$19,2,FALSE),VLOOKUP(BC156,Deviation!$B$15:$D$19,3,FALSE)),IF(OR(AL156="Plan1",AL156="Plan2"),VLOOKUP(BC156,Deviation!$E$15:$AE$19,2,FALSE),VLOOKUP(BC156,Deviation!$E$15:$AE$19,3,FALSE)))),0)</f>
        <v/>
      </c>
      <c r="BI156" s="669" t="str">
        <f>IFERROR(IF(AL156="","",IF(AN156="Dubai",VLOOKUP(BD156,Deviation!$B$24:$C$26,2,FALSE),100%)),0)</f>
        <v/>
      </c>
      <c r="BJ156" s="672">
        <f>IF(AE156="Abu Dhabi",1,IFERROR(VLOOKUP(AM156,Deviation!$B$67:$E$79,MATCH('Census Data'!AA156,Deviation!$B$66:$E$66,0),0),1))</f>
        <v>1</v>
      </c>
      <c r="BK156" s="659">
        <f>IFERROR(VLOOKUP(I156,Deviation!$B$54:$C$62,2,0),1)</f>
        <v>1</v>
      </c>
      <c r="BL156" s="148"/>
      <c r="BM156" s="148"/>
      <c r="BN156" s="148"/>
      <c r="BO156" s="148"/>
      <c r="BP156" s="148"/>
      <c r="BQ156" s="148"/>
      <c r="BR156" s="148"/>
      <c r="BS156" s="148"/>
      <c r="BT156" s="148" t="e">
        <f t="shared" si="85"/>
        <v>#VALUE!</v>
      </c>
      <c r="BU156"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f>
        <v/>
      </c>
    </row>
    <row r="157" spans="1:73" ht="15" x14ac:dyDescent="0.25">
      <c r="A157" s="59">
        <v>152</v>
      </c>
      <c r="B157" s="470"/>
      <c r="C157" s="628"/>
      <c r="D157" s="629"/>
      <c r="E157" s="471"/>
      <c r="F157" s="298"/>
      <c r="G157" s="298"/>
      <c r="H157" s="298"/>
      <c r="I157" s="298"/>
      <c r="J157" s="80" t="str">
        <f>IFERROR(IF(C157="","",DATEDIF('Census Data'!C157,eff_date,"y")),"")</f>
        <v/>
      </c>
      <c r="K157" s="59" t="str">
        <f>IF(F157="","",IF(AE157="Dubai",HLOOKUP(F157,Inputs!$C$26:$M$28,3,0),HLOOKUP(F157,Inputs!$C$45:$M$46,2,0)))</f>
        <v/>
      </c>
      <c r="L157" s="94"/>
      <c r="M157" s="105">
        <f t="shared" si="87"/>
        <v>0</v>
      </c>
      <c r="N157" s="654" t="b">
        <f t="shared" si="88"/>
        <v>0</v>
      </c>
      <c r="O157" s="655" t="str">
        <f t="shared" si="89"/>
        <v>x</v>
      </c>
      <c r="P157" s="655" t="str">
        <f t="shared" si="90"/>
        <v>x</v>
      </c>
      <c r="Q157" s="655" t="str">
        <f t="shared" si="91"/>
        <v>x</v>
      </c>
      <c r="R157" s="655" t="str">
        <f t="shared" si="100"/>
        <v>x</v>
      </c>
      <c r="S157" s="655" t="str">
        <f t="shared" si="92"/>
        <v>x</v>
      </c>
      <c r="T157" s="655" t="str">
        <f>IF(ISERROR(MATCH(G157,'Inputs Mapping'!$T$4:$T$10,0)),"x","")</f>
        <v>x</v>
      </c>
      <c r="U157" s="655" t="str">
        <f>IF(ISERROR(MATCH(AA157,'Inputs Mapping'!$U$4:$U$5,0)),"x","")</f>
        <v>x</v>
      </c>
      <c r="V157" s="655" t="str">
        <f>IF(ISERROR(MATCH(AB157,'Inputs Mapping'!$V$4:$V$5,0)),"x","")</f>
        <v>x</v>
      </c>
      <c r="W157" s="655" t="str">
        <f>IF(ISERROR(MATCH(F157,'Inputs Mapping'!$W$4:$W$8,0)),"x","")</f>
        <v>x</v>
      </c>
      <c r="X157" s="655" t="str">
        <f t="shared" si="93"/>
        <v/>
      </c>
      <c r="Y157" s="655" t="str">
        <f t="shared" si="94"/>
        <v/>
      </c>
      <c r="Z157" s="655" t="str">
        <f t="shared" si="95"/>
        <v/>
      </c>
      <c r="AA157" s="655" t="str">
        <f t="shared" si="77"/>
        <v/>
      </c>
      <c r="AB157" s="655" t="str">
        <f t="shared" si="96"/>
        <v/>
      </c>
      <c r="AC157" s="655" t="str">
        <f t="shared" si="86"/>
        <v>x</v>
      </c>
      <c r="AD157" s="655" t="str">
        <f>IF(ISBLANK(I157),"x",IF(ISNUMBER(MATCH(I157,'Inputs Mapping'!$AF$5:$AF$199,0)),"","x"))</f>
        <v>x</v>
      </c>
      <c r="AE157" s="655" t="str">
        <f t="shared" si="80"/>
        <v/>
      </c>
      <c r="AF157" s="148"/>
      <c r="AG157" s="148"/>
      <c r="AH157" s="148" t="str">
        <f t="shared" si="81"/>
        <v/>
      </c>
      <c r="AI157" s="654" t="str">
        <f>IF(J157="","",VLOOKUP(J157,'Inputs Mapping'!$T$27:$V$31,3))</f>
        <v/>
      </c>
      <c r="AJ157" s="654" t="str">
        <f>IF(J157="","",VLOOKUP(J157,'Inputs Mapping'!$T$17:$V$24,3))</f>
        <v/>
      </c>
      <c r="AK157" s="654" t="str">
        <f t="shared" si="82"/>
        <v/>
      </c>
      <c r="AL157" s="655" t="str">
        <f t="shared" si="97"/>
        <v/>
      </c>
      <c r="AM157" s="655" t="str">
        <f>IF(F157="","",IF(AE157="Dubai",HLOOKUP(F157,Inputs!$C$26:$M$36,5,0),HLOOKUP(F157,Inputs!$C$45:$M$49,5,0)))</f>
        <v/>
      </c>
      <c r="AN157" s="655">
        <f t="shared" si="83"/>
        <v>0</v>
      </c>
      <c r="AO157" s="654" t="str">
        <f>IF(AJ157="","",IF(AN157="Dubai",VLOOKUP(AJ157,'Inputs Mapping'!$V$17:$W$24,2,0),VLOOKUP(AI157,'Inputs Mapping'!$V$27:$W$31,2,0)))</f>
        <v/>
      </c>
      <c r="AP157" s="666">
        <f>IFERROR(IF($AN157="","",HLOOKUP($AN157&amp;RIGHT($AL157,1),'input for formula'!$B$16:$I$20,3,0)),0)</f>
        <v>0</v>
      </c>
      <c r="AQ157" s="656">
        <f>IFERROR(IF($AN157="","",HLOOKUP($AN157&amp;$F157,'input for formula'!$B$22:$M$25,2,0)),0)</f>
        <v>0</v>
      </c>
      <c r="AR157" s="666">
        <f>IFERROR(IF($AN157="","",HLOOKUP($AN157&amp;RIGHT($AL157,1),'input for formula'!$B$16:$I$20,4,0)),0)</f>
        <v>0</v>
      </c>
      <c r="AS157" s="656">
        <f>IFERROR(IF($AN157="","",HLOOKUP($AN157&amp;$F157,'input for formula'!$B$22:$M$25,3,0)),0)</f>
        <v>0</v>
      </c>
      <c r="AT157" s="656">
        <f>IFERROR(IF($AN157="","",HLOOKUP($AN157&amp;RIGHT($AL157,1),'input for formula'!$B$16:$I$20,5,0)),0)</f>
        <v>0</v>
      </c>
      <c r="AU157" s="656">
        <f>IFERROR(IF($AN157="","",HLOOKUP($AN157&amp;$F157,'input for formula'!$B$22:$M$25,4,0)),0)</f>
        <v>0</v>
      </c>
      <c r="AV157" s="666">
        <f>IFERROR(IF($AN157="","",IF('Census Data'!$AN157="Abu Dhabi",VLOOKUP('Census Data'!$AM157,'input for formula'!$A$28:$C$41,3,0),VLOOKUP('Census Data'!$AM157,'input for formula'!$A$28:$C$47,2,0))),0)*IFERROR(1+IF(AN157="Dubai",VLOOKUP(F157,'Quotation for Dubai Plans'!$V$6:$X$12,3,FALSE),VLOOKUP(F157,'Quotation for Abu Dhabi Plans'!$W$6:$Y$12,3,FALSE)),0)</f>
        <v>0</v>
      </c>
      <c r="AW157" s="656" t="str">
        <f t="shared" si="98"/>
        <v/>
      </c>
      <c r="AX157" s="667" t="str">
        <f>IFERROR(IF(AL157="","",IF(AN157="Dubai",HLOOKUP((AL157&amp;AM157),Deviation!$B$7:$S$8,2,0)*BF157*BH157*BI157*BG157,HLOOKUP((AL157&amp;AM157),Deviation!$B$9:$O$10,2,0)*BF157*BH157*BI157*BG157)),0)</f>
        <v/>
      </c>
      <c r="AY157" s="668"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formula'!$M$3:$O$7,AO157,FALSE)))*AX157+AP157*AQ157+AR157*AS157+AT157*AU157),0)*$AZ$3*BK157*BJ157*IF(AND(Inputs!$C$19&gt;19,Inputs!$C$19&lt;30),(1+$AZ$2),1)*(1+$AZ$1))</f>
        <v/>
      </c>
      <c r="AZ157" s="148" t="str">
        <f t="shared" si="99"/>
        <v/>
      </c>
      <c r="BA157" s="669" t="str">
        <f>IF(F157="","",IF(AE157="Dubai",HLOOKUP(F157,Inputs!$C$26:$M$37,9,0),HLOOKUP(F157,Inputs!$C$45:$M$56,9,0)))</f>
        <v/>
      </c>
      <c r="BB157" s="670" t="str">
        <f>IF(F157="","",IF(AE157="Dubai",HLOOKUP(F157,Inputs!$C$26:$M$37,10,0),HLOOKUP(F157,Inputs!$C$45:$M$56,10,0)))</f>
        <v/>
      </c>
      <c r="BC157" s="670" t="str">
        <f>IF(F157="","",IF(AE157="Dubai",HLOOKUP(F157,Inputs!$C$26:$M$37,11,0),HLOOKUP(F157,Inputs!$C$45:$M$56,11,0)))</f>
        <v/>
      </c>
      <c r="BD157" s="669" t="str">
        <f>IF(F157="","",IF(AE157="Dubai",HLOOKUP(F157,Inputs!$C$26:$M$37,12,0),HLOOKUP(F157,Inputs!$C$45:$M$56,12,0)))</f>
        <v/>
      </c>
      <c r="BE157" s="654"/>
      <c r="BF157" s="669" t="str">
        <f>IFERROR(IF(AL157="","",IF(AN157="Dubai",IF(OR(AL157="Plan1",AL157="Plan2"),VLOOKUP(BA157,Deviation!$B$31:$D$33,2,FALSE),VLOOKUP(BA157,Deviation!$B$31:$D$33,3,FALSE)),IF(OR(AL157="Plan1",AL157="Plan2"),VLOOKUP(BA157,Deviation!$E$31:$AE$33,2,FALSE),VLOOKUP(BA157,Deviation!$E$31:$AE$33,3,FALSE)))),0)</f>
        <v/>
      </c>
      <c r="BG157" s="671" t="str">
        <f>IFERROR(IF(AL157="","",IF(AN157="Dubai",IF(AL157="Plan1",VLOOKUP(BB157,Deviation!$B$39:$C$40,2,FALSE),IF(AL157="Plan2",VLOOKUP(BB157,Deviation!$B$42:$C$43,2,FALSE),IF(AL157="Plan5",VLOOKUP(BB157,Deviation!$B$48:$C$49,2,FALSE),VLOOKUP(BB157,Deviation!$B$45:$C$46,2,FALSE)))),IF(AL157="Plan1",VLOOKUP(BB157,Deviation!$E$39:$F$40,2,FALSE),IF(AL157="Plan2",VLOOKUP(BB157,Deviation!$E$42:$F$43,2,FALSE),VLOOKUP(BB157,Deviation!$E$45:$F$46,2,FALSE))))),0)</f>
        <v/>
      </c>
      <c r="BH157" s="671" t="str">
        <f>IFERROR(IF(AL157="","",IF(AN157="Dubai",IF(OR(AL157="Plan1",AL157="Plan2"),VLOOKUP(BC157,Deviation!$B$15:$D$19,2,FALSE),VLOOKUP(BC157,Deviation!$B$15:$D$19,3,FALSE)),IF(OR(AL157="Plan1",AL157="Plan2"),VLOOKUP(BC157,Deviation!$E$15:$AE$19,2,FALSE),VLOOKUP(BC157,Deviation!$E$15:$AE$19,3,FALSE)))),0)</f>
        <v/>
      </c>
      <c r="BI157" s="669" t="str">
        <f>IFERROR(IF(AL157="","",IF(AN157="Dubai",VLOOKUP(BD157,Deviation!$B$24:$C$26,2,FALSE),100%)),0)</f>
        <v/>
      </c>
      <c r="BJ157" s="672">
        <f>IF(AE157="Abu Dhabi",1,IFERROR(VLOOKUP(AM157,Deviation!$B$67:$E$79,MATCH('Census Data'!AA157,Deviation!$B$66:$E$66,0),0),1))</f>
        <v>1</v>
      </c>
      <c r="BK157" s="659">
        <f>IFERROR(VLOOKUP(I157,Deviation!$B$54:$C$62,2,0),1)</f>
        <v>1</v>
      </c>
      <c r="BL157" s="148"/>
      <c r="BM157" s="148"/>
      <c r="BN157" s="148"/>
      <c r="BO157" s="148"/>
      <c r="BP157" s="148"/>
      <c r="BQ157" s="148"/>
      <c r="BR157" s="148"/>
      <c r="BS157" s="148"/>
      <c r="BT157" s="148" t="e">
        <f t="shared" si="85"/>
        <v>#VALUE!</v>
      </c>
      <c r="BU157"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f>
        <v/>
      </c>
    </row>
    <row r="158" spans="1:73" ht="15" x14ac:dyDescent="0.25">
      <c r="A158" s="59">
        <v>153</v>
      </c>
      <c r="B158" s="470"/>
      <c r="C158" s="628"/>
      <c r="D158" s="629"/>
      <c r="E158" s="471"/>
      <c r="F158" s="298"/>
      <c r="G158" s="298"/>
      <c r="H158" s="298"/>
      <c r="I158" s="298"/>
      <c r="J158" s="80" t="str">
        <f>IFERROR(IF(C158="","",DATEDIF('Census Data'!C158,eff_date,"y")),"")</f>
        <v/>
      </c>
      <c r="K158" s="59" t="str">
        <f>IF(F158="","",IF(AE158="Dubai",HLOOKUP(F158,Inputs!$C$26:$M$28,3,0),HLOOKUP(F158,Inputs!$C$45:$M$46,2,0)))</f>
        <v/>
      </c>
      <c r="L158" s="94"/>
      <c r="M158" s="105">
        <f t="shared" si="87"/>
        <v>0</v>
      </c>
      <c r="N158" s="654" t="b">
        <f t="shared" si="88"/>
        <v>0</v>
      </c>
      <c r="O158" s="655" t="str">
        <f t="shared" si="89"/>
        <v>x</v>
      </c>
      <c r="P158" s="655" t="str">
        <f t="shared" si="90"/>
        <v>x</v>
      </c>
      <c r="Q158" s="655" t="str">
        <f t="shared" si="91"/>
        <v>x</v>
      </c>
      <c r="R158" s="655" t="str">
        <f t="shared" si="100"/>
        <v>x</v>
      </c>
      <c r="S158" s="655" t="str">
        <f t="shared" si="92"/>
        <v>x</v>
      </c>
      <c r="T158" s="655" t="str">
        <f>IF(ISERROR(MATCH(G158,'Inputs Mapping'!$T$4:$T$10,0)),"x","")</f>
        <v>x</v>
      </c>
      <c r="U158" s="655" t="str">
        <f>IF(ISERROR(MATCH(AA158,'Inputs Mapping'!$U$4:$U$5,0)),"x","")</f>
        <v>x</v>
      </c>
      <c r="V158" s="655" t="str">
        <f>IF(ISERROR(MATCH(AB158,'Inputs Mapping'!$V$4:$V$5,0)),"x","")</f>
        <v>x</v>
      </c>
      <c r="W158" s="655" t="str">
        <f>IF(ISERROR(MATCH(F158,'Inputs Mapping'!$W$4:$W$8,0)),"x","")</f>
        <v>x</v>
      </c>
      <c r="X158" s="655" t="str">
        <f t="shared" si="93"/>
        <v/>
      </c>
      <c r="Y158" s="655" t="str">
        <f t="shared" si="94"/>
        <v/>
      </c>
      <c r="Z158" s="655" t="str">
        <f t="shared" si="95"/>
        <v/>
      </c>
      <c r="AA158" s="655" t="str">
        <f t="shared" si="77"/>
        <v/>
      </c>
      <c r="AB158" s="655" t="str">
        <f t="shared" si="96"/>
        <v/>
      </c>
      <c r="AC158" s="655" t="str">
        <f t="shared" si="86"/>
        <v>x</v>
      </c>
      <c r="AD158" s="655" t="str">
        <f>IF(ISBLANK(I158),"x",IF(ISNUMBER(MATCH(I158,'Inputs Mapping'!$AF$5:$AF$199,0)),"","x"))</f>
        <v>x</v>
      </c>
      <c r="AE158" s="655" t="str">
        <f t="shared" si="80"/>
        <v/>
      </c>
      <c r="AF158" s="148"/>
      <c r="AG158" s="148"/>
      <c r="AH158" s="148" t="str">
        <f t="shared" si="81"/>
        <v/>
      </c>
      <c r="AI158" s="654" t="str">
        <f>IF(J158="","",VLOOKUP(J158,'Inputs Mapping'!$T$27:$V$31,3))</f>
        <v/>
      </c>
      <c r="AJ158" s="654" t="str">
        <f>IF(J158="","",VLOOKUP(J158,'Inputs Mapping'!$T$17:$V$24,3))</f>
        <v/>
      </c>
      <c r="AK158" s="654" t="str">
        <f t="shared" si="82"/>
        <v/>
      </c>
      <c r="AL158" s="655" t="str">
        <f t="shared" si="97"/>
        <v/>
      </c>
      <c r="AM158" s="655" t="str">
        <f>IF(F158="","",IF(AE158="Dubai",HLOOKUP(F158,Inputs!$C$26:$M$36,5,0),HLOOKUP(F158,Inputs!$C$45:$M$49,5,0)))</f>
        <v/>
      </c>
      <c r="AN158" s="655">
        <f t="shared" si="83"/>
        <v>0</v>
      </c>
      <c r="AO158" s="654" t="str">
        <f>IF(AJ158="","",IF(AN158="Dubai",VLOOKUP(AJ158,'Inputs Mapping'!$V$17:$W$24,2,0),VLOOKUP(AI158,'Inputs Mapping'!$V$27:$W$31,2,0)))</f>
        <v/>
      </c>
      <c r="AP158" s="666">
        <f>IFERROR(IF($AN158="","",HLOOKUP($AN158&amp;RIGHT($AL158,1),'input for formula'!$B$16:$I$20,3,0)),0)</f>
        <v>0</v>
      </c>
      <c r="AQ158" s="656">
        <f>IFERROR(IF($AN158="","",HLOOKUP($AN158&amp;$F158,'input for formula'!$B$22:$M$25,2,0)),0)</f>
        <v>0</v>
      </c>
      <c r="AR158" s="666">
        <f>IFERROR(IF($AN158="","",HLOOKUP($AN158&amp;RIGHT($AL158,1),'input for formula'!$B$16:$I$20,4,0)),0)</f>
        <v>0</v>
      </c>
      <c r="AS158" s="656">
        <f>IFERROR(IF($AN158="","",HLOOKUP($AN158&amp;$F158,'input for formula'!$B$22:$M$25,3,0)),0)</f>
        <v>0</v>
      </c>
      <c r="AT158" s="656">
        <f>IFERROR(IF($AN158="","",HLOOKUP($AN158&amp;RIGHT($AL158,1),'input for formula'!$B$16:$I$20,5,0)),0)</f>
        <v>0</v>
      </c>
      <c r="AU158" s="656">
        <f>IFERROR(IF($AN158="","",HLOOKUP($AN158&amp;$F158,'input for formula'!$B$22:$M$25,4,0)),0)</f>
        <v>0</v>
      </c>
      <c r="AV158" s="666">
        <f>IFERROR(IF($AN158="","",IF('Census Data'!$AN158="Abu Dhabi",VLOOKUP('Census Data'!$AM158,'input for formula'!$A$28:$C$41,3,0),VLOOKUP('Census Data'!$AM158,'input for formula'!$A$28:$C$47,2,0))),0)*IFERROR(1+IF(AN158="Dubai",VLOOKUP(F158,'Quotation for Dubai Plans'!$V$6:$X$12,3,FALSE),VLOOKUP(F158,'Quotation for Abu Dhabi Plans'!$W$6:$Y$12,3,FALSE)),0)</f>
        <v>0</v>
      </c>
      <c r="AW158" s="656" t="str">
        <f t="shared" si="98"/>
        <v/>
      </c>
      <c r="AX158" s="667" t="str">
        <f>IFERROR(IF(AL158="","",IF(AN158="Dubai",HLOOKUP((AL158&amp;AM158),Deviation!$B$7:$S$8,2,0)*BF158*BH158*BI158*BG158,HLOOKUP((AL158&amp;AM158),Deviation!$B$9:$O$10,2,0)*BF158*BH158*BI158*BG158)),0)</f>
        <v/>
      </c>
      <c r="AY158" s="66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formula'!$M$3:$O$7,AO158,FALSE)))*AX158+AP158*AQ158+AR158*AS158+AT158*AU158),0)*$AZ$3*BK158*BJ158*IF(AND(Inputs!$C$19&gt;19,Inputs!$C$19&lt;30),(1+$AZ$2),1)*(1+$AZ$1))</f>
        <v/>
      </c>
      <c r="AZ158" s="148" t="str">
        <f t="shared" si="99"/>
        <v/>
      </c>
      <c r="BA158" s="669" t="str">
        <f>IF(F158="","",IF(AE158="Dubai",HLOOKUP(F158,Inputs!$C$26:$M$37,9,0),HLOOKUP(F158,Inputs!$C$45:$M$56,9,0)))</f>
        <v/>
      </c>
      <c r="BB158" s="670" t="str">
        <f>IF(F158="","",IF(AE158="Dubai",HLOOKUP(F158,Inputs!$C$26:$M$37,10,0),HLOOKUP(F158,Inputs!$C$45:$M$56,10,0)))</f>
        <v/>
      </c>
      <c r="BC158" s="670" t="str">
        <f>IF(F158="","",IF(AE158="Dubai",HLOOKUP(F158,Inputs!$C$26:$M$37,11,0),HLOOKUP(F158,Inputs!$C$45:$M$56,11,0)))</f>
        <v/>
      </c>
      <c r="BD158" s="669" t="str">
        <f>IF(F158="","",IF(AE158="Dubai",HLOOKUP(F158,Inputs!$C$26:$M$37,12,0),HLOOKUP(F158,Inputs!$C$45:$M$56,12,0)))</f>
        <v/>
      </c>
      <c r="BE158" s="654"/>
      <c r="BF158" s="669" t="str">
        <f>IFERROR(IF(AL158="","",IF(AN158="Dubai",IF(OR(AL158="Plan1",AL158="Plan2"),VLOOKUP(BA158,Deviation!$B$31:$D$33,2,FALSE),VLOOKUP(BA158,Deviation!$B$31:$D$33,3,FALSE)),IF(OR(AL158="Plan1",AL158="Plan2"),VLOOKUP(BA158,Deviation!$E$31:$AE$33,2,FALSE),VLOOKUP(BA158,Deviation!$E$31:$AE$33,3,FALSE)))),0)</f>
        <v/>
      </c>
      <c r="BG158" s="671" t="str">
        <f>IFERROR(IF(AL158="","",IF(AN158="Dubai",IF(AL158="Plan1",VLOOKUP(BB158,Deviation!$B$39:$C$40,2,FALSE),IF(AL158="Plan2",VLOOKUP(BB158,Deviation!$B$42:$C$43,2,FALSE),IF(AL158="Plan5",VLOOKUP(BB158,Deviation!$B$48:$C$49,2,FALSE),VLOOKUP(BB158,Deviation!$B$45:$C$46,2,FALSE)))),IF(AL158="Plan1",VLOOKUP(BB158,Deviation!$E$39:$F$40,2,FALSE),IF(AL158="Plan2",VLOOKUP(BB158,Deviation!$E$42:$F$43,2,FALSE),VLOOKUP(BB158,Deviation!$E$45:$F$46,2,FALSE))))),0)</f>
        <v/>
      </c>
      <c r="BH158" s="671" t="str">
        <f>IFERROR(IF(AL158="","",IF(AN158="Dubai",IF(OR(AL158="Plan1",AL158="Plan2"),VLOOKUP(BC158,Deviation!$B$15:$D$19,2,FALSE),VLOOKUP(BC158,Deviation!$B$15:$D$19,3,FALSE)),IF(OR(AL158="Plan1",AL158="Plan2"),VLOOKUP(BC158,Deviation!$E$15:$AE$19,2,FALSE),VLOOKUP(BC158,Deviation!$E$15:$AE$19,3,FALSE)))),0)</f>
        <v/>
      </c>
      <c r="BI158" s="669" t="str">
        <f>IFERROR(IF(AL158="","",IF(AN158="Dubai",VLOOKUP(BD158,Deviation!$B$24:$C$26,2,FALSE),100%)),0)</f>
        <v/>
      </c>
      <c r="BJ158" s="672">
        <f>IF(AE158="Abu Dhabi",1,IFERROR(VLOOKUP(AM158,Deviation!$B$67:$E$79,MATCH('Census Data'!AA158,Deviation!$B$66:$E$66,0),0),1))</f>
        <v>1</v>
      </c>
      <c r="BK158" s="659">
        <f>IFERROR(VLOOKUP(I158,Deviation!$B$54:$C$62,2,0),1)</f>
        <v>1</v>
      </c>
      <c r="BL158" s="148"/>
      <c r="BM158" s="148"/>
      <c r="BN158" s="148"/>
      <c r="BO158" s="148"/>
      <c r="BP158" s="148"/>
      <c r="BQ158" s="148"/>
      <c r="BR158" s="148"/>
      <c r="BS158" s="148"/>
      <c r="BT158" s="148" t="e">
        <f t="shared" si="85"/>
        <v>#VALUE!</v>
      </c>
      <c r="BU15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f>
        <v/>
      </c>
    </row>
    <row r="159" spans="1:73" ht="15" x14ac:dyDescent="0.25">
      <c r="A159" s="59">
        <v>154</v>
      </c>
      <c r="B159" s="470"/>
      <c r="C159" s="628"/>
      <c r="D159" s="629"/>
      <c r="E159" s="471"/>
      <c r="F159" s="298"/>
      <c r="G159" s="298"/>
      <c r="H159" s="298"/>
      <c r="I159" s="298"/>
      <c r="J159" s="80" t="str">
        <f>IFERROR(IF(C159="","",DATEDIF('Census Data'!C159,eff_date,"y")),"")</f>
        <v/>
      </c>
      <c r="K159" s="59" t="str">
        <f>IF(F159="","",IF(AE159="Dubai",HLOOKUP(F159,Inputs!$C$26:$M$28,3,0),HLOOKUP(F159,Inputs!$C$45:$M$46,2,0)))</f>
        <v/>
      </c>
      <c r="L159" s="94"/>
      <c r="M159" s="105">
        <f t="shared" si="87"/>
        <v>0</v>
      </c>
      <c r="N159" s="654" t="b">
        <f t="shared" si="88"/>
        <v>0</v>
      </c>
      <c r="O159" s="655" t="str">
        <f t="shared" si="89"/>
        <v>x</v>
      </c>
      <c r="P159" s="655" t="str">
        <f t="shared" si="90"/>
        <v>x</v>
      </c>
      <c r="Q159" s="655" t="str">
        <f t="shared" si="91"/>
        <v>x</v>
      </c>
      <c r="R159" s="655" t="str">
        <f t="shared" si="100"/>
        <v>x</v>
      </c>
      <c r="S159" s="655" t="str">
        <f t="shared" si="92"/>
        <v>x</v>
      </c>
      <c r="T159" s="655" t="str">
        <f>IF(ISERROR(MATCH(G159,'Inputs Mapping'!$T$4:$T$10,0)),"x","")</f>
        <v>x</v>
      </c>
      <c r="U159" s="655" t="str">
        <f>IF(ISERROR(MATCH(AA159,'Inputs Mapping'!$U$4:$U$5,0)),"x","")</f>
        <v>x</v>
      </c>
      <c r="V159" s="655" t="str">
        <f>IF(ISERROR(MATCH(AB159,'Inputs Mapping'!$V$4:$V$5,0)),"x","")</f>
        <v>x</v>
      </c>
      <c r="W159" s="655" t="str">
        <f>IF(ISERROR(MATCH(F159,'Inputs Mapping'!$W$4:$W$8,0)),"x","")</f>
        <v>x</v>
      </c>
      <c r="X159" s="655" t="str">
        <f t="shared" si="93"/>
        <v/>
      </c>
      <c r="Y159" s="655" t="str">
        <f t="shared" si="94"/>
        <v/>
      </c>
      <c r="Z159" s="655" t="str">
        <f t="shared" si="95"/>
        <v/>
      </c>
      <c r="AA159" s="655" t="str">
        <f t="shared" si="77"/>
        <v/>
      </c>
      <c r="AB159" s="655" t="str">
        <f t="shared" si="96"/>
        <v/>
      </c>
      <c r="AC159" s="655" t="str">
        <f t="shared" si="86"/>
        <v>x</v>
      </c>
      <c r="AD159" s="655" t="str">
        <f>IF(ISBLANK(I159),"x",IF(ISNUMBER(MATCH(I159,'Inputs Mapping'!$AF$5:$AF$199,0)),"","x"))</f>
        <v>x</v>
      </c>
      <c r="AE159" s="655" t="str">
        <f t="shared" si="80"/>
        <v/>
      </c>
      <c r="AF159" s="148"/>
      <c r="AG159" s="148"/>
      <c r="AH159" s="148" t="str">
        <f t="shared" si="81"/>
        <v/>
      </c>
      <c r="AI159" s="654" t="str">
        <f>IF(J159="","",VLOOKUP(J159,'Inputs Mapping'!$T$27:$V$31,3))</f>
        <v/>
      </c>
      <c r="AJ159" s="654" t="str">
        <f>IF(J159="","",VLOOKUP(J159,'Inputs Mapping'!$T$17:$V$24,3))</f>
        <v/>
      </c>
      <c r="AK159" s="654" t="str">
        <f t="shared" si="82"/>
        <v/>
      </c>
      <c r="AL159" s="655" t="str">
        <f t="shared" si="97"/>
        <v/>
      </c>
      <c r="AM159" s="655" t="str">
        <f>IF(F159="","",IF(AE159="Dubai",HLOOKUP(F159,Inputs!$C$26:$M$36,5,0),HLOOKUP(F159,Inputs!$C$45:$M$49,5,0)))</f>
        <v/>
      </c>
      <c r="AN159" s="655">
        <f t="shared" si="83"/>
        <v>0</v>
      </c>
      <c r="AO159" s="654" t="str">
        <f>IF(AJ159="","",IF(AN159="Dubai",VLOOKUP(AJ159,'Inputs Mapping'!$V$17:$W$24,2,0),VLOOKUP(AI159,'Inputs Mapping'!$V$27:$W$31,2,0)))</f>
        <v/>
      </c>
      <c r="AP159" s="666">
        <f>IFERROR(IF($AN159="","",HLOOKUP($AN159&amp;RIGHT($AL159,1),'input for formula'!$B$16:$I$20,3,0)),0)</f>
        <v>0</v>
      </c>
      <c r="AQ159" s="656">
        <f>IFERROR(IF($AN159="","",HLOOKUP($AN159&amp;$F159,'input for formula'!$B$22:$M$25,2,0)),0)</f>
        <v>0</v>
      </c>
      <c r="AR159" s="666">
        <f>IFERROR(IF($AN159="","",HLOOKUP($AN159&amp;RIGHT($AL159,1),'input for formula'!$B$16:$I$20,4,0)),0)</f>
        <v>0</v>
      </c>
      <c r="AS159" s="656">
        <f>IFERROR(IF($AN159="","",HLOOKUP($AN159&amp;$F159,'input for formula'!$B$22:$M$25,3,0)),0)</f>
        <v>0</v>
      </c>
      <c r="AT159" s="656">
        <f>IFERROR(IF($AN159="","",HLOOKUP($AN159&amp;RIGHT($AL159,1),'input for formula'!$B$16:$I$20,5,0)),0)</f>
        <v>0</v>
      </c>
      <c r="AU159" s="656">
        <f>IFERROR(IF($AN159="","",HLOOKUP($AN159&amp;$F159,'input for formula'!$B$22:$M$25,4,0)),0)</f>
        <v>0</v>
      </c>
      <c r="AV159" s="666">
        <f>IFERROR(IF($AN159="","",IF('Census Data'!$AN159="Abu Dhabi",VLOOKUP('Census Data'!$AM159,'input for formula'!$A$28:$C$41,3,0),VLOOKUP('Census Data'!$AM159,'input for formula'!$A$28:$C$47,2,0))),0)*IFERROR(1+IF(AN159="Dubai",VLOOKUP(F159,'Quotation for Dubai Plans'!$V$6:$X$12,3,FALSE),VLOOKUP(F159,'Quotation for Abu Dhabi Plans'!$W$6:$Y$12,3,FALSE)),0)</f>
        <v>0</v>
      </c>
      <c r="AW159" s="656" t="str">
        <f t="shared" si="98"/>
        <v/>
      </c>
      <c r="AX159" s="667" t="str">
        <f>IFERROR(IF(AL159="","",IF(AN159="Dubai",HLOOKUP((AL159&amp;AM159),Deviation!$B$7:$S$8,2,0)*BF159*BH159*BI159*BG159,HLOOKUP((AL159&amp;AM159),Deviation!$B$9:$O$10,2,0)*BF159*BH159*BI159*BG159)),0)</f>
        <v/>
      </c>
      <c r="AY159" s="668"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formula'!$M$3:$O$7,AO159,FALSE)))*AX159+AP159*AQ159+AR159*AS159+AT159*AU159),0)*$AZ$3*BK159*BJ159*IF(AND(Inputs!$C$19&gt;19,Inputs!$C$19&lt;30),(1+$AZ$2),1)*(1+$AZ$1))</f>
        <v/>
      </c>
      <c r="AZ159" s="148" t="str">
        <f t="shared" si="99"/>
        <v/>
      </c>
      <c r="BA159" s="669" t="str">
        <f>IF(F159="","",IF(AE159="Dubai",HLOOKUP(F159,Inputs!$C$26:$M$37,9,0),HLOOKUP(F159,Inputs!$C$45:$M$56,9,0)))</f>
        <v/>
      </c>
      <c r="BB159" s="670" t="str">
        <f>IF(F159="","",IF(AE159="Dubai",HLOOKUP(F159,Inputs!$C$26:$M$37,10,0),HLOOKUP(F159,Inputs!$C$45:$M$56,10,0)))</f>
        <v/>
      </c>
      <c r="BC159" s="670" t="str">
        <f>IF(F159="","",IF(AE159="Dubai",HLOOKUP(F159,Inputs!$C$26:$M$37,11,0),HLOOKUP(F159,Inputs!$C$45:$M$56,11,0)))</f>
        <v/>
      </c>
      <c r="BD159" s="669" t="str">
        <f>IF(F159="","",IF(AE159="Dubai",HLOOKUP(F159,Inputs!$C$26:$M$37,12,0),HLOOKUP(F159,Inputs!$C$45:$M$56,12,0)))</f>
        <v/>
      </c>
      <c r="BE159" s="654"/>
      <c r="BF159" s="669" t="str">
        <f>IFERROR(IF(AL159="","",IF(AN159="Dubai",IF(OR(AL159="Plan1",AL159="Plan2"),VLOOKUP(BA159,Deviation!$B$31:$D$33,2,FALSE),VLOOKUP(BA159,Deviation!$B$31:$D$33,3,FALSE)),IF(OR(AL159="Plan1",AL159="Plan2"),VLOOKUP(BA159,Deviation!$E$31:$AE$33,2,FALSE),VLOOKUP(BA159,Deviation!$E$31:$AE$33,3,FALSE)))),0)</f>
        <v/>
      </c>
      <c r="BG159" s="671" t="str">
        <f>IFERROR(IF(AL159="","",IF(AN159="Dubai",IF(AL159="Plan1",VLOOKUP(BB159,Deviation!$B$39:$C$40,2,FALSE),IF(AL159="Plan2",VLOOKUP(BB159,Deviation!$B$42:$C$43,2,FALSE),IF(AL159="Plan5",VLOOKUP(BB159,Deviation!$B$48:$C$49,2,FALSE),VLOOKUP(BB159,Deviation!$B$45:$C$46,2,FALSE)))),IF(AL159="Plan1",VLOOKUP(BB159,Deviation!$E$39:$F$40,2,FALSE),IF(AL159="Plan2",VLOOKUP(BB159,Deviation!$E$42:$F$43,2,FALSE),VLOOKUP(BB159,Deviation!$E$45:$F$46,2,FALSE))))),0)</f>
        <v/>
      </c>
      <c r="BH159" s="671" t="str">
        <f>IFERROR(IF(AL159="","",IF(AN159="Dubai",IF(OR(AL159="Plan1",AL159="Plan2"),VLOOKUP(BC159,Deviation!$B$15:$D$19,2,FALSE),VLOOKUP(BC159,Deviation!$B$15:$D$19,3,FALSE)),IF(OR(AL159="Plan1",AL159="Plan2"),VLOOKUP(BC159,Deviation!$E$15:$AE$19,2,FALSE),VLOOKUP(BC159,Deviation!$E$15:$AE$19,3,FALSE)))),0)</f>
        <v/>
      </c>
      <c r="BI159" s="669" t="str">
        <f>IFERROR(IF(AL159="","",IF(AN159="Dubai",VLOOKUP(BD159,Deviation!$B$24:$C$26,2,FALSE),100%)),0)</f>
        <v/>
      </c>
      <c r="BJ159" s="672">
        <f>IF(AE159="Abu Dhabi",1,IFERROR(VLOOKUP(AM159,Deviation!$B$67:$E$79,MATCH('Census Data'!AA159,Deviation!$B$66:$E$66,0),0),1))</f>
        <v>1</v>
      </c>
      <c r="BK159" s="659">
        <f>IFERROR(VLOOKUP(I159,Deviation!$B$54:$C$62,2,0),1)</f>
        <v>1</v>
      </c>
      <c r="BL159" s="148"/>
      <c r="BM159" s="148"/>
      <c r="BN159" s="148"/>
      <c r="BO159" s="148"/>
      <c r="BP159" s="148"/>
      <c r="BQ159" s="148"/>
      <c r="BR159" s="148"/>
      <c r="BS159" s="148"/>
      <c r="BT159" s="148" t="e">
        <f t="shared" si="85"/>
        <v>#VALUE!</v>
      </c>
      <c r="BU159"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f>
        <v/>
      </c>
    </row>
    <row r="160" spans="1:73" ht="15" x14ac:dyDescent="0.25">
      <c r="A160" s="59">
        <v>155</v>
      </c>
      <c r="B160" s="470"/>
      <c r="C160" s="628"/>
      <c r="D160" s="629"/>
      <c r="E160" s="471"/>
      <c r="F160" s="298"/>
      <c r="G160" s="298"/>
      <c r="H160" s="298"/>
      <c r="I160" s="298"/>
      <c r="J160" s="80" t="str">
        <f>IFERROR(IF(C160="","",DATEDIF('Census Data'!C160,eff_date,"y")),"")</f>
        <v/>
      </c>
      <c r="K160" s="59" t="str">
        <f>IF(F160="","",IF(AE160="Dubai",HLOOKUP(F160,Inputs!$C$26:$M$28,3,0),HLOOKUP(F160,Inputs!$C$45:$M$46,2,0)))</f>
        <v/>
      </c>
      <c r="L160" s="94"/>
      <c r="M160" s="105">
        <f t="shared" si="87"/>
        <v>0</v>
      </c>
      <c r="N160" s="654" t="b">
        <f t="shared" si="88"/>
        <v>0</v>
      </c>
      <c r="O160" s="655" t="str">
        <f t="shared" si="89"/>
        <v>x</v>
      </c>
      <c r="P160" s="655" t="str">
        <f t="shared" si="90"/>
        <v>x</v>
      </c>
      <c r="Q160" s="655" t="str">
        <f t="shared" si="91"/>
        <v>x</v>
      </c>
      <c r="R160" s="655" t="str">
        <f t="shared" si="100"/>
        <v>x</v>
      </c>
      <c r="S160" s="655" t="str">
        <f t="shared" si="92"/>
        <v>x</v>
      </c>
      <c r="T160" s="655" t="str">
        <f>IF(ISERROR(MATCH(G160,'Inputs Mapping'!$T$4:$T$10,0)),"x","")</f>
        <v>x</v>
      </c>
      <c r="U160" s="655" t="str">
        <f>IF(ISERROR(MATCH(AA160,'Inputs Mapping'!$U$4:$U$5,0)),"x","")</f>
        <v>x</v>
      </c>
      <c r="V160" s="655" t="str">
        <f>IF(ISERROR(MATCH(AB160,'Inputs Mapping'!$V$4:$V$5,0)),"x","")</f>
        <v>x</v>
      </c>
      <c r="W160" s="655" t="str">
        <f>IF(ISERROR(MATCH(F160,'Inputs Mapping'!$W$4:$W$8,0)),"x","")</f>
        <v>x</v>
      </c>
      <c r="X160" s="655" t="str">
        <f t="shared" si="93"/>
        <v/>
      </c>
      <c r="Y160" s="655" t="str">
        <f t="shared" si="94"/>
        <v/>
      </c>
      <c r="Z160" s="655" t="str">
        <f t="shared" si="95"/>
        <v/>
      </c>
      <c r="AA160" s="655" t="str">
        <f t="shared" si="77"/>
        <v/>
      </c>
      <c r="AB160" s="655" t="str">
        <f t="shared" si="96"/>
        <v/>
      </c>
      <c r="AC160" s="655" t="str">
        <f t="shared" si="86"/>
        <v>x</v>
      </c>
      <c r="AD160" s="655" t="str">
        <f>IF(ISBLANK(I160),"x",IF(ISNUMBER(MATCH(I160,'Inputs Mapping'!$AF$5:$AF$199,0)),"","x"))</f>
        <v>x</v>
      </c>
      <c r="AE160" s="655" t="str">
        <f t="shared" si="80"/>
        <v/>
      </c>
      <c r="AF160" s="148"/>
      <c r="AG160" s="148"/>
      <c r="AH160" s="148" t="str">
        <f t="shared" si="81"/>
        <v/>
      </c>
      <c r="AI160" s="654" t="str">
        <f>IF(J160="","",VLOOKUP(J160,'Inputs Mapping'!$T$27:$V$31,3))</f>
        <v/>
      </c>
      <c r="AJ160" s="654" t="str">
        <f>IF(J160="","",VLOOKUP(J160,'Inputs Mapping'!$T$17:$V$24,3))</f>
        <v/>
      </c>
      <c r="AK160" s="654" t="str">
        <f t="shared" si="82"/>
        <v/>
      </c>
      <c r="AL160" s="655" t="str">
        <f t="shared" si="97"/>
        <v/>
      </c>
      <c r="AM160" s="655" t="str">
        <f>IF(F160="","",IF(AE160="Dubai",HLOOKUP(F160,Inputs!$C$26:$M$36,5,0),HLOOKUP(F160,Inputs!$C$45:$M$49,5,0)))</f>
        <v/>
      </c>
      <c r="AN160" s="655">
        <f t="shared" si="83"/>
        <v>0</v>
      </c>
      <c r="AO160" s="654" t="str">
        <f>IF(AJ160="","",IF(AN160="Dubai",VLOOKUP(AJ160,'Inputs Mapping'!$V$17:$W$24,2,0),VLOOKUP(AI160,'Inputs Mapping'!$V$27:$W$31,2,0)))</f>
        <v/>
      </c>
      <c r="AP160" s="666">
        <f>IFERROR(IF($AN160="","",HLOOKUP($AN160&amp;RIGHT($AL160,1),'input for formula'!$B$16:$I$20,3,0)),0)</f>
        <v>0</v>
      </c>
      <c r="AQ160" s="656">
        <f>IFERROR(IF($AN160="","",HLOOKUP($AN160&amp;$F160,'input for formula'!$B$22:$M$25,2,0)),0)</f>
        <v>0</v>
      </c>
      <c r="AR160" s="666">
        <f>IFERROR(IF($AN160="","",HLOOKUP($AN160&amp;RIGHT($AL160,1),'input for formula'!$B$16:$I$20,4,0)),0)</f>
        <v>0</v>
      </c>
      <c r="AS160" s="656">
        <f>IFERROR(IF($AN160="","",HLOOKUP($AN160&amp;$F160,'input for formula'!$B$22:$M$25,3,0)),0)</f>
        <v>0</v>
      </c>
      <c r="AT160" s="656">
        <f>IFERROR(IF($AN160="","",HLOOKUP($AN160&amp;RIGHT($AL160,1),'input for formula'!$B$16:$I$20,5,0)),0)</f>
        <v>0</v>
      </c>
      <c r="AU160" s="656">
        <f>IFERROR(IF($AN160="","",HLOOKUP($AN160&amp;$F160,'input for formula'!$B$22:$M$25,4,0)),0)</f>
        <v>0</v>
      </c>
      <c r="AV160" s="666">
        <f>IFERROR(IF($AN160="","",IF('Census Data'!$AN160="Abu Dhabi",VLOOKUP('Census Data'!$AM160,'input for formula'!$A$28:$C$41,3,0),VLOOKUP('Census Data'!$AM160,'input for formula'!$A$28:$C$47,2,0))),0)*IFERROR(1+IF(AN160="Dubai",VLOOKUP(F160,'Quotation for Dubai Plans'!$V$6:$X$12,3,FALSE),VLOOKUP(F160,'Quotation for Abu Dhabi Plans'!$W$6:$Y$12,3,FALSE)),0)</f>
        <v>0</v>
      </c>
      <c r="AW160" s="656" t="str">
        <f t="shared" si="98"/>
        <v/>
      </c>
      <c r="AX160" s="667" t="str">
        <f>IFERROR(IF(AL160="","",IF(AN160="Dubai",HLOOKUP((AL160&amp;AM160),Deviation!$B$7:$S$8,2,0)*BF160*BH160*BI160*BG160,HLOOKUP((AL160&amp;AM160),Deviation!$B$9:$O$10,2,0)*BF160*BH160*BI160*BG160)),0)</f>
        <v/>
      </c>
      <c r="AY160" s="668"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formula'!$M$3:$O$7,AO160,FALSE)))*AX160+AP160*AQ160+AR160*AS160+AT160*AU160),0)*$AZ$3*BK160*BJ160*IF(AND(Inputs!$C$19&gt;19,Inputs!$C$19&lt;30),(1+$AZ$2),1)*(1+$AZ$1))</f>
        <v/>
      </c>
      <c r="AZ160" s="148" t="str">
        <f t="shared" si="99"/>
        <v/>
      </c>
      <c r="BA160" s="669" t="str">
        <f>IF(F160="","",IF(AE160="Dubai",HLOOKUP(F160,Inputs!$C$26:$M$37,9,0),HLOOKUP(F160,Inputs!$C$45:$M$56,9,0)))</f>
        <v/>
      </c>
      <c r="BB160" s="670" t="str">
        <f>IF(F160="","",IF(AE160="Dubai",HLOOKUP(F160,Inputs!$C$26:$M$37,10,0),HLOOKUP(F160,Inputs!$C$45:$M$56,10,0)))</f>
        <v/>
      </c>
      <c r="BC160" s="670" t="str">
        <f>IF(F160="","",IF(AE160="Dubai",HLOOKUP(F160,Inputs!$C$26:$M$37,11,0),HLOOKUP(F160,Inputs!$C$45:$M$56,11,0)))</f>
        <v/>
      </c>
      <c r="BD160" s="669" t="str">
        <f>IF(F160="","",IF(AE160="Dubai",HLOOKUP(F160,Inputs!$C$26:$M$37,12,0),HLOOKUP(F160,Inputs!$C$45:$M$56,12,0)))</f>
        <v/>
      </c>
      <c r="BE160" s="654"/>
      <c r="BF160" s="669" t="str">
        <f>IFERROR(IF(AL160="","",IF(AN160="Dubai",IF(OR(AL160="Plan1",AL160="Plan2"),VLOOKUP(BA160,Deviation!$B$31:$D$33,2,FALSE),VLOOKUP(BA160,Deviation!$B$31:$D$33,3,FALSE)),IF(OR(AL160="Plan1",AL160="Plan2"),VLOOKUP(BA160,Deviation!$E$31:$AE$33,2,FALSE),VLOOKUP(BA160,Deviation!$E$31:$AE$33,3,FALSE)))),0)</f>
        <v/>
      </c>
      <c r="BG160" s="671" t="str">
        <f>IFERROR(IF(AL160="","",IF(AN160="Dubai",IF(AL160="Plan1",VLOOKUP(BB160,Deviation!$B$39:$C$40,2,FALSE),IF(AL160="Plan2",VLOOKUP(BB160,Deviation!$B$42:$C$43,2,FALSE),IF(AL160="Plan5",VLOOKUP(BB160,Deviation!$B$48:$C$49,2,FALSE),VLOOKUP(BB160,Deviation!$B$45:$C$46,2,FALSE)))),IF(AL160="Plan1",VLOOKUP(BB160,Deviation!$E$39:$F$40,2,FALSE),IF(AL160="Plan2",VLOOKUP(BB160,Deviation!$E$42:$F$43,2,FALSE),VLOOKUP(BB160,Deviation!$E$45:$F$46,2,FALSE))))),0)</f>
        <v/>
      </c>
      <c r="BH160" s="671" t="str">
        <f>IFERROR(IF(AL160="","",IF(AN160="Dubai",IF(OR(AL160="Plan1",AL160="Plan2"),VLOOKUP(BC160,Deviation!$B$15:$D$19,2,FALSE),VLOOKUP(BC160,Deviation!$B$15:$D$19,3,FALSE)),IF(OR(AL160="Plan1",AL160="Plan2"),VLOOKUP(BC160,Deviation!$E$15:$AE$19,2,FALSE),VLOOKUP(BC160,Deviation!$E$15:$AE$19,3,FALSE)))),0)</f>
        <v/>
      </c>
      <c r="BI160" s="669" t="str">
        <f>IFERROR(IF(AL160="","",IF(AN160="Dubai",VLOOKUP(BD160,Deviation!$B$24:$C$26,2,FALSE),100%)),0)</f>
        <v/>
      </c>
      <c r="BJ160" s="672">
        <f>IF(AE160="Abu Dhabi",1,IFERROR(VLOOKUP(AM160,Deviation!$B$67:$E$79,MATCH('Census Data'!AA160,Deviation!$B$66:$E$66,0),0),1))</f>
        <v>1</v>
      </c>
      <c r="BK160" s="659">
        <f>IFERROR(VLOOKUP(I160,Deviation!$B$54:$C$62,2,0),1)</f>
        <v>1</v>
      </c>
      <c r="BL160" s="148"/>
      <c r="BM160" s="148"/>
      <c r="BN160" s="148"/>
      <c r="BO160" s="148"/>
      <c r="BP160" s="148"/>
      <c r="BQ160" s="148"/>
      <c r="BR160" s="148"/>
      <c r="BS160" s="148"/>
      <c r="BT160" s="148" t="e">
        <f t="shared" si="85"/>
        <v>#VALUE!</v>
      </c>
      <c r="BU160"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f>
        <v/>
      </c>
    </row>
    <row r="161" spans="1:73" ht="15" x14ac:dyDescent="0.25">
      <c r="A161" s="59">
        <v>156</v>
      </c>
      <c r="B161" s="470"/>
      <c r="C161" s="628"/>
      <c r="D161" s="629"/>
      <c r="E161" s="471"/>
      <c r="F161" s="298"/>
      <c r="G161" s="298"/>
      <c r="H161" s="298"/>
      <c r="I161" s="298"/>
      <c r="J161" s="80" t="str">
        <f>IFERROR(IF(C161="","",DATEDIF('Census Data'!C161,eff_date,"y")),"")</f>
        <v/>
      </c>
      <c r="K161" s="59" t="str">
        <f>IF(F161="","",IF(AE161="Dubai",HLOOKUP(F161,Inputs!$C$26:$M$28,3,0),HLOOKUP(F161,Inputs!$C$45:$M$46,2,0)))</f>
        <v/>
      </c>
      <c r="L161" s="94"/>
      <c r="M161" s="105">
        <f t="shared" si="87"/>
        <v>0</v>
      </c>
      <c r="N161" s="654" t="b">
        <f t="shared" si="88"/>
        <v>0</v>
      </c>
      <c r="O161" s="655" t="str">
        <f t="shared" si="89"/>
        <v>x</v>
      </c>
      <c r="P161" s="655" t="str">
        <f t="shared" si="90"/>
        <v>x</v>
      </c>
      <c r="Q161" s="655" t="str">
        <f t="shared" si="91"/>
        <v>x</v>
      </c>
      <c r="R161" s="655" t="str">
        <f t="shared" si="100"/>
        <v>x</v>
      </c>
      <c r="S161" s="655" t="str">
        <f t="shared" si="92"/>
        <v>x</v>
      </c>
      <c r="T161" s="655" t="str">
        <f>IF(ISERROR(MATCH(G161,'Inputs Mapping'!$T$4:$T$10,0)),"x","")</f>
        <v>x</v>
      </c>
      <c r="U161" s="655" t="str">
        <f>IF(ISERROR(MATCH(AA161,'Inputs Mapping'!$U$4:$U$5,0)),"x","")</f>
        <v>x</v>
      </c>
      <c r="V161" s="655" t="str">
        <f>IF(ISERROR(MATCH(AB161,'Inputs Mapping'!$V$4:$V$5,0)),"x","")</f>
        <v>x</v>
      </c>
      <c r="W161" s="655" t="str">
        <f>IF(ISERROR(MATCH(F161,'Inputs Mapping'!$W$4:$W$8,0)),"x","")</f>
        <v>x</v>
      </c>
      <c r="X161" s="655" t="str">
        <f t="shared" si="93"/>
        <v/>
      </c>
      <c r="Y161" s="655" t="str">
        <f t="shared" si="94"/>
        <v/>
      </c>
      <c r="Z161" s="655" t="str">
        <f t="shared" si="95"/>
        <v/>
      </c>
      <c r="AA161" s="655" t="str">
        <f t="shared" si="77"/>
        <v/>
      </c>
      <c r="AB161" s="655" t="str">
        <f t="shared" si="96"/>
        <v/>
      </c>
      <c r="AC161" s="655" t="str">
        <f t="shared" si="86"/>
        <v>x</v>
      </c>
      <c r="AD161" s="655" t="str">
        <f>IF(ISBLANK(I161),"x",IF(ISNUMBER(MATCH(I161,'Inputs Mapping'!$AF$5:$AF$199,0)),"","x"))</f>
        <v>x</v>
      </c>
      <c r="AE161" s="655" t="str">
        <f t="shared" si="80"/>
        <v/>
      </c>
      <c r="AF161" s="148"/>
      <c r="AG161" s="148"/>
      <c r="AH161" s="148" t="str">
        <f t="shared" si="81"/>
        <v/>
      </c>
      <c r="AI161" s="654" t="str">
        <f>IF(J161="","",VLOOKUP(J161,'Inputs Mapping'!$T$27:$V$31,3))</f>
        <v/>
      </c>
      <c r="AJ161" s="654" t="str">
        <f>IF(J161="","",VLOOKUP(J161,'Inputs Mapping'!$T$17:$V$24,3))</f>
        <v/>
      </c>
      <c r="AK161" s="654" t="str">
        <f t="shared" si="82"/>
        <v/>
      </c>
      <c r="AL161" s="655" t="str">
        <f t="shared" si="97"/>
        <v/>
      </c>
      <c r="AM161" s="655" t="str">
        <f>IF(F161="","",IF(AE161="Dubai",HLOOKUP(F161,Inputs!$C$26:$M$36,5,0),HLOOKUP(F161,Inputs!$C$45:$M$49,5,0)))</f>
        <v/>
      </c>
      <c r="AN161" s="655">
        <f t="shared" si="83"/>
        <v>0</v>
      </c>
      <c r="AO161" s="654" t="str">
        <f>IF(AJ161="","",IF(AN161="Dubai",VLOOKUP(AJ161,'Inputs Mapping'!$V$17:$W$24,2,0),VLOOKUP(AI161,'Inputs Mapping'!$V$27:$W$31,2,0)))</f>
        <v/>
      </c>
      <c r="AP161" s="666">
        <f>IFERROR(IF($AN161="","",HLOOKUP($AN161&amp;RIGHT($AL161,1),'input for formula'!$B$16:$I$20,3,0)),0)</f>
        <v>0</v>
      </c>
      <c r="AQ161" s="656">
        <f>IFERROR(IF($AN161="","",HLOOKUP($AN161&amp;$F161,'input for formula'!$B$22:$M$25,2,0)),0)</f>
        <v>0</v>
      </c>
      <c r="AR161" s="666">
        <f>IFERROR(IF($AN161="","",HLOOKUP($AN161&amp;RIGHT($AL161,1),'input for formula'!$B$16:$I$20,4,0)),0)</f>
        <v>0</v>
      </c>
      <c r="AS161" s="656">
        <f>IFERROR(IF($AN161="","",HLOOKUP($AN161&amp;$F161,'input for formula'!$B$22:$M$25,3,0)),0)</f>
        <v>0</v>
      </c>
      <c r="AT161" s="656">
        <f>IFERROR(IF($AN161="","",HLOOKUP($AN161&amp;RIGHT($AL161,1),'input for formula'!$B$16:$I$20,5,0)),0)</f>
        <v>0</v>
      </c>
      <c r="AU161" s="656">
        <f>IFERROR(IF($AN161="","",HLOOKUP($AN161&amp;$F161,'input for formula'!$B$22:$M$25,4,0)),0)</f>
        <v>0</v>
      </c>
      <c r="AV161" s="666">
        <f>IFERROR(IF($AN161="","",IF('Census Data'!$AN161="Abu Dhabi",VLOOKUP('Census Data'!$AM161,'input for formula'!$A$28:$C$41,3,0),VLOOKUP('Census Data'!$AM161,'input for formula'!$A$28:$C$47,2,0))),0)*IFERROR(1+IF(AN161="Dubai",VLOOKUP(F161,'Quotation for Dubai Plans'!$V$6:$X$12,3,FALSE),VLOOKUP(F161,'Quotation for Abu Dhabi Plans'!$W$6:$Y$12,3,FALSE)),0)</f>
        <v>0</v>
      </c>
      <c r="AW161" s="656" t="str">
        <f t="shared" si="98"/>
        <v/>
      </c>
      <c r="AX161" s="667" t="str">
        <f>IFERROR(IF(AL161="","",IF(AN161="Dubai",HLOOKUP((AL161&amp;AM161),Deviation!$B$7:$S$8,2,0)*BF161*BH161*BI161*BG161,HLOOKUP((AL161&amp;AM161),Deviation!$B$9:$O$10,2,0)*BF161*BH161*BI161*BG161)),0)</f>
        <v/>
      </c>
      <c r="AY161" s="668"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formula'!$M$3:$O$7,AO161,FALSE)))*AX161+AP161*AQ161+AR161*AS161+AT161*AU161),0)*$AZ$3*BK161*BJ161*IF(AND(Inputs!$C$19&gt;19,Inputs!$C$19&lt;30),(1+$AZ$2),1)*(1+$AZ$1))</f>
        <v/>
      </c>
      <c r="AZ161" s="148" t="str">
        <f t="shared" si="99"/>
        <v/>
      </c>
      <c r="BA161" s="669" t="str">
        <f>IF(F161="","",IF(AE161="Dubai",HLOOKUP(F161,Inputs!$C$26:$M$37,9,0),HLOOKUP(F161,Inputs!$C$45:$M$56,9,0)))</f>
        <v/>
      </c>
      <c r="BB161" s="670" t="str">
        <f>IF(F161="","",IF(AE161="Dubai",HLOOKUP(F161,Inputs!$C$26:$M$37,10,0),HLOOKUP(F161,Inputs!$C$45:$M$56,10,0)))</f>
        <v/>
      </c>
      <c r="BC161" s="670" t="str">
        <f>IF(F161="","",IF(AE161="Dubai",HLOOKUP(F161,Inputs!$C$26:$M$37,11,0),HLOOKUP(F161,Inputs!$C$45:$M$56,11,0)))</f>
        <v/>
      </c>
      <c r="BD161" s="669" t="str">
        <f>IF(F161="","",IF(AE161="Dubai",HLOOKUP(F161,Inputs!$C$26:$M$37,12,0),HLOOKUP(F161,Inputs!$C$45:$M$56,12,0)))</f>
        <v/>
      </c>
      <c r="BE161" s="654"/>
      <c r="BF161" s="669" t="str">
        <f>IFERROR(IF(AL161="","",IF(AN161="Dubai",IF(OR(AL161="Plan1",AL161="Plan2"),VLOOKUP(BA161,Deviation!$B$31:$D$33,2,FALSE),VLOOKUP(BA161,Deviation!$B$31:$D$33,3,FALSE)),IF(OR(AL161="Plan1",AL161="Plan2"),VLOOKUP(BA161,Deviation!$E$31:$AE$33,2,FALSE),VLOOKUP(BA161,Deviation!$E$31:$AE$33,3,FALSE)))),0)</f>
        <v/>
      </c>
      <c r="BG161" s="671" t="str">
        <f>IFERROR(IF(AL161="","",IF(AN161="Dubai",IF(AL161="Plan1",VLOOKUP(BB161,Deviation!$B$39:$C$40,2,FALSE),IF(AL161="Plan2",VLOOKUP(BB161,Deviation!$B$42:$C$43,2,FALSE),IF(AL161="Plan5",VLOOKUP(BB161,Deviation!$B$48:$C$49,2,FALSE),VLOOKUP(BB161,Deviation!$B$45:$C$46,2,FALSE)))),IF(AL161="Plan1",VLOOKUP(BB161,Deviation!$E$39:$F$40,2,FALSE),IF(AL161="Plan2",VLOOKUP(BB161,Deviation!$E$42:$F$43,2,FALSE),VLOOKUP(BB161,Deviation!$E$45:$F$46,2,FALSE))))),0)</f>
        <v/>
      </c>
      <c r="BH161" s="671" t="str">
        <f>IFERROR(IF(AL161="","",IF(AN161="Dubai",IF(OR(AL161="Plan1",AL161="Plan2"),VLOOKUP(BC161,Deviation!$B$15:$D$19,2,FALSE),VLOOKUP(BC161,Deviation!$B$15:$D$19,3,FALSE)),IF(OR(AL161="Plan1",AL161="Plan2"),VLOOKUP(BC161,Deviation!$E$15:$AE$19,2,FALSE),VLOOKUP(BC161,Deviation!$E$15:$AE$19,3,FALSE)))),0)</f>
        <v/>
      </c>
      <c r="BI161" s="669" t="str">
        <f>IFERROR(IF(AL161="","",IF(AN161="Dubai",VLOOKUP(BD161,Deviation!$B$24:$C$26,2,FALSE),100%)),0)</f>
        <v/>
      </c>
      <c r="BJ161" s="672">
        <f>IF(AE161="Abu Dhabi",1,IFERROR(VLOOKUP(AM161,Deviation!$B$67:$E$79,MATCH('Census Data'!AA161,Deviation!$B$66:$E$66,0),0),1))</f>
        <v>1</v>
      </c>
      <c r="BK161" s="659">
        <f>IFERROR(VLOOKUP(I161,Deviation!$B$54:$C$62,2,0),1)</f>
        <v>1</v>
      </c>
      <c r="BL161" s="148"/>
      <c r="BM161" s="148"/>
      <c r="BN161" s="148"/>
      <c r="BO161" s="148"/>
      <c r="BP161" s="148"/>
      <c r="BQ161" s="148"/>
      <c r="BR161" s="148"/>
      <c r="BS161" s="148"/>
      <c r="BT161" s="148" t="e">
        <f t="shared" si="85"/>
        <v>#VALUE!</v>
      </c>
      <c r="BU161"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f>
        <v/>
      </c>
    </row>
    <row r="162" spans="1:73" ht="15" x14ac:dyDescent="0.25">
      <c r="A162" s="59">
        <v>157</v>
      </c>
      <c r="B162" s="470"/>
      <c r="C162" s="628"/>
      <c r="D162" s="629"/>
      <c r="E162" s="471"/>
      <c r="F162" s="298"/>
      <c r="G162" s="298"/>
      <c r="H162" s="298"/>
      <c r="I162" s="298"/>
      <c r="J162" s="80" t="str">
        <f>IFERROR(IF(C162="","",DATEDIF('Census Data'!C162,eff_date,"y")),"")</f>
        <v/>
      </c>
      <c r="K162" s="59" t="str">
        <f>IF(F162="","",IF(AE162="Dubai",HLOOKUP(F162,Inputs!$C$26:$M$28,3,0),HLOOKUP(F162,Inputs!$C$45:$M$46,2,0)))</f>
        <v/>
      </c>
      <c r="L162" s="94"/>
      <c r="M162" s="105">
        <f t="shared" si="87"/>
        <v>0</v>
      </c>
      <c r="N162" s="654" t="b">
        <f t="shared" si="88"/>
        <v>0</v>
      </c>
      <c r="O162" s="655" t="str">
        <f t="shared" si="89"/>
        <v>x</v>
      </c>
      <c r="P162" s="655" t="str">
        <f t="shared" si="90"/>
        <v>x</v>
      </c>
      <c r="Q162" s="655" t="str">
        <f t="shared" si="91"/>
        <v>x</v>
      </c>
      <c r="R162" s="655" t="str">
        <f t="shared" si="100"/>
        <v>x</v>
      </c>
      <c r="S162" s="655" t="str">
        <f t="shared" si="92"/>
        <v>x</v>
      </c>
      <c r="T162" s="655" t="str">
        <f>IF(ISERROR(MATCH(G162,'Inputs Mapping'!$T$4:$T$10,0)),"x","")</f>
        <v>x</v>
      </c>
      <c r="U162" s="655" t="str">
        <f>IF(ISERROR(MATCH(AA162,'Inputs Mapping'!$U$4:$U$5,0)),"x","")</f>
        <v>x</v>
      </c>
      <c r="V162" s="655" t="str">
        <f>IF(ISERROR(MATCH(AB162,'Inputs Mapping'!$V$4:$V$5,0)),"x","")</f>
        <v>x</v>
      </c>
      <c r="W162" s="655" t="str">
        <f>IF(ISERROR(MATCH(F162,'Inputs Mapping'!$W$4:$W$8,0)),"x","")</f>
        <v>x</v>
      </c>
      <c r="X162" s="655" t="str">
        <f t="shared" si="93"/>
        <v/>
      </c>
      <c r="Y162" s="655" t="str">
        <f t="shared" si="94"/>
        <v/>
      </c>
      <c r="Z162" s="655" t="str">
        <f t="shared" si="95"/>
        <v/>
      </c>
      <c r="AA162" s="655" t="str">
        <f t="shared" si="77"/>
        <v/>
      </c>
      <c r="AB162" s="655" t="str">
        <f t="shared" si="96"/>
        <v/>
      </c>
      <c r="AC162" s="655" t="str">
        <f t="shared" si="86"/>
        <v>x</v>
      </c>
      <c r="AD162" s="655" t="str">
        <f>IF(ISBLANK(I162),"x",IF(ISNUMBER(MATCH(I162,'Inputs Mapping'!$AF$5:$AF$199,0)),"","x"))</f>
        <v>x</v>
      </c>
      <c r="AE162" s="655" t="str">
        <f t="shared" si="80"/>
        <v/>
      </c>
      <c r="AF162" s="148"/>
      <c r="AG162" s="148"/>
      <c r="AH162" s="148" t="str">
        <f t="shared" si="81"/>
        <v/>
      </c>
      <c r="AI162" s="654" t="str">
        <f>IF(J162="","",VLOOKUP(J162,'Inputs Mapping'!$T$27:$V$31,3))</f>
        <v/>
      </c>
      <c r="AJ162" s="654" t="str">
        <f>IF(J162="","",VLOOKUP(J162,'Inputs Mapping'!$T$17:$V$24,3))</f>
        <v/>
      </c>
      <c r="AK162" s="654" t="str">
        <f t="shared" si="82"/>
        <v/>
      </c>
      <c r="AL162" s="655" t="str">
        <f t="shared" si="97"/>
        <v/>
      </c>
      <c r="AM162" s="655" t="str">
        <f>IF(F162="","",IF(AE162="Dubai",HLOOKUP(F162,Inputs!$C$26:$M$36,5,0),HLOOKUP(F162,Inputs!$C$45:$M$49,5,0)))</f>
        <v/>
      </c>
      <c r="AN162" s="655">
        <f t="shared" si="83"/>
        <v>0</v>
      </c>
      <c r="AO162" s="654" t="str">
        <f>IF(AJ162="","",IF(AN162="Dubai",VLOOKUP(AJ162,'Inputs Mapping'!$V$17:$W$24,2,0),VLOOKUP(AI162,'Inputs Mapping'!$V$27:$W$31,2,0)))</f>
        <v/>
      </c>
      <c r="AP162" s="666">
        <f>IFERROR(IF($AN162="","",HLOOKUP($AN162&amp;RIGHT($AL162,1),'input for formula'!$B$16:$I$20,3,0)),0)</f>
        <v>0</v>
      </c>
      <c r="AQ162" s="656">
        <f>IFERROR(IF($AN162="","",HLOOKUP($AN162&amp;$F162,'input for formula'!$B$22:$M$25,2,0)),0)</f>
        <v>0</v>
      </c>
      <c r="AR162" s="666">
        <f>IFERROR(IF($AN162="","",HLOOKUP($AN162&amp;RIGHT($AL162,1),'input for formula'!$B$16:$I$20,4,0)),0)</f>
        <v>0</v>
      </c>
      <c r="AS162" s="656">
        <f>IFERROR(IF($AN162="","",HLOOKUP($AN162&amp;$F162,'input for formula'!$B$22:$M$25,3,0)),0)</f>
        <v>0</v>
      </c>
      <c r="AT162" s="656">
        <f>IFERROR(IF($AN162="","",HLOOKUP($AN162&amp;RIGHT($AL162,1),'input for formula'!$B$16:$I$20,5,0)),0)</f>
        <v>0</v>
      </c>
      <c r="AU162" s="656">
        <f>IFERROR(IF($AN162="","",HLOOKUP($AN162&amp;$F162,'input for formula'!$B$22:$M$25,4,0)),0)</f>
        <v>0</v>
      </c>
      <c r="AV162" s="666">
        <f>IFERROR(IF($AN162="","",IF('Census Data'!$AN162="Abu Dhabi",VLOOKUP('Census Data'!$AM162,'input for formula'!$A$28:$C$41,3,0),VLOOKUP('Census Data'!$AM162,'input for formula'!$A$28:$C$47,2,0))),0)*IFERROR(1+IF(AN162="Dubai",VLOOKUP(F162,'Quotation for Dubai Plans'!$V$6:$X$12,3,FALSE),VLOOKUP(F162,'Quotation for Abu Dhabi Plans'!$W$6:$Y$12,3,FALSE)),0)</f>
        <v>0</v>
      </c>
      <c r="AW162" s="656" t="str">
        <f t="shared" si="98"/>
        <v/>
      </c>
      <c r="AX162" s="667" t="str">
        <f>IFERROR(IF(AL162="","",IF(AN162="Dubai",HLOOKUP((AL162&amp;AM162),Deviation!$B$7:$S$8,2,0)*BF162*BH162*BI162*BG162,HLOOKUP((AL162&amp;AM162),Deviation!$B$9:$O$10,2,0)*BF162*BH162*BI162*BG162)),0)</f>
        <v/>
      </c>
      <c r="AY162" s="668"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formula'!$M$3:$O$7,AO162,FALSE)))*AX162+AP162*AQ162+AR162*AS162+AT162*AU162),0)*$AZ$3*BK162*BJ162*IF(AND(Inputs!$C$19&gt;19,Inputs!$C$19&lt;30),(1+$AZ$2),1)*(1+$AZ$1))</f>
        <v/>
      </c>
      <c r="AZ162" s="148" t="str">
        <f t="shared" si="99"/>
        <v/>
      </c>
      <c r="BA162" s="669" t="str">
        <f>IF(F162="","",IF(AE162="Dubai",HLOOKUP(F162,Inputs!$C$26:$M$37,9,0),HLOOKUP(F162,Inputs!$C$45:$M$56,9,0)))</f>
        <v/>
      </c>
      <c r="BB162" s="670" t="str">
        <f>IF(F162="","",IF(AE162="Dubai",HLOOKUP(F162,Inputs!$C$26:$M$37,10,0),HLOOKUP(F162,Inputs!$C$45:$M$56,10,0)))</f>
        <v/>
      </c>
      <c r="BC162" s="670" t="str">
        <f>IF(F162="","",IF(AE162="Dubai",HLOOKUP(F162,Inputs!$C$26:$M$37,11,0),HLOOKUP(F162,Inputs!$C$45:$M$56,11,0)))</f>
        <v/>
      </c>
      <c r="BD162" s="669" t="str">
        <f>IF(F162="","",IF(AE162="Dubai",HLOOKUP(F162,Inputs!$C$26:$M$37,12,0),HLOOKUP(F162,Inputs!$C$45:$M$56,12,0)))</f>
        <v/>
      </c>
      <c r="BE162" s="654"/>
      <c r="BF162" s="669" t="str">
        <f>IFERROR(IF(AL162="","",IF(AN162="Dubai",IF(OR(AL162="Plan1",AL162="Plan2"),VLOOKUP(BA162,Deviation!$B$31:$D$33,2,FALSE),VLOOKUP(BA162,Deviation!$B$31:$D$33,3,FALSE)),IF(OR(AL162="Plan1",AL162="Plan2"),VLOOKUP(BA162,Deviation!$E$31:$AE$33,2,FALSE),VLOOKUP(BA162,Deviation!$E$31:$AE$33,3,FALSE)))),0)</f>
        <v/>
      </c>
      <c r="BG162" s="671" t="str">
        <f>IFERROR(IF(AL162="","",IF(AN162="Dubai",IF(AL162="Plan1",VLOOKUP(BB162,Deviation!$B$39:$C$40,2,FALSE),IF(AL162="Plan2",VLOOKUP(BB162,Deviation!$B$42:$C$43,2,FALSE),IF(AL162="Plan5",VLOOKUP(BB162,Deviation!$B$48:$C$49,2,FALSE),VLOOKUP(BB162,Deviation!$B$45:$C$46,2,FALSE)))),IF(AL162="Plan1",VLOOKUP(BB162,Deviation!$E$39:$F$40,2,FALSE),IF(AL162="Plan2",VLOOKUP(BB162,Deviation!$E$42:$F$43,2,FALSE),VLOOKUP(BB162,Deviation!$E$45:$F$46,2,FALSE))))),0)</f>
        <v/>
      </c>
      <c r="BH162" s="671" t="str">
        <f>IFERROR(IF(AL162="","",IF(AN162="Dubai",IF(OR(AL162="Plan1",AL162="Plan2"),VLOOKUP(BC162,Deviation!$B$15:$D$19,2,FALSE),VLOOKUP(BC162,Deviation!$B$15:$D$19,3,FALSE)),IF(OR(AL162="Plan1",AL162="Plan2"),VLOOKUP(BC162,Deviation!$E$15:$AE$19,2,FALSE),VLOOKUP(BC162,Deviation!$E$15:$AE$19,3,FALSE)))),0)</f>
        <v/>
      </c>
      <c r="BI162" s="669" t="str">
        <f>IFERROR(IF(AL162="","",IF(AN162="Dubai",VLOOKUP(BD162,Deviation!$B$24:$C$26,2,FALSE),100%)),0)</f>
        <v/>
      </c>
      <c r="BJ162" s="672">
        <f>IF(AE162="Abu Dhabi",1,IFERROR(VLOOKUP(AM162,Deviation!$B$67:$E$79,MATCH('Census Data'!AA162,Deviation!$B$66:$E$66,0),0),1))</f>
        <v>1</v>
      </c>
      <c r="BK162" s="659">
        <f>IFERROR(VLOOKUP(I162,Deviation!$B$54:$C$62,2,0),1)</f>
        <v>1</v>
      </c>
      <c r="BL162" s="148"/>
      <c r="BM162" s="148"/>
      <c r="BN162" s="148"/>
      <c r="BO162" s="148"/>
      <c r="BP162" s="148"/>
      <c r="BQ162" s="148"/>
      <c r="BR162" s="148"/>
      <c r="BS162" s="148"/>
      <c r="BT162" s="148" t="e">
        <f t="shared" si="85"/>
        <v>#VALUE!</v>
      </c>
      <c r="BU162"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f>
        <v/>
      </c>
    </row>
    <row r="163" spans="1:73" ht="15" x14ac:dyDescent="0.25">
      <c r="A163" s="59">
        <v>158</v>
      </c>
      <c r="B163" s="470"/>
      <c r="C163" s="628"/>
      <c r="D163" s="629"/>
      <c r="E163" s="471"/>
      <c r="F163" s="298"/>
      <c r="G163" s="298"/>
      <c r="H163" s="298"/>
      <c r="I163" s="298"/>
      <c r="J163" s="80" t="str">
        <f>IFERROR(IF(C163="","",DATEDIF('Census Data'!C163,eff_date,"y")),"")</f>
        <v/>
      </c>
      <c r="K163" s="59" t="str">
        <f>IF(F163="","",IF(AE163="Dubai",HLOOKUP(F163,Inputs!$C$26:$M$28,3,0),HLOOKUP(F163,Inputs!$C$45:$M$46,2,0)))</f>
        <v/>
      </c>
      <c r="L163" s="94"/>
      <c r="M163" s="105">
        <f t="shared" si="87"/>
        <v>0</v>
      </c>
      <c r="N163" s="654" t="b">
        <f t="shared" si="88"/>
        <v>0</v>
      </c>
      <c r="O163" s="655" t="str">
        <f t="shared" si="89"/>
        <v>x</v>
      </c>
      <c r="P163" s="655" t="str">
        <f t="shared" si="90"/>
        <v>x</v>
      </c>
      <c r="Q163" s="655" t="str">
        <f t="shared" si="91"/>
        <v>x</v>
      </c>
      <c r="R163" s="655" t="str">
        <f t="shared" si="100"/>
        <v>x</v>
      </c>
      <c r="S163" s="655" t="str">
        <f t="shared" si="92"/>
        <v>x</v>
      </c>
      <c r="T163" s="655" t="str">
        <f>IF(ISERROR(MATCH(G163,'Inputs Mapping'!$T$4:$T$10,0)),"x","")</f>
        <v>x</v>
      </c>
      <c r="U163" s="655" t="str">
        <f>IF(ISERROR(MATCH(AA163,'Inputs Mapping'!$U$4:$U$5,0)),"x","")</f>
        <v>x</v>
      </c>
      <c r="V163" s="655" t="str">
        <f>IF(ISERROR(MATCH(AB163,'Inputs Mapping'!$V$4:$V$5,0)),"x","")</f>
        <v>x</v>
      </c>
      <c r="W163" s="655" t="str">
        <f>IF(ISERROR(MATCH(F163,'Inputs Mapping'!$W$4:$W$8,0)),"x","")</f>
        <v>x</v>
      </c>
      <c r="X163" s="655" t="str">
        <f t="shared" si="93"/>
        <v/>
      </c>
      <c r="Y163" s="655" t="str">
        <f t="shared" si="94"/>
        <v/>
      </c>
      <c r="Z163" s="655" t="str">
        <f t="shared" si="95"/>
        <v/>
      </c>
      <c r="AA163" s="655" t="str">
        <f t="shared" si="77"/>
        <v/>
      </c>
      <c r="AB163" s="655" t="str">
        <f t="shared" si="96"/>
        <v/>
      </c>
      <c r="AC163" s="655" t="str">
        <f t="shared" si="86"/>
        <v>x</v>
      </c>
      <c r="AD163" s="655" t="str">
        <f>IF(ISBLANK(I163),"x",IF(ISNUMBER(MATCH(I163,'Inputs Mapping'!$AF$5:$AF$199,0)),"","x"))</f>
        <v>x</v>
      </c>
      <c r="AE163" s="655" t="str">
        <f t="shared" si="80"/>
        <v/>
      </c>
      <c r="AF163" s="148"/>
      <c r="AG163" s="148"/>
      <c r="AH163" s="148" t="str">
        <f t="shared" si="81"/>
        <v/>
      </c>
      <c r="AI163" s="654" t="str">
        <f>IF(J163="","",VLOOKUP(J163,'Inputs Mapping'!$T$27:$V$31,3))</f>
        <v/>
      </c>
      <c r="AJ163" s="654" t="str">
        <f>IF(J163="","",VLOOKUP(J163,'Inputs Mapping'!$T$17:$V$24,3))</f>
        <v/>
      </c>
      <c r="AK163" s="654" t="str">
        <f t="shared" si="82"/>
        <v/>
      </c>
      <c r="AL163" s="655" t="str">
        <f t="shared" si="97"/>
        <v/>
      </c>
      <c r="AM163" s="655" t="str">
        <f>IF(F163="","",IF(AE163="Dubai",HLOOKUP(F163,Inputs!$C$26:$M$36,5,0),HLOOKUP(F163,Inputs!$C$45:$M$49,5,0)))</f>
        <v/>
      </c>
      <c r="AN163" s="655">
        <f t="shared" si="83"/>
        <v>0</v>
      </c>
      <c r="AO163" s="654" t="str">
        <f>IF(AJ163="","",IF(AN163="Dubai",VLOOKUP(AJ163,'Inputs Mapping'!$V$17:$W$24,2,0),VLOOKUP(AI163,'Inputs Mapping'!$V$27:$W$31,2,0)))</f>
        <v/>
      </c>
      <c r="AP163" s="666">
        <f>IFERROR(IF($AN163="","",HLOOKUP($AN163&amp;RIGHT($AL163,1),'input for formula'!$B$16:$I$20,3,0)),0)</f>
        <v>0</v>
      </c>
      <c r="AQ163" s="656">
        <f>IFERROR(IF($AN163="","",HLOOKUP($AN163&amp;$F163,'input for formula'!$B$22:$M$25,2,0)),0)</f>
        <v>0</v>
      </c>
      <c r="AR163" s="666">
        <f>IFERROR(IF($AN163="","",HLOOKUP($AN163&amp;RIGHT($AL163,1),'input for formula'!$B$16:$I$20,4,0)),0)</f>
        <v>0</v>
      </c>
      <c r="AS163" s="656">
        <f>IFERROR(IF($AN163="","",HLOOKUP($AN163&amp;$F163,'input for formula'!$B$22:$M$25,3,0)),0)</f>
        <v>0</v>
      </c>
      <c r="AT163" s="656">
        <f>IFERROR(IF($AN163="","",HLOOKUP($AN163&amp;RIGHT($AL163,1),'input for formula'!$B$16:$I$20,5,0)),0)</f>
        <v>0</v>
      </c>
      <c r="AU163" s="656">
        <f>IFERROR(IF($AN163="","",HLOOKUP($AN163&amp;$F163,'input for formula'!$B$22:$M$25,4,0)),0)</f>
        <v>0</v>
      </c>
      <c r="AV163" s="666">
        <f>IFERROR(IF($AN163="","",IF('Census Data'!$AN163="Abu Dhabi",VLOOKUP('Census Data'!$AM163,'input for formula'!$A$28:$C$41,3,0),VLOOKUP('Census Data'!$AM163,'input for formula'!$A$28:$C$47,2,0))),0)*IFERROR(1+IF(AN163="Dubai",VLOOKUP(F163,'Quotation for Dubai Plans'!$V$6:$X$12,3,FALSE),VLOOKUP(F163,'Quotation for Abu Dhabi Plans'!$W$6:$Y$12,3,FALSE)),0)</f>
        <v>0</v>
      </c>
      <c r="AW163" s="656" t="str">
        <f t="shared" si="98"/>
        <v/>
      </c>
      <c r="AX163" s="667" t="str">
        <f>IFERROR(IF(AL163="","",IF(AN163="Dubai",HLOOKUP((AL163&amp;AM163),Deviation!$B$7:$S$8,2,0)*BF163*BH163*BI163*BG163,HLOOKUP((AL163&amp;AM163),Deviation!$B$9:$O$10,2,0)*BF163*BH163*BI163*BG163)),0)</f>
        <v/>
      </c>
      <c r="AY163" s="668"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formula'!$M$3:$O$7,AO163,FALSE)))*AX163+AP163*AQ163+AR163*AS163+AT163*AU163),0)*$AZ$3*BK163*BJ163*IF(AND(Inputs!$C$19&gt;19,Inputs!$C$19&lt;30),(1+$AZ$2),1)*(1+$AZ$1))</f>
        <v/>
      </c>
      <c r="AZ163" s="148" t="str">
        <f t="shared" si="99"/>
        <v/>
      </c>
      <c r="BA163" s="669" t="str">
        <f>IF(F163="","",IF(AE163="Dubai",HLOOKUP(F163,Inputs!$C$26:$M$37,9,0),HLOOKUP(F163,Inputs!$C$45:$M$56,9,0)))</f>
        <v/>
      </c>
      <c r="BB163" s="670" t="str">
        <f>IF(F163="","",IF(AE163="Dubai",HLOOKUP(F163,Inputs!$C$26:$M$37,10,0),HLOOKUP(F163,Inputs!$C$45:$M$56,10,0)))</f>
        <v/>
      </c>
      <c r="BC163" s="670" t="str">
        <f>IF(F163="","",IF(AE163="Dubai",HLOOKUP(F163,Inputs!$C$26:$M$37,11,0),HLOOKUP(F163,Inputs!$C$45:$M$56,11,0)))</f>
        <v/>
      </c>
      <c r="BD163" s="669" t="str">
        <f>IF(F163="","",IF(AE163="Dubai",HLOOKUP(F163,Inputs!$C$26:$M$37,12,0),HLOOKUP(F163,Inputs!$C$45:$M$56,12,0)))</f>
        <v/>
      </c>
      <c r="BE163" s="654"/>
      <c r="BF163" s="669" t="str">
        <f>IFERROR(IF(AL163="","",IF(AN163="Dubai",IF(OR(AL163="Plan1",AL163="Plan2"),VLOOKUP(BA163,Deviation!$B$31:$D$33,2,FALSE),VLOOKUP(BA163,Deviation!$B$31:$D$33,3,FALSE)),IF(OR(AL163="Plan1",AL163="Plan2"),VLOOKUP(BA163,Deviation!$E$31:$AE$33,2,FALSE),VLOOKUP(BA163,Deviation!$E$31:$AE$33,3,FALSE)))),0)</f>
        <v/>
      </c>
      <c r="BG163" s="671" t="str">
        <f>IFERROR(IF(AL163="","",IF(AN163="Dubai",IF(AL163="Plan1",VLOOKUP(BB163,Deviation!$B$39:$C$40,2,FALSE),IF(AL163="Plan2",VLOOKUP(BB163,Deviation!$B$42:$C$43,2,FALSE),IF(AL163="Plan5",VLOOKUP(BB163,Deviation!$B$48:$C$49,2,FALSE),VLOOKUP(BB163,Deviation!$B$45:$C$46,2,FALSE)))),IF(AL163="Plan1",VLOOKUP(BB163,Deviation!$E$39:$F$40,2,FALSE),IF(AL163="Plan2",VLOOKUP(BB163,Deviation!$E$42:$F$43,2,FALSE),VLOOKUP(BB163,Deviation!$E$45:$F$46,2,FALSE))))),0)</f>
        <v/>
      </c>
      <c r="BH163" s="671" t="str">
        <f>IFERROR(IF(AL163="","",IF(AN163="Dubai",IF(OR(AL163="Plan1",AL163="Plan2"),VLOOKUP(BC163,Deviation!$B$15:$D$19,2,FALSE),VLOOKUP(BC163,Deviation!$B$15:$D$19,3,FALSE)),IF(OR(AL163="Plan1",AL163="Plan2"),VLOOKUP(BC163,Deviation!$E$15:$AE$19,2,FALSE),VLOOKUP(BC163,Deviation!$E$15:$AE$19,3,FALSE)))),0)</f>
        <v/>
      </c>
      <c r="BI163" s="669" t="str">
        <f>IFERROR(IF(AL163="","",IF(AN163="Dubai",VLOOKUP(BD163,Deviation!$B$24:$C$26,2,FALSE),100%)),0)</f>
        <v/>
      </c>
      <c r="BJ163" s="672">
        <f>IF(AE163="Abu Dhabi",1,IFERROR(VLOOKUP(AM163,Deviation!$B$67:$E$79,MATCH('Census Data'!AA163,Deviation!$B$66:$E$66,0),0),1))</f>
        <v>1</v>
      </c>
      <c r="BK163" s="659">
        <f>IFERROR(VLOOKUP(I163,Deviation!$B$54:$C$62,2,0),1)</f>
        <v>1</v>
      </c>
      <c r="BL163" s="148"/>
      <c r="BM163" s="148"/>
      <c r="BN163" s="148"/>
      <c r="BO163" s="148"/>
      <c r="BP163" s="148"/>
      <c r="BQ163" s="148"/>
      <c r="BR163" s="148"/>
      <c r="BS163" s="148"/>
      <c r="BT163" s="148" t="e">
        <f t="shared" si="85"/>
        <v>#VALUE!</v>
      </c>
      <c r="BU163"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f>
        <v/>
      </c>
    </row>
    <row r="164" spans="1:73" ht="15" x14ac:dyDescent="0.25">
      <c r="A164" s="59">
        <v>159</v>
      </c>
      <c r="B164" s="470"/>
      <c r="C164" s="628"/>
      <c r="D164" s="629"/>
      <c r="E164" s="471"/>
      <c r="F164" s="298"/>
      <c r="G164" s="298"/>
      <c r="H164" s="298"/>
      <c r="I164" s="298"/>
      <c r="J164" s="80" t="str">
        <f>IFERROR(IF(C164="","",DATEDIF('Census Data'!C164,eff_date,"y")),"")</f>
        <v/>
      </c>
      <c r="K164" s="59" t="str">
        <f>IF(F164="","",IF(AE164="Dubai",HLOOKUP(F164,Inputs!$C$26:$M$28,3,0),HLOOKUP(F164,Inputs!$C$45:$M$46,2,0)))</f>
        <v/>
      </c>
      <c r="L164" s="94"/>
      <c r="M164" s="105">
        <f t="shared" si="87"/>
        <v>0</v>
      </c>
      <c r="N164" s="654" t="b">
        <f t="shared" si="88"/>
        <v>0</v>
      </c>
      <c r="O164" s="655" t="str">
        <f t="shared" si="89"/>
        <v>x</v>
      </c>
      <c r="P164" s="655" t="str">
        <f t="shared" si="90"/>
        <v>x</v>
      </c>
      <c r="Q164" s="655" t="str">
        <f t="shared" si="91"/>
        <v>x</v>
      </c>
      <c r="R164" s="655" t="str">
        <f t="shared" si="100"/>
        <v>x</v>
      </c>
      <c r="S164" s="655" t="str">
        <f t="shared" si="92"/>
        <v>x</v>
      </c>
      <c r="T164" s="655" t="str">
        <f>IF(ISERROR(MATCH(G164,'Inputs Mapping'!$T$4:$T$10,0)),"x","")</f>
        <v>x</v>
      </c>
      <c r="U164" s="655" t="str">
        <f>IF(ISERROR(MATCH(AA164,'Inputs Mapping'!$U$4:$U$5,0)),"x","")</f>
        <v>x</v>
      </c>
      <c r="V164" s="655" t="str">
        <f>IF(ISERROR(MATCH(AB164,'Inputs Mapping'!$V$4:$V$5,0)),"x","")</f>
        <v>x</v>
      </c>
      <c r="W164" s="655" t="str">
        <f>IF(ISERROR(MATCH(F164,'Inputs Mapping'!$W$4:$W$8,0)),"x","")</f>
        <v>x</v>
      </c>
      <c r="X164" s="655" t="str">
        <f t="shared" si="93"/>
        <v/>
      </c>
      <c r="Y164" s="655" t="str">
        <f t="shared" si="94"/>
        <v/>
      </c>
      <c r="Z164" s="655" t="str">
        <f t="shared" si="95"/>
        <v/>
      </c>
      <c r="AA164" s="655" t="str">
        <f t="shared" si="77"/>
        <v/>
      </c>
      <c r="AB164" s="655" t="str">
        <f t="shared" si="96"/>
        <v/>
      </c>
      <c r="AC164" s="655" t="str">
        <f t="shared" si="86"/>
        <v>x</v>
      </c>
      <c r="AD164" s="655" t="str">
        <f>IF(ISBLANK(I164),"x",IF(ISNUMBER(MATCH(I164,'Inputs Mapping'!$AF$5:$AF$199,0)),"","x"))</f>
        <v>x</v>
      </c>
      <c r="AE164" s="655" t="str">
        <f t="shared" si="80"/>
        <v/>
      </c>
      <c r="AF164" s="148"/>
      <c r="AG164" s="148"/>
      <c r="AH164" s="148" t="str">
        <f t="shared" si="81"/>
        <v/>
      </c>
      <c r="AI164" s="654" t="str">
        <f>IF(J164="","",VLOOKUP(J164,'Inputs Mapping'!$T$27:$V$31,3))</f>
        <v/>
      </c>
      <c r="AJ164" s="654" t="str">
        <f>IF(J164="","",VLOOKUP(J164,'Inputs Mapping'!$T$17:$V$24,3))</f>
        <v/>
      </c>
      <c r="AK164" s="654" t="str">
        <f t="shared" si="82"/>
        <v/>
      </c>
      <c r="AL164" s="655" t="str">
        <f t="shared" si="97"/>
        <v/>
      </c>
      <c r="AM164" s="655" t="str">
        <f>IF(F164="","",IF(AE164="Dubai",HLOOKUP(F164,Inputs!$C$26:$M$36,5,0),HLOOKUP(F164,Inputs!$C$45:$M$49,5,0)))</f>
        <v/>
      </c>
      <c r="AN164" s="655">
        <f t="shared" si="83"/>
        <v>0</v>
      </c>
      <c r="AO164" s="654" t="str">
        <f>IF(AJ164="","",IF(AN164="Dubai",VLOOKUP(AJ164,'Inputs Mapping'!$V$17:$W$24,2,0),VLOOKUP(AI164,'Inputs Mapping'!$V$27:$W$31,2,0)))</f>
        <v/>
      </c>
      <c r="AP164" s="666">
        <f>IFERROR(IF($AN164="","",HLOOKUP($AN164&amp;RIGHT($AL164,1),'input for formula'!$B$16:$I$20,3,0)),0)</f>
        <v>0</v>
      </c>
      <c r="AQ164" s="656">
        <f>IFERROR(IF($AN164="","",HLOOKUP($AN164&amp;$F164,'input for formula'!$B$22:$M$25,2,0)),0)</f>
        <v>0</v>
      </c>
      <c r="AR164" s="666">
        <f>IFERROR(IF($AN164="","",HLOOKUP($AN164&amp;RIGHT($AL164,1),'input for formula'!$B$16:$I$20,4,0)),0)</f>
        <v>0</v>
      </c>
      <c r="AS164" s="656">
        <f>IFERROR(IF($AN164="","",HLOOKUP($AN164&amp;$F164,'input for formula'!$B$22:$M$25,3,0)),0)</f>
        <v>0</v>
      </c>
      <c r="AT164" s="656">
        <f>IFERROR(IF($AN164="","",HLOOKUP($AN164&amp;RIGHT($AL164,1),'input for formula'!$B$16:$I$20,5,0)),0)</f>
        <v>0</v>
      </c>
      <c r="AU164" s="656">
        <f>IFERROR(IF($AN164="","",HLOOKUP($AN164&amp;$F164,'input for formula'!$B$22:$M$25,4,0)),0)</f>
        <v>0</v>
      </c>
      <c r="AV164" s="666">
        <f>IFERROR(IF($AN164="","",IF('Census Data'!$AN164="Abu Dhabi",VLOOKUP('Census Data'!$AM164,'input for formula'!$A$28:$C$41,3,0),VLOOKUP('Census Data'!$AM164,'input for formula'!$A$28:$C$47,2,0))),0)*IFERROR(1+IF(AN164="Dubai",VLOOKUP(F164,'Quotation for Dubai Plans'!$V$6:$X$12,3,FALSE),VLOOKUP(F164,'Quotation for Abu Dhabi Plans'!$W$6:$Y$12,3,FALSE)),0)</f>
        <v>0</v>
      </c>
      <c r="AW164" s="656" t="str">
        <f t="shared" si="98"/>
        <v/>
      </c>
      <c r="AX164" s="667" t="str">
        <f>IFERROR(IF(AL164="","",IF(AN164="Dubai",HLOOKUP((AL164&amp;AM164),Deviation!$B$7:$S$8,2,0)*BF164*BH164*BI164*BG164,HLOOKUP((AL164&amp;AM164),Deviation!$B$9:$O$10,2,0)*BF164*BH164*BI164*BG164)),0)</f>
        <v/>
      </c>
      <c r="AY164" s="668"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formula'!$M$3:$O$7,AO164,FALSE)))*AX164+AP164*AQ164+AR164*AS164+AT164*AU164),0)*$AZ$3*BK164*BJ164*IF(AND(Inputs!$C$19&gt;19,Inputs!$C$19&lt;30),(1+$AZ$2),1)*(1+$AZ$1))</f>
        <v/>
      </c>
      <c r="AZ164" s="148" t="str">
        <f t="shared" si="99"/>
        <v/>
      </c>
      <c r="BA164" s="669" t="str">
        <f>IF(F164="","",IF(AE164="Dubai",HLOOKUP(F164,Inputs!$C$26:$M$37,9,0),HLOOKUP(F164,Inputs!$C$45:$M$56,9,0)))</f>
        <v/>
      </c>
      <c r="BB164" s="670" t="str">
        <f>IF(F164="","",IF(AE164="Dubai",HLOOKUP(F164,Inputs!$C$26:$M$37,10,0),HLOOKUP(F164,Inputs!$C$45:$M$56,10,0)))</f>
        <v/>
      </c>
      <c r="BC164" s="670" t="str">
        <f>IF(F164="","",IF(AE164="Dubai",HLOOKUP(F164,Inputs!$C$26:$M$37,11,0),HLOOKUP(F164,Inputs!$C$45:$M$56,11,0)))</f>
        <v/>
      </c>
      <c r="BD164" s="669" t="str">
        <f>IF(F164="","",IF(AE164="Dubai",HLOOKUP(F164,Inputs!$C$26:$M$37,12,0),HLOOKUP(F164,Inputs!$C$45:$M$56,12,0)))</f>
        <v/>
      </c>
      <c r="BE164" s="654"/>
      <c r="BF164" s="669" t="str">
        <f>IFERROR(IF(AL164="","",IF(AN164="Dubai",IF(OR(AL164="Plan1",AL164="Plan2"),VLOOKUP(BA164,Deviation!$B$31:$D$33,2,FALSE),VLOOKUP(BA164,Deviation!$B$31:$D$33,3,FALSE)),IF(OR(AL164="Plan1",AL164="Plan2"),VLOOKUP(BA164,Deviation!$E$31:$AE$33,2,FALSE),VLOOKUP(BA164,Deviation!$E$31:$AE$33,3,FALSE)))),0)</f>
        <v/>
      </c>
      <c r="BG164" s="671" t="str">
        <f>IFERROR(IF(AL164="","",IF(AN164="Dubai",IF(AL164="Plan1",VLOOKUP(BB164,Deviation!$B$39:$C$40,2,FALSE),IF(AL164="Plan2",VLOOKUP(BB164,Deviation!$B$42:$C$43,2,FALSE),IF(AL164="Plan5",VLOOKUP(BB164,Deviation!$B$48:$C$49,2,FALSE),VLOOKUP(BB164,Deviation!$B$45:$C$46,2,FALSE)))),IF(AL164="Plan1",VLOOKUP(BB164,Deviation!$E$39:$F$40,2,FALSE),IF(AL164="Plan2",VLOOKUP(BB164,Deviation!$E$42:$F$43,2,FALSE),VLOOKUP(BB164,Deviation!$E$45:$F$46,2,FALSE))))),0)</f>
        <v/>
      </c>
      <c r="BH164" s="671" t="str">
        <f>IFERROR(IF(AL164="","",IF(AN164="Dubai",IF(OR(AL164="Plan1",AL164="Plan2"),VLOOKUP(BC164,Deviation!$B$15:$D$19,2,FALSE),VLOOKUP(BC164,Deviation!$B$15:$D$19,3,FALSE)),IF(OR(AL164="Plan1",AL164="Plan2"),VLOOKUP(BC164,Deviation!$E$15:$AE$19,2,FALSE),VLOOKUP(BC164,Deviation!$E$15:$AE$19,3,FALSE)))),0)</f>
        <v/>
      </c>
      <c r="BI164" s="669" t="str">
        <f>IFERROR(IF(AL164="","",IF(AN164="Dubai",VLOOKUP(BD164,Deviation!$B$24:$C$26,2,FALSE),100%)),0)</f>
        <v/>
      </c>
      <c r="BJ164" s="672">
        <f>IF(AE164="Abu Dhabi",1,IFERROR(VLOOKUP(AM164,Deviation!$B$67:$E$79,MATCH('Census Data'!AA164,Deviation!$B$66:$E$66,0),0),1))</f>
        <v>1</v>
      </c>
      <c r="BK164" s="659">
        <f>IFERROR(VLOOKUP(I164,Deviation!$B$54:$C$62,2,0),1)</f>
        <v>1</v>
      </c>
      <c r="BL164" s="148"/>
      <c r="BM164" s="148"/>
      <c r="BN164" s="148"/>
      <c r="BO164" s="148"/>
      <c r="BP164" s="148"/>
      <c r="BQ164" s="148"/>
      <c r="BR164" s="148"/>
      <c r="BS164" s="148"/>
      <c r="BT164" s="148" t="e">
        <f t="shared" si="85"/>
        <v>#VALUE!</v>
      </c>
      <c r="BU164"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f>
        <v/>
      </c>
    </row>
    <row r="165" spans="1:73" ht="15" x14ac:dyDescent="0.25">
      <c r="A165" s="59">
        <v>160</v>
      </c>
      <c r="B165" s="470"/>
      <c r="C165" s="628"/>
      <c r="D165" s="629"/>
      <c r="E165" s="471"/>
      <c r="F165" s="298"/>
      <c r="G165" s="298"/>
      <c r="H165" s="298"/>
      <c r="I165" s="298"/>
      <c r="J165" s="80" t="str">
        <f>IFERROR(IF(C165="","",DATEDIF('Census Data'!C165,eff_date,"y")),"")</f>
        <v/>
      </c>
      <c r="K165" s="59" t="str">
        <f>IF(F165="","",IF(AE165="Dubai",HLOOKUP(F165,Inputs!$C$26:$M$28,3,0),HLOOKUP(F165,Inputs!$C$45:$M$46,2,0)))</f>
        <v/>
      </c>
      <c r="L165" s="94"/>
      <c r="M165" s="105">
        <f t="shared" si="87"/>
        <v>0</v>
      </c>
      <c r="N165" s="654" t="b">
        <f t="shared" si="88"/>
        <v>0</v>
      </c>
      <c r="O165" s="655" t="str">
        <f t="shared" si="89"/>
        <v>x</v>
      </c>
      <c r="P165" s="655" t="str">
        <f t="shared" si="90"/>
        <v>x</v>
      </c>
      <c r="Q165" s="655" t="str">
        <f t="shared" si="91"/>
        <v>x</v>
      </c>
      <c r="R165" s="655" t="str">
        <f t="shared" si="100"/>
        <v>x</v>
      </c>
      <c r="S165" s="655" t="str">
        <f t="shared" si="92"/>
        <v>x</v>
      </c>
      <c r="T165" s="655" t="str">
        <f>IF(ISERROR(MATCH(G165,'Inputs Mapping'!$T$4:$T$10,0)),"x","")</f>
        <v>x</v>
      </c>
      <c r="U165" s="655" t="str">
        <f>IF(ISERROR(MATCH(AA165,'Inputs Mapping'!$U$4:$U$5,0)),"x","")</f>
        <v>x</v>
      </c>
      <c r="V165" s="655" t="str">
        <f>IF(ISERROR(MATCH(AB165,'Inputs Mapping'!$V$4:$V$5,0)),"x","")</f>
        <v>x</v>
      </c>
      <c r="W165" s="655" t="str">
        <f>IF(ISERROR(MATCH(F165,'Inputs Mapping'!$W$4:$W$8,0)),"x","")</f>
        <v>x</v>
      </c>
      <c r="X165" s="655" t="str">
        <f t="shared" si="93"/>
        <v/>
      </c>
      <c r="Y165" s="655" t="str">
        <f t="shared" si="94"/>
        <v/>
      </c>
      <c r="Z165" s="655" t="str">
        <f t="shared" si="95"/>
        <v/>
      </c>
      <c r="AA165" s="655" t="str">
        <f t="shared" si="77"/>
        <v/>
      </c>
      <c r="AB165" s="655" t="str">
        <f t="shared" si="96"/>
        <v/>
      </c>
      <c r="AC165" s="655" t="str">
        <f t="shared" si="86"/>
        <v>x</v>
      </c>
      <c r="AD165" s="655" t="str">
        <f>IF(ISBLANK(I165),"x",IF(ISNUMBER(MATCH(I165,'Inputs Mapping'!$AF$5:$AF$199,0)),"","x"))</f>
        <v>x</v>
      </c>
      <c r="AE165" s="655" t="str">
        <f t="shared" si="80"/>
        <v/>
      </c>
      <c r="AF165" s="148"/>
      <c r="AG165" s="148"/>
      <c r="AH165" s="148" t="str">
        <f t="shared" si="81"/>
        <v/>
      </c>
      <c r="AI165" s="654" t="str">
        <f>IF(J165="","",VLOOKUP(J165,'Inputs Mapping'!$T$27:$V$31,3))</f>
        <v/>
      </c>
      <c r="AJ165" s="654" t="str">
        <f>IF(J165="","",VLOOKUP(J165,'Inputs Mapping'!$T$17:$V$24,3))</f>
        <v/>
      </c>
      <c r="AK165" s="654" t="str">
        <f t="shared" si="82"/>
        <v/>
      </c>
      <c r="AL165" s="655" t="str">
        <f t="shared" si="97"/>
        <v/>
      </c>
      <c r="AM165" s="655" t="str">
        <f>IF(F165="","",IF(AE165="Dubai",HLOOKUP(F165,Inputs!$C$26:$M$36,5,0),HLOOKUP(F165,Inputs!$C$45:$M$49,5,0)))</f>
        <v/>
      </c>
      <c r="AN165" s="655">
        <f t="shared" si="83"/>
        <v>0</v>
      </c>
      <c r="AO165" s="654" t="str">
        <f>IF(AJ165="","",IF(AN165="Dubai",VLOOKUP(AJ165,'Inputs Mapping'!$V$17:$W$24,2,0),VLOOKUP(AI165,'Inputs Mapping'!$V$27:$W$31,2,0)))</f>
        <v/>
      </c>
      <c r="AP165" s="666">
        <f>IFERROR(IF($AN165="","",HLOOKUP($AN165&amp;RIGHT($AL165,1),'input for formula'!$B$16:$I$20,3,0)),0)</f>
        <v>0</v>
      </c>
      <c r="AQ165" s="656">
        <f>IFERROR(IF($AN165="","",HLOOKUP($AN165&amp;$F165,'input for formula'!$B$22:$M$25,2,0)),0)</f>
        <v>0</v>
      </c>
      <c r="AR165" s="666">
        <f>IFERROR(IF($AN165="","",HLOOKUP($AN165&amp;RIGHT($AL165,1),'input for formula'!$B$16:$I$20,4,0)),0)</f>
        <v>0</v>
      </c>
      <c r="AS165" s="656">
        <f>IFERROR(IF($AN165="","",HLOOKUP($AN165&amp;$F165,'input for formula'!$B$22:$M$25,3,0)),0)</f>
        <v>0</v>
      </c>
      <c r="AT165" s="656">
        <f>IFERROR(IF($AN165="","",HLOOKUP($AN165&amp;RIGHT($AL165,1),'input for formula'!$B$16:$I$20,5,0)),0)</f>
        <v>0</v>
      </c>
      <c r="AU165" s="656">
        <f>IFERROR(IF($AN165="","",HLOOKUP($AN165&amp;$F165,'input for formula'!$B$22:$M$25,4,0)),0)</f>
        <v>0</v>
      </c>
      <c r="AV165" s="666">
        <f>IFERROR(IF($AN165="","",IF('Census Data'!$AN165="Abu Dhabi",VLOOKUP('Census Data'!$AM165,'input for formula'!$A$28:$C$41,3,0),VLOOKUP('Census Data'!$AM165,'input for formula'!$A$28:$C$47,2,0))),0)*IFERROR(1+IF(AN165="Dubai",VLOOKUP(F165,'Quotation for Dubai Plans'!$V$6:$X$12,3,FALSE),VLOOKUP(F165,'Quotation for Abu Dhabi Plans'!$W$6:$Y$12,3,FALSE)),0)</f>
        <v>0</v>
      </c>
      <c r="AW165" s="656" t="str">
        <f t="shared" si="98"/>
        <v/>
      </c>
      <c r="AX165" s="667" t="str">
        <f>IFERROR(IF(AL165="","",IF(AN165="Dubai",HLOOKUP((AL165&amp;AM165),Deviation!$B$7:$S$8,2,0)*BF165*BH165*BI165*BG165,HLOOKUP((AL165&amp;AM165),Deviation!$B$9:$O$10,2,0)*BF165*BH165*BI165*BG165)),0)</f>
        <v/>
      </c>
      <c r="AY165" s="668"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formula'!$M$3:$O$7,AO165,FALSE)))*AX165+AP165*AQ165+AR165*AS165+AT165*AU165),0)*$AZ$3*BK165*BJ165*IF(AND(Inputs!$C$19&gt;19,Inputs!$C$19&lt;30),(1+$AZ$2),1)*(1+$AZ$1))</f>
        <v/>
      </c>
      <c r="AZ165" s="148" t="str">
        <f t="shared" si="99"/>
        <v/>
      </c>
      <c r="BA165" s="669" t="str">
        <f>IF(F165="","",IF(AE165="Dubai",HLOOKUP(F165,Inputs!$C$26:$M$37,9,0),HLOOKUP(F165,Inputs!$C$45:$M$56,9,0)))</f>
        <v/>
      </c>
      <c r="BB165" s="670" t="str">
        <f>IF(F165="","",IF(AE165="Dubai",HLOOKUP(F165,Inputs!$C$26:$M$37,10,0),HLOOKUP(F165,Inputs!$C$45:$M$56,10,0)))</f>
        <v/>
      </c>
      <c r="BC165" s="670" t="str">
        <f>IF(F165="","",IF(AE165="Dubai",HLOOKUP(F165,Inputs!$C$26:$M$37,11,0),HLOOKUP(F165,Inputs!$C$45:$M$56,11,0)))</f>
        <v/>
      </c>
      <c r="BD165" s="669" t="str">
        <f>IF(F165="","",IF(AE165="Dubai",HLOOKUP(F165,Inputs!$C$26:$M$37,12,0),HLOOKUP(F165,Inputs!$C$45:$M$56,12,0)))</f>
        <v/>
      </c>
      <c r="BE165" s="654"/>
      <c r="BF165" s="669" t="str">
        <f>IFERROR(IF(AL165="","",IF(AN165="Dubai",IF(OR(AL165="Plan1",AL165="Plan2"),VLOOKUP(BA165,Deviation!$B$31:$D$33,2,FALSE),VLOOKUP(BA165,Deviation!$B$31:$D$33,3,FALSE)),IF(OR(AL165="Plan1",AL165="Plan2"),VLOOKUP(BA165,Deviation!$E$31:$AE$33,2,FALSE),VLOOKUP(BA165,Deviation!$E$31:$AE$33,3,FALSE)))),0)</f>
        <v/>
      </c>
      <c r="BG165" s="671" t="str">
        <f>IFERROR(IF(AL165="","",IF(AN165="Dubai",IF(AL165="Plan1",VLOOKUP(BB165,Deviation!$B$39:$C$40,2,FALSE),IF(AL165="Plan2",VLOOKUP(BB165,Deviation!$B$42:$C$43,2,FALSE),IF(AL165="Plan5",VLOOKUP(BB165,Deviation!$B$48:$C$49,2,FALSE),VLOOKUP(BB165,Deviation!$B$45:$C$46,2,FALSE)))),IF(AL165="Plan1",VLOOKUP(BB165,Deviation!$E$39:$F$40,2,FALSE),IF(AL165="Plan2",VLOOKUP(BB165,Deviation!$E$42:$F$43,2,FALSE),VLOOKUP(BB165,Deviation!$E$45:$F$46,2,FALSE))))),0)</f>
        <v/>
      </c>
      <c r="BH165" s="671" t="str">
        <f>IFERROR(IF(AL165="","",IF(AN165="Dubai",IF(OR(AL165="Plan1",AL165="Plan2"),VLOOKUP(BC165,Deviation!$B$15:$D$19,2,FALSE),VLOOKUP(BC165,Deviation!$B$15:$D$19,3,FALSE)),IF(OR(AL165="Plan1",AL165="Plan2"),VLOOKUP(BC165,Deviation!$E$15:$AE$19,2,FALSE),VLOOKUP(BC165,Deviation!$E$15:$AE$19,3,FALSE)))),0)</f>
        <v/>
      </c>
      <c r="BI165" s="669" t="str">
        <f>IFERROR(IF(AL165="","",IF(AN165="Dubai",VLOOKUP(BD165,Deviation!$B$24:$C$26,2,FALSE),100%)),0)</f>
        <v/>
      </c>
      <c r="BJ165" s="672">
        <f>IF(AE165="Abu Dhabi",1,IFERROR(VLOOKUP(AM165,Deviation!$B$67:$E$79,MATCH('Census Data'!AA165,Deviation!$B$66:$E$66,0),0),1))</f>
        <v>1</v>
      </c>
      <c r="BK165" s="659">
        <f>IFERROR(VLOOKUP(I165,Deviation!$B$54:$C$62,2,0),1)</f>
        <v>1</v>
      </c>
      <c r="BL165" s="148"/>
      <c r="BM165" s="148"/>
      <c r="BN165" s="148"/>
      <c r="BO165" s="148"/>
      <c r="BP165" s="148"/>
      <c r="BQ165" s="148"/>
      <c r="BR165" s="148"/>
      <c r="BS165" s="148"/>
      <c r="BT165" s="148" t="e">
        <f t="shared" si="85"/>
        <v>#VALUE!</v>
      </c>
      <c r="BU165"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f>
        <v/>
      </c>
    </row>
    <row r="166" spans="1:73" ht="15" x14ac:dyDescent="0.25">
      <c r="A166" s="59">
        <v>161</v>
      </c>
      <c r="B166" s="470"/>
      <c r="C166" s="628"/>
      <c r="D166" s="629"/>
      <c r="E166" s="471"/>
      <c r="F166" s="298"/>
      <c r="G166" s="298"/>
      <c r="H166" s="298"/>
      <c r="I166" s="298"/>
      <c r="J166" s="80" t="str">
        <f>IFERROR(IF(C166="","",DATEDIF('Census Data'!C166,eff_date,"y")),"")</f>
        <v/>
      </c>
      <c r="K166" s="59" t="str">
        <f>IF(F166="","",IF(AE166="Dubai",HLOOKUP(F166,Inputs!$C$26:$M$28,3,0),HLOOKUP(F166,Inputs!$C$45:$M$46,2,0)))</f>
        <v/>
      </c>
      <c r="L166" s="94"/>
      <c r="M166" s="105">
        <f t="shared" si="87"/>
        <v>0</v>
      </c>
      <c r="N166" s="654" t="b">
        <f t="shared" si="88"/>
        <v>0</v>
      </c>
      <c r="O166" s="655" t="str">
        <f t="shared" si="89"/>
        <v>x</v>
      </c>
      <c r="P166" s="655" t="str">
        <f t="shared" si="90"/>
        <v>x</v>
      </c>
      <c r="Q166" s="655" t="str">
        <f t="shared" si="91"/>
        <v>x</v>
      </c>
      <c r="R166" s="655" t="str">
        <f t="shared" si="100"/>
        <v>x</v>
      </c>
      <c r="S166" s="655" t="str">
        <f t="shared" si="92"/>
        <v>x</v>
      </c>
      <c r="T166" s="655" t="str">
        <f>IF(ISERROR(MATCH(G166,'Inputs Mapping'!$T$4:$T$10,0)),"x","")</f>
        <v>x</v>
      </c>
      <c r="U166" s="655" t="str">
        <f>IF(ISERROR(MATCH(AA166,'Inputs Mapping'!$U$4:$U$5,0)),"x","")</f>
        <v>x</v>
      </c>
      <c r="V166" s="655" t="str">
        <f>IF(ISERROR(MATCH(AB166,'Inputs Mapping'!$V$4:$V$5,0)),"x","")</f>
        <v>x</v>
      </c>
      <c r="W166" s="655" t="str">
        <f>IF(ISERROR(MATCH(F166,'Inputs Mapping'!$W$4:$W$8,0)),"x","")</f>
        <v>x</v>
      </c>
      <c r="X166" s="655" t="str">
        <f t="shared" si="93"/>
        <v/>
      </c>
      <c r="Y166" s="655" t="str">
        <f t="shared" si="94"/>
        <v/>
      </c>
      <c r="Z166" s="655" t="str">
        <f t="shared" si="95"/>
        <v/>
      </c>
      <c r="AA166" s="655" t="str">
        <f t="shared" si="77"/>
        <v/>
      </c>
      <c r="AB166" s="655" t="str">
        <f t="shared" si="96"/>
        <v/>
      </c>
      <c r="AC166" s="655" t="str">
        <f t="shared" si="86"/>
        <v>x</v>
      </c>
      <c r="AD166" s="655" t="str">
        <f>IF(ISBLANK(I166),"x",IF(ISNUMBER(MATCH(I166,'Inputs Mapping'!$AF$5:$AF$199,0)),"","x"))</f>
        <v>x</v>
      </c>
      <c r="AE166" s="655" t="str">
        <f t="shared" si="80"/>
        <v/>
      </c>
      <c r="AF166" s="148"/>
      <c r="AG166" s="148"/>
      <c r="AH166" s="148" t="str">
        <f t="shared" si="81"/>
        <v/>
      </c>
      <c r="AI166" s="654" t="str">
        <f>IF(J166="","",VLOOKUP(J166,'Inputs Mapping'!$T$27:$V$31,3))</f>
        <v/>
      </c>
      <c r="AJ166" s="654" t="str">
        <f>IF(J166="","",VLOOKUP(J166,'Inputs Mapping'!$T$17:$V$24,3))</f>
        <v/>
      </c>
      <c r="AK166" s="654" t="str">
        <f t="shared" si="82"/>
        <v/>
      </c>
      <c r="AL166" s="655" t="str">
        <f t="shared" si="97"/>
        <v/>
      </c>
      <c r="AM166" s="655" t="str">
        <f>IF(F166="","",IF(AE166="Dubai",HLOOKUP(F166,Inputs!$C$26:$M$36,5,0),HLOOKUP(F166,Inputs!$C$45:$M$49,5,0)))</f>
        <v/>
      </c>
      <c r="AN166" s="655">
        <f t="shared" si="83"/>
        <v>0</v>
      </c>
      <c r="AO166" s="654" t="str">
        <f>IF(AJ166="","",IF(AN166="Dubai",VLOOKUP(AJ166,'Inputs Mapping'!$V$17:$W$24,2,0),VLOOKUP(AI166,'Inputs Mapping'!$V$27:$W$31,2,0)))</f>
        <v/>
      </c>
      <c r="AP166" s="666">
        <f>IFERROR(IF($AN166="","",HLOOKUP($AN166&amp;RIGHT($AL166,1),'input for formula'!$B$16:$I$20,3,0)),0)</f>
        <v>0</v>
      </c>
      <c r="AQ166" s="656">
        <f>IFERROR(IF($AN166="","",HLOOKUP($AN166&amp;$F166,'input for formula'!$B$22:$M$25,2,0)),0)</f>
        <v>0</v>
      </c>
      <c r="AR166" s="666">
        <f>IFERROR(IF($AN166="","",HLOOKUP($AN166&amp;RIGHT($AL166,1),'input for formula'!$B$16:$I$20,4,0)),0)</f>
        <v>0</v>
      </c>
      <c r="AS166" s="656">
        <f>IFERROR(IF($AN166="","",HLOOKUP($AN166&amp;$F166,'input for formula'!$B$22:$M$25,3,0)),0)</f>
        <v>0</v>
      </c>
      <c r="AT166" s="656">
        <f>IFERROR(IF($AN166="","",HLOOKUP($AN166&amp;RIGHT($AL166,1),'input for formula'!$B$16:$I$20,5,0)),0)</f>
        <v>0</v>
      </c>
      <c r="AU166" s="656">
        <f>IFERROR(IF($AN166="","",HLOOKUP($AN166&amp;$F166,'input for formula'!$B$22:$M$25,4,0)),0)</f>
        <v>0</v>
      </c>
      <c r="AV166" s="666">
        <f>IFERROR(IF($AN166="","",IF('Census Data'!$AN166="Abu Dhabi",VLOOKUP('Census Data'!$AM166,'input for formula'!$A$28:$C$41,3,0),VLOOKUP('Census Data'!$AM166,'input for formula'!$A$28:$C$47,2,0))),0)*IFERROR(1+IF(AN166="Dubai",VLOOKUP(F166,'Quotation for Dubai Plans'!$V$6:$X$12,3,FALSE),VLOOKUP(F166,'Quotation for Abu Dhabi Plans'!$W$6:$Y$12,3,FALSE)),0)</f>
        <v>0</v>
      </c>
      <c r="AW166" s="656" t="str">
        <f t="shared" si="98"/>
        <v/>
      </c>
      <c r="AX166" s="667" t="str">
        <f>IFERROR(IF(AL166="","",IF(AN166="Dubai",HLOOKUP((AL166&amp;AM166),Deviation!$B$7:$S$8,2,0)*BF166*BH166*BI166*BG166,HLOOKUP((AL166&amp;AM166),Deviation!$B$9:$O$10,2,0)*BF166*BH166*BI166*BG166)),0)</f>
        <v/>
      </c>
      <c r="AY166" s="668"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formula'!$M$3:$O$7,AO166,FALSE)))*AX166+AP166*AQ166+AR166*AS166+AT166*AU166),0)*$AZ$3*BK166*BJ166*IF(AND(Inputs!$C$19&gt;19,Inputs!$C$19&lt;30),(1+$AZ$2),1)*(1+$AZ$1))</f>
        <v/>
      </c>
      <c r="AZ166" s="148" t="str">
        <f t="shared" si="99"/>
        <v/>
      </c>
      <c r="BA166" s="669" t="str">
        <f>IF(F166="","",IF(AE166="Dubai",HLOOKUP(F166,Inputs!$C$26:$M$37,9,0),HLOOKUP(F166,Inputs!$C$45:$M$56,9,0)))</f>
        <v/>
      </c>
      <c r="BB166" s="670" t="str">
        <f>IF(F166="","",IF(AE166="Dubai",HLOOKUP(F166,Inputs!$C$26:$M$37,10,0),HLOOKUP(F166,Inputs!$C$45:$M$56,10,0)))</f>
        <v/>
      </c>
      <c r="BC166" s="670" t="str">
        <f>IF(F166="","",IF(AE166="Dubai",HLOOKUP(F166,Inputs!$C$26:$M$37,11,0),HLOOKUP(F166,Inputs!$C$45:$M$56,11,0)))</f>
        <v/>
      </c>
      <c r="BD166" s="669" t="str">
        <f>IF(F166="","",IF(AE166="Dubai",HLOOKUP(F166,Inputs!$C$26:$M$37,12,0),HLOOKUP(F166,Inputs!$C$45:$M$56,12,0)))</f>
        <v/>
      </c>
      <c r="BE166" s="654"/>
      <c r="BF166" s="669" t="str">
        <f>IFERROR(IF(AL166="","",IF(AN166="Dubai",IF(OR(AL166="Plan1",AL166="Plan2"),VLOOKUP(BA166,Deviation!$B$31:$D$33,2,FALSE),VLOOKUP(BA166,Deviation!$B$31:$D$33,3,FALSE)),IF(OR(AL166="Plan1",AL166="Plan2"),VLOOKUP(BA166,Deviation!$E$31:$AE$33,2,FALSE),VLOOKUP(BA166,Deviation!$E$31:$AE$33,3,FALSE)))),0)</f>
        <v/>
      </c>
      <c r="BG166" s="671" t="str">
        <f>IFERROR(IF(AL166="","",IF(AN166="Dubai",IF(AL166="Plan1",VLOOKUP(BB166,Deviation!$B$39:$C$40,2,FALSE),IF(AL166="Plan2",VLOOKUP(BB166,Deviation!$B$42:$C$43,2,FALSE),IF(AL166="Plan5",VLOOKUP(BB166,Deviation!$B$48:$C$49,2,FALSE),VLOOKUP(BB166,Deviation!$B$45:$C$46,2,FALSE)))),IF(AL166="Plan1",VLOOKUP(BB166,Deviation!$E$39:$F$40,2,FALSE),IF(AL166="Plan2",VLOOKUP(BB166,Deviation!$E$42:$F$43,2,FALSE),VLOOKUP(BB166,Deviation!$E$45:$F$46,2,FALSE))))),0)</f>
        <v/>
      </c>
      <c r="BH166" s="671" t="str">
        <f>IFERROR(IF(AL166="","",IF(AN166="Dubai",IF(OR(AL166="Plan1",AL166="Plan2"),VLOOKUP(BC166,Deviation!$B$15:$D$19,2,FALSE),VLOOKUP(BC166,Deviation!$B$15:$D$19,3,FALSE)),IF(OR(AL166="Plan1",AL166="Plan2"),VLOOKUP(BC166,Deviation!$E$15:$AE$19,2,FALSE),VLOOKUP(BC166,Deviation!$E$15:$AE$19,3,FALSE)))),0)</f>
        <v/>
      </c>
      <c r="BI166" s="669" t="str">
        <f>IFERROR(IF(AL166="","",IF(AN166="Dubai",VLOOKUP(BD166,Deviation!$B$24:$C$26,2,FALSE),100%)),0)</f>
        <v/>
      </c>
      <c r="BJ166" s="672">
        <f>IF(AE166="Abu Dhabi",1,IFERROR(VLOOKUP(AM166,Deviation!$B$67:$E$79,MATCH('Census Data'!AA166,Deviation!$B$66:$E$66,0),0),1))</f>
        <v>1</v>
      </c>
      <c r="BK166" s="659">
        <f>IFERROR(VLOOKUP(I166,Deviation!$B$54:$C$62,2,0),1)</f>
        <v>1</v>
      </c>
      <c r="BL166" s="148"/>
      <c r="BM166" s="148"/>
      <c r="BN166" s="148"/>
      <c r="BO166" s="148"/>
      <c r="BP166" s="148"/>
      <c r="BQ166" s="148"/>
      <c r="BR166" s="148"/>
      <c r="BS166" s="148"/>
      <c r="BT166" s="148" t="e">
        <f t="shared" si="85"/>
        <v>#VALUE!</v>
      </c>
      <c r="BU166"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f>
        <v/>
      </c>
    </row>
    <row r="167" spans="1:73" ht="15" x14ac:dyDescent="0.25">
      <c r="A167" s="59">
        <v>162</v>
      </c>
      <c r="B167" s="470"/>
      <c r="C167" s="628"/>
      <c r="D167" s="629"/>
      <c r="E167" s="471"/>
      <c r="F167" s="298"/>
      <c r="G167" s="298"/>
      <c r="H167" s="298"/>
      <c r="I167" s="298"/>
      <c r="J167" s="80" t="str">
        <f>IFERROR(IF(C167="","",DATEDIF('Census Data'!C167,eff_date,"y")),"")</f>
        <v/>
      </c>
      <c r="K167" s="59" t="str">
        <f>IF(F167="","",IF(AE167="Dubai",HLOOKUP(F167,Inputs!$C$26:$M$28,3,0),HLOOKUP(F167,Inputs!$C$45:$M$46,2,0)))</f>
        <v/>
      </c>
      <c r="L167" s="94"/>
      <c r="M167" s="105">
        <f t="shared" si="87"/>
        <v>0</v>
      </c>
      <c r="N167" s="654" t="b">
        <f t="shared" si="88"/>
        <v>0</v>
      </c>
      <c r="O167" s="655" t="str">
        <f t="shared" si="89"/>
        <v>x</v>
      </c>
      <c r="P167" s="655" t="str">
        <f t="shared" si="90"/>
        <v>x</v>
      </c>
      <c r="Q167" s="655" t="str">
        <f t="shared" si="91"/>
        <v>x</v>
      </c>
      <c r="R167" s="655" t="str">
        <f t="shared" si="100"/>
        <v>x</v>
      </c>
      <c r="S167" s="655" t="str">
        <f t="shared" si="92"/>
        <v>x</v>
      </c>
      <c r="T167" s="655" t="str">
        <f>IF(ISERROR(MATCH(G167,'Inputs Mapping'!$T$4:$T$10,0)),"x","")</f>
        <v>x</v>
      </c>
      <c r="U167" s="655" t="str">
        <f>IF(ISERROR(MATCH(AA167,'Inputs Mapping'!$U$4:$U$5,0)),"x","")</f>
        <v>x</v>
      </c>
      <c r="V167" s="655" t="str">
        <f>IF(ISERROR(MATCH(AB167,'Inputs Mapping'!$V$4:$V$5,0)),"x","")</f>
        <v>x</v>
      </c>
      <c r="W167" s="655" t="str">
        <f>IF(ISERROR(MATCH(F167,'Inputs Mapping'!$W$4:$W$8,0)),"x","")</f>
        <v>x</v>
      </c>
      <c r="X167" s="655" t="str">
        <f t="shared" si="93"/>
        <v/>
      </c>
      <c r="Y167" s="655" t="str">
        <f t="shared" si="94"/>
        <v/>
      </c>
      <c r="Z167" s="655" t="str">
        <f t="shared" si="95"/>
        <v/>
      </c>
      <c r="AA167" s="655" t="str">
        <f t="shared" si="77"/>
        <v/>
      </c>
      <c r="AB167" s="655" t="str">
        <f t="shared" si="96"/>
        <v/>
      </c>
      <c r="AC167" s="655" t="str">
        <f t="shared" si="86"/>
        <v>x</v>
      </c>
      <c r="AD167" s="655" t="str">
        <f>IF(ISBLANK(I167),"x",IF(ISNUMBER(MATCH(I167,'Inputs Mapping'!$AF$5:$AF$199,0)),"","x"))</f>
        <v>x</v>
      </c>
      <c r="AE167" s="655" t="str">
        <f t="shared" si="80"/>
        <v/>
      </c>
      <c r="AF167" s="148"/>
      <c r="AG167" s="148"/>
      <c r="AH167" s="148" t="str">
        <f t="shared" si="81"/>
        <v/>
      </c>
      <c r="AI167" s="654" t="str">
        <f>IF(J167="","",VLOOKUP(J167,'Inputs Mapping'!$T$27:$V$31,3))</f>
        <v/>
      </c>
      <c r="AJ167" s="654" t="str">
        <f>IF(J167="","",VLOOKUP(J167,'Inputs Mapping'!$T$17:$V$24,3))</f>
        <v/>
      </c>
      <c r="AK167" s="654" t="str">
        <f t="shared" si="82"/>
        <v/>
      </c>
      <c r="AL167" s="655" t="str">
        <f t="shared" si="97"/>
        <v/>
      </c>
      <c r="AM167" s="655" t="str">
        <f>IF(F167="","",IF(AE167="Dubai",HLOOKUP(F167,Inputs!$C$26:$M$36,5,0),HLOOKUP(F167,Inputs!$C$45:$M$49,5,0)))</f>
        <v/>
      </c>
      <c r="AN167" s="655">
        <f t="shared" si="83"/>
        <v>0</v>
      </c>
      <c r="AO167" s="654" t="str">
        <f>IF(AJ167="","",IF(AN167="Dubai",VLOOKUP(AJ167,'Inputs Mapping'!$V$17:$W$24,2,0),VLOOKUP(AI167,'Inputs Mapping'!$V$27:$W$31,2,0)))</f>
        <v/>
      </c>
      <c r="AP167" s="666">
        <f>IFERROR(IF($AN167="","",HLOOKUP($AN167&amp;RIGHT($AL167,1),'input for formula'!$B$16:$I$20,3,0)),0)</f>
        <v>0</v>
      </c>
      <c r="AQ167" s="656">
        <f>IFERROR(IF($AN167="","",HLOOKUP($AN167&amp;$F167,'input for formula'!$B$22:$M$25,2,0)),0)</f>
        <v>0</v>
      </c>
      <c r="AR167" s="666">
        <f>IFERROR(IF($AN167="","",HLOOKUP($AN167&amp;RIGHT($AL167,1),'input for formula'!$B$16:$I$20,4,0)),0)</f>
        <v>0</v>
      </c>
      <c r="AS167" s="656">
        <f>IFERROR(IF($AN167="","",HLOOKUP($AN167&amp;$F167,'input for formula'!$B$22:$M$25,3,0)),0)</f>
        <v>0</v>
      </c>
      <c r="AT167" s="656">
        <f>IFERROR(IF($AN167="","",HLOOKUP($AN167&amp;RIGHT($AL167,1),'input for formula'!$B$16:$I$20,5,0)),0)</f>
        <v>0</v>
      </c>
      <c r="AU167" s="656">
        <f>IFERROR(IF($AN167="","",HLOOKUP($AN167&amp;$F167,'input for formula'!$B$22:$M$25,4,0)),0)</f>
        <v>0</v>
      </c>
      <c r="AV167" s="666">
        <f>IFERROR(IF($AN167="","",IF('Census Data'!$AN167="Abu Dhabi",VLOOKUP('Census Data'!$AM167,'input for formula'!$A$28:$C$41,3,0),VLOOKUP('Census Data'!$AM167,'input for formula'!$A$28:$C$47,2,0))),0)*IFERROR(1+IF(AN167="Dubai",VLOOKUP(F167,'Quotation for Dubai Plans'!$V$6:$X$12,3,FALSE),VLOOKUP(F167,'Quotation for Abu Dhabi Plans'!$W$6:$Y$12,3,FALSE)),0)</f>
        <v>0</v>
      </c>
      <c r="AW167" s="656" t="str">
        <f t="shared" si="98"/>
        <v/>
      </c>
      <c r="AX167" s="667" t="str">
        <f>IFERROR(IF(AL167="","",IF(AN167="Dubai",HLOOKUP((AL167&amp;AM167),Deviation!$B$7:$S$8,2,0)*BF167*BH167*BI167*BG167,HLOOKUP((AL167&amp;AM167),Deviation!$B$9:$O$10,2,0)*BF167*BH167*BI167*BG167)),0)</f>
        <v/>
      </c>
      <c r="AY167" s="668"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formula'!$M$3:$O$7,AO167,FALSE)))*AX167+AP167*AQ167+AR167*AS167+AT167*AU167),0)*$AZ$3*BK167*BJ167*IF(AND(Inputs!$C$19&gt;19,Inputs!$C$19&lt;30),(1+$AZ$2),1)*(1+$AZ$1))</f>
        <v/>
      </c>
      <c r="AZ167" s="148" t="str">
        <f t="shared" si="99"/>
        <v/>
      </c>
      <c r="BA167" s="669" t="str">
        <f>IF(F167="","",IF(AE167="Dubai",HLOOKUP(F167,Inputs!$C$26:$M$37,9,0),HLOOKUP(F167,Inputs!$C$45:$M$56,9,0)))</f>
        <v/>
      </c>
      <c r="BB167" s="670" t="str">
        <f>IF(F167="","",IF(AE167="Dubai",HLOOKUP(F167,Inputs!$C$26:$M$37,10,0),HLOOKUP(F167,Inputs!$C$45:$M$56,10,0)))</f>
        <v/>
      </c>
      <c r="BC167" s="670" t="str">
        <f>IF(F167="","",IF(AE167="Dubai",HLOOKUP(F167,Inputs!$C$26:$M$37,11,0),HLOOKUP(F167,Inputs!$C$45:$M$56,11,0)))</f>
        <v/>
      </c>
      <c r="BD167" s="669" t="str">
        <f>IF(F167="","",IF(AE167="Dubai",HLOOKUP(F167,Inputs!$C$26:$M$37,12,0),HLOOKUP(F167,Inputs!$C$45:$M$56,12,0)))</f>
        <v/>
      </c>
      <c r="BE167" s="654"/>
      <c r="BF167" s="669" t="str">
        <f>IFERROR(IF(AL167="","",IF(AN167="Dubai",IF(OR(AL167="Plan1",AL167="Plan2"),VLOOKUP(BA167,Deviation!$B$31:$D$33,2,FALSE),VLOOKUP(BA167,Deviation!$B$31:$D$33,3,FALSE)),IF(OR(AL167="Plan1",AL167="Plan2"),VLOOKUP(BA167,Deviation!$E$31:$AE$33,2,FALSE),VLOOKUP(BA167,Deviation!$E$31:$AE$33,3,FALSE)))),0)</f>
        <v/>
      </c>
      <c r="BG167" s="671" t="str">
        <f>IFERROR(IF(AL167="","",IF(AN167="Dubai",IF(AL167="Plan1",VLOOKUP(BB167,Deviation!$B$39:$C$40,2,FALSE),IF(AL167="Plan2",VLOOKUP(BB167,Deviation!$B$42:$C$43,2,FALSE),IF(AL167="Plan5",VLOOKUP(BB167,Deviation!$B$48:$C$49,2,FALSE),VLOOKUP(BB167,Deviation!$B$45:$C$46,2,FALSE)))),IF(AL167="Plan1",VLOOKUP(BB167,Deviation!$E$39:$F$40,2,FALSE),IF(AL167="Plan2",VLOOKUP(BB167,Deviation!$E$42:$F$43,2,FALSE),VLOOKUP(BB167,Deviation!$E$45:$F$46,2,FALSE))))),0)</f>
        <v/>
      </c>
      <c r="BH167" s="671" t="str">
        <f>IFERROR(IF(AL167="","",IF(AN167="Dubai",IF(OR(AL167="Plan1",AL167="Plan2"),VLOOKUP(BC167,Deviation!$B$15:$D$19,2,FALSE),VLOOKUP(BC167,Deviation!$B$15:$D$19,3,FALSE)),IF(OR(AL167="Plan1",AL167="Plan2"),VLOOKUP(BC167,Deviation!$E$15:$AE$19,2,FALSE),VLOOKUP(BC167,Deviation!$E$15:$AE$19,3,FALSE)))),0)</f>
        <v/>
      </c>
      <c r="BI167" s="669" t="str">
        <f>IFERROR(IF(AL167="","",IF(AN167="Dubai",VLOOKUP(BD167,Deviation!$B$24:$C$26,2,FALSE),100%)),0)</f>
        <v/>
      </c>
      <c r="BJ167" s="672">
        <f>IF(AE167="Abu Dhabi",1,IFERROR(VLOOKUP(AM167,Deviation!$B$67:$E$79,MATCH('Census Data'!AA167,Deviation!$B$66:$E$66,0),0),1))</f>
        <v>1</v>
      </c>
      <c r="BK167" s="659">
        <f>IFERROR(VLOOKUP(I167,Deviation!$B$54:$C$62,2,0),1)</f>
        <v>1</v>
      </c>
      <c r="BL167" s="148"/>
      <c r="BM167" s="148"/>
      <c r="BN167" s="148"/>
      <c r="BO167" s="148"/>
      <c r="BP167" s="148"/>
      <c r="BQ167" s="148"/>
      <c r="BR167" s="148"/>
      <c r="BS167" s="148"/>
      <c r="BT167" s="148" t="e">
        <f t="shared" si="85"/>
        <v>#VALUE!</v>
      </c>
      <c r="BU167"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f>
        <v/>
      </c>
    </row>
    <row r="168" spans="1:73" ht="15" x14ac:dyDescent="0.25">
      <c r="A168" s="59">
        <v>163</v>
      </c>
      <c r="B168" s="470"/>
      <c r="C168" s="628"/>
      <c r="D168" s="629"/>
      <c r="E168" s="471"/>
      <c r="F168" s="298"/>
      <c r="G168" s="298"/>
      <c r="H168" s="298"/>
      <c r="I168" s="298"/>
      <c r="J168" s="80" t="str">
        <f>IFERROR(IF(C168="","",DATEDIF('Census Data'!C168,eff_date,"y")),"")</f>
        <v/>
      </c>
      <c r="K168" s="59" t="str">
        <f>IF(F168="","",IF(AE168="Dubai",HLOOKUP(F168,Inputs!$C$26:$M$28,3,0),HLOOKUP(F168,Inputs!$C$45:$M$46,2,0)))</f>
        <v/>
      </c>
      <c r="L168" s="94"/>
      <c r="M168" s="105">
        <f t="shared" si="87"/>
        <v>0</v>
      </c>
      <c r="N168" s="654" t="b">
        <f t="shared" si="88"/>
        <v>0</v>
      </c>
      <c r="O168" s="655" t="str">
        <f t="shared" si="89"/>
        <v>x</v>
      </c>
      <c r="P168" s="655" t="str">
        <f t="shared" si="90"/>
        <v>x</v>
      </c>
      <c r="Q168" s="655" t="str">
        <f t="shared" si="91"/>
        <v>x</v>
      </c>
      <c r="R168" s="655" t="str">
        <f t="shared" si="100"/>
        <v>x</v>
      </c>
      <c r="S168" s="655" t="str">
        <f t="shared" si="92"/>
        <v>x</v>
      </c>
      <c r="T168" s="655" t="str">
        <f>IF(ISERROR(MATCH(G168,'Inputs Mapping'!$T$4:$T$10,0)),"x","")</f>
        <v>x</v>
      </c>
      <c r="U168" s="655" t="str">
        <f>IF(ISERROR(MATCH(AA168,'Inputs Mapping'!$U$4:$U$5,0)),"x","")</f>
        <v>x</v>
      </c>
      <c r="V168" s="655" t="str">
        <f>IF(ISERROR(MATCH(AB168,'Inputs Mapping'!$V$4:$V$5,0)),"x","")</f>
        <v>x</v>
      </c>
      <c r="W168" s="655" t="str">
        <f>IF(ISERROR(MATCH(F168,'Inputs Mapping'!$W$4:$W$8,0)),"x","")</f>
        <v>x</v>
      </c>
      <c r="X168" s="655" t="str">
        <f t="shared" si="93"/>
        <v/>
      </c>
      <c r="Y168" s="655" t="str">
        <f t="shared" si="94"/>
        <v/>
      </c>
      <c r="Z168" s="655" t="str">
        <f t="shared" si="95"/>
        <v/>
      </c>
      <c r="AA168" s="655" t="str">
        <f t="shared" si="77"/>
        <v/>
      </c>
      <c r="AB168" s="655" t="str">
        <f t="shared" si="96"/>
        <v/>
      </c>
      <c r="AC168" s="655" t="str">
        <f t="shared" si="86"/>
        <v>x</v>
      </c>
      <c r="AD168" s="655" t="str">
        <f>IF(ISBLANK(I168),"x",IF(ISNUMBER(MATCH(I168,'Inputs Mapping'!$AF$5:$AF$199,0)),"","x"))</f>
        <v>x</v>
      </c>
      <c r="AE168" s="655" t="str">
        <f t="shared" si="80"/>
        <v/>
      </c>
      <c r="AF168" s="148"/>
      <c r="AG168" s="148"/>
      <c r="AH168" s="148" t="str">
        <f t="shared" si="81"/>
        <v/>
      </c>
      <c r="AI168" s="654" t="str">
        <f>IF(J168="","",VLOOKUP(J168,'Inputs Mapping'!$T$27:$V$31,3))</f>
        <v/>
      </c>
      <c r="AJ168" s="654" t="str">
        <f>IF(J168="","",VLOOKUP(J168,'Inputs Mapping'!$T$17:$V$24,3))</f>
        <v/>
      </c>
      <c r="AK168" s="654" t="str">
        <f t="shared" si="82"/>
        <v/>
      </c>
      <c r="AL168" s="655" t="str">
        <f t="shared" si="97"/>
        <v/>
      </c>
      <c r="AM168" s="655" t="str">
        <f>IF(F168="","",IF(AE168="Dubai",HLOOKUP(F168,Inputs!$C$26:$M$36,5,0),HLOOKUP(F168,Inputs!$C$45:$M$49,5,0)))</f>
        <v/>
      </c>
      <c r="AN168" s="655">
        <f t="shared" si="83"/>
        <v>0</v>
      </c>
      <c r="AO168" s="654" t="str">
        <f>IF(AJ168="","",IF(AN168="Dubai",VLOOKUP(AJ168,'Inputs Mapping'!$V$17:$W$24,2,0),VLOOKUP(AI168,'Inputs Mapping'!$V$27:$W$31,2,0)))</f>
        <v/>
      </c>
      <c r="AP168" s="666">
        <f>IFERROR(IF($AN168="","",HLOOKUP($AN168&amp;RIGHT($AL168,1),'input for formula'!$B$16:$I$20,3,0)),0)</f>
        <v>0</v>
      </c>
      <c r="AQ168" s="656">
        <f>IFERROR(IF($AN168="","",HLOOKUP($AN168&amp;$F168,'input for formula'!$B$22:$M$25,2,0)),0)</f>
        <v>0</v>
      </c>
      <c r="AR168" s="666">
        <f>IFERROR(IF($AN168="","",HLOOKUP($AN168&amp;RIGHT($AL168,1),'input for formula'!$B$16:$I$20,4,0)),0)</f>
        <v>0</v>
      </c>
      <c r="AS168" s="656">
        <f>IFERROR(IF($AN168="","",HLOOKUP($AN168&amp;$F168,'input for formula'!$B$22:$M$25,3,0)),0)</f>
        <v>0</v>
      </c>
      <c r="AT168" s="656">
        <f>IFERROR(IF($AN168="","",HLOOKUP($AN168&amp;RIGHT($AL168,1),'input for formula'!$B$16:$I$20,5,0)),0)</f>
        <v>0</v>
      </c>
      <c r="AU168" s="656">
        <f>IFERROR(IF($AN168="","",HLOOKUP($AN168&amp;$F168,'input for formula'!$B$22:$M$25,4,0)),0)</f>
        <v>0</v>
      </c>
      <c r="AV168" s="666">
        <f>IFERROR(IF($AN168="","",IF('Census Data'!$AN168="Abu Dhabi",VLOOKUP('Census Data'!$AM168,'input for formula'!$A$28:$C$41,3,0),VLOOKUP('Census Data'!$AM168,'input for formula'!$A$28:$C$47,2,0))),0)*IFERROR(1+IF(AN168="Dubai",VLOOKUP(F168,'Quotation for Dubai Plans'!$V$6:$X$12,3,FALSE),VLOOKUP(F168,'Quotation for Abu Dhabi Plans'!$W$6:$Y$12,3,FALSE)),0)</f>
        <v>0</v>
      </c>
      <c r="AW168" s="656" t="str">
        <f t="shared" si="98"/>
        <v/>
      </c>
      <c r="AX168" s="667" t="str">
        <f>IFERROR(IF(AL168="","",IF(AN168="Dubai",HLOOKUP((AL168&amp;AM168),Deviation!$B$7:$S$8,2,0)*BF168*BH168*BI168*BG168,HLOOKUP((AL168&amp;AM168),Deviation!$B$9:$O$10,2,0)*BF168*BH168*BI168*BG168)),0)</f>
        <v/>
      </c>
      <c r="AY168" s="6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formula'!$M$3:$O$7,AO168,FALSE)))*AX168+AP168*AQ168+AR168*AS168+AT168*AU168),0)*$AZ$3*BK168*BJ168*IF(AND(Inputs!$C$19&gt;19,Inputs!$C$19&lt;30),(1+$AZ$2),1)*(1+$AZ$1))</f>
        <v/>
      </c>
      <c r="AZ168" s="148" t="str">
        <f t="shared" si="99"/>
        <v/>
      </c>
      <c r="BA168" s="669" t="str">
        <f>IF(F168="","",IF(AE168="Dubai",HLOOKUP(F168,Inputs!$C$26:$M$37,9,0),HLOOKUP(F168,Inputs!$C$45:$M$56,9,0)))</f>
        <v/>
      </c>
      <c r="BB168" s="670" t="str">
        <f>IF(F168="","",IF(AE168="Dubai",HLOOKUP(F168,Inputs!$C$26:$M$37,10,0),HLOOKUP(F168,Inputs!$C$45:$M$56,10,0)))</f>
        <v/>
      </c>
      <c r="BC168" s="670" t="str">
        <f>IF(F168="","",IF(AE168="Dubai",HLOOKUP(F168,Inputs!$C$26:$M$37,11,0),HLOOKUP(F168,Inputs!$C$45:$M$56,11,0)))</f>
        <v/>
      </c>
      <c r="BD168" s="669" t="str">
        <f>IF(F168="","",IF(AE168="Dubai",HLOOKUP(F168,Inputs!$C$26:$M$37,12,0),HLOOKUP(F168,Inputs!$C$45:$M$56,12,0)))</f>
        <v/>
      </c>
      <c r="BE168" s="654"/>
      <c r="BF168" s="669" t="str">
        <f>IFERROR(IF(AL168="","",IF(AN168="Dubai",IF(OR(AL168="Plan1",AL168="Plan2"),VLOOKUP(BA168,Deviation!$B$31:$D$33,2,FALSE),VLOOKUP(BA168,Deviation!$B$31:$D$33,3,FALSE)),IF(OR(AL168="Plan1",AL168="Plan2"),VLOOKUP(BA168,Deviation!$E$31:$AE$33,2,FALSE),VLOOKUP(BA168,Deviation!$E$31:$AE$33,3,FALSE)))),0)</f>
        <v/>
      </c>
      <c r="BG168" s="671" t="str">
        <f>IFERROR(IF(AL168="","",IF(AN168="Dubai",IF(AL168="Plan1",VLOOKUP(BB168,Deviation!$B$39:$C$40,2,FALSE),IF(AL168="Plan2",VLOOKUP(BB168,Deviation!$B$42:$C$43,2,FALSE),IF(AL168="Plan5",VLOOKUP(BB168,Deviation!$B$48:$C$49,2,FALSE),VLOOKUP(BB168,Deviation!$B$45:$C$46,2,FALSE)))),IF(AL168="Plan1",VLOOKUP(BB168,Deviation!$E$39:$F$40,2,FALSE),IF(AL168="Plan2",VLOOKUP(BB168,Deviation!$E$42:$F$43,2,FALSE),VLOOKUP(BB168,Deviation!$E$45:$F$46,2,FALSE))))),0)</f>
        <v/>
      </c>
      <c r="BH168" s="671" t="str">
        <f>IFERROR(IF(AL168="","",IF(AN168="Dubai",IF(OR(AL168="Plan1",AL168="Plan2"),VLOOKUP(BC168,Deviation!$B$15:$D$19,2,FALSE),VLOOKUP(BC168,Deviation!$B$15:$D$19,3,FALSE)),IF(OR(AL168="Plan1",AL168="Plan2"),VLOOKUP(BC168,Deviation!$E$15:$AE$19,2,FALSE),VLOOKUP(BC168,Deviation!$E$15:$AE$19,3,FALSE)))),0)</f>
        <v/>
      </c>
      <c r="BI168" s="669" t="str">
        <f>IFERROR(IF(AL168="","",IF(AN168="Dubai",VLOOKUP(BD168,Deviation!$B$24:$C$26,2,FALSE),100%)),0)</f>
        <v/>
      </c>
      <c r="BJ168" s="672">
        <f>IF(AE168="Abu Dhabi",1,IFERROR(VLOOKUP(AM168,Deviation!$B$67:$E$79,MATCH('Census Data'!AA168,Deviation!$B$66:$E$66,0),0),1))</f>
        <v>1</v>
      </c>
      <c r="BK168" s="659">
        <f>IFERROR(VLOOKUP(I168,Deviation!$B$54:$C$62,2,0),1)</f>
        <v>1</v>
      </c>
      <c r="BL168" s="148"/>
      <c r="BM168" s="148"/>
      <c r="BN168" s="148"/>
      <c r="BO168" s="148"/>
      <c r="BP168" s="148"/>
      <c r="BQ168" s="148"/>
      <c r="BR168" s="148"/>
      <c r="BS168" s="148"/>
      <c r="BT168" s="148" t="e">
        <f t="shared" si="85"/>
        <v>#VALUE!</v>
      </c>
      <c r="BU1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f>
        <v/>
      </c>
    </row>
    <row r="169" spans="1:73" ht="15" x14ac:dyDescent="0.25">
      <c r="A169" s="59">
        <v>164</v>
      </c>
      <c r="B169" s="470"/>
      <c r="C169" s="628"/>
      <c r="D169" s="629"/>
      <c r="E169" s="471"/>
      <c r="F169" s="298"/>
      <c r="G169" s="298"/>
      <c r="H169" s="298"/>
      <c r="I169" s="298"/>
      <c r="J169" s="80" t="str">
        <f>IFERROR(IF(C169="","",DATEDIF('Census Data'!C169,eff_date,"y")),"")</f>
        <v/>
      </c>
      <c r="K169" s="59" t="str">
        <f>IF(F169="","",IF(AE169="Dubai",HLOOKUP(F169,Inputs!$C$26:$M$28,3,0),HLOOKUP(F169,Inputs!$C$45:$M$46,2,0)))</f>
        <v/>
      </c>
      <c r="L169" s="94"/>
      <c r="M169" s="105">
        <f t="shared" si="87"/>
        <v>0</v>
      </c>
      <c r="N169" s="654" t="b">
        <f t="shared" si="88"/>
        <v>0</v>
      </c>
      <c r="O169" s="655" t="str">
        <f t="shared" si="89"/>
        <v>x</v>
      </c>
      <c r="P169" s="655" t="str">
        <f t="shared" si="90"/>
        <v>x</v>
      </c>
      <c r="Q169" s="655" t="str">
        <f t="shared" si="91"/>
        <v>x</v>
      </c>
      <c r="R169" s="655" t="str">
        <f t="shared" si="100"/>
        <v>x</v>
      </c>
      <c r="S169" s="655" t="str">
        <f t="shared" si="92"/>
        <v>x</v>
      </c>
      <c r="T169" s="655" t="str">
        <f>IF(ISERROR(MATCH(G169,'Inputs Mapping'!$T$4:$T$10,0)),"x","")</f>
        <v>x</v>
      </c>
      <c r="U169" s="655" t="str">
        <f>IF(ISERROR(MATCH(AA169,'Inputs Mapping'!$U$4:$U$5,0)),"x","")</f>
        <v>x</v>
      </c>
      <c r="V169" s="655" t="str">
        <f>IF(ISERROR(MATCH(AB169,'Inputs Mapping'!$V$4:$V$5,0)),"x","")</f>
        <v>x</v>
      </c>
      <c r="W169" s="655" t="str">
        <f>IF(ISERROR(MATCH(F169,'Inputs Mapping'!$W$4:$W$8,0)),"x","")</f>
        <v>x</v>
      </c>
      <c r="X169" s="655" t="str">
        <f t="shared" si="93"/>
        <v/>
      </c>
      <c r="Y169" s="655" t="str">
        <f t="shared" si="94"/>
        <v/>
      </c>
      <c r="Z169" s="655" t="str">
        <f t="shared" si="95"/>
        <v/>
      </c>
      <c r="AA169" s="655" t="str">
        <f t="shared" si="77"/>
        <v/>
      </c>
      <c r="AB169" s="655" t="str">
        <f t="shared" si="96"/>
        <v/>
      </c>
      <c r="AC169" s="655" t="str">
        <f t="shared" si="86"/>
        <v>x</v>
      </c>
      <c r="AD169" s="655" t="str">
        <f>IF(ISBLANK(I169),"x",IF(ISNUMBER(MATCH(I169,'Inputs Mapping'!$AF$5:$AF$199,0)),"","x"))</f>
        <v>x</v>
      </c>
      <c r="AE169" s="655" t="str">
        <f t="shared" si="80"/>
        <v/>
      </c>
      <c r="AF169" s="148"/>
      <c r="AG169" s="148"/>
      <c r="AH169" s="148" t="str">
        <f t="shared" si="81"/>
        <v/>
      </c>
      <c r="AI169" s="654" t="str">
        <f>IF(J169="","",VLOOKUP(J169,'Inputs Mapping'!$T$27:$V$31,3))</f>
        <v/>
      </c>
      <c r="AJ169" s="654" t="str">
        <f>IF(J169="","",VLOOKUP(J169,'Inputs Mapping'!$T$17:$V$24,3))</f>
        <v/>
      </c>
      <c r="AK169" s="654" t="str">
        <f t="shared" si="82"/>
        <v/>
      </c>
      <c r="AL169" s="655" t="str">
        <f t="shared" si="97"/>
        <v/>
      </c>
      <c r="AM169" s="655" t="str">
        <f>IF(F169="","",IF(AE169="Dubai",HLOOKUP(F169,Inputs!$C$26:$M$36,5,0),HLOOKUP(F169,Inputs!$C$45:$M$49,5,0)))</f>
        <v/>
      </c>
      <c r="AN169" s="655">
        <f t="shared" si="83"/>
        <v>0</v>
      </c>
      <c r="AO169" s="654" t="str">
        <f>IF(AJ169="","",IF(AN169="Dubai",VLOOKUP(AJ169,'Inputs Mapping'!$V$17:$W$24,2,0),VLOOKUP(AI169,'Inputs Mapping'!$V$27:$W$31,2,0)))</f>
        <v/>
      </c>
      <c r="AP169" s="666">
        <f>IFERROR(IF($AN169="","",HLOOKUP($AN169&amp;RIGHT($AL169,1),'input for formula'!$B$16:$I$20,3,0)),0)</f>
        <v>0</v>
      </c>
      <c r="AQ169" s="656">
        <f>IFERROR(IF($AN169="","",HLOOKUP($AN169&amp;$F169,'input for formula'!$B$22:$M$25,2,0)),0)</f>
        <v>0</v>
      </c>
      <c r="AR169" s="666">
        <f>IFERROR(IF($AN169="","",HLOOKUP($AN169&amp;RIGHT($AL169,1),'input for formula'!$B$16:$I$20,4,0)),0)</f>
        <v>0</v>
      </c>
      <c r="AS169" s="656">
        <f>IFERROR(IF($AN169="","",HLOOKUP($AN169&amp;$F169,'input for formula'!$B$22:$M$25,3,0)),0)</f>
        <v>0</v>
      </c>
      <c r="AT169" s="656">
        <f>IFERROR(IF($AN169="","",HLOOKUP($AN169&amp;RIGHT($AL169,1),'input for formula'!$B$16:$I$20,5,0)),0)</f>
        <v>0</v>
      </c>
      <c r="AU169" s="656">
        <f>IFERROR(IF($AN169="","",HLOOKUP($AN169&amp;$F169,'input for formula'!$B$22:$M$25,4,0)),0)</f>
        <v>0</v>
      </c>
      <c r="AV169" s="666">
        <f>IFERROR(IF($AN169="","",IF('Census Data'!$AN169="Abu Dhabi",VLOOKUP('Census Data'!$AM169,'input for formula'!$A$28:$C$41,3,0),VLOOKUP('Census Data'!$AM169,'input for formula'!$A$28:$C$47,2,0))),0)*IFERROR(1+IF(AN169="Dubai",VLOOKUP(F169,'Quotation for Dubai Plans'!$V$6:$X$12,3,FALSE),VLOOKUP(F169,'Quotation for Abu Dhabi Plans'!$W$6:$Y$12,3,FALSE)),0)</f>
        <v>0</v>
      </c>
      <c r="AW169" s="656" t="str">
        <f t="shared" si="98"/>
        <v/>
      </c>
      <c r="AX169" s="667" t="str">
        <f>IFERROR(IF(AL169="","",IF(AN169="Dubai",HLOOKUP((AL169&amp;AM169),Deviation!$B$7:$S$8,2,0)*BF169*BH169*BI169*BG169,HLOOKUP((AL169&amp;AM169),Deviation!$B$9:$O$10,2,0)*BF169*BH169*BI169*BG169)),0)</f>
        <v/>
      </c>
      <c r="AY169" s="668"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formula'!$M$3:$O$7,AO169,FALSE)))*AX169+AP169*AQ169+AR169*AS169+AT169*AU169),0)*$AZ$3*BK169*BJ169*IF(AND(Inputs!$C$19&gt;19,Inputs!$C$19&lt;30),(1+$AZ$2),1)*(1+$AZ$1))</f>
        <v/>
      </c>
      <c r="AZ169" s="148" t="str">
        <f t="shared" si="99"/>
        <v/>
      </c>
      <c r="BA169" s="669" t="str">
        <f>IF(F169="","",IF(AE169="Dubai",HLOOKUP(F169,Inputs!$C$26:$M$37,9,0),HLOOKUP(F169,Inputs!$C$45:$M$56,9,0)))</f>
        <v/>
      </c>
      <c r="BB169" s="670" t="str">
        <f>IF(F169="","",IF(AE169="Dubai",HLOOKUP(F169,Inputs!$C$26:$M$37,10,0),HLOOKUP(F169,Inputs!$C$45:$M$56,10,0)))</f>
        <v/>
      </c>
      <c r="BC169" s="670" t="str">
        <f>IF(F169="","",IF(AE169="Dubai",HLOOKUP(F169,Inputs!$C$26:$M$37,11,0),HLOOKUP(F169,Inputs!$C$45:$M$56,11,0)))</f>
        <v/>
      </c>
      <c r="BD169" s="669" t="str">
        <f>IF(F169="","",IF(AE169="Dubai",HLOOKUP(F169,Inputs!$C$26:$M$37,12,0),HLOOKUP(F169,Inputs!$C$45:$M$56,12,0)))</f>
        <v/>
      </c>
      <c r="BE169" s="654"/>
      <c r="BF169" s="669" t="str">
        <f>IFERROR(IF(AL169="","",IF(AN169="Dubai",IF(OR(AL169="Plan1",AL169="Plan2"),VLOOKUP(BA169,Deviation!$B$31:$D$33,2,FALSE),VLOOKUP(BA169,Deviation!$B$31:$D$33,3,FALSE)),IF(OR(AL169="Plan1",AL169="Plan2"),VLOOKUP(BA169,Deviation!$E$31:$AE$33,2,FALSE),VLOOKUP(BA169,Deviation!$E$31:$AE$33,3,FALSE)))),0)</f>
        <v/>
      </c>
      <c r="BG169" s="671" t="str">
        <f>IFERROR(IF(AL169="","",IF(AN169="Dubai",IF(AL169="Plan1",VLOOKUP(BB169,Deviation!$B$39:$C$40,2,FALSE),IF(AL169="Plan2",VLOOKUP(BB169,Deviation!$B$42:$C$43,2,FALSE),IF(AL169="Plan5",VLOOKUP(BB169,Deviation!$B$48:$C$49,2,FALSE),VLOOKUP(BB169,Deviation!$B$45:$C$46,2,FALSE)))),IF(AL169="Plan1",VLOOKUP(BB169,Deviation!$E$39:$F$40,2,FALSE),IF(AL169="Plan2",VLOOKUP(BB169,Deviation!$E$42:$F$43,2,FALSE),VLOOKUP(BB169,Deviation!$E$45:$F$46,2,FALSE))))),0)</f>
        <v/>
      </c>
      <c r="BH169" s="671" t="str">
        <f>IFERROR(IF(AL169="","",IF(AN169="Dubai",IF(OR(AL169="Plan1",AL169="Plan2"),VLOOKUP(BC169,Deviation!$B$15:$D$19,2,FALSE),VLOOKUP(BC169,Deviation!$B$15:$D$19,3,FALSE)),IF(OR(AL169="Plan1",AL169="Plan2"),VLOOKUP(BC169,Deviation!$E$15:$AE$19,2,FALSE),VLOOKUP(BC169,Deviation!$E$15:$AE$19,3,FALSE)))),0)</f>
        <v/>
      </c>
      <c r="BI169" s="669" t="str">
        <f>IFERROR(IF(AL169="","",IF(AN169="Dubai",VLOOKUP(BD169,Deviation!$B$24:$C$26,2,FALSE),100%)),0)</f>
        <v/>
      </c>
      <c r="BJ169" s="672">
        <f>IF(AE169="Abu Dhabi",1,IFERROR(VLOOKUP(AM169,Deviation!$B$67:$E$79,MATCH('Census Data'!AA169,Deviation!$B$66:$E$66,0),0),1))</f>
        <v>1</v>
      </c>
      <c r="BK169" s="659">
        <f>IFERROR(VLOOKUP(I169,Deviation!$B$54:$C$62,2,0),1)</f>
        <v>1</v>
      </c>
      <c r="BL169" s="148"/>
      <c r="BM169" s="148"/>
      <c r="BN169" s="148"/>
      <c r="BO169" s="148"/>
      <c r="BP169" s="148"/>
      <c r="BQ169" s="148"/>
      <c r="BR169" s="148"/>
      <c r="BS169" s="148"/>
      <c r="BT169" s="148" t="e">
        <f t="shared" si="85"/>
        <v>#VALUE!</v>
      </c>
      <c r="BU169"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f>
        <v/>
      </c>
    </row>
    <row r="170" spans="1:73" ht="15" x14ac:dyDescent="0.25">
      <c r="A170" s="59">
        <v>165</v>
      </c>
      <c r="B170" s="470"/>
      <c r="C170" s="628"/>
      <c r="D170" s="629"/>
      <c r="E170" s="471"/>
      <c r="F170" s="298"/>
      <c r="G170" s="298"/>
      <c r="H170" s="298"/>
      <c r="I170" s="298"/>
      <c r="J170" s="80" t="str">
        <f>IFERROR(IF(C170="","",DATEDIF('Census Data'!C170,eff_date,"y")),"")</f>
        <v/>
      </c>
      <c r="K170" s="59" t="str">
        <f>IF(F170="","",IF(AE170="Dubai",HLOOKUP(F170,Inputs!$C$26:$M$28,3,0),HLOOKUP(F170,Inputs!$C$45:$M$46,2,0)))</f>
        <v/>
      </c>
      <c r="L170" s="94"/>
      <c r="M170" s="105">
        <f t="shared" si="87"/>
        <v>0</v>
      </c>
      <c r="N170" s="654" t="b">
        <f t="shared" si="88"/>
        <v>0</v>
      </c>
      <c r="O170" s="655" t="str">
        <f t="shared" si="89"/>
        <v>x</v>
      </c>
      <c r="P170" s="655" t="str">
        <f t="shared" si="90"/>
        <v>x</v>
      </c>
      <c r="Q170" s="655" t="str">
        <f t="shared" si="91"/>
        <v>x</v>
      </c>
      <c r="R170" s="655" t="str">
        <f t="shared" si="100"/>
        <v>x</v>
      </c>
      <c r="S170" s="655" t="str">
        <f t="shared" si="92"/>
        <v>x</v>
      </c>
      <c r="T170" s="655" t="str">
        <f>IF(ISERROR(MATCH(G170,'Inputs Mapping'!$T$4:$T$10,0)),"x","")</f>
        <v>x</v>
      </c>
      <c r="U170" s="655" t="str">
        <f>IF(ISERROR(MATCH(AA170,'Inputs Mapping'!$U$4:$U$5,0)),"x","")</f>
        <v>x</v>
      </c>
      <c r="V170" s="655" t="str">
        <f>IF(ISERROR(MATCH(AB170,'Inputs Mapping'!$V$4:$V$5,0)),"x","")</f>
        <v>x</v>
      </c>
      <c r="W170" s="655" t="str">
        <f>IF(ISERROR(MATCH(F170,'Inputs Mapping'!$W$4:$W$8,0)),"x","")</f>
        <v>x</v>
      </c>
      <c r="X170" s="655" t="str">
        <f t="shared" si="93"/>
        <v/>
      </c>
      <c r="Y170" s="655" t="str">
        <f t="shared" si="94"/>
        <v/>
      </c>
      <c r="Z170" s="655" t="str">
        <f t="shared" si="95"/>
        <v/>
      </c>
      <c r="AA170" s="655" t="str">
        <f t="shared" si="77"/>
        <v/>
      </c>
      <c r="AB170" s="655" t="str">
        <f t="shared" si="96"/>
        <v/>
      </c>
      <c r="AC170" s="655" t="str">
        <f t="shared" si="86"/>
        <v>x</v>
      </c>
      <c r="AD170" s="655" t="str">
        <f>IF(ISBLANK(I170),"x",IF(ISNUMBER(MATCH(I170,'Inputs Mapping'!$AF$5:$AF$199,0)),"","x"))</f>
        <v>x</v>
      </c>
      <c r="AE170" s="655" t="str">
        <f t="shared" si="80"/>
        <v/>
      </c>
      <c r="AF170" s="148"/>
      <c r="AG170" s="148"/>
      <c r="AH170" s="148" t="str">
        <f t="shared" si="81"/>
        <v/>
      </c>
      <c r="AI170" s="654" t="str">
        <f>IF(J170="","",VLOOKUP(J170,'Inputs Mapping'!$T$27:$V$31,3))</f>
        <v/>
      </c>
      <c r="AJ170" s="654" t="str">
        <f>IF(J170="","",VLOOKUP(J170,'Inputs Mapping'!$T$17:$V$24,3))</f>
        <v/>
      </c>
      <c r="AK170" s="654" t="str">
        <f t="shared" si="82"/>
        <v/>
      </c>
      <c r="AL170" s="655" t="str">
        <f t="shared" si="97"/>
        <v/>
      </c>
      <c r="AM170" s="655" t="str">
        <f>IF(F170="","",IF(AE170="Dubai",HLOOKUP(F170,Inputs!$C$26:$M$36,5,0),HLOOKUP(F170,Inputs!$C$45:$M$49,5,0)))</f>
        <v/>
      </c>
      <c r="AN170" s="655">
        <f t="shared" si="83"/>
        <v>0</v>
      </c>
      <c r="AO170" s="654" t="str">
        <f>IF(AJ170="","",IF(AN170="Dubai",VLOOKUP(AJ170,'Inputs Mapping'!$V$17:$W$24,2,0),VLOOKUP(AI170,'Inputs Mapping'!$V$27:$W$31,2,0)))</f>
        <v/>
      </c>
      <c r="AP170" s="666">
        <f>IFERROR(IF($AN170="","",HLOOKUP($AN170&amp;RIGHT($AL170,1),'input for formula'!$B$16:$I$20,3,0)),0)</f>
        <v>0</v>
      </c>
      <c r="AQ170" s="656">
        <f>IFERROR(IF($AN170="","",HLOOKUP($AN170&amp;$F170,'input for formula'!$B$22:$M$25,2,0)),0)</f>
        <v>0</v>
      </c>
      <c r="AR170" s="666">
        <f>IFERROR(IF($AN170="","",HLOOKUP($AN170&amp;RIGHT($AL170,1),'input for formula'!$B$16:$I$20,4,0)),0)</f>
        <v>0</v>
      </c>
      <c r="AS170" s="656">
        <f>IFERROR(IF($AN170="","",HLOOKUP($AN170&amp;$F170,'input for formula'!$B$22:$M$25,3,0)),0)</f>
        <v>0</v>
      </c>
      <c r="AT170" s="656">
        <f>IFERROR(IF($AN170="","",HLOOKUP($AN170&amp;RIGHT($AL170,1),'input for formula'!$B$16:$I$20,5,0)),0)</f>
        <v>0</v>
      </c>
      <c r="AU170" s="656">
        <f>IFERROR(IF($AN170="","",HLOOKUP($AN170&amp;$F170,'input for formula'!$B$22:$M$25,4,0)),0)</f>
        <v>0</v>
      </c>
      <c r="AV170" s="666">
        <f>IFERROR(IF($AN170="","",IF('Census Data'!$AN170="Abu Dhabi",VLOOKUP('Census Data'!$AM170,'input for formula'!$A$28:$C$41,3,0),VLOOKUP('Census Data'!$AM170,'input for formula'!$A$28:$C$47,2,0))),0)*IFERROR(1+IF(AN170="Dubai",VLOOKUP(F170,'Quotation for Dubai Plans'!$V$6:$X$12,3,FALSE),VLOOKUP(F170,'Quotation for Abu Dhabi Plans'!$W$6:$Y$12,3,FALSE)),0)</f>
        <v>0</v>
      </c>
      <c r="AW170" s="656" t="str">
        <f t="shared" si="98"/>
        <v/>
      </c>
      <c r="AX170" s="667" t="str">
        <f>IFERROR(IF(AL170="","",IF(AN170="Dubai",HLOOKUP((AL170&amp;AM170),Deviation!$B$7:$S$8,2,0)*BF170*BH170*BI170*BG170,HLOOKUP((AL170&amp;AM170),Deviation!$B$9:$O$10,2,0)*BF170*BH170*BI170*BG170)),0)</f>
        <v/>
      </c>
      <c r="AY170" s="668"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formula'!$M$3:$O$7,AO170,FALSE)))*AX170+AP170*AQ170+AR170*AS170+AT170*AU170),0)*$AZ$3*BK170*BJ170*IF(AND(Inputs!$C$19&gt;19,Inputs!$C$19&lt;30),(1+$AZ$2),1)*(1+$AZ$1))</f>
        <v/>
      </c>
      <c r="AZ170" s="148" t="str">
        <f t="shared" si="99"/>
        <v/>
      </c>
      <c r="BA170" s="669" t="str">
        <f>IF(F170="","",IF(AE170="Dubai",HLOOKUP(F170,Inputs!$C$26:$M$37,9,0),HLOOKUP(F170,Inputs!$C$45:$M$56,9,0)))</f>
        <v/>
      </c>
      <c r="BB170" s="670" t="str">
        <f>IF(F170="","",IF(AE170="Dubai",HLOOKUP(F170,Inputs!$C$26:$M$37,10,0),HLOOKUP(F170,Inputs!$C$45:$M$56,10,0)))</f>
        <v/>
      </c>
      <c r="BC170" s="670" t="str">
        <f>IF(F170="","",IF(AE170="Dubai",HLOOKUP(F170,Inputs!$C$26:$M$37,11,0),HLOOKUP(F170,Inputs!$C$45:$M$56,11,0)))</f>
        <v/>
      </c>
      <c r="BD170" s="669" t="str">
        <f>IF(F170="","",IF(AE170="Dubai",HLOOKUP(F170,Inputs!$C$26:$M$37,12,0),HLOOKUP(F170,Inputs!$C$45:$M$56,12,0)))</f>
        <v/>
      </c>
      <c r="BE170" s="654"/>
      <c r="BF170" s="669" t="str">
        <f>IFERROR(IF(AL170="","",IF(AN170="Dubai",IF(OR(AL170="Plan1",AL170="Plan2"),VLOOKUP(BA170,Deviation!$B$31:$D$33,2,FALSE),VLOOKUP(BA170,Deviation!$B$31:$D$33,3,FALSE)),IF(OR(AL170="Plan1",AL170="Plan2"),VLOOKUP(BA170,Deviation!$E$31:$AE$33,2,FALSE),VLOOKUP(BA170,Deviation!$E$31:$AE$33,3,FALSE)))),0)</f>
        <v/>
      </c>
      <c r="BG170" s="671" t="str">
        <f>IFERROR(IF(AL170="","",IF(AN170="Dubai",IF(AL170="Plan1",VLOOKUP(BB170,Deviation!$B$39:$C$40,2,FALSE),IF(AL170="Plan2",VLOOKUP(BB170,Deviation!$B$42:$C$43,2,FALSE),IF(AL170="Plan5",VLOOKUP(BB170,Deviation!$B$48:$C$49,2,FALSE),VLOOKUP(BB170,Deviation!$B$45:$C$46,2,FALSE)))),IF(AL170="Plan1",VLOOKUP(BB170,Deviation!$E$39:$F$40,2,FALSE),IF(AL170="Plan2",VLOOKUP(BB170,Deviation!$E$42:$F$43,2,FALSE),VLOOKUP(BB170,Deviation!$E$45:$F$46,2,FALSE))))),0)</f>
        <v/>
      </c>
      <c r="BH170" s="671" t="str">
        <f>IFERROR(IF(AL170="","",IF(AN170="Dubai",IF(OR(AL170="Plan1",AL170="Plan2"),VLOOKUP(BC170,Deviation!$B$15:$D$19,2,FALSE),VLOOKUP(BC170,Deviation!$B$15:$D$19,3,FALSE)),IF(OR(AL170="Plan1",AL170="Plan2"),VLOOKUP(BC170,Deviation!$E$15:$AE$19,2,FALSE),VLOOKUP(BC170,Deviation!$E$15:$AE$19,3,FALSE)))),0)</f>
        <v/>
      </c>
      <c r="BI170" s="669" t="str">
        <f>IFERROR(IF(AL170="","",IF(AN170="Dubai",VLOOKUP(BD170,Deviation!$B$24:$C$26,2,FALSE),100%)),0)</f>
        <v/>
      </c>
      <c r="BJ170" s="672">
        <f>IF(AE170="Abu Dhabi",1,IFERROR(VLOOKUP(AM170,Deviation!$B$67:$E$79,MATCH('Census Data'!AA170,Deviation!$B$66:$E$66,0),0),1))</f>
        <v>1</v>
      </c>
      <c r="BK170" s="659">
        <f>IFERROR(VLOOKUP(I170,Deviation!$B$54:$C$62,2,0),1)</f>
        <v>1</v>
      </c>
      <c r="BL170" s="148"/>
      <c r="BM170" s="148"/>
      <c r="BN170" s="148"/>
      <c r="BO170" s="148"/>
      <c r="BP170" s="148"/>
      <c r="BQ170" s="148"/>
      <c r="BR170" s="148"/>
      <c r="BS170" s="148"/>
      <c r="BT170" s="148" t="e">
        <f t="shared" si="85"/>
        <v>#VALUE!</v>
      </c>
      <c r="BU170"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f>
        <v/>
      </c>
    </row>
    <row r="171" spans="1:73" ht="15" x14ac:dyDescent="0.25">
      <c r="A171" s="59">
        <v>166</v>
      </c>
      <c r="B171" s="470"/>
      <c r="C171" s="628"/>
      <c r="D171" s="629"/>
      <c r="E171" s="471"/>
      <c r="F171" s="298"/>
      <c r="G171" s="298"/>
      <c r="H171" s="298"/>
      <c r="I171" s="298"/>
      <c r="J171" s="80" t="str">
        <f>IFERROR(IF(C171="","",DATEDIF('Census Data'!C171,eff_date,"y")),"")</f>
        <v/>
      </c>
      <c r="K171" s="59" t="str">
        <f>IF(F171="","",IF(AE171="Dubai",HLOOKUP(F171,Inputs!$C$26:$M$28,3,0),HLOOKUP(F171,Inputs!$C$45:$M$46,2,0)))</f>
        <v/>
      </c>
      <c r="L171" s="94"/>
      <c r="M171" s="105">
        <f t="shared" si="87"/>
        <v>0</v>
      </c>
      <c r="N171" s="654" t="b">
        <f t="shared" si="88"/>
        <v>0</v>
      </c>
      <c r="O171" s="655" t="str">
        <f t="shared" si="89"/>
        <v>x</v>
      </c>
      <c r="P171" s="655" t="str">
        <f t="shared" si="90"/>
        <v>x</v>
      </c>
      <c r="Q171" s="655" t="str">
        <f t="shared" si="91"/>
        <v>x</v>
      </c>
      <c r="R171" s="655" t="str">
        <f t="shared" si="100"/>
        <v>x</v>
      </c>
      <c r="S171" s="655" t="str">
        <f t="shared" si="92"/>
        <v>x</v>
      </c>
      <c r="T171" s="655" t="str">
        <f>IF(ISERROR(MATCH(G171,'Inputs Mapping'!$T$4:$T$10,0)),"x","")</f>
        <v>x</v>
      </c>
      <c r="U171" s="655" t="str">
        <f>IF(ISERROR(MATCH(AA171,'Inputs Mapping'!$U$4:$U$5,0)),"x","")</f>
        <v>x</v>
      </c>
      <c r="V171" s="655" t="str">
        <f>IF(ISERROR(MATCH(AB171,'Inputs Mapping'!$V$4:$V$5,0)),"x","")</f>
        <v>x</v>
      </c>
      <c r="W171" s="655" t="str">
        <f>IF(ISERROR(MATCH(F171,'Inputs Mapping'!$W$4:$W$8,0)),"x","")</f>
        <v>x</v>
      </c>
      <c r="X171" s="655" t="str">
        <f t="shared" si="93"/>
        <v/>
      </c>
      <c r="Y171" s="655" t="str">
        <f t="shared" si="94"/>
        <v/>
      </c>
      <c r="Z171" s="655" t="str">
        <f t="shared" si="95"/>
        <v/>
      </c>
      <c r="AA171" s="655" t="str">
        <f t="shared" si="77"/>
        <v/>
      </c>
      <c r="AB171" s="655" t="str">
        <f t="shared" si="96"/>
        <v/>
      </c>
      <c r="AC171" s="655" t="str">
        <f t="shared" si="86"/>
        <v>x</v>
      </c>
      <c r="AD171" s="655" t="str">
        <f>IF(ISBLANK(I171),"x",IF(ISNUMBER(MATCH(I171,'Inputs Mapping'!$AF$5:$AF$199,0)),"","x"))</f>
        <v>x</v>
      </c>
      <c r="AE171" s="655" t="str">
        <f t="shared" si="80"/>
        <v/>
      </c>
      <c r="AF171" s="148"/>
      <c r="AG171" s="148"/>
      <c r="AH171" s="148" t="str">
        <f t="shared" si="81"/>
        <v/>
      </c>
      <c r="AI171" s="654" t="str">
        <f>IF(J171="","",VLOOKUP(J171,'Inputs Mapping'!$T$27:$V$31,3))</f>
        <v/>
      </c>
      <c r="AJ171" s="654" t="str">
        <f>IF(J171="","",VLOOKUP(J171,'Inputs Mapping'!$T$17:$V$24,3))</f>
        <v/>
      </c>
      <c r="AK171" s="654" t="str">
        <f t="shared" si="82"/>
        <v/>
      </c>
      <c r="AL171" s="655" t="str">
        <f t="shared" si="97"/>
        <v/>
      </c>
      <c r="AM171" s="655" t="str">
        <f>IF(F171="","",IF(AE171="Dubai",HLOOKUP(F171,Inputs!$C$26:$M$36,5,0),HLOOKUP(F171,Inputs!$C$45:$M$49,5,0)))</f>
        <v/>
      </c>
      <c r="AN171" s="655">
        <f t="shared" si="83"/>
        <v>0</v>
      </c>
      <c r="AO171" s="654" t="str">
        <f>IF(AJ171="","",IF(AN171="Dubai",VLOOKUP(AJ171,'Inputs Mapping'!$V$17:$W$24,2,0),VLOOKUP(AI171,'Inputs Mapping'!$V$27:$W$31,2,0)))</f>
        <v/>
      </c>
      <c r="AP171" s="666">
        <f>IFERROR(IF($AN171="","",HLOOKUP($AN171&amp;RIGHT($AL171,1),'input for formula'!$B$16:$I$20,3,0)),0)</f>
        <v>0</v>
      </c>
      <c r="AQ171" s="656">
        <f>IFERROR(IF($AN171="","",HLOOKUP($AN171&amp;$F171,'input for formula'!$B$22:$M$25,2,0)),0)</f>
        <v>0</v>
      </c>
      <c r="AR171" s="666">
        <f>IFERROR(IF($AN171="","",HLOOKUP($AN171&amp;RIGHT($AL171,1),'input for formula'!$B$16:$I$20,4,0)),0)</f>
        <v>0</v>
      </c>
      <c r="AS171" s="656">
        <f>IFERROR(IF($AN171="","",HLOOKUP($AN171&amp;$F171,'input for formula'!$B$22:$M$25,3,0)),0)</f>
        <v>0</v>
      </c>
      <c r="AT171" s="656">
        <f>IFERROR(IF($AN171="","",HLOOKUP($AN171&amp;RIGHT($AL171,1),'input for formula'!$B$16:$I$20,5,0)),0)</f>
        <v>0</v>
      </c>
      <c r="AU171" s="656">
        <f>IFERROR(IF($AN171="","",HLOOKUP($AN171&amp;$F171,'input for formula'!$B$22:$M$25,4,0)),0)</f>
        <v>0</v>
      </c>
      <c r="AV171" s="666">
        <f>IFERROR(IF($AN171="","",IF('Census Data'!$AN171="Abu Dhabi",VLOOKUP('Census Data'!$AM171,'input for formula'!$A$28:$C$41,3,0),VLOOKUP('Census Data'!$AM171,'input for formula'!$A$28:$C$47,2,0))),0)*IFERROR(1+IF(AN171="Dubai",VLOOKUP(F171,'Quotation for Dubai Plans'!$V$6:$X$12,3,FALSE),VLOOKUP(F171,'Quotation for Abu Dhabi Plans'!$W$6:$Y$12,3,FALSE)),0)</f>
        <v>0</v>
      </c>
      <c r="AW171" s="656" t="str">
        <f t="shared" si="98"/>
        <v/>
      </c>
      <c r="AX171" s="667" t="str">
        <f>IFERROR(IF(AL171="","",IF(AN171="Dubai",HLOOKUP((AL171&amp;AM171),Deviation!$B$7:$S$8,2,0)*BF171*BH171*BI171*BG171,HLOOKUP((AL171&amp;AM171),Deviation!$B$9:$O$10,2,0)*BF171*BH171*BI171*BG171)),0)</f>
        <v/>
      </c>
      <c r="AY171" s="668"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formula'!$M$3:$O$7,AO171,FALSE)))*AX171+AP171*AQ171+AR171*AS171+AT171*AU171),0)*$AZ$3*BK171*BJ171*IF(AND(Inputs!$C$19&gt;19,Inputs!$C$19&lt;30),(1+$AZ$2),1)*(1+$AZ$1))</f>
        <v/>
      </c>
      <c r="AZ171" s="148" t="str">
        <f t="shared" si="99"/>
        <v/>
      </c>
      <c r="BA171" s="669" t="str">
        <f>IF(F171="","",IF(AE171="Dubai",HLOOKUP(F171,Inputs!$C$26:$M$37,9,0),HLOOKUP(F171,Inputs!$C$45:$M$56,9,0)))</f>
        <v/>
      </c>
      <c r="BB171" s="670" t="str">
        <f>IF(F171="","",IF(AE171="Dubai",HLOOKUP(F171,Inputs!$C$26:$M$37,10,0),HLOOKUP(F171,Inputs!$C$45:$M$56,10,0)))</f>
        <v/>
      </c>
      <c r="BC171" s="670" t="str">
        <f>IF(F171="","",IF(AE171="Dubai",HLOOKUP(F171,Inputs!$C$26:$M$37,11,0),HLOOKUP(F171,Inputs!$C$45:$M$56,11,0)))</f>
        <v/>
      </c>
      <c r="BD171" s="669" t="str">
        <f>IF(F171="","",IF(AE171="Dubai",HLOOKUP(F171,Inputs!$C$26:$M$37,12,0),HLOOKUP(F171,Inputs!$C$45:$M$56,12,0)))</f>
        <v/>
      </c>
      <c r="BE171" s="654"/>
      <c r="BF171" s="669" t="str">
        <f>IFERROR(IF(AL171="","",IF(AN171="Dubai",IF(OR(AL171="Plan1",AL171="Plan2"),VLOOKUP(BA171,Deviation!$B$31:$D$33,2,FALSE),VLOOKUP(BA171,Deviation!$B$31:$D$33,3,FALSE)),IF(OR(AL171="Plan1",AL171="Plan2"),VLOOKUP(BA171,Deviation!$E$31:$AE$33,2,FALSE),VLOOKUP(BA171,Deviation!$E$31:$AE$33,3,FALSE)))),0)</f>
        <v/>
      </c>
      <c r="BG171" s="671" t="str">
        <f>IFERROR(IF(AL171="","",IF(AN171="Dubai",IF(AL171="Plan1",VLOOKUP(BB171,Deviation!$B$39:$C$40,2,FALSE),IF(AL171="Plan2",VLOOKUP(BB171,Deviation!$B$42:$C$43,2,FALSE),IF(AL171="Plan5",VLOOKUP(BB171,Deviation!$B$48:$C$49,2,FALSE),VLOOKUP(BB171,Deviation!$B$45:$C$46,2,FALSE)))),IF(AL171="Plan1",VLOOKUP(BB171,Deviation!$E$39:$F$40,2,FALSE),IF(AL171="Plan2",VLOOKUP(BB171,Deviation!$E$42:$F$43,2,FALSE),VLOOKUP(BB171,Deviation!$E$45:$F$46,2,FALSE))))),0)</f>
        <v/>
      </c>
      <c r="BH171" s="671" t="str">
        <f>IFERROR(IF(AL171="","",IF(AN171="Dubai",IF(OR(AL171="Plan1",AL171="Plan2"),VLOOKUP(BC171,Deviation!$B$15:$D$19,2,FALSE),VLOOKUP(BC171,Deviation!$B$15:$D$19,3,FALSE)),IF(OR(AL171="Plan1",AL171="Plan2"),VLOOKUP(BC171,Deviation!$E$15:$AE$19,2,FALSE),VLOOKUP(BC171,Deviation!$E$15:$AE$19,3,FALSE)))),0)</f>
        <v/>
      </c>
      <c r="BI171" s="669" t="str">
        <f>IFERROR(IF(AL171="","",IF(AN171="Dubai",VLOOKUP(BD171,Deviation!$B$24:$C$26,2,FALSE),100%)),0)</f>
        <v/>
      </c>
      <c r="BJ171" s="672">
        <f>IF(AE171="Abu Dhabi",1,IFERROR(VLOOKUP(AM171,Deviation!$B$67:$E$79,MATCH('Census Data'!AA171,Deviation!$B$66:$E$66,0),0),1))</f>
        <v>1</v>
      </c>
      <c r="BK171" s="659">
        <f>IFERROR(VLOOKUP(I171,Deviation!$B$54:$C$62,2,0),1)</f>
        <v>1</v>
      </c>
      <c r="BL171" s="148"/>
      <c r="BM171" s="148"/>
      <c r="BN171" s="148"/>
      <c r="BO171" s="148"/>
      <c r="BP171" s="148"/>
      <c r="BQ171" s="148"/>
      <c r="BR171" s="148"/>
      <c r="BS171" s="148"/>
      <c r="BT171" s="148" t="e">
        <f t="shared" si="85"/>
        <v>#VALUE!</v>
      </c>
      <c r="BU171"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f>
        <v/>
      </c>
    </row>
    <row r="172" spans="1:73" ht="15" x14ac:dyDescent="0.25">
      <c r="A172" s="59">
        <v>167</v>
      </c>
      <c r="B172" s="470"/>
      <c r="C172" s="628"/>
      <c r="D172" s="629"/>
      <c r="E172" s="471"/>
      <c r="F172" s="298"/>
      <c r="G172" s="298"/>
      <c r="H172" s="298"/>
      <c r="I172" s="298"/>
      <c r="J172" s="80" t="str">
        <f>IFERROR(IF(C172="","",DATEDIF('Census Data'!C172,eff_date,"y")),"")</f>
        <v/>
      </c>
      <c r="K172" s="59" t="str">
        <f>IF(F172="","",IF(AE172="Dubai",HLOOKUP(F172,Inputs!$C$26:$M$28,3,0),HLOOKUP(F172,Inputs!$C$45:$M$46,2,0)))</f>
        <v/>
      </c>
      <c r="L172" s="94"/>
      <c r="M172" s="105">
        <f t="shared" si="87"/>
        <v>0</v>
      </c>
      <c r="N172" s="654" t="b">
        <f t="shared" si="88"/>
        <v>0</v>
      </c>
      <c r="O172" s="655" t="str">
        <f t="shared" si="89"/>
        <v>x</v>
      </c>
      <c r="P172" s="655" t="str">
        <f t="shared" si="90"/>
        <v>x</v>
      </c>
      <c r="Q172" s="655" t="str">
        <f t="shared" si="91"/>
        <v>x</v>
      </c>
      <c r="R172" s="655" t="str">
        <f t="shared" si="100"/>
        <v>x</v>
      </c>
      <c r="S172" s="655" t="str">
        <f t="shared" si="92"/>
        <v>x</v>
      </c>
      <c r="T172" s="655" t="str">
        <f>IF(ISERROR(MATCH(G172,'Inputs Mapping'!$T$4:$T$10,0)),"x","")</f>
        <v>x</v>
      </c>
      <c r="U172" s="655" t="str">
        <f>IF(ISERROR(MATCH(AA172,'Inputs Mapping'!$U$4:$U$5,0)),"x","")</f>
        <v>x</v>
      </c>
      <c r="V172" s="655" t="str">
        <f>IF(ISERROR(MATCH(AB172,'Inputs Mapping'!$V$4:$V$5,0)),"x","")</f>
        <v>x</v>
      </c>
      <c r="W172" s="655" t="str">
        <f>IF(ISERROR(MATCH(F172,'Inputs Mapping'!$W$4:$W$8,0)),"x","")</f>
        <v>x</v>
      </c>
      <c r="X172" s="655" t="str">
        <f t="shared" si="93"/>
        <v/>
      </c>
      <c r="Y172" s="655" t="str">
        <f t="shared" si="94"/>
        <v/>
      </c>
      <c r="Z172" s="655" t="str">
        <f t="shared" si="95"/>
        <v/>
      </c>
      <c r="AA172" s="655" t="str">
        <f t="shared" si="77"/>
        <v/>
      </c>
      <c r="AB172" s="655" t="str">
        <f t="shared" si="96"/>
        <v/>
      </c>
      <c r="AC172" s="655" t="str">
        <f t="shared" si="86"/>
        <v>x</v>
      </c>
      <c r="AD172" s="655" t="str">
        <f>IF(ISBLANK(I172),"x",IF(ISNUMBER(MATCH(I172,'Inputs Mapping'!$AF$5:$AF$199,0)),"","x"))</f>
        <v>x</v>
      </c>
      <c r="AE172" s="655" t="str">
        <f t="shared" si="80"/>
        <v/>
      </c>
      <c r="AF172" s="148"/>
      <c r="AG172" s="148"/>
      <c r="AH172" s="148" t="str">
        <f t="shared" si="81"/>
        <v/>
      </c>
      <c r="AI172" s="654" t="str">
        <f>IF(J172="","",VLOOKUP(J172,'Inputs Mapping'!$T$27:$V$31,3))</f>
        <v/>
      </c>
      <c r="AJ172" s="654" t="str">
        <f>IF(J172="","",VLOOKUP(J172,'Inputs Mapping'!$T$17:$V$24,3))</f>
        <v/>
      </c>
      <c r="AK172" s="654" t="str">
        <f t="shared" si="82"/>
        <v/>
      </c>
      <c r="AL172" s="655" t="str">
        <f t="shared" si="97"/>
        <v/>
      </c>
      <c r="AM172" s="655" t="str">
        <f>IF(F172="","",IF(AE172="Dubai",HLOOKUP(F172,Inputs!$C$26:$M$36,5,0),HLOOKUP(F172,Inputs!$C$45:$M$49,5,0)))</f>
        <v/>
      </c>
      <c r="AN172" s="655">
        <f t="shared" si="83"/>
        <v>0</v>
      </c>
      <c r="AO172" s="654" t="str">
        <f>IF(AJ172="","",IF(AN172="Dubai",VLOOKUP(AJ172,'Inputs Mapping'!$V$17:$W$24,2,0),VLOOKUP(AI172,'Inputs Mapping'!$V$27:$W$31,2,0)))</f>
        <v/>
      </c>
      <c r="AP172" s="666">
        <f>IFERROR(IF($AN172="","",HLOOKUP($AN172&amp;RIGHT($AL172,1),'input for formula'!$B$16:$I$20,3,0)),0)</f>
        <v>0</v>
      </c>
      <c r="AQ172" s="656">
        <f>IFERROR(IF($AN172="","",HLOOKUP($AN172&amp;$F172,'input for formula'!$B$22:$M$25,2,0)),0)</f>
        <v>0</v>
      </c>
      <c r="AR172" s="666">
        <f>IFERROR(IF($AN172="","",HLOOKUP($AN172&amp;RIGHT($AL172,1),'input for formula'!$B$16:$I$20,4,0)),0)</f>
        <v>0</v>
      </c>
      <c r="AS172" s="656">
        <f>IFERROR(IF($AN172="","",HLOOKUP($AN172&amp;$F172,'input for formula'!$B$22:$M$25,3,0)),0)</f>
        <v>0</v>
      </c>
      <c r="AT172" s="656">
        <f>IFERROR(IF($AN172="","",HLOOKUP($AN172&amp;RIGHT($AL172,1),'input for formula'!$B$16:$I$20,5,0)),0)</f>
        <v>0</v>
      </c>
      <c r="AU172" s="656">
        <f>IFERROR(IF($AN172="","",HLOOKUP($AN172&amp;$F172,'input for formula'!$B$22:$M$25,4,0)),0)</f>
        <v>0</v>
      </c>
      <c r="AV172" s="666">
        <f>IFERROR(IF($AN172="","",IF('Census Data'!$AN172="Abu Dhabi",VLOOKUP('Census Data'!$AM172,'input for formula'!$A$28:$C$41,3,0),VLOOKUP('Census Data'!$AM172,'input for formula'!$A$28:$C$47,2,0))),0)*IFERROR(1+IF(AN172="Dubai",VLOOKUP(F172,'Quotation for Dubai Plans'!$V$6:$X$12,3,FALSE),VLOOKUP(F172,'Quotation for Abu Dhabi Plans'!$W$6:$Y$12,3,FALSE)),0)</f>
        <v>0</v>
      </c>
      <c r="AW172" s="656" t="str">
        <f t="shared" si="98"/>
        <v/>
      </c>
      <c r="AX172" s="667" t="str">
        <f>IFERROR(IF(AL172="","",IF(AN172="Dubai",HLOOKUP((AL172&amp;AM172),Deviation!$B$7:$S$8,2,0)*BF172*BH172*BI172*BG172,HLOOKUP((AL172&amp;AM172),Deviation!$B$9:$O$10,2,0)*BF172*BH172*BI172*BG172)),0)</f>
        <v/>
      </c>
      <c r="AY172" s="668"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formula'!$M$3:$O$7,AO172,FALSE)))*AX172+AP172*AQ172+AR172*AS172+AT172*AU172),0)*$AZ$3*BK172*BJ172*IF(AND(Inputs!$C$19&gt;19,Inputs!$C$19&lt;30),(1+$AZ$2),1)*(1+$AZ$1))</f>
        <v/>
      </c>
      <c r="AZ172" s="148" t="str">
        <f t="shared" si="99"/>
        <v/>
      </c>
      <c r="BA172" s="669" t="str">
        <f>IF(F172="","",IF(AE172="Dubai",HLOOKUP(F172,Inputs!$C$26:$M$37,9,0),HLOOKUP(F172,Inputs!$C$45:$M$56,9,0)))</f>
        <v/>
      </c>
      <c r="BB172" s="670" t="str">
        <f>IF(F172="","",IF(AE172="Dubai",HLOOKUP(F172,Inputs!$C$26:$M$37,10,0),HLOOKUP(F172,Inputs!$C$45:$M$56,10,0)))</f>
        <v/>
      </c>
      <c r="BC172" s="670" t="str">
        <f>IF(F172="","",IF(AE172="Dubai",HLOOKUP(F172,Inputs!$C$26:$M$37,11,0),HLOOKUP(F172,Inputs!$C$45:$M$56,11,0)))</f>
        <v/>
      </c>
      <c r="BD172" s="669" t="str">
        <f>IF(F172="","",IF(AE172="Dubai",HLOOKUP(F172,Inputs!$C$26:$M$37,12,0),HLOOKUP(F172,Inputs!$C$45:$M$56,12,0)))</f>
        <v/>
      </c>
      <c r="BE172" s="654"/>
      <c r="BF172" s="669" t="str">
        <f>IFERROR(IF(AL172="","",IF(AN172="Dubai",IF(OR(AL172="Plan1",AL172="Plan2"),VLOOKUP(BA172,Deviation!$B$31:$D$33,2,FALSE),VLOOKUP(BA172,Deviation!$B$31:$D$33,3,FALSE)),IF(OR(AL172="Plan1",AL172="Plan2"),VLOOKUP(BA172,Deviation!$E$31:$AE$33,2,FALSE),VLOOKUP(BA172,Deviation!$E$31:$AE$33,3,FALSE)))),0)</f>
        <v/>
      </c>
      <c r="BG172" s="671" t="str">
        <f>IFERROR(IF(AL172="","",IF(AN172="Dubai",IF(AL172="Plan1",VLOOKUP(BB172,Deviation!$B$39:$C$40,2,FALSE),IF(AL172="Plan2",VLOOKUP(BB172,Deviation!$B$42:$C$43,2,FALSE),IF(AL172="Plan5",VLOOKUP(BB172,Deviation!$B$48:$C$49,2,FALSE),VLOOKUP(BB172,Deviation!$B$45:$C$46,2,FALSE)))),IF(AL172="Plan1",VLOOKUP(BB172,Deviation!$E$39:$F$40,2,FALSE),IF(AL172="Plan2",VLOOKUP(BB172,Deviation!$E$42:$F$43,2,FALSE),VLOOKUP(BB172,Deviation!$E$45:$F$46,2,FALSE))))),0)</f>
        <v/>
      </c>
      <c r="BH172" s="671" t="str">
        <f>IFERROR(IF(AL172="","",IF(AN172="Dubai",IF(OR(AL172="Plan1",AL172="Plan2"),VLOOKUP(BC172,Deviation!$B$15:$D$19,2,FALSE),VLOOKUP(BC172,Deviation!$B$15:$D$19,3,FALSE)),IF(OR(AL172="Plan1",AL172="Plan2"),VLOOKUP(BC172,Deviation!$E$15:$AE$19,2,FALSE),VLOOKUP(BC172,Deviation!$E$15:$AE$19,3,FALSE)))),0)</f>
        <v/>
      </c>
      <c r="BI172" s="669" t="str">
        <f>IFERROR(IF(AL172="","",IF(AN172="Dubai",VLOOKUP(BD172,Deviation!$B$24:$C$26,2,FALSE),100%)),0)</f>
        <v/>
      </c>
      <c r="BJ172" s="672">
        <f>IF(AE172="Abu Dhabi",1,IFERROR(VLOOKUP(AM172,Deviation!$B$67:$E$79,MATCH('Census Data'!AA172,Deviation!$B$66:$E$66,0),0),1))</f>
        <v>1</v>
      </c>
      <c r="BK172" s="659">
        <f>IFERROR(VLOOKUP(I172,Deviation!$B$54:$C$62,2,0),1)</f>
        <v>1</v>
      </c>
      <c r="BL172" s="148"/>
      <c r="BM172" s="148"/>
      <c r="BN172" s="148"/>
      <c r="BO172" s="148"/>
      <c r="BP172" s="148"/>
      <c r="BQ172" s="148"/>
      <c r="BR172" s="148"/>
      <c r="BS172" s="148"/>
      <c r="BT172" s="148" t="e">
        <f t="shared" si="85"/>
        <v>#VALUE!</v>
      </c>
      <c r="BU172"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f>
        <v/>
      </c>
    </row>
    <row r="173" spans="1:73" ht="15" x14ac:dyDescent="0.25">
      <c r="A173" s="59">
        <v>168</v>
      </c>
      <c r="B173" s="470"/>
      <c r="C173" s="628"/>
      <c r="D173" s="629"/>
      <c r="E173" s="471"/>
      <c r="F173" s="298"/>
      <c r="G173" s="298"/>
      <c r="H173" s="298"/>
      <c r="I173" s="298"/>
      <c r="J173" s="80" t="str">
        <f>IFERROR(IF(C173="","",DATEDIF('Census Data'!C173,eff_date,"y")),"")</f>
        <v/>
      </c>
      <c r="K173" s="59" t="str">
        <f>IF(F173="","",IF(AE173="Dubai",HLOOKUP(F173,Inputs!$C$26:$M$28,3,0),HLOOKUP(F173,Inputs!$C$45:$M$46,2,0)))</f>
        <v/>
      </c>
      <c r="L173" s="94"/>
      <c r="M173" s="105">
        <f t="shared" si="87"/>
        <v>0</v>
      </c>
      <c r="N173" s="654" t="b">
        <f t="shared" si="88"/>
        <v>0</v>
      </c>
      <c r="O173" s="655" t="str">
        <f t="shared" si="89"/>
        <v>x</v>
      </c>
      <c r="P173" s="655" t="str">
        <f t="shared" si="90"/>
        <v>x</v>
      </c>
      <c r="Q173" s="655" t="str">
        <f t="shared" si="91"/>
        <v>x</v>
      </c>
      <c r="R173" s="655" t="str">
        <f t="shared" si="100"/>
        <v>x</v>
      </c>
      <c r="S173" s="655" t="str">
        <f t="shared" si="92"/>
        <v>x</v>
      </c>
      <c r="T173" s="655" t="str">
        <f>IF(ISERROR(MATCH(G173,'Inputs Mapping'!$T$4:$T$10,0)),"x","")</f>
        <v>x</v>
      </c>
      <c r="U173" s="655" t="str">
        <f>IF(ISERROR(MATCH(AA173,'Inputs Mapping'!$U$4:$U$5,0)),"x","")</f>
        <v>x</v>
      </c>
      <c r="V173" s="655" t="str">
        <f>IF(ISERROR(MATCH(AB173,'Inputs Mapping'!$V$4:$V$5,0)),"x","")</f>
        <v>x</v>
      </c>
      <c r="W173" s="655" t="str">
        <f>IF(ISERROR(MATCH(F173,'Inputs Mapping'!$W$4:$W$8,0)),"x","")</f>
        <v>x</v>
      </c>
      <c r="X173" s="655" t="str">
        <f t="shared" si="93"/>
        <v/>
      </c>
      <c r="Y173" s="655" t="str">
        <f t="shared" si="94"/>
        <v/>
      </c>
      <c r="Z173" s="655" t="str">
        <f t="shared" si="95"/>
        <v/>
      </c>
      <c r="AA173" s="655" t="str">
        <f t="shared" si="77"/>
        <v/>
      </c>
      <c r="AB173" s="655" t="str">
        <f t="shared" si="96"/>
        <v/>
      </c>
      <c r="AC173" s="655" t="str">
        <f t="shared" si="86"/>
        <v>x</v>
      </c>
      <c r="AD173" s="655" t="str">
        <f>IF(ISBLANK(I173),"x",IF(ISNUMBER(MATCH(I173,'Inputs Mapping'!$AF$5:$AF$199,0)),"","x"))</f>
        <v>x</v>
      </c>
      <c r="AE173" s="655" t="str">
        <f t="shared" si="80"/>
        <v/>
      </c>
      <c r="AF173" s="148"/>
      <c r="AG173" s="148"/>
      <c r="AH173" s="148" t="str">
        <f t="shared" si="81"/>
        <v/>
      </c>
      <c r="AI173" s="654" t="str">
        <f>IF(J173="","",VLOOKUP(J173,'Inputs Mapping'!$T$27:$V$31,3))</f>
        <v/>
      </c>
      <c r="AJ173" s="654" t="str">
        <f>IF(J173="","",VLOOKUP(J173,'Inputs Mapping'!$T$17:$V$24,3))</f>
        <v/>
      </c>
      <c r="AK173" s="654" t="str">
        <f t="shared" si="82"/>
        <v/>
      </c>
      <c r="AL173" s="655" t="str">
        <f t="shared" si="97"/>
        <v/>
      </c>
      <c r="AM173" s="655" t="str">
        <f>IF(F173="","",IF(AE173="Dubai",HLOOKUP(F173,Inputs!$C$26:$M$36,5,0),HLOOKUP(F173,Inputs!$C$45:$M$49,5,0)))</f>
        <v/>
      </c>
      <c r="AN173" s="655">
        <f t="shared" si="83"/>
        <v>0</v>
      </c>
      <c r="AO173" s="654" t="str">
        <f>IF(AJ173="","",IF(AN173="Dubai",VLOOKUP(AJ173,'Inputs Mapping'!$V$17:$W$24,2,0),VLOOKUP(AI173,'Inputs Mapping'!$V$27:$W$31,2,0)))</f>
        <v/>
      </c>
      <c r="AP173" s="666">
        <f>IFERROR(IF($AN173="","",HLOOKUP($AN173&amp;RIGHT($AL173,1),'input for formula'!$B$16:$I$20,3,0)),0)</f>
        <v>0</v>
      </c>
      <c r="AQ173" s="656">
        <f>IFERROR(IF($AN173="","",HLOOKUP($AN173&amp;$F173,'input for formula'!$B$22:$M$25,2,0)),0)</f>
        <v>0</v>
      </c>
      <c r="AR173" s="666">
        <f>IFERROR(IF($AN173="","",HLOOKUP($AN173&amp;RIGHT($AL173,1),'input for formula'!$B$16:$I$20,4,0)),0)</f>
        <v>0</v>
      </c>
      <c r="AS173" s="656">
        <f>IFERROR(IF($AN173="","",HLOOKUP($AN173&amp;$F173,'input for formula'!$B$22:$M$25,3,0)),0)</f>
        <v>0</v>
      </c>
      <c r="AT173" s="656">
        <f>IFERROR(IF($AN173="","",HLOOKUP($AN173&amp;RIGHT($AL173,1),'input for formula'!$B$16:$I$20,5,0)),0)</f>
        <v>0</v>
      </c>
      <c r="AU173" s="656">
        <f>IFERROR(IF($AN173="","",HLOOKUP($AN173&amp;$F173,'input for formula'!$B$22:$M$25,4,0)),0)</f>
        <v>0</v>
      </c>
      <c r="AV173" s="666">
        <f>IFERROR(IF($AN173="","",IF('Census Data'!$AN173="Abu Dhabi",VLOOKUP('Census Data'!$AM173,'input for formula'!$A$28:$C$41,3,0),VLOOKUP('Census Data'!$AM173,'input for formula'!$A$28:$C$47,2,0))),0)*IFERROR(1+IF(AN173="Dubai",VLOOKUP(F173,'Quotation for Dubai Plans'!$V$6:$X$12,3,FALSE),VLOOKUP(F173,'Quotation for Abu Dhabi Plans'!$W$6:$Y$12,3,FALSE)),0)</f>
        <v>0</v>
      </c>
      <c r="AW173" s="656" t="str">
        <f t="shared" si="98"/>
        <v/>
      </c>
      <c r="AX173" s="667" t="str">
        <f>IFERROR(IF(AL173="","",IF(AN173="Dubai",HLOOKUP((AL173&amp;AM173),Deviation!$B$7:$S$8,2,0)*BF173*BH173*BI173*BG173,HLOOKUP((AL173&amp;AM173),Deviation!$B$9:$O$10,2,0)*BF173*BH173*BI173*BG173)),0)</f>
        <v/>
      </c>
      <c r="AY173" s="668"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formula'!$M$3:$O$7,AO173,FALSE)))*AX173+AP173*AQ173+AR173*AS173+AT173*AU173),0)*$AZ$3*BK173*BJ173*IF(AND(Inputs!$C$19&gt;19,Inputs!$C$19&lt;30),(1+$AZ$2),1)*(1+$AZ$1))</f>
        <v/>
      </c>
      <c r="AZ173" s="148" t="str">
        <f t="shared" si="99"/>
        <v/>
      </c>
      <c r="BA173" s="669" t="str">
        <f>IF(F173="","",IF(AE173="Dubai",HLOOKUP(F173,Inputs!$C$26:$M$37,9,0),HLOOKUP(F173,Inputs!$C$45:$M$56,9,0)))</f>
        <v/>
      </c>
      <c r="BB173" s="670" t="str">
        <f>IF(F173="","",IF(AE173="Dubai",HLOOKUP(F173,Inputs!$C$26:$M$37,10,0),HLOOKUP(F173,Inputs!$C$45:$M$56,10,0)))</f>
        <v/>
      </c>
      <c r="BC173" s="670" t="str">
        <f>IF(F173="","",IF(AE173="Dubai",HLOOKUP(F173,Inputs!$C$26:$M$37,11,0),HLOOKUP(F173,Inputs!$C$45:$M$56,11,0)))</f>
        <v/>
      </c>
      <c r="BD173" s="669" t="str">
        <f>IF(F173="","",IF(AE173="Dubai",HLOOKUP(F173,Inputs!$C$26:$M$37,12,0),HLOOKUP(F173,Inputs!$C$45:$M$56,12,0)))</f>
        <v/>
      </c>
      <c r="BE173" s="654"/>
      <c r="BF173" s="669" t="str">
        <f>IFERROR(IF(AL173="","",IF(AN173="Dubai",IF(OR(AL173="Plan1",AL173="Plan2"),VLOOKUP(BA173,Deviation!$B$31:$D$33,2,FALSE),VLOOKUP(BA173,Deviation!$B$31:$D$33,3,FALSE)),IF(OR(AL173="Plan1",AL173="Plan2"),VLOOKUP(BA173,Deviation!$E$31:$AE$33,2,FALSE),VLOOKUP(BA173,Deviation!$E$31:$AE$33,3,FALSE)))),0)</f>
        <v/>
      </c>
      <c r="BG173" s="671" t="str">
        <f>IFERROR(IF(AL173="","",IF(AN173="Dubai",IF(AL173="Plan1",VLOOKUP(BB173,Deviation!$B$39:$C$40,2,FALSE),IF(AL173="Plan2",VLOOKUP(BB173,Deviation!$B$42:$C$43,2,FALSE),IF(AL173="Plan5",VLOOKUP(BB173,Deviation!$B$48:$C$49,2,FALSE),VLOOKUP(BB173,Deviation!$B$45:$C$46,2,FALSE)))),IF(AL173="Plan1",VLOOKUP(BB173,Deviation!$E$39:$F$40,2,FALSE),IF(AL173="Plan2",VLOOKUP(BB173,Deviation!$E$42:$F$43,2,FALSE),VLOOKUP(BB173,Deviation!$E$45:$F$46,2,FALSE))))),0)</f>
        <v/>
      </c>
      <c r="BH173" s="671" t="str">
        <f>IFERROR(IF(AL173="","",IF(AN173="Dubai",IF(OR(AL173="Plan1",AL173="Plan2"),VLOOKUP(BC173,Deviation!$B$15:$D$19,2,FALSE),VLOOKUP(BC173,Deviation!$B$15:$D$19,3,FALSE)),IF(OR(AL173="Plan1",AL173="Plan2"),VLOOKUP(BC173,Deviation!$E$15:$AE$19,2,FALSE),VLOOKUP(BC173,Deviation!$E$15:$AE$19,3,FALSE)))),0)</f>
        <v/>
      </c>
      <c r="BI173" s="669" t="str">
        <f>IFERROR(IF(AL173="","",IF(AN173="Dubai",VLOOKUP(BD173,Deviation!$B$24:$C$26,2,FALSE),100%)),0)</f>
        <v/>
      </c>
      <c r="BJ173" s="672">
        <f>IF(AE173="Abu Dhabi",1,IFERROR(VLOOKUP(AM173,Deviation!$B$67:$E$79,MATCH('Census Data'!AA173,Deviation!$B$66:$E$66,0),0),1))</f>
        <v>1</v>
      </c>
      <c r="BK173" s="659">
        <f>IFERROR(VLOOKUP(I173,Deviation!$B$54:$C$62,2,0),1)</f>
        <v>1</v>
      </c>
      <c r="BL173" s="148"/>
      <c r="BM173" s="148"/>
      <c r="BN173" s="148"/>
      <c r="BO173" s="148"/>
      <c r="BP173" s="148"/>
      <c r="BQ173" s="148"/>
      <c r="BR173" s="148"/>
      <c r="BS173" s="148"/>
      <c r="BT173" s="148" t="e">
        <f t="shared" si="85"/>
        <v>#VALUE!</v>
      </c>
      <c r="BU173"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f>
        <v/>
      </c>
    </row>
    <row r="174" spans="1:73" ht="15" x14ac:dyDescent="0.25">
      <c r="A174" s="59">
        <v>169</v>
      </c>
      <c r="B174" s="470"/>
      <c r="C174" s="628"/>
      <c r="D174" s="629"/>
      <c r="E174" s="471"/>
      <c r="F174" s="298"/>
      <c r="G174" s="298"/>
      <c r="H174" s="298"/>
      <c r="I174" s="298"/>
      <c r="J174" s="80" t="str">
        <f>IFERROR(IF(C174="","",DATEDIF('Census Data'!C174,eff_date,"y")),"")</f>
        <v/>
      </c>
      <c r="K174" s="59" t="str">
        <f>IF(F174="","",IF(AE174="Dubai",HLOOKUP(F174,Inputs!$C$26:$M$28,3,0),HLOOKUP(F174,Inputs!$C$45:$M$46,2,0)))</f>
        <v/>
      </c>
      <c r="L174" s="94"/>
      <c r="M174" s="105">
        <f t="shared" si="87"/>
        <v>0</v>
      </c>
      <c r="N174" s="654" t="b">
        <f t="shared" si="88"/>
        <v>0</v>
      </c>
      <c r="O174" s="655" t="str">
        <f t="shared" si="89"/>
        <v>x</v>
      </c>
      <c r="P174" s="655" t="str">
        <f t="shared" si="90"/>
        <v>x</v>
      </c>
      <c r="Q174" s="655" t="str">
        <f t="shared" si="91"/>
        <v>x</v>
      </c>
      <c r="R174" s="655" t="str">
        <f t="shared" si="100"/>
        <v>x</v>
      </c>
      <c r="S174" s="655" t="str">
        <f t="shared" si="92"/>
        <v>x</v>
      </c>
      <c r="T174" s="655" t="str">
        <f>IF(ISERROR(MATCH(G174,'Inputs Mapping'!$T$4:$T$10,0)),"x","")</f>
        <v>x</v>
      </c>
      <c r="U174" s="655" t="str">
        <f>IF(ISERROR(MATCH(AA174,'Inputs Mapping'!$U$4:$U$5,0)),"x","")</f>
        <v>x</v>
      </c>
      <c r="V174" s="655" t="str">
        <f>IF(ISERROR(MATCH(AB174,'Inputs Mapping'!$V$4:$V$5,0)),"x","")</f>
        <v>x</v>
      </c>
      <c r="W174" s="655" t="str">
        <f>IF(ISERROR(MATCH(F174,'Inputs Mapping'!$W$4:$W$8,0)),"x","")</f>
        <v>x</v>
      </c>
      <c r="X174" s="655" t="str">
        <f t="shared" si="93"/>
        <v/>
      </c>
      <c r="Y174" s="655" t="str">
        <f t="shared" si="94"/>
        <v/>
      </c>
      <c r="Z174" s="655" t="str">
        <f t="shared" si="95"/>
        <v/>
      </c>
      <c r="AA174" s="655" t="str">
        <f t="shared" si="77"/>
        <v/>
      </c>
      <c r="AB174" s="655" t="str">
        <f t="shared" si="96"/>
        <v/>
      </c>
      <c r="AC174" s="655" t="str">
        <f t="shared" si="86"/>
        <v>x</v>
      </c>
      <c r="AD174" s="655" t="str">
        <f>IF(ISBLANK(I174),"x",IF(ISNUMBER(MATCH(I174,'Inputs Mapping'!$AF$5:$AF$199,0)),"","x"))</f>
        <v>x</v>
      </c>
      <c r="AE174" s="655" t="str">
        <f t="shared" si="80"/>
        <v/>
      </c>
      <c r="AF174" s="148"/>
      <c r="AG174" s="148"/>
      <c r="AH174" s="148" t="str">
        <f t="shared" si="81"/>
        <v/>
      </c>
      <c r="AI174" s="654" t="str">
        <f>IF(J174="","",VLOOKUP(J174,'Inputs Mapping'!$T$27:$V$31,3))</f>
        <v/>
      </c>
      <c r="AJ174" s="654" t="str">
        <f>IF(J174="","",VLOOKUP(J174,'Inputs Mapping'!$T$17:$V$24,3))</f>
        <v/>
      </c>
      <c r="AK174" s="654" t="str">
        <f t="shared" si="82"/>
        <v/>
      </c>
      <c r="AL174" s="655" t="str">
        <f t="shared" si="97"/>
        <v/>
      </c>
      <c r="AM174" s="655" t="str">
        <f>IF(F174="","",IF(AE174="Dubai",HLOOKUP(F174,Inputs!$C$26:$M$36,5,0),HLOOKUP(F174,Inputs!$C$45:$M$49,5,0)))</f>
        <v/>
      </c>
      <c r="AN174" s="655">
        <f t="shared" si="83"/>
        <v>0</v>
      </c>
      <c r="AO174" s="654" t="str">
        <f>IF(AJ174="","",IF(AN174="Dubai",VLOOKUP(AJ174,'Inputs Mapping'!$V$17:$W$24,2,0),VLOOKUP(AI174,'Inputs Mapping'!$V$27:$W$31,2,0)))</f>
        <v/>
      </c>
      <c r="AP174" s="666">
        <f>IFERROR(IF($AN174="","",HLOOKUP($AN174&amp;RIGHT($AL174,1),'input for formula'!$B$16:$I$20,3,0)),0)</f>
        <v>0</v>
      </c>
      <c r="AQ174" s="656">
        <f>IFERROR(IF($AN174="","",HLOOKUP($AN174&amp;$F174,'input for formula'!$B$22:$M$25,2,0)),0)</f>
        <v>0</v>
      </c>
      <c r="AR174" s="666">
        <f>IFERROR(IF($AN174="","",HLOOKUP($AN174&amp;RIGHT($AL174,1),'input for formula'!$B$16:$I$20,4,0)),0)</f>
        <v>0</v>
      </c>
      <c r="AS174" s="656">
        <f>IFERROR(IF($AN174="","",HLOOKUP($AN174&amp;$F174,'input for formula'!$B$22:$M$25,3,0)),0)</f>
        <v>0</v>
      </c>
      <c r="AT174" s="656">
        <f>IFERROR(IF($AN174="","",HLOOKUP($AN174&amp;RIGHT($AL174,1),'input for formula'!$B$16:$I$20,5,0)),0)</f>
        <v>0</v>
      </c>
      <c r="AU174" s="656">
        <f>IFERROR(IF($AN174="","",HLOOKUP($AN174&amp;$F174,'input for formula'!$B$22:$M$25,4,0)),0)</f>
        <v>0</v>
      </c>
      <c r="AV174" s="666">
        <f>IFERROR(IF($AN174="","",IF('Census Data'!$AN174="Abu Dhabi",VLOOKUP('Census Data'!$AM174,'input for formula'!$A$28:$C$41,3,0),VLOOKUP('Census Data'!$AM174,'input for formula'!$A$28:$C$47,2,0))),0)*IFERROR(1+IF(AN174="Dubai",VLOOKUP(F174,'Quotation for Dubai Plans'!$V$6:$X$12,3,FALSE),VLOOKUP(F174,'Quotation for Abu Dhabi Plans'!$W$6:$Y$12,3,FALSE)),0)</f>
        <v>0</v>
      </c>
      <c r="AW174" s="656" t="str">
        <f t="shared" si="98"/>
        <v/>
      </c>
      <c r="AX174" s="667" t="str">
        <f>IFERROR(IF(AL174="","",IF(AN174="Dubai",HLOOKUP((AL174&amp;AM174),Deviation!$B$7:$S$8,2,0)*BF174*BH174*BI174*BG174,HLOOKUP((AL174&amp;AM174),Deviation!$B$9:$O$10,2,0)*BF174*BH174*BI174*BG174)),0)</f>
        <v/>
      </c>
      <c r="AY174" s="668"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formula'!$M$3:$O$7,AO174,FALSE)))*AX174+AP174*AQ174+AR174*AS174+AT174*AU174),0)*$AZ$3*BK174*BJ174*IF(AND(Inputs!$C$19&gt;19,Inputs!$C$19&lt;30),(1+$AZ$2),1)*(1+$AZ$1))</f>
        <v/>
      </c>
      <c r="AZ174" s="148" t="str">
        <f t="shared" si="99"/>
        <v/>
      </c>
      <c r="BA174" s="669" t="str">
        <f>IF(F174="","",IF(AE174="Dubai",HLOOKUP(F174,Inputs!$C$26:$M$37,9,0),HLOOKUP(F174,Inputs!$C$45:$M$56,9,0)))</f>
        <v/>
      </c>
      <c r="BB174" s="670" t="str">
        <f>IF(F174="","",IF(AE174="Dubai",HLOOKUP(F174,Inputs!$C$26:$M$37,10,0),HLOOKUP(F174,Inputs!$C$45:$M$56,10,0)))</f>
        <v/>
      </c>
      <c r="BC174" s="670" t="str">
        <f>IF(F174="","",IF(AE174="Dubai",HLOOKUP(F174,Inputs!$C$26:$M$37,11,0),HLOOKUP(F174,Inputs!$C$45:$M$56,11,0)))</f>
        <v/>
      </c>
      <c r="BD174" s="669" t="str">
        <f>IF(F174="","",IF(AE174="Dubai",HLOOKUP(F174,Inputs!$C$26:$M$37,12,0),HLOOKUP(F174,Inputs!$C$45:$M$56,12,0)))</f>
        <v/>
      </c>
      <c r="BE174" s="654"/>
      <c r="BF174" s="669" t="str">
        <f>IFERROR(IF(AL174="","",IF(AN174="Dubai",IF(OR(AL174="Plan1",AL174="Plan2"),VLOOKUP(BA174,Deviation!$B$31:$D$33,2,FALSE),VLOOKUP(BA174,Deviation!$B$31:$D$33,3,FALSE)),IF(OR(AL174="Plan1",AL174="Plan2"),VLOOKUP(BA174,Deviation!$E$31:$AE$33,2,FALSE),VLOOKUP(BA174,Deviation!$E$31:$AE$33,3,FALSE)))),0)</f>
        <v/>
      </c>
      <c r="BG174" s="671" t="str">
        <f>IFERROR(IF(AL174="","",IF(AN174="Dubai",IF(AL174="Plan1",VLOOKUP(BB174,Deviation!$B$39:$C$40,2,FALSE),IF(AL174="Plan2",VLOOKUP(BB174,Deviation!$B$42:$C$43,2,FALSE),IF(AL174="Plan5",VLOOKUP(BB174,Deviation!$B$48:$C$49,2,FALSE),VLOOKUP(BB174,Deviation!$B$45:$C$46,2,FALSE)))),IF(AL174="Plan1",VLOOKUP(BB174,Deviation!$E$39:$F$40,2,FALSE),IF(AL174="Plan2",VLOOKUP(BB174,Deviation!$E$42:$F$43,2,FALSE),VLOOKUP(BB174,Deviation!$E$45:$F$46,2,FALSE))))),0)</f>
        <v/>
      </c>
      <c r="BH174" s="671" t="str">
        <f>IFERROR(IF(AL174="","",IF(AN174="Dubai",IF(OR(AL174="Plan1",AL174="Plan2"),VLOOKUP(BC174,Deviation!$B$15:$D$19,2,FALSE),VLOOKUP(BC174,Deviation!$B$15:$D$19,3,FALSE)),IF(OR(AL174="Plan1",AL174="Plan2"),VLOOKUP(BC174,Deviation!$E$15:$AE$19,2,FALSE),VLOOKUP(BC174,Deviation!$E$15:$AE$19,3,FALSE)))),0)</f>
        <v/>
      </c>
      <c r="BI174" s="669" t="str">
        <f>IFERROR(IF(AL174="","",IF(AN174="Dubai",VLOOKUP(BD174,Deviation!$B$24:$C$26,2,FALSE),100%)),0)</f>
        <v/>
      </c>
      <c r="BJ174" s="672">
        <f>IF(AE174="Abu Dhabi",1,IFERROR(VLOOKUP(AM174,Deviation!$B$67:$E$79,MATCH('Census Data'!AA174,Deviation!$B$66:$E$66,0),0),1))</f>
        <v>1</v>
      </c>
      <c r="BK174" s="659">
        <f>IFERROR(VLOOKUP(I174,Deviation!$B$54:$C$62,2,0),1)</f>
        <v>1</v>
      </c>
      <c r="BL174" s="148"/>
      <c r="BM174" s="148"/>
      <c r="BN174" s="148"/>
      <c r="BO174" s="148"/>
      <c r="BP174" s="148"/>
      <c r="BQ174" s="148"/>
      <c r="BR174" s="148"/>
      <c r="BS174" s="148"/>
      <c r="BT174" s="148" t="e">
        <f t="shared" si="85"/>
        <v>#VALUE!</v>
      </c>
      <c r="BU174"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f>
        <v/>
      </c>
    </row>
    <row r="175" spans="1:73" ht="15" x14ac:dyDescent="0.25">
      <c r="A175" s="59">
        <v>170</v>
      </c>
      <c r="B175" s="470"/>
      <c r="C175" s="628"/>
      <c r="D175" s="629"/>
      <c r="E175" s="471"/>
      <c r="F175" s="298"/>
      <c r="G175" s="298"/>
      <c r="H175" s="298"/>
      <c r="I175" s="298"/>
      <c r="J175" s="80" t="str">
        <f>IFERROR(IF(C175="","",DATEDIF('Census Data'!C175,eff_date,"y")),"")</f>
        <v/>
      </c>
      <c r="K175" s="59" t="str">
        <f>IF(F175="","",IF(AE175="Dubai",HLOOKUP(F175,Inputs!$C$26:$M$28,3,0),HLOOKUP(F175,Inputs!$C$45:$M$46,2,0)))</f>
        <v/>
      </c>
      <c r="L175" s="94"/>
      <c r="M175" s="105">
        <f t="shared" si="87"/>
        <v>0</v>
      </c>
      <c r="N175" s="654" t="b">
        <f t="shared" si="88"/>
        <v>0</v>
      </c>
      <c r="O175" s="655" t="str">
        <f t="shared" si="89"/>
        <v>x</v>
      </c>
      <c r="P175" s="655" t="str">
        <f t="shared" si="90"/>
        <v>x</v>
      </c>
      <c r="Q175" s="655" t="str">
        <f t="shared" si="91"/>
        <v>x</v>
      </c>
      <c r="R175" s="655" t="str">
        <f t="shared" si="100"/>
        <v>x</v>
      </c>
      <c r="S175" s="655" t="str">
        <f t="shared" si="92"/>
        <v>x</v>
      </c>
      <c r="T175" s="655" t="str">
        <f>IF(ISERROR(MATCH(G175,'Inputs Mapping'!$T$4:$T$10,0)),"x","")</f>
        <v>x</v>
      </c>
      <c r="U175" s="655" t="str">
        <f>IF(ISERROR(MATCH(AA175,'Inputs Mapping'!$U$4:$U$5,0)),"x","")</f>
        <v>x</v>
      </c>
      <c r="V175" s="655" t="str">
        <f>IF(ISERROR(MATCH(AB175,'Inputs Mapping'!$V$4:$V$5,0)),"x","")</f>
        <v>x</v>
      </c>
      <c r="W175" s="655" t="str">
        <f>IF(ISERROR(MATCH(F175,'Inputs Mapping'!$W$4:$W$8,0)),"x","")</f>
        <v>x</v>
      </c>
      <c r="X175" s="655" t="str">
        <f t="shared" si="93"/>
        <v/>
      </c>
      <c r="Y175" s="655" t="str">
        <f t="shared" si="94"/>
        <v/>
      </c>
      <c r="Z175" s="655" t="str">
        <f t="shared" si="95"/>
        <v/>
      </c>
      <c r="AA175" s="655" t="str">
        <f t="shared" si="77"/>
        <v/>
      </c>
      <c r="AB175" s="655" t="str">
        <f t="shared" si="96"/>
        <v/>
      </c>
      <c r="AC175" s="655" t="str">
        <f t="shared" si="86"/>
        <v>x</v>
      </c>
      <c r="AD175" s="655" t="str">
        <f>IF(ISBLANK(I175),"x",IF(ISNUMBER(MATCH(I175,'Inputs Mapping'!$AF$5:$AF$199,0)),"","x"))</f>
        <v>x</v>
      </c>
      <c r="AE175" s="655" t="str">
        <f t="shared" si="80"/>
        <v/>
      </c>
      <c r="AF175" s="148"/>
      <c r="AG175" s="148"/>
      <c r="AH175" s="148" t="str">
        <f t="shared" si="81"/>
        <v/>
      </c>
      <c r="AI175" s="654" t="str">
        <f>IF(J175="","",VLOOKUP(J175,'Inputs Mapping'!$T$27:$V$31,3))</f>
        <v/>
      </c>
      <c r="AJ175" s="654" t="str">
        <f>IF(J175="","",VLOOKUP(J175,'Inputs Mapping'!$T$17:$V$24,3))</f>
        <v/>
      </c>
      <c r="AK175" s="654" t="str">
        <f t="shared" si="82"/>
        <v/>
      </c>
      <c r="AL175" s="655" t="str">
        <f t="shared" si="97"/>
        <v/>
      </c>
      <c r="AM175" s="655" t="str">
        <f>IF(F175="","",IF(AE175="Dubai",HLOOKUP(F175,Inputs!$C$26:$M$36,5,0),HLOOKUP(F175,Inputs!$C$45:$M$49,5,0)))</f>
        <v/>
      </c>
      <c r="AN175" s="655">
        <f t="shared" si="83"/>
        <v>0</v>
      </c>
      <c r="AO175" s="654" t="str">
        <f>IF(AJ175="","",IF(AN175="Dubai",VLOOKUP(AJ175,'Inputs Mapping'!$V$17:$W$24,2,0),VLOOKUP(AI175,'Inputs Mapping'!$V$27:$W$31,2,0)))</f>
        <v/>
      </c>
      <c r="AP175" s="666">
        <f>IFERROR(IF($AN175="","",HLOOKUP($AN175&amp;RIGHT($AL175,1),'input for formula'!$B$16:$I$20,3,0)),0)</f>
        <v>0</v>
      </c>
      <c r="AQ175" s="656">
        <f>IFERROR(IF($AN175="","",HLOOKUP($AN175&amp;$F175,'input for formula'!$B$22:$M$25,2,0)),0)</f>
        <v>0</v>
      </c>
      <c r="AR175" s="666">
        <f>IFERROR(IF($AN175="","",HLOOKUP($AN175&amp;RIGHT($AL175,1),'input for formula'!$B$16:$I$20,4,0)),0)</f>
        <v>0</v>
      </c>
      <c r="AS175" s="656">
        <f>IFERROR(IF($AN175="","",HLOOKUP($AN175&amp;$F175,'input for formula'!$B$22:$M$25,3,0)),0)</f>
        <v>0</v>
      </c>
      <c r="AT175" s="656">
        <f>IFERROR(IF($AN175="","",HLOOKUP($AN175&amp;RIGHT($AL175,1),'input for formula'!$B$16:$I$20,5,0)),0)</f>
        <v>0</v>
      </c>
      <c r="AU175" s="656">
        <f>IFERROR(IF($AN175="","",HLOOKUP($AN175&amp;$F175,'input for formula'!$B$22:$M$25,4,0)),0)</f>
        <v>0</v>
      </c>
      <c r="AV175" s="666">
        <f>IFERROR(IF($AN175="","",IF('Census Data'!$AN175="Abu Dhabi",VLOOKUP('Census Data'!$AM175,'input for formula'!$A$28:$C$41,3,0),VLOOKUP('Census Data'!$AM175,'input for formula'!$A$28:$C$47,2,0))),0)*IFERROR(1+IF(AN175="Dubai",VLOOKUP(F175,'Quotation for Dubai Plans'!$V$6:$X$12,3,FALSE),VLOOKUP(F175,'Quotation for Abu Dhabi Plans'!$W$6:$Y$12,3,FALSE)),0)</f>
        <v>0</v>
      </c>
      <c r="AW175" s="656" t="str">
        <f t="shared" si="98"/>
        <v/>
      </c>
      <c r="AX175" s="667" t="str">
        <f>IFERROR(IF(AL175="","",IF(AN175="Dubai",HLOOKUP((AL175&amp;AM175),Deviation!$B$7:$S$8,2,0)*BF175*BH175*BI175*BG175,HLOOKUP((AL175&amp;AM175),Deviation!$B$9:$O$10,2,0)*BF175*BH175*BI175*BG175)),0)</f>
        <v/>
      </c>
      <c r="AY175" s="668"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formula'!$M$3:$O$7,AO175,FALSE)))*AX175+AP175*AQ175+AR175*AS175+AT175*AU175),0)*$AZ$3*BK175*BJ175*IF(AND(Inputs!$C$19&gt;19,Inputs!$C$19&lt;30),(1+$AZ$2),1)*(1+$AZ$1))</f>
        <v/>
      </c>
      <c r="AZ175" s="148" t="str">
        <f t="shared" si="99"/>
        <v/>
      </c>
      <c r="BA175" s="669" t="str">
        <f>IF(F175="","",IF(AE175="Dubai",HLOOKUP(F175,Inputs!$C$26:$M$37,9,0),HLOOKUP(F175,Inputs!$C$45:$M$56,9,0)))</f>
        <v/>
      </c>
      <c r="BB175" s="670" t="str">
        <f>IF(F175="","",IF(AE175="Dubai",HLOOKUP(F175,Inputs!$C$26:$M$37,10,0),HLOOKUP(F175,Inputs!$C$45:$M$56,10,0)))</f>
        <v/>
      </c>
      <c r="BC175" s="670" t="str">
        <f>IF(F175="","",IF(AE175="Dubai",HLOOKUP(F175,Inputs!$C$26:$M$37,11,0),HLOOKUP(F175,Inputs!$C$45:$M$56,11,0)))</f>
        <v/>
      </c>
      <c r="BD175" s="669" t="str">
        <f>IF(F175="","",IF(AE175="Dubai",HLOOKUP(F175,Inputs!$C$26:$M$37,12,0),HLOOKUP(F175,Inputs!$C$45:$M$56,12,0)))</f>
        <v/>
      </c>
      <c r="BE175" s="654"/>
      <c r="BF175" s="669" t="str">
        <f>IFERROR(IF(AL175="","",IF(AN175="Dubai",IF(OR(AL175="Plan1",AL175="Plan2"),VLOOKUP(BA175,Deviation!$B$31:$D$33,2,FALSE),VLOOKUP(BA175,Deviation!$B$31:$D$33,3,FALSE)),IF(OR(AL175="Plan1",AL175="Plan2"),VLOOKUP(BA175,Deviation!$E$31:$AE$33,2,FALSE),VLOOKUP(BA175,Deviation!$E$31:$AE$33,3,FALSE)))),0)</f>
        <v/>
      </c>
      <c r="BG175" s="671" t="str">
        <f>IFERROR(IF(AL175="","",IF(AN175="Dubai",IF(AL175="Plan1",VLOOKUP(BB175,Deviation!$B$39:$C$40,2,FALSE),IF(AL175="Plan2",VLOOKUP(BB175,Deviation!$B$42:$C$43,2,FALSE),IF(AL175="Plan5",VLOOKUP(BB175,Deviation!$B$48:$C$49,2,FALSE),VLOOKUP(BB175,Deviation!$B$45:$C$46,2,FALSE)))),IF(AL175="Plan1",VLOOKUP(BB175,Deviation!$E$39:$F$40,2,FALSE),IF(AL175="Plan2",VLOOKUP(BB175,Deviation!$E$42:$F$43,2,FALSE),VLOOKUP(BB175,Deviation!$E$45:$F$46,2,FALSE))))),0)</f>
        <v/>
      </c>
      <c r="BH175" s="671" t="str">
        <f>IFERROR(IF(AL175="","",IF(AN175="Dubai",IF(OR(AL175="Plan1",AL175="Plan2"),VLOOKUP(BC175,Deviation!$B$15:$D$19,2,FALSE),VLOOKUP(BC175,Deviation!$B$15:$D$19,3,FALSE)),IF(OR(AL175="Plan1",AL175="Plan2"),VLOOKUP(BC175,Deviation!$E$15:$AE$19,2,FALSE),VLOOKUP(BC175,Deviation!$E$15:$AE$19,3,FALSE)))),0)</f>
        <v/>
      </c>
      <c r="BI175" s="669" t="str">
        <f>IFERROR(IF(AL175="","",IF(AN175="Dubai",VLOOKUP(BD175,Deviation!$B$24:$C$26,2,FALSE),100%)),0)</f>
        <v/>
      </c>
      <c r="BJ175" s="672">
        <f>IF(AE175="Abu Dhabi",1,IFERROR(VLOOKUP(AM175,Deviation!$B$67:$E$79,MATCH('Census Data'!AA175,Deviation!$B$66:$E$66,0),0),1))</f>
        <v>1</v>
      </c>
      <c r="BK175" s="659">
        <f>IFERROR(VLOOKUP(I175,Deviation!$B$54:$C$62,2,0),1)</f>
        <v>1</v>
      </c>
      <c r="BL175" s="148"/>
      <c r="BM175" s="148"/>
      <c r="BN175" s="148"/>
      <c r="BO175" s="148"/>
      <c r="BP175" s="148"/>
      <c r="BQ175" s="148"/>
      <c r="BR175" s="148"/>
      <c r="BS175" s="148"/>
      <c r="BT175" s="148" t="e">
        <f t="shared" si="85"/>
        <v>#VALUE!</v>
      </c>
      <c r="BU175"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f>
        <v/>
      </c>
    </row>
    <row r="176" spans="1:73" ht="15" x14ac:dyDescent="0.25">
      <c r="A176" s="59">
        <v>171</v>
      </c>
      <c r="B176" s="470"/>
      <c r="C176" s="628"/>
      <c r="D176" s="629"/>
      <c r="E176" s="471"/>
      <c r="F176" s="298"/>
      <c r="G176" s="298"/>
      <c r="H176" s="298"/>
      <c r="I176" s="298"/>
      <c r="J176" s="80" t="str">
        <f>IFERROR(IF(C176="","",DATEDIF('Census Data'!C176,eff_date,"y")),"")</f>
        <v/>
      </c>
      <c r="K176" s="59" t="str">
        <f>IF(F176="","",IF(AE176="Dubai",HLOOKUP(F176,Inputs!$C$26:$M$28,3,0),HLOOKUP(F176,Inputs!$C$45:$M$46,2,0)))</f>
        <v/>
      </c>
      <c r="L176" s="94"/>
      <c r="M176" s="105">
        <f t="shared" si="87"/>
        <v>0</v>
      </c>
      <c r="N176" s="654" t="b">
        <f t="shared" si="88"/>
        <v>0</v>
      </c>
      <c r="O176" s="655" t="str">
        <f t="shared" si="89"/>
        <v>x</v>
      </c>
      <c r="P176" s="655" t="str">
        <f t="shared" si="90"/>
        <v>x</v>
      </c>
      <c r="Q176" s="655" t="str">
        <f t="shared" si="91"/>
        <v>x</v>
      </c>
      <c r="R176" s="655" t="str">
        <f t="shared" si="100"/>
        <v>x</v>
      </c>
      <c r="S176" s="655" t="str">
        <f t="shared" si="92"/>
        <v>x</v>
      </c>
      <c r="T176" s="655" t="str">
        <f>IF(ISERROR(MATCH(G176,'Inputs Mapping'!$T$4:$T$10,0)),"x","")</f>
        <v>x</v>
      </c>
      <c r="U176" s="655" t="str">
        <f>IF(ISERROR(MATCH(AA176,'Inputs Mapping'!$U$4:$U$5,0)),"x","")</f>
        <v>x</v>
      </c>
      <c r="V176" s="655" t="str">
        <f>IF(ISERROR(MATCH(AB176,'Inputs Mapping'!$V$4:$V$5,0)),"x","")</f>
        <v>x</v>
      </c>
      <c r="W176" s="655" t="str">
        <f>IF(ISERROR(MATCH(F176,'Inputs Mapping'!$W$4:$W$8,0)),"x","")</f>
        <v>x</v>
      </c>
      <c r="X176" s="655" t="str">
        <f t="shared" si="93"/>
        <v/>
      </c>
      <c r="Y176" s="655" t="str">
        <f t="shared" si="94"/>
        <v/>
      </c>
      <c r="Z176" s="655" t="str">
        <f t="shared" si="95"/>
        <v/>
      </c>
      <c r="AA176" s="655" t="str">
        <f t="shared" si="77"/>
        <v/>
      </c>
      <c r="AB176" s="655" t="str">
        <f t="shared" si="96"/>
        <v/>
      </c>
      <c r="AC176" s="655" t="str">
        <f t="shared" si="86"/>
        <v>x</v>
      </c>
      <c r="AD176" s="655" t="str">
        <f>IF(ISBLANK(I176),"x",IF(ISNUMBER(MATCH(I176,'Inputs Mapping'!$AF$5:$AF$199,0)),"","x"))</f>
        <v>x</v>
      </c>
      <c r="AE176" s="655" t="str">
        <f t="shared" si="80"/>
        <v/>
      </c>
      <c r="AF176" s="148"/>
      <c r="AG176" s="148"/>
      <c r="AH176" s="148" t="str">
        <f t="shared" si="81"/>
        <v/>
      </c>
      <c r="AI176" s="654" t="str">
        <f>IF(J176="","",VLOOKUP(J176,'Inputs Mapping'!$T$27:$V$31,3))</f>
        <v/>
      </c>
      <c r="AJ176" s="654" t="str">
        <f>IF(J176="","",VLOOKUP(J176,'Inputs Mapping'!$T$17:$V$24,3))</f>
        <v/>
      </c>
      <c r="AK176" s="654" t="str">
        <f t="shared" si="82"/>
        <v/>
      </c>
      <c r="AL176" s="655" t="str">
        <f t="shared" si="97"/>
        <v/>
      </c>
      <c r="AM176" s="655" t="str">
        <f>IF(F176="","",IF(AE176="Dubai",HLOOKUP(F176,Inputs!$C$26:$M$36,5,0),HLOOKUP(F176,Inputs!$C$45:$M$49,5,0)))</f>
        <v/>
      </c>
      <c r="AN176" s="655">
        <f t="shared" si="83"/>
        <v>0</v>
      </c>
      <c r="AO176" s="654" t="str">
        <f>IF(AJ176="","",IF(AN176="Dubai",VLOOKUP(AJ176,'Inputs Mapping'!$V$17:$W$24,2,0),VLOOKUP(AI176,'Inputs Mapping'!$V$27:$W$31,2,0)))</f>
        <v/>
      </c>
      <c r="AP176" s="666">
        <f>IFERROR(IF($AN176="","",HLOOKUP($AN176&amp;RIGHT($AL176,1),'input for formula'!$B$16:$I$20,3,0)),0)</f>
        <v>0</v>
      </c>
      <c r="AQ176" s="656">
        <f>IFERROR(IF($AN176="","",HLOOKUP($AN176&amp;$F176,'input for formula'!$B$22:$M$25,2,0)),0)</f>
        <v>0</v>
      </c>
      <c r="AR176" s="666">
        <f>IFERROR(IF($AN176="","",HLOOKUP($AN176&amp;RIGHT($AL176,1),'input for formula'!$B$16:$I$20,4,0)),0)</f>
        <v>0</v>
      </c>
      <c r="AS176" s="656">
        <f>IFERROR(IF($AN176="","",HLOOKUP($AN176&amp;$F176,'input for formula'!$B$22:$M$25,3,0)),0)</f>
        <v>0</v>
      </c>
      <c r="AT176" s="656">
        <f>IFERROR(IF($AN176="","",HLOOKUP($AN176&amp;RIGHT($AL176,1),'input for formula'!$B$16:$I$20,5,0)),0)</f>
        <v>0</v>
      </c>
      <c r="AU176" s="656">
        <f>IFERROR(IF($AN176="","",HLOOKUP($AN176&amp;$F176,'input for formula'!$B$22:$M$25,4,0)),0)</f>
        <v>0</v>
      </c>
      <c r="AV176" s="666">
        <f>IFERROR(IF($AN176="","",IF('Census Data'!$AN176="Abu Dhabi",VLOOKUP('Census Data'!$AM176,'input for formula'!$A$28:$C$41,3,0),VLOOKUP('Census Data'!$AM176,'input for formula'!$A$28:$C$47,2,0))),0)*IFERROR(1+IF(AN176="Dubai",VLOOKUP(F176,'Quotation for Dubai Plans'!$V$6:$X$12,3,FALSE),VLOOKUP(F176,'Quotation for Abu Dhabi Plans'!$W$6:$Y$12,3,FALSE)),0)</f>
        <v>0</v>
      </c>
      <c r="AW176" s="656" t="str">
        <f t="shared" si="98"/>
        <v/>
      </c>
      <c r="AX176" s="667" t="str">
        <f>IFERROR(IF(AL176="","",IF(AN176="Dubai",HLOOKUP((AL176&amp;AM176),Deviation!$B$7:$S$8,2,0)*BF176*BH176*BI176*BG176,HLOOKUP((AL176&amp;AM176),Deviation!$B$9:$O$10,2,0)*BF176*BH176*BI176*BG176)),0)</f>
        <v/>
      </c>
      <c r="AY176" s="668"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formula'!$M$3:$O$7,AO176,FALSE)))*AX176+AP176*AQ176+AR176*AS176+AT176*AU176),0)*$AZ$3*BK176*BJ176*IF(AND(Inputs!$C$19&gt;19,Inputs!$C$19&lt;30),(1+$AZ$2),1)*(1+$AZ$1))</f>
        <v/>
      </c>
      <c r="AZ176" s="148" t="str">
        <f t="shared" si="99"/>
        <v/>
      </c>
      <c r="BA176" s="669" t="str">
        <f>IF(F176="","",IF(AE176="Dubai",HLOOKUP(F176,Inputs!$C$26:$M$37,9,0),HLOOKUP(F176,Inputs!$C$45:$M$56,9,0)))</f>
        <v/>
      </c>
      <c r="BB176" s="670" t="str">
        <f>IF(F176="","",IF(AE176="Dubai",HLOOKUP(F176,Inputs!$C$26:$M$37,10,0),HLOOKUP(F176,Inputs!$C$45:$M$56,10,0)))</f>
        <v/>
      </c>
      <c r="BC176" s="670" t="str">
        <f>IF(F176="","",IF(AE176="Dubai",HLOOKUP(F176,Inputs!$C$26:$M$37,11,0),HLOOKUP(F176,Inputs!$C$45:$M$56,11,0)))</f>
        <v/>
      </c>
      <c r="BD176" s="669" t="str">
        <f>IF(F176="","",IF(AE176="Dubai",HLOOKUP(F176,Inputs!$C$26:$M$37,12,0),HLOOKUP(F176,Inputs!$C$45:$M$56,12,0)))</f>
        <v/>
      </c>
      <c r="BE176" s="654"/>
      <c r="BF176" s="669" t="str">
        <f>IFERROR(IF(AL176="","",IF(AN176="Dubai",IF(OR(AL176="Plan1",AL176="Plan2"),VLOOKUP(BA176,Deviation!$B$31:$D$33,2,FALSE),VLOOKUP(BA176,Deviation!$B$31:$D$33,3,FALSE)),IF(OR(AL176="Plan1",AL176="Plan2"),VLOOKUP(BA176,Deviation!$E$31:$AE$33,2,FALSE),VLOOKUP(BA176,Deviation!$E$31:$AE$33,3,FALSE)))),0)</f>
        <v/>
      </c>
      <c r="BG176" s="671" t="str">
        <f>IFERROR(IF(AL176="","",IF(AN176="Dubai",IF(AL176="Plan1",VLOOKUP(BB176,Deviation!$B$39:$C$40,2,FALSE),IF(AL176="Plan2",VLOOKUP(BB176,Deviation!$B$42:$C$43,2,FALSE),IF(AL176="Plan5",VLOOKUP(BB176,Deviation!$B$48:$C$49,2,FALSE),VLOOKUP(BB176,Deviation!$B$45:$C$46,2,FALSE)))),IF(AL176="Plan1",VLOOKUP(BB176,Deviation!$E$39:$F$40,2,FALSE),IF(AL176="Plan2",VLOOKUP(BB176,Deviation!$E$42:$F$43,2,FALSE),VLOOKUP(BB176,Deviation!$E$45:$F$46,2,FALSE))))),0)</f>
        <v/>
      </c>
      <c r="BH176" s="671" t="str">
        <f>IFERROR(IF(AL176="","",IF(AN176="Dubai",IF(OR(AL176="Plan1",AL176="Plan2"),VLOOKUP(BC176,Deviation!$B$15:$D$19,2,FALSE),VLOOKUP(BC176,Deviation!$B$15:$D$19,3,FALSE)),IF(OR(AL176="Plan1",AL176="Plan2"),VLOOKUP(BC176,Deviation!$E$15:$AE$19,2,FALSE),VLOOKUP(BC176,Deviation!$E$15:$AE$19,3,FALSE)))),0)</f>
        <v/>
      </c>
      <c r="BI176" s="669" t="str">
        <f>IFERROR(IF(AL176="","",IF(AN176="Dubai",VLOOKUP(BD176,Deviation!$B$24:$C$26,2,FALSE),100%)),0)</f>
        <v/>
      </c>
      <c r="BJ176" s="672">
        <f>IF(AE176="Abu Dhabi",1,IFERROR(VLOOKUP(AM176,Deviation!$B$67:$E$79,MATCH('Census Data'!AA176,Deviation!$B$66:$E$66,0),0),1))</f>
        <v>1</v>
      </c>
      <c r="BK176" s="659">
        <f>IFERROR(VLOOKUP(I176,Deviation!$B$54:$C$62,2,0),1)</f>
        <v>1</v>
      </c>
      <c r="BL176" s="148"/>
      <c r="BM176" s="148"/>
      <c r="BN176" s="148"/>
      <c r="BO176" s="148"/>
      <c r="BP176" s="148"/>
      <c r="BQ176" s="148"/>
      <c r="BR176" s="148"/>
      <c r="BS176" s="148"/>
      <c r="BT176" s="148" t="e">
        <f t="shared" si="85"/>
        <v>#VALUE!</v>
      </c>
      <c r="BU176"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f>
        <v/>
      </c>
    </row>
    <row r="177" spans="1:73" ht="15" x14ac:dyDescent="0.25">
      <c r="A177" s="59">
        <v>172</v>
      </c>
      <c r="B177" s="470"/>
      <c r="C177" s="628"/>
      <c r="D177" s="629"/>
      <c r="E177" s="471"/>
      <c r="F177" s="298"/>
      <c r="G177" s="298"/>
      <c r="H177" s="298"/>
      <c r="I177" s="298"/>
      <c r="J177" s="80" t="str">
        <f>IFERROR(IF(C177="","",DATEDIF('Census Data'!C177,eff_date,"y")),"")</f>
        <v/>
      </c>
      <c r="K177" s="59" t="str">
        <f>IF(F177="","",IF(AE177="Dubai",HLOOKUP(F177,Inputs!$C$26:$M$28,3,0),HLOOKUP(F177,Inputs!$C$45:$M$46,2,0)))</f>
        <v/>
      </c>
      <c r="L177" s="94"/>
      <c r="M177" s="105">
        <f t="shared" si="87"/>
        <v>0</v>
      </c>
      <c r="N177" s="654" t="b">
        <f t="shared" si="88"/>
        <v>0</v>
      </c>
      <c r="O177" s="655" t="str">
        <f t="shared" si="89"/>
        <v>x</v>
      </c>
      <c r="P177" s="655" t="str">
        <f t="shared" si="90"/>
        <v>x</v>
      </c>
      <c r="Q177" s="655" t="str">
        <f t="shared" si="91"/>
        <v>x</v>
      </c>
      <c r="R177" s="655" t="str">
        <f t="shared" si="100"/>
        <v>x</v>
      </c>
      <c r="S177" s="655" t="str">
        <f t="shared" si="92"/>
        <v>x</v>
      </c>
      <c r="T177" s="655" t="str">
        <f>IF(ISERROR(MATCH(G177,'Inputs Mapping'!$T$4:$T$10,0)),"x","")</f>
        <v>x</v>
      </c>
      <c r="U177" s="655" t="str">
        <f>IF(ISERROR(MATCH(AA177,'Inputs Mapping'!$U$4:$U$5,0)),"x","")</f>
        <v>x</v>
      </c>
      <c r="V177" s="655" t="str">
        <f>IF(ISERROR(MATCH(AB177,'Inputs Mapping'!$V$4:$V$5,0)),"x","")</f>
        <v>x</v>
      </c>
      <c r="W177" s="655" t="str">
        <f>IF(ISERROR(MATCH(F177,'Inputs Mapping'!$W$4:$W$8,0)),"x","")</f>
        <v>x</v>
      </c>
      <c r="X177" s="655" t="str">
        <f t="shared" si="93"/>
        <v/>
      </c>
      <c r="Y177" s="655" t="str">
        <f t="shared" si="94"/>
        <v/>
      </c>
      <c r="Z177" s="655" t="str">
        <f t="shared" si="95"/>
        <v/>
      </c>
      <c r="AA177" s="655" t="str">
        <f t="shared" si="77"/>
        <v/>
      </c>
      <c r="AB177" s="655" t="str">
        <f t="shared" si="96"/>
        <v/>
      </c>
      <c r="AC177" s="655" t="str">
        <f t="shared" si="86"/>
        <v>x</v>
      </c>
      <c r="AD177" s="655" t="str">
        <f>IF(ISBLANK(I177),"x",IF(ISNUMBER(MATCH(I177,'Inputs Mapping'!$AF$5:$AF$199,0)),"","x"))</f>
        <v>x</v>
      </c>
      <c r="AE177" s="655" t="str">
        <f t="shared" si="80"/>
        <v/>
      </c>
      <c r="AF177" s="148"/>
      <c r="AG177" s="148"/>
      <c r="AH177" s="148" t="str">
        <f t="shared" si="81"/>
        <v/>
      </c>
      <c r="AI177" s="654" t="str">
        <f>IF(J177="","",VLOOKUP(J177,'Inputs Mapping'!$T$27:$V$31,3))</f>
        <v/>
      </c>
      <c r="AJ177" s="654" t="str">
        <f>IF(J177="","",VLOOKUP(J177,'Inputs Mapping'!$T$17:$V$24,3))</f>
        <v/>
      </c>
      <c r="AK177" s="654" t="str">
        <f t="shared" si="82"/>
        <v/>
      </c>
      <c r="AL177" s="655" t="str">
        <f t="shared" si="97"/>
        <v/>
      </c>
      <c r="AM177" s="655" t="str">
        <f>IF(F177="","",IF(AE177="Dubai",HLOOKUP(F177,Inputs!$C$26:$M$36,5,0),HLOOKUP(F177,Inputs!$C$45:$M$49,5,0)))</f>
        <v/>
      </c>
      <c r="AN177" s="655">
        <f t="shared" si="83"/>
        <v>0</v>
      </c>
      <c r="AO177" s="654" t="str">
        <f>IF(AJ177="","",IF(AN177="Dubai",VLOOKUP(AJ177,'Inputs Mapping'!$V$17:$W$24,2,0),VLOOKUP(AI177,'Inputs Mapping'!$V$27:$W$31,2,0)))</f>
        <v/>
      </c>
      <c r="AP177" s="666">
        <f>IFERROR(IF($AN177="","",HLOOKUP($AN177&amp;RIGHT($AL177,1),'input for formula'!$B$16:$I$20,3,0)),0)</f>
        <v>0</v>
      </c>
      <c r="AQ177" s="656">
        <f>IFERROR(IF($AN177="","",HLOOKUP($AN177&amp;$F177,'input for formula'!$B$22:$M$25,2,0)),0)</f>
        <v>0</v>
      </c>
      <c r="AR177" s="666">
        <f>IFERROR(IF($AN177="","",HLOOKUP($AN177&amp;RIGHT($AL177,1),'input for formula'!$B$16:$I$20,4,0)),0)</f>
        <v>0</v>
      </c>
      <c r="AS177" s="656">
        <f>IFERROR(IF($AN177="","",HLOOKUP($AN177&amp;$F177,'input for formula'!$B$22:$M$25,3,0)),0)</f>
        <v>0</v>
      </c>
      <c r="AT177" s="656">
        <f>IFERROR(IF($AN177="","",HLOOKUP($AN177&amp;RIGHT($AL177,1),'input for formula'!$B$16:$I$20,5,0)),0)</f>
        <v>0</v>
      </c>
      <c r="AU177" s="656">
        <f>IFERROR(IF($AN177="","",HLOOKUP($AN177&amp;$F177,'input for formula'!$B$22:$M$25,4,0)),0)</f>
        <v>0</v>
      </c>
      <c r="AV177" s="666">
        <f>IFERROR(IF($AN177="","",IF('Census Data'!$AN177="Abu Dhabi",VLOOKUP('Census Data'!$AM177,'input for formula'!$A$28:$C$41,3,0),VLOOKUP('Census Data'!$AM177,'input for formula'!$A$28:$C$47,2,0))),0)*IFERROR(1+IF(AN177="Dubai",VLOOKUP(F177,'Quotation for Dubai Plans'!$V$6:$X$12,3,FALSE),VLOOKUP(F177,'Quotation for Abu Dhabi Plans'!$W$6:$Y$12,3,FALSE)),0)</f>
        <v>0</v>
      </c>
      <c r="AW177" s="656" t="str">
        <f t="shared" si="98"/>
        <v/>
      </c>
      <c r="AX177" s="667" t="str">
        <f>IFERROR(IF(AL177="","",IF(AN177="Dubai",HLOOKUP((AL177&amp;AM177),Deviation!$B$7:$S$8,2,0)*BF177*BH177*BI177*BG177,HLOOKUP((AL177&amp;AM177),Deviation!$B$9:$O$10,2,0)*BF177*BH177*BI177*BG177)),0)</f>
        <v/>
      </c>
      <c r="AY177" s="668"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formula'!$M$3:$O$7,AO177,FALSE)))*AX177+AP177*AQ177+AR177*AS177+AT177*AU177),0)*$AZ$3*BK177*BJ177*IF(AND(Inputs!$C$19&gt;19,Inputs!$C$19&lt;30),(1+$AZ$2),1)*(1+$AZ$1))</f>
        <v/>
      </c>
      <c r="AZ177" s="148" t="str">
        <f t="shared" si="99"/>
        <v/>
      </c>
      <c r="BA177" s="669" t="str">
        <f>IF(F177="","",IF(AE177="Dubai",HLOOKUP(F177,Inputs!$C$26:$M$37,9,0),HLOOKUP(F177,Inputs!$C$45:$M$56,9,0)))</f>
        <v/>
      </c>
      <c r="BB177" s="670" t="str">
        <f>IF(F177="","",IF(AE177="Dubai",HLOOKUP(F177,Inputs!$C$26:$M$37,10,0),HLOOKUP(F177,Inputs!$C$45:$M$56,10,0)))</f>
        <v/>
      </c>
      <c r="BC177" s="670" t="str">
        <f>IF(F177="","",IF(AE177="Dubai",HLOOKUP(F177,Inputs!$C$26:$M$37,11,0),HLOOKUP(F177,Inputs!$C$45:$M$56,11,0)))</f>
        <v/>
      </c>
      <c r="BD177" s="669" t="str">
        <f>IF(F177="","",IF(AE177="Dubai",HLOOKUP(F177,Inputs!$C$26:$M$37,12,0),HLOOKUP(F177,Inputs!$C$45:$M$56,12,0)))</f>
        <v/>
      </c>
      <c r="BE177" s="654"/>
      <c r="BF177" s="669" t="str">
        <f>IFERROR(IF(AL177="","",IF(AN177="Dubai",IF(OR(AL177="Plan1",AL177="Plan2"),VLOOKUP(BA177,Deviation!$B$31:$D$33,2,FALSE),VLOOKUP(BA177,Deviation!$B$31:$D$33,3,FALSE)),IF(OR(AL177="Plan1",AL177="Plan2"),VLOOKUP(BA177,Deviation!$E$31:$AE$33,2,FALSE),VLOOKUP(BA177,Deviation!$E$31:$AE$33,3,FALSE)))),0)</f>
        <v/>
      </c>
      <c r="BG177" s="671" t="str">
        <f>IFERROR(IF(AL177="","",IF(AN177="Dubai",IF(AL177="Plan1",VLOOKUP(BB177,Deviation!$B$39:$C$40,2,FALSE),IF(AL177="Plan2",VLOOKUP(BB177,Deviation!$B$42:$C$43,2,FALSE),IF(AL177="Plan5",VLOOKUP(BB177,Deviation!$B$48:$C$49,2,FALSE),VLOOKUP(BB177,Deviation!$B$45:$C$46,2,FALSE)))),IF(AL177="Plan1",VLOOKUP(BB177,Deviation!$E$39:$F$40,2,FALSE),IF(AL177="Plan2",VLOOKUP(BB177,Deviation!$E$42:$F$43,2,FALSE),VLOOKUP(BB177,Deviation!$E$45:$F$46,2,FALSE))))),0)</f>
        <v/>
      </c>
      <c r="BH177" s="671" t="str">
        <f>IFERROR(IF(AL177="","",IF(AN177="Dubai",IF(OR(AL177="Plan1",AL177="Plan2"),VLOOKUP(BC177,Deviation!$B$15:$D$19,2,FALSE),VLOOKUP(BC177,Deviation!$B$15:$D$19,3,FALSE)),IF(OR(AL177="Plan1",AL177="Plan2"),VLOOKUP(BC177,Deviation!$E$15:$AE$19,2,FALSE),VLOOKUP(BC177,Deviation!$E$15:$AE$19,3,FALSE)))),0)</f>
        <v/>
      </c>
      <c r="BI177" s="669" t="str">
        <f>IFERROR(IF(AL177="","",IF(AN177="Dubai",VLOOKUP(BD177,Deviation!$B$24:$C$26,2,FALSE),100%)),0)</f>
        <v/>
      </c>
      <c r="BJ177" s="672">
        <f>IF(AE177="Abu Dhabi",1,IFERROR(VLOOKUP(AM177,Deviation!$B$67:$E$79,MATCH('Census Data'!AA177,Deviation!$B$66:$E$66,0),0),1))</f>
        <v>1</v>
      </c>
      <c r="BK177" s="659">
        <f>IFERROR(VLOOKUP(I177,Deviation!$B$54:$C$62,2,0),1)</f>
        <v>1</v>
      </c>
      <c r="BL177" s="148"/>
      <c r="BM177" s="148"/>
      <c r="BN177" s="148"/>
      <c r="BO177" s="148"/>
      <c r="BP177" s="148"/>
      <c r="BQ177" s="148"/>
      <c r="BR177" s="148"/>
      <c r="BS177" s="148"/>
      <c r="BT177" s="148" t="e">
        <f t="shared" si="85"/>
        <v>#VALUE!</v>
      </c>
      <c r="BU177"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f>
        <v/>
      </c>
    </row>
    <row r="178" spans="1:73" ht="15" x14ac:dyDescent="0.25">
      <c r="A178" s="59">
        <v>173</v>
      </c>
      <c r="B178" s="470"/>
      <c r="C178" s="628"/>
      <c r="D178" s="629"/>
      <c r="E178" s="471"/>
      <c r="F178" s="298"/>
      <c r="G178" s="298"/>
      <c r="H178" s="298"/>
      <c r="I178" s="298"/>
      <c r="J178" s="80" t="str">
        <f>IFERROR(IF(C178="","",DATEDIF('Census Data'!C178,eff_date,"y")),"")</f>
        <v/>
      </c>
      <c r="K178" s="59" t="str">
        <f>IF(F178="","",IF(AE178="Dubai",HLOOKUP(F178,Inputs!$C$26:$M$28,3,0),HLOOKUP(F178,Inputs!$C$45:$M$46,2,0)))</f>
        <v/>
      </c>
      <c r="L178" s="94"/>
      <c r="M178" s="105">
        <f t="shared" si="87"/>
        <v>0</v>
      </c>
      <c r="N178" s="654" t="b">
        <f t="shared" si="88"/>
        <v>0</v>
      </c>
      <c r="O178" s="655" t="str">
        <f t="shared" si="89"/>
        <v>x</v>
      </c>
      <c r="P178" s="655" t="str">
        <f t="shared" si="90"/>
        <v>x</v>
      </c>
      <c r="Q178" s="655" t="str">
        <f t="shared" si="91"/>
        <v>x</v>
      </c>
      <c r="R178" s="655" t="str">
        <f t="shared" si="100"/>
        <v>x</v>
      </c>
      <c r="S178" s="655" t="str">
        <f t="shared" si="92"/>
        <v>x</v>
      </c>
      <c r="T178" s="655" t="str">
        <f>IF(ISERROR(MATCH(G178,'Inputs Mapping'!$T$4:$T$10,0)),"x","")</f>
        <v>x</v>
      </c>
      <c r="U178" s="655" t="str">
        <f>IF(ISERROR(MATCH(AA178,'Inputs Mapping'!$U$4:$U$5,0)),"x","")</f>
        <v>x</v>
      </c>
      <c r="V178" s="655" t="str">
        <f>IF(ISERROR(MATCH(AB178,'Inputs Mapping'!$V$4:$V$5,0)),"x","")</f>
        <v>x</v>
      </c>
      <c r="W178" s="655" t="str">
        <f>IF(ISERROR(MATCH(F178,'Inputs Mapping'!$W$4:$W$8,0)),"x","")</f>
        <v>x</v>
      </c>
      <c r="X178" s="655" t="str">
        <f t="shared" si="93"/>
        <v/>
      </c>
      <c r="Y178" s="655" t="str">
        <f t="shared" si="94"/>
        <v/>
      </c>
      <c r="Z178" s="655" t="str">
        <f t="shared" si="95"/>
        <v/>
      </c>
      <c r="AA178" s="655" t="str">
        <f t="shared" si="77"/>
        <v/>
      </c>
      <c r="AB178" s="655" t="str">
        <f t="shared" si="96"/>
        <v/>
      </c>
      <c r="AC178" s="655" t="str">
        <f t="shared" si="86"/>
        <v>x</v>
      </c>
      <c r="AD178" s="655" t="str">
        <f>IF(ISBLANK(I178),"x",IF(ISNUMBER(MATCH(I178,'Inputs Mapping'!$AF$5:$AF$199,0)),"","x"))</f>
        <v>x</v>
      </c>
      <c r="AE178" s="655" t="str">
        <f t="shared" si="80"/>
        <v/>
      </c>
      <c r="AF178" s="148"/>
      <c r="AG178" s="148"/>
      <c r="AH178" s="148" t="str">
        <f t="shared" si="81"/>
        <v/>
      </c>
      <c r="AI178" s="654" t="str">
        <f>IF(J178="","",VLOOKUP(J178,'Inputs Mapping'!$T$27:$V$31,3))</f>
        <v/>
      </c>
      <c r="AJ178" s="654" t="str">
        <f>IF(J178="","",VLOOKUP(J178,'Inputs Mapping'!$T$17:$V$24,3))</f>
        <v/>
      </c>
      <c r="AK178" s="654" t="str">
        <f t="shared" si="82"/>
        <v/>
      </c>
      <c r="AL178" s="655" t="str">
        <f t="shared" si="97"/>
        <v/>
      </c>
      <c r="AM178" s="655" t="str">
        <f>IF(F178="","",IF(AE178="Dubai",HLOOKUP(F178,Inputs!$C$26:$M$36,5,0),HLOOKUP(F178,Inputs!$C$45:$M$49,5,0)))</f>
        <v/>
      </c>
      <c r="AN178" s="655">
        <f t="shared" si="83"/>
        <v>0</v>
      </c>
      <c r="AO178" s="654" t="str">
        <f>IF(AJ178="","",IF(AN178="Dubai",VLOOKUP(AJ178,'Inputs Mapping'!$V$17:$W$24,2,0),VLOOKUP(AI178,'Inputs Mapping'!$V$27:$W$31,2,0)))</f>
        <v/>
      </c>
      <c r="AP178" s="666">
        <f>IFERROR(IF($AN178="","",HLOOKUP($AN178&amp;RIGHT($AL178,1),'input for formula'!$B$16:$I$20,3,0)),0)</f>
        <v>0</v>
      </c>
      <c r="AQ178" s="656">
        <f>IFERROR(IF($AN178="","",HLOOKUP($AN178&amp;$F178,'input for formula'!$B$22:$M$25,2,0)),0)</f>
        <v>0</v>
      </c>
      <c r="AR178" s="666">
        <f>IFERROR(IF($AN178="","",HLOOKUP($AN178&amp;RIGHT($AL178,1),'input for formula'!$B$16:$I$20,4,0)),0)</f>
        <v>0</v>
      </c>
      <c r="AS178" s="656">
        <f>IFERROR(IF($AN178="","",HLOOKUP($AN178&amp;$F178,'input for formula'!$B$22:$M$25,3,0)),0)</f>
        <v>0</v>
      </c>
      <c r="AT178" s="656">
        <f>IFERROR(IF($AN178="","",HLOOKUP($AN178&amp;RIGHT($AL178,1),'input for formula'!$B$16:$I$20,5,0)),0)</f>
        <v>0</v>
      </c>
      <c r="AU178" s="656">
        <f>IFERROR(IF($AN178="","",HLOOKUP($AN178&amp;$F178,'input for formula'!$B$22:$M$25,4,0)),0)</f>
        <v>0</v>
      </c>
      <c r="AV178" s="666">
        <f>IFERROR(IF($AN178="","",IF('Census Data'!$AN178="Abu Dhabi",VLOOKUP('Census Data'!$AM178,'input for formula'!$A$28:$C$41,3,0),VLOOKUP('Census Data'!$AM178,'input for formula'!$A$28:$C$47,2,0))),0)*IFERROR(1+IF(AN178="Dubai",VLOOKUP(F178,'Quotation for Dubai Plans'!$V$6:$X$12,3,FALSE),VLOOKUP(F178,'Quotation for Abu Dhabi Plans'!$W$6:$Y$12,3,FALSE)),0)</f>
        <v>0</v>
      </c>
      <c r="AW178" s="656" t="str">
        <f t="shared" si="98"/>
        <v/>
      </c>
      <c r="AX178" s="667" t="str">
        <f>IFERROR(IF(AL178="","",IF(AN178="Dubai",HLOOKUP((AL178&amp;AM178),Deviation!$B$7:$S$8,2,0)*BF178*BH178*BI178*BG178,HLOOKUP((AL178&amp;AM178),Deviation!$B$9:$O$10,2,0)*BF178*BH178*BI178*BG178)),0)</f>
        <v/>
      </c>
      <c r="AY178" s="66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formula'!$M$3:$O$7,AO178,FALSE)))*AX178+AP178*AQ178+AR178*AS178+AT178*AU178),0)*$AZ$3*BK178*BJ178*IF(AND(Inputs!$C$19&gt;19,Inputs!$C$19&lt;30),(1+$AZ$2),1)*(1+$AZ$1))</f>
        <v/>
      </c>
      <c r="AZ178" s="148" t="str">
        <f t="shared" si="99"/>
        <v/>
      </c>
      <c r="BA178" s="669" t="str">
        <f>IF(F178="","",IF(AE178="Dubai",HLOOKUP(F178,Inputs!$C$26:$M$37,9,0),HLOOKUP(F178,Inputs!$C$45:$M$56,9,0)))</f>
        <v/>
      </c>
      <c r="BB178" s="670" t="str">
        <f>IF(F178="","",IF(AE178="Dubai",HLOOKUP(F178,Inputs!$C$26:$M$37,10,0),HLOOKUP(F178,Inputs!$C$45:$M$56,10,0)))</f>
        <v/>
      </c>
      <c r="BC178" s="670" t="str">
        <f>IF(F178="","",IF(AE178="Dubai",HLOOKUP(F178,Inputs!$C$26:$M$37,11,0),HLOOKUP(F178,Inputs!$C$45:$M$56,11,0)))</f>
        <v/>
      </c>
      <c r="BD178" s="669" t="str">
        <f>IF(F178="","",IF(AE178="Dubai",HLOOKUP(F178,Inputs!$C$26:$M$37,12,0),HLOOKUP(F178,Inputs!$C$45:$M$56,12,0)))</f>
        <v/>
      </c>
      <c r="BE178" s="654"/>
      <c r="BF178" s="669" t="str">
        <f>IFERROR(IF(AL178="","",IF(AN178="Dubai",IF(OR(AL178="Plan1",AL178="Plan2"),VLOOKUP(BA178,Deviation!$B$31:$D$33,2,FALSE),VLOOKUP(BA178,Deviation!$B$31:$D$33,3,FALSE)),IF(OR(AL178="Plan1",AL178="Plan2"),VLOOKUP(BA178,Deviation!$E$31:$AE$33,2,FALSE),VLOOKUP(BA178,Deviation!$E$31:$AE$33,3,FALSE)))),0)</f>
        <v/>
      </c>
      <c r="BG178" s="671" t="str">
        <f>IFERROR(IF(AL178="","",IF(AN178="Dubai",IF(AL178="Plan1",VLOOKUP(BB178,Deviation!$B$39:$C$40,2,FALSE),IF(AL178="Plan2",VLOOKUP(BB178,Deviation!$B$42:$C$43,2,FALSE),IF(AL178="Plan5",VLOOKUP(BB178,Deviation!$B$48:$C$49,2,FALSE),VLOOKUP(BB178,Deviation!$B$45:$C$46,2,FALSE)))),IF(AL178="Plan1",VLOOKUP(BB178,Deviation!$E$39:$F$40,2,FALSE),IF(AL178="Plan2",VLOOKUP(BB178,Deviation!$E$42:$F$43,2,FALSE),VLOOKUP(BB178,Deviation!$E$45:$F$46,2,FALSE))))),0)</f>
        <v/>
      </c>
      <c r="BH178" s="671" t="str">
        <f>IFERROR(IF(AL178="","",IF(AN178="Dubai",IF(OR(AL178="Plan1",AL178="Plan2"),VLOOKUP(BC178,Deviation!$B$15:$D$19,2,FALSE),VLOOKUP(BC178,Deviation!$B$15:$D$19,3,FALSE)),IF(OR(AL178="Plan1",AL178="Plan2"),VLOOKUP(BC178,Deviation!$E$15:$AE$19,2,FALSE),VLOOKUP(BC178,Deviation!$E$15:$AE$19,3,FALSE)))),0)</f>
        <v/>
      </c>
      <c r="BI178" s="669" t="str">
        <f>IFERROR(IF(AL178="","",IF(AN178="Dubai",VLOOKUP(BD178,Deviation!$B$24:$C$26,2,FALSE),100%)),0)</f>
        <v/>
      </c>
      <c r="BJ178" s="672">
        <f>IF(AE178="Abu Dhabi",1,IFERROR(VLOOKUP(AM178,Deviation!$B$67:$E$79,MATCH('Census Data'!AA178,Deviation!$B$66:$E$66,0),0),1))</f>
        <v>1</v>
      </c>
      <c r="BK178" s="659">
        <f>IFERROR(VLOOKUP(I178,Deviation!$B$54:$C$62,2,0),1)</f>
        <v>1</v>
      </c>
      <c r="BL178" s="148"/>
      <c r="BM178" s="148"/>
      <c r="BN178" s="148"/>
      <c r="BO178" s="148"/>
      <c r="BP178" s="148"/>
      <c r="BQ178" s="148"/>
      <c r="BR178" s="148"/>
      <c r="BS178" s="148"/>
      <c r="BT178" s="148" t="e">
        <f t="shared" si="85"/>
        <v>#VALUE!</v>
      </c>
      <c r="BU17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f>
        <v/>
      </c>
    </row>
    <row r="179" spans="1:73" ht="15" x14ac:dyDescent="0.25">
      <c r="A179" s="59">
        <v>174</v>
      </c>
      <c r="B179" s="470"/>
      <c r="C179" s="628"/>
      <c r="D179" s="629"/>
      <c r="E179" s="471"/>
      <c r="F179" s="298"/>
      <c r="G179" s="298"/>
      <c r="H179" s="298"/>
      <c r="I179" s="298"/>
      <c r="J179" s="80" t="str">
        <f>IFERROR(IF(C179="","",DATEDIF('Census Data'!C179,eff_date,"y")),"")</f>
        <v/>
      </c>
      <c r="K179" s="59" t="str">
        <f>IF(F179="","",IF(AE179="Dubai",HLOOKUP(F179,Inputs!$C$26:$M$28,3,0),HLOOKUP(F179,Inputs!$C$45:$M$46,2,0)))</f>
        <v/>
      </c>
      <c r="L179" s="94"/>
      <c r="M179" s="105">
        <f t="shared" si="87"/>
        <v>0</v>
      </c>
      <c r="N179" s="654" t="b">
        <f t="shared" si="88"/>
        <v>0</v>
      </c>
      <c r="O179" s="655" t="str">
        <f t="shared" si="89"/>
        <v>x</v>
      </c>
      <c r="P179" s="655" t="str">
        <f t="shared" si="90"/>
        <v>x</v>
      </c>
      <c r="Q179" s="655" t="str">
        <f t="shared" si="91"/>
        <v>x</v>
      </c>
      <c r="R179" s="655" t="str">
        <f t="shared" si="100"/>
        <v>x</v>
      </c>
      <c r="S179" s="655" t="str">
        <f t="shared" si="92"/>
        <v>x</v>
      </c>
      <c r="T179" s="655" t="str">
        <f>IF(ISERROR(MATCH(G179,'Inputs Mapping'!$T$4:$T$10,0)),"x","")</f>
        <v>x</v>
      </c>
      <c r="U179" s="655" t="str">
        <f>IF(ISERROR(MATCH(AA179,'Inputs Mapping'!$U$4:$U$5,0)),"x","")</f>
        <v>x</v>
      </c>
      <c r="V179" s="655" t="str">
        <f>IF(ISERROR(MATCH(AB179,'Inputs Mapping'!$V$4:$V$5,0)),"x","")</f>
        <v>x</v>
      </c>
      <c r="W179" s="655" t="str">
        <f>IF(ISERROR(MATCH(F179,'Inputs Mapping'!$W$4:$W$8,0)),"x","")</f>
        <v>x</v>
      </c>
      <c r="X179" s="655" t="str">
        <f t="shared" si="93"/>
        <v/>
      </c>
      <c r="Y179" s="655" t="str">
        <f t="shared" si="94"/>
        <v/>
      </c>
      <c r="Z179" s="655" t="str">
        <f t="shared" si="95"/>
        <v/>
      </c>
      <c r="AA179" s="655" t="str">
        <f t="shared" si="77"/>
        <v/>
      </c>
      <c r="AB179" s="655" t="str">
        <f t="shared" si="96"/>
        <v/>
      </c>
      <c r="AC179" s="655" t="str">
        <f t="shared" si="86"/>
        <v>x</v>
      </c>
      <c r="AD179" s="655" t="str">
        <f>IF(ISBLANK(I179),"x",IF(ISNUMBER(MATCH(I179,'Inputs Mapping'!$AF$5:$AF$199,0)),"","x"))</f>
        <v>x</v>
      </c>
      <c r="AE179" s="655" t="str">
        <f t="shared" si="80"/>
        <v/>
      </c>
      <c r="AF179" s="148"/>
      <c r="AG179" s="148"/>
      <c r="AH179" s="148" t="str">
        <f t="shared" si="81"/>
        <v/>
      </c>
      <c r="AI179" s="654" t="str">
        <f>IF(J179="","",VLOOKUP(J179,'Inputs Mapping'!$T$27:$V$31,3))</f>
        <v/>
      </c>
      <c r="AJ179" s="654" t="str">
        <f>IF(J179="","",VLOOKUP(J179,'Inputs Mapping'!$T$17:$V$24,3))</f>
        <v/>
      </c>
      <c r="AK179" s="654" t="str">
        <f t="shared" si="82"/>
        <v/>
      </c>
      <c r="AL179" s="655" t="str">
        <f t="shared" si="97"/>
        <v/>
      </c>
      <c r="AM179" s="655" t="str">
        <f>IF(F179="","",IF(AE179="Dubai",HLOOKUP(F179,Inputs!$C$26:$M$36,5,0),HLOOKUP(F179,Inputs!$C$45:$M$49,5,0)))</f>
        <v/>
      </c>
      <c r="AN179" s="655">
        <f t="shared" si="83"/>
        <v>0</v>
      </c>
      <c r="AO179" s="654" t="str">
        <f>IF(AJ179="","",IF(AN179="Dubai",VLOOKUP(AJ179,'Inputs Mapping'!$V$17:$W$24,2,0),VLOOKUP(AI179,'Inputs Mapping'!$V$27:$W$31,2,0)))</f>
        <v/>
      </c>
      <c r="AP179" s="666">
        <f>IFERROR(IF($AN179="","",HLOOKUP($AN179&amp;RIGHT($AL179,1),'input for formula'!$B$16:$I$20,3,0)),0)</f>
        <v>0</v>
      </c>
      <c r="AQ179" s="656">
        <f>IFERROR(IF($AN179="","",HLOOKUP($AN179&amp;$F179,'input for formula'!$B$22:$M$25,2,0)),0)</f>
        <v>0</v>
      </c>
      <c r="AR179" s="666">
        <f>IFERROR(IF($AN179="","",HLOOKUP($AN179&amp;RIGHT($AL179,1),'input for formula'!$B$16:$I$20,4,0)),0)</f>
        <v>0</v>
      </c>
      <c r="AS179" s="656">
        <f>IFERROR(IF($AN179="","",HLOOKUP($AN179&amp;$F179,'input for formula'!$B$22:$M$25,3,0)),0)</f>
        <v>0</v>
      </c>
      <c r="AT179" s="656">
        <f>IFERROR(IF($AN179="","",HLOOKUP($AN179&amp;RIGHT($AL179,1),'input for formula'!$B$16:$I$20,5,0)),0)</f>
        <v>0</v>
      </c>
      <c r="AU179" s="656">
        <f>IFERROR(IF($AN179="","",HLOOKUP($AN179&amp;$F179,'input for formula'!$B$22:$M$25,4,0)),0)</f>
        <v>0</v>
      </c>
      <c r="AV179" s="666">
        <f>IFERROR(IF($AN179="","",IF('Census Data'!$AN179="Abu Dhabi",VLOOKUP('Census Data'!$AM179,'input for formula'!$A$28:$C$41,3,0),VLOOKUP('Census Data'!$AM179,'input for formula'!$A$28:$C$47,2,0))),0)*IFERROR(1+IF(AN179="Dubai",VLOOKUP(F179,'Quotation for Dubai Plans'!$V$6:$X$12,3,FALSE),VLOOKUP(F179,'Quotation for Abu Dhabi Plans'!$W$6:$Y$12,3,FALSE)),0)</f>
        <v>0</v>
      </c>
      <c r="AW179" s="656" t="str">
        <f t="shared" si="98"/>
        <v/>
      </c>
      <c r="AX179" s="667" t="str">
        <f>IFERROR(IF(AL179="","",IF(AN179="Dubai",HLOOKUP((AL179&amp;AM179),Deviation!$B$7:$S$8,2,0)*BF179*BH179*BI179*BG179,HLOOKUP((AL179&amp;AM179),Deviation!$B$9:$O$10,2,0)*BF179*BH179*BI179*BG179)),0)</f>
        <v/>
      </c>
      <c r="AY179" s="668"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formula'!$M$3:$O$7,AO179,FALSE)))*AX179+AP179*AQ179+AR179*AS179+AT179*AU179),0)*$AZ$3*BK179*BJ179*IF(AND(Inputs!$C$19&gt;19,Inputs!$C$19&lt;30),(1+$AZ$2),1)*(1+$AZ$1))</f>
        <v/>
      </c>
      <c r="AZ179" s="148" t="str">
        <f t="shared" si="99"/>
        <v/>
      </c>
      <c r="BA179" s="669" t="str">
        <f>IF(F179="","",IF(AE179="Dubai",HLOOKUP(F179,Inputs!$C$26:$M$37,9,0),HLOOKUP(F179,Inputs!$C$45:$M$56,9,0)))</f>
        <v/>
      </c>
      <c r="BB179" s="670" t="str">
        <f>IF(F179="","",IF(AE179="Dubai",HLOOKUP(F179,Inputs!$C$26:$M$37,10,0),HLOOKUP(F179,Inputs!$C$45:$M$56,10,0)))</f>
        <v/>
      </c>
      <c r="BC179" s="670" t="str">
        <f>IF(F179="","",IF(AE179="Dubai",HLOOKUP(F179,Inputs!$C$26:$M$37,11,0),HLOOKUP(F179,Inputs!$C$45:$M$56,11,0)))</f>
        <v/>
      </c>
      <c r="BD179" s="669" t="str">
        <f>IF(F179="","",IF(AE179="Dubai",HLOOKUP(F179,Inputs!$C$26:$M$37,12,0),HLOOKUP(F179,Inputs!$C$45:$M$56,12,0)))</f>
        <v/>
      </c>
      <c r="BE179" s="654"/>
      <c r="BF179" s="669" t="str">
        <f>IFERROR(IF(AL179="","",IF(AN179="Dubai",IF(OR(AL179="Plan1",AL179="Plan2"),VLOOKUP(BA179,Deviation!$B$31:$D$33,2,FALSE),VLOOKUP(BA179,Deviation!$B$31:$D$33,3,FALSE)),IF(OR(AL179="Plan1",AL179="Plan2"),VLOOKUP(BA179,Deviation!$E$31:$AE$33,2,FALSE),VLOOKUP(BA179,Deviation!$E$31:$AE$33,3,FALSE)))),0)</f>
        <v/>
      </c>
      <c r="BG179" s="671" t="str">
        <f>IFERROR(IF(AL179="","",IF(AN179="Dubai",IF(AL179="Plan1",VLOOKUP(BB179,Deviation!$B$39:$C$40,2,FALSE),IF(AL179="Plan2",VLOOKUP(BB179,Deviation!$B$42:$C$43,2,FALSE),IF(AL179="Plan5",VLOOKUP(BB179,Deviation!$B$48:$C$49,2,FALSE),VLOOKUP(BB179,Deviation!$B$45:$C$46,2,FALSE)))),IF(AL179="Plan1",VLOOKUP(BB179,Deviation!$E$39:$F$40,2,FALSE),IF(AL179="Plan2",VLOOKUP(BB179,Deviation!$E$42:$F$43,2,FALSE),VLOOKUP(BB179,Deviation!$E$45:$F$46,2,FALSE))))),0)</f>
        <v/>
      </c>
      <c r="BH179" s="671" t="str">
        <f>IFERROR(IF(AL179="","",IF(AN179="Dubai",IF(OR(AL179="Plan1",AL179="Plan2"),VLOOKUP(BC179,Deviation!$B$15:$D$19,2,FALSE),VLOOKUP(BC179,Deviation!$B$15:$D$19,3,FALSE)),IF(OR(AL179="Plan1",AL179="Plan2"),VLOOKUP(BC179,Deviation!$E$15:$AE$19,2,FALSE),VLOOKUP(BC179,Deviation!$E$15:$AE$19,3,FALSE)))),0)</f>
        <v/>
      </c>
      <c r="BI179" s="669" t="str">
        <f>IFERROR(IF(AL179="","",IF(AN179="Dubai",VLOOKUP(BD179,Deviation!$B$24:$C$26,2,FALSE),100%)),0)</f>
        <v/>
      </c>
      <c r="BJ179" s="672">
        <f>IF(AE179="Abu Dhabi",1,IFERROR(VLOOKUP(AM179,Deviation!$B$67:$E$79,MATCH('Census Data'!AA179,Deviation!$B$66:$E$66,0),0),1))</f>
        <v>1</v>
      </c>
      <c r="BK179" s="659">
        <f>IFERROR(VLOOKUP(I179,Deviation!$B$54:$C$62,2,0),1)</f>
        <v>1</v>
      </c>
      <c r="BL179" s="148"/>
      <c r="BM179" s="148"/>
      <c r="BN179" s="148"/>
      <c r="BO179" s="148"/>
      <c r="BP179" s="148"/>
      <c r="BQ179" s="148"/>
      <c r="BR179" s="148"/>
      <c r="BS179" s="148"/>
      <c r="BT179" s="148" t="e">
        <f t="shared" si="85"/>
        <v>#VALUE!</v>
      </c>
      <c r="BU179"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f>
        <v/>
      </c>
    </row>
    <row r="180" spans="1:73" ht="15" x14ac:dyDescent="0.25">
      <c r="A180" s="59">
        <v>175</v>
      </c>
      <c r="B180" s="470"/>
      <c r="C180" s="628"/>
      <c r="D180" s="629"/>
      <c r="E180" s="471"/>
      <c r="F180" s="298"/>
      <c r="G180" s="298"/>
      <c r="H180" s="298"/>
      <c r="I180" s="298"/>
      <c r="J180" s="80" t="str">
        <f>IFERROR(IF(C180="","",DATEDIF('Census Data'!C180,eff_date,"y")),"")</f>
        <v/>
      </c>
      <c r="K180" s="59" t="str">
        <f>IF(F180="","",IF(AE180="Dubai",HLOOKUP(F180,Inputs!$C$26:$M$28,3,0),HLOOKUP(F180,Inputs!$C$45:$M$46,2,0)))</f>
        <v/>
      </c>
      <c r="L180" s="94"/>
      <c r="M180" s="105">
        <f t="shared" si="87"/>
        <v>0</v>
      </c>
      <c r="N180" s="654" t="b">
        <f t="shared" si="88"/>
        <v>0</v>
      </c>
      <c r="O180" s="655" t="str">
        <f t="shared" si="89"/>
        <v>x</v>
      </c>
      <c r="P180" s="655" t="str">
        <f t="shared" si="90"/>
        <v>x</v>
      </c>
      <c r="Q180" s="655" t="str">
        <f t="shared" si="91"/>
        <v>x</v>
      </c>
      <c r="R180" s="655" t="str">
        <f t="shared" si="100"/>
        <v>x</v>
      </c>
      <c r="S180" s="655" t="str">
        <f t="shared" si="92"/>
        <v>x</v>
      </c>
      <c r="T180" s="655" t="str">
        <f>IF(ISERROR(MATCH(G180,'Inputs Mapping'!$T$4:$T$10,0)),"x","")</f>
        <v>x</v>
      </c>
      <c r="U180" s="655" t="str">
        <f>IF(ISERROR(MATCH(AA180,'Inputs Mapping'!$U$4:$U$5,0)),"x","")</f>
        <v>x</v>
      </c>
      <c r="V180" s="655" t="str">
        <f>IF(ISERROR(MATCH(AB180,'Inputs Mapping'!$V$4:$V$5,0)),"x","")</f>
        <v>x</v>
      </c>
      <c r="W180" s="655" t="str">
        <f>IF(ISERROR(MATCH(F180,'Inputs Mapping'!$W$4:$W$8,0)),"x","")</f>
        <v>x</v>
      </c>
      <c r="X180" s="655" t="str">
        <f t="shared" si="93"/>
        <v/>
      </c>
      <c r="Y180" s="655" t="str">
        <f t="shared" si="94"/>
        <v/>
      </c>
      <c r="Z180" s="655" t="str">
        <f t="shared" si="95"/>
        <v/>
      </c>
      <c r="AA180" s="655" t="str">
        <f t="shared" si="77"/>
        <v/>
      </c>
      <c r="AB180" s="655" t="str">
        <f t="shared" si="96"/>
        <v/>
      </c>
      <c r="AC180" s="655" t="str">
        <f t="shared" si="86"/>
        <v>x</v>
      </c>
      <c r="AD180" s="655" t="str">
        <f>IF(ISBLANK(I180),"x",IF(ISNUMBER(MATCH(I180,'Inputs Mapping'!$AF$5:$AF$199,0)),"","x"))</f>
        <v>x</v>
      </c>
      <c r="AE180" s="655" t="str">
        <f t="shared" si="80"/>
        <v/>
      </c>
      <c r="AF180" s="148"/>
      <c r="AG180" s="148"/>
      <c r="AH180" s="148" t="str">
        <f t="shared" si="81"/>
        <v/>
      </c>
      <c r="AI180" s="654" t="str">
        <f>IF(J180="","",VLOOKUP(J180,'Inputs Mapping'!$T$27:$V$31,3))</f>
        <v/>
      </c>
      <c r="AJ180" s="654" t="str">
        <f>IF(J180="","",VLOOKUP(J180,'Inputs Mapping'!$T$17:$V$24,3))</f>
        <v/>
      </c>
      <c r="AK180" s="654" t="str">
        <f t="shared" si="82"/>
        <v/>
      </c>
      <c r="AL180" s="655" t="str">
        <f t="shared" si="97"/>
        <v/>
      </c>
      <c r="AM180" s="655" t="str">
        <f>IF(F180="","",IF(AE180="Dubai",HLOOKUP(F180,Inputs!$C$26:$M$36,5,0),HLOOKUP(F180,Inputs!$C$45:$M$49,5,0)))</f>
        <v/>
      </c>
      <c r="AN180" s="655">
        <f t="shared" si="83"/>
        <v>0</v>
      </c>
      <c r="AO180" s="654" t="str">
        <f>IF(AJ180="","",IF(AN180="Dubai",VLOOKUP(AJ180,'Inputs Mapping'!$V$17:$W$24,2,0),VLOOKUP(AI180,'Inputs Mapping'!$V$27:$W$31,2,0)))</f>
        <v/>
      </c>
      <c r="AP180" s="666">
        <f>IFERROR(IF($AN180="","",HLOOKUP($AN180&amp;RIGHT($AL180,1),'input for formula'!$B$16:$I$20,3,0)),0)</f>
        <v>0</v>
      </c>
      <c r="AQ180" s="656">
        <f>IFERROR(IF($AN180="","",HLOOKUP($AN180&amp;$F180,'input for formula'!$B$22:$M$25,2,0)),0)</f>
        <v>0</v>
      </c>
      <c r="AR180" s="666">
        <f>IFERROR(IF($AN180="","",HLOOKUP($AN180&amp;RIGHT($AL180,1),'input for formula'!$B$16:$I$20,4,0)),0)</f>
        <v>0</v>
      </c>
      <c r="AS180" s="656">
        <f>IFERROR(IF($AN180="","",HLOOKUP($AN180&amp;$F180,'input for formula'!$B$22:$M$25,3,0)),0)</f>
        <v>0</v>
      </c>
      <c r="AT180" s="656">
        <f>IFERROR(IF($AN180="","",HLOOKUP($AN180&amp;RIGHT($AL180,1),'input for formula'!$B$16:$I$20,5,0)),0)</f>
        <v>0</v>
      </c>
      <c r="AU180" s="656">
        <f>IFERROR(IF($AN180="","",HLOOKUP($AN180&amp;$F180,'input for formula'!$B$22:$M$25,4,0)),0)</f>
        <v>0</v>
      </c>
      <c r="AV180" s="666">
        <f>IFERROR(IF($AN180="","",IF('Census Data'!$AN180="Abu Dhabi",VLOOKUP('Census Data'!$AM180,'input for formula'!$A$28:$C$41,3,0),VLOOKUP('Census Data'!$AM180,'input for formula'!$A$28:$C$47,2,0))),0)*IFERROR(1+IF(AN180="Dubai",VLOOKUP(F180,'Quotation for Dubai Plans'!$V$6:$X$12,3,FALSE),VLOOKUP(F180,'Quotation for Abu Dhabi Plans'!$W$6:$Y$12,3,FALSE)),0)</f>
        <v>0</v>
      </c>
      <c r="AW180" s="656" t="str">
        <f t="shared" si="98"/>
        <v/>
      </c>
      <c r="AX180" s="667" t="str">
        <f>IFERROR(IF(AL180="","",IF(AN180="Dubai",HLOOKUP((AL180&amp;AM180),Deviation!$B$7:$S$8,2,0)*BF180*BH180*BI180*BG180,HLOOKUP((AL180&amp;AM180),Deviation!$B$9:$O$10,2,0)*BF180*BH180*BI180*BG180)),0)</f>
        <v/>
      </c>
      <c r="AY180" s="668"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formula'!$M$3:$O$7,AO180,FALSE)))*AX180+AP180*AQ180+AR180*AS180+AT180*AU180),0)*$AZ$3*BK180*BJ180*IF(AND(Inputs!$C$19&gt;19,Inputs!$C$19&lt;30),(1+$AZ$2),1)*(1+$AZ$1))</f>
        <v/>
      </c>
      <c r="AZ180" s="148" t="str">
        <f t="shared" si="99"/>
        <v/>
      </c>
      <c r="BA180" s="669" t="str">
        <f>IF(F180="","",IF(AE180="Dubai",HLOOKUP(F180,Inputs!$C$26:$M$37,9,0),HLOOKUP(F180,Inputs!$C$45:$M$56,9,0)))</f>
        <v/>
      </c>
      <c r="BB180" s="670" t="str">
        <f>IF(F180="","",IF(AE180="Dubai",HLOOKUP(F180,Inputs!$C$26:$M$37,10,0),HLOOKUP(F180,Inputs!$C$45:$M$56,10,0)))</f>
        <v/>
      </c>
      <c r="BC180" s="670" t="str">
        <f>IF(F180="","",IF(AE180="Dubai",HLOOKUP(F180,Inputs!$C$26:$M$37,11,0),HLOOKUP(F180,Inputs!$C$45:$M$56,11,0)))</f>
        <v/>
      </c>
      <c r="BD180" s="669" t="str">
        <f>IF(F180="","",IF(AE180="Dubai",HLOOKUP(F180,Inputs!$C$26:$M$37,12,0),HLOOKUP(F180,Inputs!$C$45:$M$56,12,0)))</f>
        <v/>
      </c>
      <c r="BE180" s="654"/>
      <c r="BF180" s="669" t="str">
        <f>IFERROR(IF(AL180="","",IF(AN180="Dubai",IF(OR(AL180="Plan1",AL180="Plan2"),VLOOKUP(BA180,Deviation!$B$31:$D$33,2,FALSE),VLOOKUP(BA180,Deviation!$B$31:$D$33,3,FALSE)),IF(OR(AL180="Plan1",AL180="Plan2"),VLOOKUP(BA180,Deviation!$E$31:$AE$33,2,FALSE),VLOOKUP(BA180,Deviation!$E$31:$AE$33,3,FALSE)))),0)</f>
        <v/>
      </c>
      <c r="BG180" s="671" t="str">
        <f>IFERROR(IF(AL180="","",IF(AN180="Dubai",IF(AL180="Plan1",VLOOKUP(BB180,Deviation!$B$39:$C$40,2,FALSE),IF(AL180="Plan2",VLOOKUP(BB180,Deviation!$B$42:$C$43,2,FALSE),IF(AL180="Plan5",VLOOKUP(BB180,Deviation!$B$48:$C$49,2,FALSE),VLOOKUP(BB180,Deviation!$B$45:$C$46,2,FALSE)))),IF(AL180="Plan1",VLOOKUP(BB180,Deviation!$E$39:$F$40,2,FALSE),IF(AL180="Plan2",VLOOKUP(BB180,Deviation!$E$42:$F$43,2,FALSE),VLOOKUP(BB180,Deviation!$E$45:$F$46,2,FALSE))))),0)</f>
        <v/>
      </c>
      <c r="BH180" s="671" t="str">
        <f>IFERROR(IF(AL180="","",IF(AN180="Dubai",IF(OR(AL180="Plan1",AL180="Plan2"),VLOOKUP(BC180,Deviation!$B$15:$D$19,2,FALSE),VLOOKUP(BC180,Deviation!$B$15:$D$19,3,FALSE)),IF(OR(AL180="Plan1",AL180="Plan2"),VLOOKUP(BC180,Deviation!$E$15:$AE$19,2,FALSE),VLOOKUP(BC180,Deviation!$E$15:$AE$19,3,FALSE)))),0)</f>
        <v/>
      </c>
      <c r="BI180" s="669" t="str">
        <f>IFERROR(IF(AL180="","",IF(AN180="Dubai",VLOOKUP(BD180,Deviation!$B$24:$C$26,2,FALSE),100%)),0)</f>
        <v/>
      </c>
      <c r="BJ180" s="672">
        <f>IF(AE180="Abu Dhabi",1,IFERROR(VLOOKUP(AM180,Deviation!$B$67:$E$79,MATCH('Census Data'!AA180,Deviation!$B$66:$E$66,0),0),1))</f>
        <v>1</v>
      </c>
      <c r="BK180" s="659">
        <f>IFERROR(VLOOKUP(I180,Deviation!$B$54:$C$62,2,0),1)</f>
        <v>1</v>
      </c>
      <c r="BL180" s="148"/>
      <c r="BM180" s="148"/>
      <c r="BN180" s="148"/>
      <c r="BO180" s="148"/>
      <c r="BP180" s="148"/>
      <c r="BQ180" s="148"/>
      <c r="BR180" s="148"/>
      <c r="BS180" s="148"/>
      <c r="BT180" s="148" t="e">
        <f t="shared" si="85"/>
        <v>#VALUE!</v>
      </c>
      <c r="BU180"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f>
        <v/>
      </c>
    </row>
    <row r="181" spans="1:73" ht="15" x14ac:dyDescent="0.25">
      <c r="A181" s="59">
        <v>176</v>
      </c>
      <c r="B181" s="470"/>
      <c r="C181" s="628"/>
      <c r="D181" s="629"/>
      <c r="E181" s="471"/>
      <c r="F181" s="298"/>
      <c r="G181" s="298"/>
      <c r="H181" s="298"/>
      <c r="I181" s="298"/>
      <c r="J181" s="80" t="str">
        <f>IFERROR(IF(C181="","",DATEDIF('Census Data'!C181,eff_date,"y")),"")</f>
        <v/>
      </c>
      <c r="K181" s="59" t="str">
        <f>IF(F181="","",IF(AE181="Dubai",HLOOKUP(F181,Inputs!$C$26:$M$28,3,0),HLOOKUP(F181,Inputs!$C$45:$M$46,2,0)))</f>
        <v/>
      </c>
      <c r="L181" s="94"/>
      <c r="M181" s="105">
        <f t="shared" si="87"/>
        <v>0</v>
      </c>
      <c r="N181" s="654" t="b">
        <f t="shared" si="88"/>
        <v>0</v>
      </c>
      <c r="O181" s="655" t="str">
        <f t="shared" si="89"/>
        <v>x</v>
      </c>
      <c r="P181" s="655" t="str">
        <f t="shared" si="90"/>
        <v>x</v>
      </c>
      <c r="Q181" s="655" t="str">
        <f t="shared" si="91"/>
        <v>x</v>
      </c>
      <c r="R181" s="655" t="str">
        <f t="shared" si="100"/>
        <v>x</v>
      </c>
      <c r="S181" s="655" t="str">
        <f t="shared" si="92"/>
        <v>x</v>
      </c>
      <c r="T181" s="655" t="str">
        <f>IF(ISERROR(MATCH(G181,'Inputs Mapping'!$T$4:$T$10,0)),"x","")</f>
        <v>x</v>
      </c>
      <c r="U181" s="655" t="str">
        <f>IF(ISERROR(MATCH(AA181,'Inputs Mapping'!$U$4:$U$5,0)),"x","")</f>
        <v>x</v>
      </c>
      <c r="V181" s="655" t="str">
        <f>IF(ISERROR(MATCH(AB181,'Inputs Mapping'!$V$4:$V$5,0)),"x","")</f>
        <v>x</v>
      </c>
      <c r="W181" s="655" t="str">
        <f>IF(ISERROR(MATCH(F181,'Inputs Mapping'!$W$4:$W$8,0)),"x","")</f>
        <v>x</v>
      </c>
      <c r="X181" s="655" t="str">
        <f t="shared" si="93"/>
        <v/>
      </c>
      <c r="Y181" s="655" t="str">
        <f t="shared" si="94"/>
        <v/>
      </c>
      <c r="Z181" s="655" t="str">
        <f t="shared" si="95"/>
        <v/>
      </c>
      <c r="AA181" s="655" t="str">
        <f t="shared" si="77"/>
        <v/>
      </c>
      <c r="AB181" s="655" t="str">
        <f t="shared" si="96"/>
        <v/>
      </c>
      <c r="AC181" s="655" t="str">
        <f t="shared" si="86"/>
        <v>x</v>
      </c>
      <c r="AD181" s="655" t="str">
        <f>IF(ISBLANK(I181),"x",IF(ISNUMBER(MATCH(I181,'Inputs Mapping'!$AF$5:$AF$199,0)),"","x"))</f>
        <v>x</v>
      </c>
      <c r="AE181" s="655" t="str">
        <f t="shared" si="80"/>
        <v/>
      </c>
      <c r="AF181" s="148"/>
      <c r="AG181" s="148"/>
      <c r="AH181" s="148" t="str">
        <f t="shared" si="81"/>
        <v/>
      </c>
      <c r="AI181" s="654" t="str">
        <f>IF(J181="","",VLOOKUP(J181,'Inputs Mapping'!$T$27:$V$31,3))</f>
        <v/>
      </c>
      <c r="AJ181" s="654" t="str">
        <f>IF(J181="","",VLOOKUP(J181,'Inputs Mapping'!$T$17:$V$24,3))</f>
        <v/>
      </c>
      <c r="AK181" s="654" t="str">
        <f t="shared" si="82"/>
        <v/>
      </c>
      <c r="AL181" s="655" t="str">
        <f t="shared" si="97"/>
        <v/>
      </c>
      <c r="AM181" s="655" t="str">
        <f>IF(F181="","",IF(AE181="Dubai",HLOOKUP(F181,Inputs!$C$26:$M$36,5,0),HLOOKUP(F181,Inputs!$C$45:$M$49,5,0)))</f>
        <v/>
      </c>
      <c r="AN181" s="655">
        <f t="shared" si="83"/>
        <v>0</v>
      </c>
      <c r="AO181" s="654" t="str">
        <f>IF(AJ181="","",IF(AN181="Dubai",VLOOKUP(AJ181,'Inputs Mapping'!$V$17:$W$24,2,0),VLOOKUP(AI181,'Inputs Mapping'!$V$27:$W$31,2,0)))</f>
        <v/>
      </c>
      <c r="AP181" s="666">
        <f>IFERROR(IF($AN181="","",HLOOKUP($AN181&amp;RIGHT($AL181,1),'input for formula'!$B$16:$I$20,3,0)),0)</f>
        <v>0</v>
      </c>
      <c r="AQ181" s="656">
        <f>IFERROR(IF($AN181="","",HLOOKUP($AN181&amp;$F181,'input for formula'!$B$22:$M$25,2,0)),0)</f>
        <v>0</v>
      </c>
      <c r="AR181" s="666">
        <f>IFERROR(IF($AN181="","",HLOOKUP($AN181&amp;RIGHT($AL181,1),'input for formula'!$B$16:$I$20,4,0)),0)</f>
        <v>0</v>
      </c>
      <c r="AS181" s="656">
        <f>IFERROR(IF($AN181="","",HLOOKUP($AN181&amp;$F181,'input for formula'!$B$22:$M$25,3,0)),0)</f>
        <v>0</v>
      </c>
      <c r="AT181" s="656">
        <f>IFERROR(IF($AN181="","",HLOOKUP($AN181&amp;RIGHT($AL181,1),'input for formula'!$B$16:$I$20,5,0)),0)</f>
        <v>0</v>
      </c>
      <c r="AU181" s="656">
        <f>IFERROR(IF($AN181="","",HLOOKUP($AN181&amp;$F181,'input for formula'!$B$22:$M$25,4,0)),0)</f>
        <v>0</v>
      </c>
      <c r="AV181" s="666">
        <f>IFERROR(IF($AN181="","",IF('Census Data'!$AN181="Abu Dhabi",VLOOKUP('Census Data'!$AM181,'input for formula'!$A$28:$C$41,3,0),VLOOKUP('Census Data'!$AM181,'input for formula'!$A$28:$C$47,2,0))),0)*IFERROR(1+IF(AN181="Dubai",VLOOKUP(F181,'Quotation for Dubai Plans'!$V$6:$X$12,3,FALSE),VLOOKUP(F181,'Quotation for Abu Dhabi Plans'!$W$6:$Y$12,3,FALSE)),0)</f>
        <v>0</v>
      </c>
      <c r="AW181" s="656" t="str">
        <f t="shared" si="98"/>
        <v/>
      </c>
      <c r="AX181" s="667" t="str">
        <f>IFERROR(IF(AL181="","",IF(AN181="Dubai",HLOOKUP((AL181&amp;AM181),Deviation!$B$7:$S$8,2,0)*BF181*BH181*BI181*BG181,HLOOKUP((AL181&amp;AM181),Deviation!$B$9:$O$10,2,0)*BF181*BH181*BI181*BG181)),0)</f>
        <v/>
      </c>
      <c r="AY181" s="668"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formula'!$M$3:$O$7,AO181,FALSE)))*AX181+AP181*AQ181+AR181*AS181+AT181*AU181),0)*$AZ$3*BK181*BJ181*IF(AND(Inputs!$C$19&gt;19,Inputs!$C$19&lt;30),(1+$AZ$2),1)*(1+$AZ$1))</f>
        <v/>
      </c>
      <c r="AZ181" s="148" t="str">
        <f t="shared" si="99"/>
        <v/>
      </c>
      <c r="BA181" s="669" t="str">
        <f>IF(F181="","",IF(AE181="Dubai",HLOOKUP(F181,Inputs!$C$26:$M$37,9,0),HLOOKUP(F181,Inputs!$C$45:$M$56,9,0)))</f>
        <v/>
      </c>
      <c r="BB181" s="670" t="str">
        <f>IF(F181="","",IF(AE181="Dubai",HLOOKUP(F181,Inputs!$C$26:$M$37,10,0),HLOOKUP(F181,Inputs!$C$45:$M$56,10,0)))</f>
        <v/>
      </c>
      <c r="BC181" s="670" t="str">
        <f>IF(F181="","",IF(AE181="Dubai",HLOOKUP(F181,Inputs!$C$26:$M$37,11,0),HLOOKUP(F181,Inputs!$C$45:$M$56,11,0)))</f>
        <v/>
      </c>
      <c r="BD181" s="669" t="str">
        <f>IF(F181="","",IF(AE181="Dubai",HLOOKUP(F181,Inputs!$C$26:$M$37,12,0),HLOOKUP(F181,Inputs!$C$45:$M$56,12,0)))</f>
        <v/>
      </c>
      <c r="BE181" s="654"/>
      <c r="BF181" s="669" t="str">
        <f>IFERROR(IF(AL181="","",IF(AN181="Dubai",IF(OR(AL181="Plan1",AL181="Plan2"),VLOOKUP(BA181,Deviation!$B$31:$D$33,2,FALSE),VLOOKUP(BA181,Deviation!$B$31:$D$33,3,FALSE)),IF(OR(AL181="Plan1",AL181="Plan2"),VLOOKUP(BA181,Deviation!$E$31:$AE$33,2,FALSE),VLOOKUP(BA181,Deviation!$E$31:$AE$33,3,FALSE)))),0)</f>
        <v/>
      </c>
      <c r="BG181" s="671" t="str">
        <f>IFERROR(IF(AL181="","",IF(AN181="Dubai",IF(AL181="Plan1",VLOOKUP(BB181,Deviation!$B$39:$C$40,2,FALSE),IF(AL181="Plan2",VLOOKUP(BB181,Deviation!$B$42:$C$43,2,FALSE),IF(AL181="Plan5",VLOOKUP(BB181,Deviation!$B$48:$C$49,2,FALSE),VLOOKUP(BB181,Deviation!$B$45:$C$46,2,FALSE)))),IF(AL181="Plan1",VLOOKUP(BB181,Deviation!$E$39:$F$40,2,FALSE),IF(AL181="Plan2",VLOOKUP(BB181,Deviation!$E$42:$F$43,2,FALSE),VLOOKUP(BB181,Deviation!$E$45:$F$46,2,FALSE))))),0)</f>
        <v/>
      </c>
      <c r="BH181" s="671" t="str">
        <f>IFERROR(IF(AL181="","",IF(AN181="Dubai",IF(OR(AL181="Plan1",AL181="Plan2"),VLOOKUP(BC181,Deviation!$B$15:$D$19,2,FALSE),VLOOKUP(BC181,Deviation!$B$15:$D$19,3,FALSE)),IF(OR(AL181="Plan1",AL181="Plan2"),VLOOKUP(BC181,Deviation!$E$15:$AE$19,2,FALSE),VLOOKUP(BC181,Deviation!$E$15:$AE$19,3,FALSE)))),0)</f>
        <v/>
      </c>
      <c r="BI181" s="669" t="str">
        <f>IFERROR(IF(AL181="","",IF(AN181="Dubai",VLOOKUP(BD181,Deviation!$B$24:$C$26,2,FALSE),100%)),0)</f>
        <v/>
      </c>
      <c r="BJ181" s="672">
        <f>IF(AE181="Abu Dhabi",1,IFERROR(VLOOKUP(AM181,Deviation!$B$67:$E$79,MATCH('Census Data'!AA181,Deviation!$B$66:$E$66,0),0),1))</f>
        <v>1</v>
      </c>
      <c r="BK181" s="659">
        <f>IFERROR(VLOOKUP(I181,Deviation!$B$54:$C$62,2,0),1)</f>
        <v>1</v>
      </c>
      <c r="BL181" s="148"/>
      <c r="BM181" s="148"/>
      <c r="BN181" s="148"/>
      <c r="BO181" s="148"/>
      <c r="BP181" s="148"/>
      <c r="BQ181" s="148"/>
      <c r="BR181" s="148"/>
      <c r="BS181" s="148"/>
      <c r="BT181" s="148" t="e">
        <f t="shared" si="85"/>
        <v>#VALUE!</v>
      </c>
      <c r="BU181"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f>
        <v/>
      </c>
    </row>
    <row r="182" spans="1:73" ht="15" x14ac:dyDescent="0.25">
      <c r="A182" s="59">
        <v>177</v>
      </c>
      <c r="B182" s="470"/>
      <c r="C182" s="628"/>
      <c r="D182" s="629"/>
      <c r="E182" s="471"/>
      <c r="F182" s="298"/>
      <c r="G182" s="298"/>
      <c r="H182" s="298"/>
      <c r="I182" s="298"/>
      <c r="J182" s="80" t="str">
        <f>IFERROR(IF(C182="","",DATEDIF('Census Data'!C182,eff_date,"y")),"")</f>
        <v/>
      </c>
      <c r="K182" s="59" t="str">
        <f>IF(F182="","",IF(AE182="Dubai",HLOOKUP(F182,Inputs!$C$26:$M$28,3,0),HLOOKUP(F182,Inputs!$C$45:$M$46,2,0)))</f>
        <v/>
      </c>
      <c r="L182" s="94"/>
      <c r="M182" s="105">
        <f t="shared" si="87"/>
        <v>0</v>
      </c>
      <c r="N182" s="654" t="b">
        <f t="shared" si="88"/>
        <v>0</v>
      </c>
      <c r="O182" s="655" t="str">
        <f t="shared" si="89"/>
        <v>x</v>
      </c>
      <c r="P182" s="655" t="str">
        <f t="shared" si="90"/>
        <v>x</v>
      </c>
      <c r="Q182" s="655" t="str">
        <f t="shared" si="91"/>
        <v>x</v>
      </c>
      <c r="R182" s="655" t="str">
        <f t="shared" si="100"/>
        <v>x</v>
      </c>
      <c r="S182" s="655" t="str">
        <f t="shared" si="92"/>
        <v>x</v>
      </c>
      <c r="T182" s="655" t="str">
        <f>IF(ISERROR(MATCH(G182,'Inputs Mapping'!$T$4:$T$10,0)),"x","")</f>
        <v>x</v>
      </c>
      <c r="U182" s="655" t="str">
        <f>IF(ISERROR(MATCH(AA182,'Inputs Mapping'!$U$4:$U$5,0)),"x","")</f>
        <v>x</v>
      </c>
      <c r="V182" s="655" t="str">
        <f>IF(ISERROR(MATCH(AB182,'Inputs Mapping'!$V$4:$V$5,0)),"x","")</f>
        <v>x</v>
      </c>
      <c r="W182" s="655" t="str">
        <f>IF(ISERROR(MATCH(F182,'Inputs Mapping'!$W$4:$W$8,0)),"x","")</f>
        <v>x</v>
      </c>
      <c r="X182" s="655" t="str">
        <f t="shared" si="93"/>
        <v/>
      </c>
      <c r="Y182" s="655" t="str">
        <f t="shared" si="94"/>
        <v/>
      </c>
      <c r="Z182" s="655" t="str">
        <f t="shared" si="95"/>
        <v/>
      </c>
      <c r="AA182" s="655" t="str">
        <f t="shared" si="77"/>
        <v/>
      </c>
      <c r="AB182" s="655" t="str">
        <f t="shared" si="96"/>
        <v/>
      </c>
      <c r="AC182" s="655" t="str">
        <f t="shared" si="86"/>
        <v>x</v>
      </c>
      <c r="AD182" s="655" t="str">
        <f>IF(ISBLANK(I182),"x",IF(ISNUMBER(MATCH(I182,'Inputs Mapping'!$AF$5:$AF$199,0)),"","x"))</f>
        <v>x</v>
      </c>
      <c r="AE182" s="655" t="str">
        <f t="shared" si="80"/>
        <v/>
      </c>
      <c r="AF182" s="148"/>
      <c r="AG182" s="148"/>
      <c r="AH182" s="148" t="str">
        <f t="shared" si="81"/>
        <v/>
      </c>
      <c r="AI182" s="654" t="str">
        <f>IF(J182="","",VLOOKUP(J182,'Inputs Mapping'!$T$27:$V$31,3))</f>
        <v/>
      </c>
      <c r="AJ182" s="654" t="str">
        <f>IF(J182="","",VLOOKUP(J182,'Inputs Mapping'!$T$17:$V$24,3))</f>
        <v/>
      </c>
      <c r="AK182" s="654" t="str">
        <f t="shared" si="82"/>
        <v/>
      </c>
      <c r="AL182" s="655" t="str">
        <f t="shared" si="97"/>
        <v/>
      </c>
      <c r="AM182" s="655" t="str">
        <f>IF(F182="","",IF(AE182="Dubai",HLOOKUP(F182,Inputs!$C$26:$M$36,5,0),HLOOKUP(F182,Inputs!$C$45:$M$49,5,0)))</f>
        <v/>
      </c>
      <c r="AN182" s="655">
        <f t="shared" si="83"/>
        <v>0</v>
      </c>
      <c r="AO182" s="654" t="str">
        <f>IF(AJ182="","",IF(AN182="Dubai",VLOOKUP(AJ182,'Inputs Mapping'!$V$17:$W$24,2,0),VLOOKUP(AI182,'Inputs Mapping'!$V$27:$W$31,2,0)))</f>
        <v/>
      </c>
      <c r="AP182" s="666">
        <f>IFERROR(IF($AN182="","",HLOOKUP($AN182&amp;RIGHT($AL182,1),'input for formula'!$B$16:$I$20,3,0)),0)</f>
        <v>0</v>
      </c>
      <c r="AQ182" s="656">
        <f>IFERROR(IF($AN182="","",HLOOKUP($AN182&amp;$F182,'input for formula'!$B$22:$M$25,2,0)),0)</f>
        <v>0</v>
      </c>
      <c r="AR182" s="666">
        <f>IFERROR(IF($AN182="","",HLOOKUP($AN182&amp;RIGHT($AL182,1),'input for formula'!$B$16:$I$20,4,0)),0)</f>
        <v>0</v>
      </c>
      <c r="AS182" s="656">
        <f>IFERROR(IF($AN182="","",HLOOKUP($AN182&amp;$F182,'input for formula'!$B$22:$M$25,3,0)),0)</f>
        <v>0</v>
      </c>
      <c r="AT182" s="656">
        <f>IFERROR(IF($AN182="","",HLOOKUP($AN182&amp;RIGHT($AL182,1),'input for formula'!$B$16:$I$20,5,0)),0)</f>
        <v>0</v>
      </c>
      <c r="AU182" s="656">
        <f>IFERROR(IF($AN182="","",HLOOKUP($AN182&amp;$F182,'input for formula'!$B$22:$M$25,4,0)),0)</f>
        <v>0</v>
      </c>
      <c r="AV182" s="666">
        <f>IFERROR(IF($AN182="","",IF('Census Data'!$AN182="Abu Dhabi",VLOOKUP('Census Data'!$AM182,'input for formula'!$A$28:$C$41,3,0),VLOOKUP('Census Data'!$AM182,'input for formula'!$A$28:$C$47,2,0))),0)*IFERROR(1+IF(AN182="Dubai",VLOOKUP(F182,'Quotation for Dubai Plans'!$V$6:$X$12,3,FALSE),VLOOKUP(F182,'Quotation for Abu Dhabi Plans'!$W$6:$Y$12,3,FALSE)),0)</f>
        <v>0</v>
      </c>
      <c r="AW182" s="656" t="str">
        <f t="shared" si="98"/>
        <v/>
      </c>
      <c r="AX182" s="667" t="str">
        <f>IFERROR(IF(AL182="","",IF(AN182="Dubai",HLOOKUP((AL182&amp;AM182),Deviation!$B$7:$S$8,2,0)*BF182*BH182*BI182*BG182,HLOOKUP((AL182&amp;AM182),Deviation!$B$9:$O$10,2,0)*BF182*BH182*BI182*BG182)),0)</f>
        <v/>
      </c>
      <c r="AY182" s="668"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formula'!$M$3:$O$7,AO182,FALSE)))*AX182+AP182*AQ182+AR182*AS182+AT182*AU182),0)*$AZ$3*BK182*BJ182*IF(AND(Inputs!$C$19&gt;19,Inputs!$C$19&lt;30),(1+$AZ$2),1)*(1+$AZ$1))</f>
        <v/>
      </c>
      <c r="AZ182" s="148" t="str">
        <f t="shared" si="99"/>
        <v/>
      </c>
      <c r="BA182" s="669" t="str">
        <f>IF(F182="","",IF(AE182="Dubai",HLOOKUP(F182,Inputs!$C$26:$M$37,9,0),HLOOKUP(F182,Inputs!$C$45:$M$56,9,0)))</f>
        <v/>
      </c>
      <c r="BB182" s="670" t="str">
        <f>IF(F182="","",IF(AE182="Dubai",HLOOKUP(F182,Inputs!$C$26:$M$37,10,0),HLOOKUP(F182,Inputs!$C$45:$M$56,10,0)))</f>
        <v/>
      </c>
      <c r="BC182" s="670" t="str">
        <f>IF(F182="","",IF(AE182="Dubai",HLOOKUP(F182,Inputs!$C$26:$M$37,11,0),HLOOKUP(F182,Inputs!$C$45:$M$56,11,0)))</f>
        <v/>
      </c>
      <c r="BD182" s="669" t="str">
        <f>IF(F182="","",IF(AE182="Dubai",HLOOKUP(F182,Inputs!$C$26:$M$37,12,0),HLOOKUP(F182,Inputs!$C$45:$M$56,12,0)))</f>
        <v/>
      </c>
      <c r="BE182" s="654"/>
      <c r="BF182" s="669" t="str">
        <f>IFERROR(IF(AL182="","",IF(AN182="Dubai",IF(OR(AL182="Plan1",AL182="Plan2"),VLOOKUP(BA182,Deviation!$B$31:$D$33,2,FALSE),VLOOKUP(BA182,Deviation!$B$31:$D$33,3,FALSE)),IF(OR(AL182="Plan1",AL182="Plan2"),VLOOKUP(BA182,Deviation!$E$31:$AE$33,2,FALSE),VLOOKUP(BA182,Deviation!$E$31:$AE$33,3,FALSE)))),0)</f>
        <v/>
      </c>
      <c r="BG182" s="671" t="str">
        <f>IFERROR(IF(AL182="","",IF(AN182="Dubai",IF(AL182="Plan1",VLOOKUP(BB182,Deviation!$B$39:$C$40,2,FALSE),IF(AL182="Plan2",VLOOKUP(BB182,Deviation!$B$42:$C$43,2,FALSE),IF(AL182="Plan5",VLOOKUP(BB182,Deviation!$B$48:$C$49,2,FALSE),VLOOKUP(BB182,Deviation!$B$45:$C$46,2,FALSE)))),IF(AL182="Plan1",VLOOKUP(BB182,Deviation!$E$39:$F$40,2,FALSE),IF(AL182="Plan2",VLOOKUP(BB182,Deviation!$E$42:$F$43,2,FALSE),VLOOKUP(BB182,Deviation!$E$45:$F$46,2,FALSE))))),0)</f>
        <v/>
      </c>
      <c r="BH182" s="671" t="str">
        <f>IFERROR(IF(AL182="","",IF(AN182="Dubai",IF(OR(AL182="Plan1",AL182="Plan2"),VLOOKUP(BC182,Deviation!$B$15:$D$19,2,FALSE),VLOOKUP(BC182,Deviation!$B$15:$D$19,3,FALSE)),IF(OR(AL182="Plan1",AL182="Plan2"),VLOOKUP(BC182,Deviation!$E$15:$AE$19,2,FALSE),VLOOKUP(BC182,Deviation!$E$15:$AE$19,3,FALSE)))),0)</f>
        <v/>
      </c>
      <c r="BI182" s="669" t="str">
        <f>IFERROR(IF(AL182="","",IF(AN182="Dubai",VLOOKUP(BD182,Deviation!$B$24:$C$26,2,FALSE),100%)),0)</f>
        <v/>
      </c>
      <c r="BJ182" s="672">
        <f>IF(AE182="Abu Dhabi",1,IFERROR(VLOOKUP(AM182,Deviation!$B$67:$E$79,MATCH('Census Data'!AA182,Deviation!$B$66:$E$66,0),0),1))</f>
        <v>1</v>
      </c>
      <c r="BK182" s="659">
        <f>IFERROR(VLOOKUP(I182,Deviation!$B$54:$C$62,2,0),1)</f>
        <v>1</v>
      </c>
      <c r="BL182" s="148"/>
      <c r="BM182" s="148"/>
      <c r="BN182" s="148"/>
      <c r="BO182" s="148"/>
      <c r="BP182" s="148"/>
      <c r="BQ182" s="148"/>
      <c r="BR182" s="148"/>
      <c r="BS182" s="148"/>
      <c r="BT182" s="148" t="e">
        <f t="shared" si="85"/>
        <v>#VALUE!</v>
      </c>
      <c r="BU182"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f>
        <v/>
      </c>
    </row>
    <row r="183" spans="1:73" ht="15" x14ac:dyDescent="0.25">
      <c r="A183" s="59">
        <v>178</v>
      </c>
      <c r="B183" s="470"/>
      <c r="C183" s="628"/>
      <c r="D183" s="629"/>
      <c r="E183" s="471"/>
      <c r="F183" s="298"/>
      <c r="G183" s="298"/>
      <c r="H183" s="298"/>
      <c r="I183" s="298"/>
      <c r="J183" s="80" t="str">
        <f>IFERROR(IF(C183="","",DATEDIF('Census Data'!C183,eff_date,"y")),"")</f>
        <v/>
      </c>
      <c r="K183" s="59" t="str">
        <f>IF(F183="","",IF(AE183="Dubai",HLOOKUP(F183,Inputs!$C$26:$M$28,3,0),HLOOKUP(F183,Inputs!$C$45:$M$46,2,0)))</f>
        <v/>
      </c>
      <c r="L183" s="94"/>
      <c r="M183" s="105">
        <f t="shared" si="87"/>
        <v>0</v>
      </c>
      <c r="N183" s="654" t="b">
        <f t="shared" si="88"/>
        <v>0</v>
      </c>
      <c r="O183" s="655" t="str">
        <f t="shared" si="89"/>
        <v>x</v>
      </c>
      <c r="P183" s="655" t="str">
        <f t="shared" si="90"/>
        <v>x</v>
      </c>
      <c r="Q183" s="655" t="str">
        <f t="shared" si="91"/>
        <v>x</v>
      </c>
      <c r="R183" s="655" t="str">
        <f t="shared" si="100"/>
        <v>x</v>
      </c>
      <c r="S183" s="655" t="str">
        <f t="shared" si="92"/>
        <v>x</v>
      </c>
      <c r="T183" s="655" t="str">
        <f>IF(ISERROR(MATCH(G183,'Inputs Mapping'!$T$4:$T$10,0)),"x","")</f>
        <v>x</v>
      </c>
      <c r="U183" s="655" t="str">
        <f>IF(ISERROR(MATCH(AA183,'Inputs Mapping'!$U$4:$U$5,0)),"x","")</f>
        <v>x</v>
      </c>
      <c r="V183" s="655" t="str">
        <f>IF(ISERROR(MATCH(AB183,'Inputs Mapping'!$V$4:$V$5,0)),"x","")</f>
        <v>x</v>
      </c>
      <c r="W183" s="655" t="str">
        <f>IF(ISERROR(MATCH(F183,'Inputs Mapping'!$W$4:$W$8,0)),"x","")</f>
        <v>x</v>
      </c>
      <c r="X183" s="655" t="str">
        <f t="shared" si="93"/>
        <v/>
      </c>
      <c r="Y183" s="655" t="str">
        <f t="shared" si="94"/>
        <v/>
      </c>
      <c r="Z183" s="655" t="str">
        <f t="shared" si="95"/>
        <v/>
      </c>
      <c r="AA183" s="655" t="str">
        <f t="shared" si="77"/>
        <v/>
      </c>
      <c r="AB183" s="655" t="str">
        <f t="shared" si="96"/>
        <v/>
      </c>
      <c r="AC183" s="655" t="str">
        <f t="shared" si="86"/>
        <v>x</v>
      </c>
      <c r="AD183" s="655" t="str">
        <f>IF(ISBLANK(I183),"x",IF(ISNUMBER(MATCH(I183,'Inputs Mapping'!$AF$5:$AF$199,0)),"","x"))</f>
        <v>x</v>
      </c>
      <c r="AE183" s="655" t="str">
        <f t="shared" si="80"/>
        <v/>
      </c>
      <c r="AF183" s="148"/>
      <c r="AG183" s="148"/>
      <c r="AH183" s="148" t="str">
        <f t="shared" si="81"/>
        <v/>
      </c>
      <c r="AI183" s="654" t="str">
        <f>IF(J183="","",VLOOKUP(J183,'Inputs Mapping'!$T$27:$V$31,3))</f>
        <v/>
      </c>
      <c r="AJ183" s="654" t="str">
        <f>IF(J183="","",VLOOKUP(J183,'Inputs Mapping'!$T$17:$V$24,3))</f>
        <v/>
      </c>
      <c r="AK183" s="654" t="str">
        <f t="shared" si="82"/>
        <v/>
      </c>
      <c r="AL183" s="655" t="str">
        <f t="shared" si="97"/>
        <v/>
      </c>
      <c r="AM183" s="655" t="str">
        <f>IF(F183="","",IF(AE183="Dubai",HLOOKUP(F183,Inputs!$C$26:$M$36,5,0),HLOOKUP(F183,Inputs!$C$45:$M$49,5,0)))</f>
        <v/>
      </c>
      <c r="AN183" s="655">
        <f t="shared" si="83"/>
        <v>0</v>
      </c>
      <c r="AO183" s="654" t="str">
        <f>IF(AJ183="","",IF(AN183="Dubai",VLOOKUP(AJ183,'Inputs Mapping'!$V$17:$W$24,2,0),VLOOKUP(AI183,'Inputs Mapping'!$V$27:$W$31,2,0)))</f>
        <v/>
      </c>
      <c r="AP183" s="666">
        <f>IFERROR(IF($AN183="","",HLOOKUP($AN183&amp;RIGHT($AL183,1),'input for formula'!$B$16:$I$20,3,0)),0)</f>
        <v>0</v>
      </c>
      <c r="AQ183" s="656">
        <f>IFERROR(IF($AN183="","",HLOOKUP($AN183&amp;$F183,'input for formula'!$B$22:$M$25,2,0)),0)</f>
        <v>0</v>
      </c>
      <c r="AR183" s="666">
        <f>IFERROR(IF($AN183="","",HLOOKUP($AN183&amp;RIGHT($AL183,1),'input for formula'!$B$16:$I$20,4,0)),0)</f>
        <v>0</v>
      </c>
      <c r="AS183" s="656">
        <f>IFERROR(IF($AN183="","",HLOOKUP($AN183&amp;$F183,'input for formula'!$B$22:$M$25,3,0)),0)</f>
        <v>0</v>
      </c>
      <c r="AT183" s="656">
        <f>IFERROR(IF($AN183="","",HLOOKUP($AN183&amp;RIGHT($AL183,1),'input for formula'!$B$16:$I$20,5,0)),0)</f>
        <v>0</v>
      </c>
      <c r="AU183" s="656">
        <f>IFERROR(IF($AN183="","",HLOOKUP($AN183&amp;$F183,'input for formula'!$B$22:$M$25,4,0)),0)</f>
        <v>0</v>
      </c>
      <c r="AV183" s="666">
        <f>IFERROR(IF($AN183="","",IF('Census Data'!$AN183="Abu Dhabi",VLOOKUP('Census Data'!$AM183,'input for formula'!$A$28:$C$41,3,0),VLOOKUP('Census Data'!$AM183,'input for formula'!$A$28:$C$47,2,0))),0)*IFERROR(1+IF(AN183="Dubai",VLOOKUP(F183,'Quotation for Dubai Plans'!$V$6:$X$12,3,FALSE),VLOOKUP(F183,'Quotation for Abu Dhabi Plans'!$W$6:$Y$12,3,FALSE)),0)</f>
        <v>0</v>
      </c>
      <c r="AW183" s="656" t="str">
        <f t="shared" si="98"/>
        <v/>
      </c>
      <c r="AX183" s="667" t="str">
        <f>IFERROR(IF(AL183="","",IF(AN183="Dubai",HLOOKUP((AL183&amp;AM183),Deviation!$B$7:$S$8,2,0)*BF183*BH183*BI183*BG183,HLOOKUP((AL183&amp;AM183),Deviation!$B$9:$O$10,2,0)*BF183*BH183*BI183*BG183)),0)</f>
        <v/>
      </c>
      <c r="AY183" s="668"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formula'!$M$3:$O$7,AO183,FALSE)))*AX183+AP183*AQ183+AR183*AS183+AT183*AU183),0)*$AZ$3*BK183*BJ183*IF(AND(Inputs!$C$19&gt;19,Inputs!$C$19&lt;30),(1+$AZ$2),1)*(1+$AZ$1))</f>
        <v/>
      </c>
      <c r="AZ183" s="148" t="str">
        <f t="shared" si="99"/>
        <v/>
      </c>
      <c r="BA183" s="669" t="str">
        <f>IF(F183="","",IF(AE183="Dubai",HLOOKUP(F183,Inputs!$C$26:$M$37,9,0),HLOOKUP(F183,Inputs!$C$45:$M$56,9,0)))</f>
        <v/>
      </c>
      <c r="BB183" s="670" t="str">
        <f>IF(F183="","",IF(AE183="Dubai",HLOOKUP(F183,Inputs!$C$26:$M$37,10,0),HLOOKUP(F183,Inputs!$C$45:$M$56,10,0)))</f>
        <v/>
      </c>
      <c r="BC183" s="670" t="str">
        <f>IF(F183="","",IF(AE183="Dubai",HLOOKUP(F183,Inputs!$C$26:$M$37,11,0),HLOOKUP(F183,Inputs!$C$45:$M$56,11,0)))</f>
        <v/>
      </c>
      <c r="BD183" s="669" t="str">
        <f>IF(F183="","",IF(AE183="Dubai",HLOOKUP(F183,Inputs!$C$26:$M$37,12,0),HLOOKUP(F183,Inputs!$C$45:$M$56,12,0)))</f>
        <v/>
      </c>
      <c r="BE183" s="654"/>
      <c r="BF183" s="669" t="str">
        <f>IFERROR(IF(AL183="","",IF(AN183="Dubai",IF(OR(AL183="Plan1",AL183="Plan2"),VLOOKUP(BA183,Deviation!$B$31:$D$33,2,FALSE),VLOOKUP(BA183,Deviation!$B$31:$D$33,3,FALSE)),IF(OR(AL183="Plan1",AL183="Plan2"),VLOOKUP(BA183,Deviation!$E$31:$AE$33,2,FALSE),VLOOKUP(BA183,Deviation!$E$31:$AE$33,3,FALSE)))),0)</f>
        <v/>
      </c>
      <c r="BG183" s="671" t="str">
        <f>IFERROR(IF(AL183="","",IF(AN183="Dubai",IF(AL183="Plan1",VLOOKUP(BB183,Deviation!$B$39:$C$40,2,FALSE),IF(AL183="Plan2",VLOOKUP(BB183,Deviation!$B$42:$C$43,2,FALSE),IF(AL183="Plan5",VLOOKUP(BB183,Deviation!$B$48:$C$49,2,FALSE),VLOOKUP(BB183,Deviation!$B$45:$C$46,2,FALSE)))),IF(AL183="Plan1",VLOOKUP(BB183,Deviation!$E$39:$F$40,2,FALSE),IF(AL183="Plan2",VLOOKUP(BB183,Deviation!$E$42:$F$43,2,FALSE),VLOOKUP(BB183,Deviation!$E$45:$F$46,2,FALSE))))),0)</f>
        <v/>
      </c>
      <c r="BH183" s="671" t="str">
        <f>IFERROR(IF(AL183="","",IF(AN183="Dubai",IF(OR(AL183="Plan1",AL183="Plan2"),VLOOKUP(BC183,Deviation!$B$15:$D$19,2,FALSE),VLOOKUP(BC183,Deviation!$B$15:$D$19,3,FALSE)),IF(OR(AL183="Plan1",AL183="Plan2"),VLOOKUP(BC183,Deviation!$E$15:$AE$19,2,FALSE),VLOOKUP(BC183,Deviation!$E$15:$AE$19,3,FALSE)))),0)</f>
        <v/>
      </c>
      <c r="BI183" s="669" t="str">
        <f>IFERROR(IF(AL183="","",IF(AN183="Dubai",VLOOKUP(BD183,Deviation!$B$24:$C$26,2,FALSE),100%)),0)</f>
        <v/>
      </c>
      <c r="BJ183" s="672">
        <f>IF(AE183="Abu Dhabi",1,IFERROR(VLOOKUP(AM183,Deviation!$B$67:$E$79,MATCH('Census Data'!AA183,Deviation!$B$66:$E$66,0),0),1))</f>
        <v>1</v>
      </c>
      <c r="BK183" s="659">
        <f>IFERROR(VLOOKUP(I183,Deviation!$B$54:$C$62,2,0),1)</f>
        <v>1</v>
      </c>
      <c r="BL183" s="148"/>
      <c r="BM183" s="148"/>
      <c r="BN183" s="148"/>
      <c r="BO183" s="148"/>
      <c r="BP183" s="148"/>
      <c r="BQ183" s="148"/>
      <c r="BR183" s="148"/>
      <c r="BS183" s="148"/>
      <c r="BT183" s="148" t="e">
        <f t="shared" si="85"/>
        <v>#VALUE!</v>
      </c>
      <c r="BU183"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f>
        <v/>
      </c>
    </row>
    <row r="184" spans="1:73" ht="15" x14ac:dyDescent="0.25">
      <c r="A184" s="59">
        <v>179</v>
      </c>
      <c r="B184" s="470"/>
      <c r="C184" s="628"/>
      <c r="D184" s="629"/>
      <c r="E184" s="471"/>
      <c r="F184" s="298"/>
      <c r="G184" s="298"/>
      <c r="H184" s="298"/>
      <c r="I184" s="298"/>
      <c r="J184" s="80" t="str">
        <f>IFERROR(IF(C184="","",DATEDIF('Census Data'!C184,eff_date,"y")),"")</f>
        <v/>
      </c>
      <c r="K184" s="59" t="str">
        <f>IF(F184="","",IF(AE184="Dubai",HLOOKUP(F184,Inputs!$C$26:$M$28,3,0),HLOOKUP(F184,Inputs!$C$45:$M$46,2,0)))</f>
        <v/>
      </c>
      <c r="L184" s="94"/>
      <c r="M184" s="105">
        <f t="shared" si="87"/>
        <v>0</v>
      </c>
      <c r="N184" s="654" t="b">
        <f t="shared" si="88"/>
        <v>0</v>
      </c>
      <c r="O184" s="655" t="str">
        <f t="shared" si="89"/>
        <v>x</v>
      </c>
      <c r="P184" s="655" t="str">
        <f t="shared" si="90"/>
        <v>x</v>
      </c>
      <c r="Q184" s="655" t="str">
        <f t="shared" si="91"/>
        <v>x</v>
      </c>
      <c r="R184" s="655" t="str">
        <f t="shared" si="100"/>
        <v>x</v>
      </c>
      <c r="S184" s="655" t="str">
        <f t="shared" si="92"/>
        <v>x</v>
      </c>
      <c r="T184" s="655" t="str">
        <f>IF(ISERROR(MATCH(G184,'Inputs Mapping'!$T$4:$T$10,0)),"x","")</f>
        <v>x</v>
      </c>
      <c r="U184" s="655" t="str">
        <f>IF(ISERROR(MATCH(AA184,'Inputs Mapping'!$U$4:$U$5,0)),"x","")</f>
        <v>x</v>
      </c>
      <c r="V184" s="655" t="str">
        <f>IF(ISERROR(MATCH(AB184,'Inputs Mapping'!$V$4:$V$5,0)),"x","")</f>
        <v>x</v>
      </c>
      <c r="W184" s="655" t="str">
        <f>IF(ISERROR(MATCH(F184,'Inputs Mapping'!$W$4:$W$8,0)),"x","")</f>
        <v>x</v>
      </c>
      <c r="X184" s="655" t="str">
        <f t="shared" si="93"/>
        <v/>
      </c>
      <c r="Y184" s="655" t="str">
        <f t="shared" si="94"/>
        <v/>
      </c>
      <c r="Z184" s="655" t="str">
        <f t="shared" si="95"/>
        <v/>
      </c>
      <c r="AA184" s="655" t="str">
        <f t="shared" si="77"/>
        <v/>
      </c>
      <c r="AB184" s="655" t="str">
        <f t="shared" si="96"/>
        <v/>
      </c>
      <c r="AC184" s="655" t="str">
        <f t="shared" si="86"/>
        <v>x</v>
      </c>
      <c r="AD184" s="655" t="str">
        <f>IF(ISBLANK(I184),"x",IF(ISNUMBER(MATCH(I184,'Inputs Mapping'!$AF$5:$AF$199,0)),"","x"))</f>
        <v>x</v>
      </c>
      <c r="AE184" s="655" t="str">
        <f t="shared" si="80"/>
        <v/>
      </c>
      <c r="AF184" s="148"/>
      <c r="AG184" s="148"/>
      <c r="AH184" s="148" t="str">
        <f t="shared" si="81"/>
        <v/>
      </c>
      <c r="AI184" s="654" t="str">
        <f>IF(J184="","",VLOOKUP(J184,'Inputs Mapping'!$T$27:$V$31,3))</f>
        <v/>
      </c>
      <c r="AJ184" s="654" t="str">
        <f>IF(J184="","",VLOOKUP(J184,'Inputs Mapping'!$T$17:$V$24,3))</f>
        <v/>
      </c>
      <c r="AK184" s="654" t="str">
        <f t="shared" si="82"/>
        <v/>
      </c>
      <c r="AL184" s="655" t="str">
        <f t="shared" si="97"/>
        <v/>
      </c>
      <c r="AM184" s="655" t="str">
        <f>IF(F184="","",IF(AE184="Dubai",HLOOKUP(F184,Inputs!$C$26:$M$36,5,0),HLOOKUP(F184,Inputs!$C$45:$M$49,5,0)))</f>
        <v/>
      </c>
      <c r="AN184" s="655">
        <f t="shared" si="83"/>
        <v>0</v>
      </c>
      <c r="AO184" s="654" t="str">
        <f>IF(AJ184="","",IF(AN184="Dubai",VLOOKUP(AJ184,'Inputs Mapping'!$V$17:$W$24,2,0),VLOOKUP(AI184,'Inputs Mapping'!$V$27:$W$31,2,0)))</f>
        <v/>
      </c>
      <c r="AP184" s="666">
        <f>IFERROR(IF($AN184="","",HLOOKUP($AN184&amp;RIGHT($AL184,1),'input for formula'!$B$16:$I$20,3,0)),0)</f>
        <v>0</v>
      </c>
      <c r="AQ184" s="656">
        <f>IFERROR(IF($AN184="","",HLOOKUP($AN184&amp;$F184,'input for formula'!$B$22:$M$25,2,0)),0)</f>
        <v>0</v>
      </c>
      <c r="AR184" s="666">
        <f>IFERROR(IF($AN184="","",HLOOKUP($AN184&amp;RIGHT($AL184,1),'input for formula'!$B$16:$I$20,4,0)),0)</f>
        <v>0</v>
      </c>
      <c r="AS184" s="656">
        <f>IFERROR(IF($AN184="","",HLOOKUP($AN184&amp;$F184,'input for formula'!$B$22:$M$25,3,0)),0)</f>
        <v>0</v>
      </c>
      <c r="AT184" s="656">
        <f>IFERROR(IF($AN184="","",HLOOKUP($AN184&amp;RIGHT($AL184,1),'input for formula'!$B$16:$I$20,5,0)),0)</f>
        <v>0</v>
      </c>
      <c r="AU184" s="656">
        <f>IFERROR(IF($AN184="","",HLOOKUP($AN184&amp;$F184,'input for formula'!$B$22:$M$25,4,0)),0)</f>
        <v>0</v>
      </c>
      <c r="AV184" s="666">
        <f>IFERROR(IF($AN184="","",IF('Census Data'!$AN184="Abu Dhabi",VLOOKUP('Census Data'!$AM184,'input for formula'!$A$28:$C$41,3,0),VLOOKUP('Census Data'!$AM184,'input for formula'!$A$28:$C$47,2,0))),0)*IFERROR(1+IF(AN184="Dubai",VLOOKUP(F184,'Quotation for Dubai Plans'!$V$6:$X$12,3,FALSE),VLOOKUP(F184,'Quotation for Abu Dhabi Plans'!$W$6:$Y$12,3,FALSE)),0)</f>
        <v>0</v>
      </c>
      <c r="AW184" s="656" t="str">
        <f t="shared" si="98"/>
        <v/>
      </c>
      <c r="AX184" s="667" t="str">
        <f>IFERROR(IF(AL184="","",IF(AN184="Dubai",HLOOKUP((AL184&amp;AM184),Deviation!$B$7:$S$8,2,0)*BF184*BH184*BI184*BG184,HLOOKUP((AL184&amp;AM184),Deviation!$B$9:$O$10,2,0)*BF184*BH184*BI184*BG184)),0)</f>
        <v/>
      </c>
      <c r="AY184" s="668"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formula'!$M$3:$O$7,AO184,FALSE)))*AX184+AP184*AQ184+AR184*AS184+AT184*AU184),0)*$AZ$3*BK184*BJ184*IF(AND(Inputs!$C$19&gt;19,Inputs!$C$19&lt;30),(1+$AZ$2),1)*(1+$AZ$1))</f>
        <v/>
      </c>
      <c r="AZ184" s="148" t="str">
        <f t="shared" si="99"/>
        <v/>
      </c>
      <c r="BA184" s="669" t="str">
        <f>IF(F184="","",IF(AE184="Dubai",HLOOKUP(F184,Inputs!$C$26:$M$37,9,0),HLOOKUP(F184,Inputs!$C$45:$M$56,9,0)))</f>
        <v/>
      </c>
      <c r="BB184" s="670" t="str">
        <f>IF(F184="","",IF(AE184="Dubai",HLOOKUP(F184,Inputs!$C$26:$M$37,10,0),HLOOKUP(F184,Inputs!$C$45:$M$56,10,0)))</f>
        <v/>
      </c>
      <c r="BC184" s="670" t="str">
        <f>IF(F184="","",IF(AE184="Dubai",HLOOKUP(F184,Inputs!$C$26:$M$37,11,0),HLOOKUP(F184,Inputs!$C$45:$M$56,11,0)))</f>
        <v/>
      </c>
      <c r="BD184" s="669" t="str">
        <f>IF(F184="","",IF(AE184="Dubai",HLOOKUP(F184,Inputs!$C$26:$M$37,12,0),HLOOKUP(F184,Inputs!$C$45:$M$56,12,0)))</f>
        <v/>
      </c>
      <c r="BE184" s="654"/>
      <c r="BF184" s="669" t="str">
        <f>IFERROR(IF(AL184="","",IF(AN184="Dubai",IF(OR(AL184="Plan1",AL184="Plan2"),VLOOKUP(BA184,Deviation!$B$31:$D$33,2,FALSE),VLOOKUP(BA184,Deviation!$B$31:$D$33,3,FALSE)),IF(OR(AL184="Plan1",AL184="Plan2"),VLOOKUP(BA184,Deviation!$E$31:$AE$33,2,FALSE),VLOOKUP(BA184,Deviation!$E$31:$AE$33,3,FALSE)))),0)</f>
        <v/>
      </c>
      <c r="BG184" s="671" t="str">
        <f>IFERROR(IF(AL184="","",IF(AN184="Dubai",IF(AL184="Plan1",VLOOKUP(BB184,Deviation!$B$39:$C$40,2,FALSE),IF(AL184="Plan2",VLOOKUP(BB184,Deviation!$B$42:$C$43,2,FALSE),IF(AL184="Plan5",VLOOKUP(BB184,Deviation!$B$48:$C$49,2,FALSE),VLOOKUP(BB184,Deviation!$B$45:$C$46,2,FALSE)))),IF(AL184="Plan1",VLOOKUP(BB184,Deviation!$E$39:$F$40,2,FALSE),IF(AL184="Plan2",VLOOKUP(BB184,Deviation!$E$42:$F$43,2,FALSE),VLOOKUP(BB184,Deviation!$E$45:$F$46,2,FALSE))))),0)</f>
        <v/>
      </c>
      <c r="BH184" s="671" t="str">
        <f>IFERROR(IF(AL184="","",IF(AN184="Dubai",IF(OR(AL184="Plan1",AL184="Plan2"),VLOOKUP(BC184,Deviation!$B$15:$D$19,2,FALSE),VLOOKUP(BC184,Deviation!$B$15:$D$19,3,FALSE)),IF(OR(AL184="Plan1",AL184="Plan2"),VLOOKUP(BC184,Deviation!$E$15:$AE$19,2,FALSE),VLOOKUP(BC184,Deviation!$E$15:$AE$19,3,FALSE)))),0)</f>
        <v/>
      </c>
      <c r="BI184" s="669" t="str">
        <f>IFERROR(IF(AL184="","",IF(AN184="Dubai",VLOOKUP(BD184,Deviation!$B$24:$C$26,2,FALSE),100%)),0)</f>
        <v/>
      </c>
      <c r="BJ184" s="672">
        <f>IF(AE184="Abu Dhabi",1,IFERROR(VLOOKUP(AM184,Deviation!$B$67:$E$79,MATCH('Census Data'!AA184,Deviation!$B$66:$E$66,0),0),1))</f>
        <v>1</v>
      </c>
      <c r="BK184" s="659">
        <f>IFERROR(VLOOKUP(I184,Deviation!$B$54:$C$62,2,0),1)</f>
        <v>1</v>
      </c>
      <c r="BL184" s="148"/>
      <c r="BM184" s="148"/>
      <c r="BN184" s="148"/>
      <c r="BO184" s="148"/>
      <c r="BP184" s="148"/>
      <c r="BQ184" s="148"/>
      <c r="BR184" s="148"/>
      <c r="BS184" s="148"/>
      <c r="BT184" s="148" t="e">
        <f t="shared" si="85"/>
        <v>#VALUE!</v>
      </c>
      <c r="BU184"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f>
        <v/>
      </c>
    </row>
    <row r="185" spans="1:73" ht="15" x14ac:dyDescent="0.25">
      <c r="A185" s="59">
        <v>180</v>
      </c>
      <c r="B185" s="470"/>
      <c r="C185" s="628"/>
      <c r="D185" s="629"/>
      <c r="E185" s="471"/>
      <c r="F185" s="298"/>
      <c r="G185" s="298"/>
      <c r="H185" s="298"/>
      <c r="I185" s="298"/>
      <c r="J185" s="80" t="str">
        <f>IFERROR(IF(C185="","",DATEDIF('Census Data'!C185,eff_date,"y")),"")</f>
        <v/>
      </c>
      <c r="K185" s="59" t="str">
        <f>IF(F185="","",IF(AE185="Dubai",HLOOKUP(F185,Inputs!$C$26:$M$28,3,0),HLOOKUP(F185,Inputs!$C$45:$M$46,2,0)))</f>
        <v/>
      </c>
      <c r="L185" s="94"/>
      <c r="M185" s="105">
        <f t="shared" si="87"/>
        <v>0</v>
      </c>
      <c r="N185" s="654" t="b">
        <f t="shared" si="88"/>
        <v>0</v>
      </c>
      <c r="O185" s="655" t="str">
        <f t="shared" si="89"/>
        <v>x</v>
      </c>
      <c r="P185" s="655" t="str">
        <f t="shared" si="90"/>
        <v>x</v>
      </c>
      <c r="Q185" s="655" t="str">
        <f t="shared" si="91"/>
        <v>x</v>
      </c>
      <c r="R185" s="655" t="str">
        <f t="shared" si="100"/>
        <v>x</v>
      </c>
      <c r="S185" s="655" t="str">
        <f t="shared" si="92"/>
        <v>x</v>
      </c>
      <c r="T185" s="655" t="str">
        <f>IF(ISERROR(MATCH(G185,'Inputs Mapping'!$T$4:$T$10,0)),"x","")</f>
        <v>x</v>
      </c>
      <c r="U185" s="655" t="str">
        <f>IF(ISERROR(MATCH(AA185,'Inputs Mapping'!$U$4:$U$5,0)),"x","")</f>
        <v>x</v>
      </c>
      <c r="V185" s="655" t="str">
        <f>IF(ISERROR(MATCH(AB185,'Inputs Mapping'!$V$4:$V$5,0)),"x","")</f>
        <v>x</v>
      </c>
      <c r="W185" s="655" t="str">
        <f>IF(ISERROR(MATCH(F185,'Inputs Mapping'!$W$4:$W$8,0)),"x","")</f>
        <v>x</v>
      </c>
      <c r="X185" s="655" t="str">
        <f t="shared" si="93"/>
        <v/>
      </c>
      <c r="Y185" s="655" t="str">
        <f t="shared" si="94"/>
        <v/>
      </c>
      <c r="Z185" s="655" t="str">
        <f t="shared" si="95"/>
        <v/>
      </c>
      <c r="AA185" s="655" t="str">
        <f t="shared" si="77"/>
        <v/>
      </c>
      <c r="AB185" s="655" t="str">
        <f t="shared" si="96"/>
        <v/>
      </c>
      <c r="AC185" s="655" t="str">
        <f t="shared" si="86"/>
        <v>x</v>
      </c>
      <c r="AD185" s="655" t="str">
        <f>IF(ISBLANK(I185),"x",IF(ISNUMBER(MATCH(I185,'Inputs Mapping'!$AF$5:$AF$199,0)),"","x"))</f>
        <v>x</v>
      </c>
      <c r="AE185" s="655" t="str">
        <f t="shared" si="80"/>
        <v/>
      </c>
      <c r="AF185" s="148"/>
      <c r="AG185" s="148"/>
      <c r="AH185" s="148" t="str">
        <f t="shared" si="81"/>
        <v/>
      </c>
      <c r="AI185" s="654" t="str">
        <f>IF(J185="","",VLOOKUP(J185,'Inputs Mapping'!$T$27:$V$31,3))</f>
        <v/>
      </c>
      <c r="AJ185" s="654" t="str">
        <f>IF(J185="","",VLOOKUP(J185,'Inputs Mapping'!$T$17:$V$24,3))</f>
        <v/>
      </c>
      <c r="AK185" s="654" t="str">
        <f t="shared" si="82"/>
        <v/>
      </c>
      <c r="AL185" s="655" t="str">
        <f t="shared" si="97"/>
        <v/>
      </c>
      <c r="AM185" s="655" t="str">
        <f>IF(F185="","",IF(AE185="Dubai",HLOOKUP(F185,Inputs!$C$26:$M$36,5,0),HLOOKUP(F185,Inputs!$C$45:$M$49,5,0)))</f>
        <v/>
      </c>
      <c r="AN185" s="655">
        <f t="shared" si="83"/>
        <v>0</v>
      </c>
      <c r="AO185" s="654" t="str">
        <f>IF(AJ185="","",IF(AN185="Dubai",VLOOKUP(AJ185,'Inputs Mapping'!$V$17:$W$24,2,0),VLOOKUP(AI185,'Inputs Mapping'!$V$27:$W$31,2,0)))</f>
        <v/>
      </c>
      <c r="AP185" s="666">
        <f>IFERROR(IF($AN185="","",HLOOKUP($AN185&amp;RIGHT($AL185,1),'input for formula'!$B$16:$I$20,3,0)),0)</f>
        <v>0</v>
      </c>
      <c r="AQ185" s="656">
        <f>IFERROR(IF($AN185="","",HLOOKUP($AN185&amp;$F185,'input for formula'!$B$22:$M$25,2,0)),0)</f>
        <v>0</v>
      </c>
      <c r="AR185" s="666">
        <f>IFERROR(IF($AN185="","",HLOOKUP($AN185&amp;RIGHT($AL185,1),'input for formula'!$B$16:$I$20,4,0)),0)</f>
        <v>0</v>
      </c>
      <c r="AS185" s="656">
        <f>IFERROR(IF($AN185="","",HLOOKUP($AN185&amp;$F185,'input for formula'!$B$22:$M$25,3,0)),0)</f>
        <v>0</v>
      </c>
      <c r="AT185" s="656">
        <f>IFERROR(IF($AN185="","",HLOOKUP($AN185&amp;RIGHT($AL185,1),'input for formula'!$B$16:$I$20,5,0)),0)</f>
        <v>0</v>
      </c>
      <c r="AU185" s="656">
        <f>IFERROR(IF($AN185="","",HLOOKUP($AN185&amp;$F185,'input for formula'!$B$22:$M$25,4,0)),0)</f>
        <v>0</v>
      </c>
      <c r="AV185" s="666">
        <f>IFERROR(IF($AN185="","",IF('Census Data'!$AN185="Abu Dhabi",VLOOKUP('Census Data'!$AM185,'input for formula'!$A$28:$C$41,3,0),VLOOKUP('Census Data'!$AM185,'input for formula'!$A$28:$C$47,2,0))),0)*IFERROR(1+IF(AN185="Dubai",VLOOKUP(F185,'Quotation for Dubai Plans'!$V$6:$X$12,3,FALSE),VLOOKUP(F185,'Quotation for Abu Dhabi Plans'!$W$6:$Y$12,3,FALSE)),0)</f>
        <v>0</v>
      </c>
      <c r="AW185" s="656" t="str">
        <f t="shared" si="98"/>
        <v/>
      </c>
      <c r="AX185" s="667" t="str">
        <f>IFERROR(IF(AL185="","",IF(AN185="Dubai",HLOOKUP((AL185&amp;AM185),Deviation!$B$7:$S$8,2,0)*BF185*BH185*BI185*BG185,HLOOKUP((AL185&amp;AM185),Deviation!$B$9:$O$10,2,0)*BF185*BH185*BI185*BG185)),0)</f>
        <v/>
      </c>
      <c r="AY185" s="668"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formula'!$M$3:$O$7,AO185,FALSE)))*AX185+AP185*AQ185+AR185*AS185+AT185*AU185),0)*$AZ$3*BK185*BJ185*IF(AND(Inputs!$C$19&gt;19,Inputs!$C$19&lt;30),(1+$AZ$2),1)*(1+$AZ$1))</f>
        <v/>
      </c>
      <c r="AZ185" s="148" t="str">
        <f t="shared" si="99"/>
        <v/>
      </c>
      <c r="BA185" s="669" t="str">
        <f>IF(F185="","",IF(AE185="Dubai",HLOOKUP(F185,Inputs!$C$26:$M$37,9,0),HLOOKUP(F185,Inputs!$C$45:$M$56,9,0)))</f>
        <v/>
      </c>
      <c r="BB185" s="670" t="str">
        <f>IF(F185="","",IF(AE185="Dubai",HLOOKUP(F185,Inputs!$C$26:$M$37,10,0),HLOOKUP(F185,Inputs!$C$45:$M$56,10,0)))</f>
        <v/>
      </c>
      <c r="BC185" s="670" t="str">
        <f>IF(F185="","",IF(AE185="Dubai",HLOOKUP(F185,Inputs!$C$26:$M$37,11,0),HLOOKUP(F185,Inputs!$C$45:$M$56,11,0)))</f>
        <v/>
      </c>
      <c r="BD185" s="669" t="str">
        <f>IF(F185="","",IF(AE185="Dubai",HLOOKUP(F185,Inputs!$C$26:$M$37,12,0),HLOOKUP(F185,Inputs!$C$45:$M$56,12,0)))</f>
        <v/>
      </c>
      <c r="BE185" s="654"/>
      <c r="BF185" s="669" t="str">
        <f>IFERROR(IF(AL185="","",IF(AN185="Dubai",IF(OR(AL185="Plan1",AL185="Plan2"),VLOOKUP(BA185,Deviation!$B$31:$D$33,2,FALSE),VLOOKUP(BA185,Deviation!$B$31:$D$33,3,FALSE)),IF(OR(AL185="Plan1",AL185="Plan2"),VLOOKUP(BA185,Deviation!$E$31:$AE$33,2,FALSE),VLOOKUP(BA185,Deviation!$E$31:$AE$33,3,FALSE)))),0)</f>
        <v/>
      </c>
      <c r="BG185" s="671" t="str">
        <f>IFERROR(IF(AL185="","",IF(AN185="Dubai",IF(AL185="Plan1",VLOOKUP(BB185,Deviation!$B$39:$C$40,2,FALSE),IF(AL185="Plan2",VLOOKUP(BB185,Deviation!$B$42:$C$43,2,FALSE),IF(AL185="Plan5",VLOOKUP(BB185,Deviation!$B$48:$C$49,2,FALSE),VLOOKUP(BB185,Deviation!$B$45:$C$46,2,FALSE)))),IF(AL185="Plan1",VLOOKUP(BB185,Deviation!$E$39:$F$40,2,FALSE),IF(AL185="Plan2",VLOOKUP(BB185,Deviation!$E$42:$F$43,2,FALSE),VLOOKUP(BB185,Deviation!$E$45:$F$46,2,FALSE))))),0)</f>
        <v/>
      </c>
      <c r="BH185" s="671" t="str">
        <f>IFERROR(IF(AL185="","",IF(AN185="Dubai",IF(OR(AL185="Plan1",AL185="Plan2"),VLOOKUP(BC185,Deviation!$B$15:$D$19,2,FALSE),VLOOKUP(BC185,Deviation!$B$15:$D$19,3,FALSE)),IF(OR(AL185="Plan1",AL185="Plan2"),VLOOKUP(BC185,Deviation!$E$15:$AE$19,2,FALSE),VLOOKUP(BC185,Deviation!$E$15:$AE$19,3,FALSE)))),0)</f>
        <v/>
      </c>
      <c r="BI185" s="669" t="str">
        <f>IFERROR(IF(AL185="","",IF(AN185="Dubai",VLOOKUP(BD185,Deviation!$B$24:$C$26,2,FALSE),100%)),0)</f>
        <v/>
      </c>
      <c r="BJ185" s="672">
        <f>IF(AE185="Abu Dhabi",1,IFERROR(VLOOKUP(AM185,Deviation!$B$67:$E$79,MATCH('Census Data'!AA185,Deviation!$B$66:$E$66,0),0),1))</f>
        <v>1</v>
      </c>
      <c r="BK185" s="659">
        <f>IFERROR(VLOOKUP(I185,Deviation!$B$54:$C$62,2,0),1)</f>
        <v>1</v>
      </c>
      <c r="BL185" s="148"/>
      <c r="BM185" s="148"/>
      <c r="BN185" s="148"/>
      <c r="BO185" s="148"/>
      <c r="BP185" s="148"/>
      <c r="BQ185" s="148"/>
      <c r="BR185" s="148"/>
      <c r="BS185" s="148"/>
      <c r="BT185" s="148" t="e">
        <f t="shared" si="85"/>
        <v>#VALUE!</v>
      </c>
      <c r="BU185"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f>
        <v/>
      </c>
    </row>
    <row r="186" spans="1:73" ht="15" x14ac:dyDescent="0.25">
      <c r="A186" s="59">
        <v>181</v>
      </c>
      <c r="B186" s="470"/>
      <c r="C186" s="628"/>
      <c r="D186" s="629"/>
      <c r="E186" s="471"/>
      <c r="F186" s="298"/>
      <c r="G186" s="298"/>
      <c r="H186" s="298"/>
      <c r="I186" s="298"/>
      <c r="J186" s="80" t="str">
        <f>IFERROR(IF(C186="","",DATEDIF('Census Data'!C186,eff_date,"y")),"")</f>
        <v/>
      </c>
      <c r="K186" s="59" t="str">
        <f>IF(F186="","",IF(AE186="Dubai",HLOOKUP(F186,Inputs!$C$26:$M$28,3,0),HLOOKUP(F186,Inputs!$C$45:$M$46,2,0)))</f>
        <v/>
      </c>
      <c r="L186" s="94"/>
      <c r="M186" s="105">
        <f t="shared" si="87"/>
        <v>0</v>
      </c>
      <c r="N186" s="654" t="b">
        <f t="shared" si="88"/>
        <v>0</v>
      </c>
      <c r="O186" s="655" t="str">
        <f t="shared" si="89"/>
        <v>x</v>
      </c>
      <c r="P186" s="655" t="str">
        <f t="shared" si="90"/>
        <v>x</v>
      </c>
      <c r="Q186" s="655" t="str">
        <f t="shared" si="91"/>
        <v>x</v>
      </c>
      <c r="R186" s="655" t="str">
        <f t="shared" si="100"/>
        <v>x</v>
      </c>
      <c r="S186" s="655" t="str">
        <f t="shared" si="92"/>
        <v>x</v>
      </c>
      <c r="T186" s="655" t="str">
        <f>IF(ISERROR(MATCH(G186,'Inputs Mapping'!$T$4:$T$10,0)),"x","")</f>
        <v>x</v>
      </c>
      <c r="U186" s="655" t="str">
        <f>IF(ISERROR(MATCH(AA186,'Inputs Mapping'!$U$4:$U$5,0)),"x","")</f>
        <v>x</v>
      </c>
      <c r="V186" s="655" t="str">
        <f>IF(ISERROR(MATCH(AB186,'Inputs Mapping'!$V$4:$V$5,0)),"x","")</f>
        <v>x</v>
      </c>
      <c r="W186" s="655" t="str">
        <f>IF(ISERROR(MATCH(F186,'Inputs Mapping'!$W$4:$W$8,0)),"x","")</f>
        <v>x</v>
      </c>
      <c r="X186" s="655" t="str">
        <f t="shared" si="93"/>
        <v/>
      </c>
      <c r="Y186" s="655" t="str">
        <f t="shared" si="94"/>
        <v/>
      </c>
      <c r="Z186" s="655" t="str">
        <f t="shared" si="95"/>
        <v/>
      </c>
      <c r="AA186" s="655" t="str">
        <f t="shared" si="77"/>
        <v/>
      </c>
      <c r="AB186" s="655" t="str">
        <f t="shared" si="96"/>
        <v/>
      </c>
      <c r="AC186" s="655" t="str">
        <f t="shared" si="86"/>
        <v>x</v>
      </c>
      <c r="AD186" s="655" t="str">
        <f>IF(ISBLANK(I186),"x",IF(ISNUMBER(MATCH(I186,'Inputs Mapping'!$AF$5:$AF$199,0)),"","x"))</f>
        <v>x</v>
      </c>
      <c r="AE186" s="655" t="str">
        <f t="shared" si="80"/>
        <v/>
      </c>
      <c r="AF186" s="148"/>
      <c r="AG186" s="148"/>
      <c r="AH186" s="148" t="str">
        <f t="shared" si="81"/>
        <v/>
      </c>
      <c r="AI186" s="654" t="str">
        <f>IF(J186="","",VLOOKUP(J186,'Inputs Mapping'!$T$27:$V$31,3))</f>
        <v/>
      </c>
      <c r="AJ186" s="654" t="str">
        <f>IF(J186="","",VLOOKUP(J186,'Inputs Mapping'!$T$17:$V$24,3))</f>
        <v/>
      </c>
      <c r="AK186" s="654" t="str">
        <f t="shared" si="82"/>
        <v/>
      </c>
      <c r="AL186" s="655" t="str">
        <f t="shared" si="97"/>
        <v/>
      </c>
      <c r="AM186" s="655" t="str">
        <f>IF(F186="","",IF(AE186="Dubai",HLOOKUP(F186,Inputs!$C$26:$M$36,5,0),HLOOKUP(F186,Inputs!$C$45:$M$49,5,0)))</f>
        <v/>
      </c>
      <c r="AN186" s="655">
        <f t="shared" si="83"/>
        <v>0</v>
      </c>
      <c r="AO186" s="654" t="str">
        <f>IF(AJ186="","",IF(AN186="Dubai",VLOOKUP(AJ186,'Inputs Mapping'!$V$17:$W$24,2,0),VLOOKUP(AI186,'Inputs Mapping'!$V$27:$W$31,2,0)))</f>
        <v/>
      </c>
      <c r="AP186" s="666">
        <f>IFERROR(IF($AN186="","",HLOOKUP($AN186&amp;RIGHT($AL186,1),'input for formula'!$B$16:$I$20,3,0)),0)</f>
        <v>0</v>
      </c>
      <c r="AQ186" s="656">
        <f>IFERROR(IF($AN186="","",HLOOKUP($AN186&amp;$F186,'input for formula'!$B$22:$M$25,2,0)),0)</f>
        <v>0</v>
      </c>
      <c r="AR186" s="666">
        <f>IFERROR(IF($AN186="","",HLOOKUP($AN186&amp;RIGHT($AL186,1),'input for formula'!$B$16:$I$20,4,0)),0)</f>
        <v>0</v>
      </c>
      <c r="AS186" s="656">
        <f>IFERROR(IF($AN186="","",HLOOKUP($AN186&amp;$F186,'input for formula'!$B$22:$M$25,3,0)),0)</f>
        <v>0</v>
      </c>
      <c r="AT186" s="656">
        <f>IFERROR(IF($AN186="","",HLOOKUP($AN186&amp;RIGHT($AL186,1),'input for formula'!$B$16:$I$20,5,0)),0)</f>
        <v>0</v>
      </c>
      <c r="AU186" s="656">
        <f>IFERROR(IF($AN186="","",HLOOKUP($AN186&amp;$F186,'input for formula'!$B$22:$M$25,4,0)),0)</f>
        <v>0</v>
      </c>
      <c r="AV186" s="666">
        <f>IFERROR(IF($AN186="","",IF('Census Data'!$AN186="Abu Dhabi",VLOOKUP('Census Data'!$AM186,'input for formula'!$A$28:$C$41,3,0),VLOOKUP('Census Data'!$AM186,'input for formula'!$A$28:$C$47,2,0))),0)*IFERROR(1+IF(AN186="Dubai",VLOOKUP(F186,'Quotation for Dubai Plans'!$V$6:$X$12,3,FALSE),VLOOKUP(F186,'Quotation for Abu Dhabi Plans'!$W$6:$Y$12,3,FALSE)),0)</f>
        <v>0</v>
      </c>
      <c r="AW186" s="656" t="str">
        <f t="shared" si="98"/>
        <v/>
      </c>
      <c r="AX186" s="667" t="str">
        <f>IFERROR(IF(AL186="","",IF(AN186="Dubai",HLOOKUP((AL186&amp;AM186),Deviation!$B$7:$S$8,2,0)*BF186*BH186*BI186*BG186,HLOOKUP((AL186&amp;AM186),Deviation!$B$9:$O$10,2,0)*BF186*BH186*BI186*BG186)),0)</f>
        <v/>
      </c>
      <c r="AY186" s="668"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formula'!$M$3:$O$7,AO186,FALSE)))*AX186+AP186*AQ186+AR186*AS186+AT186*AU186),0)*$AZ$3*BK186*BJ186*IF(AND(Inputs!$C$19&gt;19,Inputs!$C$19&lt;30),(1+$AZ$2),1)*(1+$AZ$1))</f>
        <v/>
      </c>
      <c r="AZ186" s="148" t="str">
        <f t="shared" si="99"/>
        <v/>
      </c>
      <c r="BA186" s="669" t="str">
        <f>IF(F186="","",IF(AE186="Dubai",HLOOKUP(F186,Inputs!$C$26:$M$37,9,0),HLOOKUP(F186,Inputs!$C$45:$M$56,9,0)))</f>
        <v/>
      </c>
      <c r="BB186" s="670" t="str">
        <f>IF(F186="","",IF(AE186="Dubai",HLOOKUP(F186,Inputs!$C$26:$M$37,10,0),HLOOKUP(F186,Inputs!$C$45:$M$56,10,0)))</f>
        <v/>
      </c>
      <c r="BC186" s="670" t="str">
        <f>IF(F186="","",IF(AE186="Dubai",HLOOKUP(F186,Inputs!$C$26:$M$37,11,0),HLOOKUP(F186,Inputs!$C$45:$M$56,11,0)))</f>
        <v/>
      </c>
      <c r="BD186" s="669" t="str">
        <f>IF(F186="","",IF(AE186="Dubai",HLOOKUP(F186,Inputs!$C$26:$M$37,12,0),HLOOKUP(F186,Inputs!$C$45:$M$56,12,0)))</f>
        <v/>
      </c>
      <c r="BE186" s="654"/>
      <c r="BF186" s="669" t="str">
        <f>IFERROR(IF(AL186="","",IF(AN186="Dubai",IF(OR(AL186="Plan1",AL186="Plan2"),VLOOKUP(BA186,Deviation!$B$31:$D$33,2,FALSE),VLOOKUP(BA186,Deviation!$B$31:$D$33,3,FALSE)),IF(OR(AL186="Plan1",AL186="Plan2"),VLOOKUP(BA186,Deviation!$E$31:$AE$33,2,FALSE),VLOOKUP(BA186,Deviation!$E$31:$AE$33,3,FALSE)))),0)</f>
        <v/>
      </c>
      <c r="BG186" s="671" t="str">
        <f>IFERROR(IF(AL186="","",IF(AN186="Dubai",IF(AL186="Plan1",VLOOKUP(BB186,Deviation!$B$39:$C$40,2,FALSE),IF(AL186="Plan2",VLOOKUP(BB186,Deviation!$B$42:$C$43,2,FALSE),IF(AL186="Plan5",VLOOKUP(BB186,Deviation!$B$48:$C$49,2,FALSE),VLOOKUP(BB186,Deviation!$B$45:$C$46,2,FALSE)))),IF(AL186="Plan1",VLOOKUP(BB186,Deviation!$E$39:$F$40,2,FALSE),IF(AL186="Plan2",VLOOKUP(BB186,Deviation!$E$42:$F$43,2,FALSE),VLOOKUP(BB186,Deviation!$E$45:$F$46,2,FALSE))))),0)</f>
        <v/>
      </c>
      <c r="BH186" s="671" t="str">
        <f>IFERROR(IF(AL186="","",IF(AN186="Dubai",IF(OR(AL186="Plan1",AL186="Plan2"),VLOOKUP(BC186,Deviation!$B$15:$D$19,2,FALSE),VLOOKUP(BC186,Deviation!$B$15:$D$19,3,FALSE)),IF(OR(AL186="Plan1",AL186="Plan2"),VLOOKUP(BC186,Deviation!$E$15:$AE$19,2,FALSE),VLOOKUP(BC186,Deviation!$E$15:$AE$19,3,FALSE)))),0)</f>
        <v/>
      </c>
      <c r="BI186" s="669" t="str">
        <f>IFERROR(IF(AL186="","",IF(AN186="Dubai",VLOOKUP(BD186,Deviation!$B$24:$C$26,2,FALSE),100%)),0)</f>
        <v/>
      </c>
      <c r="BJ186" s="672">
        <f>IF(AE186="Abu Dhabi",1,IFERROR(VLOOKUP(AM186,Deviation!$B$67:$E$79,MATCH('Census Data'!AA186,Deviation!$B$66:$E$66,0),0),1))</f>
        <v>1</v>
      </c>
      <c r="BK186" s="659">
        <f>IFERROR(VLOOKUP(I186,Deviation!$B$54:$C$62,2,0),1)</f>
        <v>1</v>
      </c>
      <c r="BL186" s="148"/>
      <c r="BM186" s="148"/>
      <c r="BN186" s="148"/>
      <c r="BO186" s="148"/>
      <c r="BP186" s="148"/>
      <c r="BQ186" s="148"/>
      <c r="BR186" s="148"/>
      <c r="BS186" s="148"/>
      <c r="BT186" s="148" t="e">
        <f t="shared" si="85"/>
        <v>#VALUE!</v>
      </c>
      <c r="BU186"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f>
        <v/>
      </c>
    </row>
    <row r="187" spans="1:73" ht="15" x14ac:dyDescent="0.25">
      <c r="A187" s="59">
        <v>182</v>
      </c>
      <c r="B187" s="470"/>
      <c r="C187" s="630"/>
      <c r="D187" s="629"/>
      <c r="E187" s="471"/>
      <c r="F187" s="298"/>
      <c r="G187" s="298"/>
      <c r="H187" s="298"/>
      <c r="I187" s="298"/>
      <c r="J187" s="80" t="str">
        <f>IFERROR(IF(C187="","",DATEDIF('Census Data'!C187,eff_date,"y")),"")</f>
        <v/>
      </c>
      <c r="K187" s="59" t="str">
        <f>IF(F187="","",IF(AE187="Dubai",HLOOKUP(F187,Inputs!$C$26:$M$28,3,0),HLOOKUP(F187,Inputs!$C$45:$M$46,2,0)))</f>
        <v/>
      </c>
      <c r="L187" s="94"/>
      <c r="M187" s="105">
        <f t="shared" si="87"/>
        <v>0</v>
      </c>
      <c r="N187" s="654" t="b">
        <f t="shared" si="88"/>
        <v>0</v>
      </c>
      <c r="O187" s="655" t="str">
        <f t="shared" si="89"/>
        <v>x</v>
      </c>
      <c r="P187" s="655" t="str">
        <f t="shared" si="90"/>
        <v>x</v>
      </c>
      <c r="Q187" s="655" t="str">
        <f t="shared" si="91"/>
        <v>x</v>
      </c>
      <c r="R187" s="655" t="str">
        <f t="shared" si="100"/>
        <v>x</v>
      </c>
      <c r="S187" s="655" t="str">
        <f t="shared" si="92"/>
        <v>x</v>
      </c>
      <c r="T187" s="655" t="str">
        <f>IF(ISERROR(MATCH(G187,'Inputs Mapping'!$T$4:$T$10,0)),"x","")</f>
        <v>x</v>
      </c>
      <c r="U187" s="655" t="str">
        <f>IF(ISERROR(MATCH(AA187,'Inputs Mapping'!$U$4:$U$5,0)),"x","")</f>
        <v>x</v>
      </c>
      <c r="V187" s="655" t="str">
        <f>IF(ISERROR(MATCH(AB187,'Inputs Mapping'!$V$4:$V$5,0)),"x","")</f>
        <v>x</v>
      </c>
      <c r="W187" s="655" t="str">
        <f>IF(ISERROR(MATCH(F187,'Inputs Mapping'!$W$4:$W$8,0)),"x","")</f>
        <v>x</v>
      </c>
      <c r="X187" s="655" t="str">
        <f t="shared" si="93"/>
        <v/>
      </c>
      <c r="Y187" s="655" t="str">
        <f t="shared" si="94"/>
        <v/>
      </c>
      <c r="Z187" s="655" t="str">
        <f t="shared" si="95"/>
        <v/>
      </c>
      <c r="AA187" s="655" t="str">
        <f t="shared" si="77"/>
        <v/>
      </c>
      <c r="AB187" s="655" t="str">
        <f t="shared" si="96"/>
        <v/>
      </c>
      <c r="AC187" s="655" t="str">
        <f t="shared" si="86"/>
        <v>x</v>
      </c>
      <c r="AD187" s="655" t="str">
        <f>IF(ISBLANK(I187),"x",IF(ISNUMBER(MATCH(I187,'Inputs Mapping'!$AF$5:$AF$199,0)),"","x"))</f>
        <v>x</v>
      </c>
      <c r="AE187" s="655" t="str">
        <f t="shared" si="80"/>
        <v/>
      </c>
      <c r="AF187" s="148"/>
      <c r="AG187" s="148"/>
      <c r="AH187" s="148" t="str">
        <f t="shared" si="81"/>
        <v/>
      </c>
      <c r="AI187" s="654" t="str">
        <f>IF(J187="","",VLOOKUP(J187,'Inputs Mapping'!$T$27:$V$31,3))</f>
        <v/>
      </c>
      <c r="AJ187" s="654" t="str">
        <f>IF(J187="","",VLOOKUP(J187,'Inputs Mapping'!$T$17:$V$24,3))</f>
        <v/>
      </c>
      <c r="AK187" s="654" t="str">
        <f t="shared" si="82"/>
        <v/>
      </c>
      <c r="AL187" s="655" t="str">
        <f t="shared" si="97"/>
        <v/>
      </c>
      <c r="AM187" s="655" t="str">
        <f>IF(F187="","",IF(AE187="Dubai",HLOOKUP(F187,Inputs!$C$26:$M$36,5,0),HLOOKUP(F187,Inputs!$C$45:$M$49,5,0)))</f>
        <v/>
      </c>
      <c r="AN187" s="655">
        <f t="shared" si="83"/>
        <v>0</v>
      </c>
      <c r="AO187" s="654" t="str">
        <f>IF(AJ187="","",IF(AN187="Dubai",VLOOKUP(AJ187,'Inputs Mapping'!$V$17:$W$24,2,0),VLOOKUP(AI187,'Inputs Mapping'!$V$27:$W$31,2,0)))</f>
        <v/>
      </c>
      <c r="AP187" s="666">
        <f>IFERROR(IF($AN187="","",HLOOKUP($AN187&amp;RIGHT($AL187,1),'input for formula'!$B$16:$I$20,3,0)),0)</f>
        <v>0</v>
      </c>
      <c r="AQ187" s="656">
        <f>IFERROR(IF($AN187="","",HLOOKUP($AN187&amp;$F187,'input for formula'!$B$22:$M$25,2,0)),0)</f>
        <v>0</v>
      </c>
      <c r="AR187" s="666">
        <f>IFERROR(IF($AN187="","",HLOOKUP($AN187&amp;RIGHT($AL187,1),'input for formula'!$B$16:$I$20,4,0)),0)</f>
        <v>0</v>
      </c>
      <c r="AS187" s="656">
        <f>IFERROR(IF($AN187="","",HLOOKUP($AN187&amp;$F187,'input for formula'!$B$22:$M$25,3,0)),0)</f>
        <v>0</v>
      </c>
      <c r="AT187" s="656">
        <f>IFERROR(IF($AN187="","",HLOOKUP($AN187&amp;RIGHT($AL187,1),'input for formula'!$B$16:$I$20,5,0)),0)</f>
        <v>0</v>
      </c>
      <c r="AU187" s="656">
        <f>IFERROR(IF($AN187="","",HLOOKUP($AN187&amp;$F187,'input for formula'!$B$22:$M$25,4,0)),0)</f>
        <v>0</v>
      </c>
      <c r="AV187" s="666">
        <f>IFERROR(IF($AN187="","",IF('Census Data'!$AN187="Abu Dhabi",VLOOKUP('Census Data'!$AM187,'input for formula'!$A$28:$C$41,3,0),VLOOKUP('Census Data'!$AM187,'input for formula'!$A$28:$C$47,2,0))),0)*IFERROR(1+IF(AN187="Dubai",VLOOKUP(F187,'Quotation for Dubai Plans'!$V$6:$X$12,3,FALSE),VLOOKUP(F187,'Quotation for Abu Dhabi Plans'!$W$6:$Y$12,3,FALSE)),0)</f>
        <v>0</v>
      </c>
      <c r="AW187" s="656" t="str">
        <f t="shared" si="98"/>
        <v/>
      </c>
      <c r="AX187" s="667" t="str">
        <f>IFERROR(IF(AL187="","",IF(AN187="Dubai",HLOOKUP((AL187&amp;AM187),Deviation!$B$7:$S$8,2,0)*BF187*BH187*BI187*BG187,HLOOKUP((AL187&amp;AM187),Deviation!$B$9:$O$10,2,0)*BF187*BH187*BI187*BG187)),0)</f>
        <v/>
      </c>
      <c r="AY187" s="668"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formula'!$M$3:$O$7,AO187,FALSE)))*AX187+AP187*AQ187+AR187*AS187+AT187*AU187),0)*$AZ$3*BK187*BJ187*IF(AND(Inputs!$C$19&gt;19,Inputs!$C$19&lt;30),(1+$AZ$2),1)*(1+$AZ$1))</f>
        <v/>
      </c>
      <c r="AZ187" s="148" t="str">
        <f t="shared" si="99"/>
        <v/>
      </c>
      <c r="BA187" s="669" t="str">
        <f>IF(F187="","",IF(AE187="Dubai",HLOOKUP(F187,Inputs!$C$26:$M$37,9,0),HLOOKUP(F187,Inputs!$C$45:$M$56,9,0)))</f>
        <v/>
      </c>
      <c r="BB187" s="670" t="str">
        <f>IF(F187="","",IF(AE187="Dubai",HLOOKUP(F187,Inputs!$C$26:$M$37,10,0),HLOOKUP(F187,Inputs!$C$45:$M$56,10,0)))</f>
        <v/>
      </c>
      <c r="BC187" s="670" t="str">
        <f>IF(F187="","",IF(AE187="Dubai",HLOOKUP(F187,Inputs!$C$26:$M$37,11,0),HLOOKUP(F187,Inputs!$C$45:$M$56,11,0)))</f>
        <v/>
      </c>
      <c r="BD187" s="669" t="str">
        <f>IF(F187="","",IF(AE187="Dubai",HLOOKUP(F187,Inputs!$C$26:$M$37,12,0),HLOOKUP(F187,Inputs!$C$45:$M$56,12,0)))</f>
        <v/>
      </c>
      <c r="BE187" s="654"/>
      <c r="BF187" s="669" t="str">
        <f>IFERROR(IF(AL187="","",IF(AN187="Dubai",IF(OR(AL187="Plan1",AL187="Plan2"),VLOOKUP(BA187,Deviation!$B$31:$D$33,2,FALSE),VLOOKUP(BA187,Deviation!$B$31:$D$33,3,FALSE)),IF(OR(AL187="Plan1",AL187="Plan2"),VLOOKUP(BA187,Deviation!$E$31:$AE$33,2,FALSE),VLOOKUP(BA187,Deviation!$E$31:$AE$33,3,FALSE)))),0)</f>
        <v/>
      </c>
      <c r="BG187" s="671" t="str">
        <f>IFERROR(IF(AL187="","",IF(AN187="Dubai",IF(AL187="Plan1",VLOOKUP(BB187,Deviation!$B$39:$C$40,2,FALSE),IF(AL187="Plan2",VLOOKUP(BB187,Deviation!$B$42:$C$43,2,FALSE),IF(AL187="Plan5",VLOOKUP(BB187,Deviation!$B$48:$C$49,2,FALSE),VLOOKUP(BB187,Deviation!$B$45:$C$46,2,FALSE)))),IF(AL187="Plan1",VLOOKUP(BB187,Deviation!$E$39:$F$40,2,FALSE),IF(AL187="Plan2",VLOOKUP(BB187,Deviation!$E$42:$F$43,2,FALSE),VLOOKUP(BB187,Deviation!$E$45:$F$46,2,FALSE))))),0)</f>
        <v/>
      </c>
      <c r="BH187" s="671" t="str">
        <f>IFERROR(IF(AL187="","",IF(AN187="Dubai",IF(OR(AL187="Plan1",AL187="Plan2"),VLOOKUP(BC187,Deviation!$B$15:$D$19,2,FALSE),VLOOKUP(BC187,Deviation!$B$15:$D$19,3,FALSE)),IF(OR(AL187="Plan1",AL187="Plan2"),VLOOKUP(BC187,Deviation!$E$15:$AE$19,2,FALSE),VLOOKUP(BC187,Deviation!$E$15:$AE$19,3,FALSE)))),0)</f>
        <v/>
      </c>
      <c r="BI187" s="669" t="str">
        <f>IFERROR(IF(AL187="","",IF(AN187="Dubai",VLOOKUP(BD187,Deviation!$B$24:$C$26,2,FALSE),100%)),0)</f>
        <v/>
      </c>
      <c r="BJ187" s="672">
        <f>IF(AE187="Abu Dhabi",1,IFERROR(VLOOKUP(AM187,Deviation!$B$67:$E$79,MATCH('Census Data'!AA187,Deviation!$B$66:$E$66,0),0),1))</f>
        <v>1</v>
      </c>
      <c r="BK187" s="659">
        <f>IFERROR(VLOOKUP(I187,Deviation!$B$54:$C$62,2,0),1)</f>
        <v>1</v>
      </c>
      <c r="BL187" s="148"/>
      <c r="BM187" s="148"/>
      <c r="BN187" s="148"/>
      <c r="BO187" s="148"/>
      <c r="BP187" s="148"/>
      <c r="BQ187" s="148"/>
      <c r="BR187" s="148"/>
      <c r="BS187" s="148"/>
      <c r="BT187" s="148" t="e">
        <f t="shared" si="85"/>
        <v>#VALUE!</v>
      </c>
      <c r="BU187"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f>
        <v/>
      </c>
    </row>
    <row r="188" spans="1:73" ht="15" x14ac:dyDescent="0.25">
      <c r="A188" s="59">
        <v>183</v>
      </c>
      <c r="B188" s="470"/>
      <c r="C188" s="628"/>
      <c r="D188" s="629"/>
      <c r="E188" s="471"/>
      <c r="F188" s="298"/>
      <c r="G188" s="298"/>
      <c r="H188" s="298"/>
      <c r="I188" s="298"/>
      <c r="J188" s="80" t="str">
        <f>IFERROR(IF(C188="","",DATEDIF('Census Data'!C188,eff_date,"y")),"")</f>
        <v/>
      </c>
      <c r="K188" s="59" t="str">
        <f>IF(F188="","",IF(AE188="Dubai",HLOOKUP(F188,Inputs!$C$26:$M$28,3,0),HLOOKUP(F188,Inputs!$C$45:$M$46,2,0)))</f>
        <v/>
      </c>
      <c r="L188" s="94"/>
      <c r="M188" s="105">
        <f t="shared" si="87"/>
        <v>0</v>
      </c>
      <c r="N188" s="654" t="b">
        <f t="shared" si="88"/>
        <v>0</v>
      </c>
      <c r="O188" s="655" t="str">
        <f t="shared" si="89"/>
        <v>x</v>
      </c>
      <c r="P188" s="655" t="str">
        <f t="shared" si="90"/>
        <v>x</v>
      </c>
      <c r="Q188" s="655" t="str">
        <f t="shared" si="91"/>
        <v>x</v>
      </c>
      <c r="R188" s="655" t="str">
        <f t="shared" si="100"/>
        <v>x</v>
      </c>
      <c r="S188" s="655" t="str">
        <f t="shared" si="92"/>
        <v>x</v>
      </c>
      <c r="T188" s="655" t="str">
        <f>IF(ISERROR(MATCH(G188,'Inputs Mapping'!$T$4:$T$10,0)),"x","")</f>
        <v>x</v>
      </c>
      <c r="U188" s="655" t="str">
        <f>IF(ISERROR(MATCH(AA188,'Inputs Mapping'!$U$4:$U$5,0)),"x","")</f>
        <v>x</v>
      </c>
      <c r="V188" s="655" t="str">
        <f>IF(ISERROR(MATCH(AB188,'Inputs Mapping'!$V$4:$V$5,0)),"x","")</f>
        <v>x</v>
      </c>
      <c r="W188" s="655" t="str">
        <f>IF(ISERROR(MATCH(F188,'Inputs Mapping'!$W$4:$W$8,0)),"x","")</f>
        <v>x</v>
      </c>
      <c r="X188" s="655" t="str">
        <f t="shared" si="93"/>
        <v/>
      </c>
      <c r="Y188" s="655" t="str">
        <f t="shared" si="94"/>
        <v/>
      </c>
      <c r="Z188" s="655" t="str">
        <f t="shared" si="95"/>
        <v/>
      </c>
      <c r="AA188" s="655" t="str">
        <f t="shared" si="77"/>
        <v/>
      </c>
      <c r="AB188" s="655" t="str">
        <f t="shared" si="96"/>
        <v/>
      </c>
      <c r="AC188" s="655" t="str">
        <f t="shared" si="86"/>
        <v>x</v>
      </c>
      <c r="AD188" s="655" t="str">
        <f>IF(ISBLANK(I188),"x",IF(ISNUMBER(MATCH(I188,'Inputs Mapping'!$AF$5:$AF$199,0)),"","x"))</f>
        <v>x</v>
      </c>
      <c r="AE188" s="655" t="str">
        <f t="shared" si="80"/>
        <v/>
      </c>
      <c r="AF188" s="148"/>
      <c r="AG188" s="148"/>
      <c r="AH188" s="148" t="str">
        <f t="shared" si="81"/>
        <v/>
      </c>
      <c r="AI188" s="654" t="str">
        <f>IF(J188="","",VLOOKUP(J188,'Inputs Mapping'!$T$27:$V$31,3))</f>
        <v/>
      </c>
      <c r="AJ188" s="654" t="str">
        <f>IF(J188="","",VLOOKUP(J188,'Inputs Mapping'!$T$17:$V$24,3))</f>
        <v/>
      </c>
      <c r="AK188" s="654" t="str">
        <f t="shared" si="82"/>
        <v/>
      </c>
      <c r="AL188" s="655" t="str">
        <f t="shared" si="97"/>
        <v/>
      </c>
      <c r="AM188" s="655" t="str">
        <f>IF(F188="","",IF(AE188="Dubai",HLOOKUP(F188,Inputs!$C$26:$M$36,5,0),HLOOKUP(F188,Inputs!$C$45:$M$49,5,0)))</f>
        <v/>
      </c>
      <c r="AN188" s="655">
        <f t="shared" si="83"/>
        <v>0</v>
      </c>
      <c r="AO188" s="654" t="str">
        <f>IF(AJ188="","",IF(AN188="Dubai",VLOOKUP(AJ188,'Inputs Mapping'!$V$17:$W$24,2,0),VLOOKUP(AI188,'Inputs Mapping'!$V$27:$W$31,2,0)))</f>
        <v/>
      </c>
      <c r="AP188" s="666">
        <f>IFERROR(IF($AN188="","",HLOOKUP($AN188&amp;RIGHT($AL188,1),'input for formula'!$B$16:$I$20,3,0)),0)</f>
        <v>0</v>
      </c>
      <c r="AQ188" s="656">
        <f>IFERROR(IF($AN188="","",HLOOKUP($AN188&amp;$F188,'input for formula'!$B$22:$M$25,2,0)),0)</f>
        <v>0</v>
      </c>
      <c r="AR188" s="666">
        <f>IFERROR(IF($AN188="","",HLOOKUP($AN188&amp;RIGHT($AL188,1),'input for formula'!$B$16:$I$20,4,0)),0)</f>
        <v>0</v>
      </c>
      <c r="AS188" s="656">
        <f>IFERROR(IF($AN188="","",HLOOKUP($AN188&amp;$F188,'input for formula'!$B$22:$M$25,3,0)),0)</f>
        <v>0</v>
      </c>
      <c r="AT188" s="656">
        <f>IFERROR(IF($AN188="","",HLOOKUP($AN188&amp;RIGHT($AL188,1),'input for formula'!$B$16:$I$20,5,0)),0)</f>
        <v>0</v>
      </c>
      <c r="AU188" s="656">
        <f>IFERROR(IF($AN188="","",HLOOKUP($AN188&amp;$F188,'input for formula'!$B$22:$M$25,4,0)),0)</f>
        <v>0</v>
      </c>
      <c r="AV188" s="666">
        <f>IFERROR(IF($AN188="","",IF('Census Data'!$AN188="Abu Dhabi",VLOOKUP('Census Data'!$AM188,'input for formula'!$A$28:$C$41,3,0),VLOOKUP('Census Data'!$AM188,'input for formula'!$A$28:$C$47,2,0))),0)*IFERROR(1+IF(AN188="Dubai",VLOOKUP(F188,'Quotation for Dubai Plans'!$V$6:$X$12,3,FALSE),VLOOKUP(F188,'Quotation for Abu Dhabi Plans'!$W$6:$Y$12,3,FALSE)),0)</f>
        <v>0</v>
      </c>
      <c r="AW188" s="656" t="str">
        <f t="shared" si="98"/>
        <v/>
      </c>
      <c r="AX188" s="667" t="str">
        <f>IFERROR(IF(AL188="","",IF(AN188="Dubai",HLOOKUP((AL188&amp;AM188),Deviation!$B$7:$S$8,2,0)*BF188*BH188*BI188*BG188,HLOOKUP((AL188&amp;AM188),Deviation!$B$9:$O$10,2,0)*BF188*BH188*BI188*BG188)),0)</f>
        <v/>
      </c>
      <c r="AY188" s="66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formula'!$M$3:$O$7,AO188,FALSE)))*AX188+AP188*AQ188+AR188*AS188+AT188*AU188),0)*$AZ$3*BK188*BJ188*IF(AND(Inputs!$C$19&gt;19,Inputs!$C$19&lt;30),(1+$AZ$2),1)*(1+$AZ$1))</f>
        <v/>
      </c>
      <c r="AZ188" s="148" t="str">
        <f t="shared" si="99"/>
        <v/>
      </c>
      <c r="BA188" s="669" t="str">
        <f>IF(F188="","",IF(AE188="Dubai",HLOOKUP(F188,Inputs!$C$26:$M$37,9,0),HLOOKUP(F188,Inputs!$C$45:$M$56,9,0)))</f>
        <v/>
      </c>
      <c r="BB188" s="670" t="str">
        <f>IF(F188="","",IF(AE188="Dubai",HLOOKUP(F188,Inputs!$C$26:$M$37,10,0),HLOOKUP(F188,Inputs!$C$45:$M$56,10,0)))</f>
        <v/>
      </c>
      <c r="BC188" s="670" t="str">
        <f>IF(F188="","",IF(AE188="Dubai",HLOOKUP(F188,Inputs!$C$26:$M$37,11,0),HLOOKUP(F188,Inputs!$C$45:$M$56,11,0)))</f>
        <v/>
      </c>
      <c r="BD188" s="669" t="str">
        <f>IF(F188="","",IF(AE188="Dubai",HLOOKUP(F188,Inputs!$C$26:$M$37,12,0),HLOOKUP(F188,Inputs!$C$45:$M$56,12,0)))</f>
        <v/>
      </c>
      <c r="BE188" s="654"/>
      <c r="BF188" s="669" t="str">
        <f>IFERROR(IF(AL188="","",IF(AN188="Dubai",IF(OR(AL188="Plan1",AL188="Plan2"),VLOOKUP(BA188,Deviation!$B$31:$D$33,2,FALSE),VLOOKUP(BA188,Deviation!$B$31:$D$33,3,FALSE)),IF(OR(AL188="Plan1",AL188="Plan2"),VLOOKUP(BA188,Deviation!$E$31:$AE$33,2,FALSE),VLOOKUP(BA188,Deviation!$E$31:$AE$33,3,FALSE)))),0)</f>
        <v/>
      </c>
      <c r="BG188" s="671" t="str">
        <f>IFERROR(IF(AL188="","",IF(AN188="Dubai",IF(AL188="Plan1",VLOOKUP(BB188,Deviation!$B$39:$C$40,2,FALSE),IF(AL188="Plan2",VLOOKUP(BB188,Deviation!$B$42:$C$43,2,FALSE),IF(AL188="Plan5",VLOOKUP(BB188,Deviation!$B$48:$C$49,2,FALSE),VLOOKUP(BB188,Deviation!$B$45:$C$46,2,FALSE)))),IF(AL188="Plan1",VLOOKUP(BB188,Deviation!$E$39:$F$40,2,FALSE),IF(AL188="Plan2",VLOOKUP(BB188,Deviation!$E$42:$F$43,2,FALSE),VLOOKUP(BB188,Deviation!$E$45:$F$46,2,FALSE))))),0)</f>
        <v/>
      </c>
      <c r="BH188" s="671" t="str">
        <f>IFERROR(IF(AL188="","",IF(AN188="Dubai",IF(OR(AL188="Plan1",AL188="Plan2"),VLOOKUP(BC188,Deviation!$B$15:$D$19,2,FALSE),VLOOKUP(BC188,Deviation!$B$15:$D$19,3,FALSE)),IF(OR(AL188="Plan1",AL188="Plan2"),VLOOKUP(BC188,Deviation!$E$15:$AE$19,2,FALSE),VLOOKUP(BC188,Deviation!$E$15:$AE$19,3,FALSE)))),0)</f>
        <v/>
      </c>
      <c r="BI188" s="669" t="str">
        <f>IFERROR(IF(AL188="","",IF(AN188="Dubai",VLOOKUP(BD188,Deviation!$B$24:$C$26,2,FALSE),100%)),0)</f>
        <v/>
      </c>
      <c r="BJ188" s="672">
        <f>IF(AE188="Abu Dhabi",1,IFERROR(VLOOKUP(AM188,Deviation!$B$67:$E$79,MATCH('Census Data'!AA188,Deviation!$B$66:$E$66,0),0),1))</f>
        <v>1</v>
      </c>
      <c r="BK188" s="659">
        <f>IFERROR(VLOOKUP(I188,Deviation!$B$54:$C$62,2,0),1)</f>
        <v>1</v>
      </c>
      <c r="BL188" s="148"/>
      <c r="BM188" s="148"/>
      <c r="BN188" s="148"/>
      <c r="BO188" s="148"/>
      <c r="BP188" s="148"/>
      <c r="BQ188" s="148"/>
      <c r="BR188" s="148"/>
      <c r="BS188" s="148"/>
      <c r="BT188" s="148" t="e">
        <f t="shared" si="85"/>
        <v>#VALUE!</v>
      </c>
      <c r="BU18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f>
        <v/>
      </c>
    </row>
    <row r="189" spans="1:73" ht="15" x14ac:dyDescent="0.25">
      <c r="A189" s="59">
        <v>184</v>
      </c>
      <c r="B189" s="470"/>
      <c r="C189" s="628"/>
      <c r="D189" s="629"/>
      <c r="E189" s="471"/>
      <c r="F189" s="298"/>
      <c r="G189" s="298"/>
      <c r="H189" s="298"/>
      <c r="I189" s="298"/>
      <c r="J189" s="80" t="str">
        <f>IFERROR(IF(C189="","",DATEDIF('Census Data'!C189,eff_date,"y")),"")</f>
        <v/>
      </c>
      <c r="K189" s="59" t="str">
        <f>IF(F189="","",IF(AE189="Dubai",HLOOKUP(F189,Inputs!$C$26:$M$28,3,0),HLOOKUP(F189,Inputs!$C$45:$M$46,2,0)))</f>
        <v/>
      </c>
      <c r="L189" s="94"/>
      <c r="M189" s="105">
        <f t="shared" ref="M189:M200" si="101">IF(N189,IF(COUNTIF(N189:AD189,"x")=0,1,IF(OR(O189="x",P189="x",Q189="×",R189="x",S189="x",T189="x",V189="x",U189="x",W189="x",X189="x",Y189="x",Z189="x",AC189="x",AD189="x"),-2,-1)),0)</f>
        <v>0</v>
      </c>
      <c r="N189" s="654" t="b">
        <f t="shared" ref="N189:N200" si="102">NOT(AND(ISBLANK(C189),ISBLANK(D189),ISBLANK(E189),ISBLANK(F189),ISBLANK(G189)))</f>
        <v>0</v>
      </c>
      <c r="O189" s="655" t="str">
        <f t="shared" ref="O189:O200" si="103">IF(ISBLANK(C189),"x","")</f>
        <v>x</v>
      </c>
      <c r="P189" s="655" t="str">
        <f t="shared" ref="P189:P200" si="104">IF(ISBLANK(D189),"x","")</f>
        <v>x</v>
      </c>
      <c r="Q189" s="655" t="str">
        <f t="shared" ref="Q189:Q200" si="105">IF(ISBLANK(E189),"x","")</f>
        <v>x</v>
      </c>
      <c r="R189" s="655" t="str">
        <f t="shared" si="100"/>
        <v>x</v>
      </c>
      <c r="S189" s="655" t="str">
        <f t="shared" ref="S189:S200" si="106">IF(ISBLANK(G189),"x","")</f>
        <v>x</v>
      </c>
      <c r="T189" s="655" t="str">
        <f>IF(ISERROR(MATCH(G189,'Inputs Mapping'!$T$4:$T$10,0)),"x","")</f>
        <v>x</v>
      </c>
      <c r="U189" s="655" t="str">
        <f>IF(ISERROR(MATCH(AA189,'Inputs Mapping'!$U$4:$U$5,0)),"x","")</f>
        <v>x</v>
      </c>
      <c r="V189" s="655" t="str">
        <f>IF(ISERROR(MATCH(AB189,'Inputs Mapping'!$V$4:$V$5,0)),"x","")</f>
        <v>x</v>
      </c>
      <c r="W189" s="655" t="str">
        <f>IF(ISERROR(MATCH(F189,'Inputs Mapping'!$W$4:$W$8,0)),"x","")</f>
        <v>x</v>
      </c>
      <c r="X189" s="655" t="str">
        <f t="shared" ref="X189:X200" si="107">IF(ISBLANK(C189),"",IF(OR(ISERROR(J189),NOT(ISNUMBER(C189))),"x",""))</f>
        <v/>
      </c>
      <c r="Y189" s="655" t="str">
        <f t="shared" ref="Y189:Y200" si="108">IF(ISBLANK(C189),"",IF(ISERROR(J189),"",""))</f>
        <v/>
      </c>
      <c r="Z189" s="655" t="str">
        <f t="shared" ref="Z189:Z200" si="109">IF(ISBLANK(C189),"",IF(ISERROR(J189),"",IF(AND(eff_date-C189&lt;0,C189&lt;&gt;""),"x","")))</f>
        <v/>
      </c>
      <c r="AA189" s="655" t="str">
        <f t="shared" si="77"/>
        <v/>
      </c>
      <c r="AB189" s="655" t="str">
        <f t="shared" ref="AB189:AB200" si="110">IF(E189="","",IF(OR(E189="Married",E189="M"),"M",IF(OR(E189="Single",E189="S"),"S","")))</f>
        <v/>
      </c>
      <c r="AC189" s="655" t="str">
        <f t="shared" si="86"/>
        <v>x</v>
      </c>
      <c r="AD189" s="655" t="str">
        <f>IF(ISBLANK(I189),"x",IF(ISNUMBER(MATCH(I189,'Inputs Mapping'!$AF$5:$AF$199,0)),"","x"))</f>
        <v>x</v>
      </c>
      <c r="AE189" s="655" t="str">
        <f t="shared" si="80"/>
        <v/>
      </c>
      <c r="AF189" s="148"/>
      <c r="AG189" s="148"/>
      <c r="AH189" s="148" t="str">
        <f t="shared" si="81"/>
        <v/>
      </c>
      <c r="AI189" s="654" t="str">
        <f>IF(J189="","",VLOOKUP(J189,'Inputs Mapping'!$T$27:$V$31,3))</f>
        <v/>
      </c>
      <c r="AJ189" s="654" t="str">
        <f>IF(J189="","",VLOOKUP(J189,'Inputs Mapping'!$T$17:$V$24,3))</f>
        <v/>
      </c>
      <c r="AK189" s="654" t="str">
        <f t="shared" si="82"/>
        <v/>
      </c>
      <c r="AL189" s="655" t="str">
        <f t="shared" ref="AL189:AL200" si="111">K189</f>
        <v/>
      </c>
      <c r="AM189" s="655" t="str">
        <f>IF(F189="","",IF(AE189="Dubai",HLOOKUP(F189,Inputs!$C$26:$M$36,5,0),HLOOKUP(F189,Inputs!$C$45:$M$49,5,0)))</f>
        <v/>
      </c>
      <c r="AN189" s="655">
        <f t="shared" si="83"/>
        <v>0</v>
      </c>
      <c r="AO189" s="654" t="str">
        <f>IF(AJ189="","",IF(AN189="Dubai",VLOOKUP(AJ189,'Inputs Mapping'!$V$17:$W$24,2,0),VLOOKUP(AI189,'Inputs Mapping'!$V$27:$W$31,2,0)))</f>
        <v/>
      </c>
      <c r="AP189" s="666">
        <f>IFERROR(IF($AN189="","",HLOOKUP($AN189&amp;RIGHT($AL189,1),'input for formula'!$B$16:$I$20,3,0)),0)</f>
        <v>0</v>
      </c>
      <c r="AQ189" s="656">
        <f>IFERROR(IF($AN189="","",HLOOKUP($AN189&amp;$F189,'input for formula'!$B$22:$M$25,2,0)),0)</f>
        <v>0</v>
      </c>
      <c r="AR189" s="666">
        <f>IFERROR(IF($AN189="","",HLOOKUP($AN189&amp;RIGHT($AL189,1),'input for formula'!$B$16:$I$20,4,0)),0)</f>
        <v>0</v>
      </c>
      <c r="AS189" s="656">
        <f>IFERROR(IF($AN189="","",HLOOKUP($AN189&amp;$F189,'input for formula'!$B$22:$M$25,3,0)),0)</f>
        <v>0</v>
      </c>
      <c r="AT189" s="656">
        <f>IFERROR(IF($AN189="","",HLOOKUP($AN189&amp;RIGHT($AL189,1),'input for formula'!$B$16:$I$20,5,0)),0)</f>
        <v>0</v>
      </c>
      <c r="AU189" s="656">
        <f>IFERROR(IF($AN189="","",HLOOKUP($AN189&amp;$F189,'input for formula'!$B$22:$M$25,4,0)),0)</f>
        <v>0</v>
      </c>
      <c r="AV189" s="666">
        <f>IFERROR(IF($AN189="","",IF('Census Data'!$AN189="Abu Dhabi",VLOOKUP('Census Data'!$AM189,'input for formula'!$A$28:$C$41,3,0),VLOOKUP('Census Data'!$AM189,'input for formula'!$A$28:$C$47,2,0))),0)*IFERROR(1+IF(AN189="Dubai",VLOOKUP(F189,'Quotation for Dubai Plans'!$V$6:$X$12,3,FALSE),VLOOKUP(F189,'Quotation for Abu Dhabi Plans'!$W$6:$Y$12,3,FALSE)),0)</f>
        <v>0</v>
      </c>
      <c r="AW189" s="656" t="str">
        <f t="shared" ref="AW189:AW200" si="112">AK189</f>
        <v/>
      </c>
      <c r="AX189" s="667" t="str">
        <f>IFERROR(IF(AL189="","",IF(AN189="Dubai",HLOOKUP((AL189&amp;AM189),Deviation!$B$7:$S$8,2,0)*BF189*BH189*BI189*BG189,HLOOKUP((AL189&amp;AM189),Deviation!$B$9:$O$10,2,0)*BF189*BH189*BI189*BG189)),0)</f>
        <v/>
      </c>
      <c r="AY189" s="668"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formula'!$M$3:$O$7,AO189,FALSE)))*AX189+AP189*AQ189+AR189*AS189+AT189*AU189),0)*$AZ$3*BK189*BJ189*IF(AND(Inputs!$C$19&gt;19,Inputs!$C$19&lt;30),(1+$AZ$2),1)*(1+$AZ$1))</f>
        <v/>
      </c>
      <c r="AZ189" s="148" t="str">
        <f t="shared" ref="AZ189:AZ200" si="113">IF(AL189="","",IF(AN189="","",AN189&amp;RIGHT(AL189,1)))</f>
        <v/>
      </c>
      <c r="BA189" s="669" t="str">
        <f>IF(F189="","",IF(AE189="Dubai",HLOOKUP(F189,Inputs!$C$26:$M$37,9,0),HLOOKUP(F189,Inputs!$C$45:$M$56,9,0)))</f>
        <v/>
      </c>
      <c r="BB189" s="670" t="str">
        <f>IF(F189="","",IF(AE189="Dubai",HLOOKUP(F189,Inputs!$C$26:$M$37,10,0),HLOOKUP(F189,Inputs!$C$45:$M$56,10,0)))</f>
        <v/>
      </c>
      <c r="BC189" s="670" t="str">
        <f>IF(F189="","",IF(AE189="Dubai",HLOOKUP(F189,Inputs!$C$26:$M$37,11,0),HLOOKUP(F189,Inputs!$C$45:$M$56,11,0)))</f>
        <v/>
      </c>
      <c r="BD189" s="669" t="str">
        <f>IF(F189="","",IF(AE189="Dubai",HLOOKUP(F189,Inputs!$C$26:$M$37,12,0),HLOOKUP(F189,Inputs!$C$45:$M$56,12,0)))</f>
        <v/>
      </c>
      <c r="BE189" s="654"/>
      <c r="BF189" s="669" t="str">
        <f>IFERROR(IF(AL189="","",IF(AN189="Dubai",IF(OR(AL189="Plan1",AL189="Plan2"),VLOOKUP(BA189,Deviation!$B$31:$D$33,2,FALSE),VLOOKUP(BA189,Deviation!$B$31:$D$33,3,FALSE)),IF(OR(AL189="Plan1",AL189="Plan2"),VLOOKUP(BA189,Deviation!$E$31:$AE$33,2,FALSE),VLOOKUP(BA189,Deviation!$E$31:$AE$33,3,FALSE)))),0)</f>
        <v/>
      </c>
      <c r="BG189" s="671" t="str">
        <f>IFERROR(IF(AL189="","",IF(AN189="Dubai",IF(AL189="Plan1",VLOOKUP(BB189,Deviation!$B$39:$C$40,2,FALSE),IF(AL189="Plan2",VLOOKUP(BB189,Deviation!$B$42:$C$43,2,FALSE),IF(AL189="Plan5",VLOOKUP(BB189,Deviation!$B$48:$C$49,2,FALSE),VLOOKUP(BB189,Deviation!$B$45:$C$46,2,FALSE)))),IF(AL189="Plan1",VLOOKUP(BB189,Deviation!$E$39:$F$40,2,FALSE),IF(AL189="Plan2",VLOOKUP(BB189,Deviation!$E$42:$F$43,2,FALSE),VLOOKUP(BB189,Deviation!$E$45:$F$46,2,FALSE))))),0)</f>
        <v/>
      </c>
      <c r="BH189" s="671" t="str">
        <f>IFERROR(IF(AL189="","",IF(AN189="Dubai",IF(OR(AL189="Plan1",AL189="Plan2"),VLOOKUP(BC189,Deviation!$B$15:$D$19,2,FALSE),VLOOKUP(BC189,Deviation!$B$15:$D$19,3,FALSE)),IF(OR(AL189="Plan1",AL189="Plan2"),VLOOKUP(BC189,Deviation!$E$15:$AE$19,2,FALSE),VLOOKUP(BC189,Deviation!$E$15:$AE$19,3,FALSE)))),0)</f>
        <v/>
      </c>
      <c r="BI189" s="669" t="str">
        <f>IFERROR(IF(AL189="","",IF(AN189="Dubai",VLOOKUP(BD189,Deviation!$B$24:$C$26,2,FALSE),100%)),0)</f>
        <v/>
      </c>
      <c r="BJ189" s="672">
        <f>IF(AE189="Abu Dhabi",1,IFERROR(VLOOKUP(AM189,Deviation!$B$67:$E$79,MATCH('Census Data'!AA189,Deviation!$B$66:$E$66,0),0),1))</f>
        <v>1</v>
      </c>
      <c r="BK189" s="659">
        <f>IFERROR(VLOOKUP(I189,Deviation!$B$54:$C$62,2,0),1)</f>
        <v>1</v>
      </c>
      <c r="BL189" s="148"/>
      <c r="BM189" s="148"/>
      <c r="BN189" s="148"/>
      <c r="BO189" s="148"/>
      <c r="BP189" s="148"/>
      <c r="BQ189" s="148"/>
      <c r="BR189" s="148"/>
      <c r="BS189" s="148"/>
      <c r="BT189" s="148" t="e">
        <f t="shared" si="85"/>
        <v>#VALUE!</v>
      </c>
      <c r="BU189"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f>
        <v/>
      </c>
    </row>
    <row r="190" spans="1:73" ht="15" x14ac:dyDescent="0.25">
      <c r="A190" s="59">
        <v>185</v>
      </c>
      <c r="B190" s="470"/>
      <c r="C190" s="628"/>
      <c r="D190" s="629"/>
      <c r="E190" s="471"/>
      <c r="F190" s="298"/>
      <c r="G190" s="298"/>
      <c r="H190" s="298"/>
      <c r="I190" s="298"/>
      <c r="J190" s="80" t="str">
        <f>IFERROR(IF(C190="","",DATEDIF('Census Data'!C190,eff_date,"y")),"")</f>
        <v/>
      </c>
      <c r="K190" s="59" t="str">
        <f>IF(F190="","",IF(AE190="Dubai",HLOOKUP(F190,Inputs!$C$26:$M$28,3,0),HLOOKUP(F190,Inputs!$C$45:$M$46,2,0)))</f>
        <v/>
      </c>
      <c r="L190" s="94"/>
      <c r="M190" s="105">
        <f t="shared" si="101"/>
        <v>0</v>
      </c>
      <c r="N190" s="654" t="b">
        <f t="shared" si="102"/>
        <v>0</v>
      </c>
      <c r="O190" s="655" t="str">
        <f t="shared" si="103"/>
        <v>x</v>
      </c>
      <c r="P190" s="655" t="str">
        <f t="shared" si="104"/>
        <v>x</v>
      </c>
      <c r="Q190" s="655" t="str">
        <f t="shared" si="105"/>
        <v>x</v>
      </c>
      <c r="R190" s="655" t="str">
        <f t="shared" si="100"/>
        <v>x</v>
      </c>
      <c r="S190" s="655" t="str">
        <f t="shared" si="106"/>
        <v>x</v>
      </c>
      <c r="T190" s="655" t="str">
        <f>IF(ISERROR(MATCH(G190,'Inputs Mapping'!$T$4:$T$10,0)),"x","")</f>
        <v>x</v>
      </c>
      <c r="U190" s="655" t="str">
        <f>IF(ISERROR(MATCH(AA190,'Inputs Mapping'!$U$4:$U$5,0)),"x","")</f>
        <v>x</v>
      </c>
      <c r="V190" s="655" t="str">
        <f>IF(ISERROR(MATCH(AB190,'Inputs Mapping'!$V$4:$V$5,0)),"x","")</f>
        <v>x</v>
      </c>
      <c r="W190" s="655" t="str">
        <f>IF(ISERROR(MATCH(F190,'Inputs Mapping'!$W$4:$W$8,0)),"x","")</f>
        <v>x</v>
      </c>
      <c r="X190" s="655" t="str">
        <f t="shared" si="107"/>
        <v/>
      </c>
      <c r="Y190" s="655" t="str">
        <f t="shared" si="108"/>
        <v/>
      </c>
      <c r="Z190" s="655" t="str">
        <f t="shared" si="109"/>
        <v/>
      </c>
      <c r="AA190" s="655" t="str">
        <f t="shared" si="77"/>
        <v/>
      </c>
      <c r="AB190" s="655" t="str">
        <f t="shared" si="110"/>
        <v/>
      </c>
      <c r="AC190" s="655" t="str">
        <f t="shared" si="86"/>
        <v>x</v>
      </c>
      <c r="AD190" s="655" t="str">
        <f>IF(ISBLANK(I190),"x",IF(ISNUMBER(MATCH(I190,'Inputs Mapping'!$AF$5:$AF$199,0)),"","x"))</f>
        <v>x</v>
      </c>
      <c r="AE190" s="655" t="str">
        <f t="shared" si="80"/>
        <v/>
      </c>
      <c r="AF190" s="148"/>
      <c r="AG190" s="148"/>
      <c r="AH190" s="148" t="str">
        <f t="shared" si="81"/>
        <v/>
      </c>
      <c r="AI190" s="654" t="str">
        <f>IF(J190="","",VLOOKUP(J190,'Inputs Mapping'!$T$27:$V$31,3))</f>
        <v/>
      </c>
      <c r="AJ190" s="654" t="str">
        <f>IF(J190="","",VLOOKUP(J190,'Inputs Mapping'!$T$17:$V$24,3))</f>
        <v/>
      </c>
      <c r="AK190" s="654" t="str">
        <f t="shared" si="82"/>
        <v/>
      </c>
      <c r="AL190" s="655" t="str">
        <f t="shared" si="111"/>
        <v/>
      </c>
      <c r="AM190" s="655" t="str">
        <f>IF(F190="","",IF(AE190="Dubai",HLOOKUP(F190,Inputs!$C$26:$M$36,5,0),HLOOKUP(F190,Inputs!$C$45:$M$49,5,0)))</f>
        <v/>
      </c>
      <c r="AN190" s="655">
        <f t="shared" si="83"/>
        <v>0</v>
      </c>
      <c r="AO190" s="654" t="str">
        <f>IF(AJ190="","",IF(AN190="Dubai",VLOOKUP(AJ190,'Inputs Mapping'!$V$17:$W$24,2,0),VLOOKUP(AI190,'Inputs Mapping'!$V$27:$W$31,2,0)))</f>
        <v/>
      </c>
      <c r="AP190" s="666">
        <f>IFERROR(IF($AN190="","",HLOOKUP($AN190&amp;RIGHT($AL190,1),'input for formula'!$B$16:$I$20,3,0)),0)</f>
        <v>0</v>
      </c>
      <c r="AQ190" s="656">
        <f>IFERROR(IF($AN190="","",HLOOKUP($AN190&amp;$F190,'input for formula'!$B$22:$M$25,2,0)),0)</f>
        <v>0</v>
      </c>
      <c r="AR190" s="666">
        <f>IFERROR(IF($AN190="","",HLOOKUP($AN190&amp;RIGHT($AL190,1),'input for formula'!$B$16:$I$20,4,0)),0)</f>
        <v>0</v>
      </c>
      <c r="AS190" s="656">
        <f>IFERROR(IF($AN190="","",HLOOKUP($AN190&amp;$F190,'input for formula'!$B$22:$M$25,3,0)),0)</f>
        <v>0</v>
      </c>
      <c r="AT190" s="656">
        <f>IFERROR(IF($AN190="","",HLOOKUP($AN190&amp;RIGHT($AL190,1),'input for formula'!$B$16:$I$20,5,0)),0)</f>
        <v>0</v>
      </c>
      <c r="AU190" s="656">
        <f>IFERROR(IF($AN190="","",HLOOKUP($AN190&amp;$F190,'input for formula'!$B$22:$M$25,4,0)),0)</f>
        <v>0</v>
      </c>
      <c r="AV190" s="666">
        <f>IFERROR(IF($AN190="","",IF('Census Data'!$AN190="Abu Dhabi",VLOOKUP('Census Data'!$AM190,'input for formula'!$A$28:$C$41,3,0),VLOOKUP('Census Data'!$AM190,'input for formula'!$A$28:$C$47,2,0))),0)*IFERROR(1+IF(AN190="Dubai",VLOOKUP(F190,'Quotation for Dubai Plans'!$V$6:$X$12,3,FALSE),VLOOKUP(F190,'Quotation for Abu Dhabi Plans'!$W$6:$Y$12,3,FALSE)),0)</f>
        <v>0</v>
      </c>
      <c r="AW190" s="656" t="str">
        <f t="shared" si="112"/>
        <v/>
      </c>
      <c r="AX190" s="667" t="str">
        <f>IFERROR(IF(AL190="","",IF(AN190="Dubai",HLOOKUP((AL190&amp;AM190),Deviation!$B$7:$S$8,2,0)*BF190*BH190*BI190*BG190,HLOOKUP((AL190&amp;AM190),Deviation!$B$9:$O$10,2,0)*BF190*BH190*BI190*BG190)),0)</f>
        <v/>
      </c>
      <c r="AY190" s="668"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formula'!$M$3:$O$7,AO190,FALSE)))*AX190+AP190*AQ190+AR190*AS190+AT190*AU190),0)*$AZ$3*BK190*BJ190*IF(AND(Inputs!$C$19&gt;19,Inputs!$C$19&lt;30),(1+$AZ$2),1)*(1+$AZ$1))</f>
        <v/>
      </c>
      <c r="AZ190" s="148" t="str">
        <f t="shared" si="113"/>
        <v/>
      </c>
      <c r="BA190" s="669" t="str">
        <f>IF(F190="","",IF(AE190="Dubai",HLOOKUP(F190,Inputs!$C$26:$M$37,9,0),HLOOKUP(F190,Inputs!$C$45:$M$56,9,0)))</f>
        <v/>
      </c>
      <c r="BB190" s="670" t="str">
        <f>IF(F190="","",IF(AE190="Dubai",HLOOKUP(F190,Inputs!$C$26:$M$37,10,0),HLOOKUP(F190,Inputs!$C$45:$M$56,10,0)))</f>
        <v/>
      </c>
      <c r="BC190" s="670" t="str">
        <f>IF(F190="","",IF(AE190="Dubai",HLOOKUP(F190,Inputs!$C$26:$M$37,11,0),HLOOKUP(F190,Inputs!$C$45:$M$56,11,0)))</f>
        <v/>
      </c>
      <c r="BD190" s="669" t="str">
        <f>IF(F190="","",IF(AE190="Dubai",HLOOKUP(F190,Inputs!$C$26:$M$37,12,0),HLOOKUP(F190,Inputs!$C$45:$M$56,12,0)))</f>
        <v/>
      </c>
      <c r="BE190" s="654"/>
      <c r="BF190" s="669" t="str">
        <f>IFERROR(IF(AL190="","",IF(AN190="Dubai",IF(OR(AL190="Plan1",AL190="Plan2"),VLOOKUP(BA190,Deviation!$B$31:$D$33,2,FALSE),VLOOKUP(BA190,Deviation!$B$31:$D$33,3,FALSE)),IF(OR(AL190="Plan1",AL190="Plan2"),VLOOKUP(BA190,Deviation!$E$31:$AE$33,2,FALSE),VLOOKUP(BA190,Deviation!$E$31:$AE$33,3,FALSE)))),0)</f>
        <v/>
      </c>
      <c r="BG190" s="671" t="str">
        <f>IFERROR(IF(AL190="","",IF(AN190="Dubai",IF(AL190="Plan1",VLOOKUP(BB190,Deviation!$B$39:$C$40,2,FALSE),IF(AL190="Plan2",VLOOKUP(BB190,Deviation!$B$42:$C$43,2,FALSE),IF(AL190="Plan5",VLOOKUP(BB190,Deviation!$B$48:$C$49,2,FALSE),VLOOKUP(BB190,Deviation!$B$45:$C$46,2,FALSE)))),IF(AL190="Plan1",VLOOKUP(BB190,Deviation!$E$39:$F$40,2,FALSE),IF(AL190="Plan2",VLOOKUP(BB190,Deviation!$E$42:$F$43,2,FALSE),VLOOKUP(BB190,Deviation!$E$45:$F$46,2,FALSE))))),0)</f>
        <v/>
      </c>
      <c r="BH190" s="671" t="str">
        <f>IFERROR(IF(AL190="","",IF(AN190="Dubai",IF(OR(AL190="Plan1",AL190="Plan2"),VLOOKUP(BC190,Deviation!$B$15:$D$19,2,FALSE),VLOOKUP(BC190,Deviation!$B$15:$D$19,3,FALSE)),IF(OR(AL190="Plan1",AL190="Plan2"),VLOOKUP(BC190,Deviation!$E$15:$AE$19,2,FALSE),VLOOKUP(BC190,Deviation!$E$15:$AE$19,3,FALSE)))),0)</f>
        <v/>
      </c>
      <c r="BI190" s="669" t="str">
        <f>IFERROR(IF(AL190="","",IF(AN190="Dubai",VLOOKUP(BD190,Deviation!$B$24:$C$26,2,FALSE),100%)),0)</f>
        <v/>
      </c>
      <c r="BJ190" s="672">
        <f>IF(AE190="Abu Dhabi",1,IFERROR(VLOOKUP(AM190,Deviation!$B$67:$E$79,MATCH('Census Data'!AA190,Deviation!$B$66:$E$66,0),0),1))</f>
        <v>1</v>
      </c>
      <c r="BK190" s="659">
        <f>IFERROR(VLOOKUP(I190,Deviation!$B$54:$C$62,2,0),1)</f>
        <v>1</v>
      </c>
      <c r="BL190" s="148"/>
      <c r="BM190" s="148"/>
      <c r="BN190" s="148"/>
      <c r="BO190" s="148"/>
      <c r="BP190" s="148"/>
      <c r="BQ190" s="148"/>
      <c r="BR190" s="148"/>
      <c r="BS190" s="148"/>
      <c r="BT190" s="148" t="e">
        <f t="shared" si="85"/>
        <v>#VALUE!</v>
      </c>
      <c r="BU190"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f>
        <v/>
      </c>
    </row>
    <row r="191" spans="1:73" ht="15" x14ac:dyDescent="0.25">
      <c r="A191" s="59">
        <v>186</v>
      </c>
      <c r="B191" s="470"/>
      <c r="C191" s="628"/>
      <c r="D191" s="629"/>
      <c r="E191" s="471"/>
      <c r="F191" s="298"/>
      <c r="G191" s="298"/>
      <c r="H191" s="298"/>
      <c r="I191" s="298"/>
      <c r="J191" s="80" t="str">
        <f>IFERROR(IF(C191="","",DATEDIF('Census Data'!C191,eff_date,"y")),"")</f>
        <v/>
      </c>
      <c r="K191" s="59" t="str">
        <f>IF(F191="","",IF(AE191="Dubai",HLOOKUP(F191,Inputs!$C$26:$M$28,3,0),HLOOKUP(F191,Inputs!$C$45:$M$46,2,0)))</f>
        <v/>
      </c>
      <c r="L191" s="94"/>
      <c r="M191" s="105">
        <f t="shared" si="101"/>
        <v>0</v>
      </c>
      <c r="N191" s="654" t="b">
        <f t="shared" si="102"/>
        <v>0</v>
      </c>
      <c r="O191" s="655" t="str">
        <f t="shared" si="103"/>
        <v>x</v>
      </c>
      <c r="P191" s="655" t="str">
        <f t="shared" si="104"/>
        <v>x</v>
      </c>
      <c r="Q191" s="655" t="str">
        <f t="shared" si="105"/>
        <v>x</v>
      </c>
      <c r="R191" s="655" t="str">
        <f t="shared" si="100"/>
        <v>x</v>
      </c>
      <c r="S191" s="655" t="str">
        <f t="shared" si="106"/>
        <v>x</v>
      </c>
      <c r="T191" s="655" t="str">
        <f>IF(ISERROR(MATCH(G191,'Inputs Mapping'!$T$4:$T$10,0)),"x","")</f>
        <v>x</v>
      </c>
      <c r="U191" s="655" t="str">
        <f>IF(ISERROR(MATCH(AA191,'Inputs Mapping'!$U$4:$U$5,0)),"x","")</f>
        <v>x</v>
      </c>
      <c r="V191" s="655" t="str">
        <f>IF(ISERROR(MATCH(AB191,'Inputs Mapping'!$V$4:$V$5,0)),"x","")</f>
        <v>x</v>
      </c>
      <c r="W191" s="655" t="str">
        <f>IF(ISERROR(MATCH(F191,'Inputs Mapping'!$W$4:$W$8,0)),"x","")</f>
        <v>x</v>
      </c>
      <c r="X191" s="655" t="str">
        <f t="shared" si="107"/>
        <v/>
      </c>
      <c r="Y191" s="655" t="str">
        <f t="shared" si="108"/>
        <v/>
      </c>
      <c r="Z191" s="655" t="str">
        <f t="shared" si="109"/>
        <v/>
      </c>
      <c r="AA191" s="655" t="str">
        <f t="shared" si="77"/>
        <v/>
      </c>
      <c r="AB191" s="655" t="str">
        <f t="shared" si="110"/>
        <v/>
      </c>
      <c r="AC191" s="655" t="str">
        <f t="shared" si="86"/>
        <v>x</v>
      </c>
      <c r="AD191" s="655" t="str">
        <f>IF(ISBLANK(I191),"x",IF(ISNUMBER(MATCH(I191,'Inputs Mapping'!$AF$5:$AF$199,0)),"","x"))</f>
        <v>x</v>
      </c>
      <c r="AE191" s="655" t="str">
        <f t="shared" si="80"/>
        <v/>
      </c>
      <c r="AF191" s="148"/>
      <c r="AG191" s="148"/>
      <c r="AH191" s="148" t="str">
        <f t="shared" si="81"/>
        <v/>
      </c>
      <c r="AI191" s="654" t="str">
        <f>IF(J191="","",VLOOKUP(J191,'Inputs Mapping'!$T$27:$V$31,3))</f>
        <v/>
      </c>
      <c r="AJ191" s="654" t="str">
        <f>IF(J191="","",VLOOKUP(J191,'Inputs Mapping'!$T$17:$V$24,3))</f>
        <v/>
      </c>
      <c r="AK191" s="654" t="str">
        <f t="shared" si="82"/>
        <v/>
      </c>
      <c r="AL191" s="655" t="str">
        <f t="shared" si="111"/>
        <v/>
      </c>
      <c r="AM191" s="655" t="str">
        <f>IF(F191="","",IF(AE191="Dubai",HLOOKUP(F191,Inputs!$C$26:$M$36,5,0),HLOOKUP(F191,Inputs!$C$45:$M$49,5,0)))</f>
        <v/>
      </c>
      <c r="AN191" s="655">
        <f t="shared" si="83"/>
        <v>0</v>
      </c>
      <c r="AO191" s="654" t="str">
        <f>IF(AJ191="","",IF(AN191="Dubai",VLOOKUP(AJ191,'Inputs Mapping'!$V$17:$W$24,2,0),VLOOKUP(AI191,'Inputs Mapping'!$V$27:$W$31,2,0)))</f>
        <v/>
      </c>
      <c r="AP191" s="666">
        <f>IFERROR(IF($AN191="","",HLOOKUP($AN191&amp;RIGHT($AL191,1),'input for formula'!$B$16:$I$20,3,0)),0)</f>
        <v>0</v>
      </c>
      <c r="AQ191" s="656">
        <f>IFERROR(IF($AN191="","",HLOOKUP($AN191&amp;$F191,'input for formula'!$B$22:$M$25,2,0)),0)</f>
        <v>0</v>
      </c>
      <c r="AR191" s="666">
        <f>IFERROR(IF($AN191="","",HLOOKUP($AN191&amp;RIGHT($AL191,1),'input for formula'!$B$16:$I$20,4,0)),0)</f>
        <v>0</v>
      </c>
      <c r="AS191" s="656">
        <f>IFERROR(IF($AN191="","",HLOOKUP($AN191&amp;$F191,'input for formula'!$B$22:$M$25,3,0)),0)</f>
        <v>0</v>
      </c>
      <c r="AT191" s="656">
        <f>IFERROR(IF($AN191="","",HLOOKUP($AN191&amp;RIGHT($AL191,1),'input for formula'!$B$16:$I$20,5,0)),0)</f>
        <v>0</v>
      </c>
      <c r="AU191" s="656">
        <f>IFERROR(IF($AN191="","",HLOOKUP($AN191&amp;$F191,'input for formula'!$B$22:$M$25,4,0)),0)</f>
        <v>0</v>
      </c>
      <c r="AV191" s="666">
        <f>IFERROR(IF($AN191="","",IF('Census Data'!$AN191="Abu Dhabi",VLOOKUP('Census Data'!$AM191,'input for formula'!$A$28:$C$41,3,0),VLOOKUP('Census Data'!$AM191,'input for formula'!$A$28:$C$47,2,0))),0)*IFERROR(1+IF(AN191="Dubai",VLOOKUP(F191,'Quotation for Dubai Plans'!$V$6:$X$12,3,FALSE),VLOOKUP(F191,'Quotation for Abu Dhabi Plans'!$W$6:$Y$12,3,FALSE)),0)</f>
        <v>0</v>
      </c>
      <c r="AW191" s="656" t="str">
        <f t="shared" si="112"/>
        <v/>
      </c>
      <c r="AX191" s="667" t="str">
        <f>IFERROR(IF(AL191="","",IF(AN191="Dubai",HLOOKUP((AL191&amp;AM191),Deviation!$B$7:$S$8,2,0)*BF191*BH191*BI191*BG191,HLOOKUP((AL191&amp;AM191),Deviation!$B$9:$O$10,2,0)*BF191*BH191*BI191*BG191)),0)</f>
        <v/>
      </c>
      <c r="AY191" s="668"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formula'!$M$3:$O$7,AO191,FALSE)))*AX191+AP191*AQ191+AR191*AS191+AT191*AU191),0)*$AZ$3*BK191*BJ191*IF(AND(Inputs!$C$19&gt;19,Inputs!$C$19&lt;30),(1+$AZ$2),1)*(1+$AZ$1))</f>
        <v/>
      </c>
      <c r="AZ191" s="148" t="str">
        <f t="shared" si="113"/>
        <v/>
      </c>
      <c r="BA191" s="669" t="str">
        <f>IF(F191="","",IF(AE191="Dubai",HLOOKUP(F191,Inputs!$C$26:$M$37,9,0),HLOOKUP(F191,Inputs!$C$45:$M$56,9,0)))</f>
        <v/>
      </c>
      <c r="BB191" s="670" t="str">
        <f>IF(F191="","",IF(AE191="Dubai",HLOOKUP(F191,Inputs!$C$26:$M$37,10,0),HLOOKUP(F191,Inputs!$C$45:$M$56,10,0)))</f>
        <v/>
      </c>
      <c r="BC191" s="670" t="str">
        <f>IF(F191="","",IF(AE191="Dubai",HLOOKUP(F191,Inputs!$C$26:$M$37,11,0),HLOOKUP(F191,Inputs!$C$45:$M$56,11,0)))</f>
        <v/>
      </c>
      <c r="BD191" s="669" t="str">
        <f>IF(F191="","",IF(AE191="Dubai",HLOOKUP(F191,Inputs!$C$26:$M$37,12,0),HLOOKUP(F191,Inputs!$C$45:$M$56,12,0)))</f>
        <v/>
      </c>
      <c r="BE191" s="654"/>
      <c r="BF191" s="669" t="str">
        <f>IFERROR(IF(AL191="","",IF(AN191="Dubai",IF(OR(AL191="Plan1",AL191="Plan2"),VLOOKUP(BA191,Deviation!$B$31:$D$33,2,FALSE),VLOOKUP(BA191,Deviation!$B$31:$D$33,3,FALSE)),IF(OR(AL191="Plan1",AL191="Plan2"),VLOOKUP(BA191,Deviation!$E$31:$AE$33,2,FALSE),VLOOKUP(BA191,Deviation!$E$31:$AE$33,3,FALSE)))),0)</f>
        <v/>
      </c>
      <c r="BG191" s="671" t="str">
        <f>IFERROR(IF(AL191="","",IF(AN191="Dubai",IF(AL191="Plan1",VLOOKUP(BB191,Deviation!$B$39:$C$40,2,FALSE),IF(AL191="Plan2",VLOOKUP(BB191,Deviation!$B$42:$C$43,2,FALSE),IF(AL191="Plan5",VLOOKUP(BB191,Deviation!$B$48:$C$49,2,FALSE),VLOOKUP(BB191,Deviation!$B$45:$C$46,2,FALSE)))),IF(AL191="Plan1",VLOOKUP(BB191,Deviation!$E$39:$F$40,2,FALSE),IF(AL191="Plan2",VLOOKUP(BB191,Deviation!$E$42:$F$43,2,FALSE),VLOOKUP(BB191,Deviation!$E$45:$F$46,2,FALSE))))),0)</f>
        <v/>
      </c>
      <c r="BH191" s="671" t="str">
        <f>IFERROR(IF(AL191="","",IF(AN191="Dubai",IF(OR(AL191="Plan1",AL191="Plan2"),VLOOKUP(BC191,Deviation!$B$15:$D$19,2,FALSE),VLOOKUP(BC191,Deviation!$B$15:$D$19,3,FALSE)),IF(OR(AL191="Plan1",AL191="Plan2"),VLOOKUP(BC191,Deviation!$E$15:$AE$19,2,FALSE),VLOOKUP(BC191,Deviation!$E$15:$AE$19,3,FALSE)))),0)</f>
        <v/>
      </c>
      <c r="BI191" s="669" t="str">
        <f>IFERROR(IF(AL191="","",IF(AN191="Dubai",VLOOKUP(BD191,Deviation!$B$24:$C$26,2,FALSE),100%)),0)</f>
        <v/>
      </c>
      <c r="BJ191" s="672">
        <f>IF(AE191="Abu Dhabi",1,IFERROR(VLOOKUP(AM191,Deviation!$B$67:$E$79,MATCH('Census Data'!AA191,Deviation!$B$66:$E$66,0),0),1))</f>
        <v>1</v>
      </c>
      <c r="BK191" s="659">
        <f>IFERROR(VLOOKUP(I191,Deviation!$B$54:$C$62,2,0),1)</f>
        <v>1</v>
      </c>
      <c r="BL191" s="148"/>
      <c r="BM191" s="148"/>
      <c r="BN191" s="148"/>
      <c r="BO191" s="148"/>
      <c r="BP191" s="148"/>
      <c r="BQ191" s="148"/>
      <c r="BR191" s="148"/>
      <c r="BS191" s="148"/>
      <c r="BT191" s="148" t="e">
        <f t="shared" si="85"/>
        <v>#VALUE!</v>
      </c>
      <c r="BU191"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f>
        <v/>
      </c>
    </row>
    <row r="192" spans="1:73" ht="15" x14ac:dyDescent="0.25">
      <c r="A192" s="59">
        <v>187</v>
      </c>
      <c r="B192" s="470"/>
      <c r="C192" s="628"/>
      <c r="D192" s="629"/>
      <c r="E192" s="471"/>
      <c r="F192" s="298"/>
      <c r="G192" s="298"/>
      <c r="H192" s="298"/>
      <c r="I192" s="298"/>
      <c r="J192" s="80" t="str">
        <f>IFERROR(IF(C192="","",DATEDIF('Census Data'!C192,eff_date,"y")),"")</f>
        <v/>
      </c>
      <c r="K192" s="59" t="str">
        <f>IF(F192="","",IF(AE192="Dubai",HLOOKUP(F192,Inputs!$C$26:$M$28,3,0),HLOOKUP(F192,Inputs!$C$45:$M$46,2,0)))</f>
        <v/>
      </c>
      <c r="L192" s="94"/>
      <c r="M192" s="105">
        <f t="shared" si="101"/>
        <v>0</v>
      </c>
      <c r="N192" s="654" t="b">
        <f t="shared" si="102"/>
        <v>0</v>
      </c>
      <c r="O192" s="655" t="str">
        <f t="shared" si="103"/>
        <v>x</v>
      </c>
      <c r="P192" s="655" t="str">
        <f t="shared" si="104"/>
        <v>x</v>
      </c>
      <c r="Q192" s="655" t="str">
        <f t="shared" si="105"/>
        <v>x</v>
      </c>
      <c r="R192" s="655" t="str">
        <f t="shared" si="100"/>
        <v>x</v>
      </c>
      <c r="S192" s="655" t="str">
        <f t="shared" si="106"/>
        <v>x</v>
      </c>
      <c r="T192" s="655" t="str">
        <f>IF(ISERROR(MATCH(G192,'Inputs Mapping'!$T$4:$T$10,0)),"x","")</f>
        <v>x</v>
      </c>
      <c r="U192" s="655" t="str">
        <f>IF(ISERROR(MATCH(AA192,'Inputs Mapping'!$U$4:$U$5,0)),"x","")</f>
        <v>x</v>
      </c>
      <c r="V192" s="655" t="str">
        <f>IF(ISERROR(MATCH(AB192,'Inputs Mapping'!$V$4:$V$5,0)),"x","")</f>
        <v>x</v>
      </c>
      <c r="W192" s="655" t="str">
        <f>IF(ISERROR(MATCH(F192,'Inputs Mapping'!$W$4:$W$8,0)),"x","")</f>
        <v>x</v>
      </c>
      <c r="X192" s="655" t="str">
        <f t="shared" si="107"/>
        <v/>
      </c>
      <c r="Y192" s="655" t="str">
        <f t="shared" si="108"/>
        <v/>
      </c>
      <c r="Z192" s="655" t="str">
        <f t="shared" si="109"/>
        <v/>
      </c>
      <c r="AA192" s="655" t="str">
        <f t="shared" si="77"/>
        <v/>
      </c>
      <c r="AB192" s="655" t="str">
        <f t="shared" si="110"/>
        <v/>
      </c>
      <c r="AC192" s="655" t="str">
        <f t="shared" si="86"/>
        <v>x</v>
      </c>
      <c r="AD192" s="655" t="str">
        <f>IF(ISBLANK(I192),"x",IF(ISNUMBER(MATCH(I192,'Inputs Mapping'!$AF$5:$AF$199,0)),"","x"))</f>
        <v>x</v>
      </c>
      <c r="AE192" s="655" t="str">
        <f t="shared" si="80"/>
        <v/>
      </c>
      <c r="AF192" s="148"/>
      <c r="AG192" s="148"/>
      <c r="AH192" s="148" t="str">
        <f t="shared" si="81"/>
        <v/>
      </c>
      <c r="AI192" s="654" t="str">
        <f>IF(J192="","",VLOOKUP(J192,'Inputs Mapping'!$T$27:$V$31,3))</f>
        <v/>
      </c>
      <c r="AJ192" s="654" t="str">
        <f>IF(J192="","",VLOOKUP(J192,'Inputs Mapping'!$T$17:$V$24,3))</f>
        <v/>
      </c>
      <c r="AK192" s="654" t="str">
        <f t="shared" si="82"/>
        <v/>
      </c>
      <c r="AL192" s="655" t="str">
        <f t="shared" si="111"/>
        <v/>
      </c>
      <c r="AM192" s="655" t="str">
        <f>IF(F192="","",IF(AE192="Dubai",HLOOKUP(F192,Inputs!$C$26:$M$36,5,0),HLOOKUP(F192,Inputs!$C$45:$M$49,5,0)))</f>
        <v/>
      </c>
      <c r="AN192" s="655">
        <f t="shared" si="83"/>
        <v>0</v>
      </c>
      <c r="AO192" s="654" t="str">
        <f>IF(AJ192="","",IF(AN192="Dubai",VLOOKUP(AJ192,'Inputs Mapping'!$V$17:$W$24,2,0),VLOOKUP(AI192,'Inputs Mapping'!$V$27:$W$31,2,0)))</f>
        <v/>
      </c>
      <c r="AP192" s="666">
        <f>IFERROR(IF($AN192="","",HLOOKUP($AN192&amp;RIGHT($AL192,1),'input for formula'!$B$16:$I$20,3,0)),0)</f>
        <v>0</v>
      </c>
      <c r="AQ192" s="656">
        <f>IFERROR(IF($AN192="","",HLOOKUP($AN192&amp;$F192,'input for formula'!$B$22:$M$25,2,0)),0)</f>
        <v>0</v>
      </c>
      <c r="AR192" s="666">
        <f>IFERROR(IF($AN192="","",HLOOKUP($AN192&amp;RIGHT($AL192,1),'input for formula'!$B$16:$I$20,4,0)),0)</f>
        <v>0</v>
      </c>
      <c r="AS192" s="656">
        <f>IFERROR(IF($AN192="","",HLOOKUP($AN192&amp;$F192,'input for formula'!$B$22:$M$25,3,0)),0)</f>
        <v>0</v>
      </c>
      <c r="AT192" s="656">
        <f>IFERROR(IF($AN192="","",HLOOKUP($AN192&amp;RIGHT($AL192,1),'input for formula'!$B$16:$I$20,5,0)),0)</f>
        <v>0</v>
      </c>
      <c r="AU192" s="656">
        <f>IFERROR(IF($AN192="","",HLOOKUP($AN192&amp;$F192,'input for formula'!$B$22:$M$25,4,0)),0)</f>
        <v>0</v>
      </c>
      <c r="AV192" s="666">
        <f>IFERROR(IF($AN192="","",IF('Census Data'!$AN192="Abu Dhabi",VLOOKUP('Census Data'!$AM192,'input for formula'!$A$28:$C$41,3,0),VLOOKUP('Census Data'!$AM192,'input for formula'!$A$28:$C$47,2,0))),0)*IFERROR(1+IF(AN192="Dubai",VLOOKUP(F192,'Quotation for Dubai Plans'!$V$6:$X$12,3,FALSE),VLOOKUP(F192,'Quotation for Abu Dhabi Plans'!$W$6:$Y$12,3,FALSE)),0)</f>
        <v>0</v>
      </c>
      <c r="AW192" s="656" t="str">
        <f t="shared" si="112"/>
        <v/>
      </c>
      <c r="AX192" s="667" t="str">
        <f>IFERROR(IF(AL192="","",IF(AN192="Dubai",HLOOKUP((AL192&amp;AM192),Deviation!$B$7:$S$8,2,0)*BF192*BH192*BI192*BG192,HLOOKUP((AL192&amp;AM192),Deviation!$B$9:$O$10,2,0)*BF192*BH192*BI192*BG192)),0)</f>
        <v/>
      </c>
      <c r="AY192" s="668"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formula'!$M$3:$O$7,AO192,FALSE)))*AX192+AP192*AQ192+AR192*AS192+AT192*AU192),0)*$AZ$3*BK192*BJ192*IF(AND(Inputs!$C$19&gt;19,Inputs!$C$19&lt;30),(1+$AZ$2),1)*(1+$AZ$1))</f>
        <v/>
      </c>
      <c r="AZ192" s="148" t="str">
        <f t="shared" si="113"/>
        <v/>
      </c>
      <c r="BA192" s="669" t="str">
        <f>IF(F192="","",IF(AE192="Dubai",HLOOKUP(F192,Inputs!$C$26:$M$37,9,0),HLOOKUP(F192,Inputs!$C$45:$M$56,9,0)))</f>
        <v/>
      </c>
      <c r="BB192" s="670" t="str">
        <f>IF(F192="","",IF(AE192="Dubai",HLOOKUP(F192,Inputs!$C$26:$M$37,10,0),HLOOKUP(F192,Inputs!$C$45:$M$56,10,0)))</f>
        <v/>
      </c>
      <c r="BC192" s="670" t="str">
        <f>IF(F192="","",IF(AE192="Dubai",HLOOKUP(F192,Inputs!$C$26:$M$37,11,0),HLOOKUP(F192,Inputs!$C$45:$M$56,11,0)))</f>
        <v/>
      </c>
      <c r="BD192" s="669" t="str">
        <f>IF(F192="","",IF(AE192="Dubai",HLOOKUP(F192,Inputs!$C$26:$M$37,12,0),HLOOKUP(F192,Inputs!$C$45:$M$56,12,0)))</f>
        <v/>
      </c>
      <c r="BE192" s="654"/>
      <c r="BF192" s="669" t="str">
        <f>IFERROR(IF(AL192="","",IF(AN192="Dubai",IF(OR(AL192="Plan1",AL192="Plan2"),VLOOKUP(BA192,Deviation!$B$31:$D$33,2,FALSE),VLOOKUP(BA192,Deviation!$B$31:$D$33,3,FALSE)),IF(OR(AL192="Plan1",AL192="Plan2"),VLOOKUP(BA192,Deviation!$E$31:$AE$33,2,FALSE),VLOOKUP(BA192,Deviation!$E$31:$AE$33,3,FALSE)))),0)</f>
        <v/>
      </c>
      <c r="BG192" s="671" t="str">
        <f>IFERROR(IF(AL192="","",IF(AN192="Dubai",IF(AL192="Plan1",VLOOKUP(BB192,Deviation!$B$39:$C$40,2,FALSE),IF(AL192="Plan2",VLOOKUP(BB192,Deviation!$B$42:$C$43,2,FALSE),IF(AL192="Plan5",VLOOKUP(BB192,Deviation!$B$48:$C$49,2,FALSE),VLOOKUP(BB192,Deviation!$B$45:$C$46,2,FALSE)))),IF(AL192="Plan1",VLOOKUP(BB192,Deviation!$E$39:$F$40,2,FALSE),IF(AL192="Plan2",VLOOKUP(BB192,Deviation!$E$42:$F$43,2,FALSE),VLOOKUP(BB192,Deviation!$E$45:$F$46,2,FALSE))))),0)</f>
        <v/>
      </c>
      <c r="BH192" s="671" t="str">
        <f>IFERROR(IF(AL192="","",IF(AN192="Dubai",IF(OR(AL192="Plan1",AL192="Plan2"),VLOOKUP(BC192,Deviation!$B$15:$D$19,2,FALSE),VLOOKUP(BC192,Deviation!$B$15:$D$19,3,FALSE)),IF(OR(AL192="Plan1",AL192="Plan2"),VLOOKUP(BC192,Deviation!$E$15:$AE$19,2,FALSE),VLOOKUP(BC192,Deviation!$E$15:$AE$19,3,FALSE)))),0)</f>
        <v/>
      </c>
      <c r="BI192" s="669" t="str">
        <f>IFERROR(IF(AL192="","",IF(AN192="Dubai",VLOOKUP(BD192,Deviation!$B$24:$C$26,2,FALSE),100%)),0)</f>
        <v/>
      </c>
      <c r="BJ192" s="672">
        <f>IF(AE192="Abu Dhabi",1,IFERROR(VLOOKUP(AM192,Deviation!$B$67:$E$79,MATCH('Census Data'!AA192,Deviation!$B$66:$E$66,0),0),1))</f>
        <v>1</v>
      </c>
      <c r="BK192" s="659">
        <f>IFERROR(VLOOKUP(I192,Deviation!$B$54:$C$62,2,0),1)</f>
        <v>1</v>
      </c>
      <c r="BL192" s="148"/>
      <c r="BM192" s="148"/>
      <c r="BN192" s="148"/>
      <c r="BO192" s="148"/>
      <c r="BP192" s="148"/>
      <c r="BQ192" s="148"/>
      <c r="BR192" s="148"/>
      <c r="BS192" s="148"/>
      <c r="BT192" s="148" t="e">
        <f t="shared" si="85"/>
        <v>#VALUE!</v>
      </c>
      <c r="BU192"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f>
        <v/>
      </c>
    </row>
    <row r="193" spans="1:73" ht="15" x14ac:dyDescent="0.25">
      <c r="A193" s="59">
        <v>188</v>
      </c>
      <c r="B193" s="470"/>
      <c r="C193" s="628"/>
      <c r="D193" s="629"/>
      <c r="E193" s="471"/>
      <c r="F193" s="298"/>
      <c r="G193" s="298"/>
      <c r="H193" s="298"/>
      <c r="I193" s="298"/>
      <c r="J193" s="80" t="str">
        <f>IFERROR(IF(C193="","",DATEDIF('Census Data'!C193,eff_date,"y")),"")</f>
        <v/>
      </c>
      <c r="K193" s="59" t="str">
        <f>IF(F193="","",IF(AE193="Dubai",HLOOKUP(F193,Inputs!$C$26:$M$28,3,0),HLOOKUP(F193,Inputs!$C$45:$M$46,2,0)))</f>
        <v/>
      </c>
      <c r="L193" s="94"/>
      <c r="M193" s="105">
        <f t="shared" si="101"/>
        <v>0</v>
      </c>
      <c r="N193" s="654" t="b">
        <f t="shared" si="102"/>
        <v>0</v>
      </c>
      <c r="O193" s="655" t="str">
        <f t="shared" si="103"/>
        <v>x</v>
      </c>
      <c r="P193" s="655" t="str">
        <f t="shared" si="104"/>
        <v>x</v>
      </c>
      <c r="Q193" s="655" t="str">
        <f t="shared" si="105"/>
        <v>x</v>
      </c>
      <c r="R193" s="655" t="str">
        <f t="shared" si="100"/>
        <v>x</v>
      </c>
      <c r="S193" s="655" t="str">
        <f t="shared" si="106"/>
        <v>x</v>
      </c>
      <c r="T193" s="655" t="str">
        <f>IF(ISERROR(MATCH(G193,'Inputs Mapping'!$T$4:$T$10,0)),"x","")</f>
        <v>x</v>
      </c>
      <c r="U193" s="655" t="str">
        <f>IF(ISERROR(MATCH(AA193,'Inputs Mapping'!$U$4:$U$5,0)),"x","")</f>
        <v>x</v>
      </c>
      <c r="V193" s="655" t="str">
        <f>IF(ISERROR(MATCH(AB193,'Inputs Mapping'!$V$4:$V$5,0)),"x","")</f>
        <v>x</v>
      </c>
      <c r="W193" s="655" t="str">
        <f>IF(ISERROR(MATCH(F193,'Inputs Mapping'!$W$4:$W$8,0)),"x","")</f>
        <v>x</v>
      </c>
      <c r="X193" s="655" t="str">
        <f t="shared" si="107"/>
        <v/>
      </c>
      <c r="Y193" s="655" t="str">
        <f t="shared" si="108"/>
        <v/>
      </c>
      <c r="Z193" s="655" t="str">
        <f t="shared" si="109"/>
        <v/>
      </c>
      <c r="AA193" s="655" t="str">
        <f t="shared" si="77"/>
        <v/>
      </c>
      <c r="AB193" s="655" t="str">
        <f t="shared" si="110"/>
        <v/>
      </c>
      <c r="AC193" s="655" t="str">
        <f t="shared" si="86"/>
        <v>x</v>
      </c>
      <c r="AD193" s="655" t="str">
        <f>IF(ISBLANK(I193),"x",IF(ISNUMBER(MATCH(I193,'Inputs Mapping'!$AF$5:$AF$199,0)),"","x"))</f>
        <v>x</v>
      </c>
      <c r="AE193" s="655" t="str">
        <f t="shared" si="80"/>
        <v/>
      </c>
      <c r="AF193" s="148"/>
      <c r="AG193" s="148"/>
      <c r="AH193" s="148" t="str">
        <f t="shared" si="81"/>
        <v/>
      </c>
      <c r="AI193" s="654" t="str">
        <f>IF(J193="","",VLOOKUP(J193,'Inputs Mapping'!$T$27:$V$31,3))</f>
        <v/>
      </c>
      <c r="AJ193" s="654" t="str">
        <f>IF(J193="","",VLOOKUP(J193,'Inputs Mapping'!$T$17:$V$24,3))</f>
        <v/>
      </c>
      <c r="AK193" s="654" t="str">
        <f t="shared" si="82"/>
        <v/>
      </c>
      <c r="AL193" s="655" t="str">
        <f t="shared" si="111"/>
        <v/>
      </c>
      <c r="AM193" s="655" t="str">
        <f>IF(F193="","",IF(AE193="Dubai",HLOOKUP(F193,Inputs!$C$26:$M$36,5,0),HLOOKUP(F193,Inputs!$C$45:$M$49,5,0)))</f>
        <v/>
      </c>
      <c r="AN193" s="655">
        <f t="shared" si="83"/>
        <v>0</v>
      </c>
      <c r="AO193" s="654" t="str">
        <f>IF(AJ193="","",IF(AN193="Dubai",VLOOKUP(AJ193,'Inputs Mapping'!$V$17:$W$24,2,0),VLOOKUP(AI193,'Inputs Mapping'!$V$27:$W$31,2,0)))</f>
        <v/>
      </c>
      <c r="AP193" s="666">
        <f>IFERROR(IF($AN193="","",HLOOKUP($AN193&amp;RIGHT($AL193,1),'input for formula'!$B$16:$I$20,3,0)),0)</f>
        <v>0</v>
      </c>
      <c r="AQ193" s="656">
        <f>IFERROR(IF($AN193="","",HLOOKUP($AN193&amp;$F193,'input for formula'!$B$22:$M$25,2,0)),0)</f>
        <v>0</v>
      </c>
      <c r="AR193" s="666">
        <f>IFERROR(IF($AN193="","",HLOOKUP($AN193&amp;RIGHT($AL193,1),'input for formula'!$B$16:$I$20,4,0)),0)</f>
        <v>0</v>
      </c>
      <c r="AS193" s="656">
        <f>IFERROR(IF($AN193="","",HLOOKUP($AN193&amp;$F193,'input for formula'!$B$22:$M$25,3,0)),0)</f>
        <v>0</v>
      </c>
      <c r="AT193" s="656">
        <f>IFERROR(IF($AN193="","",HLOOKUP($AN193&amp;RIGHT($AL193,1),'input for formula'!$B$16:$I$20,5,0)),0)</f>
        <v>0</v>
      </c>
      <c r="AU193" s="656">
        <f>IFERROR(IF($AN193="","",HLOOKUP($AN193&amp;$F193,'input for formula'!$B$22:$M$25,4,0)),0)</f>
        <v>0</v>
      </c>
      <c r="AV193" s="666">
        <f>IFERROR(IF($AN193="","",IF('Census Data'!$AN193="Abu Dhabi",VLOOKUP('Census Data'!$AM193,'input for formula'!$A$28:$C$41,3,0),VLOOKUP('Census Data'!$AM193,'input for formula'!$A$28:$C$47,2,0))),0)*IFERROR(1+IF(AN193="Dubai",VLOOKUP(F193,'Quotation for Dubai Plans'!$V$6:$X$12,3,FALSE),VLOOKUP(F193,'Quotation for Abu Dhabi Plans'!$W$6:$Y$12,3,FALSE)),0)</f>
        <v>0</v>
      </c>
      <c r="AW193" s="656" t="str">
        <f t="shared" si="112"/>
        <v/>
      </c>
      <c r="AX193" s="667" t="str">
        <f>IFERROR(IF(AL193="","",IF(AN193="Dubai",HLOOKUP((AL193&amp;AM193),Deviation!$B$7:$S$8,2,0)*BF193*BH193*BI193*BG193,HLOOKUP((AL193&amp;AM193),Deviation!$B$9:$O$10,2,0)*BF193*BH193*BI193*BG193)),0)</f>
        <v/>
      </c>
      <c r="AY193" s="668"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formula'!$M$3:$O$7,AO193,FALSE)))*AX193+AP193*AQ193+AR193*AS193+AT193*AU193),0)*$AZ$3*BK193*BJ193*IF(AND(Inputs!$C$19&gt;19,Inputs!$C$19&lt;30),(1+$AZ$2),1)*(1+$AZ$1))</f>
        <v/>
      </c>
      <c r="AZ193" s="148" t="str">
        <f t="shared" si="113"/>
        <v/>
      </c>
      <c r="BA193" s="669" t="str">
        <f>IF(F193="","",IF(AE193="Dubai",HLOOKUP(F193,Inputs!$C$26:$M$37,9,0),HLOOKUP(F193,Inputs!$C$45:$M$56,9,0)))</f>
        <v/>
      </c>
      <c r="BB193" s="670" t="str">
        <f>IF(F193="","",IF(AE193="Dubai",HLOOKUP(F193,Inputs!$C$26:$M$37,10,0),HLOOKUP(F193,Inputs!$C$45:$M$56,10,0)))</f>
        <v/>
      </c>
      <c r="BC193" s="670" t="str">
        <f>IF(F193="","",IF(AE193="Dubai",HLOOKUP(F193,Inputs!$C$26:$M$37,11,0),HLOOKUP(F193,Inputs!$C$45:$M$56,11,0)))</f>
        <v/>
      </c>
      <c r="BD193" s="669" t="str">
        <f>IF(F193="","",IF(AE193="Dubai",HLOOKUP(F193,Inputs!$C$26:$M$37,12,0),HLOOKUP(F193,Inputs!$C$45:$M$56,12,0)))</f>
        <v/>
      </c>
      <c r="BE193" s="654"/>
      <c r="BF193" s="669" t="str">
        <f>IFERROR(IF(AL193="","",IF(AN193="Dubai",IF(OR(AL193="Plan1",AL193="Plan2"),VLOOKUP(BA193,Deviation!$B$31:$D$33,2,FALSE),VLOOKUP(BA193,Deviation!$B$31:$D$33,3,FALSE)),IF(OR(AL193="Plan1",AL193="Plan2"),VLOOKUP(BA193,Deviation!$E$31:$AE$33,2,FALSE),VLOOKUP(BA193,Deviation!$E$31:$AE$33,3,FALSE)))),0)</f>
        <v/>
      </c>
      <c r="BG193" s="671" t="str">
        <f>IFERROR(IF(AL193="","",IF(AN193="Dubai",IF(AL193="Plan1",VLOOKUP(BB193,Deviation!$B$39:$C$40,2,FALSE),IF(AL193="Plan2",VLOOKUP(BB193,Deviation!$B$42:$C$43,2,FALSE),IF(AL193="Plan5",VLOOKUP(BB193,Deviation!$B$48:$C$49,2,FALSE),VLOOKUP(BB193,Deviation!$B$45:$C$46,2,FALSE)))),IF(AL193="Plan1",VLOOKUP(BB193,Deviation!$E$39:$F$40,2,FALSE),IF(AL193="Plan2",VLOOKUP(BB193,Deviation!$E$42:$F$43,2,FALSE),VLOOKUP(BB193,Deviation!$E$45:$F$46,2,FALSE))))),0)</f>
        <v/>
      </c>
      <c r="BH193" s="671" t="str">
        <f>IFERROR(IF(AL193="","",IF(AN193="Dubai",IF(OR(AL193="Plan1",AL193="Plan2"),VLOOKUP(BC193,Deviation!$B$15:$D$19,2,FALSE),VLOOKUP(BC193,Deviation!$B$15:$D$19,3,FALSE)),IF(OR(AL193="Plan1",AL193="Plan2"),VLOOKUP(BC193,Deviation!$E$15:$AE$19,2,FALSE),VLOOKUP(BC193,Deviation!$E$15:$AE$19,3,FALSE)))),0)</f>
        <v/>
      </c>
      <c r="BI193" s="669" t="str">
        <f>IFERROR(IF(AL193="","",IF(AN193="Dubai",VLOOKUP(BD193,Deviation!$B$24:$C$26,2,FALSE),100%)),0)</f>
        <v/>
      </c>
      <c r="BJ193" s="672">
        <f>IF(AE193="Abu Dhabi",1,IFERROR(VLOOKUP(AM193,Deviation!$B$67:$E$79,MATCH('Census Data'!AA193,Deviation!$B$66:$E$66,0),0),1))</f>
        <v>1</v>
      </c>
      <c r="BK193" s="659">
        <f>IFERROR(VLOOKUP(I193,Deviation!$B$54:$C$62,2,0),1)</f>
        <v>1</v>
      </c>
      <c r="BL193" s="148"/>
      <c r="BM193" s="148"/>
      <c r="BN193" s="148"/>
      <c r="BO193" s="148"/>
      <c r="BP193" s="148"/>
      <c r="BQ193" s="148"/>
      <c r="BR193" s="148"/>
      <c r="BS193" s="148"/>
      <c r="BT193" s="148" t="e">
        <f t="shared" si="85"/>
        <v>#VALUE!</v>
      </c>
      <c r="BU193"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f>
        <v/>
      </c>
    </row>
    <row r="194" spans="1:73" ht="15" x14ac:dyDescent="0.25">
      <c r="A194" s="59">
        <v>189</v>
      </c>
      <c r="B194" s="470"/>
      <c r="C194" s="628"/>
      <c r="D194" s="629"/>
      <c r="E194" s="471"/>
      <c r="F194" s="298"/>
      <c r="G194" s="298"/>
      <c r="H194" s="298"/>
      <c r="I194" s="298"/>
      <c r="J194" s="80" t="str">
        <f>IFERROR(IF(C194="","",DATEDIF('Census Data'!C194,eff_date,"y")),"")</f>
        <v/>
      </c>
      <c r="K194" s="59" t="str">
        <f>IF(F194="","",IF(AE194="Dubai",HLOOKUP(F194,Inputs!$C$26:$M$28,3,0),HLOOKUP(F194,Inputs!$C$45:$M$46,2,0)))</f>
        <v/>
      </c>
      <c r="L194" s="94"/>
      <c r="M194" s="105">
        <f t="shared" si="101"/>
        <v>0</v>
      </c>
      <c r="N194" s="654" t="b">
        <f t="shared" si="102"/>
        <v>0</v>
      </c>
      <c r="O194" s="655" t="str">
        <f t="shared" si="103"/>
        <v>x</v>
      </c>
      <c r="P194" s="655" t="str">
        <f t="shared" si="104"/>
        <v>x</v>
      </c>
      <c r="Q194" s="655" t="str">
        <f t="shared" si="105"/>
        <v>x</v>
      </c>
      <c r="R194" s="655" t="str">
        <f t="shared" si="100"/>
        <v>x</v>
      </c>
      <c r="S194" s="655" t="str">
        <f t="shared" si="106"/>
        <v>x</v>
      </c>
      <c r="T194" s="655" t="str">
        <f>IF(ISERROR(MATCH(G194,'Inputs Mapping'!$T$4:$T$10,0)),"x","")</f>
        <v>x</v>
      </c>
      <c r="U194" s="655" t="str">
        <f>IF(ISERROR(MATCH(AA194,'Inputs Mapping'!$U$4:$U$5,0)),"x","")</f>
        <v>x</v>
      </c>
      <c r="V194" s="655" t="str">
        <f>IF(ISERROR(MATCH(AB194,'Inputs Mapping'!$V$4:$V$5,0)),"x","")</f>
        <v>x</v>
      </c>
      <c r="W194" s="655" t="str">
        <f>IF(ISERROR(MATCH(F194,'Inputs Mapping'!$W$4:$W$8,0)),"x","")</f>
        <v>x</v>
      </c>
      <c r="X194" s="655" t="str">
        <f t="shared" si="107"/>
        <v/>
      </c>
      <c r="Y194" s="655" t="str">
        <f t="shared" si="108"/>
        <v/>
      </c>
      <c r="Z194" s="655" t="str">
        <f t="shared" si="109"/>
        <v/>
      </c>
      <c r="AA194" s="655" t="str">
        <f t="shared" si="77"/>
        <v/>
      </c>
      <c r="AB194" s="655" t="str">
        <f t="shared" si="110"/>
        <v/>
      </c>
      <c r="AC194" s="655" t="str">
        <f t="shared" si="86"/>
        <v>x</v>
      </c>
      <c r="AD194" s="655" t="str">
        <f>IF(ISBLANK(I194),"x",IF(ISNUMBER(MATCH(I194,'Inputs Mapping'!$AF$5:$AF$199,0)),"","x"))</f>
        <v>x</v>
      </c>
      <c r="AE194" s="655" t="str">
        <f t="shared" si="80"/>
        <v/>
      </c>
      <c r="AF194" s="148"/>
      <c r="AG194" s="148"/>
      <c r="AH194" s="148" t="str">
        <f t="shared" si="81"/>
        <v/>
      </c>
      <c r="AI194" s="654" t="str">
        <f>IF(J194="","",VLOOKUP(J194,'Inputs Mapping'!$T$27:$V$31,3))</f>
        <v/>
      </c>
      <c r="AJ194" s="654" t="str">
        <f>IF(J194="","",VLOOKUP(J194,'Inputs Mapping'!$T$17:$V$24,3))</f>
        <v/>
      </c>
      <c r="AK194" s="654" t="str">
        <f t="shared" si="82"/>
        <v/>
      </c>
      <c r="AL194" s="655" t="str">
        <f t="shared" si="111"/>
        <v/>
      </c>
      <c r="AM194" s="655" t="str">
        <f>IF(F194="","",IF(AE194="Dubai",HLOOKUP(F194,Inputs!$C$26:$M$36,5,0),HLOOKUP(F194,Inputs!$C$45:$M$49,5,0)))</f>
        <v/>
      </c>
      <c r="AN194" s="655">
        <f t="shared" si="83"/>
        <v>0</v>
      </c>
      <c r="AO194" s="654" t="str">
        <f>IF(AJ194="","",IF(AN194="Dubai",VLOOKUP(AJ194,'Inputs Mapping'!$V$17:$W$24,2,0),VLOOKUP(AI194,'Inputs Mapping'!$V$27:$W$31,2,0)))</f>
        <v/>
      </c>
      <c r="AP194" s="666">
        <f>IFERROR(IF($AN194="","",HLOOKUP($AN194&amp;RIGHT($AL194,1),'input for formula'!$B$16:$I$20,3,0)),0)</f>
        <v>0</v>
      </c>
      <c r="AQ194" s="656">
        <f>IFERROR(IF($AN194="","",HLOOKUP($AN194&amp;$F194,'input for formula'!$B$22:$M$25,2,0)),0)</f>
        <v>0</v>
      </c>
      <c r="AR194" s="666">
        <f>IFERROR(IF($AN194="","",HLOOKUP($AN194&amp;RIGHT($AL194,1),'input for formula'!$B$16:$I$20,4,0)),0)</f>
        <v>0</v>
      </c>
      <c r="AS194" s="656">
        <f>IFERROR(IF($AN194="","",HLOOKUP($AN194&amp;$F194,'input for formula'!$B$22:$M$25,3,0)),0)</f>
        <v>0</v>
      </c>
      <c r="AT194" s="656">
        <f>IFERROR(IF($AN194="","",HLOOKUP($AN194&amp;RIGHT($AL194,1),'input for formula'!$B$16:$I$20,5,0)),0)</f>
        <v>0</v>
      </c>
      <c r="AU194" s="656">
        <f>IFERROR(IF($AN194="","",HLOOKUP($AN194&amp;$F194,'input for formula'!$B$22:$M$25,4,0)),0)</f>
        <v>0</v>
      </c>
      <c r="AV194" s="666">
        <f>IFERROR(IF($AN194="","",IF('Census Data'!$AN194="Abu Dhabi",VLOOKUP('Census Data'!$AM194,'input for formula'!$A$28:$C$41,3,0),VLOOKUP('Census Data'!$AM194,'input for formula'!$A$28:$C$47,2,0))),0)*IFERROR(1+IF(AN194="Dubai",VLOOKUP(F194,'Quotation for Dubai Plans'!$V$6:$X$12,3,FALSE),VLOOKUP(F194,'Quotation for Abu Dhabi Plans'!$W$6:$Y$12,3,FALSE)),0)</f>
        <v>0</v>
      </c>
      <c r="AW194" s="656" t="str">
        <f t="shared" si="112"/>
        <v/>
      </c>
      <c r="AX194" s="667" t="str">
        <f>IFERROR(IF(AL194="","",IF(AN194="Dubai",HLOOKUP((AL194&amp;AM194),Deviation!$B$7:$S$8,2,0)*BF194*BH194*BI194*BG194,HLOOKUP((AL194&amp;AM194),Deviation!$B$9:$O$10,2,0)*BF194*BH194*BI194*BG194)),0)</f>
        <v/>
      </c>
      <c r="AY194" s="668"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formula'!$M$3:$O$7,AO194,FALSE)))*AX194+AP194*AQ194+AR194*AS194+AT194*AU194),0)*$AZ$3*BK194*BJ194*IF(AND(Inputs!$C$19&gt;19,Inputs!$C$19&lt;30),(1+$AZ$2),1)*(1+$AZ$1))</f>
        <v/>
      </c>
      <c r="AZ194" s="148" t="str">
        <f t="shared" si="113"/>
        <v/>
      </c>
      <c r="BA194" s="669" t="str">
        <f>IF(F194="","",IF(AE194="Dubai",HLOOKUP(F194,Inputs!$C$26:$M$37,9,0),HLOOKUP(F194,Inputs!$C$45:$M$56,9,0)))</f>
        <v/>
      </c>
      <c r="BB194" s="670" t="str">
        <f>IF(F194="","",IF(AE194="Dubai",HLOOKUP(F194,Inputs!$C$26:$M$37,10,0),HLOOKUP(F194,Inputs!$C$45:$M$56,10,0)))</f>
        <v/>
      </c>
      <c r="BC194" s="670" t="str">
        <f>IF(F194="","",IF(AE194="Dubai",HLOOKUP(F194,Inputs!$C$26:$M$37,11,0),HLOOKUP(F194,Inputs!$C$45:$M$56,11,0)))</f>
        <v/>
      </c>
      <c r="BD194" s="669" t="str">
        <f>IF(F194="","",IF(AE194="Dubai",HLOOKUP(F194,Inputs!$C$26:$M$37,12,0),HLOOKUP(F194,Inputs!$C$45:$M$56,12,0)))</f>
        <v/>
      </c>
      <c r="BE194" s="654"/>
      <c r="BF194" s="669" t="str">
        <f>IFERROR(IF(AL194="","",IF(AN194="Dubai",IF(OR(AL194="Plan1",AL194="Plan2"),VLOOKUP(BA194,Deviation!$B$31:$D$33,2,FALSE),VLOOKUP(BA194,Deviation!$B$31:$D$33,3,FALSE)),IF(OR(AL194="Plan1",AL194="Plan2"),VLOOKUP(BA194,Deviation!$E$31:$AE$33,2,FALSE),VLOOKUP(BA194,Deviation!$E$31:$AE$33,3,FALSE)))),0)</f>
        <v/>
      </c>
      <c r="BG194" s="671" t="str">
        <f>IFERROR(IF(AL194="","",IF(AN194="Dubai",IF(AL194="Plan1",VLOOKUP(BB194,Deviation!$B$39:$C$40,2,FALSE),IF(AL194="Plan2",VLOOKUP(BB194,Deviation!$B$42:$C$43,2,FALSE),IF(AL194="Plan5",VLOOKUP(BB194,Deviation!$B$48:$C$49,2,FALSE),VLOOKUP(BB194,Deviation!$B$45:$C$46,2,FALSE)))),IF(AL194="Plan1",VLOOKUP(BB194,Deviation!$E$39:$F$40,2,FALSE),IF(AL194="Plan2",VLOOKUP(BB194,Deviation!$E$42:$F$43,2,FALSE),VLOOKUP(BB194,Deviation!$E$45:$F$46,2,FALSE))))),0)</f>
        <v/>
      </c>
      <c r="BH194" s="671" t="str">
        <f>IFERROR(IF(AL194="","",IF(AN194="Dubai",IF(OR(AL194="Plan1",AL194="Plan2"),VLOOKUP(BC194,Deviation!$B$15:$D$19,2,FALSE),VLOOKUP(BC194,Deviation!$B$15:$D$19,3,FALSE)),IF(OR(AL194="Plan1",AL194="Plan2"),VLOOKUP(BC194,Deviation!$E$15:$AE$19,2,FALSE),VLOOKUP(BC194,Deviation!$E$15:$AE$19,3,FALSE)))),0)</f>
        <v/>
      </c>
      <c r="BI194" s="669" t="str">
        <f>IFERROR(IF(AL194="","",IF(AN194="Dubai",VLOOKUP(BD194,Deviation!$B$24:$C$26,2,FALSE),100%)),0)</f>
        <v/>
      </c>
      <c r="BJ194" s="672">
        <f>IF(AE194="Abu Dhabi",1,IFERROR(VLOOKUP(AM194,Deviation!$B$67:$E$79,MATCH('Census Data'!AA194,Deviation!$B$66:$E$66,0),0),1))</f>
        <v>1</v>
      </c>
      <c r="BK194" s="659">
        <f>IFERROR(VLOOKUP(I194,Deviation!$B$54:$C$62,2,0),1)</f>
        <v>1</v>
      </c>
      <c r="BL194" s="148"/>
      <c r="BM194" s="148"/>
      <c r="BN194" s="148"/>
      <c r="BO194" s="148"/>
      <c r="BP194" s="148"/>
      <c r="BQ194" s="148"/>
      <c r="BR194" s="148"/>
      <c r="BS194" s="148"/>
      <c r="BT194" s="148" t="e">
        <f t="shared" si="85"/>
        <v>#VALUE!</v>
      </c>
      <c r="BU194"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f>
        <v/>
      </c>
    </row>
    <row r="195" spans="1:73" ht="15" x14ac:dyDescent="0.25">
      <c r="A195" s="59">
        <v>190</v>
      </c>
      <c r="B195" s="470"/>
      <c r="C195" s="628"/>
      <c r="D195" s="629"/>
      <c r="E195" s="471"/>
      <c r="F195" s="298"/>
      <c r="G195" s="298"/>
      <c r="H195" s="298"/>
      <c r="I195" s="298"/>
      <c r="J195" s="80" t="str">
        <f>IFERROR(IF(C195="","",DATEDIF('Census Data'!C195,eff_date,"y")),"")</f>
        <v/>
      </c>
      <c r="K195" s="59" t="str">
        <f>IF(F195="","",IF(AE195="Dubai",HLOOKUP(F195,Inputs!$C$26:$M$28,3,0),HLOOKUP(F195,Inputs!$C$45:$M$46,2,0)))</f>
        <v/>
      </c>
      <c r="L195" s="94"/>
      <c r="M195" s="105">
        <f t="shared" si="101"/>
        <v>0</v>
      </c>
      <c r="N195" s="654" t="b">
        <f t="shared" si="102"/>
        <v>0</v>
      </c>
      <c r="O195" s="655" t="str">
        <f t="shared" si="103"/>
        <v>x</v>
      </c>
      <c r="P195" s="655" t="str">
        <f t="shared" si="104"/>
        <v>x</v>
      </c>
      <c r="Q195" s="655" t="str">
        <f t="shared" si="105"/>
        <v>x</v>
      </c>
      <c r="R195" s="655" t="str">
        <f t="shared" si="100"/>
        <v>x</v>
      </c>
      <c r="S195" s="655" t="str">
        <f t="shared" si="106"/>
        <v>x</v>
      </c>
      <c r="T195" s="655" t="str">
        <f>IF(ISERROR(MATCH(G195,'Inputs Mapping'!$T$4:$T$10,0)),"x","")</f>
        <v>x</v>
      </c>
      <c r="U195" s="655" t="str">
        <f>IF(ISERROR(MATCH(AA195,'Inputs Mapping'!$U$4:$U$5,0)),"x","")</f>
        <v>x</v>
      </c>
      <c r="V195" s="655" t="str">
        <f>IF(ISERROR(MATCH(AB195,'Inputs Mapping'!$V$4:$V$5,0)),"x","")</f>
        <v>x</v>
      </c>
      <c r="W195" s="655" t="str">
        <f>IF(ISERROR(MATCH(F195,'Inputs Mapping'!$W$4:$W$8,0)),"x","")</f>
        <v>x</v>
      </c>
      <c r="X195" s="655" t="str">
        <f t="shared" si="107"/>
        <v/>
      </c>
      <c r="Y195" s="655" t="str">
        <f t="shared" si="108"/>
        <v/>
      </c>
      <c r="Z195" s="655" t="str">
        <f t="shared" si="109"/>
        <v/>
      </c>
      <c r="AA195" s="655" t="str">
        <f t="shared" si="77"/>
        <v/>
      </c>
      <c r="AB195" s="655" t="str">
        <f t="shared" si="110"/>
        <v/>
      </c>
      <c r="AC195" s="655" t="str">
        <f t="shared" si="86"/>
        <v>x</v>
      </c>
      <c r="AD195" s="655" t="str">
        <f>IF(ISBLANK(I195),"x",IF(ISNUMBER(MATCH(I195,'Inputs Mapping'!$AF$5:$AF$199,0)),"","x"))</f>
        <v>x</v>
      </c>
      <c r="AE195" s="655" t="str">
        <f t="shared" si="80"/>
        <v/>
      </c>
      <c r="AF195" s="148"/>
      <c r="AG195" s="148"/>
      <c r="AH195" s="148" t="str">
        <f t="shared" si="81"/>
        <v/>
      </c>
      <c r="AI195" s="654" t="str">
        <f>IF(J195="","",VLOOKUP(J195,'Inputs Mapping'!$T$27:$V$31,3))</f>
        <v/>
      </c>
      <c r="AJ195" s="654" t="str">
        <f>IF(J195="","",VLOOKUP(J195,'Inputs Mapping'!$T$17:$V$24,3))</f>
        <v/>
      </c>
      <c r="AK195" s="654" t="str">
        <f t="shared" si="82"/>
        <v/>
      </c>
      <c r="AL195" s="655" t="str">
        <f t="shared" si="111"/>
        <v/>
      </c>
      <c r="AM195" s="655" t="str">
        <f>IF(F195="","",IF(AE195="Dubai",HLOOKUP(F195,Inputs!$C$26:$M$36,5,0),HLOOKUP(F195,Inputs!$C$45:$M$49,5,0)))</f>
        <v/>
      </c>
      <c r="AN195" s="655">
        <f t="shared" si="83"/>
        <v>0</v>
      </c>
      <c r="AO195" s="654" t="str">
        <f>IF(AJ195="","",IF(AN195="Dubai",VLOOKUP(AJ195,'Inputs Mapping'!$V$17:$W$24,2,0),VLOOKUP(AI195,'Inputs Mapping'!$V$27:$W$31,2,0)))</f>
        <v/>
      </c>
      <c r="AP195" s="666">
        <f>IFERROR(IF($AN195="","",HLOOKUP($AN195&amp;RIGHT($AL195,1),'input for formula'!$B$16:$I$20,3,0)),0)</f>
        <v>0</v>
      </c>
      <c r="AQ195" s="656">
        <f>IFERROR(IF($AN195="","",HLOOKUP($AN195&amp;$F195,'input for formula'!$B$22:$M$25,2,0)),0)</f>
        <v>0</v>
      </c>
      <c r="AR195" s="666">
        <f>IFERROR(IF($AN195="","",HLOOKUP($AN195&amp;RIGHT($AL195,1),'input for formula'!$B$16:$I$20,4,0)),0)</f>
        <v>0</v>
      </c>
      <c r="AS195" s="656">
        <f>IFERROR(IF($AN195="","",HLOOKUP($AN195&amp;$F195,'input for formula'!$B$22:$M$25,3,0)),0)</f>
        <v>0</v>
      </c>
      <c r="AT195" s="656">
        <f>IFERROR(IF($AN195="","",HLOOKUP($AN195&amp;RIGHT($AL195,1),'input for formula'!$B$16:$I$20,5,0)),0)</f>
        <v>0</v>
      </c>
      <c r="AU195" s="656">
        <f>IFERROR(IF($AN195="","",HLOOKUP($AN195&amp;$F195,'input for formula'!$B$22:$M$25,4,0)),0)</f>
        <v>0</v>
      </c>
      <c r="AV195" s="666">
        <f>IFERROR(IF($AN195="","",IF('Census Data'!$AN195="Abu Dhabi",VLOOKUP('Census Data'!$AM195,'input for formula'!$A$28:$C$41,3,0),VLOOKUP('Census Data'!$AM195,'input for formula'!$A$28:$C$47,2,0))),0)*IFERROR(1+IF(AN195="Dubai",VLOOKUP(F195,'Quotation for Dubai Plans'!$V$6:$X$12,3,FALSE),VLOOKUP(F195,'Quotation for Abu Dhabi Plans'!$W$6:$Y$12,3,FALSE)),0)</f>
        <v>0</v>
      </c>
      <c r="AW195" s="656" t="str">
        <f t="shared" si="112"/>
        <v/>
      </c>
      <c r="AX195" s="667" t="str">
        <f>IFERROR(IF(AL195="","",IF(AN195="Dubai",HLOOKUP((AL195&amp;AM195),Deviation!$B$7:$S$8,2,0)*BF195*BH195*BI195*BG195,HLOOKUP((AL195&amp;AM195),Deviation!$B$9:$O$10,2,0)*BF195*BH195*BI195*BG195)),0)</f>
        <v/>
      </c>
      <c r="AY195" s="668"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formula'!$M$3:$O$7,AO195,FALSE)))*AX195+AP195*AQ195+AR195*AS195+AT195*AU195),0)*$AZ$3*BK195*BJ195*IF(AND(Inputs!$C$19&gt;19,Inputs!$C$19&lt;30),(1+$AZ$2),1)*(1+$AZ$1))</f>
        <v/>
      </c>
      <c r="AZ195" s="148" t="str">
        <f t="shared" si="113"/>
        <v/>
      </c>
      <c r="BA195" s="669" t="str">
        <f>IF(F195="","",IF(AE195="Dubai",HLOOKUP(F195,Inputs!$C$26:$M$37,9,0),HLOOKUP(F195,Inputs!$C$45:$M$56,9,0)))</f>
        <v/>
      </c>
      <c r="BB195" s="670" t="str">
        <f>IF(F195="","",IF(AE195="Dubai",HLOOKUP(F195,Inputs!$C$26:$M$37,10,0),HLOOKUP(F195,Inputs!$C$45:$M$56,10,0)))</f>
        <v/>
      </c>
      <c r="BC195" s="670" t="str">
        <f>IF(F195="","",IF(AE195="Dubai",HLOOKUP(F195,Inputs!$C$26:$M$37,11,0),HLOOKUP(F195,Inputs!$C$45:$M$56,11,0)))</f>
        <v/>
      </c>
      <c r="BD195" s="669" t="str">
        <f>IF(F195="","",IF(AE195="Dubai",HLOOKUP(F195,Inputs!$C$26:$M$37,12,0),HLOOKUP(F195,Inputs!$C$45:$M$56,12,0)))</f>
        <v/>
      </c>
      <c r="BE195" s="654"/>
      <c r="BF195" s="669" t="str">
        <f>IFERROR(IF(AL195="","",IF(AN195="Dubai",IF(OR(AL195="Plan1",AL195="Plan2"),VLOOKUP(BA195,Deviation!$B$31:$D$33,2,FALSE),VLOOKUP(BA195,Deviation!$B$31:$D$33,3,FALSE)),IF(OR(AL195="Plan1",AL195="Plan2"),VLOOKUP(BA195,Deviation!$E$31:$AE$33,2,FALSE),VLOOKUP(BA195,Deviation!$E$31:$AE$33,3,FALSE)))),0)</f>
        <v/>
      </c>
      <c r="BG195" s="671" t="str">
        <f>IFERROR(IF(AL195="","",IF(AN195="Dubai",IF(AL195="Plan1",VLOOKUP(BB195,Deviation!$B$39:$C$40,2,FALSE),IF(AL195="Plan2",VLOOKUP(BB195,Deviation!$B$42:$C$43,2,FALSE),IF(AL195="Plan5",VLOOKUP(BB195,Deviation!$B$48:$C$49,2,FALSE),VLOOKUP(BB195,Deviation!$B$45:$C$46,2,FALSE)))),IF(AL195="Plan1",VLOOKUP(BB195,Deviation!$E$39:$F$40,2,FALSE),IF(AL195="Plan2",VLOOKUP(BB195,Deviation!$E$42:$F$43,2,FALSE),VLOOKUP(BB195,Deviation!$E$45:$F$46,2,FALSE))))),0)</f>
        <v/>
      </c>
      <c r="BH195" s="671" t="str">
        <f>IFERROR(IF(AL195="","",IF(AN195="Dubai",IF(OR(AL195="Plan1",AL195="Plan2"),VLOOKUP(BC195,Deviation!$B$15:$D$19,2,FALSE),VLOOKUP(BC195,Deviation!$B$15:$D$19,3,FALSE)),IF(OR(AL195="Plan1",AL195="Plan2"),VLOOKUP(BC195,Deviation!$E$15:$AE$19,2,FALSE),VLOOKUP(BC195,Deviation!$E$15:$AE$19,3,FALSE)))),0)</f>
        <v/>
      </c>
      <c r="BI195" s="669" t="str">
        <f>IFERROR(IF(AL195="","",IF(AN195="Dubai",VLOOKUP(BD195,Deviation!$B$24:$C$26,2,FALSE),100%)),0)</f>
        <v/>
      </c>
      <c r="BJ195" s="672">
        <f>IF(AE195="Abu Dhabi",1,IFERROR(VLOOKUP(AM195,Deviation!$B$67:$E$79,MATCH('Census Data'!AA195,Deviation!$B$66:$E$66,0),0),1))</f>
        <v>1</v>
      </c>
      <c r="BK195" s="659">
        <f>IFERROR(VLOOKUP(I195,Deviation!$B$54:$C$62,2,0),1)</f>
        <v>1</v>
      </c>
      <c r="BL195" s="148"/>
      <c r="BM195" s="148"/>
      <c r="BN195" s="148"/>
      <c r="BO195" s="148"/>
      <c r="BP195" s="148"/>
      <c r="BQ195" s="148"/>
      <c r="BR195" s="148"/>
      <c r="BS195" s="148"/>
      <c r="BT195" s="148" t="e">
        <f t="shared" si="85"/>
        <v>#VALUE!</v>
      </c>
      <c r="BU195"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f>
        <v/>
      </c>
    </row>
    <row r="196" spans="1:73" ht="15" x14ac:dyDescent="0.25">
      <c r="A196" s="59">
        <v>191</v>
      </c>
      <c r="B196" s="470"/>
      <c r="C196" s="628"/>
      <c r="D196" s="629"/>
      <c r="E196" s="471"/>
      <c r="F196" s="298"/>
      <c r="G196" s="298"/>
      <c r="H196" s="298"/>
      <c r="I196" s="298"/>
      <c r="J196" s="80" t="str">
        <f>IFERROR(IF(C196="","",DATEDIF('Census Data'!C196,eff_date,"y")),"")</f>
        <v/>
      </c>
      <c r="K196" s="59" t="str">
        <f>IF(F196="","",IF(AE196="Dubai",HLOOKUP(F196,Inputs!$C$26:$M$28,3,0),HLOOKUP(F196,Inputs!$C$45:$M$46,2,0)))</f>
        <v/>
      </c>
      <c r="L196" s="94"/>
      <c r="M196" s="105">
        <f t="shared" si="101"/>
        <v>0</v>
      </c>
      <c r="N196" s="654" t="b">
        <f t="shared" si="102"/>
        <v>0</v>
      </c>
      <c r="O196" s="655" t="str">
        <f t="shared" si="103"/>
        <v>x</v>
      </c>
      <c r="P196" s="655" t="str">
        <f t="shared" si="104"/>
        <v>x</v>
      </c>
      <c r="Q196" s="655" t="str">
        <f t="shared" si="105"/>
        <v>x</v>
      </c>
      <c r="R196" s="655" t="str">
        <f t="shared" si="100"/>
        <v>x</v>
      </c>
      <c r="S196" s="655" t="str">
        <f t="shared" si="106"/>
        <v>x</v>
      </c>
      <c r="T196" s="655" t="str">
        <f>IF(ISERROR(MATCH(G196,'Inputs Mapping'!$T$4:$T$10,0)),"x","")</f>
        <v>x</v>
      </c>
      <c r="U196" s="655" t="str">
        <f>IF(ISERROR(MATCH(AA196,'Inputs Mapping'!$U$4:$U$5,0)),"x","")</f>
        <v>x</v>
      </c>
      <c r="V196" s="655" t="str">
        <f>IF(ISERROR(MATCH(AB196,'Inputs Mapping'!$V$4:$V$5,0)),"x","")</f>
        <v>x</v>
      </c>
      <c r="W196" s="655" t="str">
        <f>IF(ISERROR(MATCH(F196,'Inputs Mapping'!$W$4:$W$8,0)),"x","")</f>
        <v>x</v>
      </c>
      <c r="X196" s="655" t="str">
        <f t="shared" si="107"/>
        <v/>
      </c>
      <c r="Y196" s="655" t="str">
        <f t="shared" si="108"/>
        <v/>
      </c>
      <c r="Z196" s="655" t="str">
        <f t="shared" si="109"/>
        <v/>
      </c>
      <c r="AA196" s="655" t="str">
        <f t="shared" si="77"/>
        <v/>
      </c>
      <c r="AB196" s="655" t="str">
        <f t="shared" si="110"/>
        <v/>
      </c>
      <c r="AC196" s="655" t="str">
        <f t="shared" si="86"/>
        <v>x</v>
      </c>
      <c r="AD196" s="655" t="str">
        <f>IF(ISBLANK(I196),"x",IF(ISNUMBER(MATCH(I196,'Inputs Mapping'!$AF$5:$AF$199,0)),"","x"))</f>
        <v>x</v>
      </c>
      <c r="AE196" s="655" t="str">
        <f t="shared" si="80"/>
        <v/>
      </c>
      <c r="AF196" s="148"/>
      <c r="AG196" s="148"/>
      <c r="AH196" s="148" t="str">
        <f t="shared" si="81"/>
        <v/>
      </c>
      <c r="AI196" s="654" t="str">
        <f>IF(J196="","",VLOOKUP(J196,'Inputs Mapping'!$T$27:$V$31,3))</f>
        <v/>
      </c>
      <c r="AJ196" s="654" t="str">
        <f>IF(J196="","",VLOOKUP(J196,'Inputs Mapping'!$T$17:$V$24,3))</f>
        <v/>
      </c>
      <c r="AK196" s="654" t="str">
        <f t="shared" si="82"/>
        <v/>
      </c>
      <c r="AL196" s="655" t="str">
        <f t="shared" si="111"/>
        <v/>
      </c>
      <c r="AM196" s="655" t="str">
        <f>IF(F196="","",IF(AE196="Dubai",HLOOKUP(F196,Inputs!$C$26:$M$36,5,0),HLOOKUP(F196,Inputs!$C$45:$M$49,5,0)))</f>
        <v/>
      </c>
      <c r="AN196" s="655">
        <f t="shared" si="83"/>
        <v>0</v>
      </c>
      <c r="AO196" s="654" t="str">
        <f>IF(AJ196="","",IF(AN196="Dubai",VLOOKUP(AJ196,'Inputs Mapping'!$V$17:$W$24,2,0),VLOOKUP(AI196,'Inputs Mapping'!$V$27:$W$31,2,0)))</f>
        <v/>
      </c>
      <c r="AP196" s="666">
        <f>IFERROR(IF($AN196="","",HLOOKUP($AN196&amp;RIGHT($AL196,1),'input for formula'!$B$16:$I$20,3,0)),0)</f>
        <v>0</v>
      </c>
      <c r="AQ196" s="656">
        <f>IFERROR(IF($AN196="","",HLOOKUP($AN196&amp;$F196,'input for formula'!$B$22:$M$25,2,0)),0)</f>
        <v>0</v>
      </c>
      <c r="AR196" s="666">
        <f>IFERROR(IF($AN196="","",HLOOKUP($AN196&amp;RIGHT($AL196,1),'input for formula'!$B$16:$I$20,4,0)),0)</f>
        <v>0</v>
      </c>
      <c r="AS196" s="656">
        <f>IFERROR(IF($AN196="","",HLOOKUP($AN196&amp;$F196,'input for formula'!$B$22:$M$25,3,0)),0)</f>
        <v>0</v>
      </c>
      <c r="AT196" s="656">
        <f>IFERROR(IF($AN196="","",HLOOKUP($AN196&amp;RIGHT($AL196,1),'input for formula'!$B$16:$I$20,5,0)),0)</f>
        <v>0</v>
      </c>
      <c r="AU196" s="656">
        <f>IFERROR(IF($AN196="","",HLOOKUP($AN196&amp;$F196,'input for formula'!$B$22:$M$25,4,0)),0)</f>
        <v>0</v>
      </c>
      <c r="AV196" s="666">
        <f>IFERROR(IF($AN196="","",IF('Census Data'!$AN196="Abu Dhabi",VLOOKUP('Census Data'!$AM196,'input for formula'!$A$28:$C$41,3,0),VLOOKUP('Census Data'!$AM196,'input for formula'!$A$28:$C$47,2,0))),0)*IFERROR(1+IF(AN196="Dubai",VLOOKUP(F196,'Quotation for Dubai Plans'!$V$6:$X$12,3,FALSE),VLOOKUP(F196,'Quotation for Abu Dhabi Plans'!$W$6:$Y$12,3,FALSE)),0)</f>
        <v>0</v>
      </c>
      <c r="AW196" s="656" t="str">
        <f t="shared" si="112"/>
        <v/>
      </c>
      <c r="AX196" s="667" t="str">
        <f>IFERROR(IF(AL196="","",IF(AN196="Dubai",HLOOKUP((AL196&amp;AM196),Deviation!$B$7:$S$8,2,0)*BF196*BH196*BI196*BG196,HLOOKUP((AL196&amp;AM196),Deviation!$B$9:$O$10,2,0)*BF196*BH196*BI196*BG196)),0)</f>
        <v/>
      </c>
      <c r="AY196" s="668"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formula'!$M$3:$O$7,AO196,FALSE)))*AX196+AP196*AQ196+AR196*AS196+AT196*AU196),0)*$AZ$3*BK196*BJ196*IF(AND(Inputs!$C$19&gt;19,Inputs!$C$19&lt;30),(1+$AZ$2),1)*(1+$AZ$1))</f>
        <v/>
      </c>
      <c r="AZ196" s="148" t="str">
        <f t="shared" si="113"/>
        <v/>
      </c>
      <c r="BA196" s="669" t="str">
        <f>IF(F196="","",IF(AE196="Dubai",HLOOKUP(F196,Inputs!$C$26:$M$37,9,0),HLOOKUP(F196,Inputs!$C$45:$M$56,9,0)))</f>
        <v/>
      </c>
      <c r="BB196" s="670" t="str">
        <f>IF(F196="","",IF(AE196="Dubai",HLOOKUP(F196,Inputs!$C$26:$M$37,10,0),HLOOKUP(F196,Inputs!$C$45:$M$56,10,0)))</f>
        <v/>
      </c>
      <c r="BC196" s="670" t="str">
        <f>IF(F196="","",IF(AE196="Dubai",HLOOKUP(F196,Inputs!$C$26:$M$37,11,0),HLOOKUP(F196,Inputs!$C$45:$M$56,11,0)))</f>
        <v/>
      </c>
      <c r="BD196" s="669" t="str">
        <f>IF(F196="","",IF(AE196="Dubai",HLOOKUP(F196,Inputs!$C$26:$M$37,12,0),HLOOKUP(F196,Inputs!$C$45:$M$56,12,0)))</f>
        <v/>
      </c>
      <c r="BE196" s="654"/>
      <c r="BF196" s="669" t="str">
        <f>IFERROR(IF(AL196="","",IF(AN196="Dubai",IF(OR(AL196="Plan1",AL196="Plan2"),VLOOKUP(BA196,Deviation!$B$31:$D$33,2,FALSE),VLOOKUP(BA196,Deviation!$B$31:$D$33,3,FALSE)),IF(OR(AL196="Plan1",AL196="Plan2"),VLOOKUP(BA196,Deviation!$E$31:$AE$33,2,FALSE),VLOOKUP(BA196,Deviation!$E$31:$AE$33,3,FALSE)))),0)</f>
        <v/>
      </c>
      <c r="BG196" s="671" t="str">
        <f>IFERROR(IF(AL196="","",IF(AN196="Dubai",IF(AL196="Plan1",VLOOKUP(BB196,Deviation!$B$39:$C$40,2,FALSE),IF(AL196="Plan2",VLOOKUP(BB196,Deviation!$B$42:$C$43,2,FALSE),IF(AL196="Plan5",VLOOKUP(BB196,Deviation!$B$48:$C$49,2,FALSE),VLOOKUP(BB196,Deviation!$B$45:$C$46,2,FALSE)))),IF(AL196="Plan1",VLOOKUP(BB196,Deviation!$E$39:$F$40,2,FALSE),IF(AL196="Plan2",VLOOKUP(BB196,Deviation!$E$42:$F$43,2,FALSE),VLOOKUP(BB196,Deviation!$E$45:$F$46,2,FALSE))))),0)</f>
        <v/>
      </c>
      <c r="BH196" s="671" t="str">
        <f>IFERROR(IF(AL196="","",IF(AN196="Dubai",IF(OR(AL196="Plan1",AL196="Plan2"),VLOOKUP(BC196,Deviation!$B$15:$D$19,2,FALSE),VLOOKUP(BC196,Deviation!$B$15:$D$19,3,FALSE)),IF(OR(AL196="Plan1",AL196="Plan2"),VLOOKUP(BC196,Deviation!$E$15:$AE$19,2,FALSE),VLOOKUP(BC196,Deviation!$E$15:$AE$19,3,FALSE)))),0)</f>
        <v/>
      </c>
      <c r="BI196" s="669" t="str">
        <f>IFERROR(IF(AL196="","",IF(AN196="Dubai",VLOOKUP(BD196,Deviation!$B$24:$C$26,2,FALSE),100%)),0)</f>
        <v/>
      </c>
      <c r="BJ196" s="672">
        <f>IF(AE196="Abu Dhabi",1,IFERROR(VLOOKUP(AM196,Deviation!$B$67:$E$79,MATCH('Census Data'!AA196,Deviation!$B$66:$E$66,0),0),1))</f>
        <v>1</v>
      </c>
      <c r="BK196" s="659">
        <f>IFERROR(VLOOKUP(I196,Deviation!$B$54:$C$62,2,0),1)</f>
        <v>1</v>
      </c>
      <c r="BL196" s="148"/>
      <c r="BM196" s="148"/>
      <c r="BN196" s="148"/>
      <c r="BO196" s="148"/>
      <c r="BP196" s="148"/>
      <c r="BQ196" s="148"/>
      <c r="BR196" s="148"/>
      <c r="BS196" s="148"/>
      <c r="BT196" s="148" t="e">
        <f t="shared" si="85"/>
        <v>#VALUE!</v>
      </c>
      <c r="BU196"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f>
        <v/>
      </c>
    </row>
    <row r="197" spans="1:73" ht="15" x14ac:dyDescent="0.25">
      <c r="A197" s="59">
        <v>192</v>
      </c>
      <c r="B197" s="470"/>
      <c r="C197" s="628"/>
      <c r="D197" s="629"/>
      <c r="E197" s="471"/>
      <c r="F197" s="298"/>
      <c r="G197" s="298"/>
      <c r="H197" s="298"/>
      <c r="I197" s="298"/>
      <c r="J197" s="80" t="str">
        <f>IFERROR(IF(C197="","",DATEDIF('Census Data'!C197,eff_date,"y")),"")</f>
        <v/>
      </c>
      <c r="K197" s="59" t="str">
        <f>IF(F197="","",IF(AE197="Dubai",HLOOKUP(F197,Inputs!$C$26:$M$28,3,0),HLOOKUP(F197,Inputs!$C$45:$M$46,2,0)))</f>
        <v/>
      </c>
      <c r="L197" s="94"/>
      <c r="M197" s="105">
        <f t="shared" si="101"/>
        <v>0</v>
      </c>
      <c r="N197" s="654" t="b">
        <f t="shared" si="102"/>
        <v>0</v>
      </c>
      <c r="O197" s="655" t="str">
        <f t="shared" si="103"/>
        <v>x</v>
      </c>
      <c r="P197" s="655" t="str">
        <f t="shared" si="104"/>
        <v>x</v>
      </c>
      <c r="Q197" s="655" t="str">
        <f t="shared" si="105"/>
        <v>x</v>
      </c>
      <c r="R197" s="655" t="str">
        <f t="shared" si="100"/>
        <v>x</v>
      </c>
      <c r="S197" s="655" t="str">
        <f t="shared" si="106"/>
        <v>x</v>
      </c>
      <c r="T197" s="655" t="str">
        <f>IF(ISERROR(MATCH(G197,'Inputs Mapping'!$T$4:$T$10,0)),"x","")</f>
        <v>x</v>
      </c>
      <c r="U197" s="655" t="str">
        <f>IF(ISERROR(MATCH(AA197,'Inputs Mapping'!$U$4:$U$5,0)),"x","")</f>
        <v>x</v>
      </c>
      <c r="V197" s="655" t="str">
        <f>IF(ISERROR(MATCH(AB197,'Inputs Mapping'!$V$4:$V$5,0)),"x","")</f>
        <v>x</v>
      </c>
      <c r="W197" s="655" t="str">
        <f>IF(ISERROR(MATCH(F197,'Inputs Mapping'!$W$4:$W$8,0)),"x","")</f>
        <v>x</v>
      </c>
      <c r="X197" s="655" t="str">
        <f t="shared" si="107"/>
        <v/>
      </c>
      <c r="Y197" s="655" t="str">
        <f t="shared" si="108"/>
        <v/>
      </c>
      <c r="Z197" s="655" t="str">
        <f t="shared" si="109"/>
        <v/>
      </c>
      <c r="AA197" s="655" t="str">
        <f t="shared" si="77"/>
        <v/>
      </c>
      <c r="AB197" s="655" t="str">
        <f t="shared" si="110"/>
        <v/>
      </c>
      <c r="AC197" s="655" t="str">
        <f t="shared" si="86"/>
        <v>x</v>
      </c>
      <c r="AD197" s="655" t="str">
        <f>IF(ISBLANK(I197),"x",IF(ISNUMBER(MATCH(I197,'Inputs Mapping'!$AF$5:$AF$199,0)),"","x"))</f>
        <v>x</v>
      </c>
      <c r="AE197" s="655" t="str">
        <f t="shared" si="80"/>
        <v/>
      </c>
      <c r="AF197" s="148"/>
      <c r="AG197" s="148"/>
      <c r="AH197" s="148" t="str">
        <f t="shared" si="81"/>
        <v/>
      </c>
      <c r="AI197" s="654" t="str">
        <f>IF(J197="","",VLOOKUP(J197,'Inputs Mapping'!$T$27:$V$31,3))</f>
        <v/>
      </c>
      <c r="AJ197" s="654" t="str">
        <f>IF(J197="","",VLOOKUP(J197,'Inputs Mapping'!$T$17:$V$24,3))</f>
        <v/>
      </c>
      <c r="AK197" s="654" t="str">
        <f t="shared" si="82"/>
        <v/>
      </c>
      <c r="AL197" s="655" t="str">
        <f t="shared" si="111"/>
        <v/>
      </c>
      <c r="AM197" s="655" t="str">
        <f>IF(F197="","",IF(AE197="Dubai",HLOOKUP(F197,Inputs!$C$26:$M$36,5,0),HLOOKUP(F197,Inputs!$C$45:$M$49,5,0)))</f>
        <v/>
      </c>
      <c r="AN197" s="655">
        <f t="shared" si="83"/>
        <v>0</v>
      </c>
      <c r="AO197" s="654" t="str">
        <f>IF(AJ197="","",IF(AN197="Dubai",VLOOKUP(AJ197,'Inputs Mapping'!$V$17:$W$24,2,0),VLOOKUP(AI197,'Inputs Mapping'!$V$27:$W$31,2,0)))</f>
        <v/>
      </c>
      <c r="AP197" s="666">
        <f>IFERROR(IF($AN197="","",HLOOKUP($AN197&amp;RIGHT($AL197,1),'input for formula'!$B$16:$I$20,3,0)),0)</f>
        <v>0</v>
      </c>
      <c r="AQ197" s="656">
        <f>IFERROR(IF($AN197="","",HLOOKUP($AN197&amp;$F197,'input for formula'!$B$22:$M$25,2,0)),0)</f>
        <v>0</v>
      </c>
      <c r="AR197" s="666">
        <f>IFERROR(IF($AN197="","",HLOOKUP($AN197&amp;RIGHT($AL197,1),'input for formula'!$B$16:$I$20,4,0)),0)</f>
        <v>0</v>
      </c>
      <c r="AS197" s="656">
        <f>IFERROR(IF($AN197="","",HLOOKUP($AN197&amp;$F197,'input for formula'!$B$22:$M$25,3,0)),0)</f>
        <v>0</v>
      </c>
      <c r="AT197" s="656">
        <f>IFERROR(IF($AN197="","",HLOOKUP($AN197&amp;RIGHT($AL197,1),'input for formula'!$B$16:$I$20,5,0)),0)</f>
        <v>0</v>
      </c>
      <c r="AU197" s="656">
        <f>IFERROR(IF($AN197="","",HLOOKUP($AN197&amp;$F197,'input for formula'!$B$22:$M$25,4,0)),0)</f>
        <v>0</v>
      </c>
      <c r="AV197" s="666">
        <f>IFERROR(IF($AN197="","",IF('Census Data'!$AN197="Abu Dhabi",VLOOKUP('Census Data'!$AM197,'input for formula'!$A$28:$C$41,3,0),VLOOKUP('Census Data'!$AM197,'input for formula'!$A$28:$C$47,2,0))),0)*IFERROR(1+IF(AN197="Dubai",VLOOKUP(F197,'Quotation for Dubai Plans'!$V$6:$X$12,3,FALSE),VLOOKUP(F197,'Quotation for Abu Dhabi Plans'!$W$6:$Y$12,3,FALSE)),0)</f>
        <v>0</v>
      </c>
      <c r="AW197" s="656" t="str">
        <f t="shared" si="112"/>
        <v/>
      </c>
      <c r="AX197" s="667" t="str">
        <f>IFERROR(IF(AL197="","",IF(AN197="Dubai",HLOOKUP((AL197&amp;AM197),Deviation!$B$7:$S$8,2,0)*BF197*BH197*BI197*BG197,HLOOKUP((AL197&amp;AM197),Deviation!$B$9:$O$10,2,0)*BF197*BH197*BI197*BG197)),0)</f>
        <v/>
      </c>
      <c r="AY197" s="668"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formula'!$M$3:$O$7,AO197,FALSE)))*AX197+AP197*AQ197+AR197*AS197+AT197*AU197),0)*$AZ$3*BK197*BJ197*IF(AND(Inputs!$C$19&gt;19,Inputs!$C$19&lt;30),(1+$AZ$2),1)*(1+$AZ$1))</f>
        <v/>
      </c>
      <c r="AZ197" s="148" t="str">
        <f t="shared" si="113"/>
        <v/>
      </c>
      <c r="BA197" s="669" t="str">
        <f>IF(F197="","",IF(AE197="Dubai",HLOOKUP(F197,Inputs!$C$26:$M$37,9,0),HLOOKUP(F197,Inputs!$C$45:$M$56,9,0)))</f>
        <v/>
      </c>
      <c r="BB197" s="670" t="str">
        <f>IF(F197="","",IF(AE197="Dubai",HLOOKUP(F197,Inputs!$C$26:$M$37,10,0),HLOOKUP(F197,Inputs!$C$45:$M$56,10,0)))</f>
        <v/>
      </c>
      <c r="BC197" s="670" t="str">
        <f>IF(F197="","",IF(AE197="Dubai",HLOOKUP(F197,Inputs!$C$26:$M$37,11,0),HLOOKUP(F197,Inputs!$C$45:$M$56,11,0)))</f>
        <v/>
      </c>
      <c r="BD197" s="669" t="str">
        <f>IF(F197="","",IF(AE197="Dubai",HLOOKUP(F197,Inputs!$C$26:$M$37,12,0),HLOOKUP(F197,Inputs!$C$45:$M$56,12,0)))</f>
        <v/>
      </c>
      <c r="BE197" s="654"/>
      <c r="BF197" s="669" t="str">
        <f>IFERROR(IF(AL197="","",IF(AN197="Dubai",IF(OR(AL197="Plan1",AL197="Plan2"),VLOOKUP(BA197,Deviation!$B$31:$D$33,2,FALSE),VLOOKUP(BA197,Deviation!$B$31:$D$33,3,FALSE)),IF(OR(AL197="Plan1",AL197="Plan2"),VLOOKUP(BA197,Deviation!$E$31:$AE$33,2,FALSE),VLOOKUP(BA197,Deviation!$E$31:$AE$33,3,FALSE)))),0)</f>
        <v/>
      </c>
      <c r="BG197" s="671" t="str">
        <f>IFERROR(IF(AL197="","",IF(AN197="Dubai",IF(AL197="Plan1",VLOOKUP(BB197,Deviation!$B$39:$C$40,2,FALSE),IF(AL197="Plan2",VLOOKUP(BB197,Deviation!$B$42:$C$43,2,FALSE),IF(AL197="Plan5",VLOOKUP(BB197,Deviation!$B$48:$C$49,2,FALSE),VLOOKUP(BB197,Deviation!$B$45:$C$46,2,FALSE)))),IF(AL197="Plan1",VLOOKUP(BB197,Deviation!$E$39:$F$40,2,FALSE),IF(AL197="Plan2",VLOOKUP(BB197,Deviation!$E$42:$F$43,2,FALSE),VLOOKUP(BB197,Deviation!$E$45:$F$46,2,FALSE))))),0)</f>
        <v/>
      </c>
      <c r="BH197" s="671" t="str">
        <f>IFERROR(IF(AL197="","",IF(AN197="Dubai",IF(OR(AL197="Plan1",AL197="Plan2"),VLOOKUP(BC197,Deviation!$B$15:$D$19,2,FALSE),VLOOKUP(BC197,Deviation!$B$15:$D$19,3,FALSE)),IF(OR(AL197="Plan1",AL197="Plan2"),VLOOKUP(BC197,Deviation!$E$15:$AE$19,2,FALSE),VLOOKUP(BC197,Deviation!$E$15:$AE$19,3,FALSE)))),0)</f>
        <v/>
      </c>
      <c r="BI197" s="669" t="str">
        <f>IFERROR(IF(AL197="","",IF(AN197="Dubai",VLOOKUP(BD197,Deviation!$B$24:$C$26,2,FALSE),100%)),0)</f>
        <v/>
      </c>
      <c r="BJ197" s="672">
        <f>IF(AE197="Abu Dhabi",1,IFERROR(VLOOKUP(AM197,Deviation!$B$67:$E$79,MATCH('Census Data'!AA197,Deviation!$B$66:$E$66,0),0),1))</f>
        <v>1</v>
      </c>
      <c r="BK197" s="659">
        <f>IFERROR(VLOOKUP(I197,Deviation!$B$54:$C$62,2,0),1)</f>
        <v>1</v>
      </c>
      <c r="BL197" s="148"/>
      <c r="BM197" s="148"/>
      <c r="BN197" s="148"/>
      <c r="BO197" s="148"/>
      <c r="BP197" s="148"/>
      <c r="BQ197" s="148"/>
      <c r="BR197" s="148"/>
      <c r="BS197" s="148"/>
      <c r="BT197" s="148" t="e">
        <f t="shared" si="85"/>
        <v>#VALUE!</v>
      </c>
      <c r="BU197"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f>
        <v/>
      </c>
    </row>
    <row r="198" spans="1:73" ht="15" x14ac:dyDescent="0.25">
      <c r="A198" s="59">
        <v>193</v>
      </c>
      <c r="B198" s="470"/>
      <c r="C198" s="628"/>
      <c r="D198" s="629"/>
      <c r="E198" s="471"/>
      <c r="F198" s="298"/>
      <c r="G198" s="298"/>
      <c r="H198" s="298"/>
      <c r="I198" s="298"/>
      <c r="J198" s="80" t="str">
        <f>IFERROR(IF(C198="","",DATEDIF('Census Data'!C198,eff_date,"y")),"")</f>
        <v/>
      </c>
      <c r="K198" s="59" t="str">
        <f>IF(F198="","",IF(AE198="Dubai",HLOOKUP(F198,Inputs!$C$26:$M$28,3,0),HLOOKUP(F198,Inputs!$C$45:$M$46,2,0)))</f>
        <v/>
      </c>
      <c r="L198" s="94"/>
      <c r="M198" s="105">
        <f t="shared" si="101"/>
        <v>0</v>
      </c>
      <c r="N198" s="654" t="b">
        <f t="shared" si="102"/>
        <v>0</v>
      </c>
      <c r="O198" s="655" t="str">
        <f t="shared" si="103"/>
        <v>x</v>
      </c>
      <c r="P198" s="655" t="str">
        <f t="shared" si="104"/>
        <v>x</v>
      </c>
      <c r="Q198" s="655" t="str">
        <f t="shared" si="105"/>
        <v>x</v>
      </c>
      <c r="R198" s="655" t="str">
        <f t="shared" si="100"/>
        <v>x</v>
      </c>
      <c r="S198" s="655" t="str">
        <f t="shared" si="106"/>
        <v>x</v>
      </c>
      <c r="T198" s="655" t="str">
        <f>IF(ISERROR(MATCH(G198,'Inputs Mapping'!$T$4:$T$10,0)),"x","")</f>
        <v>x</v>
      </c>
      <c r="U198" s="655" t="str">
        <f>IF(ISERROR(MATCH(AA198,'Inputs Mapping'!$U$4:$U$5,0)),"x","")</f>
        <v>x</v>
      </c>
      <c r="V198" s="655" t="str">
        <f>IF(ISERROR(MATCH(AB198,'Inputs Mapping'!$V$4:$V$5,0)),"x","")</f>
        <v>x</v>
      </c>
      <c r="W198" s="655" t="str">
        <f>IF(ISERROR(MATCH(F198,'Inputs Mapping'!$W$4:$W$8,0)),"x","")</f>
        <v>x</v>
      </c>
      <c r="X198" s="655" t="str">
        <f t="shared" si="107"/>
        <v/>
      </c>
      <c r="Y198" s="655" t="str">
        <f t="shared" si="108"/>
        <v/>
      </c>
      <c r="Z198" s="655" t="str">
        <f t="shared" si="109"/>
        <v/>
      </c>
      <c r="AA198" s="655" t="str">
        <f t="shared" ref="AA198:AA261" si="114">IF(D198="","",IF(OR(D198="M",D198="Male"),"M",IF(OR(D198="F",D198="Female"),"F",IF(D198="M/F","M/F",""))))</f>
        <v/>
      </c>
      <c r="AB198" s="655" t="str">
        <f t="shared" si="110"/>
        <v/>
      </c>
      <c r="AC198" s="655" t="str">
        <f t="shared" si="86"/>
        <v>x</v>
      </c>
      <c r="AD198" s="655" t="str">
        <f>IF(ISBLANK(I198),"x",IF(ISNUMBER(MATCH(I198,'Inputs Mapping'!$AF$5:$AF$199,0)),"","x"))</f>
        <v>x</v>
      </c>
      <c r="AE198" s="655" t="str">
        <f t="shared" si="80"/>
        <v/>
      </c>
      <c r="AF198" s="148"/>
      <c r="AG198" s="148"/>
      <c r="AH198" s="148" t="str">
        <f t="shared" si="81"/>
        <v/>
      </c>
      <c r="AI198" s="654" t="str">
        <f>IF(J198="","",VLOOKUP(J198,'Inputs Mapping'!$T$27:$V$31,3))</f>
        <v/>
      </c>
      <c r="AJ198" s="654" t="str">
        <f>IF(J198="","",VLOOKUP(J198,'Inputs Mapping'!$T$17:$V$24,3))</f>
        <v/>
      </c>
      <c r="AK198" s="654" t="str">
        <f t="shared" si="82"/>
        <v/>
      </c>
      <c r="AL198" s="655" t="str">
        <f t="shared" si="111"/>
        <v/>
      </c>
      <c r="AM198" s="655" t="str">
        <f>IF(F198="","",IF(AE198="Dubai",HLOOKUP(F198,Inputs!$C$26:$M$36,5,0),HLOOKUP(F198,Inputs!$C$45:$M$49,5,0)))</f>
        <v/>
      </c>
      <c r="AN198" s="655">
        <f t="shared" si="83"/>
        <v>0</v>
      </c>
      <c r="AO198" s="654" t="str">
        <f>IF(AJ198="","",IF(AN198="Dubai",VLOOKUP(AJ198,'Inputs Mapping'!$V$17:$W$24,2,0),VLOOKUP(AI198,'Inputs Mapping'!$V$27:$W$31,2,0)))</f>
        <v/>
      </c>
      <c r="AP198" s="666">
        <f>IFERROR(IF($AN198="","",HLOOKUP($AN198&amp;RIGHT($AL198,1),'input for formula'!$B$16:$I$20,3,0)),0)</f>
        <v>0</v>
      </c>
      <c r="AQ198" s="656">
        <f>IFERROR(IF($AN198="","",HLOOKUP($AN198&amp;$F198,'input for formula'!$B$22:$M$25,2,0)),0)</f>
        <v>0</v>
      </c>
      <c r="AR198" s="666">
        <f>IFERROR(IF($AN198="","",HLOOKUP($AN198&amp;RIGHT($AL198,1),'input for formula'!$B$16:$I$20,4,0)),0)</f>
        <v>0</v>
      </c>
      <c r="AS198" s="656">
        <f>IFERROR(IF($AN198="","",HLOOKUP($AN198&amp;$F198,'input for formula'!$B$22:$M$25,3,0)),0)</f>
        <v>0</v>
      </c>
      <c r="AT198" s="656">
        <f>IFERROR(IF($AN198="","",HLOOKUP($AN198&amp;RIGHT($AL198,1),'input for formula'!$B$16:$I$20,5,0)),0)</f>
        <v>0</v>
      </c>
      <c r="AU198" s="656">
        <f>IFERROR(IF($AN198="","",HLOOKUP($AN198&amp;$F198,'input for formula'!$B$22:$M$25,4,0)),0)</f>
        <v>0</v>
      </c>
      <c r="AV198" s="666">
        <f>IFERROR(IF($AN198="","",IF('Census Data'!$AN198="Abu Dhabi",VLOOKUP('Census Data'!$AM198,'input for formula'!$A$28:$C$41,3,0),VLOOKUP('Census Data'!$AM198,'input for formula'!$A$28:$C$47,2,0))),0)*IFERROR(1+IF(AN198="Dubai",VLOOKUP(F198,'Quotation for Dubai Plans'!$V$6:$X$12,3,FALSE),VLOOKUP(F198,'Quotation for Abu Dhabi Plans'!$W$6:$Y$12,3,FALSE)),0)</f>
        <v>0</v>
      </c>
      <c r="AW198" s="656" t="str">
        <f t="shared" si="112"/>
        <v/>
      </c>
      <c r="AX198" s="667" t="str">
        <f>IFERROR(IF(AL198="","",IF(AN198="Dubai",HLOOKUP((AL198&amp;AM198),Deviation!$B$7:$S$8,2,0)*BF198*BH198*BI198*BG198,HLOOKUP((AL198&amp;AM198),Deviation!$B$9:$O$10,2,0)*BF198*BH198*BI198*BG198)),0)</f>
        <v/>
      </c>
      <c r="AY198" s="66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formula'!$M$3:$O$7,AO198,FALSE)))*AX198+AP198*AQ198+AR198*AS198+AT198*AU198),0)*$AZ$3*BK198*BJ198*IF(AND(Inputs!$C$19&gt;19,Inputs!$C$19&lt;30),(1+$AZ$2),1)*(1+$AZ$1))</f>
        <v/>
      </c>
      <c r="AZ198" s="148" t="str">
        <f t="shared" si="113"/>
        <v/>
      </c>
      <c r="BA198" s="669" t="str">
        <f>IF(F198="","",IF(AE198="Dubai",HLOOKUP(F198,Inputs!$C$26:$M$37,9,0),HLOOKUP(F198,Inputs!$C$45:$M$56,9,0)))</f>
        <v/>
      </c>
      <c r="BB198" s="670" t="str">
        <f>IF(F198="","",IF(AE198="Dubai",HLOOKUP(F198,Inputs!$C$26:$M$37,10,0),HLOOKUP(F198,Inputs!$C$45:$M$56,10,0)))</f>
        <v/>
      </c>
      <c r="BC198" s="670" t="str">
        <f>IF(F198="","",IF(AE198="Dubai",HLOOKUP(F198,Inputs!$C$26:$M$37,11,0),HLOOKUP(F198,Inputs!$C$45:$M$56,11,0)))</f>
        <v/>
      </c>
      <c r="BD198" s="669" t="str">
        <f>IF(F198="","",IF(AE198="Dubai",HLOOKUP(F198,Inputs!$C$26:$M$37,12,0),HLOOKUP(F198,Inputs!$C$45:$M$56,12,0)))</f>
        <v/>
      </c>
      <c r="BE198" s="654"/>
      <c r="BF198" s="669" t="str">
        <f>IFERROR(IF(AL198="","",IF(AN198="Dubai",IF(OR(AL198="Plan1",AL198="Plan2"),VLOOKUP(BA198,Deviation!$B$31:$D$33,2,FALSE),VLOOKUP(BA198,Deviation!$B$31:$D$33,3,FALSE)),IF(OR(AL198="Plan1",AL198="Plan2"),VLOOKUP(BA198,Deviation!$E$31:$AE$33,2,FALSE),VLOOKUP(BA198,Deviation!$E$31:$AE$33,3,FALSE)))),0)</f>
        <v/>
      </c>
      <c r="BG198" s="671" t="str">
        <f>IFERROR(IF(AL198="","",IF(AN198="Dubai",IF(AL198="Plan1",VLOOKUP(BB198,Deviation!$B$39:$C$40,2,FALSE),IF(AL198="Plan2",VLOOKUP(BB198,Deviation!$B$42:$C$43,2,FALSE),IF(AL198="Plan5",VLOOKUP(BB198,Deviation!$B$48:$C$49,2,FALSE),VLOOKUP(BB198,Deviation!$B$45:$C$46,2,FALSE)))),IF(AL198="Plan1",VLOOKUP(BB198,Deviation!$E$39:$F$40,2,FALSE),IF(AL198="Plan2",VLOOKUP(BB198,Deviation!$E$42:$F$43,2,FALSE),VLOOKUP(BB198,Deviation!$E$45:$F$46,2,FALSE))))),0)</f>
        <v/>
      </c>
      <c r="BH198" s="671" t="str">
        <f>IFERROR(IF(AL198="","",IF(AN198="Dubai",IF(OR(AL198="Plan1",AL198="Plan2"),VLOOKUP(BC198,Deviation!$B$15:$D$19,2,FALSE),VLOOKUP(BC198,Deviation!$B$15:$D$19,3,FALSE)),IF(OR(AL198="Plan1",AL198="Plan2"),VLOOKUP(BC198,Deviation!$E$15:$AE$19,2,FALSE),VLOOKUP(BC198,Deviation!$E$15:$AE$19,3,FALSE)))),0)</f>
        <v/>
      </c>
      <c r="BI198" s="669" t="str">
        <f>IFERROR(IF(AL198="","",IF(AN198="Dubai",VLOOKUP(BD198,Deviation!$B$24:$C$26,2,FALSE),100%)),0)</f>
        <v/>
      </c>
      <c r="BJ198" s="672">
        <f>IF(AE198="Abu Dhabi",1,IFERROR(VLOOKUP(AM198,Deviation!$B$67:$E$79,MATCH('Census Data'!AA198,Deviation!$B$66:$E$66,0),0),1))</f>
        <v>1</v>
      </c>
      <c r="BK198" s="659">
        <f>IFERROR(VLOOKUP(I198,Deviation!$B$54:$C$62,2,0),1)</f>
        <v>1</v>
      </c>
      <c r="BL198" s="148"/>
      <c r="BM198" s="148"/>
      <c r="BN198" s="148"/>
      <c r="BO198" s="148"/>
      <c r="BP198" s="148"/>
      <c r="BQ198" s="148"/>
      <c r="BR198" s="148"/>
      <c r="BS198" s="148"/>
      <c r="BT198" s="148" t="e">
        <f t="shared" si="85"/>
        <v>#VALUE!</v>
      </c>
      <c r="BU19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f>
        <v/>
      </c>
    </row>
    <row r="199" spans="1:73" ht="15" x14ac:dyDescent="0.25">
      <c r="A199" s="59">
        <v>194</v>
      </c>
      <c r="B199" s="470"/>
      <c r="C199" s="628"/>
      <c r="D199" s="629"/>
      <c r="E199" s="471"/>
      <c r="F199" s="298"/>
      <c r="G199" s="298"/>
      <c r="H199" s="298"/>
      <c r="I199" s="298"/>
      <c r="J199" s="80" t="str">
        <f>IFERROR(IF(C199="","",DATEDIF('Census Data'!C199,eff_date,"y")),"")</f>
        <v/>
      </c>
      <c r="K199" s="59" t="str">
        <f>IF(F199="","",IF(AE199="Dubai",HLOOKUP(F199,Inputs!$C$26:$M$28,3,0),HLOOKUP(F199,Inputs!$C$45:$M$46,2,0)))</f>
        <v/>
      </c>
      <c r="L199" s="94"/>
      <c r="M199" s="105">
        <f t="shared" si="101"/>
        <v>0</v>
      </c>
      <c r="N199" s="654" t="b">
        <f t="shared" si="102"/>
        <v>0</v>
      </c>
      <c r="O199" s="655" t="str">
        <f t="shared" si="103"/>
        <v>x</v>
      </c>
      <c r="P199" s="655" t="str">
        <f t="shared" si="104"/>
        <v>x</v>
      </c>
      <c r="Q199" s="655" t="str">
        <f t="shared" si="105"/>
        <v>x</v>
      </c>
      <c r="R199" s="655" t="str">
        <f t="shared" si="100"/>
        <v>x</v>
      </c>
      <c r="S199" s="655" t="str">
        <f t="shared" si="106"/>
        <v>x</v>
      </c>
      <c r="T199" s="655" t="str">
        <f>IF(ISERROR(MATCH(G199,'Inputs Mapping'!$T$4:$T$10,0)),"x","")</f>
        <v>x</v>
      </c>
      <c r="U199" s="655" t="str">
        <f>IF(ISERROR(MATCH(AA199,'Inputs Mapping'!$U$4:$U$5,0)),"x","")</f>
        <v>x</v>
      </c>
      <c r="V199" s="655" t="str">
        <f>IF(ISERROR(MATCH(AB199,'Inputs Mapping'!$V$4:$V$5,0)),"x","")</f>
        <v>x</v>
      </c>
      <c r="W199" s="655" t="str">
        <f>IF(ISERROR(MATCH(F199,'Inputs Mapping'!$W$4:$W$8,0)),"x","")</f>
        <v>x</v>
      </c>
      <c r="X199" s="655" t="str">
        <f t="shared" si="107"/>
        <v/>
      </c>
      <c r="Y199" s="655" t="str">
        <f t="shared" si="108"/>
        <v/>
      </c>
      <c r="Z199" s="655" t="str">
        <f t="shared" si="109"/>
        <v/>
      </c>
      <c r="AA199" s="655" t="str">
        <f t="shared" si="114"/>
        <v/>
      </c>
      <c r="AB199" s="655" t="str">
        <f t="shared" si="110"/>
        <v/>
      </c>
      <c r="AC199" s="655" t="str">
        <f t="shared" si="86"/>
        <v>x</v>
      </c>
      <c r="AD199" s="655" t="str">
        <f>IF(ISBLANK(I199),"x",IF(ISNUMBER(MATCH(I199,'Inputs Mapping'!$AF$5:$AF$199,0)),"","x"))</f>
        <v>x</v>
      </c>
      <c r="AE199" s="655" t="str">
        <f t="shared" ref="AE199:AE262" si="115">IF(D199="","",IF(G199="Abu Dhabi","Abu Dhabi","Dubai"))</f>
        <v/>
      </c>
      <c r="AF199" s="148"/>
      <c r="AG199" s="148"/>
      <c r="AH199" s="148" t="str">
        <f t="shared" ref="AH199:AH262" si="116">F199&amp;AE199</f>
        <v/>
      </c>
      <c r="AI199" s="654" t="str">
        <f>IF(J199="","",VLOOKUP(J199,'Inputs Mapping'!$T$27:$V$31,3))</f>
        <v/>
      </c>
      <c r="AJ199" s="654" t="str">
        <f>IF(J199="","",VLOOKUP(J199,'Inputs Mapping'!$T$17:$V$24,3))</f>
        <v/>
      </c>
      <c r="AK199" s="654" t="str">
        <f t="shared" ref="AK199:AK205" si="117">IF(AE199="Dubai",IF(J199="","",1*AND(LEFT(AA199)="F",LEFT(AB199)="M",J199&gt;=$AK$3,J199&lt;$AK$4+1)),IF(J199="","",1*AND(LEFT(AA199)="F",LEFT(AB199)="M",J199&gt;=$AJ$3,J199&lt;$AJ$4+1)))</f>
        <v/>
      </c>
      <c r="AL199" s="655" t="str">
        <f t="shared" si="111"/>
        <v/>
      </c>
      <c r="AM199" s="655" t="str">
        <f>IF(F199="","",IF(AE199="Dubai",HLOOKUP(F199,Inputs!$C$26:$M$36,5,0),HLOOKUP(F199,Inputs!$C$45:$M$49,5,0)))</f>
        <v/>
      </c>
      <c r="AN199" s="655">
        <f t="shared" ref="AN199:AN205" si="118">IF(C199="",0,IF(G199="Abu Dhabi","Abu Dhabi","Dubai"))</f>
        <v>0</v>
      </c>
      <c r="AO199" s="654" t="str">
        <f>IF(AJ199="","",IF(AN199="Dubai",VLOOKUP(AJ199,'Inputs Mapping'!$V$17:$W$24,2,0),VLOOKUP(AI199,'Inputs Mapping'!$V$27:$W$31,2,0)))</f>
        <v/>
      </c>
      <c r="AP199" s="666">
        <f>IFERROR(IF($AN199="","",HLOOKUP($AN199&amp;RIGHT($AL199,1),'input for formula'!$B$16:$I$20,3,0)),0)</f>
        <v>0</v>
      </c>
      <c r="AQ199" s="656">
        <f>IFERROR(IF($AN199="","",HLOOKUP($AN199&amp;$F199,'input for formula'!$B$22:$M$25,2,0)),0)</f>
        <v>0</v>
      </c>
      <c r="AR199" s="666">
        <f>IFERROR(IF($AN199="","",HLOOKUP($AN199&amp;RIGHT($AL199,1),'input for formula'!$B$16:$I$20,4,0)),0)</f>
        <v>0</v>
      </c>
      <c r="AS199" s="656">
        <f>IFERROR(IF($AN199="","",HLOOKUP($AN199&amp;$F199,'input for formula'!$B$22:$M$25,3,0)),0)</f>
        <v>0</v>
      </c>
      <c r="AT199" s="656">
        <f>IFERROR(IF($AN199="","",HLOOKUP($AN199&amp;RIGHT($AL199,1),'input for formula'!$B$16:$I$20,5,0)),0)</f>
        <v>0</v>
      </c>
      <c r="AU199" s="656">
        <f>IFERROR(IF($AN199="","",HLOOKUP($AN199&amp;$F199,'input for formula'!$B$22:$M$25,4,0)),0)</f>
        <v>0</v>
      </c>
      <c r="AV199" s="666">
        <f>IFERROR(IF($AN199="","",IF('Census Data'!$AN199="Abu Dhabi",VLOOKUP('Census Data'!$AM199,'input for formula'!$A$28:$C$41,3,0),VLOOKUP('Census Data'!$AM199,'input for formula'!$A$28:$C$47,2,0))),0)*IFERROR(1+IF(AN199="Dubai",VLOOKUP(F199,'Quotation for Dubai Plans'!$V$6:$X$12,3,FALSE),VLOOKUP(F199,'Quotation for Abu Dhabi Plans'!$W$6:$Y$12,3,FALSE)),0)</f>
        <v>0</v>
      </c>
      <c r="AW199" s="656" t="str">
        <f t="shared" si="112"/>
        <v/>
      </c>
      <c r="AX199" s="667" t="str">
        <f>IFERROR(IF(AL199="","",IF(AN199="Dubai",HLOOKUP((AL199&amp;AM199),Deviation!$B$7:$S$8,2,0)*BF199*BH199*BI199*BG199,HLOOKUP((AL199&amp;AM199),Deviation!$B$9:$O$10,2,0)*BF199*BH199*BI199*BG199)),0)</f>
        <v/>
      </c>
      <c r="AY199" s="668"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formula'!$M$3:$O$7,AO199,FALSE)))*AX199+AP199*AQ199+AR199*AS199+AT199*AU199),0)*$AZ$3*BK199*BJ199*IF(AND(Inputs!$C$19&gt;19,Inputs!$C$19&lt;30),(1+$AZ$2),1)*(1+$AZ$1))</f>
        <v/>
      </c>
      <c r="AZ199" s="148" t="str">
        <f t="shared" si="113"/>
        <v/>
      </c>
      <c r="BA199" s="669" t="str">
        <f>IF(F199="","",IF(AE199="Dubai",HLOOKUP(F199,Inputs!$C$26:$M$37,9,0),HLOOKUP(F199,Inputs!$C$45:$M$56,9,0)))</f>
        <v/>
      </c>
      <c r="BB199" s="670" t="str">
        <f>IF(F199="","",IF(AE199="Dubai",HLOOKUP(F199,Inputs!$C$26:$M$37,10,0),HLOOKUP(F199,Inputs!$C$45:$M$56,10,0)))</f>
        <v/>
      </c>
      <c r="BC199" s="670" t="str">
        <f>IF(F199="","",IF(AE199="Dubai",HLOOKUP(F199,Inputs!$C$26:$M$37,11,0),HLOOKUP(F199,Inputs!$C$45:$M$56,11,0)))</f>
        <v/>
      </c>
      <c r="BD199" s="669" t="str">
        <f>IF(F199="","",IF(AE199="Dubai",HLOOKUP(F199,Inputs!$C$26:$M$37,12,0),HLOOKUP(F199,Inputs!$C$45:$M$56,12,0)))</f>
        <v/>
      </c>
      <c r="BE199" s="654"/>
      <c r="BF199" s="669" t="str">
        <f>IFERROR(IF(AL199="","",IF(AN199="Dubai",IF(OR(AL199="Plan1",AL199="Plan2"),VLOOKUP(BA199,Deviation!$B$31:$D$33,2,FALSE),VLOOKUP(BA199,Deviation!$B$31:$D$33,3,FALSE)),IF(OR(AL199="Plan1",AL199="Plan2"),VLOOKUP(BA199,Deviation!$E$31:$AE$33,2,FALSE),VLOOKUP(BA199,Deviation!$E$31:$AE$33,3,FALSE)))),0)</f>
        <v/>
      </c>
      <c r="BG199" s="671" t="str">
        <f>IFERROR(IF(AL199="","",IF(AN199="Dubai",IF(AL199="Plan1",VLOOKUP(BB199,Deviation!$B$39:$C$40,2,FALSE),IF(AL199="Plan2",VLOOKUP(BB199,Deviation!$B$42:$C$43,2,FALSE),IF(AL199="Plan5",VLOOKUP(BB199,Deviation!$B$48:$C$49,2,FALSE),VLOOKUP(BB199,Deviation!$B$45:$C$46,2,FALSE)))),IF(AL199="Plan1",VLOOKUP(BB199,Deviation!$E$39:$F$40,2,FALSE),IF(AL199="Plan2",VLOOKUP(BB199,Deviation!$E$42:$F$43,2,FALSE),VLOOKUP(BB199,Deviation!$E$45:$F$46,2,FALSE))))),0)</f>
        <v/>
      </c>
      <c r="BH199" s="671" t="str">
        <f>IFERROR(IF(AL199="","",IF(AN199="Dubai",IF(OR(AL199="Plan1",AL199="Plan2"),VLOOKUP(BC199,Deviation!$B$15:$D$19,2,FALSE),VLOOKUP(BC199,Deviation!$B$15:$D$19,3,FALSE)),IF(OR(AL199="Plan1",AL199="Plan2"),VLOOKUP(BC199,Deviation!$E$15:$AE$19,2,FALSE),VLOOKUP(BC199,Deviation!$E$15:$AE$19,3,FALSE)))),0)</f>
        <v/>
      </c>
      <c r="BI199" s="669" t="str">
        <f>IFERROR(IF(AL199="","",IF(AN199="Dubai",VLOOKUP(BD199,Deviation!$B$24:$C$26,2,FALSE),100%)),0)</f>
        <v/>
      </c>
      <c r="BJ199" s="672">
        <f>IF(AE199="Abu Dhabi",1,IFERROR(VLOOKUP(AM199,Deviation!$B$67:$E$79,MATCH('Census Data'!AA199,Deviation!$B$66:$E$66,0),0),1))</f>
        <v>1</v>
      </c>
      <c r="BK199" s="659">
        <f>IFERROR(VLOOKUP(I199,Deviation!$B$54:$C$62,2,0),1)</f>
        <v>1</v>
      </c>
      <c r="BL199" s="148"/>
      <c r="BM199" s="148"/>
      <c r="BN199" s="148"/>
      <c r="BO199" s="148"/>
      <c r="BP199" s="148"/>
      <c r="BQ199" s="148"/>
      <c r="BR199" s="148"/>
      <c r="BS199" s="148"/>
      <c r="BT199" s="148" t="e">
        <f t="shared" ref="BT199:BT262" si="119">IF(AK199=0,AY199,(AY199+AV199))</f>
        <v>#VALUE!</v>
      </c>
      <c r="BU199"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f>
        <v/>
      </c>
    </row>
    <row r="200" spans="1:73" ht="15" x14ac:dyDescent="0.25">
      <c r="A200" s="59">
        <v>195</v>
      </c>
      <c r="B200" s="470"/>
      <c r="C200" s="628"/>
      <c r="D200" s="629"/>
      <c r="E200" s="471"/>
      <c r="F200" s="298"/>
      <c r="G200" s="298"/>
      <c r="H200" s="298"/>
      <c r="I200" s="298"/>
      <c r="J200" s="80" t="str">
        <f>IFERROR(IF(C200="","",DATEDIF('Census Data'!C200,eff_date,"y")),"")</f>
        <v/>
      </c>
      <c r="K200" s="59" t="str">
        <f>IF(F200="","",IF(AE200="Dubai",HLOOKUP(F200,Inputs!$C$26:$M$28,3,0),HLOOKUP(F200,Inputs!$C$45:$M$46,2,0)))</f>
        <v/>
      </c>
      <c r="L200" s="94"/>
      <c r="M200" s="105">
        <f t="shared" si="101"/>
        <v>0</v>
      </c>
      <c r="N200" s="654" t="b">
        <f t="shared" si="102"/>
        <v>0</v>
      </c>
      <c r="O200" s="655" t="str">
        <f t="shared" si="103"/>
        <v>x</v>
      </c>
      <c r="P200" s="655" t="str">
        <f t="shared" si="104"/>
        <v>x</v>
      </c>
      <c r="Q200" s="655" t="str">
        <f t="shared" si="105"/>
        <v>x</v>
      </c>
      <c r="R200" s="655" t="str">
        <f t="shared" si="100"/>
        <v>x</v>
      </c>
      <c r="S200" s="655" t="str">
        <f t="shared" si="106"/>
        <v>x</v>
      </c>
      <c r="T200" s="655" t="str">
        <f>IF(ISERROR(MATCH(G200,'Inputs Mapping'!$T$4:$T$10,0)),"x","")</f>
        <v>x</v>
      </c>
      <c r="U200" s="655" t="str">
        <f>IF(ISERROR(MATCH(AA200,'Inputs Mapping'!$U$4:$U$5,0)),"x","")</f>
        <v>x</v>
      </c>
      <c r="V200" s="655" t="str">
        <f>IF(ISERROR(MATCH(AB200,'Inputs Mapping'!$V$4:$V$5,0)),"x","")</f>
        <v>x</v>
      </c>
      <c r="W200" s="655" t="str">
        <f>IF(ISERROR(MATCH(F200,'Inputs Mapping'!$W$4:$W$8,0)),"x","")</f>
        <v>x</v>
      </c>
      <c r="X200" s="655" t="str">
        <f t="shared" si="107"/>
        <v/>
      </c>
      <c r="Y200" s="655" t="str">
        <f t="shared" si="108"/>
        <v/>
      </c>
      <c r="Z200" s="655" t="str">
        <f t="shared" si="109"/>
        <v/>
      </c>
      <c r="AA200" s="655" t="str">
        <f t="shared" si="114"/>
        <v/>
      </c>
      <c r="AB200" s="655" t="str">
        <f t="shared" si="110"/>
        <v/>
      </c>
      <c r="AC200" s="655" t="str">
        <f t="shared" ref="AC200:AC205" si="120">IF(AND(H200="Employee",J200&gt;=18),"",IF(H200="Dependent","","x"))</f>
        <v>x</v>
      </c>
      <c r="AD200" s="655" t="str">
        <f>IF(ISBLANK(I200),"x",IF(ISNUMBER(MATCH(I200,'Inputs Mapping'!$AF$5:$AF$199,0)),"","x"))</f>
        <v>x</v>
      </c>
      <c r="AE200" s="655" t="str">
        <f t="shared" si="115"/>
        <v/>
      </c>
      <c r="AF200" s="148"/>
      <c r="AG200" s="148"/>
      <c r="AH200" s="148" t="str">
        <f t="shared" si="116"/>
        <v/>
      </c>
      <c r="AI200" s="654" t="str">
        <f>IF(J200="","",VLOOKUP(J200,'Inputs Mapping'!$T$27:$V$31,3))</f>
        <v/>
      </c>
      <c r="AJ200" s="654" t="str">
        <f>IF(J200="","",VLOOKUP(J200,'Inputs Mapping'!$T$17:$V$24,3))</f>
        <v/>
      </c>
      <c r="AK200" s="654" t="str">
        <f t="shared" si="117"/>
        <v/>
      </c>
      <c r="AL200" s="655" t="str">
        <f t="shared" si="111"/>
        <v/>
      </c>
      <c r="AM200" s="655" t="str">
        <f>IF(F200="","",IF(AE200="Dubai",HLOOKUP(F200,Inputs!$C$26:$M$36,5,0),HLOOKUP(F200,Inputs!$C$45:$M$49,5,0)))</f>
        <v/>
      </c>
      <c r="AN200" s="655">
        <f t="shared" si="118"/>
        <v>0</v>
      </c>
      <c r="AO200" s="654" t="str">
        <f>IF(AJ200="","",IF(AN200="Dubai",VLOOKUP(AJ200,'Inputs Mapping'!$V$17:$W$24,2,0),VLOOKUP(AI200,'Inputs Mapping'!$V$27:$W$31,2,0)))</f>
        <v/>
      </c>
      <c r="AP200" s="666">
        <f>IFERROR(IF($AN200="","",HLOOKUP($AN200&amp;RIGHT($AL200,1),'input for formula'!$B$16:$I$20,3,0)),0)</f>
        <v>0</v>
      </c>
      <c r="AQ200" s="656">
        <f>IFERROR(IF($AN200="","",HLOOKUP($AN200&amp;$F200,'input for formula'!$B$22:$M$25,2,0)),0)</f>
        <v>0</v>
      </c>
      <c r="AR200" s="666">
        <f>IFERROR(IF($AN200="","",HLOOKUP($AN200&amp;RIGHT($AL200,1),'input for formula'!$B$16:$I$20,4,0)),0)</f>
        <v>0</v>
      </c>
      <c r="AS200" s="656">
        <f>IFERROR(IF($AN200="","",HLOOKUP($AN200&amp;$F200,'input for formula'!$B$22:$M$25,3,0)),0)</f>
        <v>0</v>
      </c>
      <c r="AT200" s="656">
        <f>IFERROR(IF($AN200="","",HLOOKUP($AN200&amp;RIGHT($AL200,1),'input for formula'!$B$16:$I$20,5,0)),0)</f>
        <v>0</v>
      </c>
      <c r="AU200" s="656">
        <f>IFERROR(IF($AN200="","",HLOOKUP($AN200&amp;$F200,'input for formula'!$B$22:$M$25,4,0)),0)</f>
        <v>0</v>
      </c>
      <c r="AV200" s="666">
        <f>IFERROR(IF($AN200="","",IF('Census Data'!$AN200="Abu Dhabi",VLOOKUP('Census Data'!$AM200,'input for formula'!$A$28:$C$41,3,0),VLOOKUP('Census Data'!$AM200,'input for formula'!$A$28:$C$47,2,0))),0)*IFERROR(1+IF(AN200="Dubai",VLOOKUP(F200,'Quotation for Dubai Plans'!$V$6:$X$12,3,FALSE),VLOOKUP(F200,'Quotation for Abu Dhabi Plans'!$W$6:$Y$12,3,FALSE)),0)</f>
        <v>0</v>
      </c>
      <c r="AW200" s="656" t="str">
        <f t="shared" si="112"/>
        <v/>
      </c>
      <c r="AX200" s="667" t="str">
        <f>IFERROR(IF(AL200="","",IF(AN200="Dubai",HLOOKUP((AL200&amp;AM200),Deviation!$B$7:$S$8,2,0)*BF200*BH200*BI200*BG200,HLOOKUP((AL200&amp;AM200),Deviation!$B$9:$O$10,2,0)*BF200*BH200*BI200*BG200)),0)</f>
        <v/>
      </c>
      <c r="AY200" s="668"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formula'!$M$3:$O$7,AO200,FALSE)))*AX200+AP200*AQ200+AR200*AS200+AT200*AU200),0)*$AZ$3*BK200*BJ200*IF(AND(Inputs!$C$19&gt;19,Inputs!$C$19&lt;30),(1+$AZ$2),1)*(1+$AZ$1))</f>
        <v/>
      </c>
      <c r="AZ200" s="148" t="str">
        <f t="shared" si="113"/>
        <v/>
      </c>
      <c r="BA200" s="669" t="str">
        <f>IF(F200="","",IF(AE200="Dubai",HLOOKUP(F200,Inputs!$C$26:$M$37,9,0),HLOOKUP(F200,Inputs!$C$45:$M$56,9,0)))</f>
        <v/>
      </c>
      <c r="BB200" s="670" t="str">
        <f>IF(F200="","",IF(AE200="Dubai",HLOOKUP(F200,Inputs!$C$26:$M$37,10,0),HLOOKUP(F200,Inputs!$C$45:$M$56,10,0)))</f>
        <v/>
      </c>
      <c r="BC200" s="670" t="str">
        <f>IF(F200="","",IF(AE200="Dubai",HLOOKUP(F200,Inputs!$C$26:$M$37,11,0),HLOOKUP(F200,Inputs!$C$45:$M$56,11,0)))</f>
        <v/>
      </c>
      <c r="BD200" s="669" t="str">
        <f>IF(F200="","",IF(AE200="Dubai",HLOOKUP(F200,Inputs!$C$26:$M$37,12,0),HLOOKUP(F200,Inputs!$C$45:$M$56,12,0)))</f>
        <v/>
      </c>
      <c r="BE200" s="654"/>
      <c r="BF200" s="669" t="str">
        <f>IFERROR(IF(AL200="","",IF(AN200="Dubai",IF(OR(AL200="Plan1",AL200="Plan2"),VLOOKUP(BA200,Deviation!$B$31:$D$33,2,FALSE),VLOOKUP(BA200,Deviation!$B$31:$D$33,3,FALSE)),IF(OR(AL200="Plan1",AL200="Plan2"),VLOOKUP(BA200,Deviation!$E$31:$AE$33,2,FALSE),VLOOKUP(BA200,Deviation!$E$31:$AE$33,3,FALSE)))),0)</f>
        <v/>
      </c>
      <c r="BG200" s="671" t="str">
        <f>IFERROR(IF(AL200="","",IF(AN200="Dubai",IF(AL200="Plan1",VLOOKUP(BB200,Deviation!$B$39:$C$40,2,FALSE),IF(AL200="Plan2",VLOOKUP(BB200,Deviation!$B$42:$C$43,2,FALSE),IF(AL200="Plan5",VLOOKUP(BB200,Deviation!$B$48:$C$49,2,FALSE),VLOOKUP(BB200,Deviation!$B$45:$C$46,2,FALSE)))),IF(AL200="Plan1",VLOOKUP(BB200,Deviation!$E$39:$F$40,2,FALSE),IF(AL200="Plan2",VLOOKUP(BB200,Deviation!$E$42:$F$43,2,FALSE),VLOOKUP(BB200,Deviation!$E$45:$F$46,2,FALSE))))),0)</f>
        <v/>
      </c>
      <c r="BH200" s="671" t="str">
        <f>IFERROR(IF(AL200="","",IF(AN200="Dubai",IF(OR(AL200="Plan1",AL200="Plan2"),VLOOKUP(BC200,Deviation!$B$15:$D$19,2,FALSE),VLOOKUP(BC200,Deviation!$B$15:$D$19,3,FALSE)),IF(OR(AL200="Plan1",AL200="Plan2"),VLOOKUP(BC200,Deviation!$E$15:$AE$19,2,FALSE),VLOOKUP(BC200,Deviation!$E$15:$AE$19,3,FALSE)))),0)</f>
        <v/>
      </c>
      <c r="BI200" s="669" t="str">
        <f>IFERROR(IF(AL200="","",IF(AN200="Dubai",VLOOKUP(BD200,Deviation!$B$24:$C$26,2,FALSE),100%)),0)</f>
        <v/>
      </c>
      <c r="BJ200" s="672">
        <f>IF(AE200="Abu Dhabi",1,IFERROR(VLOOKUP(AM200,Deviation!$B$67:$E$79,MATCH('Census Data'!AA200,Deviation!$B$66:$E$66,0),0),1))</f>
        <v>1</v>
      </c>
      <c r="BK200" s="659">
        <f>IFERROR(VLOOKUP(I200,Deviation!$B$54:$C$62,2,0),1)</f>
        <v>1</v>
      </c>
      <c r="BL200" s="148"/>
      <c r="BM200" s="148"/>
      <c r="BN200" s="148"/>
      <c r="BO200" s="148"/>
      <c r="BP200" s="148"/>
      <c r="BQ200" s="148"/>
      <c r="BR200" s="148"/>
      <c r="BS200" s="148"/>
      <c r="BT200" s="148" t="e">
        <f t="shared" si="119"/>
        <v>#VALUE!</v>
      </c>
      <c r="BU200"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f>
        <v/>
      </c>
    </row>
    <row r="201" spans="1:73" ht="15" x14ac:dyDescent="0.25">
      <c r="A201" s="59">
        <v>196</v>
      </c>
      <c r="B201" s="470"/>
      <c r="C201" s="628"/>
      <c r="D201" s="629"/>
      <c r="E201" s="471"/>
      <c r="F201" s="298"/>
      <c r="G201" s="298"/>
      <c r="H201" s="298"/>
      <c r="I201" s="298"/>
      <c r="J201" s="80" t="str">
        <f>IFERROR(IF(C201="","",DATEDIF('Census Data'!C201,eff_date,"y")),"")</f>
        <v/>
      </c>
      <c r="K201" s="59" t="str">
        <f>IF(F201="","",IF(AE201="Dubai",HLOOKUP(F201,Inputs!$C$26:$M$28,3,0),HLOOKUP(F201,Inputs!$C$45:$M$46,2,0)))</f>
        <v/>
      </c>
      <c r="L201" s="94"/>
      <c r="M201" s="105">
        <f>IF(N201,IF(COUNTIF(N201:AD201,"x")=0,1,IF(OR(O201="x",P201="x",Q201="×",R201="x",S201="x",T201="x",V201="x",U201="x",W201="x",X201="x",Y201="x",Z201="x",AC201="x",AD201="x"),-2,-1)),0)</f>
        <v>0</v>
      </c>
      <c r="N201" s="654" t="b">
        <f>NOT(AND(ISBLANK(C201),ISBLANK(D201),ISBLANK(E201),ISBLANK(F201),ISBLANK(G201)))</f>
        <v>0</v>
      </c>
      <c r="O201" s="655" t="str">
        <f t="shared" ref="O201:S205" si="121">IF(ISBLANK(C201),"x","")</f>
        <v>x</v>
      </c>
      <c r="P201" s="655" t="str">
        <f t="shared" si="121"/>
        <v>x</v>
      </c>
      <c r="Q201" s="655" t="str">
        <f t="shared" si="121"/>
        <v>x</v>
      </c>
      <c r="R201" s="655" t="str">
        <f t="shared" si="100"/>
        <v>x</v>
      </c>
      <c r="S201" s="655" t="str">
        <f t="shared" si="121"/>
        <v>x</v>
      </c>
      <c r="T201" s="655" t="str">
        <f>IF(ISERROR(MATCH(G201,'Inputs Mapping'!$T$4:$T$10,0)),"x","")</f>
        <v>x</v>
      </c>
      <c r="U201" s="655" t="str">
        <f>IF(ISERROR(MATCH(AA201,'Inputs Mapping'!$U$4:$U$5,0)),"x","")</f>
        <v>x</v>
      </c>
      <c r="V201" s="655" t="str">
        <f>IF(ISERROR(MATCH(AB201,'Inputs Mapping'!$V$4:$V$5,0)),"x","")</f>
        <v>x</v>
      </c>
      <c r="W201" s="655" t="str">
        <f>IF(ISERROR(MATCH(F201,'Inputs Mapping'!$W$4:$W$8,0)),"x","")</f>
        <v>x</v>
      </c>
      <c r="X201" s="655" t="str">
        <f>IF(ISBLANK(C201),"",IF(OR(ISERROR(J201),NOT(ISNUMBER(C201))),"x",""))</f>
        <v/>
      </c>
      <c r="Y201" s="655" t="str">
        <f>IF(ISBLANK(C201),"",IF(ISERROR(J201),"",""))</f>
        <v/>
      </c>
      <c r="Z201" s="655" t="str">
        <f>IF(ISBLANK(C201),"",IF(ISERROR(J201),"",IF(AND(eff_date-C201&lt;0,C201&lt;&gt;""),"x","")))</f>
        <v/>
      </c>
      <c r="AA201" s="655" t="str">
        <f t="shared" si="114"/>
        <v/>
      </c>
      <c r="AB201" s="655" t="str">
        <f>IF(E201="","",IF(OR(E201="Married",E201="M"),"M",IF(OR(E201="Single",E201="S"),"S","")))</f>
        <v/>
      </c>
      <c r="AC201" s="655" t="str">
        <f t="shared" si="120"/>
        <v>x</v>
      </c>
      <c r="AD201" s="655" t="str">
        <f>IF(ISBLANK(I201),"x",IF(ISNUMBER(MATCH(I201,'Inputs Mapping'!$AF$5:$AF$199,0)),"","x"))</f>
        <v>x</v>
      </c>
      <c r="AE201" s="655" t="str">
        <f t="shared" si="115"/>
        <v/>
      </c>
      <c r="AF201" s="148"/>
      <c r="AG201" s="148"/>
      <c r="AH201" s="148" t="str">
        <f t="shared" si="116"/>
        <v/>
      </c>
      <c r="AI201" s="654" t="str">
        <f>IF(J201="","",VLOOKUP(J201,'Inputs Mapping'!$T$27:$V$31,3))</f>
        <v/>
      </c>
      <c r="AJ201" s="654" t="str">
        <f>IF(J201="","",VLOOKUP(J201,'Inputs Mapping'!$T$17:$V$24,3))</f>
        <v/>
      </c>
      <c r="AK201" s="654" t="str">
        <f t="shared" si="117"/>
        <v/>
      </c>
      <c r="AL201" s="655" t="str">
        <f>K201</f>
        <v/>
      </c>
      <c r="AM201" s="655" t="str">
        <f>IF(F201="","",IF(AE201="Dubai",HLOOKUP(F201,Inputs!$C$26:$M$36,5,0),HLOOKUP(F201,Inputs!$C$45:$M$49,5,0)))</f>
        <v/>
      </c>
      <c r="AN201" s="655">
        <f t="shared" si="118"/>
        <v>0</v>
      </c>
      <c r="AO201" s="654" t="str">
        <f>IF(AJ201="","",IF(AN201="Dubai",VLOOKUP(AJ201,'Inputs Mapping'!$V$17:$W$24,2,0),VLOOKUP(AI201,'Inputs Mapping'!$V$27:$W$31,2,0)))</f>
        <v/>
      </c>
      <c r="AP201" s="666">
        <f>IFERROR(IF($AN201="","",HLOOKUP($AN201&amp;RIGHT($AL201,1),'input for formula'!$B$16:$I$20,3,0)),0)</f>
        <v>0</v>
      </c>
      <c r="AQ201" s="656">
        <f>IFERROR(IF($AN201="","",HLOOKUP($AN201&amp;$F201,'input for formula'!$B$22:$M$25,2,0)),0)</f>
        <v>0</v>
      </c>
      <c r="AR201" s="666">
        <f>IFERROR(IF($AN201="","",HLOOKUP($AN201&amp;RIGHT($AL201,1),'input for formula'!$B$16:$I$20,4,0)),0)</f>
        <v>0</v>
      </c>
      <c r="AS201" s="656">
        <f>IFERROR(IF($AN201="","",HLOOKUP($AN201&amp;$F201,'input for formula'!$B$22:$M$25,3,0)),0)</f>
        <v>0</v>
      </c>
      <c r="AT201" s="656">
        <f>IFERROR(IF($AN201="","",HLOOKUP($AN201&amp;RIGHT($AL201,1),'input for formula'!$B$16:$I$20,5,0)),0)</f>
        <v>0</v>
      </c>
      <c r="AU201" s="656">
        <f>IFERROR(IF($AN201="","",HLOOKUP($AN201&amp;$F201,'input for formula'!$B$22:$M$25,4,0)),0)</f>
        <v>0</v>
      </c>
      <c r="AV201" s="666">
        <f>IFERROR(IF($AN201="","",IF('Census Data'!$AN201="Abu Dhabi",VLOOKUP('Census Data'!$AM201,'input for formula'!$A$28:$C$41,3,0),VLOOKUP('Census Data'!$AM201,'input for formula'!$A$28:$C$47,2,0))),0)*IFERROR(1+IF(AN201="Dubai",VLOOKUP(F201,'Quotation for Dubai Plans'!$V$6:$X$12,3,FALSE),VLOOKUP(F201,'Quotation for Abu Dhabi Plans'!$W$6:$Y$12,3,FALSE)),0)</f>
        <v>0</v>
      </c>
      <c r="AW201" s="656" t="str">
        <f>AK201</f>
        <v/>
      </c>
      <c r="AX201" s="667" t="str">
        <f>IFERROR(IF(AL201="","",IF(AN201="Dubai",HLOOKUP((AL201&amp;AM201),Deviation!$B$7:$S$8,2,0)*BF201*BH201*BI201*BG201,HLOOKUP((AL201&amp;AM201),Deviation!$B$9:$O$10,2,0)*BF201*BH201*BI201*BG201)),0)</f>
        <v/>
      </c>
      <c r="AY201" s="668"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formula'!$M$3:$O$7,AO201,FALSE)))*AX201+AP201*AQ201+AR201*AS201+AT201*AU201),0)*$AZ$3*BK201*BJ201*IF(AND(Inputs!$C$19&gt;19,Inputs!$C$19&lt;30),(1+$AZ$2),1)*(1+$AZ$1))</f>
        <v/>
      </c>
      <c r="AZ201" s="148" t="str">
        <f>IF(AL201="","",IF(AN201="","",AN201&amp;RIGHT(AL201,1)))</f>
        <v/>
      </c>
      <c r="BA201" s="669" t="str">
        <f>IF(F201="","",IF(AE201="Dubai",HLOOKUP(F201,Inputs!$C$26:$M$37,9,0),HLOOKUP(F201,Inputs!$C$45:$M$56,9,0)))</f>
        <v/>
      </c>
      <c r="BB201" s="670" t="str">
        <f>IF(F201="","",IF(AE201="Dubai",HLOOKUP(F201,Inputs!$C$26:$M$37,10,0),HLOOKUP(F201,Inputs!$C$45:$M$56,10,0)))</f>
        <v/>
      </c>
      <c r="BC201" s="670" t="str">
        <f>IF(F201="","",IF(AE201="Dubai",HLOOKUP(F201,Inputs!$C$26:$M$37,11,0),HLOOKUP(F201,Inputs!$C$45:$M$56,11,0)))</f>
        <v/>
      </c>
      <c r="BD201" s="669" t="str">
        <f>IF(F201="","",IF(AE201="Dubai",HLOOKUP(F201,Inputs!$C$26:$M$37,12,0),HLOOKUP(F201,Inputs!$C$45:$M$56,12,0)))</f>
        <v/>
      </c>
      <c r="BE201" s="654"/>
      <c r="BF201" s="669" t="str">
        <f>IFERROR(IF(AL201="","",IF(AN201="Dubai",IF(OR(AL201="Plan1",AL201="Plan2"),VLOOKUP(BA201,Deviation!$B$31:$D$33,2,FALSE),VLOOKUP(BA201,Deviation!$B$31:$D$33,3,FALSE)),IF(OR(AL201="Plan1",AL201="Plan2"),VLOOKUP(BA201,Deviation!$E$31:$AE$33,2,FALSE),VLOOKUP(BA201,Deviation!$E$31:$AE$33,3,FALSE)))),0)</f>
        <v/>
      </c>
      <c r="BG201" s="671" t="str">
        <f>IFERROR(IF(AL201="","",IF(AN201="Dubai",IF(AL201="Plan1",VLOOKUP(BB201,Deviation!$B$39:$C$40,2,FALSE),IF(AL201="Plan2",VLOOKUP(BB201,Deviation!$B$42:$C$43,2,FALSE),IF(AL201="Plan5",VLOOKUP(BB201,Deviation!$B$48:$C$49,2,FALSE),VLOOKUP(BB201,Deviation!$B$45:$C$46,2,FALSE)))),IF(AL201="Plan1",VLOOKUP(BB201,Deviation!$E$39:$F$40,2,FALSE),IF(AL201="Plan2",VLOOKUP(BB201,Deviation!$E$42:$F$43,2,FALSE),VLOOKUP(BB201,Deviation!$E$45:$F$46,2,FALSE))))),0)</f>
        <v/>
      </c>
      <c r="BH201" s="671" t="str">
        <f>IFERROR(IF(AL201="","",IF(AN201="Dubai",IF(OR(AL201="Plan1",AL201="Plan2"),VLOOKUP(BC201,Deviation!$B$15:$D$19,2,FALSE),VLOOKUP(BC201,Deviation!$B$15:$D$19,3,FALSE)),IF(OR(AL201="Plan1",AL201="Plan2"),VLOOKUP(BC201,Deviation!$E$15:$AE$19,2,FALSE),VLOOKUP(BC201,Deviation!$E$15:$AE$19,3,FALSE)))),0)</f>
        <v/>
      </c>
      <c r="BI201" s="669" t="str">
        <f>IFERROR(IF(AL201="","",IF(AN201="Dubai",VLOOKUP(BD201,Deviation!$B$24:$C$26,2,FALSE),100%)),0)</f>
        <v/>
      </c>
      <c r="BJ201" s="672">
        <f>IF(AE201="Abu Dhabi",1,IFERROR(VLOOKUP(AM201,Deviation!$B$67:$E$79,MATCH('Census Data'!AA201,Deviation!$B$66:$E$66,0),0),1))</f>
        <v>1</v>
      </c>
      <c r="BK201" s="659">
        <f>IFERROR(VLOOKUP(I201,Deviation!$B$54:$C$62,2,0),1)</f>
        <v>1</v>
      </c>
      <c r="BL201" s="148"/>
      <c r="BM201" s="148"/>
      <c r="BN201" s="148"/>
      <c r="BO201" s="148"/>
      <c r="BP201" s="148"/>
      <c r="BQ201" s="148"/>
      <c r="BR201" s="148"/>
      <c r="BS201" s="148"/>
      <c r="BT201" s="148" t="e">
        <f t="shared" si="119"/>
        <v>#VALUE!</v>
      </c>
      <c r="BU201"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f>
        <v/>
      </c>
    </row>
    <row r="202" spans="1:73" ht="15" x14ac:dyDescent="0.25">
      <c r="A202" s="59">
        <v>197</v>
      </c>
      <c r="B202" s="470"/>
      <c r="C202" s="633"/>
      <c r="D202" s="629"/>
      <c r="E202" s="471"/>
      <c r="F202" s="298"/>
      <c r="G202" s="298"/>
      <c r="H202" s="298"/>
      <c r="I202" s="298"/>
      <c r="J202" s="80" t="str">
        <f>IFERROR(IF(C202="","",DATEDIF('Census Data'!C202,eff_date,"y")),"")</f>
        <v/>
      </c>
      <c r="K202" s="59" t="str">
        <f>IF(F202="","",IF(AE202="Dubai",HLOOKUP(F202,Inputs!$C$26:$M$28,3,0),HLOOKUP(F202,Inputs!$C$45:$M$46,2,0)))</f>
        <v/>
      </c>
      <c r="L202" s="94"/>
      <c r="M202" s="105">
        <f>IF(N202,IF(COUNTIF(N202:AD202,"x")=0,1,IF(OR(O202="x",P202="x",Q202="×",R202="x",S202="x",T202="x",V202="x",U202="x",W202="x",X202="x",Y202="x",Z202="x",AC202="x",AD202="x"),-2,-1)),0)</f>
        <v>0</v>
      </c>
      <c r="N202" s="654" t="b">
        <f>NOT(AND(ISBLANK(C202),ISBLANK(D202),ISBLANK(E202),ISBLANK(F202),ISBLANK(G202)))</f>
        <v>0</v>
      </c>
      <c r="O202" s="655" t="str">
        <f t="shared" si="121"/>
        <v>x</v>
      </c>
      <c r="P202" s="655" t="str">
        <f t="shared" si="121"/>
        <v>x</v>
      </c>
      <c r="Q202" s="655" t="str">
        <f t="shared" si="121"/>
        <v>x</v>
      </c>
      <c r="R202" s="655" t="str">
        <f t="shared" si="100"/>
        <v>x</v>
      </c>
      <c r="S202" s="655" t="str">
        <f t="shared" si="121"/>
        <v>x</v>
      </c>
      <c r="T202" s="655" t="str">
        <f>IF(ISERROR(MATCH(G202,'Inputs Mapping'!$T$4:$T$10,0)),"x","")</f>
        <v>x</v>
      </c>
      <c r="U202" s="655" t="str">
        <f>IF(ISERROR(MATCH(AA202,'Inputs Mapping'!$U$4:$U$5,0)),"x","")</f>
        <v>x</v>
      </c>
      <c r="V202" s="655" t="str">
        <f>IF(ISERROR(MATCH(AB202,'Inputs Mapping'!$V$4:$V$5,0)),"x","")</f>
        <v>x</v>
      </c>
      <c r="W202" s="655" t="str">
        <f>IF(ISERROR(MATCH(F202,'Inputs Mapping'!$W$4:$W$8,0)),"x","")</f>
        <v>x</v>
      </c>
      <c r="X202" s="655" t="str">
        <f>IF(ISBLANK(C202),"",IF(OR(ISERROR(J202),NOT(ISNUMBER(C202))),"x",""))</f>
        <v/>
      </c>
      <c r="Y202" s="655" t="str">
        <f>IF(ISBLANK(C202),"",IF(ISERROR(J202),"",""))</f>
        <v/>
      </c>
      <c r="Z202" s="655" t="str">
        <f>IF(ISBLANK(C202),"",IF(ISERROR(J202),"",IF(AND(eff_date-C202&lt;0,C202&lt;&gt;""),"x","")))</f>
        <v/>
      </c>
      <c r="AA202" s="655" t="str">
        <f t="shared" si="114"/>
        <v/>
      </c>
      <c r="AB202" s="655" t="str">
        <f>IF(E202="","",IF(OR(E202="Married",E202="M"),"M",IF(OR(E202="Single",E202="S"),"S","")))</f>
        <v/>
      </c>
      <c r="AC202" s="655" t="str">
        <f t="shared" si="120"/>
        <v>x</v>
      </c>
      <c r="AD202" s="655" t="str">
        <f>IF(ISBLANK(I202),"x",IF(ISNUMBER(MATCH(I202,'Inputs Mapping'!$AF$5:$AF$199,0)),"","x"))</f>
        <v>x</v>
      </c>
      <c r="AE202" s="655" t="str">
        <f t="shared" si="115"/>
        <v/>
      </c>
      <c r="AF202" s="148"/>
      <c r="AG202" s="148"/>
      <c r="AH202" s="148" t="str">
        <f t="shared" si="116"/>
        <v/>
      </c>
      <c r="AI202" s="654" t="str">
        <f>IF(J202="","",VLOOKUP(J202,'Inputs Mapping'!$T$27:$V$31,3))</f>
        <v/>
      </c>
      <c r="AJ202" s="654" t="str">
        <f>IF(J202="","",VLOOKUP(J202,'Inputs Mapping'!$T$17:$V$24,3))</f>
        <v/>
      </c>
      <c r="AK202" s="654" t="str">
        <f t="shared" si="117"/>
        <v/>
      </c>
      <c r="AL202" s="655" t="str">
        <f>K202</f>
        <v/>
      </c>
      <c r="AM202" s="655" t="str">
        <f>IF(F202="","",IF(AE202="Dubai",HLOOKUP(F202,Inputs!$C$26:$M$36,5,0),HLOOKUP(F202,Inputs!$C$45:$M$49,5,0)))</f>
        <v/>
      </c>
      <c r="AN202" s="655">
        <f t="shared" si="118"/>
        <v>0</v>
      </c>
      <c r="AO202" s="654" t="str">
        <f>IF(AJ202="","",IF(AN202="Dubai",VLOOKUP(AJ202,'Inputs Mapping'!$V$17:$W$24,2,0),VLOOKUP(AI202,'Inputs Mapping'!$V$27:$W$31,2,0)))</f>
        <v/>
      </c>
      <c r="AP202" s="666">
        <f>IFERROR(IF($AN202="","",HLOOKUP($AN202&amp;RIGHT($AL202,1),'input for formula'!$B$16:$I$20,3,0)),0)</f>
        <v>0</v>
      </c>
      <c r="AQ202" s="656">
        <f>IFERROR(IF($AN202="","",HLOOKUP($AN202&amp;$F202,'input for formula'!$B$22:$M$25,2,0)),0)</f>
        <v>0</v>
      </c>
      <c r="AR202" s="666">
        <f>IFERROR(IF($AN202="","",HLOOKUP($AN202&amp;RIGHT($AL202,1),'input for formula'!$B$16:$I$20,4,0)),0)</f>
        <v>0</v>
      </c>
      <c r="AS202" s="656">
        <f>IFERROR(IF($AN202="","",HLOOKUP($AN202&amp;$F202,'input for formula'!$B$22:$M$25,3,0)),0)</f>
        <v>0</v>
      </c>
      <c r="AT202" s="656">
        <f>IFERROR(IF($AN202="","",HLOOKUP($AN202&amp;RIGHT($AL202,1),'input for formula'!$B$16:$I$20,5,0)),0)</f>
        <v>0</v>
      </c>
      <c r="AU202" s="656">
        <f>IFERROR(IF($AN202="","",HLOOKUP($AN202&amp;$F202,'input for formula'!$B$22:$M$25,4,0)),0)</f>
        <v>0</v>
      </c>
      <c r="AV202" s="666">
        <f>IFERROR(IF($AN202="","",IF('Census Data'!$AN202="Abu Dhabi",VLOOKUP('Census Data'!$AM202,'input for formula'!$A$28:$C$41,3,0),VLOOKUP('Census Data'!$AM202,'input for formula'!$A$28:$C$47,2,0))),0)*IFERROR(1+IF(AN202="Dubai",VLOOKUP(F202,'Quotation for Dubai Plans'!$V$6:$X$12,3,FALSE),VLOOKUP(F202,'Quotation for Abu Dhabi Plans'!$W$6:$Y$12,3,FALSE)),0)</f>
        <v>0</v>
      </c>
      <c r="AW202" s="656" t="str">
        <f>AK202</f>
        <v/>
      </c>
      <c r="AX202" s="667" t="str">
        <f>IFERROR(IF(AL202="","",IF(AN202="Dubai",HLOOKUP((AL202&amp;AM202),Deviation!$B$7:$S$8,2,0)*BF202*BH202*BI202*BG202,HLOOKUP((AL202&amp;AM202),Deviation!$B$9:$O$10,2,0)*BF202*BH202*BI202*BG202)),0)</f>
        <v/>
      </c>
      <c r="AY202" s="668"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formula'!$M$3:$O$7,AO202,FALSE)))*AX202+AP202*AQ202+AR202*AS202+AT202*AU202),0)*$AZ$3*BK202*BJ202*IF(AND(Inputs!$C$19&gt;19,Inputs!$C$19&lt;30),(1+$AZ$2),1)*(1+$AZ$1))</f>
        <v/>
      </c>
      <c r="AZ202" s="148" t="str">
        <f>IF(AL202="","",IF(AN202="","",AN202&amp;RIGHT(AL202,1)))</f>
        <v/>
      </c>
      <c r="BA202" s="669" t="str">
        <f>IF(F202="","",IF(AE202="Dubai",HLOOKUP(F202,Inputs!$C$26:$M$37,9,0),HLOOKUP(F202,Inputs!$C$45:$M$56,9,0)))</f>
        <v/>
      </c>
      <c r="BB202" s="670" t="str">
        <f>IF(F202="","",IF(AE202="Dubai",HLOOKUP(F202,Inputs!$C$26:$M$37,10,0),HLOOKUP(F202,Inputs!$C$45:$M$56,10,0)))</f>
        <v/>
      </c>
      <c r="BC202" s="670" t="str">
        <f>IF(F202="","",IF(AE202="Dubai",HLOOKUP(F202,Inputs!$C$26:$M$37,11,0),HLOOKUP(F202,Inputs!$C$45:$M$56,11,0)))</f>
        <v/>
      </c>
      <c r="BD202" s="669" t="str">
        <f>IF(F202="","",IF(AE202="Dubai",HLOOKUP(F202,Inputs!$C$26:$M$37,12,0),HLOOKUP(F202,Inputs!$C$45:$M$56,12,0)))</f>
        <v/>
      </c>
      <c r="BE202" s="654"/>
      <c r="BF202" s="669" t="str">
        <f>IFERROR(IF(AL202="","",IF(AN202="Dubai",IF(OR(AL202="Plan1",AL202="Plan2"),VLOOKUP(BA202,Deviation!$B$31:$D$33,2,FALSE),VLOOKUP(BA202,Deviation!$B$31:$D$33,3,FALSE)),IF(OR(AL202="Plan1",AL202="Plan2"),VLOOKUP(BA202,Deviation!$E$31:$AE$33,2,FALSE),VLOOKUP(BA202,Deviation!$E$31:$AE$33,3,FALSE)))),0)</f>
        <v/>
      </c>
      <c r="BG202" s="671" t="str">
        <f>IFERROR(IF(AL202="","",IF(AN202="Dubai",IF(AL202="Plan1",VLOOKUP(BB202,Deviation!$B$39:$C$40,2,FALSE),IF(AL202="Plan2",VLOOKUP(BB202,Deviation!$B$42:$C$43,2,FALSE),IF(AL202="Plan5",VLOOKUP(BB202,Deviation!$B$48:$C$49,2,FALSE),VLOOKUP(BB202,Deviation!$B$45:$C$46,2,FALSE)))),IF(AL202="Plan1",VLOOKUP(BB202,Deviation!$E$39:$F$40,2,FALSE),IF(AL202="Plan2",VLOOKUP(BB202,Deviation!$E$42:$F$43,2,FALSE),VLOOKUP(BB202,Deviation!$E$45:$F$46,2,FALSE))))),0)</f>
        <v/>
      </c>
      <c r="BH202" s="671" t="str">
        <f>IFERROR(IF(AL202="","",IF(AN202="Dubai",IF(OR(AL202="Plan1",AL202="Plan2"),VLOOKUP(BC202,Deviation!$B$15:$D$19,2,FALSE),VLOOKUP(BC202,Deviation!$B$15:$D$19,3,FALSE)),IF(OR(AL202="Plan1",AL202="Plan2"),VLOOKUP(BC202,Deviation!$E$15:$AE$19,2,FALSE),VLOOKUP(BC202,Deviation!$E$15:$AE$19,3,FALSE)))),0)</f>
        <v/>
      </c>
      <c r="BI202" s="669" t="str">
        <f>IFERROR(IF(AL202="","",IF(AN202="Dubai",VLOOKUP(BD202,Deviation!$B$24:$C$26,2,FALSE),100%)),0)</f>
        <v/>
      </c>
      <c r="BJ202" s="672">
        <f>IF(AE202="Abu Dhabi",1,IFERROR(VLOOKUP(AM202,Deviation!$B$67:$E$79,MATCH('Census Data'!AA202,Deviation!$B$66:$E$66,0),0),1))</f>
        <v>1</v>
      </c>
      <c r="BK202" s="659">
        <f>IFERROR(VLOOKUP(I202,Deviation!$B$54:$C$62,2,0),1)</f>
        <v>1</v>
      </c>
      <c r="BL202" s="148"/>
      <c r="BM202" s="148"/>
      <c r="BN202" s="148"/>
      <c r="BO202" s="148"/>
      <c r="BP202" s="148"/>
      <c r="BQ202" s="148"/>
      <c r="BR202" s="148"/>
      <c r="BS202" s="148"/>
      <c r="BT202" s="148" t="e">
        <f t="shared" si="119"/>
        <v>#VALUE!</v>
      </c>
      <c r="BU202"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f>
        <v/>
      </c>
    </row>
    <row r="203" spans="1:73" ht="15" x14ac:dyDescent="0.25">
      <c r="A203" s="59">
        <v>198</v>
      </c>
      <c r="B203" s="470"/>
      <c r="C203" s="633"/>
      <c r="D203" s="629"/>
      <c r="E203" s="471"/>
      <c r="F203" s="298"/>
      <c r="G203" s="298"/>
      <c r="H203" s="298"/>
      <c r="I203" s="298"/>
      <c r="J203" s="80" t="str">
        <f>IFERROR(IF(C203="","",DATEDIF('Census Data'!C203,eff_date,"y")),"")</f>
        <v/>
      </c>
      <c r="K203" s="59" t="str">
        <f>IF(F203="","",IF(AE203="Dubai",HLOOKUP(F203,Inputs!$C$26:$M$28,3,0),HLOOKUP(F203,Inputs!$C$45:$M$46,2,0)))</f>
        <v/>
      </c>
      <c r="L203" s="94"/>
      <c r="M203" s="105">
        <f>IF(N203,IF(COUNTIF(N203:AD203,"x")=0,1,IF(OR(O203="x",P203="x",Q203="×",R203="x",S203="x",T203="x",V203="x",U203="x",W203="x",X203="x",Y203="x",Z203="x",AC203="x",AD203="x"),-2,-1)),0)</f>
        <v>0</v>
      </c>
      <c r="N203" s="654" t="b">
        <f>NOT(AND(ISBLANK(C203),ISBLANK(D203),ISBLANK(E203),ISBLANK(F203),ISBLANK(G203)))</f>
        <v>0</v>
      </c>
      <c r="O203" s="655" t="str">
        <f t="shared" si="121"/>
        <v>x</v>
      </c>
      <c r="P203" s="655" t="str">
        <f t="shared" si="121"/>
        <v>x</v>
      </c>
      <c r="Q203" s="655" t="str">
        <f t="shared" si="121"/>
        <v>x</v>
      </c>
      <c r="R203" s="655" t="str">
        <f t="shared" si="100"/>
        <v>x</v>
      </c>
      <c r="S203" s="655" t="str">
        <f t="shared" si="121"/>
        <v>x</v>
      </c>
      <c r="T203" s="655" t="str">
        <f>IF(ISERROR(MATCH(G203,'Inputs Mapping'!$T$4:$T$10,0)),"x","")</f>
        <v>x</v>
      </c>
      <c r="U203" s="655" t="str">
        <f>IF(ISERROR(MATCH(AA203,'Inputs Mapping'!$U$4:$U$5,0)),"x","")</f>
        <v>x</v>
      </c>
      <c r="V203" s="655" t="str">
        <f>IF(ISERROR(MATCH(AB203,'Inputs Mapping'!$V$4:$V$5,0)),"x","")</f>
        <v>x</v>
      </c>
      <c r="W203" s="655" t="str">
        <f>IF(ISERROR(MATCH(F203,'Inputs Mapping'!$W$4:$W$8,0)),"x","")</f>
        <v>x</v>
      </c>
      <c r="X203" s="655" t="str">
        <f>IF(ISBLANK(C203),"",IF(OR(ISERROR(J203),NOT(ISNUMBER(C203))),"x",""))</f>
        <v/>
      </c>
      <c r="Y203" s="655" t="str">
        <f>IF(ISBLANK(C203),"",IF(ISERROR(J203),"",""))</f>
        <v/>
      </c>
      <c r="Z203" s="655" t="str">
        <f>IF(ISBLANK(C203),"",IF(ISERROR(J203),"",IF(AND(eff_date-C203&lt;0,C203&lt;&gt;""),"x","")))</f>
        <v/>
      </c>
      <c r="AA203" s="655" t="str">
        <f t="shared" si="114"/>
        <v/>
      </c>
      <c r="AB203" s="655" t="str">
        <f>IF(E203="","",IF(OR(E203="Married",E203="M"),"M",IF(OR(E203="Single",E203="S"),"S","")))</f>
        <v/>
      </c>
      <c r="AC203" s="655" t="str">
        <f t="shared" si="120"/>
        <v>x</v>
      </c>
      <c r="AD203" s="655" t="str">
        <f>IF(ISBLANK(I203),"x",IF(ISNUMBER(MATCH(I203,'Inputs Mapping'!$AF$5:$AF$199,0)),"","x"))</f>
        <v>x</v>
      </c>
      <c r="AE203" s="655" t="str">
        <f t="shared" si="115"/>
        <v/>
      </c>
      <c r="AF203" s="148"/>
      <c r="AG203" s="148"/>
      <c r="AH203" s="148" t="str">
        <f t="shared" si="116"/>
        <v/>
      </c>
      <c r="AI203" s="654" t="str">
        <f>IF(J203="","",VLOOKUP(J203,'Inputs Mapping'!$T$27:$V$31,3))</f>
        <v/>
      </c>
      <c r="AJ203" s="654" t="str">
        <f>IF(J203="","",VLOOKUP(J203,'Inputs Mapping'!$T$17:$V$24,3))</f>
        <v/>
      </c>
      <c r="AK203" s="654" t="str">
        <f t="shared" si="117"/>
        <v/>
      </c>
      <c r="AL203" s="655" t="str">
        <f>K203</f>
        <v/>
      </c>
      <c r="AM203" s="655" t="str">
        <f>IF(F203="","",IF(AE203="Dubai",HLOOKUP(F203,Inputs!$C$26:$M$36,5,0),HLOOKUP(F203,Inputs!$C$45:$M$49,5,0)))</f>
        <v/>
      </c>
      <c r="AN203" s="655">
        <f t="shared" si="118"/>
        <v>0</v>
      </c>
      <c r="AO203" s="654" t="str">
        <f>IF(AJ203="","",IF(AN203="Dubai",VLOOKUP(AJ203,'Inputs Mapping'!$V$17:$W$24,2,0),VLOOKUP(AI203,'Inputs Mapping'!$V$27:$W$31,2,0)))</f>
        <v/>
      </c>
      <c r="AP203" s="666">
        <f>IFERROR(IF($AN203="","",HLOOKUP($AN203&amp;RIGHT($AL203,1),'input for formula'!$B$16:$I$20,3,0)),0)</f>
        <v>0</v>
      </c>
      <c r="AQ203" s="656">
        <f>IFERROR(IF($AN203="","",HLOOKUP($AN203&amp;$F203,'input for formula'!$B$22:$M$25,2,0)),0)</f>
        <v>0</v>
      </c>
      <c r="AR203" s="666">
        <f>IFERROR(IF($AN203="","",HLOOKUP($AN203&amp;RIGHT($AL203,1),'input for formula'!$B$16:$I$20,4,0)),0)</f>
        <v>0</v>
      </c>
      <c r="AS203" s="656">
        <f>IFERROR(IF($AN203="","",HLOOKUP($AN203&amp;$F203,'input for formula'!$B$22:$M$25,3,0)),0)</f>
        <v>0</v>
      </c>
      <c r="AT203" s="656">
        <f>IFERROR(IF($AN203="","",HLOOKUP($AN203&amp;RIGHT($AL203,1),'input for formula'!$B$16:$I$20,5,0)),0)</f>
        <v>0</v>
      </c>
      <c r="AU203" s="656">
        <f>IFERROR(IF($AN203="","",HLOOKUP($AN203&amp;$F203,'input for formula'!$B$22:$M$25,4,0)),0)</f>
        <v>0</v>
      </c>
      <c r="AV203" s="666">
        <f>IFERROR(IF($AN203="","",IF('Census Data'!$AN203="Abu Dhabi",VLOOKUP('Census Data'!$AM203,'input for formula'!$A$28:$C$41,3,0),VLOOKUP('Census Data'!$AM203,'input for formula'!$A$28:$C$47,2,0))),0)*IFERROR(1+IF(AN203="Dubai",VLOOKUP(F203,'Quotation for Dubai Plans'!$V$6:$X$12,3,FALSE),VLOOKUP(F203,'Quotation for Abu Dhabi Plans'!$W$6:$Y$12,3,FALSE)),0)</f>
        <v>0</v>
      </c>
      <c r="AW203" s="656" t="str">
        <f>AK203</f>
        <v/>
      </c>
      <c r="AX203" s="667" t="str">
        <f>IFERROR(IF(AL203="","",IF(AN203="Dubai",HLOOKUP((AL203&amp;AM203),Deviation!$B$7:$S$8,2,0)*BF203*BH203*BI203*BG203,HLOOKUP((AL203&amp;AM203),Deviation!$B$9:$O$10,2,0)*BF203*BH203*BI203*BG203)),0)</f>
        <v/>
      </c>
      <c r="AY203" s="668"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formula'!$M$3:$O$7,AO203,FALSE)))*AX203+AP203*AQ203+AR203*AS203+AT203*AU203),0)*$AZ$3*BK203*BJ203*IF(AND(Inputs!$C$19&gt;19,Inputs!$C$19&lt;30),(1+$AZ$2),1)*(1+$AZ$1))</f>
        <v/>
      </c>
      <c r="AZ203" s="148" t="str">
        <f>IF(AL203="","",IF(AN203="","",AN203&amp;RIGHT(AL203,1)))</f>
        <v/>
      </c>
      <c r="BA203" s="669" t="str">
        <f>IF(F203="","",IF(AE203="Dubai",HLOOKUP(F203,Inputs!$C$26:$M$37,9,0),HLOOKUP(F203,Inputs!$C$45:$M$56,9,0)))</f>
        <v/>
      </c>
      <c r="BB203" s="670" t="str">
        <f>IF(F203="","",IF(AE203="Dubai",HLOOKUP(F203,Inputs!$C$26:$M$37,10,0),HLOOKUP(F203,Inputs!$C$45:$M$56,10,0)))</f>
        <v/>
      </c>
      <c r="BC203" s="670" t="str">
        <f>IF(F203="","",IF(AE203="Dubai",HLOOKUP(F203,Inputs!$C$26:$M$37,11,0),HLOOKUP(F203,Inputs!$C$45:$M$56,11,0)))</f>
        <v/>
      </c>
      <c r="BD203" s="669" t="str">
        <f>IF(F203="","",IF(AE203="Dubai",HLOOKUP(F203,Inputs!$C$26:$M$37,12,0),HLOOKUP(F203,Inputs!$C$45:$M$56,12,0)))</f>
        <v/>
      </c>
      <c r="BE203" s="654"/>
      <c r="BF203" s="669" t="str">
        <f>IFERROR(IF(AL203="","",IF(AN203="Dubai",IF(OR(AL203="Plan1",AL203="Plan2"),VLOOKUP(BA203,Deviation!$B$31:$D$33,2,FALSE),VLOOKUP(BA203,Deviation!$B$31:$D$33,3,FALSE)),IF(OR(AL203="Plan1",AL203="Plan2"),VLOOKUP(BA203,Deviation!$E$31:$AE$33,2,FALSE),VLOOKUP(BA203,Deviation!$E$31:$AE$33,3,FALSE)))),0)</f>
        <v/>
      </c>
      <c r="BG203" s="671" t="str">
        <f>IFERROR(IF(AL203="","",IF(AN203="Dubai",IF(AL203="Plan1",VLOOKUP(BB203,Deviation!$B$39:$C$40,2,FALSE),IF(AL203="Plan2",VLOOKUP(BB203,Deviation!$B$42:$C$43,2,FALSE),IF(AL203="Plan5",VLOOKUP(BB203,Deviation!$B$48:$C$49,2,FALSE),VLOOKUP(BB203,Deviation!$B$45:$C$46,2,FALSE)))),IF(AL203="Plan1",VLOOKUP(BB203,Deviation!$E$39:$F$40,2,FALSE),IF(AL203="Plan2",VLOOKUP(BB203,Deviation!$E$42:$F$43,2,FALSE),VLOOKUP(BB203,Deviation!$E$45:$F$46,2,FALSE))))),0)</f>
        <v/>
      </c>
      <c r="BH203" s="671" t="str">
        <f>IFERROR(IF(AL203="","",IF(AN203="Dubai",IF(OR(AL203="Plan1",AL203="Plan2"),VLOOKUP(BC203,Deviation!$B$15:$D$19,2,FALSE),VLOOKUP(BC203,Deviation!$B$15:$D$19,3,FALSE)),IF(OR(AL203="Plan1",AL203="Plan2"),VLOOKUP(BC203,Deviation!$E$15:$AE$19,2,FALSE),VLOOKUP(BC203,Deviation!$E$15:$AE$19,3,FALSE)))),0)</f>
        <v/>
      </c>
      <c r="BI203" s="669" t="str">
        <f>IFERROR(IF(AL203="","",IF(AN203="Dubai",VLOOKUP(BD203,Deviation!$B$24:$C$26,2,FALSE),100%)),0)</f>
        <v/>
      </c>
      <c r="BJ203" s="672">
        <f>IF(AE203="Abu Dhabi",1,IFERROR(VLOOKUP(AM203,Deviation!$B$67:$E$79,MATCH('Census Data'!AA203,Deviation!$B$66:$E$66,0),0),1))</f>
        <v>1</v>
      </c>
      <c r="BK203" s="659">
        <f>IFERROR(VLOOKUP(I203,Deviation!$B$54:$C$62,2,0),1)</f>
        <v>1</v>
      </c>
      <c r="BL203" s="148"/>
      <c r="BM203" s="148"/>
      <c r="BN203" s="148"/>
      <c r="BO203" s="148"/>
      <c r="BP203" s="148"/>
      <c r="BQ203" s="148"/>
      <c r="BR203" s="148"/>
      <c r="BS203" s="148"/>
      <c r="BT203" s="148" t="e">
        <f t="shared" si="119"/>
        <v>#VALUE!</v>
      </c>
      <c r="BU203"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f>
        <v/>
      </c>
    </row>
    <row r="204" spans="1:73" ht="15" x14ac:dyDescent="0.25">
      <c r="A204" s="59">
        <v>199</v>
      </c>
      <c r="B204" s="470"/>
      <c r="C204" s="633"/>
      <c r="D204" s="629"/>
      <c r="E204" s="471"/>
      <c r="F204" s="298"/>
      <c r="G204" s="298"/>
      <c r="H204" s="298"/>
      <c r="I204" s="298"/>
      <c r="J204" s="80" t="str">
        <f>IFERROR(IF(C204="","",DATEDIF('Census Data'!C204,eff_date,"y")),"")</f>
        <v/>
      </c>
      <c r="K204" s="59" t="str">
        <f>IF(F204="","",IF(AE204="Dubai",HLOOKUP(F204,Inputs!$C$26:$M$28,3,0),HLOOKUP(F204,Inputs!$C$45:$M$46,2,0)))</f>
        <v/>
      </c>
      <c r="L204" s="94"/>
      <c r="M204" s="105">
        <f>IF(N204,IF(COUNTIF(N204:AD204,"x")=0,1,IF(OR(O204="x",P204="x",Q204="×",R204="x",S204="x",T204="x",V204="x",U204="x",W204="x",X204="x",Y204="x",Z204="x",AC204="x",AD204="x"),-2,-1)),0)</f>
        <v>0</v>
      </c>
      <c r="N204" s="654" t="b">
        <f>NOT(AND(ISBLANK(C204),ISBLANK(D204),ISBLANK(E204),ISBLANK(F204),ISBLANK(G204)))</f>
        <v>0</v>
      </c>
      <c r="O204" s="655" t="str">
        <f t="shared" si="121"/>
        <v>x</v>
      </c>
      <c r="P204" s="655" t="str">
        <f t="shared" si="121"/>
        <v>x</v>
      </c>
      <c r="Q204" s="655" t="str">
        <f t="shared" si="121"/>
        <v>x</v>
      </c>
      <c r="R204" s="655" t="str">
        <f t="shared" si="100"/>
        <v>x</v>
      </c>
      <c r="S204" s="655" t="str">
        <f t="shared" si="121"/>
        <v>x</v>
      </c>
      <c r="T204" s="655" t="str">
        <f>IF(ISERROR(MATCH(G204,'Inputs Mapping'!$T$4:$T$10,0)),"x","")</f>
        <v>x</v>
      </c>
      <c r="U204" s="655" t="str">
        <f>IF(ISERROR(MATCH(AA204,'Inputs Mapping'!$U$4:$U$5,0)),"x","")</f>
        <v>x</v>
      </c>
      <c r="V204" s="655" t="str">
        <f>IF(ISERROR(MATCH(AB204,'Inputs Mapping'!$V$4:$V$5,0)),"x","")</f>
        <v>x</v>
      </c>
      <c r="W204" s="655" t="str">
        <f>IF(ISERROR(MATCH(F204,'Inputs Mapping'!$W$4:$W$8,0)),"x","")</f>
        <v>x</v>
      </c>
      <c r="X204" s="655" t="str">
        <f>IF(ISBLANK(C204),"",IF(OR(ISERROR(J204),NOT(ISNUMBER(C204))),"x",""))</f>
        <v/>
      </c>
      <c r="Y204" s="655" t="str">
        <f>IF(ISBLANK(C204),"",IF(ISERROR(J204),"",""))</f>
        <v/>
      </c>
      <c r="Z204" s="655" t="str">
        <f>IF(ISBLANK(C204),"",IF(ISERROR(J204),"",IF(AND(eff_date-C204&lt;0,C204&lt;&gt;""),"x","")))</f>
        <v/>
      </c>
      <c r="AA204" s="655" t="str">
        <f t="shared" si="114"/>
        <v/>
      </c>
      <c r="AB204" s="655" t="str">
        <f>IF(E204="","",IF(OR(E204="Married",E204="M"),"M",IF(OR(E204="Single",E204="S"),"S","")))</f>
        <v/>
      </c>
      <c r="AC204" s="655" t="str">
        <f t="shared" si="120"/>
        <v>x</v>
      </c>
      <c r="AD204" s="655" t="str">
        <f>IF(ISBLANK(I204),"x",IF(ISNUMBER(MATCH(I204,'Inputs Mapping'!$AF$5:$AF$199,0)),"","x"))</f>
        <v>x</v>
      </c>
      <c r="AE204" s="655" t="str">
        <f t="shared" si="115"/>
        <v/>
      </c>
      <c r="AF204" s="148"/>
      <c r="AG204" s="148"/>
      <c r="AH204" s="148" t="str">
        <f t="shared" si="116"/>
        <v/>
      </c>
      <c r="AI204" s="654" t="str">
        <f>IF(J204="","",VLOOKUP(J204,'Inputs Mapping'!$T$27:$V$31,3))</f>
        <v/>
      </c>
      <c r="AJ204" s="654" t="str">
        <f>IF(J204="","",VLOOKUP(J204,'Inputs Mapping'!$T$17:$V$24,3))</f>
        <v/>
      </c>
      <c r="AK204" s="654" t="str">
        <f t="shared" si="117"/>
        <v/>
      </c>
      <c r="AL204" s="655" t="str">
        <f>K204</f>
        <v/>
      </c>
      <c r="AM204" s="655" t="str">
        <f>IF(F204="","",IF(AE204="Dubai",HLOOKUP(F204,Inputs!$C$26:$M$36,5,0),HLOOKUP(F204,Inputs!$C$45:$M$49,5,0)))</f>
        <v/>
      </c>
      <c r="AN204" s="655">
        <f t="shared" si="118"/>
        <v>0</v>
      </c>
      <c r="AO204" s="654" t="str">
        <f>IF(AJ204="","",IF(AN204="Dubai",VLOOKUP(AJ204,'Inputs Mapping'!$V$17:$W$24,2,0),VLOOKUP(AI204,'Inputs Mapping'!$V$27:$W$31,2,0)))</f>
        <v/>
      </c>
      <c r="AP204" s="666">
        <f>IFERROR(IF($AN204="","",HLOOKUP($AN204&amp;RIGHT($AL204,1),'input for formula'!$B$16:$I$20,3,0)),0)</f>
        <v>0</v>
      </c>
      <c r="AQ204" s="656">
        <f>IFERROR(IF($AN204="","",HLOOKUP($AN204&amp;$F204,'input for formula'!$B$22:$M$25,2,0)),0)</f>
        <v>0</v>
      </c>
      <c r="AR204" s="666">
        <f>IFERROR(IF($AN204="","",HLOOKUP($AN204&amp;RIGHT($AL204,1),'input for formula'!$B$16:$I$20,4,0)),0)</f>
        <v>0</v>
      </c>
      <c r="AS204" s="656">
        <f>IFERROR(IF($AN204="","",HLOOKUP($AN204&amp;$F204,'input for formula'!$B$22:$M$25,3,0)),0)</f>
        <v>0</v>
      </c>
      <c r="AT204" s="656">
        <f>IFERROR(IF($AN204="","",HLOOKUP($AN204&amp;RIGHT($AL204,1),'input for formula'!$B$16:$I$20,5,0)),0)</f>
        <v>0</v>
      </c>
      <c r="AU204" s="656">
        <f>IFERROR(IF($AN204="","",HLOOKUP($AN204&amp;$F204,'input for formula'!$B$22:$M$25,4,0)),0)</f>
        <v>0</v>
      </c>
      <c r="AV204" s="666">
        <f>IFERROR(IF($AN204="","",IF('Census Data'!$AN204="Abu Dhabi",VLOOKUP('Census Data'!$AM204,'input for formula'!$A$28:$C$41,3,0),VLOOKUP('Census Data'!$AM204,'input for formula'!$A$28:$C$47,2,0))),0)*IFERROR(1+IF(AN204="Dubai",VLOOKUP(F204,'Quotation for Dubai Plans'!$V$6:$X$12,3,FALSE),VLOOKUP(F204,'Quotation for Abu Dhabi Plans'!$W$6:$Y$12,3,FALSE)),0)</f>
        <v>0</v>
      </c>
      <c r="AW204" s="656" t="str">
        <f>AK204</f>
        <v/>
      </c>
      <c r="AX204" s="667" t="str">
        <f>IFERROR(IF(AL204="","",IF(AN204="Dubai",HLOOKUP((AL204&amp;AM204),Deviation!$B$7:$S$8,2,0)*BF204*BH204*BI204*BG204,HLOOKUP((AL204&amp;AM204),Deviation!$B$9:$O$10,2,0)*BF204*BH204*BI204*BG204)),0)</f>
        <v/>
      </c>
      <c r="AY204" s="668"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formula'!$M$3:$O$7,AO204,FALSE)))*AX204+AP204*AQ204+AR204*AS204+AT204*AU204),0)*$AZ$3*BK204*BJ204*IF(AND(Inputs!$C$19&gt;19,Inputs!$C$19&lt;30),(1+$AZ$2),1)*(1+$AZ$1))</f>
        <v/>
      </c>
      <c r="AZ204" s="148" t="str">
        <f>IF(AL204="","",IF(AN204="","",AN204&amp;RIGHT(AL204,1)))</f>
        <v/>
      </c>
      <c r="BA204" s="669" t="str">
        <f>IF(F204="","",IF(AE204="Dubai",HLOOKUP(F204,Inputs!$C$26:$M$37,9,0),HLOOKUP(F204,Inputs!$C$45:$M$56,9,0)))</f>
        <v/>
      </c>
      <c r="BB204" s="670" t="str">
        <f>IF(F204="","",IF(AE204="Dubai",HLOOKUP(F204,Inputs!$C$26:$M$37,10,0),HLOOKUP(F204,Inputs!$C$45:$M$56,10,0)))</f>
        <v/>
      </c>
      <c r="BC204" s="670" t="str">
        <f>IF(F204="","",IF(AE204="Dubai",HLOOKUP(F204,Inputs!$C$26:$M$37,11,0),HLOOKUP(F204,Inputs!$C$45:$M$56,11,0)))</f>
        <v/>
      </c>
      <c r="BD204" s="669" t="str">
        <f>IF(F204="","",IF(AE204="Dubai",HLOOKUP(F204,Inputs!$C$26:$M$37,12,0),HLOOKUP(F204,Inputs!$C$45:$M$56,12,0)))</f>
        <v/>
      </c>
      <c r="BE204" s="654"/>
      <c r="BF204" s="669" t="str">
        <f>IFERROR(IF(AL204="","",IF(AN204="Dubai",IF(OR(AL204="Plan1",AL204="Plan2"),VLOOKUP(BA204,Deviation!$B$31:$D$33,2,FALSE),VLOOKUP(BA204,Deviation!$B$31:$D$33,3,FALSE)),IF(OR(AL204="Plan1",AL204="Plan2"),VLOOKUP(BA204,Deviation!$E$31:$AE$33,2,FALSE),VLOOKUP(BA204,Deviation!$E$31:$AE$33,3,FALSE)))),0)</f>
        <v/>
      </c>
      <c r="BG204" s="671" t="str">
        <f>IFERROR(IF(AL204="","",IF(AN204="Dubai",IF(AL204="Plan1",VLOOKUP(BB204,Deviation!$B$39:$C$40,2,FALSE),IF(AL204="Plan2",VLOOKUP(BB204,Deviation!$B$42:$C$43,2,FALSE),IF(AL204="Plan5",VLOOKUP(BB204,Deviation!$B$48:$C$49,2,FALSE),VLOOKUP(BB204,Deviation!$B$45:$C$46,2,FALSE)))),IF(AL204="Plan1",VLOOKUP(BB204,Deviation!$E$39:$F$40,2,FALSE),IF(AL204="Plan2",VLOOKUP(BB204,Deviation!$E$42:$F$43,2,FALSE),VLOOKUP(BB204,Deviation!$E$45:$F$46,2,FALSE))))),0)</f>
        <v/>
      </c>
      <c r="BH204" s="671" t="str">
        <f>IFERROR(IF(AL204="","",IF(AN204="Dubai",IF(OR(AL204="Plan1",AL204="Plan2"),VLOOKUP(BC204,Deviation!$B$15:$D$19,2,FALSE),VLOOKUP(BC204,Deviation!$B$15:$D$19,3,FALSE)),IF(OR(AL204="Plan1",AL204="Plan2"),VLOOKUP(BC204,Deviation!$E$15:$AE$19,2,FALSE),VLOOKUP(BC204,Deviation!$E$15:$AE$19,3,FALSE)))),0)</f>
        <v/>
      </c>
      <c r="BI204" s="669" t="str">
        <f>IFERROR(IF(AL204="","",IF(AN204="Dubai",VLOOKUP(BD204,Deviation!$B$24:$C$26,2,FALSE),100%)),0)</f>
        <v/>
      </c>
      <c r="BJ204" s="672">
        <f>IF(AE204="Abu Dhabi",1,IFERROR(VLOOKUP(AM204,Deviation!$B$67:$E$79,MATCH('Census Data'!AA204,Deviation!$B$66:$E$66,0),0),1))</f>
        <v>1</v>
      </c>
      <c r="BK204" s="659">
        <f>IFERROR(VLOOKUP(I204,Deviation!$B$54:$C$62,2,0),1)</f>
        <v>1</v>
      </c>
      <c r="BL204" s="148"/>
      <c r="BM204" s="148"/>
      <c r="BN204" s="148"/>
      <c r="BO204" s="148"/>
      <c r="BP204" s="148"/>
      <c r="BQ204" s="148"/>
      <c r="BR204" s="148"/>
      <c r="BS204" s="148"/>
      <c r="BT204" s="148" t="e">
        <f t="shared" si="119"/>
        <v>#VALUE!</v>
      </c>
      <c r="BU204"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f>
        <v/>
      </c>
    </row>
    <row r="205" spans="1:73" ht="15" x14ac:dyDescent="0.25">
      <c r="A205" s="59">
        <v>200</v>
      </c>
      <c r="B205" s="470"/>
      <c r="C205" s="633"/>
      <c r="D205" s="629"/>
      <c r="E205" s="471"/>
      <c r="F205" s="298"/>
      <c r="G205" s="298"/>
      <c r="H205" s="298"/>
      <c r="I205" s="298"/>
      <c r="J205" s="80" t="str">
        <f>IFERROR(IF(C205="","",DATEDIF('Census Data'!C205,eff_date,"y")),"")</f>
        <v/>
      </c>
      <c r="K205" s="59" t="str">
        <f>IF(F205="","",IF(AE205="Dubai",HLOOKUP(F205,Inputs!$C$26:$M$28,3,0),HLOOKUP(F205,Inputs!$C$45:$M$46,2,0)))</f>
        <v/>
      </c>
      <c r="L205" s="94"/>
      <c r="M205" s="105">
        <f t="shared" si="68"/>
        <v>0</v>
      </c>
      <c r="N205" s="654" t="b">
        <f>NOT(AND(ISBLANK(C205),ISBLANK(D205),ISBLANK(E205),ISBLANK(F205),ISBLANK(G205)))</f>
        <v>0</v>
      </c>
      <c r="O205" s="655" t="str">
        <f t="shared" si="121"/>
        <v>x</v>
      </c>
      <c r="P205" s="655" t="str">
        <f t="shared" si="121"/>
        <v>x</v>
      </c>
      <c r="Q205" s="655" t="str">
        <f t="shared" si="121"/>
        <v>x</v>
      </c>
      <c r="R205" s="655" t="str">
        <f t="shared" si="100"/>
        <v>x</v>
      </c>
      <c r="S205" s="655" t="str">
        <f t="shared" si="121"/>
        <v>x</v>
      </c>
      <c r="T205" s="655" t="str">
        <f>IF(ISERROR(MATCH(G205,'Inputs Mapping'!$T$4:$T$10,0)),"x","")</f>
        <v>x</v>
      </c>
      <c r="U205" s="655" t="str">
        <f>IF(ISERROR(MATCH(AA205,'Inputs Mapping'!$U$4:$U$5,0)),"x","")</f>
        <v>x</v>
      </c>
      <c r="V205" s="655" t="str">
        <f>IF(ISERROR(MATCH(AB205,'Inputs Mapping'!$V$4:$V$5,0)),"x","")</f>
        <v>x</v>
      </c>
      <c r="W205" s="655" t="str">
        <f>IF(ISERROR(MATCH(F205,'Inputs Mapping'!$W$4:$W$8,0)),"x","")</f>
        <v>x</v>
      </c>
      <c r="X205" s="655" t="str">
        <f>IF(ISBLANK(C205),"",IF(OR(ISERROR(J205),NOT(ISNUMBER(C205))),"x",""))</f>
        <v/>
      </c>
      <c r="Y205" s="655" t="str">
        <f>IF(ISBLANK(C205),"",IF(ISERROR(J205),"",""))</f>
        <v/>
      </c>
      <c r="Z205" s="655" t="str">
        <f t="shared" si="76"/>
        <v/>
      </c>
      <c r="AA205" s="655" t="str">
        <f t="shared" si="114"/>
        <v/>
      </c>
      <c r="AB205" s="655" t="str">
        <f t="shared" si="79"/>
        <v/>
      </c>
      <c r="AC205" s="655" t="str">
        <f t="shared" si="120"/>
        <v>x</v>
      </c>
      <c r="AD205" s="655" t="str">
        <f>IF(ISBLANK(I205),"x",IF(ISNUMBER(MATCH(I205,'Inputs Mapping'!$AF$5:$AF$199,0)),"","x"))</f>
        <v>x</v>
      </c>
      <c r="AE205" s="655" t="str">
        <f t="shared" si="115"/>
        <v/>
      </c>
      <c r="AF205" s="148"/>
      <c r="AG205" s="148"/>
      <c r="AH205" s="148" t="str">
        <f t="shared" si="116"/>
        <v/>
      </c>
      <c r="AI205" s="654" t="str">
        <f>IF(J205="","",VLOOKUP(J205,'Inputs Mapping'!$T$27:$V$31,3))</f>
        <v/>
      </c>
      <c r="AJ205" s="654" t="str">
        <f>IF(J205="","",VLOOKUP(J205,'Inputs Mapping'!$T$17:$V$24,3))</f>
        <v/>
      </c>
      <c r="AK205" s="654" t="str">
        <f t="shared" si="117"/>
        <v/>
      </c>
      <c r="AL205" s="655" t="str">
        <f>K205</f>
        <v/>
      </c>
      <c r="AM205" s="655" t="str">
        <f>IF(F205="","",IF(AE205="Dubai",HLOOKUP(F205,Inputs!$C$26:$M$36,5,0),HLOOKUP(F205,Inputs!$C$45:$M$49,5,0)))</f>
        <v/>
      </c>
      <c r="AN205" s="655">
        <f t="shared" si="118"/>
        <v>0</v>
      </c>
      <c r="AO205" s="654" t="str">
        <f>IF(AJ205="","",IF(AN205="Dubai",VLOOKUP(AJ205,'Inputs Mapping'!$V$17:$W$24,2,0),VLOOKUP(AI205,'Inputs Mapping'!$V$27:$W$31,2,0)))</f>
        <v/>
      </c>
      <c r="AP205" s="666">
        <f>IFERROR(IF($AN205="","",HLOOKUP($AN205&amp;RIGHT($AL205,1),'input for formula'!$B$16:$I$20,3,0)),0)</f>
        <v>0</v>
      </c>
      <c r="AQ205" s="656">
        <f>IFERROR(IF($AN205="","",HLOOKUP($AN205&amp;$F205,'input for formula'!$B$22:$M$25,2,0)),0)</f>
        <v>0</v>
      </c>
      <c r="AR205" s="666">
        <f>IFERROR(IF($AN205="","",HLOOKUP($AN205&amp;RIGHT($AL205,1),'input for formula'!$B$16:$I$20,4,0)),0)</f>
        <v>0</v>
      </c>
      <c r="AS205" s="656">
        <f>IFERROR(IF($AN205="","",HLOOKUP($AN205&amp;$F205,'input for formula'!$B$22:$M$25,3,0)),0)</f>
        <v>0</v>
      </c>
      <c r="AT205" s="656">
        <f>IFERROR(IF($AN205="","",HLOOKUP($AN205&amp;RIGHT($AL205,1),'input for formula'!$B$16:$I$20,5,0)),0)</f>
        <v>0</v>
      </c>
      <c r="AU205" s="656">
        <f>IFERROR(IF($AN205="","",HLOOKUP($AN205&amp;$F205,'input for formula'!$B$22:$M$25,4,0)),0)</f>
        <v>0</v>
      </c>
      <c r="AV205" s="666">
        <f>IFERROR(IF($AN205="","",IF('Census Data'!$AN205="Abu Dhabi",VLOOKUP('Census Data'!$AM205,'input for formula'!$A$28:$C$41,3,0),VLOOKUP('Census Data'!$AM205,'input for formula'!$A$28:$C$47,2,0))),0)*IFERROR(1+IF(AN205="Dubai",VLOOKUP(F205,'Quotation for Dubai Plans'!$V$6:$X$12,3,FALSE),VLOOKUP(F205,'Quotation for Abu Dhabi Plans'!$W$6:$Y$12,3,FALSE)),0)</f>
        <v>0</v>
      </c>
      <c r="AW205" s="656" t="str">
        <f t="shared" si="52"/>
        <v/>
      </c>
      <c r="AX205" s="667" t="str">
        <f>IFERROR(IF(AL205="","",IF(AN205="Dubai",HLOOKUP((AL205&amp;AM205),Deviation!$B$7:$S$8,2,0)*BF205*BH205*BI205*BG205,HLOOKUP((AL205&amp;AM205),Deviation!$B$9:$O$10,2,0)*BF205*BH205*BI205*BG205)),0)</f>
        <v/>
      </c>
      <c r="AY205" s="668"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formula'!$M$3:$O$7,AO205,FALSE)))*AX205+AP205*AQ205+AR205*AS205+AT205*AU205),0)*$AZ$3*BK205*BJ205*IF(AND(Inputs!$C$19&gt;19,Inputs!$C$19&lt;30),(1+$AZ$2),1)*(1+$AZ$1))</f>
        <v/>
      </c>
      <c r="AZ205" s="148" t="str">
        <f t="shared" si="84"/>
        <v/>
      </c>
      <c r="BA205" s="669" t="str">
        <f>IF(F205="","",IF(AE205="Dubai",HLOOKUP(F205,Inputs!$C$26:$M$37,9,0),HLOOKUP(F205,Inputs!$C$45:$M$56,9,0)))</f>
        <v/>
      </c>
      <c r="BB205" s="670" t="str">
        <f>IF(F205="","",IF(AE205="Dubai",HLOOKUP(F205,Inputs!$C$26:$M$37,10,0),HLOOKUP(F205,Inputs!$C$45:$M$56,10,0)))</f>
        <v/>
      </c>
      <c r="BC205" s="670" t="str">
        <f>IF(F205="","",IF(AE205="Dubai",HLOOKUP(F205,Inputs!$C$26:$M$37,11,0),HLOOKUP(F205,Inputs!$C$45:$M$56,11,0)))</f>
        <v/>
      </c>
      <c r="BD205" s="669" t="str">
        <f>IF(F205="","",IF(AE205="Dubai",HLOOKUP(F205,Inputs!$C$26:$M$37,12,0),HLOOKUP(F205,Inputs!$C$45:$M$56,12,0)))</f>
        <v/>
      </c>
      <c r="BE205" s="654"/>
      <c r="BF205" s="669" t="str">
        <f>IFERROR(IF(AL205="","",IF(AN205="Dubai",IF(OR(AL205="Plan1",AL205="Plan2"),VLOOKUP(BA205,Deviation!$B$31:$D$33,2,FALSE),VLOOKUP(BA205,Deviation!$B$31:$D$33,3,FALSE)),IF(OR(AL205="Plan1",AL205="Plan2"),VLOOKUP(BA205,Deviation!$E$31:$AE$33,2,FALSE),VLOOKUP(BA205,Deviation!$E$31:$AE$33,3,FALSE)))),0)</f>
        <v/>
      </c>
      <c r="BG205" s="671" t="str">
        <f>IFERROR(IF(AL205="","",IF(AN205="Dubai",IF(AL205="Plan1",VLOOKUP(BB205,Deviation!$B$39:$C$40,2,FALSE),IF(AL205="Plan2",VLOOKUP(BB205,Deviation!$B$42:$C$43,2,FALSE),IF(AL205="Plan5",VLOOKUP(BB205,Deviation!$B$48:$C$49,2,FALSE),VLOOKUP(BB205,Deviation!$B$45:$C$46,2,FALSE)))),IF(AL205="Plan1",VLOOKUP(BB205,Deviation!$E$39:$F$40,2,FALSE),IF(AL205="Plan2",VLOOKUP(BB205,Deviation!$E$42:$F$43,2,FALSE),VLOOKUP(BB205,Deviation!$E$45:$F$46,2,FALSE))))),0)</f>
        <v/>
      </c>
      <c r="BH205" s="671" t="str">
        <f>IFERROR(IF(AL205="","",IF(AN205="Dubai",IF(OR(AL205="Plan1",AL205="Plan2"),VLOOKUP(BC205,Deviation!$B$15:$D$19,2,FALSE),VLOOKUP(BC205,Deviation!$B$15:$D$19,3,FALSE)),IF(OR(AL205="Plan1",AL205="Plan2"),VLOOKUP(BC205,Deviation!$E$15:$AE$19,2,FALSE),VLOOKUP(BC205,Deviation!$E$15:$AE$19,3,FALSE)))),0)</f>
        <v/>
      </c>
      <c r="BI205" s="669" t="str">
        <f>IFERROR(IF(AL205="","",IF(AN205="Dubai",VLOOKUP(BD205,Deviation!$B$24:$C$26,2,FALSE),100%)),0)</f>
        <v/>
      </c>
      <c r="BJ205" s="672">
        <f>IF(AE205="Abu Dhabi",1,IFERROR(VLOOKUP(AM205,Deviation!$B$67:$E$79,MATCH('Census Data'!AA205,Deviation!$B$66:$E$66,0),0),1))</f>
        <v>1</v>
      </c>
      <c r="BK205" s="659">
        <f>IFERROR(VLOOKUP(I205,Deviation!$B$54:$C$62,2,0),1)</f>
        <v>1</v>
      </c>
      <c r="BL205" s="148"/>
      <c r="BM205" s="148"/>
      <c r="BN205" s="148"/>
      <c r="BO205" s="148"/>
      <c r="BP205" s="148"/>
      <c r="BQ205" s="148"/>
      <c r="BR205" s="148"/>
      <c r="BS205" s="148"/>
      <c r="BT205" s="148" t="e">
        <f t="shared" si="119"/>
        <v>#VALUE!</v>
      </c>
      <c r="BU205"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f>
        <v/>
      </c>
    </row>
    <row r="206" spans="1:73" ht="15" hidden="1" x14ac:dyDescent="0.25">
      <c r="A206" s="490"/>
      <c r="B206" s="470"/>
      <c r="C206" s="492"/>
      <c r="D206" s="491" t="s">
        <v>169</v>
      </c>
      <c r="E206" s="491" t="s">
        <v>173</v>
      </c>
      <c r="F206" s="491" t="s">
        <v>63</v>
      </c>
      <c r="G206" s="491" t="s">
        <v>174</v>
      </c>
      <c r="H206" s="491" t="s">
        <v>165</v>
      </c>
      <c r="I206" s="94"/>
      <c r="J206" s="80">
        <v>15</v>
      </c>
      <c r="K206" s="493">
        <f>IF(F206="","",IF(G206="Dubai",HLOOKUP(F206,Inputs!$C$26:$M$28,3,0),HLOOKUP(F206,Inputs!$C$45:$M$46,2,0)))</f>
        <v>0</v>
      </c>
      <c r="L206" s="491"/>
      <c r="M206" s="494">
        <f t="shared" si="68"/>
        <v>-2</v>
      </c>
      <c r="N206" s="675" t="b">
        <f t="shared" ref="N206:N220" si="122">NOT(AND(ISBLANK(C206),ISBLANK(D206),ISBLANK(E206),ISBLANK(F206),ISBLANK(G206)))</f>
        <v>1</v>
      </c>
      <c r="O206" s="676" t="str">
        <f t="shared" ref="O206:O220" si="123">IF(ISBLANK(C206),"x","")</f>
        <v>x</v>
      </c>
      <c r="P206" s="676" t="str">
        <f t="shared" ref="P206:P220" si="124">IF(ISBLANK(D206),"x","")</f>
        <v/>
      </c>
      <c r="Q206" s="676" t="str">
        <f t="shared" ref="Q206:Q220" si="125">IF(ISBLANK(E206),"x","")</f>
        <v/>
      </c>
      <c r="R206" s="676" t="str">
        <f t="shared" ref="R206:R220" si="126">IF(ISBLANK(F206),"x","")</f>
        <v/>
      </c>
      <c r="S206" s="676" t="str">
        <f t="shared" ref="S206:S220" si="127">IF(ISBLANK(G206),"x","")</f>
        <v/>
      </c>
      <c r="T206" s="676" t="str">
        <f>IF(ISERROR(MATCH(G206,'Inputs Mapping'!$T$4:$T$5,0)),"x","")</f>
        <v/>
      </c>
      <c r="U206" s="676" t="str">
        <f>IF(ISERROR(MATCH(AA206,'Inputs Mapping'!$U$4:$U$5,0)),"x","")</f>
        <v/>
      </c>
      <c r="V206" s="676" t="str">
        <f>IF(ISERROR(MATCH(AB206,'Inputs Mapping'!$V$4:$V$5,0)),"x","")</f>
        <v/>
      </c>
      <c r="W206" s="676" t="str">
        <f>IF(ISERROR(MATCH(F206,'Inputs Mapping'!$W$4:$W$8,0)),"x","")</f>
        <v/>
      </c>
      <c r="X206" s="676" t="str">
        <f t="shared" ref="X206:X220" si="128">IF(ISBLANK(C206),"",IF(OR(ISERROR(J206),NOT(ISNUMBER(C206))),"x",""))</f>
        <v/>
      </c>
      <c r="Y206" s="676" t="str">
        <f t="shared" ref="Y206:Y220" si="129">IF(ISBLANK(C206),"",IF(ISERROR(J206),"",""))</f>
        <v/>
      </c>
      <c r="Z206" s="655" t="str">
        <f t="shared" si="76"/>
        <v/>
      </c>
      <c r="AA206" s="655" t="str">
        <f t="shared" si="114"/>
        <v>M</v>
      </c>
      <c r="AB206" s="655" t="str">
        <f t="shared" si="79"/>
        <v>S</v>
      </c>
      <c r="AC206" s="655" t="str">
        <f t="shared" ref="AC206:AC248" si="130">IF(AND(OR(G206="Dubai",G206="Abu Dhabi"),H206="Employee",J206&gt;=18),"",IF(AND(OR(G206="Dubai",G206="Abu Dhabi"),H206="Dependent"),"","x"))</f>
        <v>x</v>
      </c>
      <c r="AD206" s="655" t="str">
        <f>IF(ISBLANK(I206),"x",IF(ISNUMBER(MATCH(I206,'Inputs Mapping'!$AF$5:$AF$199,0)),"","x"))</f>
        <v>x</v>
      </c>
      <c r="AE206" s="655" t="str">
        <f t="shared" si="115"/>
        <v>Abu Dhabi</v>
      </c>
      <c r="AF206" s="677"/>
      <c r="AG206" s="677"/>
      <c r="AH206" s="148" t="str">
        <f t="shared" si="116"/>
        <v>AAbu Dhabi</v>
      </c>
      <c r="AI206" s="654" t="str">
        <f>IF(J206="","",VLOOKUP(J206,'Inputs Mapping'!$T$27:$V$31,3))</f>
        <v>0-17</v>
      </c>
      <c r="AJ206" s="675" t="str">
        <f>IF(J206="","",VLOOKUP(J206,'Inputs Mapping'!$T$17:$V$24,3))</f>
        <v>0 - 17</v>
      </c>
      <c r="AK206" s="675">
        <f t="shared" ref="AK206:AK220" si="131">IF(G206="Dubai",IF(J206="","",1*AND(LEFT(AA206)="F",LEFT(AB206)="M",J206&gt;=$AK$3,J206&lt;$AK$4+1)),IF(J206="","",1*AND(LEFT(AA206)="F",LEFT(AB206)="M",J206&gt;=$AJ$3,J206&lt;$AJ$4+1)))</f>
        <v>0</v>
      </c>
      <c r="AL206" s="676">
        <f t="shared" ref="AL206:AL220" si="132">K206</f>
        <v>0</v>
      </c>
      <c r="AM206" s="676">
        <f>IF(F206="","",IF(G206="Dubai",HLOOKUP(F206,Inputs!$C$26:$M$36,5,0),HLOOKUP(F206,Inputs!$C$45:$M$49,5,0)))</f>
        <v>0</v>
      </c>
      <c r="AN206" s="676" t="str">
        <f t="shared" ref="AN206:AN220" si="133">G206</f>
        <v>Abu Dhabi</v>
      </c>
      <c r="AO206" s="654">
        <f>IF(AJ206="","",IF(AN206="Dubai",VLOOKUP(AJ206,'Inputs Mapping'!$V$17:$W$24,2,0),VLOOKUP(AI206,'Inputs Mapping'!$V$27:$W$31,2,0)))</f>
        <v>2</v>
      </c>
      <c r="AP206" s="678">
        <f>IFERROR(IF($AN206="","",HLOOKUP($AN206&amp;RIGHT($AL206,1),'input for formula'!$B$16:$I$20,3,0)),0)</f>
        <v>0</v>
      </c>
      <c r="AQ206" s="679">
        <f>IFERROR(IF($AN206="","",HLOOKUP($AN206&amp;$F206,'input for formula'!$B$22:$M$25,2,0)),0)</f>
        <v>0</v>
      </c>
      <c r="AR206" s="678">
        <f>IFERROR(IF($AN206="","",HLOOKUP($AN206&amp;RIGHT($AL206,1),'input for formula'!$B$16:$I$20,4,0)),0)</f>
        <v>0</v>
      </c>
      <c r="AS206" s="679">
        <f>IFERROR(IF($AN206="","",HLOOKUP($AN206&amp;$F206,'input for formula'!$B$22:$M$25,3,0)),0)</f>
        <v>0</v>
      </c>
      <c r="AT206" s="679">
        <f>IFERROR(IF($AN206="","",HLOOKUP($AN206&amp;RIGHT($AL206,1),'input for formula'!$B$16:$I$20,5,0)),0)</f>
        <v>0</v>
      </c>
      <c r="AU206" s="679">
        <f>IFERROR(IF($AN206="","",HLOOKUP($AN206&amp;$F206,'input for formula'!$B$22:$M$25,4,0)),0)</f>
        <v>0</v>
      </c>
      <c r="AV206" s="678">
        <f>IFERROR(IF($AN206="","",IF('Census Data'!$AN206="Abu Dhabi",VLOOKUP('Census Data'!$AM206,'input for formula'!$A$28:$C$41,3,0),VLOOKUP('Census Data'!$AM206,'input for formula'!$A$28:$C$47,2,0))),0)*IFERROR(1+IF(AN206="Dubai",VLOOKUP(F206,'Quotation for Dubai Plans'!$V$6:$X$12,3,FALSE),VLOOKUP(F206,'Quotation for Abu Dhabi Plans'!$W$6:$Y$12,3,FALSE)),0)</f>
        <v>0</v>
      </c>
      <c r="AW206" s="679">
        <f t="shared" ref="AW206:AW220" si="134">AK206</f>
        <v>0</v>
      </c>
      <c r="AX206" s="680">
        <f>IFERROR(IF(AL206="","",IF(AN206="Dubai",HLOOKUP((AL206&amp;AM206),Deviation!$B$7:$S$8,2,0)*BF206*BH206*BI206*BG206,HLOOKUP((AL206&amp;AM206),Deviation!$B$9:$O$10,2,0)*BF206*BH206*BI206*BG206)),0)</f>
        <v>0</v>
      </c>
      <c r="AY206" s="668">
        <f>IF(AL206="","",IFERROR(IF(AL206="","",IF(AN206="Dubai",HLOOKUP(AZ206,'input for formula'!$B$3:$F$10,AO206,FALSE), IF(AND(H206="Employee",AN206="Abu Dhabi"),HLOOKUP(AZ206,'input for formula'!$I$3:$K$7,AO206,FALSE),HLOOKUP(AZ206,'input for formula'!$M$3:$O$7,AO206,FALSE)))*AX206+AP206*AQ206+AR206*AS206+AT206*AU206),0)*$AZ$3*BK206*BJ206)*IF(AND(Inputs!$C$19&gt;19,Inputs!$C$19&lt;30),(1+$AZ$2),1)</f>
        <v>0</v>
      </c>
      <c r="AZ206" s="677" t="str">
        <f t="shared" si="84"/>
        <v>Abu Dhabi0</v>
      </c>
      <c r="BA206" s="681">
        <f>IF(F206="","",IF(G206="Dubai",HLOOKUP(F206,Inputs!$C$26:$M$37,9,0),HLOOKUP(F206,Inputs!$C$45:$M$56,9,0)))</f>
        <v>0</v>
      </c>
      <c r="BB206" s="682">
        <f>IF(F206="","",IF(G206="Dubai",HLOOKUP(F206,Inputs!$C$26:$M$37,10,0),HLOOKUP(F206,Inputs!$C$45:$M$56,10,0)))</f>
        <v>0</v>
      </c>
      <c r="BC206" s="682">
        <f>IF(F206="","",IF(G206="Dubai",HLOOKUP(F206,Inputs!$C$26:$M$37,11,0),HLOOKUP(F206,Inputs!$C$45:$M$56,11,0)))</f>
        <v>0</v>
      </c>
      <c r="BD206" s="681" t="str">
        <f>IF(F206="","",IF(G206="Dubai",HLOOKUP(F206,Inputs!$C$26:$M$37,12,0),HLOOKUP(F206,Inputs!$C$45:$M$56,12,0)))</f>
        <v/>
      </c>
      <c r="BE206" s="675"/>
      <c r="BF206" s="681">
        <f>IFERROR(IF(AL206="","",IF(AN206="Dubai",IF(OR(AL206="Plan1",AL206="Plan2"),VLOOKUP(BA206,Deviation!$B$31:$D$33,2,FALSE),VLOOKUP(BA206,Deviation!$B$31:$D$33,3,FALSE)),IF(OR(AL206="Plan1",AL206="Plan2"),VLOOKUP(BA206,Deviation!$E$31:$AE$33,2,FALSE),VLOOKUP(BA206,Deviation!$E$31:$AE$33,3,FALSE)))),0)</f>
        <v>1.125</v>
      </c>
      <c r="BG206" s="683">
        <f>IFERROR(IF(AL206="","",IF(AN206="Dubai",IF(AL206="Plan1",VLOOKUP(BB206,Deviation!$B$39:$C$40,2,FALSE),IF(AL206="Plan2",VLOOKUP(BB206,Deviation!$B$42:$C$43,2,FALSE),IF(AL206="Plan5",VLOOKUP(BB206,Deviation!$B$48:$C$49,2,FALSE),VLOOKUP(BB206,Deviation!$B$45:$C$46,2,FALSE)))),IF(AL206="Plan1",VLOOKUP(BB206,Deviation!$E$39:$F$40,2,FALSE),IF(AL206="Plan2",VLOOKUP(BB206,Deviation!$E$42:$F$43,2,FALSE),VLOOKUP(BB206,Deviation!$E$45:$F$46,2,FALSE))))),0)</f>
        <v>0</v>
      </c>
      <c r="BH206" s="683">
        <f>IFERROR(IF(AL206="","",IF(AN206="Dubai",IF(OR(AL206="Plan1",AL206="Plan2"),VLOOKUP(BC206,Deviation!$B$15:$D$19,2,FALSE),VLOOKUP(BC206,Deviation!$B$15:$D$19,3,FALSE)),IF(OR(AL206="Plan1",AL206="Plan2"),VLOOKUP(BC206,Deviation!$E$15:$AE$19,2,FALSE),VLOOKUP(BC206,Deviation!$E$15:$AE$19,3,FALSE)))),0)</f>
        <v>0</v>
      </c>
      <c r="BI206" s="684">
        <f>IFERROR(IF(AL206="","",IF(AN206="Dubai",VLOOKUP(BD206,Deviation!$B$24:$C$26,2,FALSE),100%)),0)</f>
        <v>1</v>
      </c>
      <c r="BJ206" s="672">
        <f>IF(AE206="Abu Dhabi",1,IFERROR(VLOOKUP(AM206,Deviation!$B$67:$E$79,MATCH('Census Data'!AA206,Deviation!$B$66:$E$66,0),0),1))</f>
        <v>1</v>
      </c>
      <c r="BK206" s="659">
        <f>IFERROR(VLOOKUP(I206,Deviation!$B$54:$C$62,2,0),1)</f>
        <v>1</v>
      </c>
      <c r="BL206" s="148"/>
      <c r="BM206" s="148"/>
      <c r="BN206" s="148"/>
      <c r="BO206" s="148"/>
      <c r="BP206" s="148"/>
      <c r="BQ206" s="148"/>
      <c r="BR206" s="148"/>
      <c r="BS206" s="148"/>
      <c r="BT206" s="148">
        <f t="shared" si="119"/>
        <v>0</v>
      </c>
    </row>
    <row r="207" spans="1:73" ht="15" hidden="1" x14ac:dyDescent="0.25">
      <c r="A207" s="495"/>
      <c r="B207" s="470"/>
      <c r="C207" s="496"/>
      <c r="D207" s="94" t="s">
        <v>169</v>
      </c>
      <c r="E207" s="94" t="s">
        <v>173</v>
      </c>
      <c r="F207" s="94" t="s">
        <v>63</v>
      </c>
      <c r="G207" s="94" t="s">
        <v>174</v>
      </c>
      <c r="H207" s="94" t="s">
        <v>165</v>
      </c>
      <c r="I207" s="94"/>
      <c r="J207" s="80">
        <v>40</v>
      </c>
      <c r="K207" s="59">
        <f>IF(F207="","",IF(G207="Dubai",HLOOKUP(F207,Inputs!$C$26:$M$28,3,0),HLOOKUP(F207,Inputs!$C$45:$M$46,2,0)))</f>
        <v>0</v>
      </c>
      <c r="L207" s="94"/>
      <c r="M207" s="105">
        <f t="shared" si="68"/>
        <v>-2</v>
      </c>
      <c r="N207" s="654" t="b">
        <f t="shared" si="122"/>
        <v>1</v>
      </c>
      <c r="O207" s="655" t="str">
        <f t="shared" si="123"/>
        <v>x</v>
      </c>
      <c r="P207" s="655" t="str">
        <f t="shared" si="124"/>
        <v/>
      </c>
      <c r="Q207" s="655" t="str">
        <f t="shared" si="125"/>
        <v/>
      </c>
      <c r="R207" s="655" t="str">
        <f t="shared" si="126"/>
        <v/>
      </c>
      <c r="S207" s="655" t="str">
        <f t="shared" si="127"/>
        <v/>
      </c>
      <c r="T207" s="655" t="str">
        <f>IF(ISERROR(MATCH(G207,'Inputs Mapping'!$T$4:$T$5,0)),"x","")</f>
        <v/>
      </c>
      <c r="U207" s="655" t="str">
        <f>IF(ISERROR(MATCH(AA207,'Inputs Mapping'!$U$4:$U$5,0)),"x","")</f>
        <v/>
      </c>
      <c r="V207" s="655" t="str">
        <f>IF(ISERROR(MATCH(AB207,'Inputs Mapping'!$V$4:$V$5,0)),"x","")</f>
        <v/>
      </c>
      <c r="W207" s="655" t="str">
        <f>IF(ISERROR(MATCH(F207,'Inputs Mapping'!$W$4:$W$8,0)),"x","")</f>
        <v/>
      </c>
      <c r="X207" s="655" t="str">
        <f t="shared" si="128"/>
        <v/>
      </c>
      <c r="Y207" s="655" t="str">
        <f t="shared" si="129"/>
        <v/>
      </c>
      <c r="Z207" s="655" t="str">
        <f t="shared" si="76"/>
        <v/>
      </c>
      <c r="AA207" s="655" t="str">
        <f t="shared" si="114"/>
        <v>M</v>
      </c>
      <c r="AB207" s="655" t="str">
        <f t="shared" si="79"/>
        <v>S</v>
      </c>
      <c r="AC207" s="655" t="str">
        <f t="shared" si="130"/>
        <v/>
      </c>
      <c r="AD207" s="655" t="str">
        <f>IF(ISBLANK(I207),"x",IF(ISNUMBER(MATCH(I207,'Inputs Mapping'!$AF$5:$AF$199,0)),"","x"))</f>
        <v>x</v>
      </c>
      <c r="AE207" s="655" t="str">
        <f t="shared" si="115"/>
        <v>Abu Dhabi</v>
      </c>
      <c r="AF207" s="148"/>
      <c r="AG207" s="148"/>
      <c r="AH207" s="148" t="str">
        <f t="shared" si="116"/>
        <v>AAbu Dhabi</v>
      </c>
      <c r="AI207" s="654" t="str">
        <f>IF(J207="","",VLOOKUP(J207,'Inputs Mapping'!$T$27:$V$31,3))</f>
        <v>18-40</v>
      </c>
      <c r="AJ207" s="654" t="str">
        <f>IF(J207="","",VLOOKUP(J207,'Inputs Mapping'!$T$17:$V$24,3))</f>
        <v>36 - 45</v>
      </c>
      <c r="AK207" s="654">
        <f t="shared" si="131"/>
        <v>0</v>
      </c>
      <c r="AL207" s="655">
        <f t="shared" si="132"/>
        <v>0</v>
      </c>
      <c r="AM207" s="655">
        <f>IF(F207="","",IF(G207="Dubai",HLOOKUP(F207,Inputs!$C$26:$M$36,5,0),HLOOKUP(F207,Inputs!$C$45:$M$49,5,0)))</f>
        <v>0</v>
      </c>
      <c r="AN207" s="655" t="str">
        <f t="shared" si="133"/>
        <v>Abu Dhabi</v>
      </c>
      <c r="AO207" s="654">
        <f>IF(AJ207="","",IF(AN207="Dubai",VLOOKUP(AJ207,'Inputs Mapping'!$V$17:$W$24,2,0),VLOOKUP(AI207,'Inputs Mapping'!$V$27:$W$31,2,0)))</f>
        <v>3</v>
      </c>
      <c r="AP207" s="685">
        <f>IFERROR(IF($AN207="","",HLOOKUP($AN207&amp;RIGHT($AL207,1),'input for formula'!$B$16:$I$20,3,0)),0)</f>
        <v>0</v>
      </c>
      <c r="AQ207" s="686">
        <f>IFERROR(IF($AN207="","",HLOOKUP($AN207&amp;$F207,'input for formula'!$B$22:$M$25,2,0)),0)</f>
        <v>0</v>
      </c>
      <c r="AR207" s="685">
        <f>IFERROR(IF($AN207="","",HLOOKUP($AN207&amp;RIGHT($AL207,1),'input for formula'!$B$16:$I$20,4,0)),0)</f>
        <v>0</v>
      </c>
      <c r="AS207" s="686">
        <f>IFERROR(IF($AN207="","",HLOOKUP($AN207&amp;$F207,'input for formula'!$B$22:$M$25,3,0)),0)</f>
        <v>0</v>
      </c>
      <c r="AT207" s="686">
        <f>IFERROR(IF($AN207="","",HLOOKUP($AN207&amp;RIGHT($AL207,1),'input for formula'!$B$16:$I$20,5,0)),0)</f>
        <v>0</v>
      </c>
      <c r="AU207" s="686">
        <f>IFERROR(IF($AN207="","",HLOOKUP($AN207&amp;$F207,'input for formula'!$B$22:$M$25,4,0)),0)</f>
        <v>0</v>
      </c>
      <c r="AV207" s="666">
        <f>IFERROR(IF($AN207="","",IF('Census Data'!$AN207="Abu Dhabi",VLOOKUP('Census Data'!$AM207,'input for formula'!$A$28:$C$41,3,0),VLOOKUP('Census Data'!$AM207,'input for formula'!$A$28:$C$47,2,0))),0)*IFERROR(1+IF(AN207="Dubai",VLOOKUP(F207,'Quotation for Dubai Plans'!$V$6:$X$12,3,FALSE),VLOOKUP(F207,'Quotation for Abu Dhabi Plans'!$W$6:$Y$12,3,FALSE)),0)</f>
        <v>0</v>
      </c>
      <c r="AW207" s="686">
        <f t="shared" si="134"/>
        <v>0</v>
      </c>
      <c r="AX207" s="687">
        <f>IFERROR(IF(AL207="","",IF(AN207="Dubai",HLOOKUP((AL207&amp;AM207),Deviation!$B$7:$S$8,2,0)*BF207*BH207*BI207*BG207,HLOOKUP((AL207&amp;AM207),Deviation!$B$9:$O$10,2,0)*BF207*BH207*BI207*BG207)),0)</f>
        <v>0</v>
      </c>
      <c r="AY207" s="668">
        <f>IF(AL207="","",IFERROR(IF(AL207="","",IF(AN207="Dubai",HLOOKUP(AZ207,'input for formula'!$B$3:$F$10,AO207,FALSE), IF(AND(H207="Employee",AN207="Abu Dhabi"),HLOOKUP(AZ207,'input for formula'!$I$3:$K$7,AO207,FALSE),HLOOKUP(AZ207,'input for formula'!$M$3:$O$7,AO207,FALSE)))*AX207+AP207*AQ207+AR207*AS207+AT207*AU207),0)*$AZ$3*BK207*BJ207)*IF(AND(Inputs!$C$19&gt;19,Inputs!$C$19&lt;30),(1+$AZ$2),1)</f>
        <v>0</v>
      </c>
      <c r="AZ207" s="148" t="str">
        <f t="shared" si="84"/>
        <v>Abu Dhabi0</v>
      </c>
      <c r="BA207" s="688">
        <f>IF(F207="","",IF(G207="Dubai",HLOOKUP(F207,Inputs!$C$26:$M$37,9,0),HLOOKUP(F207,Inputs!$C$45:$M$56,9,0)))</f>
        <v>0</v>
      </c>
      <c r="BB207" s="689">
        <f>IF(F207="","",IF(G207="Dubai",HLOOKUP(F207,Inputs!$C$26:$M$37,10,0),HLOOKUP(F207,Inputs!$C$45:$M$56,10,0)))</f>
        <v>0</v>
      </c>
      <c r="BC207" s="689">
        <f>IF(F207="","",IF(G207="Dubai",HLOOKUP(F207,Inputs!$C$26:$M$37,11,0),HLOOKUP(F207,Inputs!$C$45:$M$56,11,0)))</f>
        <v>0</v>
      </c>
      <c r="BD207" s="688" t="str">
        <f>IF(F207="","",IF(G207="Dubai",HLOOKUP(F207,Inputs!$C$26:$M$37,12,0),HLOOKUP(F207,Inputs!$C$45:$M$56,12,0)))</f>
        <v/>
      </c>
      <c r="BE207" s="654"/>
      <c r="BF207" s="688">
        <f>IFERROR(IF(AL207="","",IF(AN207="Dubai",IF(OR(AL207="Plan1",AL207="Plan2"),VLOOKUP(BA207,Deviation!$B$31:$D$33,2,FALSE),VLOOKUP(BA207,Deviation!$B$31:$D$33,3,FALSE)),IF(OR(AL207="Plan1",AL207="Plan2"),VLOOKUP(BA207,Deviation!$E$31:$AE$33,2,FALSE),VLOOKUP(BA207,Deviation!$E$31:$AE$33,3,FALSE)))),0)</f>
        <v>1.125</v>
      </c>
      <c r="BG207" s="690">
        <f>IFERROR(IF(AL207="","",IF(AN207="Dubai",IF(AL207="Plan1",VLOOKUP(BB207,Deviation!$B$39:$C$40,2,FALSE),IF(AL207="Plan2",VLOOKUP(BB207,Deviation!$B$42:$C$43,2,FALSE),IF(AL207="Plan5",VLOOKUP(BB207,Deviation!$B$48:$C$49,2,FALSE),VLOOKUP(BB207,Deviation!$B$45:$C$46,2,FALSE)))),IF(AL207="Plan1",VLOOKUP(BB207,Deviation!$E$39:$F$40,2,FALSE),IF(AL207="Plan2",VLOOKUP(BB207,Deviation!$E$42:$F$43,2,FALSE),VLOOKUP(BB207,Deviation!$E$45:$F$46,2,FALSE))))),0)</f>
        <v>0</v>
      </c>
      <c r="BH207" s="690">
        <f>IFERROR(IF(AL207="","",IF(AN207="Dubai",IF(OR(AL207="Plan1",AL207="Plan2"),VLOOKUP(BC207,Deviation!$B$15:$D$19,2,FALSE),VLOOKUP(BC207,Deviation!$B$15:$D$19,3,FALSE)),IF(OR(AL207="Plan1",AL207="Plan2"),VLOOKUP(BC207,Deviation!$E$15:$AE$19,2,FALSE),VLOOKUP(BC207,Deviation!$E$15:$AE$19,3,FALSE)))),0)</f>
        <v>0</v>
      </c>
      <c r="BI207" s="691">
        <f>IFERROR(IF(AL207="","",IF(AN207="Dubai",VLOOKUP(BD207,Deviation!$B$24:$C$26,2,FALSE),100%)),0)</f>
        <v>1</v>
      </c>
      <c r="BJ207" s="672">
        <f>IF(AE207="Abu Dhabi",1,IFERROR(VLOOKUP(AM207,Deviation!$B$67:$E$79,MATCH('Census Data'!AA207,Deviation!$B$66:$E$66,0),0),1))</f>
        <v>1</v>
      </c>
      <c r="BK207" s="659">
        <f>IFERROR(VLOOKUP(I207,Deviation!$B$54:$C$62,2,0),1)</f>
        <v>1</v>
      </c>
      <c r="BL207" s="148"/>
      <c r="BM207" s="148"/>
      <c r="BN207" s="148"/>
      <c r="BO207" s="148"/>
      <c r="BP207" s="148"/>
      <c r="BQ207" s="148"/>
      <c r="BR207" s="148"/>
      <c r="BS207" s="148"/>
      <c r="BT207" s="148">
        <f t="shared" si="119"/>
        <v>0</v>
      </c>
    </row>
    <row r="208" spans="1:73" ht="15" hidden="1" x14ac:dyDescent="0.25">
      <c r="A208" s="495"/>
      <c r="B208" s="470"/>
      <c r="C208" s="496"/>
      <c r="D208" s="94" t="s">
        <v>169</v>
      </c>
      <c r="E208" s="94" t="s">
        <v>173</v>
      </c>
      <c r="F208" s="94" t="s">
        <v>63</v>
      </c>
      <c r="G208" s="94" t="s">
        <v>174</v>
      </c>
      <c r="H208" s="94" t="s">
        <v>165</v>
      </c>
      <c r="I208" s="94"/>
      <c r="J208" s="80">
        <v>59</v>
      </c>
      <c r="K208" s="59">
        <f>IF(F208="","",IF(G208="Dubai",HLOOKUP(F208,Inputs!$C$26:$M$28,3,0),HLOOKUP(F208,Inputs!$C$45:$M$46,2,0)))</f>
        <v>0</v>
      </c>
      <c r="L208" s="94"/>
      <c r="M208" s="105">
        <f t="shared" si="68"/>
        <v>-2</v>
      </c>
      <c r="N208" s="654" t="b">
        <f t="shared" si="122"/>
        <v>1</v>
      </c>
      <c r="O208" s="655" t="str">
        <f t="shared" si="123"/>
        <v>x</v>
      </c>
      <c r="P208" s="655" t="str">
        <f t="shared" si="124"/>
        <v/>
      </c>
      <c r="Q208" s="655" t="str">
        <f t="shared" si="125"/>
        <v/>
      </c>
      <c r="R208" s="655" t="str">
        <f t="shared" si="126"/>
        <v/>
      </c>
      <c r="S208" s="655" t="str">
        <f t="shared" si="127"/>
        <v/>
      </c>
      <c r="T208" s="655" t="str">
        <f>IF(ISERROR(MATCH(G208,'Inputs Mapping'!$T$4:$T$5,0)),"x","")</f>
        <v/>
      </c>
      <c r="U208" s="655" t="str">
        <f>IF(ISERROR(MATCH(AA208,'Inputs Mapping'!$U$4:$U$5,0)),"x","")</f>
        <v/>
      </c>
      <c r="V208" s="655" t="str">
        <f>IF(ISERROR(MATCH(AB208,'Inputs Mapping'!$V$4:$V$5,0)),"x","")</f>
        <v/>
      </c>
      <c r="W208" s="655" t="str">
        <f>IF(ISERROR(MATCH(F208,'Inputs Mapping'!$W$4:$W$8,0)),"x","")</f>
        <v/>
      </c>
      <c r="X208" s="655" t="str">
        <f t="shared" si="128"/>
        <v/>
      </c>
      <c r="Y208" s="655" t="str">
        <f t="shared" si="129"/>
        <v/>
      </c>
      <c r="Z208" s="655" t="str">
        <f t="shared" si="76"/>
        <v/>
      </c>
      <c r="AA208" s="655" t="str">
        <f t="shared" si="114"/>
        <v>M</v>
      </c>
      <c r="AB208" s="655" t="str">
        <f t="shared" si="79"/>
        <v>S</v>
      </c>
      <c r="AC208" s="655" t="str">
        <f t="shared" si="130"/>
        <v/>
      </c>
      <c r="AD208" s="655" t="str">
        <f>IF(ISBLANK(I208),"x",IF(ISNUMBER(MATCH(I208,'Inputs Mapping'!$AF$5:$AF$199,0)),"","x"))</f>
        <v>x</v>
      </c>
      <c r="AE208" s="655" t="str">
        <f t="shared" si="115"/>
        <v>Abu Dhabi</v>
      </c>
      <c r="AF208" s="148"/>
      <c r="AG208" s="148"/>
      <c r="AH208" s="148" t="str">
        <f t="shared" si="116"/>
        <v>AAbu Dhabi</v>
      </c>
      <c r="AI208" s="654" t="str">
        <f>IF(J208="","",VLOOKUP(J208,'Inputs Mapping'!$T$27:$V$31,3))</f>
        <v>41-59</v>
      </c>
      <c r="AJ208" s="654" t="str">
        <f>IF(J208="","",VLOOKUP(J208,'Inputs Mapping'!$T$17:$V$24,3))</f>
        <v>56 - 60</v>
      </c>
      <c r="AK208" s="654">
        <f t="shared" si="131"/>
        <v>0</v>
      </c>
      <c r="AL208" s="655">
        <f t="shared" si="132"/>
        <v>0</v>
      </c>
      <c r="AM208" s="655">
        <f>IF(F208="","",IF(G208="Dubai",HLOOKUP(F208,Inputs!$C$26:$M$36,5,0),HLOOKUP(F208,Inputs!$C$45:$M$49,5,0)))</f>
        <v>0</v>
      </c>
      <c r="AN208" s="655" t="str">
        <f t="shared" si="133"/>
        <v>Abu Dhabi</v>
      </c>
      <c r="AO208" s="654">
        <f>IF(AJ208="","",IF(AN208="Dubai",VLOOKUP(AJ208,'Inputs Mapping'!$V$17:$W$24,2,0),VLOOKUP(AI208,'Inputs Mapping'!$V$27:$W$31,2,0)))</f>
        <v>4</v>
      </c>
      <c r="AP208" s="685">
        <f>IFERROR(IF($AN208="","",HLOOKUP($AN208&amp;RIGHT($AL208,1),'input for formula'!$B$16:$I$20,3,0)),0)</f>
        <v>0</v>
      </c>
      <c r="AQ208" s="686">
        <f>IFERROR(IF($AN208="","",HLOOKUP($AN208&amp;$F208,'input for formula'!$B$22:$M$25,2,0)),0)</f>
        <v>0</v>
      </c>
      <c r="AR208" s="685">
        <f>IFERROR(IF($AN208="","",HLOOKUP($AN208&amp;RIGHT($AL208,1),'input for formula'!$B$16:$I$20,4,0)),0)</f>
        <v>0</v>
      </c>
      <c r="AS208" s="686">
        <f>IFERROR(IF($AN208="","",HLOOKUP($AN208&amp;$F208,'input for formula'!$B$22:$M$25,3,0)),0)</f>
        <v>0</v>
      </c>
      <c r="AT208" s="686">
        <f>IFERROR(IF($AN208="","",HLOOKUP($AN208&amp;RIGHT($AL208,1),'input for formula'!$B$16:$I$20,5,0)),0)</f>
        <v>0</v>
      </c>
      <c r="AU208" s="686">
        <f>IFERROR(IF($AN208="","",HLOOKUP($AN208&amp;$F208,'input for formula'!$B$22:$M$25,4,0)),0)</f>
        <v>0</v>
      </c>
      <c r="AV208" s="666">
        <f>IFERROR(IF($AN208="","",IF('Census Data'!$AN208="Abu Dhabi",VLOOKUP('Census Data'!$AM208,'input for formula'!$A$28:$C$41,3,0),VLOOKUP('Census Data'!$AM208,'input for formula'!$A$28:$C$47,2,0))),0)*IFERROR(1+IF(AN208="Dubai",VLOOKUP(F208,'Quotation for Dubai Plans'!$V$6:$X$12,3,FALSE),VLOOKUP(F208,'Quotation for Abu Dhabi Plans'!$W$6:$Y$12,3,FALSE)),0)</f>
        <v>0</v>
      </c>
      <c r="AW208" s="686">
        <f t="shared" si="134"/>
        <v>0</v>
      </c>
      <c r="AX208" s="687">
        <f>IFERROR(IF(AL208="","",IF(AN208="Dubai",HLOOKUP((AL208&amp;AM208),Deviation!$B$7:$S$8,2,0)*BF208*BH208*BI208*BG208,HLOOKUP((AL208&amp;AM208),Deviation!$B$9:$O$10,2,0)*BF208*BH208*BI208*BG208)),0)</f>
        <v>0</v>
      </c>
      <c r="AY208" s="668">
        <f>IF(AL208="","",IFERROR(IF(AL208="","",IF(AN208="Dubai",HLOOKUP(AZ208,'input for formula'!$B$3:$F$10,AO208,FALSE), IF(AND(H208="Employee",AN208="Abu Dhabi"),HLOOKUP(AZ208,'input for formula'!$I$3:$K$7,AO208,FALSE),HLOOKUP(AZ208,'input for formula'!$M$3:$O$7,AO208,FALSE)))*AX208+AP208*AQ208+AR208*AS208+AT208*AU208),0)*$AZ$3*BK208*BJ208)*IF(AND(Inputs!$C$19&gt;19,Inputs!$C$19&lt;30),(1+$AZ$2),1)</f>
        <v>0</v>
      </c>
      <c r="AZ208" s="148" t="str">
        <f t="shared" si="84"/>
        <v>Abu Dhabi0</v>
      </c>
      <c r="BA208" s="688">
        <f>IF(F208="","",IF(G208="Dubai",HLOOKUP(F208,Inputs!$C$26:$M$37,9,0),HLOOKUP(F208,Inputs!$C$45:$M$56,9,0)))</f>
        <v>0</v>
      </c>
      <c r="BB208" s="689">
        <f>IF(F208="","",IF(G208="Dubai",HLOOKUP(F208,Inputs!$C$26:$M$37,10,0),HLOOKUP(F208,Inputs!$C$45:$M$56,10,0)))</f>
        <v>0</v>
      </c>
      <c r="BC208" s="689">
        <f>IF(F208="","",IF(G208="Dubai",HLOOKUP(F208,Inputs!$C$26:$M$37,11,0),HLOOKUP(F208,Inputs!$C$45:$M$56,11,0)))</f>
        <v>0</v>
      </c>
      <c r="BD208" s="688" t="str">
        <f>IF(F208="","",IF(G208="Dubai",HLOOKUP(F208,Inputs!$C$26:$M$37,12,0),HLOOKUP(F208,Inputs!$C$45:$M$56,12,0)))</f>
        <v/>
      </c>
      <c r="BE208" s="654"/>
      <c r="BF208" s="688">
        <f>IFERROR(IF(AL208="","",IF(AN208="Dubai",IF(OR(AL208="Plan1",AL208="Plan2"),VLOOKUP(BA208,Deviation!$B$31:$D$33,2,FALSE),VLOOKUP(BA208,Deviation!$B$31:$D$33,3,FALSE)),IF(OR(AL208="Plan1",AL208="Plan2"),VLOOKUP(BA208,Deviation!$E$31:$AE$33,2,FALSE),VLOOKUP(BA208,Deviation!$E$31:$AE$33,3,FALSE)))),0)</f>
        <v>1.125</v>
      </c>
      <c r="BG208" s="690">
        <f>IFERROR(IF(AL208="","",IF(AN208="Dubai",IF(AL208="Plan1",VLOOKUP(BB208,Deviation!$B$39:$C$40,2,FALSE),IF(AL208="Plan2",VLOOKUP(BB208,Deviation!$B$42:$C$43,2,FALSE),IF(AL208="Plan5",VLOOKUP(BB208,Deviation!$B$48:$C$49,2,FALSE),VLOOKUP(BB208,Deviation!$B$45:$C$46,2,FALSE)))),IF(AL208="Plan1",VLOOKUP(BB208,Deviation!$E$39:$F$40,2,FALSE),IF(AL208="Plan2",VLOOKUP(BB208,Deviation!$E$42:$F$43,2,FALSE),VLOOKUP(BB208,Deviation!$E$45:$F$46,2,FALSE))))),0)</f>
        <v>0</v>
      </c>
      <c r="BH208" s="690">
        <f>IFERROR(IF(AL208="","",IF(AN208="Dubai",IF(OR(AL208="Plan1",AL208="Plan2"),VLOOKUP(BC208,Deviation!$B$15:$D$19,2,FALSE),VLOOKUP(BC208,Deviation!$B$15:$D$19,3,FALSE)),IF(OR(AL208="Plan1",AL208="Plan2"),VLOOKUP(BC208,Deviation!$E$15:$AE$19,2,FALSE),VLOOKUP(BC208,Deviation!$E$15:$AE$19,3,FALSE)))),0)</f>
        <v>0</v>
      </c>
      <c r="BI208" s="691">
        <f>IFERROR(IF(AL208="","",IF(AN208="Dubai",VLOOKUP(BD208,Deviation!$B$24:$C$26,2,FALSE),100%)),0)</f>
        <v>1</v>
      </c>
      <c r="BJ208" s="672">
        <f>IF(AE208="Abu Dhabi",1,IFERROR(VLOOKUP(AM208,Deviation!$B$67:$E$79,MATCH('Census Data'!AA208,Deviation!$B$66:$E$66,0),0),1))</f>
        <v>1</v>
      </c>
      <c r="BK208" s="659">
        <f>IFERROR(VLOOKUP(I208,Deviation!$B$54:$C$62,2,0),1)</f>
        <v>1</v>
      </c>
      <c r="BL208" s="148"/>
      <c r="BM208" s="148"/>
      <c r="BN208" s="148"/>
      <c r="BO208" s="148"/>
      <c r="BP208" s="148"/>
      <c r="BQ208" s="148"/>
      <c r="BR208" s="148"/>
      <c r="BS208" s="148"/>
      <c r="BT208" s="148">
        <f t="shared" si="119"/>
        <v>0</v>
      </c>
    </row>
    <row r="209" spans="1:72" ht="15" hidden="1" x14ac:dyDescent="0.25">
      <c r="A209" s="495"/>
      <c r="B209" s="470"/>
      <c r="C209" s="496"/>
      <c r="D209" s="94" t="s">
        <v>169</v>
      </c>
      <c r="E209" s="94" t="s">
        <v>173</v>
      </c>
      <c r="F209" s="94" t="s">
        <v>63</v>
      </c>
      <c r="G209" s="94" t="s">
        <v>174</v>
      </c>
      <c r="H209" s="94" t="s">
        <v>165</v>
      </c>
      <c r="I209" s="94"/>
      <c r="J209" s="80">
        <v>67</v>
      </c>
      <c r="K209" s="59">
        <f>IF(F209="","",IF(G209="Dubai",HLOOKUP(F209,Inputs!$C$26:$M$28,3,0),HLOOKUP(F209,Inputs!$C$45:$M$46,2,0)))</f>
        <v>0</v>
      </c>
      <c r="L209" s="94"/>
      <c r="M209" s="105">
        <f t="shared" si="68"/>
        <v>-2</v>
      </c>
      <c r="N209" s="654" t="b">
        <f t="shared" si="122"/>
        <v>1</v>
      </c>
      <c r="O209" s="655" t="str">
        <f t="shared" si="123"/>
        <v>x</v>
      </c>
      <c r="P209" s="655" t="str">
        <f t="shared" si="124"/>
        <v/>
      </c>
      <c r="Q209" s="655" t="str">
        <f t="shared" si="125"/>
        <v/>
      </c>
      <c r="R209" s="655" t="str">
        <f t="shared" si="126"/>
        <v/>
      </c>
      <c r="S209" s="655" t="str">
        <f t="shared" si="127"/>
        <v/>
      </c>
      <c r="T209" s="655" t="str">
        <f>IF(ISERROR(MATCH(G209,'Inputs Mapping'!$T$4:$T$5,0)),"x","")</f>
        <v/>
      </c>
      <c r="U209" s="655" t="str">
        <f>IF(ISERROR(MATCH(AA209,'Inputs Mapping'!$U$4:$U$5,0)),"x","")</f>
        <v/>
      </c>
      <c r="V209" s="655" t="str">
        <f>IF(ISERROR(MATCH(AB209,'Inputs Mapping'!$V$4:$V$5,0)),"x","")</f>
        <v/>
      </c>
      <c r="W209" s="655" t="str">
        <f>IF(ISERROR(MATCH(F209,'Inputs Mapping'!$W$4:$W$8,0)),"x","")</f>
        <v/>
      </c>
      <c r="X209" s="655" t="str">
        <f t="shared" si="128"/>
        <v/>
      </c>
      <c r="Y209" s="655" t="str">
        <f t="shared" si="129"/>
        <v/>
      </c>
      <c r="Z209" s="655" t="str">
        <f t="shared" si="76"/>
        <v/>
      </c>
      <c r="AA209" s="655" t="str">
        <f t="shared" si="114"/>
        <v>M</v>
      </c>
      <c r="AB209" s="655" t="str">
        <f t="shared" si="79"/>
        <v>S</v>
      </c>
      <c r="AC209" s="655" t="str">
        <f t="shared" si="130"/>
        <v/>
      </c>
      <c r="AD209" s="655" t="str">
        <f>IF(ISBLANK(I209),"x",IF(ISNUMBER(MATCH(I209,'Inputs Mapping'!$AF$5:$AF$199,0)),"","x"))</f>
        <v>x</v>
      </c>
      <c r="AE209" s="655" t="str">
        <f t="shared" si="115"/>
        <v>Abu Dhabi</v>
      </c>
      <c r="AF209" s="148"/>
      <c r="AG209" s="148"/>
      <c r="AH209" s="148" t="str">
        <f t="shared" si="116"/>
        <v>AAbu Dhabi</v>
      </c>
      <c r="AI209" s="654" t="str">
        <f>IF(J209="","",VLOOKUP(J209,'Inputs Mapping'!$T$27:$V$31,3))</f>
        <v>60-69</v>
      </c>
      <c r="AJ209" s="654" t="str">
        <f>IF(J209="","",VLOOKUP(J209,'Inputs Mapping'!$T$17:$V$24,3))</f>
        <v>66 - 69</v>
      </c>
      <c r="AK209" s="654">
        <f t="shared" si="131"/>
        <v>0</v>
      </c>
      <c r="AL209" s="655">
        <f t="shared" si="132"/>
        <v>0</v>
      </c>
      <c r="AM209" s="655">
        <f>IF(F209="","",IF(G209="Dubai",HLOOKUP(F209,Inputs!$C$26:$M$36,5,0),HLOOKUP(F209,Inputs!$C$45:$M$49,5,0)))</f>
        <v>0</v>
      </c>
      <c r="AN209" s="655" t="str">
        <f t="shared" si="133"/>
        <v>Abu Dhabi</v>
      </c>
      <c r="AO209" s="654">
        <f>IF(AJ209="","",IF(AN209="Dubai",VLOOKUP(AJ209,'Inputs Mapping'!$V$17:$W$24,2,0),VLOOKUP(AI209,'Inputs Mapping'!$V$27:$W$31,2,0)))</f>
        <v>5</v>
      </c>
      <c r="AP209" s="685">
        <f>IFERROR(IF($AN209="","",HLOOKUP($AN209&amp;RIGHT($AL209,1),'input for formula'!$B$16:$I$20,3,0)),0)</f>
        <v>0</v>
      </c>
      <c r="AQ209" s="686">
        <f>IFERROR(IF($AN209="","",HLOOKUP($AN209&amp;$F209,'input for formula'!$B$22:$M$25,2,0)),0)</f>
        <v>0</v>
      </c>
      <c r="AR209" s="685">
        <f>IFERROR(IF($AN209="","",HLOOKUP($AN209&amp;RIGHT($AL209,1),'input for formula'!$B$16:$I$20,4,0)),0)</f>
        <v>0</v>
      </c>
      <c r="AS209" s="686">
        <f>IFERROR(IF($AN209="","",HLOOKUP($AN209&amp;$F209,'input for formula'!$B$22:$M$25,3,0)),0)</f>
        <v>0</v>
      </c>
      <c r="AT209" s="686">
        <f>IFERROR(IF($AN209="","",HLOOKUP($AN209&amp;RIGHT($AL209,1),'input for formula'!$B$16:$I$20,5,0)),0)</f>
        <v>0</v>
      </c>
      <c r="AU209" s="686">
        <f>IFERROR(IF($AN209="","",HLOOKUP($AN209&amp;$F209,'input for formula'!$B$22:$M$25,4,0)),0)</f>
        <v>0</v>
      </c>
      <c r="AV209" s="666">
        <f>IFERROR(IF($AN209="","",IF('Census Data'!$AN209="Abu Dhabi",VLOOKUP('Census Data'!$AM209,'input for formula'!$A$28:$C$41,3,0),VLOOKUP('Census Data'!$AM209,'input for formula'!$A$28:$C$47,2,0))),0)*IFERROR(1+IF(AN209="Dubai",VLOOKUP(F209,'Quotation for Dubai Plans'!$V$6:$X$12,3,FALSE),VLOOKUP(F209,'Quotation for Abu Dhabi Plans'!$W$6:$Y$12,3,FALSE)),0)</f>
        <v>0</v>
      </c>
      <c r="AW209" s="686">
        <f t="shared" si="134"/>
        <v>0</v>
      </c>
      <c r="AX209" s="687">
        <f>IFERROR(IF(AL209="","",IF(AN209="Dubai",HLOOKUP((AL209&amp;AM209),Deviation!$B$7:$S$8,2,0)*BF209*BH209*BI209*BG209,HLOOKUP((AL209&amp;AM209),Deviation!$B$9:$O$10,2,0)*BF209*BH209*BI209*BG209)),0)</f>
        <v>0</v>
      </c>
      <c r="AY209" s="668">
        <f>IF(AL209="","",IFERROR(IF(AL209="","",IF(AN209="Dubai",HLOOKUP(AZ209,'input for formula'!$B$3:$F$10,AO209,FALSE), IF(AND(H209="Employee",AN209="Abu Dhabi"),HLOOKUP(AZ209,'input for formula'!$I$3:$K$7,AO209,FALSE),HLOOKUP(AZ209,'input for formula'!$M$3:$O$7,AO209,FALSE)))*AX209+AP209*AQ209+AR209*AS209+AT209*AU209),0)*$AZ$3*BK209*BJ209)*IF(AND(Inputs!$C$19&gt;19,Inputs!$C$19&lt;30),(1+$AZ$2),1)</f>
        <v>0</v>
      </c>
      <c r="AZ209" s="148" t="str">
        <f t="shared" si="84"/>
        <v>Abu Dhabi0</v>
      </c>
      <c r="BA209" s="688">
        <f>IF(F209="","",IF(G209="Dubai",HLOOKUP(F209,Inputs!$C$26:$M$37,9,0),HLOOKUP(F209,Inputs!$C$45:$M$56,9,0)))</f>
        <v>0</v>
      </c>
      <c r="BB209" s="689">
        <f>IF(F209="","",IF(G209="Dubai",HLOOKUP(F209,Inputs!$C$26:$M$37,10,0),HLOOKUP(F209,Inputs!$C$45:$M$56,10,0)))</f>
        <v>0</v>
      </c>
      <c r="BC209" s="689">
        <f>IF(F209="","",IF(G209="Dubai",HLOOKUP(F209,Inputs!$C$26:$M$37,11,0),HLOOKUP(F209,Inputs!$C$45:$M$56,11,0)))</f>
        <v>0</v>
      </c>
      <c r="BD209" s="688" t="str">
        <f>IF(F209="","",IF(G209="Dubai",HLOOKUP(F209,Inputs!$C$26:$M$37,12,0),HLOOKUP(F209,Inputs!$C$45:$M$56,12,0)))</f>
        <v/>
      </c>
      <c r="BE209" s="654"/>
      <c r="BF209" s="688">
        <f>IFERROR(IF(AL209="","",IF(AN209="Dubai",IF(OR(AL209="Plan1",AL209="Plan2"),VLOOKUP(BA209,Deviation!$B$31:$D$33,2,FALSE),VLOOKUP(BA209,Deviation!$B$31:$D$33,3,FALSE)),IF(OR(AL209="Plan1",AL209="Plan2"),VLOOKUP(BA209,Deviation!$E$31:$AE$33,2,FALSE),VLOOKUP(BA209,Deviation!$E$31:$AE$33,3,FALSE)))),0)</f>
        <v>1.125</v>
      </c>
      <c r="BG209" s="690">
        <f>IFERROR(IF(AL209="","",IF(AN209="Dubai",IF(AL209="Plan1",VLOOKUP(BB209,Deviation!$B$39:$C$40,2,FALSE),IF(AL209="Plan2",VLOOKUP(BB209,Deviation!$B$42:$C$43,2,FALSE),IF(AL209="Plan5",VLOOKUP(BB209,Deviation!$B$48:$C$49,2,FALSE),VLOOKUP(BB209,Deviation!$B$45:$C$46,2,FALSE)))),IF(AL209="Plan1",VLOOKUP(BB209,Deviation!$E$39:$F$40,2,FALSE),IF(AL209="Plan2",VLOOKUP(BB209,Deviation!$E$42:$F$43,2,FALSE),VLOOKUP(BB209,Deviation!$E$45:$F$46,2,FALSE))))),0)</f>
        <v>0</v>
      </c>
      <c r="BH209" s="690">
        <f>IFERROR(IF(AL209="","",IF(AN209="Dubai",IF(OR(AL209="Plan1",AL209="Plan2"),VLOOKUP(BC209,Deviation!$B$15:$D$19,2,FALSE),VLOOKUP(BC209,Deviation!$B$15:$D$19,3,FALSE)),IF(OR(AL209="Plan1",AL209="Plan2"),VLOOKUP(BC209,Deviation!$E$15:$AE$19,2,FALSE),VLOOKUP(BC209,Deviation!$E$15:$AE$19,3,FALSE)))),0)</f>
        <v>0</v>
      </c>
      <c r="BI209" s="691">
        <f>IFERROR(IF(AL209="","",IF(AN209="Dubai",VLOOKUP(BD209,Deviation!$B$24:$C$26,2,FALSE),100%)),0)</f>
        <v>1</v>
      </c>
      <c r="BJ209" s="672">
        <f>IF(AE209="Abu Dhabi",1,IFERROR(VLOOKUP(AM209,Deviation!$B$67:$E$79,MATCH('Census Data'!AA209,Deviation!$B$66:$E$66,0),0),1))</f>
        <v>1</v>
      </c>
      <c r="BK209" s="659">
        <f>IFERROR(VLOOKUP(I209,Deviation!$B$54:$C$62,2,0),1)</f>
        <v>1</v>
      </c>
      <c r="BL209" s="148"/>
      <c r="BM209" s="148"/>
      <c r="BN209" s="148"/>
      <c r="BO209" s="148"/>
      <c r="BP209" s="148"/>
      <c r="BQ209" s="148"/>
      <c r="BR209" s="148"/>
      <c r="BS209" s="148"/>
      <c r="BT209" s="148">
        <f t="shared" si="119"/>
        <v>0</v>
      </c>
    </row>
    <row r="210" spans="1:72" ht="15" hidden="1" x14ac:dyDescent="0.25">
      <c r="A210" s="495"/>
      <c r="B210" s="470"/>
      <c r="C210" s="496"/>
      <c r="D210" s="94" t="s">
        <v>169</v>
      </c>
      <c r="E210" s="94" t="s">
        <v>173</v>
      </c>
      <c r="F210" s="94" t="s">
        <v>64</v>
      </c>
      <c r="G210" s="94" t="s">
        <v>174</v>
      </c>
      <c r="H210" s="94" t="s">
        <v>165</v>
      </c>
      <c r="I210" s="94"/>
      <c r="J210" s="80">
        <v>15</v>
      </c>
      <c r="K210" s="59">
        <f>IF(F210="","",IF(G210="Dubai",HLOOKUP(F210,Inputs!$C$26:$M$28,3,0),HLOOKUP(F210,Inputs!$C$45:$M$46,2,0)))</f>
        <v>0</v>
      </c>
      <c r="L210" s="94"/>
      <c r="M210" s="105">
        <f t="shared" si="68"/>
        <v>-2</v>
      </c>
      <c r="N210" s="654" t="b">
        <f t="shared" si="122"/>
        <v>1</v>
      </c>
      <c r="O210" s="655" t="str">
        <f t="shared" si="123"/>
        <v>x</v>
      </c>
      <c r="P210" s="655" t="str">
        <f t="shared" si="124"/>
        <v/>
      </c>
      <c r="Q210" s="655" t="str">
        <f t="shared" si="125"/>
        <v/>
      </c>
      <c r="R210" s="655" t="str">
        <f t="shared" si="126"/>
        <v/>
      </c>
      <c r="S210" s="655" t="str">
        <f t="shared" si="127"/>
        <v/>
      </c>
      <c r="T210" s="655" t="str">
        <f>IF(ISERROR(MATCH(G210,'Inputs Mapping'!$T$4:$T$5,0)),"x","")</f>
        <v/>
      </c>
      <c r="U210" s="655" t="str">
        <f>IF(ISERROR(MATCH(AA210,'Inputs Mapping'!$U$4:$U$5,0)),"x","")</f>
        <v/>
      </c>
      <c r="V210" s="655" t="str">
        <f>IF(ISERROR(MATCH(AB210,'Inputs Mapping'!$V$4:$V$5,0)),"x","")</f>
        <v/>
      </c>
      <c r="W210" s="655" t="str">
        <f>IF(ISERROR(MATCH(F210,'Inputs Mapping'!$W$4:$W$8,0)),"x","")</f>
        <v/>
      </c>
      <c r="X210" s="655" t="str">
        <f t="shared" si="128"/>
        <v/>
      </c>
      <c r="Y210" s="655" t="str">
        <f t="shared" si="129"/>
        <v/>
      </c>
      <c r="Z210" s="655" t="str">
        <f t="shared" si="76"/>
        <v/>
      </c>
      <c r="AA210" s="655" t="str">
        <f t="shared" si="114"/>
        <v>M</v>
      </c>
      <c r="AB210" s="655" t="str">
        <f t="shared" si="79"/>
        <v>S</v>
      </c>
      <c r="AC210" s="655" t="str">
        <f t="shared" si="130"/>
        <v>x</v>
      </c>
      <c r="AD210" s="655" t="str">
        <f>IF(ISBLANK(I210),"x",IF(ISNUMBER(MATCH(I210,'Inputs Mapping'!$AF$5:$AF$199,0)),"","x"))</f>
        <v>x</v>
      </c>
      <c r="AE210" s="655" t="str">
        <f t="shared" si="115"/>
        <v>Abu Dhabi</v>
      </c>
      <c r="AF210" s="148"/>
      <c r="AG210" s="148"/>
      <c r="AH210" s="148" t="str">
        <f t="shared" si="116"/>
        <v>BAbu Dhabi</v>
      </c>
      <c r="AI210" s="654" t="str">
        <f>IF(J210="","",VLOOKUP(J210,'Inputs Mapping'!$T$27:$V$31,3))</f>
        <v>0-17</v>
      </c>
      <c r="AJ210" s="654" t="str">
        <f>IF(J210="","",VLOOKUP(J210,'Inputs Mapping'!$T$17:$V$24,3))</f>
        <v>0 - 17</v>
      </c>
      <c r="AK210" s="654">
        <f t="shared" si="131"/>
        <v>0</v>
      </c>
      <c r="AL210" s="655">
        <f t="shared" si="132"/>
        <v>0</v>
      </c>
      <c r="AM210" s="655">
        <f>IF(F210="","",IF(G210="Dubai",HLOOKUP(F210,Inputs!$C$26:$M$36,5,0),HLOOKUP(F210,Inputs!$C$45:$M$49,5,0)))</f>
        <v>0</v>
      </c>
      <c r="AN210" s="655" t="str">
        <f t="shared" si="133"/>
        <v>Abu Dhabi</v>
      </c>
      <c r="AO210" s="654">
        <f>IF(AJ210="","",IF(AN210="Dubai",VLOOKUP(AJ210,'Inputs Mapping'!$V$17:$W$24,2,0),VLOOKUP(AI210,'Inputs Mapping'!$V$27:$W$31,2,0)))</f>
        <v>2</v>
      </c>
      <c r="AP210" s="685">
        <f>IFERROR(IF($AN210="","",HLOOKUP($AN210&amp;RIGHT($AL210,1),'input for formula'!$B$16:$I$20,3,0)),0)</f>
        <v>0</v>
      </c>
      <c r="AQ210" s="686">
        <f>IFERROR(IF($AN210="","",HLOOKUP($AN210&amp;$F210,'input for formula'!$B$22:$M$25,2,0)),0)</f>
        <v>0</v>
      </c>
      <c r="AR210" s="685">
        <f>IFERROR(IF($AN210="","",HLOOKUP($AN210&amp;RIGHT($AL210,1),'input for formula'!$B$16:$I$20,4,0)),0)</f>
        <v>0</v>
      </c>
      <c r="AS210" s="686">
        <f>IFERROR(IF($AN210="","",HLOOKUP($AN210&amp;$F210,'input for formula'!$B$22:$M$25,3,0)),0)</f>
        <v>0</v>
      </c>
      <c r="AT210" s="686">
        <f>IFERROR(IF($AN210="","",HLOOKUP($AN210&amp;RIGHT($AL210,1),'input for formula'!$B$16:$I$20,5,0)),0)</f>
        <v>0</v>
      </c>
      <c r="AU210" s="686">
        <f>IFERROR(IF($AN210="","",HLOOKUP($AN210&amp;$F210,'input for formula'!$B$22:$M$25,4,0)),0)</f>
        <v>0</v>
      </c>
      <c r="AV210" s="666">
        <f>IFERROR(IF($AN210="","",IF('Census Data'!$AN210="Abu Dhabi",VLOOKUP('Census Data'!$AM210,'input for formula'!$A$28:$C$41,3,0),VLOOKUP('Census Data'!$AM210,'input for formula'!$A$28:$C$47,2,0))),0)*IFERROR(1+IF(AN210="Dubai",VLOOKUP(F210,'Quotation for Dubai Plans'!$V$6:$X$12,3,FALSE),VLOOKUP(F210,'Quotation for Abu Dhabi Plans'!$W$6:$Y$12,3,FALSE)),0)</f>
        <v>0</v>
      </c>
      <c r="AW210" s="686">
        <f t="shared" si="134"/>
        <v>0</v>
      </c>
      <c r="AX210" s="687">
        <f>IFERROR(IF(AL210="","",IF(AN210="Dubai",HLOOKUP((AL210&amp;AM210),Deviation!$B$7:$S$8,2,0)*BF210*BH210*BI210*BG210,HLOOKUP((AL210&amp;AM210),Deviation!$B$9:$O$10,2,0)*BF210*BH210*BI210*BG210)),0)</f>
        <v>0</v>
      </c>
      <c r="AY210" s="668">
        <f>IF(AL210="","",IFERROR(IF(AL210="","",IF(AN210="Dubai",HLOOKUP(AZ210,'input for formula'!$B$3:$F$10,AO210,FALSE), IF(AND(H210="Employee",AN210="Abu Dhabi"),HLOOKUP(AZ210,'input for formula'!$I$3:$K$7,AO210,FALSE),HLOOKUP(AZ210,'input for formula'!$M$3:$O$7,AO210,FALSE)))*AX210+AP210*AQ210+AR210*AS210+AT210*AU210),0)*$AZ$3*BK210*BJ210)*IF(AND(Inputs!$C$19&gt;19,Inputs!$C$19&lt;30),(1+$AZ$2),1)</f>
        <v>0</v>
      </c>
      <c r="AZ210" s="148" t="str">
        <f t="shared" si="84"/>
        <v>Abu Dhabi0</v>
      </c>
      <c r="BA210" s="688">
        <f>IF(F210="","",IF(G210="Dubai",HLOOKUP(F210,Inputs!$C$26:$M$37,9,0),HLOOKUP(F210,Inputs!$C$45:$M$56,9,0)))</f>
        <v>0</v>
      </c>
      <c r="BB210" s="689">
        <f>IF(F210="","",IF(G210="Dubai",HLOOKUP(F210,Inputs!$C$26:$M$37,10,0),HLOOKUP(F210,Inputs!$C$45:$M$56,10,0)))</f>
        <v>0</v>
      </c>
      <c r="BC210" s="689">
        <f>IF(F210="","",IF(G210="Dubai",HLOOKUP(F210,Inputs!$C$26:$M$37,11,0),HLOOKUP(F210,Inputs!$C$45:$M$56,11,0)))</f>
        <v>0</v>
      </c>
      <c r="BD210" s="688" t="str">
        <f>IF(F210="","",IF(G210="Dubai",HLOOKUP(F210,Inputs!$C$26:$M$37,12,0),HLOOKUP(F210,Inputs!$C$45:$M$56,12,0)))</f>
        <v/>
      </c>
      <c r="BE210" s="654"/>
      <c r="BF210" s="688">
        <f>IFERROR(IF(AL210="","",IF(AN210="Dubai",IF(OR(AL210="Plan1",AL210="Plan2"),VLOOKUP(BA210,Deviation!$B$31:$D$33,2,FALSE),VLOOKUP(BA210,Deviation!$B$31:$D$33,3,FALSE)),IF(OR(AL210="Plan1",AL210="Plan2"),VLOOKUP(BA210,Deviation!$E$31:$AE$33,2,FALSE),VLOOKUP(BA210,Deviation!$E$31:$AE$33,3,FALSE)))),0)</f>
        <v>1.125</v>
      </c>
      <c r="BG210" s="690">
        <f>IFERROR(IF(AL210="","",IF(AN210="Dubai",IF(AL210="Plan1",VLOOKUP(BB210,Deviation!$B$39:$C$40,2,FALSE),IF(AL210="Plan2",VLOOKUP(BB210,Deviation!$B$42:$C$43,2,FALSE),IF(AL210="Plan5",VLOOKUP(BB210,Deviation!$B$48:$C$49,2,FALSE),VLOOKUP(BB210,Deviation!$B$45:$C$46,2,FALSE)))),IF(AL210="Plan1",VLOOKUP(BB210,Deviation!$E$39:$F$40,2,FALSE),IF(AL210="Plan2",VLOOKUP(BB210,Deviation!$E$42:$F$43,2,FALSE),VLOOKUP(BB210,Deviation!$E$45:$F$46,2,FALSE))))),0)</f>
        <v>0</v>
      </c>
      <c r="BH210" s="690">
        <f>IFERROR(IF(AL210="","",IF(AN210="Dubai",IF(OR(AL210="Plan1",AL210="Plan2"),VLOOKUP(BC210,Deviation!$B$15:$D$19,2,FALSE),VLOOKUP(BC210,Deviation!$B$15:$D$19,3,FALSE)),IF(OR(AL210="Plan1",AL210="Plan2"),VLOOKUP(BC210,Deviation!$E$15:$AE$19,2,FALSE),VLOOKUP(BC210,Deviation!$E$15:$AE$19,3,FALSE)))),0)</f>
        <v>0</v>
      </c>
      <c r="BI210" s="691">
        <f>IFERROR(IF(AL210="","",IF(AN210="Dubai",VLOOKUP(BD210,Deviation!$B$24:$C$26,2,FALSE),100%)),0)</f>
        <v>1</v>
      </c>
      <c r="BJ210" s="672">
        <f>IF(AE210="Abu Dhabi",1,IFERROR(VLOOKUP(AM210,Deviation!$B$67:$E$79,MATCH('Census Data'!AA210,Deviation!$B$66:$E$66,0),0),1))</f>
        <v>1</v>
      </c>
      <c r="BK210" s="659">
        <f>IFERROR(VLOOKUP(I210,Deviation!$B$54:$C$62,2,0),1)</f>
        <v>1</v>
      </c>
      <c r="BL210" s="148"/>
      <c r="BM210" s="148"/>
      <c r="BN210" s="148"/>
      <c r="BO210" s="148"/>
      <c r="BP210" s="148"/>
      <c r="BQ210" s="148"/>
      <c r="BR210" s="148"/>
      <c r="BS210" s="148"/>
      <c r="BT210" s="148">
        <f t="shared" si="119"/>
        <v>0</v>
      </c>
    </row>
    <row r="211" spans="1:72" ht="15" hidden="1" x14ac:dyDescent="0.25">
      <c r="A211" s="495"/>
      <c r="B211" s="470"/>
      <c r="C211" s="496"/>
      <c r="D211" s="94" t="s">
        <v>169</v>
      </c>
      <c r="E211" s="94" t="s">
        <v>173</v>
      </c>
      <c r="F211" s="94" t="s">
        <v>64</v>
      </c>
      <c r="G211" s="94" t="s">
        <v>174</v>
      </c>
      <c r="H211" s="94" t="s">
        <v>165</v>
      </c>
      <c r="I211" s="94"/>
      <c r="J211" s="80">
        <v>40</v>
      </c>
      <c r="K211" s="59">
        <f>IF(F211="","",IF(G211="Dubai",HLOOKUP(F211,Inputs!$C$26:$M$28,3,0),HLOOKUP(F211,Inputs!$C$45:$M$46,2,0)))</f>
        <v>0</v>
      </c>
      <c r="L211" s="94"/>
      <c r="M211" s="105">
        <f t="shared" si="68"/>
        <v>-2</v>
      </c>
      <c r="N211" s="654" t="b">
        <f t="shared" si="122"/>
        <v>1</v>
      </c>
      <c r="O211" s="655" t="str">
        <f t="shared" si="123"/>
        <v>x</v>
      </c>
      <c r="P211" s="655" t="str">
        <f t="shared" si="124"/>
        <v/>
      </c>
      <c r="Q211" s="655" t="str">
        <f t="shared" si="125"/>
        <v/>
      </c>
      <c r="R211" s="655" t="str">
        <f t="shared" si="126"/>
        <v/>
      </c>
      <c r="S211" s="655" t="str">
        <f t="shared" si="127"/>
        <v/>
      </c>
      <c r="T211" s="655" t="str">
        <f>IF(ISERROR(MATCH(G211,'Inputs Mapping'!$T$4:$T$5,0)),"x","")</f>
        <v/>
      </c>
      <c r="U211" s="655" t="str">
        <f>IF(ISERROR(MATCH(AA211,'Inputs Mapping'!$U$4:$U$5,0)),"x","")</f>
        <v/>
      </c>
      <c r="V211" s="655" t="str">
        <f>IF(ISERROR(MATCH(AB211,'Inputs Mapping'!$V$4:$V$5,0)),"x","")</f>
        <v/>
      </c>
      <c r="W211" s="655" t="str">
        <f>IF(ISERROR(MATCH(F211,'Inputs Mapping'!$W$4:$W$8,0)),"x","")</f>
        <v/>
      </c>
      <c r="X211" s="655" t="str">
        <f t="shared" si="128"/>
        <v/>
      </c>
      <c r="Y211" s="655" t="str">
        <f t="shared" si="129"/>
        <v/>
      </c>
      <c r="Z211" s="655" t="str">
        <f t="shared" si="76"/>
        <v/>
      </c>
      <c r="AA211" s="655" t="str">
        <f t="shared" si="114"/>
        <v>M</v>
      </c>
      <c r="AB211" s="655" t="str">
        <f t="shared" si="79"/>
        <v>S</v>
      </c>
      <c r="AC211" s="655" t="str">
        <f t="shared" si="130"/>
        <v/>
      </c>
      <c r="AD211" s="655" t="str">
        <f>IF(ISBLANK(I211),"x",IF(ISNUMBER(MATCH(I211,'Inputs Mapping'!$AF$5:$AF$199,0)),"","x"))</f>
        <v>x</v>
      </c>
      <c r="AE211" s="655" t="str">
        <f t="shared" si="115"/>
        <v>Abu Dhabi</v>
      </c>
      <c r="AF211" s="148"/>
      <c r="AG211" s="148"/>
      <c r="AH211" s="148" t="str">
        <f t="shared" si="116"/>
        <v>BAbu Dhabi</v>
      </c>
      <c r="AI211" s="654" t="str">
        <f>IF(J211="","",VLOOKUP(J211,'Inputs Mapping'!$T$27:$V$31,3))</f>
        <v>18-40</v>
      </c>
      <c r="AJ211" s="654" t="str">
        <f>IF(J211="","",VLOOKUP(J211,'Inputs Mapping'!$T$17:$V$24,3))</f>
        <v>36 - 45</v>
      </c>
      <c r="AK211" s="654">
        <f t="shared" si="131"/>
        <v>0</v>
      </c>
      <c r="AL211" s="655">
        <f t="shared" si="132"/>
        <v>0</v>
      </c>
      <c r="AM211" s="655">
        <f>IF(F211="","",IF(G211="Dubai",HLOOKUP(F211,Inputs!$C$26:$M$36,5,0),HLOOKUP(F211,Inputs!$C$45:$M$49,5,0)))</f>
        <v>0</v>
      </c>
      <c r="AN211" s="655" t="str">
        <f t="shared" si="133"/>
        <v>Abu Dhabi</v>
      </c>
      <c r="AO211" s="654">
        <f>IF(AJ211="","",IF(AN211="Dubai",VLOOKUP(AJ211,'Inputs Mapping'!$V$17:$W$24,2,0),VLOOKUP(AI211,'Inputs Mapping'!$V$27:$W$31,2,0)))</f>
        <v>3</v>
      </c>
      <c r="AP211" s="685">
        <f>IFERROR(IF($AN211="","",HLOOKUP($AN211&amp;RIGHT($AL211,1),'input for formula'!$B$16:$I$20,3,0)),0)</f>
        <v>0</v>
      </c>
      <c r="AQ211" s="686">
        <f>IFERROR(IF($AN211="","",HLOOKUP($AN211&amp;$F211,'input for formula'!$B$22:$M$25,2,0)),0)</f>
        <v>0</v>
      </c>
      <c r="AR211" s="685">
        <f>IFERROR(IF($AN211="","",HLOOKUP($AN211&amp;RIGHT($AL211,1),'input for formula'!$B$16:$I$20,4,0)),0)</f>
        <v>0</v>
      </c>
      <c r="AS211" s="686">
        <f>IFERROR(IF($AN211="","",HLOOKUP($AN211&amp;$F211,'input for formula'!$B$22:$M$25,3,0)),0)</f>
        <v>0</v>
      </c>
      <c r="AT211" s="686">
        <f>IFERROR(IF($AN211="","",HLOOKUP($AN211&amp;RIGHT($AL211,1),'input for formula'!$B$16:$I$20,5,0)),0)</f>
        <v>0</v>
      </c>
      <c r="AU211" s="686">
        <f>IFERROR(IF($AN211="","",HLOOKUP($AN211&amp;$F211,'input for formula'!$B$22:$M$25,4,0)),0)</f>
        <v>0</v>
      </c>
      <c r="AV211" s="666">
        <f>IFERROR(IF($AN211="","",IF('Census Data'!$AN211="Abu Dhabi",VLOOKUP('Census Data'!$AM211,'input for formula'!$A$28:$C$41,3,0),VLOOKUP('Census Data'!$AM211,'input for formula'!$A$28:$C$47,2,0))),0)*IFERROR(1+IF(AN211="Dubai",VLOOKUP(F211,'Quotation for Dubai Plans'!$V$6:$X$12,3,FALSE),VLOOKUP(F211,'Quotation for Abu Dhabi Plans'!$W$6:$Y$12,3,FALSE)),0)</f>
        <v>0</v>
      </c>
      <c r="AW211" s="686">
        <f t="shared" si="134"/>
        <v>0</v>
      </c>
      <c r="AX211" s="687">
        <f>IFERROR(IF(AL211="","",IF(AN211="Dubai",HLOOKUP((AL211&amp;AM211),Deviation!$B$7:$S$8,2,0)*BF211*BH211*BI211*BG211,HLOOKUP((AL211&amp;AM211),Deviation!$B$9:$O$10,2,0)*BF211*BH211*BI211*BG211)),0)</f>
        <v>0</v>
      </c>
      <c r="AY211" s="668">
        <f>IF(AL211="","",IFERROR(IF(AL211="","",IF(AN211="Dubai",HLOOKUP(AZ211,'input for formula'!$B$3:$F$10,AO211,FALSE), IF(AND(H211="Employee",AN211="Abu Dhabi"),HLOOKUP(AZ211,'input for formula'!$I$3:$K$7,AO211,FALSE),HLOOKUP(AZ211,'input for formula'!$M$3:$O$7,AO211,FALSE)))*AX211+AP211*AQ211+AR211*AS211+AT211*AU211),0)*$AZ$3*BK211*BJ211)*IF(AND(Inputs!$C$19&gt;19,Inputs!$C$19&lt;30),(1+$AZ$2),1)</f>
        <v>0</v>
      </c>
      <c r="AZ211" s="148" t="str">
        <f t="shared" si="84"/>
        <v>Abu Dhabi0</v>
      </c>
      <c r="BA211" s="688">
        <f>IF(F211="","",IF(G211="Dubai",HLOOKUP(F211,Inputs!$C$26:$M$37,9,0),HLOOKUP(F211,Inputs!$C$45:$M$56,9,0)))</f>
        <v>0</v>
      </c>
      <c r="BB211" s="689">
        <f>IF(F211="","",IF(G211="Dubai",HLOOKUP(F211,Inputs!$C$26:$M$37,10,0),HLOOKUP(F211,Inputs!$C$45:$M$56,10,0)))</f>
        <v>0</v>
      </c>
      <c r="BC211" s="689">
        <f>IF(F211="","",IF(G211="Dubai",HLOOKUP(F211,Inputs!$C$26:$M$37,11,0),HLOOKUP(F211,Inputs!$C$45:$M$56,11,0)))</f>
        <v>0</v>
      </c>
      <c r="BD211" s="688" t="str">
        <f>IF(F211="","",IF(G211="Dubai",HLOOKUP(F211,Inputs!$C$26:$M$37,12,0),HLOOKUP(F211,Inputs!$C$45:$M$56,12,0)))</f>
        <v/>
      </c>
      <c r="BE211" s="654"/>
      <c r="BF211" s="688">
        <f>IFERROR(IF(AL211="","",IF(AN211="Dubai",IF(OR(AL211="Plan1",AL211="Plan2"),VLOOKUP(BA211,Deviation!$B$31:$D$33,2,FALSE),VLOOKUP(BA211,Deviation!$B$31:$D$33,3,FALSE)),IF(OR(AL211="Plan1",AL211="Plan2"),VLOOKUP(BA211,Deviation!$E$31:$AE$33,2,FALSE),VLOOKUP(BA211,Deviation!$E$31:$AE$33,3,FALSE)))),0)</f>
        <v>1.125</v>
      </c>
      <c r="BG211" s="690">
        <f>IFERROR(IF(AL211="","",IF(AN211="Dubai",IF(AL211="Plan1",VLOOKUP(BB211,Deviation!$B$39:$C$40,2,FALSE),IF(AL211="Plan2",VLOOKUP(BB211,Deviation!$B$42:$C$43,2,FALSE),IF(AL211="Plan5",VLOOKUP(BB211,Deviation!$B$48:$C$49,2,FALSE),VLOOKUP(BB211,Deviation!$B$45:$C$46,2,FALSE)))),IF(AL211="Plan1",VLOOKUP(BB211,Deviation!$E$39:$F$40,2,FALSE),IF(AL211="Plan2",VLOOKUP(BB211,Deviation!$E$42:$F$43,2,FALSE),VLOOKUP(BB211,Deviation!$E$45:$F$46,2,FALSE))))),0)</f>
        <v>0</v>
      </c>
      <c r="BH211" s="690">
        <f>IFERROR(IF(AL211="","",IF(AN211="Dubai",IF(OR(AL211="Plan1",AL211="Plan2"),VLOOKUP(BC211,Deviation!$B$15:$D$19,2,FALSE),VLOOKUP(BC211,Deviation!$B$15:$D$19,3,FALSE)),IF(OR(AL211="Plan1",AL211="Plan2"),VLOOKUP(BC211,Deviation!$E$15:$AE$19,2,FALSE),VLOOKUP(BC211,Deviation!$E$15:$AE$19,3,FALSE)))),0)</f>
        <v>0</v>
      </c>
      <c r="BI211" s="691">
        <f>IFERROR(IF(AL211="","",IF(AN211="Dubai",VLOOKUP(BD211,Deviation!$B$24:$C$26,2,FALSE),100%)),0)</f>
        <v>1</v>
      </c>
      <c r="BJ211" s="672">
        <f>IF(AE211="Abu Dhabi",1,IFERROR(VLOOKUP(AM211,Deviation!$B$67:$E$79,MATCH('Census Data'!AA211,Deviation!$B$66:$E$66,0),0),1))</f>
        <v>1</v>
      </c>
      <c r="BK211" s="659">
        <f>IFERROR(VLOOKUP(I211,Deviation!$B$54:$C$62,2,0),1)</f>
        <v>1</v>
      </c>
      <c r="BL211" s="148"/>
      <c r="BM211" s="148"/>
      <c r="BN211" s="148"/>
      <c r="BO211" s="148"/>
      <c r="BP211" s="148"/>
      <c r="BQ211" s="148"/>
      <c r="BR211" s="148"/>
      <c r="BS211" s="148"/>
      <c r="BT211" s="148">
        <f t="shared" si="119"/>
        <v>0</v>
      </c>
    </row>
    <row r="212" spans="1:72" ht="15" hidden="1" x14ac:dyDescent="0.25">
      <c r="A212" s="497"/>
      <c r="B212" s="470"/>
      <c r="C212" s="496"/>
      <c r="D212" s="94" t="s">
        <v>169</v>
      </c>
      <c r="E212" s="94" t="s">
        <v>173</v>
      </c>
      <c r="F212" s="94" t="s">
        <v>64</v>
      </c>
      <c r="G212" s="94" t="s">
        <v>174</v>
      </c>
      <c r="H212" s="94" t="s">
        <v>165</v>
      </c>
      <c r="I212" s="94"/>
      <c r="J212" s="80">
        <v>59</v>
      </c>
      <c r="K212" s="59">
        <f>IF(F212="","",IF(G212="Dubai",HLOOKUP(F212,Inputs!$C$26:$M$28,3,0),HLOOKUP(F212,Inputs!$C$45:$M$46,2,0)))</f>
        <v>0</v>
      </c>
      <c r="L212" s="94"/>
      <c r="M212" s="105">
        <f t="shared" si="68"/>
        <v>-2</v>
      </c>
      <c r="N212" s="654" t="b">
        <f t="shared" si="122"/>
        <v>1</v>
      </c>
      <c r="O212" s="655" t="str">
        <f t="shared" si="123"/>
        <v>x</v>
      </c>
      <c r="P212" s="655" t="str">
        <f t="shared" si="124"/>
        <v/>
      </c>
      <c r="Q212" s="655" t="str">
        <f t="shared" si="125"/>
        <v/>
      </c>
      <c r="R212" s="655" t="str">
        <f t="shared" si="126"/>
        <v/>
      </c>
      <c r="S212" s="655" t="str">
        <f t="shared" si="127"/>
        <v/>
      </c>
      <c r="T212" s="655" t="str">
        <f>IF(ISERROR(MATCH(G212,'Inputs Mapping'!$T$4:$T$5,0)),"x","")</f>
        <v/>
      </c>
      <c r="U212" s="655" t="str">
        <f>IF(ISERROR(MATCH(AA212,'Inputs Mapping'!$U$4:$U$5,0)),"x","")</f>
        <v/>
      </c>
      <c r="V212" s="655" t="str">
        <f>IF(ISERROR(MATCH(AB212,'Inputs Mapping'!$V$4:$V$5,0)),"x","")</f>
        <v/>
      </c>
      <c r="W212" s="655" t="str">
        <f>IF(ISERROR(MATCH(F212,'Inputs Mapping'!$W$4:$W$8,0)),"x","")</f>
        <v/>
      </c>
      <c r="X212" s="655" t="str">
        <f t="shared" si="128"/>
        <v/>
      </c>
      <c r="Y212" s="655" t="str">
        <f t="shared" si="129"/>
        <v/>
      </c>
      <c r="Z212" s="655" t="str">
        <f t="shared" si="76"/>
        <v/>
      </c>
      <c r="AA212" s="655" t="str">
        <f t="shared" si="114"/>
        <v>M</v>
      </c>
      <c r="AB212" s="655" t="str">
        <f t="shared" si="79"/>
        <v>S</v>
      </c>
      <c r="AC212" s="655" t="str">
        <f t="shared" si="130"/>
        <v/>
      </c>
      <c r="AD212" s="655" t="str">
        <f>IF(ISBLANK(I212),"x",IF(ISNUMBER(MATCH(I212,'Inputs Mapping'!$AF$5:$AF$199,0)),"","x"))</f>
        <v>x</v>
      </c>
      <c r="AE212" s="655" t="str">
        <f t="shared" si="115"/>
        <v>Abu Dhabi</v>
      </c>
      <c r="AF212" s="148"/>
      <c r="AG212" s="148"/>
      <c r="AH212" s="148" t="str">
        <f t="shared" si="116"/>
        <v>BAbu Dhabi</v>
      </c>
      <c r="AI212" s="654" t="str">
        <f>IF(J212="","",VLOOKUP(J212,'Inputs Mapping'!$T$27:$V$31,3))</f>
        <v>41-59</v>
      </c>
      <c r="AJ212" s="654" t="str">
        <f>IF(J212="","",VLOOKUP(J212,'Inputs Mapping'!$T$17:$V$24,3))</f>
        <v>56 - 60</v>
      </c>
      <c r="AK212" s="654">
        <f t="shared" si="131"/>
        <v>0</v>
      </c>
      <c r="AL212" s="655">
        <f t="shared" si="132"/>
        <v>0</v>
      </c>
      <c r="AM212" s="655">
        <f>IF(F212="","",IF(G212="Dubai",HLOOKUP(F212,Inputs!$C$26:$M$36,5,0),HLOOKUP(F212,Inputs!$C$45:$M$49,5,0)))</f>
        <v>0</v>
      </c>
      <c r="AN212" s="655" t="str">
        <f t="shared" si="133"/>
        <v>Abu Dhabi</v>
      </c>
      <c r="AO212" s="654">
        <f>IF(AJ212="","",IF(AN212="Dubai",VLOOKUP(AJ212,'Inputs Mapping'!$V$17:$W$24,2,0),VLOOKUP(AI212,'Inputs Mapping'!$V$27:$W$31,2,0)))</f>
        <v>4</v>
      </c>
      <c r="AP212" s="685">
        <f>IFERROR(IF($AN212="","",HLOOKUP($AN212&amp;RIGHT($AL212,1),'input for formula'!$B$16:$I$20,3,0)),0)</f>
        <v>0</v>
      </c>
      <c r="AQ212" s="686">
        <f>IFERROR(IF($AN212="","",HLOOKUP($AN212&amp;$F212,'input for formula'!$B$22:$M$25,2,0)),0)</f>
        <v>0</v>
      </c>
      <c r="AR212" s="685">
        <f>IFERROR(IF($AN212="","",HLOOKUP($AN212&amp;RIGHT($AL212,1),'input for formula'!$B$16:$I$20,4,0)),0)</f>
        <v>0</v>
      </c>
      <c r="AS212" s="686">
        <f>IFERROR(IF($AN212="","",HLOOKUP($AN212&amp;$F212,'input for formula'!$B$22:$M$25,3,0)),0)</f>
        <v>0</v>
      </c>
      <c r="AT212" s="686">
        <f>IFERROR(IF($AN212="","",HLOOKUP($AN212&amp;RIGHT($AL212,1),'input for formula'!$B$16:$I$20,5,0)),0)</f>
        <v>0</v>
      </c>
      <c r="AU212" s="686">
        <f>IFERROR(IF($AN212="","",HLOOKUP($AN212&amp;$F212,'input for formula'!$B$22:$M$25,4,0)),0)</f>
        <v>0</v>
      </c>
      <c r="AV212" s="666">
        <f>IFERROR(IF($AN212="","",IF('Census Data'!$AN212="Abu Dhabi",VLOOKUP('Census Data'!$AM212,'input for formula'!$A$28:$C$41,3,0),VLOOKUP('Census Data'!$AM212,'input for formula'!$A$28:$C$47,2,0))),0)*IFERROR(1+IF(AN212="Dubai",VLOOKUP(F212,'Quotation for Dubai Plans'!$V$6:$X$12,3,FALSE),VLOOKUP(F212,'Quotation for Abu Dhabi Plans'!$W$6:$Y$12,3,FALSE)),0)</f>
        <v>0</v>
      </c>
      <c r="AW212" s="686">
        <f t="shared" si="134"/>
        <v>0</v>
      </c>
      <c r="AX212" s="687">
        <f>IFERROR(IF(AL212="","",IF(AN212="Dubai",HLOOKUP((AL212&amp;AM212),Deviation!$B$7:$S$8,2,0)*BF212*BH212*BI212*BG212,HLOOKUP((AL212&amp;AM212),Deviation!$B$9:$O$10,2,0)*BF212*BH212*BI212*BG212)),0)</f>
        <v>0</v>
      </c>
      <c r="AY212" s="668">
        <f>IF(AL212="","",IFERROR(IF(AL212="","",IF(AN212="Dubai",HLOOKUP(AZ212,'input for formula'!$B$3:$F$10,AO212,FALSE), IF(AND(H212="Employee",AN212="Abu Dhabi"),HLOOKUP(AZ212,'input for formula'!$I$3:$K$7,AO212,FALSE),HLOOKUP(AZ212,'input for formula'!$M$3:$O$7,AO212,FALSE)))*AX212+AP212*AQ212+AR212*AS212+AT212*AU212),0)*$AZ$3*BK212*BJ212)*IF(AND(Inputs!$C$19&gt;19,Inputs!$C$19&lt;30),(1+$AZ$2),1)</f>
        <v>0</v>
      </c>
      <c r="AZ212" s="148" t="str">
        <f t="shared" si="84"/>
        <v>Abu Dhabi0</v>
      </c>
      <c r="BA212" s="688">
        <f>IF(F212="","",IF(G212="Dubai",HLOOKUP(F212,Inputs!$C$26:$M$37,9,0),HLOOKUP(F212,Inputs!$C$45:$M$56,9,0)))</f>
        <v>0</v>
      </c>
      <c r="BB212" s="689">
        <f>IF(F212="","",IF(G212="Dubai",HLOOKUP(F212,Inputs!$C$26:$M$37,10,0),HLOOKUP(F212,Inputs!$C$45:$M$56,10,0)))</f>
        <v>0</v>
      </c>
      <c r="BC212" s="689">
        <f>IF(F212="","",IF(G212="Dubai",HLOOKUP(F212,Inputs!$C$26:$M$37,11,0),HLOOKUP(F212,Inputs!$C$45:$M$56,11,0)))</f>
        <v>0</v>
      </c>
      <c r="BD212" s="688" t="str">
        <f>IF(F212="","",IF(G212="Dubai",HLOOKUP(F212,Inputs!$C$26:$M$37,12,0),HLOOKUP(F212,Inputs!$C$45:$M$56,12,0)))</f>
        <v/>
      </c>
      <c r="BE212" s="654"/>
      <c r="BF212" s="688">
        <f>IFERROR(IF(AL212="","",IF(AN212="Dubai",IF(OR(AL212="Plan1",AL212="Plan2"),VLOOKUP(BA212,Deviation!$B$31:$D$33,2,FALSE),VLOOKUP(BA212,Deviation!$B$31:$D$33,3,FALSE)),IF(OR(AL212="Plan1",AL212="Plan2"),VLOOKUP(BA212,Deviation!$E$31:$AE$33,2,FALSE),VLOOKUP(BA212,Deviation!$E$31:$AE$33,3,FALSE)))),0)</f>
        <v>1.125</v>
      </c>
      <c r="BG212" s="690">
        <f>IFERROR(IF(AL212="","",IF(AN212="Dubai",IF(AL212="Plan1",VLOOKUP(BB212,Deviation!$B$39:$C$40,2,FALSE),IF(AL212="Plan2",VLOOKUP(BB212,Deviation!$B$42:$C$43,2,FALSE),IF(AL212="Plan5",VLOOKUP(BB212,Deviation!$B$48:$C$49,2,FALSE),VLOOKUP(BB212,Deviation!$B$45:$C$46,2,FALSE)))),IF(AL212="Plan1",VLOOKUP(BB212,Deviation!$E$39:$F$40,2,FALSE),IF(AL212="Plan2",VLOOKUP(BB212,Deviation!$E$42:$F$43,2,FALSE),VLOOKUP(BB212,Deviation!$E$45:$F$46,2,FALSE))))),0)</f>
        <v>0</v>
      </c>
      <c r="BH212" s="690">
        <f>IFERROR(IF(AL212="","",IF(AN212="Dubai",IF(OR(AL212="Plan1",AL212="Plan2"),VLOOKUP(BC212,Deviation!$B$15:$D$19,2,FALSE),VLOOKUP(BC212,Deviation!$B$15:$D$19,3,FALSE)),IF(OR(AL212="Plan1",AL212="Plan2"),VLOOKUP(BC212,Deviation!$E$15:$AE$19,2,FALSE),VLOOKUP(BC212,Deviation!$E$15:$AE$19,3,FALSE)))),0)</f>
        <v>0</v>
      </c>
      <c r="BI212" s="691">
        <f>IFERROR(IF(AL212="","",IF(AN212="Dubai",VLOOKUP(BD212,Deviation!$B$24:$C$26,2,FALSE),100%)),0)</f>
        <v>1</v>
      </c>
      <c r="BJ212" s="672">
        <f>IF(AE212="Abu Dhabi",1,IFERROR(VLOOKUP(AM212,Deviation!$B$67:$E$79,MATCH('Census Data'!AA212,Deviation!$B$66:$E$66,0),0),1))</f>
        <v>1</v>
      </c>
      <c r="BK212" s="659">
        <f>IFERROR(VLOOKUP(I212,Deviation!$B$54:$C$62,2,0),1)</f>
        <v>1</v>
      </c>
      <c r="BL212" s="148"/>
      <c r="BM212" s="148"/>
      <c r="BN212" s="148"/>
      <c r="BO212" s="148"/>
      <c r="BP212" s="148"/>
      <c r="BQ212" s="148"/>
      <c r="BR212" s="148"/>
      <c r="BS212" s="148"/>
      <c r="BT212" s="148">
        <f t="shared" si="119"/>
        <v>0</v>
      </c>
    </row>
    <row r="213" spans="1:72" ht="15" hidden="1" x14ac:dyDescent="0.25">
      <c r="A213" s="495"/>
      <c r="B213" s="470"/>
      <c r="C213" s="496"/>
      <c r="D213" s="94" t="s">
        <v>169</v>
      </c>
      <c r="E213" s="94" t="s">
        <v>173</v>
      </c>
      <c r="F213" s="94" t="s">
        <v>64</v>
      </c>
      <c r="G213" s="94" t="s">
        <v>174</v>
      </c>
      <c r="H213" s="94" t="s">
        <v>165</v>
      </c>
      <c r="I213" s="94"/>
      <c r="J213" s="80">
        <v>67</v>
      </c>
      <c r="K213" s="59">
        <f>IF(F213="","",IF(G213="Dubai",HLOOKUP(F213,Inputs!$C$26:$M$28,3,0),HLOOKUP(F213,Inputs!$C$45:$M$46,2,0)))</f>
        <v>0</v>
      </c>
      <c r="L213" s="94"/>
      <c r="M213" s="105">
        <f t="shared" si="68"/>
        <v>-2</v>
      </c>
      <c r="N213" s="654" t="b">
        <f t="shared" si="122"/>
        <v>1</v>
      </c>
      <c r="O213" s="655" t="str">
        <f t="shared" si="123"/>
        <v>x</v>
      </c>
      <c r="P213" s="655" t="str">
        <f t="shared" si="124"/>
        <v/>
      </c>
      <c r="Q213" s="655" t="str">
        <f t="shared" si="125"/>
        <v/>
      </c>
      <c r="R213" s="655" t="str">
        <f t="shared" si="126"/>
        <v/>
      </c>
      <c r="S213" s="655" t="str">
        <f t="shared" si="127"/>
        <v/>
      </c>
      <c r="T213" s="655" t="str">
        <f>IF(ISERROR(MATCH(G213,'Inputs Mapping'!$T$4:$T$5,0)),"x","")</f>
        <v/>
      </c>
      <c r="U213" s="655" t="str">
        <f>IF(ISERROR(MATCH(AA213,'Inputs Mapping'!$U$4:$U$5,0)),"x","")</f>
        <v/>
      </c>
      <c r="V213" s="655" t="str">
        <f>IF(ISERROR(MATCH(AB213,'Inputs Mapping'!$V$4:$V$5,0)),"x","")</f>
        <v/>
      </c>
      <c r="W213" s="655" t="str">
        <f>IF(ISERROR(MATCH(F213,'Inputs Mapping'!$W$4:$W$8,0)),"x","")</f>
        <v/>
      </c>
      <c r="X213" s="655" t="str">
        <f t="shared" si="128"/>
        <v/>
      </c>
      <c r="Y213" s="655" t="str">
        <f t="shared" si="129"/>
        <v/>
      </c>
      <c r="Z213" s="655" t="str">
        <f t="shared" si="76"/>
        <v/>
      </c>
      <c r="AA213" s="655" t="str">
        <f t="shared" si="114"/>
        <v>M</v>
      </c>
      <c r="AB213" s="655" t="str">
        <f t="shared" si="79"/>
        <v>S</v>
      </c>
      <c r="AC213" s="655" t="str">
        <f t="shared" si="130"/>
        <v/>
      </c>
      <c r="AD213" s="655" t="str">
        <f>IF(ISBLANK(I213),"x",IF(ISNUMBER(MATCH(I213,'Inputs Mapping'!$AF$5:$AF$199,0)),"","x"))</f>
        <v>x</v>
      </c>
      <c r="AE213" s="655" t="str">
        <f t="shared" si="115"/>
        <v>Abu Dhabi</v>
      </c>
      <c r="AF213" s="148"/>
      <c r="AG213" s="148"/>
      <c r="AH213" s="148" t="str">
        <f t="shared" si="116"/>
        <v>BAbu Dhabi</v>
      </c>
      <c r="AI213" s="654" t="str">
        <f>IF(J213="","",VLOOKUP(J213,'Inputs Mapping'!$T$27:$V$31,3))</f>
        <v>60-69</v>
      </c>
      <c r="AJ213" s="654" t="str">
        <f>IF(J213="","",VLOOKUP(J213,'Inputs Mapping'!$T$17:$V$24,3))</f>
        <v>66 - 69</v>
      </c>
      <c r="AK213" s="654">
        <f t="shared" si="131"/>
        <v>0</v>
      </c>
      <c r="AL213" s="655">
        <f t="shared" si="132"/>
        <v>0</v>
      </c>
      <c r="AM213" s="655">
        <f>IF(F213="","",IF(G213="Dubai",HLOOKUP(F213,Inputs!$C$26:$M$36,5,0),HLOOKUP(F213,Inputs!$C$45:$M$49,5,0)))</f>
        <v>0</v>
      </c>
      <c r="AN213" s="655" t="str">
        <f t="shared" si="133"/>
        <v>Abu Dhabi</v>
      </c>
      <c r="AO213" s="654">
        <f>IF(AJ213="","",IF(AN213="Dubai",VLOOKUP(AJ213,'Inputs Mapping'!$V$17:$W$24,2,0),VLOOKUP(AI213,'Inputs Mapping'!$V$27:$W$31,2,0)))</f>
        <v>5</v>
      </c>
      <c r="AP213" s="685">
        <f>IFERROR(IF($AN213="","",HLOOKUP($AN213&amp;RIGHT($AL213,1),'input for formula'!$B$16:$I$20,3,0)),0)</f>
        <v>0</v>
      </c>
      <c r="AQ213" s="686">
        <f>IFERROR(IF($AN213="","",HLOOKUP($AN213&amp;$F213,'input for formula'!$B$22:$M$25,2,0)),0)</f>
        <v>0</v>
      </c>
      <c r="AR213" s="685">
        <f>IFERROR(IF($AN213="","",HLOOKUP($AN213&amp;RIGHT($AL213,1),'input for formula'!$B$16:$I$20,4,0)),0)</f>
        <v>0</v>
      </c>
      <c r="AS213" s="686">
        <f>IFERROR(IF($AN213="","",HLOOKUP($AN213&amp;$F213,'input for formula'!$B$22:$M$25,3,0)),0)</f>
        <v>0</v>
      </c>
      <c r="AT213" s="686">
        <f>IFERROR(IF($AN213="","",HLOOKUP($AN213&amp;RIGHT($AL213,1),'input for formula'!$B$16:$I$20,5,0)),0)</f>
        <v>0</v>
      </c>
      <c r="AU213" s="686">
        <f>IFERROR(IF($AN213="","",HLOOKUP($AN213&amp;$F213,'input for formula'!$B$22:$M$25,4,0)),0)</f>
        <v>0</v>
      </c>
      <c r="AV213" s="666">
        <f>IFERROR(IF($AN213="","",IF('Census Data'!$AN213="Abu Dhabi",VLOOKUP('Census Data'!$AM213,'input for formula'!$A$28:$C$41,3,0),VLOOKUP('Census Data'!$AM213,'input for formula'!$A$28:$C$47,2,0))),0)*IFERROR(1+IF(AN213="Dubai",VLOOKUP(F213,'Quotation for Dubai Plans'!$V$6:$X$12,3,FALSE),VLOOKUP(F213,'Quotation for Abu Dhabi Plans'!$W$6:$Y$12,3,FALSE)),0)</f>
        <v>0</v>
      </c>
      <c r="AW213" s="686">
        <f t="shared" si="134"/>
        <v>0</v>
      </c>
      <c r="AX213" s="687">
        <f>IFERROR(IF(AL213="","",IF(AN213="Dubai",HLOOKUP((AL213&amp;AM213),Deviation!$B$7:$S$8,2,0)*BF213*BH213*BI213*BG213,HLOOKUP((AL213&amp;AM213),Deviation!$B$9:$O$10,2,0)*BF213*BH213*BI213*BG213)),0)</f>
        <v>0</v>
      </c>
      <c r="AY213" s="668">
        <f>IF(AL213="","",IFERROR(IF(AL213="","",IF(AN213="Dubai",HLOOKUP(AZ213,'input for formula'!$B$3:$F$10,AO213,FALSE), IF(AND(H213="Employee",AN213="Abu Dhabi"),HLOOKUP(AZ213,'input for formula'!$I$3:$K$7,AO213,FALSE),HLOOKUP(AZ213,'input for formula'!$M$3:$O$7,AO213,FALSE)))*AX213+AP213*AQ213+AR213*AS213+AT213*AU213),0)*$AZ$3*BK213*BJ213)*IF(AND(Inputs!$C$19&gt;19,Inputs!$C$19&lt;30),(1+$AZ$2),1)</f>
        <v>0</v>
      </c>
      <c r="AZ213" s="148" t="str">
        <f t="shared" si="84"/>
        <v>Abu Dhabi0</v>
      </c>
      <c r="BA213" s="688">
        <f>IF(F213="","",IF(G213="Dubai",HLOOKUP(F213,Inputs!$C$26:$M$37,9,0),HLOOKUP(F213,Inputs!$C$45:$M$56,9,0)))</f>
        <v>0</v>
      </c>
      <c r="BB213" s="689">
        <f>IF(F213="","",IF(G213="Dubai",HLOOKUP(F213,Inputs!$C$26:$M$37,10,0),HLOOKUP(F213,Inputs!$C$45:$M$56,10,0)))</f>
        <v>0</v>
      </c>
      <c r="BC213" s="689">
        <f>IF(F213="","",IF(G213="Dubai",HLOOKUP(F213,Inputs!$C$26:$M$37,11,0),HLOOKUP(F213,Inputs!$C$45:$M$56,11,0)))</f>
        <v>0</v>
      </c>
      <c r="BD213" s="688" t="str">
        <f>IF(F213="","",IF(G213="Dubai",HLOOKUP(F213,Inputs!$C$26:$M$37,12,0),HLOOKUP(F213,Inputs!$C$45:$M$56,12,0)))</f>
        <v/>
      </c>
      <c r="BE213" s="654"/>
      <c r="BF213" s="688">
        <f>IFERROR(IF(AL213="","",IF(AN213="Dubai",IF(OR(AL213="Plan1",AL213="Plan2"),VLOOKUP(BA213,Deviation!$B$31:$D$33,2,FALSE),VLOOKUP(BA213,Deviation!$B$31:$D$33,3,FALSE)),IF(OR(AL213="Plan1",AL213="Plan2"),VLOOKUP(BA213,Deviation!$E$31:$AE$33,2,FALSE),VLOOKUP(BA213,Deviation!$E$31:$AE$33,3,FALSE)))),0)</f>
        <v>1.125</v>
      </c>
      <c r="BG213" s="690">
        <f>IFERROR(IF(AL213="","",IF(AN213="Dubai",IF(AL213="Plan1",VLOOKUP(BB213,Deviation!$B$39:$C$40,2,FALSE),IF(AL213="Plan2",VLOOKUP(BB213,Deviation!$B$42:$C$43,2,FALSE),IF(AL213="Plan5",VLOOKUP(BB213,Deviation!$B$48:$C$49,2,FALSE),VLOOKUP(BB213,Deviation!$B$45:$C$46,2,FALSE)))),IF(AL213="Plan1",VLOOKUP(BB213,Deviation!$E$39:$F$40,2,FALSE),IF(AL213="Plan2",VLOOKUP(BB213,Deviation!$E$42:$F$43,2,FALSE),VLOOKUP(BB213,Deviation!$E$45:$F$46,2,FALSE))))),0)</f>
        <v>0</v>
      </c>
      <c r="BH213" s="690">
        <f>IFERROR(IF(AL213="","",IF(AN213="Dubai",IF(OR(AL213="Plan1",AL213="Plan2"),VLOOKUP(BC213,Deviation!$B$15:$D$19,2,FALSE),VLOOKUP(BC213,Deviation!$B$15:$D$19,3,FALSE)),IF(OR(AL213="Plan1",AL213="Plan2"),VLOOKUP(BC213,Deviation!$E$15:$AE$19,2,FALSE),VLOOKUP(BC213,Deviation!$E$15:$AE$19,3,FALSE)))),0)</f>
        <v>0</v>
      </c>
      <c r="BI213" s="691">
        <f>IFERROR(IF(AL213="","",IF(AN213="Dubai",VLOOKUP(BD213,Deviation!$B$24:$C$26,2,FALSE),100%)),0)</f>
        <v>1</v>
      </c>
      <c r="BJ213" s="672">
        <f>IF(AE213="Abu Dhabi",1,IFERROR(VLOOKUP(AM213,Deviation!$B$67:$E$79,MATCH('Census Data'!AA213,Deviation!$B$66:$E$66,0),0),1))</f>
        <v>1</v>
      </c>
      <c r="BK213" s="659">
        <f>IFERROR(VLOOKUP(I213,Deviation!$B$54:$C$62,2,0),1)</f>
        <v>1</v>
      </c>
      <c r="BL213" s="148"/>
      <c r="BM213" s="148"/>
      <c r="BN213" s="148"/>
      <c r="BO213" s="148"/>
      <c r="BP213" s="148"/>
      <c r="BQ213" s="148"/>
      <c r="BR213" s="148"/>
      <c r="BS213" s="148"/>
      <c r="BT213" s="148">
        <f t="shared" si="119"/>
        <v>0</v>
      </c>
    </row>
    <row r="214" spans="1:72" ht="15" hidden="1" x14ac:dyDescent="0.25">
      <c r="A214" s="495"/>
      <c r="B214" s="470"/>
      <c r="C214" s="496"/>
      <c r="D214" s="94" t="s">
        <v>169</v>
      </c>
      <c r="E214" s="94" t="s">
        <v>173</v>
      </c>
      <c r="F214" s="94" t="s">
        <v>65</v>
      </c>
      <c r="G214" s="94" t="s">
        <v>174</v>
      </c>
      <c r="H214" s="94" t="s">
        <v>165</v>
      </c>
      <c r="I214" s="94"/>
      <c r="J214" s="80">
        <v>15</v>
      </c>
      <c r="K214" s="59">
        <f>IF(F214="","",IF(G214="Dubai",HLOOKUP(F214,Inputs!$C$26:$M$28,3,0),HLOOKUP(F214,Inputs!$C$45:$M$46,2,0)))</f>
        <v>0</v>
      </c>
      <c r="L214" s="94"/>
      <c r="M214" s="105">
        <f t="shared" si="68"/>
        <v>-2</v>
      </c>
      <c r="N214" s="654" t="b">
        <f t="shared" si="122"/>
        <v>1</v>
      </c>
      <c r="O214" s="655" t="str">
        <f t="shared" si="123"/>
        <v>x</v>
      </c>
      <c r="P214" s="655" t="str">
        <f t="shared" si="124"/>
        <v/>
      </c>
      <c r="Q214" s="655" t="str">
        <f t="shared" si="125"/>
        <v/>
      </c>
      <c r="R214" s="655" t="str">
        <f t="shared" si="126"/>
        <v/>
      </c>
      <c r="S214" s="655" t="str">
        <f t="shared" si="127"/>
        <v/>
      </c>
      <c r="T214" s="655" t="str">
        <f>IF(ISERROR(MATCH(G214,'Inputs Mapping'!$T$4:$T$5,0)),"x","")</f>
        <v/>
      </c>
      <c r="U214" s="655" t="str">
        <f>IF(ISERROR(MATCH(AA214,'Inputs Mapping'!$U$4:$U$5,0)),"x","")</f>
        <v/>
      </c>
      <c r="V214" s="655" t="str">
        <f>IF(ISERROR(MATCH(AB214,'Inputs Mapping'!$V$4:$V$5,0)),"x","")</f>
        <v/>
      </c>
      <c r="W214" s="655" t="str">
        <f>IF(ISERROR(MATCH(F214,'Inputs Mapping'!$W$4:$W$8,0)),"x","")</f>
        <v/>
      </c>
      <c r="X214" s="655" t="str">
        <f t="shared" si="128"/>
        <v/>
      </c>
      <c r="Y214" s="655" t="str">
        <f t="shared" si="129"/>
        <v/>
      </c>
      <c r="Z214" s="655" t="str">
        <f t="shared" si="76"/>
        <v/>
      </c>
      <c r="AA214" s="655" t="str">
        <f t="shared" si="114"/>
        <v>M</v>
      </c>
      <c r="AB214" s="655" t="str">
        <f t="shared" si="79"/>
        <v>S</v>
      </c>
      <c r="AC214" s="655" t="str">
        <f t="shared" si="130"/>
        <v>x</v>
      </c>
      <c r="AD214" s="655" t="str">
        <f>IF(ISBLANK(I214),"x",IF(ISNUMBER(MATCH(I214,'Inputs Mapping'!$AF$5:$AF$199,0)),"","x"))</f>
        <v>x</v>
      </c>
      <c r="AE214" s="655" t="str">
        <f t="shared" si="115"/>
        <v>Abu Dhabi</v>
      </c>
      <c r="AF214" s="148"/>
      <c r="AG214" s="148"/>
      <c r="AH214" s="148" t="str">
        <f t="shared" si="116"/>
        <v>CAbu Dhabi</v>
      </c>
      <c r="AI214" s="654" t="str">
        <f>IF(J214="","",VLOOKUP(J214,'Inputs Mapping'!$T$27:$V$31,3))</f>
        <v>0-17</v>
      </c>
      <c r="AJ214" s="654" t="str">
        <f>IF(J214="","",VLOOKUP(J214,'Inputs Mapping'!$T$17:$V$24,3))</f>
        <v>0 - 17</v>
      </c>
      <c r="AK214" s="654">
        <f t="shared" si="131"/>
        <v>0</v>
      </c>
      <c r="AL214" s="655">
        <f t="shared" si="132"/>
        <v>0</v>
      </c>
      <c r="AM214" s="655">
        <f>IF(F214="","",IF(G214="Dubai",HLOOKUP(F214,Inputs!$C$26:$M$36,5,0),HLOOKUP(F214,Inputs!$C$45:$M$49,5,0)))</f>
        <v>0</v>
      </c>
      <c r="AN214" s="655" t="str">
        <f t="shared" si="133"/>
        <v>Abu Dhabi</v>
      </c>
      <c r="AO214" s="654">
        <f>IF(AJ214="","",IF(AN214="Dubai",VLOOKUP(AJ214,'Inputs Mapping'!$V$17:$W$24,2,0),VLOOKUP(AI214,'Inputs Mapping'!$V$27:$W$31,2,0)))</f>
        <v>2</v>
      </c>
      <c r="AP214" s="685">
        <f>IFERROR(IF($AN214="","",HLOOKUP($AN214&amp;RIGHT($AL214,1),'input for formula'!$B$16:$I$20,3,0)),0)</f>
        <v>0</v>
      </c>
      <c r="AQ214" s="686">
        <f>IFERROR(IF($AN214="","",HLOOKUP($AN214&amp;$F214,'input for formula'!$B$22:$M$25,2,0)),0)</f>
        <v>0</v>
      </c>
      <c r="AR214" s="685">
        <f>IFERROR(IF($AN214="","",HLOOKUP($AN214&amp;RIGHT($AL214,1),'input for formula'!$B$16:$I$20,4,0)),0)</f>
        <v>0</v>
      </c>
      <c r="AS214" s="686">
        <f>IFERROR(IF($AN214="","",HLOOKUP($AN214&amp;$F214,'input for formula'!$B$22:$M$25,3,0)),0)</f>
        <v>0</v>
      </c>
      <c r="AT214" s="686">
        <f>IFERROR(IF($AN214="","",HLOOKUP($AN214&amp;RIGHT($AL214,1),'input for formula'!$B$16:$I$20,5,0)),0)</f>
        <v>0</v>
      </c>
      <c r="AU214" s="686">
        <f>IFERROR(IF($AN214="","",HLOOKUP($AN214&amp;$F214,'input for formula'!$B$22:$M$25,4,0)),0)</f>
        <v>0</v>
      </c>
      <c r="AV214" s="666">
        <f>IFERROR(IF($AN214="","",IF('Census Data'!$AN214="Abu Dhabi",VLOOKUP('Census Data'!$AM214,'input for formula'!$A$28:$C$41,3,0),VLOOKUP('Census Data'!$AM214,'input for formula'!$A$28:$C$47,2,0))),0)*IFERROR(1+IF(AN214="Dubai",VLOOKUP(F214,'Quotation for Dubai Plans'!$V$6:$X$12,3,FALSE),VLOOKUP(F214,'Quotation for Abu Dhabi Plans'!$W$6:$Y$12,3,FALSE)),0)</f>
        <v>0</v>
      </c>
      <c r="AW214" s="686">
        <f t="shared" si="134"/>
        <v>0</v>
      </c>
      <c r="AX214" s="687">
        <f>IFERROR(IF(AL214="","",IF(AN214="Dubai",HLOOKUP((AL214&amp;AM214),Deviation!$B$7:$S$8,2,0)*BF214*BH214*BI214*BG214,HLOOKUP((AL214&amp;AM214),Deviation!$B$9:$O$10,2,0)*BF214*BH214*BI214*BG214)),0)</f>
        <v>0</v>
      </c>
      <c r="AY214" s="668">
        <f>IF(AL214="","",IFERROR(IF(AL214="","",IF(AN214="Dubai",HLOOKUP(AZ214,'input for formula'!$B$3:$F$10,AO214,FALSE), IF(AND(H214="Employee",AN214="Abu Dhabi"),HLOOKUP(AZ214,'input for formula'!$I$3:$K$7,AO214,FALSE),HLOOKUP(AZ214,'input for formula'!$M$3:$O$7,AO214,FALSE)))*AX214+AP214*AQ214+AR214*AS214+AT214*AU214),0)*$AZ$3*BK214*BJ214)*IF(AND(Inputs!$C$19&gt;19,Inputs!$C$19&lt;30),(1+$AZ$2),1)</f>
        <v>0</v>
      </c>
      <c r="AZ214" s="148" t="str">
        <f t="shared" si="84"/>
        <v>Abu Dhabi0</v>
      </c>
      <c r="BA214" s="688">
        <f>IF(F214="","",IF(G214="Dubai",HLOOKUP(F214,Inputs!$C$26:$M$37,9,0),HLOOKUP(F214,Inputs!$C$45:$M$56,9,0)))</f>
        <v>0</v>
      </c>
      <c r="BB214" s="689">
        <f>IF(F214="","",IF(G214="Dubai",HLOOKUP(F214,Inputs!$C$26:$M$37,10,0),HLOOKUP(F214,Inputs!$C$45:$M$56,10,0)))</f>
        <v>0</v>
      </c>
      <c r="BC214" s="689">
        <f>IF(F214="","",IF(G214="Dubai",HLOOKUP(F214,Inputs!$C$26:$M$37,11,0),HLOOKUP(F214,Inputs!$C$45:$M$56,11,0)))</f>
        <v>0</v>
      </c>
      <c r="BD214" s="688" t="str">
        <f>IF(F214="","",IF(G214="Dubai",HLOOKUP(F214,Inputs!$C$26:$M$37,12,0),HLOOKUP(F214,Inputs!$C$45:$M$56,12,0)))</f>
        <v/>
      </c>
      <c r="BE214" s="654"/>
      <c r="BF214" s="688">
        <f>IFERROR(IF(AL214="","",IF(AN214="Dubai",IF(OR(AL214="Plan1",AL214="Plan2"),VLOOKUP(BA214,Deviation!$B$31:$D$33,2,FALSE),VLOOKUP(BA214,Deviation!$B$31:$D$33,3,FALSE)),IF(OR(AL214="Plan1",AL214="Plan2"),VLOOKUP(BA214,Deviation!$E$31:$AE$33,2,FALSE),VLOOKUP(BA214,Deviation!$E$31:$AE$33,3,FALSE)))),0)</f>
        <v>1.125</v>
      </c>
      <c r="BG214" s="690">
        <f>IFERROR(IF(AL214="","",IF(AN214="Dubai",IF(AL214="Plan1",VLOOKUP(BB214,Deviation!$B$39:$C$40,2,FALSE),IF(AL214="Plan2",VLOOKUP(BB214,Deviation!$B$42:$C$43,2,FALSE),IF(AL214="Plan5",VLOOKUP(BB214,Deviation!$B$48:$C$49,2,FALSE),VLOOKUP(BB214,Deviation!$B$45:$C$46,2,FALSE)))),IF(AL214="Plan1",VLOOKUP(BB214,Deviation!$E$39:$F$40,2,FALSE),IF(AL214="Plan2",VLOOKUP(BB214,Deviation!$E$42:$F$43,2,FALSE),VLOOKUP(BB214,Deviation!$E$45:$F$46,2,FALSE))))),0)</f>
        <v>0</v>
      </c>
      <c r="BH214" s="690">
        <f>IFERROR(IF(AL214="","",IF(AN214="Dubai",IF(OR(AL214="Plan1",AL214="Plan2"),VLOOKUP(BC214,Deviation!$B$15:$D$19,2,FALSE),VLOOKUP(BC214,Deviation!$B$15:$D$19,3,FALSE)),IF(OR(AL214="Plan1",AL214="Plan2"),VLOOKUP(BC214,Deviation!$E$15:$AE$19,2,FALSE),VLOOKUP(BC214,Deviation!$E$15:$AE$19,3,FALSE)))),0)</f>
        <v>0</v>
      </c>
      <c r="BI214" s="691">
        <f>IFERROR(IF(AL214="","",IF(AN214="Dubai",VLOOKUP(BD214,Deviation!$B$24:$C$26,2,FALSE),100%)),0)</f>
        <v>1</v>
      </c>
      <c r="BJ214" s="672">
        <f>IF(AE214="Abu Dhabi",1,IFERROR(VLOOKUP(AM214,Deviation!$B$67:$E$79,MATCH('Census Data'!AA214,Deviation!$B$66:$E$66,0),0),1))</f>
        <v>1</v>
      </c>
      <c r="BK214" s="659">
        <f>IFERROR(VLOOKUP(I214,Deviation!$B$54:$C$62,2,0),1)</f>
        <v>1</v>
      </c>
      <c r="BL214" s="148"/>
      <c r="BM214" s="148"/>
      <c r="BN214" s="148"/>
      <c r="BO214" s="148"/>
      <c r="BP214" s="148"/>
      <c r="BQ214" s="148"/>
      <c r="BR214" s="148"/>
      <c r="BS214" s="148"/>
      <c r="BT214" s="148">
        <f t="shared" si="119"/>
        <v>0</v>
      </c>
    </row>
    <row r="215" spans="1:72" ht="15" hidden="1" x14ac:dyDescent="0.25">
      <c r="A215" s="495"/>
      <c r="B215" s="470"/>
      <c r="C215" s="496"/>
      <c r="D215" s="94" t="s">
        <v>169</v>
      </c>
      <c r="E215" s="94" t="s">
        <v>173</v>
      </c>
      <c r="F215" s="94" t="s">
        <v>65</v>
      </c>
      <c r="G215" s="94" t="s">
        <v>174</v>
      </c>
      <c r="H215" s="94" t="s">
        <v>165</v>
      </c>
      <c r="I215" s="94"/>
      <c r="J215" s="80">
        <v>40</v>
      </c>
      <c r="K215" s="59">
        <f>IF(F215="","",IF(G215="Dubai",HLOOKUP(F215,Inputs!$C$26:$M$28,3,0),HLOOKUP(F215,Inputs!$C$45:$M$46,2,0)))</f>
        <v>0</v>
      </c>
      <c r="L215" s="94"/>
      <c r="M215" s="105">
        <f t="shared" si="68"/>
        <v>-2</v>
      </c>
      <c r="N215" s="654" t="b">
        <f t="shared" si="122"/>
        <v>1</v>
      </c>
      <c r="O215" s="655" t="str">
        <f t="shared" si="123"/>
        <v>x</v>
      </c>
      <c r="P215" s="655" t="str">
        <f t="shared" si="124"/>
        <v/>
      </c>
      <c r="Q215" s="655" t="str">
        <f t="shared" si="125"/>
        <v/>
      </c>
      <c r="R215" s="655" t="str">
        <f t="shared" si="126"/>
        <v/>
      </c>
      <c r="S215" s="655" t="str">
        <f t="shared" si="127"/>
        <v/>
      </c>
      <c r="T215" s="655" t="str">
        <f>IF(ISERROR(MATCH(G215,'Inputs Mapping'!$T$4:$T$5,0)),"x","")</f>
        <v/>
      </c>
      <c r="U215" s="655" t="str">
        <f>IF(ISERROR(MATCH(AA215,'Inputs Mapping'!$U$4:$U$5,0)),"x","")</f>
        <v/>
      </c>
      <c r="V215" s="655" t="str">
        <f>IF(ISERROR(MATCH(AB215,'Inputs Mapping'!$V$4:$V$5,0)),"x","")</f>
        <v/>
      </c>
      <c r="W215" s="655" t="str">
        <f>IF(ISERROR(MATCH(F215,'Inputs Mapping'!$W$4:$W$8,0)),"x","")</f>
        <v/>
      </c>
      <c r="X215" s="655" t="str">
        <f t="shared" si="128"/>
        <v/>
      </c>
      <c r="Y215" s="655" t="str">
        <f t="shared" si="129"/>
        <v/>
      </c>
      <c r="Z215" s="655" t="str">
        <f t="shared" si="76"/>
        <v/>
      </c>
      <c r="AA215" s="655" t="str">
        <f t="shared" si="114"/>
        <v>M</v>
      </c>
      <c r="AB215" s="655" t="str">
        <f t="shared" si="79"/>
        <v>S</v>
      </c>
      <c r="AC215" s="655" t="str">
        <f t="shared" si="130"/>
        <v/>
      </c>
      <c r="AD215" s="655" t="str">
        <f>IF(ISBLANK(I215),"x",IF(ISNUMBER(MATCH(I215,'Inputs Mapping'!$AF$5:$AF$199,0)),"","x"))</f>
        <v>x</v>
      </c>
      <c r="AE215" s="655" t="str">
        <f t="shared" si="115"/>
        <v>Abu Dhabi</v>
      </c>
      <c r="AF215" s="148"/>
      <c r="AG215" s="148"/>
      <c r="AH215" s="148" t="str">
        <f t="shared" si="116"/>
        <v>CAbu Dhabi</v>
      </c>
      <c r="AI215" s="654" t="str">
        <f>IF(J215="","",VLOOKUP(J215,'Inputs Mapping'!$T$27:$V$31,3))</f>
        <v>18-40</v>
      </c>
      <c r="AJ215" s="654" t="str">
        <f>IF(J215="","",VLOOKUP(J215,'Inputs Mapping'!$T$17:$V$24,3))</f>
        <v>36 - 45</v>
      </c>
      <c r="AK215" s="654">
        <f t="shared" si="131"/>
        <v>0</v>
      </c>
      <c r="AL215" s="655">
        <f t="shared" si="132"/>
        <v>0</v>
      </c>
      <c r="AM215" s="655">
        <f>IF(F215="","",IF(G215="Dubai",HLOOKUP(F215,Inputs!$C$26:$M$36,5,0),HLOOKUP(F215,Inputs!$C$45:$M$49,5,0)))</f>
        <v>0</v>
      </c>
      <c r="AN215" s="655" t="str">
        <f t="shared" si="133"/>
        <v>Abu Dhabi</v>
      </c>
      <c r="AO215" s="654">
        <f>IF(AJ215="","",IF(AN215="Dubai",VLOOKUP(AJ215,'Inputs Mapping'!$V$17:$W$24,2,0),VLOOKUP(AI215,'Inputs Mapping'!$V$27:$W$31,2,0)))</f>
        <v>3</v>
      </c>
      <c r="AP215" s="685">
        <f>IFERROR(IF($AN215="","",HLOOKUP($AN215&amp;RIGHT($AL215,1),'input for formula'!$B$16:$I$20,3,0)),0)</f>
        <v>0</v>
      </c>
      <c r="AQ215" s="686">
        <f>IFERROR(IF($AN215="","",HLOOKUP($AN215&amp;$F215,'input for formula'!$B$22:$M$25,2,0)),0)</f>
        <v>0</v>
      </c>
      <c r="AR215" s="685">
        <f>IFERROR(IF($AN215="","",HLOOKUP($AN215&amp;RIGHT($AL215,1),'input for formula'!$B$16:$I$20,4,0)),0)</f>
        <v>0</v>
      </c>
      <c r="AS215" s="686">
        <f>IFERROR(IF($AN215="","",HLOOKUP($AN215&amp;$F215,'input for formula'!$B$22:$M$25,3,0)),0)</f>
        <v>0</v>
      </c>
      <c r="AT215" s="686">
        <f>IFERROR(IF($AN215="","",HLOOKUP($AN215&amp;RIGHT($AL215,1),'input for formula'!$B$16:$I$20,5,0)),0)</f>
        <v>0</v>
      </c>
      <c r="AU215" s="686">
        <f>IFERROR(IF($AN215="","",HLOOKUP($AN215&amp;$F215,'input for formula'!$B$22:$M$25,4,0)),0)</f>
        <v>0</v>
      </c>
      <c r="AV215" s="666">
        <f>IFERROR(IF($AN215="","",IF('Census Data'!$AN215="Abu Dhabi",VLOOKUP('Census Data'!$AM215,'input for formula'!$A$28:$C$41,3,0),VLOOKUP('Census Data'!$AM215,'input for formula'!$A$28:$C$47,2,0))),0)*IFERROR(1+IF(AN215="Dubai",VLOOKUP(F215,'Quotation for Dubai Plans'!$V$6:$X$12,3,FALSE),VLOOKUP(F215,'Quotation for Abu Dhabi Plans'!$W$6:$Y$12,3,FALSE)),0)</f>
        <v>0</v>
      </c>
      <c r="AW215" s="686">
        <f t="shared" si="134"/>
        <v>0</v>
      </c>
      <c r="AX215" s="687">
        <f>IFERROR(IF(AL215="","",IF(AN215="Dubai",HLOOKUP((AL215&amp;AM215),Deviation!$B$7:$S$8,2,0)*BF215*BH215*BI215*BG215,HLOOKUP((AL215&amp;AM215),Deviation!$B$9:$O$10,2,0)*BF215*BH215*BI215*BG215)),0)</f>
        <v>0</v>
      </c>
      <c r="AY215" s="668">
        <f>IF(AL215="","",IFERROR(IF(AL215="","",IF(AN215="Dubai",HLOOKUP(AZ215,'input for formula'!$B$3:$F$10,AO215,FALSE), IF(AND(H215="Employee",AN215="Abu Dhabi"),HLOOKUP(AZ215,'input for formula'!$I$3:$K$7,AO215,FALSE),HLOOKUP(AZ215,'input for formula'!$M$3:$O$7,AO215,FALSE)))*AX215+AP215*AQ215+AR215*AS215+AT215*AU215),0)*$AZ$3*BK215*BJ215)*IF(AND(Inputs!$C$19&gt;19,Inputs!$C$19&lt;30),(1+$AZ$2),1)</f>
        <v>0</v>
      </c>
      <c r="AZ215" s="148" t="str">
        <f t="shared" si="84"/>
        <v>Abu Dhabi0</v>
      </c>
      <c r="BA215" s="688">
        <f>IF(F215="","",IF(G215="Dubai",HLOOKUP(F215,Inputs!$C$26:$M$37,9,0),HLOOKUP(F215,Inputs!$C$45:$M$56,9,0)))</f>
        <v>0</v>
      </c>
      <c r="BB215" s="689">
        <f>IF(F215="","",IF(G215="Dubai",HLOOKUP(F215,Inputs!$C$26:$M$37,10,0),HLOOKUP(F215,Inputs!$C$45:$M$56,10,0)))</f>
        <v>0</v>
      </c>
      <c r="BC215" s="689">
        <f>IF(F215="","",IF(G215="Dubai",HLOOKUP(F215,Inputs!$C$26:$M$37,11,0),HLOOKUP(F215,Inputs!$C$45:$M$56,11,0)))</f>
        <v>0</v>
      </c>
      <c r="BD215" s="688" t="str">
        <f>IF(F215="","",IF(G215="Dubai",HLOOKUP(F215,Inputs!$C$26:$M$37,12,0),HLOOKUP(F215,Inputs!$C$45:$M$56,12,0)))</f>
        <v/>
      </c>
      <c r="BE215" s="654"/>
      <c r="BF215" s="688">
        <f>IFERROR(IF(AL215="","",IF(AN215="Dubai",IF(OR(AL215="Plan1",AL215="Plan2"),VLOOKUP(BA215,Deviation!$B$31:$D$33,2,FALSE),VLOOKUP(BA215,Deviation!$B$31:$D$33,3,FALSE)),IF(OR(AL215="Plan1",AL215="Plan2"),VLOOKUP(BA215,Deviation!$E$31:$AE$33,2,FALSE),VLOOKUP(BA215,Deviation!$E$31:$AE$33,3,FALSE)))),0)</f>
        <v>1.125</v>
      </c>
      <c r="BG215" s="690">
        <f>IFERROR(IF(AL215="","",IF(AN215="Dubai",IF(AL215="Plan1",VLOOKUP(BB215,Deviation!$B$39:$C$40,2,FALSE),IF(AL215="Plan2",VLOOKUP(BB215,Deviation!$B$42:$C$43,2,FALSE),IF(AL215="Plan5",VLOOKUP(BB215,Deviation!$B$48:$C$49,2,FALSE),VLOOKUP(BB215,Deviation!$B$45:$C$46,2,FALSE)))),IF(AL215="Plan1",VLOOKUP(BB215,Deviation!$E$39:$F$40,2,FALSE),IF(AL215="Plan2",VLOOKUP(BB215,Deviation!$E$42:$F$43,2,FALSE),VLOOKUP(BB215,Deviation!$E$45:$F$46,2,FALSE))))),0)</f>
        <v>0</v>
      </c>
      <c r="BH215" s="690">
        <f>IFERROR(IF(AL215="","",IF(AN215="Dubai",IF(OR(AL215="Plan1",AL215="Plan2"),VLOOKUP(BC215,Deviation!$B$15:$D$19,2,FALSE),VLOOKUP(BC215,Deviation!$B$15:$D$19,3,FALSE)),IF(OR(AL215="Plan1",AL215="Plan2"),VLOOKUP(BC215,Deviation!$E$15:$AE$19,2,FALSE),VLOOKUP(BC215,Deviation!$E$15:$AE$19,3,FALSE)))),0)</f>
        <v>0</v>
      </c>
      <c r="BI215" s="691">
        <f>IFERROR(IF(AL215="","",IF(AN215="Dubai",VLOOKUP(BD215,Deviation!$B$24:$C$26,2,FALSE),100%)),0)</f>
        <v>1</v>
      </c>
      <c r="BJ215" s="672">
        <f>IF(AE215="Abu Dhabi",1,IFERROR(VLOOKUP(AM215,Deviation!$B$67:$E$79,MATCH('Census Data'!AA215,Deviation!$B$66:$E$66,0),0),1))</f>
        <v>1</v>
      </c>
      <c r="BK215" s="659">
        <f>IFERROR(VLOOKUP(I215,Deviation!$B$54:$C$62,2,0),1)</f>
        <v>1</v>
      </c>
      <c r="BL215" s="148"/>
      <c r="BM215" s="148"/>
      <c r="BN215" s="148"/>
      <c r="BO215" s="148"/>
      <c r="BP215" s="148"/>
      <c r="BQ215" s="148"/>
      <c r="BR215" s="148"/>
      <c r="BS215" s="148"/>
      <c r="BT215" s="148">
        <f t="shared" si="119"/>
        <v>0</v>
      </c>
    </row>
    <row r="216" spans="1:72" ht="15" hidden="1" x14ac:dyDescent="0.25">
      <c r="A216" s="497"/>
      <c r="B216" s="470"/>
      <c r="C216" s="496"/>
      <c r="D216" s="94" t="s">
        <v>169</v>
      </c>
      <c r="E216" s="94" t="s">
        <v>173</v>
      </c>
      <c r="F216" s="94" t="s">
        <v>65</v>
      </c>
      <c r="G216" s="94" t="s">
        <v>174</v>
      </c>
      <c r="H216" s="94" t="s">
        <v>165</v>
      </c>
      <c r="I216" s="94"/>
      <c r="J216" s="80">
        <v>59</v>
      </c>
      <c r="K216" s="59">
        <f>IF(F216="","",IF(G216="Dubai",HLOOKUP(F216,Inputs!$C$26:$M$28,3,0),HLOOKUP(F216,Inputs!$C$45:$M$46,2,0)))</f>
        <v>0</v>
      </c>
      <c r="L216" s="94"/>
      <c r="M216" s="105">
        <f t="shared" si="68"/>
        <v>-2</v>
      </c>
      <c r="N216" s="654" t="b">
        <f t="shared" si="122"/>
        <v>1</v>
      </c>
      <c r="O216" s="655" t="str">
        <f t="shared" si="123"/>
        <v>x</v>
      </c>
      <c r="P216" s="655" t="str">
        <f t="shared" si="124"/>
        <v/>
      </c>
      <c r="Q216" s="655" t="str">
        <f t="shared" si="125"/>
        <v/>
      </c>
      <c r="R216" s="655" t="str">
        <f t="shared" si="126"/>
        <v/>
      </c>
      <c r="S216" s="655" t="str">
        <f t="shared" si="127"/>
        <v/>
      </c>
      <c r="T216" s="655" t="str">
        <f>IF(ISERROR(MATCH(G216,'Inputs Mapping'!$T$4:$T$5,0)),"x","")</f>
        <v/>
      </c>
      <c r="U216" s="655" t="str">
        <f>IF(ISERROR(MATCH(AA216,'Inputs Mapping'!$U$4:$U$5,0)),"x","")</f>
        <v/>
      </c>
      <c r="V216" s="655" t="str">
        <f>IF(ISERROR(MATCH(AB216,'Inputs Mapping'!$V$4:$V$5,0)),"x","")</f>
        <v/>
      </c>
      <c r="W216" s="655" t="str">
        <f>IF(ISERROR(MATCH(F216,'Inputs Mapping'!$W$4:$W$8,0)),"x","")</f>
        <v/>
      </c>
      <c r="X216" s="655" t="str">
        <f t="shared" si="128"/>
        <v/>
      </c>
      <c r="Y216" s="655" t="str">
        <f t="shared" si="129"/>
        <v/>
      </c>
      <c r="Z216" s="655" t="str">
        <f t="shared" si="76"/>
        <v/>
      </c>
      <c r="AA216" s="655" t="str">
        <f t="shared" si="114"/>
        <v>M</v>
      </c>
      <c r="AB216" s="655" t="str">
        <f t="shared" si="79"/>
        <v>S</v>
      </c>
      <c r="AC216" s="655" t="str">
        <f t="shared" si="130"/>
        <v/>
      </c>
      <c r="AD216" s="655" t="str">
        <f>IF(ISBLANK(I216),"x",IF(ISNUMBER(MATCH(I216,'Inputs Mapping'!$AF$5:$AF$199,0)),"","x"))</f>
        <v>x</v>
      </c>
      <c r="AE216" s="655" t="str">
        <f t="shared" si="115"/>
        <v>Abu Dhabi</v>
      </c>
      <c r="AF216" s="148"/>
      <c r="AG216" s="148"/>
      <c r="AH216" s="148" t="str">
        <f t="shared" si="116"/>
        <v>CAbu Dhabi</v>
      </c>
      <c r="AI216" s="654" t="str">
        <f>IF(J216="","",VLOOKUP(J216,'Inputs Mapping'!$T$27:$V$31,3))</f>
        <v>41-59</v>
      </c>
      <c r="AJ216" s="654" t="str">
        <f>IF(J216="","",VLOOKUP(J216,'Inputs Mapping'!$T$17:$V$24,3))</f>
        <v>56 - 60</v>
      </c>
      <c r="AK216" s="654">
        <f t="shared" si="131"/>
        <v>0</v>
      </c>
      <c r="AL216" s="655">
        <f t="shared" si="132"/>
        <v>0</v>
      </c>
      <c r="AM216" s="655">
        <f>IF(F216="","",IF(G216="Dubai",HLOOKUP(F216,Inputs!$C$26:$M$36,5,0),HLOOKUP(F216,Inputs!$C$45:$M$49,5,0)))</f>
        <v>0</v>
      </c>
      <c r="AN216" s="655" t="str">
        <f t="shared" si="133"/>
        <v>Abu Dhabi</v>
      </c>
      <c r="AO216" s="654">
        <f>IF(AJ216="","",IF(AN216="Dubai",VLOOKUP(AJ216,'Inputs Mapping'!$V$17:$W$24,2,0),VLOOKUP(AI216,'Inputs Mapping'!$V$27:$W$31,2,0)))</f>
        <v>4</v>
      </c>
      <c r="AP216" s="685">
        <f>IFERROR(IF($AN216="","",HLOOKUP($AN216&amp;RIGHT($AL216,1),'input for formula'!$B$16:$I$20,3,0)),0)</f>
        <v>0</v>
      </c>
      <c r="AQ216" s="686">
        <f>IFERROR(IF($AN216="","",HLOOKUP($AN216&amp;$F216,'input for formula'!$B$22:$M$25,2,0)),0)</f>
        <v>0</v>
      </c>
      <c r="AR216" s="685">
        <f>IFERROR(IF($AN216="","",HLOOKUP($AN216&amp;RIGHT($AL216,1),'input for formula'!$B$16:$I$20,4,0)),0)</f>
        <v>0</v>
      </c>
      <c r="AS216" s="686">
        <f>IFERROR(IF($AN216="","",HLOOKUP($AN216&amp;$F216,'input for formula'!$B$22:$M$25,3,0)),0)</f>
        <v>0</v>
      </c>
      <c r="AT216" s="686">
        <f>IFERROR(IF($AN216="","",HLOOKUP($AN216&amp;RIGHT($AL216,1),'input for formula'!$B$16:$I$20,5,0)),0)</f>
        <v>0</v>
      </c>
      <c r="AU216" s="686">
        <f>IFERROR(IF($AN216="","",HLOOKUP($AN216&amp;$F216,'input for formula'!$B$22:$M$25,4,0)),0)</f>
        <v>0</v>
      </c>
      <c r="AV216" s="666">
        <f>IFERROR(IF($AN216="","",IF('Census Data'!$AN216="Abu Dhabi",VLOOKUP('Census Data'!$AM216,'input for formula'!$A$28:$C$41,3,0),VLOOKUP('Census Data'!$AM216,'input for formula'!$A$28:$C$47,2,0))),0)*IFERROR(1+IF(AN216="Dubai",VLOOKUP(F216,'Quotation for Dubai Plans'!$V$6:$X$12,3,FALSE),VLOOKUP(F216,'Quotation for Abu Dhabi Plans'!$W$6:$Y$12,3,FALSE)),0)</f>
        <v>0</v>
      </c>
      <c r="AW216" s="686">
        <f t="shared" si="134"/>
        <v>0</v>
      </c>
      <c r="AX216" s="687">
        <f>IFERROR(IF(AL216="","",IF(AN216="Dubai",HLOOKUP((AL216&amp;AM216),Deviation!$B$7:$S$8,2,0)*BF216*BH216*BI216*BG216,HLOOKUP((AL216&amp;AM216),Deviation!$B$9:$O$10,2,0)*BF216*BH216*BI216*BG216)),0)</f>
        <v>0</v>
      </c>
      <c r="AY216" s="668">
        <f>IF(AL216="","",IFERROR(IF(AL216="","",IF(AN216="Dubai",HLOOKUP(AZ216,'input for formula'!$B$3:$F$10,AO216,FALSE), IF(AND(H216="Employee",AN216="Abu Dhabi"),HLOOKUP(AZ216,'input for formula'!$I$3:$K$7,AO216,FALSE),HLOOKUP(AZ216,'input for formula'!$M$3:$O$7,AO216,FALSE)))*AX216+AP216*AQ216+AR216*AS216+AT216*AU216),0)*$AZ$3*BK216*BJ216)*IF(AND(Inputs!$C$19&gt;19,Inputs!$C$19&lt;30),(1+$AZ$2),1)</f>
        <v>0</v>
      </c>
      <c r="AZ216" s="148" t="str">
        <f t="shared" si="84"/>
        <v>Abu Dhabi0</v>
      </c>
      <c r="BA216" s="688">
        <f>IF(F216="","",IF(G216="Dubai",HLOOKUP(F216,Inputs!$C$26:$M$37,9,0),HLOOKUP(F216,Inputs!$C$45:$M$56,9,0)))</f>
        <v>0</v>
      </c>
      <c r="BB216" s="689">
        <f>IF(F216="","",IF(G216="Dubai",HLOOKUP(F216,Inputs!$C$26:$M$37,10,0),HLOOKUP(F216,Inputs!$C$45:$M$56,10,0)))</f>
        <v>0</v>
      </c>
      <c r="BC216" s="689">
        <f>IF(F216="","",IF(G216="Dubai",HLOOKUP(F216,Inputs!$C$26:$M$37,11,0),HLOOKUP(F216,Inputs!$C$45:$M$56,11,0)))</f>
        <v>0</v>
      </c>
      <c r="BD216" s="688" t="str">
        <f>IF(F216="","",IF(G216="Dubai",HLOOKUP(F216,Inputs!$C$26:$M$37,12,0),HLOOKUP(F216,Inputs!$C$45:$M$56,12,0)))</f>
        <v/>
      </c>
      <c r="BE216" s="654"/>
      <c r="BF216" s="688">
        <f>IFERROR(IF(AL216="","",IF(AN216="Dubai",IF(OR(AL216="Plan1",AL216="Plan2"),VLOOKUP(BA216,Deviation!$B$31:$D$33,2,FALSE),VLOOKUP(BA216,Deviation!$B$31:$D$33,3,FALSE)),IF(OR(AL216="Plan1",AL216="Plan2"),VLOOKUP(BA216,Deviation!$E$31:$AE$33,2,FALSE),VLOOKUP(BA216,Deviation!$E$31:$AE$33,3,FALSE)))),0)</f>
        <v>1.125</v>
      </c>
      <c r="BG216" s="690">
        <f>IFERROR(IF(AL216="","",IF(AN216="Dubai",IF(AL216="Plan1",VLOOKUP(BB216,Deviation!$B$39:$C$40,2,FALSE),IF(AL216="Plan2",VLOOKUP(BB216,Deviation!$B$42:$C$43,2,FALSE),IF(AL216="Plan5",VLOOKUP(BB216,Deviation!$B$48:$C$49,2,FALSE),VLOOKUP(BB216,Deviation!$B$45:$C$46,2,FALSE)))),IF(AL216="Plan1",VLOOKUP(BB216,Deviation!$E$39:$F$40,2,FALSE),IF(AL216="Plan2",VLOOKUP(BB216,Deviation!$E$42:$F$43,2,FALSE),VLOOKUP(BB216,Deviation!$E$45:$F$46,2,FALSE))))),0)</f>
        <v>0</v>
      </c>
      <c r="BH216" s="690">
        <f>IFERROR(IF(AL216="","",IF(AN216="Dubai",IF(OR(AL216="Plan1",AL216="Plan2"),VLOOKUP(BC216,Deviation!$B$15:$D$19,2,FALSE),VLOOKUP(BC216,Deviation!$B$15:$D$19,3,FALSE)),IF(OR(AL216="Plan1",AL216="Plan2"),VLOOKUP(BC216,Deviation!$E$15:$AE$19,2,FALSE),VLOOKUP(BC216,Deviation!$E$15:$AE$19,3,FALSE)))),0)</f>
        <v>0</v>
      </c>
      <c r="BI216" s="691">
        <f>IFERROR(IF(AL216="","",IF(AN216="Dubai",VLOOKUP(BD216,Deviation!$B$24:$C$26,2,FALSE),100%)),0)</f>
        <v>1</v>
      </c>
      <c r="BJ216" s="672">
        <f>IF(AE216="Abu Dhabi",1,IFERROR(VLOOKUP(AM216,Deviation!$B$67:$E$79,MATCH('Census Data'!AA216,Deviation!$B$66:$E$66,0),0),1))</f>
        <v>1</v>
      </c>
      <c r="BK216" s="659">
        <f>IFERROR(VLOOKUP(I216,Deviation!$B$54:$C$62,2,0),1)</f>
        <v>1</v>
      </c>
      <c r="BL216" s="148"/>
      <c r="BM216" s="148"/>
      <c r="BN216" s="148"/>
      <c r="BO216" s="148"/>
      <c r="BP216" s="148"/>
      <c r="BQ216" s="148"/>
      <c r="BR216" s="148"/>
      <c r="BS216" s="148"/>
      <c r="BT216" s="148">
        <f t="shared" si="119"/>
        <v>0</v>
      </c>
    </row>
    <row r="217" spans="1:72" ht="15" hidden="1" x14ac:dyDescent="0.25">
      <c r="A217" s="495"/>
      <c r="B217" s="470"/>
      <c r="C217" s="496"/>
      <c r="D217" s="94" t="s">
        <v>169</v>
      </c>
      <c r="E217" s="94" t="s">
        <v>173</v>
      </c>
      <c r="F217" s="94" t="s">
        <v>65</v>
      </c>
      <c r="G217" s="94" t="s">
        <v>174</v>
      </c>
      <c r="H217" s="94" t="s">
        <v>165</v>
      </c>
      <c r="I217" s="94"/>
      <c r="J217" s="80">
        <v>67</v>
      </c>
      <c r="K217" s="59">
        <f>IF(F217="","",IF(G217="Dubai",HLOOKUP(F217,Inputs!$C$26:$M$28,3,0),HLOOKUP(F217,Inputs!$C$45:$M$46,2,0)))</f>
        <v>0</v>
      </c>
      <c r="L217" s="94"/>
      <c r="M217" s="105">
        <f t="shared" si="68"/>
        <v>-2</v>
      </c>
      <c r="N217" s="654" t="b">
        <f t="shared" si="122"/>
        <v>1</v>
      </c>
      <c r="O217" s="655" t="str">
        <f t="shared" si="123"/>
        <v>x</v>
      </c>
      <c r="P217" s="655" t="str">
        <f t="shared" si="124"/>
        <v/>
      </c>
      <c r="Q217" s="655" t="str">
        <f t="shared" si="125"/>
        <v/>
      </c>
      <c r="R217" s="655" t="str">
        <f t="shared" si="126"/>
        <v/>
      </c>
      <c r="S217" s="655" t="str">
        <f t="shared" si="127"/>
        <v/>
      </c>
      <c r="T217" s="655" t="str">
        <f>IF(ISERROR(MATCH(G217,'Inputs Mapping'!$T$4:$T$5,0)),"x","")</f>
        <v/>
      </c>
      <c r="U217" s="655" t="str">
        <f>IF(ISERROR(MATCH(AA217,'Inputs Mapping'!$U$4:$U$5,0)),"x","")</f>
        <v/>
      </c>
      <c r="V217" s="655" t="str">
        <f>IF(ISERROR(MATCH(AB217,'Inputs Mapping'!$V$4:$V$5,0)),"x","")</f>
        <v/>
      </c>
      <c r="W217" s="655" t="str">
        <f>IF(ISERROR(MATCH(F217,'Inputs Mapping'!$W$4:$W$8,0)),"x","")</f>
        <v/>
      </c>
      <c r="X217" s="655" t="str">
        <f t="shared" si="128"/>
        <v/>
      </c>
      <c r="Y217" s="655" t="str">
        <f t="shared" si="129"/>
        <v/>
      </c>
      <c r="Z217" s="655" t="str">
        <f t="shared" si="76"/>
        <v/>
      </c>
      <c r="AA217" s="655" t="str">
        <f t="shared" si="114"/>
        <v>M</v>
      </c>
      <c r="AB217" s="655" t="str">
        <f t="shared" si="79"/>
        <v>S</v>
      </c>
      <c r="AC217" s="655" t="str">
        <f t="shared" si="130"/>
        <v/>
      </c>
      <c r="AD217" s="655" t="str">
        <f>IF(ISBLANK(I217),"x",IF(ISNUMBER(MATCH(I217,'Inputs Mapping'!$AF$5:$AF$199,0)),"","x"))</f>
        <v>x</v>
      </c>
      <c r="AE217" s="655" t="str">
        <f t="shared" si="115"/>
        <v>Abu Dhabi</v>
      </c>
      <c r="AF217" s="148"/>
      <c r="AG217" s="148"/>
      <c r="AH217" s="148" t="str">
        <f t="shared" si="116"/>
        <v>CAbu Dhabi</v>
      </c>
      <c r="AI217" s="654" t="str">
        <f>IF(J217="","",VLOOKUP(J217,'Inputs Mapping'!$T$27:$V$31,3))</f>
        <v>60-69</v>
      </c>
      <c r="AJ217" s="654" t="str">
        <f>IF(J217="","",VLOOKUP(J217,'Inputs Mapping'!$T$17:$V$24,3))</f>
        <v>66 - 69</v>
      </c>
      <c r="AK217" s="654">
        <f t="shared" si="131"/>
        <v>0</v>
      </c>
      <c r="AL217" s="655">
        <f t="shared" si="132"/>
        <v>0</v>
      </c>
      <c r="AM217" s="655">
        <f>IF(F217="","",IF(G217="Dubai",HLOOKUP(F217,Inputs!$C$26:$M$36,5,0),HLOOKUP(F217,Inputs!$C$45:$M$49,5,0)))</f>
        <v>0</v>
      </c>
      <c r="AN217" s="655" t="str">
        <f t="shared" si="133"/>
        <v>Abu Dhabi</v>
      </c>
      <c r="AO217" s="654">
        <f>IF(AJ217="","",IF(AN217="Dubai",VLOOKUP(AJ217,'Inputs Mapping'!$V$17:$W$24,2,0),VLOOKUP(AI217,'Inputs Mapping'!$V$27:$W$31,2,0)))</f>
        <v>5</v>
      </c>
      <c r="AP217" s="685">
        <f>IFERROR(IF($AN217="","",HLOOKUP($AN217&amp;RIGHT($AL217,1),'input for formula'!$B$16:$I$20,3,0)),0)</f>
        <v>0</v>
      </c>
      <c r="AQ217" s="686">
        <f>IFERROR(IF($AN217="","",HLOOKUP($AN217&amp;$F217,'input for formula'!$B$22:$M$25,2,0)),0)</f>
        <v>0</v>
      </c>
      <c r="AR217" s="685">
        <f>IFERROR(IF($AN217="","",HLOOKUP($AN217&amp;RIGHT($AL217,1),'input for formula'!$B$16:$I$20,4,0)),0)</f>
        <v>0</v>
      </c>
      <c r="AS217" s="686">
        <f>IFERROR(IF($AN217="","",HLOOKUP($AN217&amp;$F217,'input for formula'!$B$22:$M$25,3,0)),0)</f>
        <v>0</v>
      </c>
      <c r="AT217" s="686">
        <f>IFERROR(IF($AN217="","",HLOOKUP($AN217&amp;RIGHT($AL217,1),'input for formula'!$B$16:$I$20,5,0)),0)</f>
        <v>0</v>
      </c>
      <c r="AU217" s="686">
        <f>IFERROR(IF($AN217="","",HLOOKUP($AN217&amp;$F217,'input for formula'!$B$22:$M$25,4,0)),0)</f>
        <v>0</v>
      </c>
      <c r="AV217" s="666">
        <f>IFERROR(IF($AN217="","",IF('Census Data'!$AN217="Abu Dhabi",VLOOKUP('Census Data'!$AM217,'input for formula'!$A$28:$C$41,3,0),VLOOKUP('Census Data'!$AM217,'input for formula'!$A$28:$C$47,2,0))),0)*IFERROR(1+IF(AN217="Dubai",VLOOKUP(F217,'Quotation for Dubai Plans'!$V$6:$X$12,3,FALSE),VLOOKUP(F217,'Quotation for Abu Dhabi Plans'!$W$6:$Y$12,3,FALSE)),0)</f>
        <v>0</v>
      </c>
      <c r="AW217" s="686">
        <f t="shared" si="134"/>
        <v>0</v>
      </c>
      <c r="AX217" s="687">
        <f>IFERROR(IF(AL217="","",IF(AN217="Dubai",HLOOKUP((AL217&amp;AM217),Deviation!$B$7:$S$8,2,0)*BF217*BH217*BI217*BG217,HLOOKUP((AL217&amp;AM217),Deviation!$B$9:$O$10,2,0)*BF217*BH217*BI217*BG217)),0)</f>
        <v>0</v>
      </c>
      <c r="AY217" s="668">
        <f>IF(AL217="","",IFERROR(IF(AL217="","",IF(AN217="Dubai",HLOOKUP(AZ217,'input for formula'!$B$3:$F$10,AO217,FALSE), IF(AND(H217="Employee",AN217="Abu Dhabi"),HLOOKUP(AZ217,'input for formula'!$I$3:$K$7,AO217,FALSE),HLOOKUP(AZ217,'input for formula'!$M$3:$O$7,AO217,FALSE)))*AX217+AP217*AQ217+AR217*AS217+AT217*AU217),0)*$AZ$3*BK217*BJ217)*IF(AND(Inputs!$C$19&gt;19,Inputs!$C$19&lt;30),(1+$AZ$2),1)</f>
        <v>0</v>
      </c>
      <c r="AZ217" s="148" t="str">
        <f t="shared" si="84"/>
        <v>Abu Dhabi0</v>
      </c>
      <c r="BA217" s="688">
        <f>IF(F217="","",IF(G217="Dubai",HLOOKUP(F217,Inputs!$C$26:$M$37,9,0),HLOOKUP(F217,Inputs!$C$45:$M$56,9,0)))</f>
        <v>0</v>
      </c>
      <c r="BB217" s="689">
        <f>IF(F217="","",IF(G217="Dubai",HLOOKUP(F217,Inputs!$C$26:$M$37,10,0),HLOOKUP(F217,Inputs!$C$45:$M$56,10,0)))</f>
        <v>0</v>
      </c>
      <c r="BC217" s="689">
        <f>IF(F217="","",IF(G217="Dubai",HLOOKUP(F217,Inputs!$C$26:$M$37,11,0),HLOOKUP(F217,Inputs!$C$45:$M$56,11,0)))</f>
        <v>0</v>
      </c>
      <c r="BD217" s="688" t="str">
        <f>IF(F217="","",IF(G217="Dubai",HLOOKUP(F217,Inputs!$C$26:$M$37,12,0),HLOOKUP(F217,Inputs!$C$45:$M$56,12,0)))</f>
        <v/>
      </c>
      <c r="BE217" s="654"/>
      <c r="BF217" s="688">
        <f>IFERROR(IF(AL217="","",IF(AN217="Dubai",IF(OR(AL217="Plan1",AL217="Plan2"),VLOOKUP(BA217,Deviation!$B$31:$D$33,2,FALSE),VLOOKUP(BA217,Deviation!$B$31:$D$33,3,FALSE)),IF(OR(AL217="Plan1",AL217="Plan2"),VLOOKUP(BA217,Deviation!$E$31:$AE$33,2,FALSE),VLOOKUP(BA217,Deviation!$E$31:$AE$33,3,FALSE)))),0)</f>
        <v>1.125</v>
      </c>
      <c r="BG217" s="690">
        <f>IFERROR(IF(AL217="","",IF(AN217="Dubai",IF(AL217="Plan1",VLOOKUP(BB217,Deviation!$B$39:$C$40,2,FALSE),IF(AL217="Plan2",VLOOKUP(BB217,Deviation!$B$42:$C$43,2,FALSE),IF(AL217="Plan5",VLOOKUP(BB217,Deviation!$B$48:$C$49,2,FALSE),VLOOKUP(BB217,Deviation!$B$45:$C$46,2,FALSE)))),IF(AL217="Plan1",VLOOKUP(BB217,Deviation!$E$39:$F$40,2,FALSE),IF(AL217="Plan2",VLOOKUP(BB217,Deviation!$E$42:$F$43,2,FALSE),VLOOKUP(BB217,Deviation!$E$45:$F$46,2,FALSE))))),0)</f>
        <v>0</v>
      </c>
      <c r="BH217" s="690">
        <f>IFERROR(IF(AL217="","",IF(AN217="Dubai",IF(OR(AL217="Plan1",AL217="Plan2"),VLOOKUP(BC217,Deviation!$B$15:$D$19,2,FALSE),VLOOKUP(BC217,Deviation!$B$15:$D$19,3,FALSE)),IF(OR(AL217="Plan1",AL217="Plan2"),VLOOKUP(BC217,Deviation!$E$15:$AE$19,2,FALSE),VLOOKUP(BC217,Deviation!$E$15:$AE$19,3,FALSE)))),0)</f>
        <v>0</v>
      </c>
      <c r="BI217" s="691">
        <f>IFERROR(IF(AL217="","",IF(AN217="Dubai",VLOOKUP(BD217,Deviation!$B$24:$C$26,2,FALSE),100%)),0)</f>
        <v>1</v>
      </c>
      <c r="BJ217" s="672">
        <f>IF(AE217="Abu Dhabi",1,IFERROR(VLOOKUP(AM217,Deviation!$B$67:$E$79,MATCH('Census Data'!AA217,Deviation!$B$66:$E$66,0),0),1))</f>
        <v>1</v>
      </c>
      <c r="BK217" s="659">
        <f>IFERROR(VLOOKUP(I217,Deviation!$B$54:$C$62,2,0),1)</f>
        <v>1</v>
      </c>
      <c r="BL217" s="148"/>
      <c r="BM217" s="148"/>
      <c r="BN217" s="148"/>
      <c r="BO217" s="148"/>
      <c r="BP217" s="148"/>
      <c r="BQ217" s="148"/>
      <c r="BR217" s="148"/>
      <c r="BS217" s="148"/>
      <c r="BT217" s="148">
        <f t="shared" si="119"/>
        <v>0</v>
      </c>
    </row>
    <row r="218" spans="1:72" ht="15" hidden="1" x14ac:dyDescent="0.25">
      <c r="A218" s="495"/>
      <c r="B218" s="470"/>
      <c r="C218" s="496"/>
      <c r="D218" s="94" t="s">
        <v>169</v>
      </c>
      <c r="E218" s="94" t="s">
        <v>173</v>
      </c>
      <c r="F218" s="94" t="s">
        <v>66</v>
      </c>
      <c r="G218" s="94" t="s">
        <v>174</v>
      </c>
      <c r="H218" s="94" t="s">
        <v>165</v>
      </c>
      <c r="I218" s="94"/>
      <c r="J218" s="80">
        <v>15</v>
      </c>
      <c r="K218" s="59">
        <f>IF(F218="","",IF(G218="Dubai",HLOOKUP(F218,Inputs!$C$26:$M$28,3,0),HLOOKUP(F218,Inputs!$C$45:$M$46,2,0)))</f>
        <v>0</v>
      </c>
      <c r="L218" s="94"/>
      <c r="M218" s="105">
        <f t="shared" si="68"/>
        <v>-2</v>
      </c>
      <c r="N218" s="654" t="b">
        <f t="shared" si="122"/>
        <v>1</v>
      </c>
      <c r="O218" s="655" t="str">
        <f t="shared" si="123"/>
        <v>x</v>
      </c>
      <c r="P218" s="655" t="str">
        <f t="shared" si="124"/>
        <v/>
      </c>
      <c r="Q218" s="655" t="str">
        <f t="shared" si="125"/>
        <v/>
      </c>
      <c r="R218" s="655" t="str">
        <f t="shared" si="126"/>
        <v/>
      </c>
      <c r="S218" s="655" t="str">
        <f t="shared" si="127"/>
        <v/>
      </c>
      <c r="T218" s="655" t="str">
        <f>IF(ISERROR(MATCH(G218,'Inputs Mapping'!$T$4:$T$5,0)),"x","")</f>
        <v/>
      </c>
      <c r="U218" s="655" t="str">
        <f>IF(ISERROR(MATCH(AA218,'Inputs Mapping'!$U$4:$U$5,0)),"x","")</f>
        <v/>
      </c>
      <c r="V218" s="655" t="str">
        <f>IF(ISERROR(MATCH(AB218,'Inputs Mapping'!$V$4:$V$5,0)),"x","")</f>
        <v/>
      </c>
      <c r="W218" s="655" t="str">
        <f>IF(ISERROR(MATCH(F218,'Inputs Mapping'!$W$4:$W$8,0)),"x","")</f>
        <v/>
      </c>
      <c r="X218" s="655" t="str">
        <f t="shared" si="128"/>
        <v/>
      </c>
      <c r="Y218" s="655" t="str">
        <f t="shared" si="129"/>
        <v/>
      </c>
      <c r="Z218" s="655" t="str">
        <f t="shared" si="76"/>
        <v/>
      </c>
      <c r="AA218" s="655" t="str">
        <f t="shared" si="114"/>
        <v>M</v>
      </c>
      <c r="AB218" s="655" t="str">
        <f t="shared" si="79"/>
        <v>S</v>
      </c>
      <c r="AC218" s="655" t="str">
        <f t="shared" si="130"/>
        <v>x</v>
      </c>
      <c r="AD218" s="655" t="str">
        <f>IF(ISBLANK(I218),"x",IF(ISNUMBER(MATCH(I218,'Inputs Mapping'!$AF$5:$AF$199,0)),"","x"))</f>
        <v>x</v>
      </c>
      <c r="AE218" s="655" t="str">
        <f t="shared" si="115"/>
        <v>Abu Dhabi</v>
      </c>
      <c r="AF218" s="148"/>
      <c r="AG218" s="148"/>
      <c r="AH218" s="148" t="str">
        <f t="shared" si="116"/>
        <v>DAbu Dhabi</v>
      </c>
      <c r="AI218" s="654" t="str">
        <f>IF(J218="","",VLOOKUP(J218,'Inputs Mapping'!$T$27:$V$31,3))</f>
        <v>0-17</v>
      </c>
      <c r="AJ218" s="654" t="str">
        <f>IF(J218="","",VLOOKUP(J218,'Inputs Mapping'!$T$17:$V$24,3))</f>
        <v>0 - 17</v>
      </c>
      <c r="AK218" s="654">
        <f t="shared" si="131"/>
        <v>0</v>
      </c>
      <c r="AL218" s="655">
        <f t="shared" si="132"/>
        <v>0</v>
      </c>
      <c r="AM218" s="655">
        <f>IF(F218="","",IF(G218="Dubai",HLOOKUP(F218,Inputs!$C$26:$M$36,5,0),HLOOKUP(F218,Inputs!$C$45:$M$49,5,0)))</f>
        <v>0</v>
      </c>
      <c r="AN218" s="655" t="str">
        <f t="shared" si="133"/>
        <v>Abu Dhabi</v>
      </c>
      <c r="AO218" s="654">
        <f>IF(AJ218="","",IF(AN218="Dubai",VLOOKUP(AJ218,'Inputs Mapping'!$V$17:$W$24,2,0),VLOOKUP(AI218,'Inputs Mapping'!$V$27:$W$31,2,0)))</f>
        <v>2</v>
      </c>
      <c r="AP218" s="685">
        <f>IFERROR(IF($AN218="","",HLOOKUP($AN218&amp;RIGHT($AL218,1),'input for formula'!$B$16:$I$20,3,0)),0)</f>
        <v>0</v>
      </c>
      <c r="AQ218" s="686">
        <f>IFERROR(IF($AN218="","",HLOOKUP($AN218&amp;$F218,'input for formula'!$B$22:$M$25,2,0)),0)</f>
        <v>0</v>
      </c>
      <c r="AR218" s="685">
        <f>IFERROR(IF($AN218="","",HLOOKUP($AN218&amp;RIGHT($AL218,1),'input for formula'!$B$16:$I$20,4,0)),0)</f>
        <v>0</v>
      </c>
      <c r="AS218" s="686">
        <f>IFERROR(IF($AN218="","",HLOOKUP($AN218&amp;$F218,'input for formula'!$B$22:$M$25,3,0)),0)</f>
        <v>0</v>
      </c>
      <c r="AT218" s="686">
        <f>IFERROR(IF($AN218="","",HLOOKUP($AN218&amp;RIGHT($AL218,1),'input for formula'!$B$16:$I$20,5,0)),0)</f>
        <v>0</v>
      </c>
      <c r="AU218" s="686">
        <f>IFERROR(IF($AN218="","",HLOOKUP($AN218&amp;$F218,'input for formula'!$B$22:$M$25,4,0)),0)</f>
        <v>0</v>
      </c>
      <c r="AV218" s="666">
        <f>IFERROR(IF($AN218="","",IF('Census Data'!$AN218="Abu Dhabi",VLOOKUP('Census Data'!$AM218,'input for formula'!$A$28:$C$41,3,0),VLOOKUP('Census Data'!$AM218,'input for formula'!$A$28:$C$47,2,0))),0)*IFERROR(1+IF(AN218="Dubai",VLOOKUP(F218,'Quotation for Dubai Plans'!$V$6:$X$12,3,FALSE),VLOOKUP(F218,'Quotation for Abu Dhabi Plans'!$W$6:$Y$12,3,FALSE)),0)</f>
        <v>0</v>
      </c>
      <c r="AW218" s="686">
        <f t="shared" si="134"/>
        <v>0</v>
      </c>
      <c r="AX218" s="687">
        <f>IFERROR(IF(AL218="","",IF(AN218="Dubai",HLOOKUP((AL218&amp;AM218),Deviation!$B$7:$S$8,2,0)*BF218*BH218*BI218*BG218,HLOOKUP((AL218&amp;AM218),Deviation!$B$9:$O$10,2,0)*BF218*BH218*BI218*BG218)),0)</f>
        <v>0</v>
      </c>
      <c r="AY218" s="668">
        <f>IF(AL218="","",IFERROR(IF(AL218="","",IF(AN218="Dubai",HLOOKUP(AZ218,'input for formula'!$B$3:$F$10,AO218,FALSE), IF(AND(H218="Employee",AN218="Abu Dhabi"),HLOOKUP(AZ218,'input for formula'!$I$3:$K$7,AO218,FALSE),HLOOKUP(AZ218,'input for formula'!$M$3:$O$7,AO218,FALSE)))*AX218+AP218*AQ218+AR218*AS218+AT218*AU218),0)*$AZ$3*BK218*BJ218)*IF(AND(Inputs!$C$19&gt;19,Inputs!$C$19&lt;30),(1+$AZ$2),1)</f>
        <v>0</v>
      </c>
      <c r="AZ218" s="148" t="str">
        <f t="shared" si="84"/>
        <v>Abu Dhabi0</v>
      </c>
      <c r="BA218" s="688">
        <f>IF(F218="","",IF(G218="Dubai",HLOOKUP(F218,Inputs!$C$26:$M$37,9,0),HLOOKUP(F218,Inputs!$C$45:$M$56,9,0)))</f>
        <v>0</v>
      </c>
      <c r="BB218" s="689">
        <f>IF(F218="","",IF(G218="Dubai",HLOOKUP(F218,Inputs!$C$26:$M$37,10,0),HLOOKUP(F218,Inputs!$C$45:$M$56,10,0)))</f>
        <v>0</v>
      </c>
      <c r="BC218" s="689">
        <f>IF(F218="","",IF(G218="Dubai",HLOOKUP(F218,Inputs!$C$26:$M$37,11,0),HLOOKUP(F218,Inputs!$C$45:$M$56,11,0)))</f>
        <v>0</v>
      </c>
      <c r="BD218" s="688" t="str">
        <f>IF(F218="","",IF(G218="Dubai",HLOOKUP(F218,Inputs!$C$26:$M$37,12,0),HLOOKUP(F218,Inputs!$C$45:$M$56,12,0)))</f>
        <v/>
      </c>
      <c r="BE218" s="654"/>
      <c r="BF218" s="688">
        <f>IFERROR(IF(AL218="","",IF(AN218="Dubai",IF(OR(AL218="Plan1",AL218="Plan2"),VLOOKUP(BA218,Deviation!$B$31:$D$33,2,FALSE),VLOOKUP(BA218,Deviation!$B$31:$D$33,3,FALSE)),IF(OR(AL218="Plan1",AL218="Plan2"),VLOOKUP(BA218,Deviation!$E$31:$AE$33,2,FALSE),VLOOKUP(BA218,Deviation!$E$31:$AE$33,3,FALSE)))),0)</f>
        <v>1.125</v>
      </c>
      <c r="BG218" s="690">
        <f>IFERROR(IF(AL218="","",IF(AN218="Dubai",IF(AL218="Plan1",VLOOKUP(BB218,Deviation!$B$39:$C$40,2,FALSE),IF(AL218="Plan2",VLOOKUP(BB218,Deviation!$B$42:$C$43,2,FALSE),IF(AL218="Plan5",VLOOKUP(BB218,Deviation!$B$48:$C$49,2,FALSE),VLOOKUP(BB218,Deviation!$B$45:$C$46,2,FALSE)))),IF(AL218="Plan1",VLOOKUP(BB218,Deviation!$E$39:$F$40,2,FALSE),IF(AL218="Plan2",VLOOKUP(BB218,Deviation!$E$42:$F$43,2,FALSE),VLOOKUP(BB218,Deviation!$E$45:$F$46,2,FALSE))))),0)</f>
        <v>0</v>
      </c>
      <c r="BH218" s="690">
        <f>IFERROR(IF(AL218="","",IF(AN218="Dubai",IF(OR(AL218="Plan1",AL218="Plan2"),VLOOKUP(BC218,Deviation!$B$15:$D$19,2,FALSE),VLOOKUP(BC218,Deviation!$B$15:$D$19,3,FALSE)),IF(OR(AL218="Plan1",AL218="Plan2"),VLOOKUP(BC218,Deviation!$E$15:$AE$19,2,FALSE),VLOOKUP(BC218,Deviation!$E$15:$AE$19,3,FALSE)))),0)</f>
        <v>0</v>
      </c>
      <c r="BI218" s="691">
        <f>IFERROR(IF(AL218="","",IF(AN218="Dubai",VLOOKUP(BD218,Deviation!$B$24:$C$26,2,FALSE),100%)),0)</f>
        <v>1</v>
      </c>
      <c r="BJ218" s="672">
        <f>IF(AE218="Abu Dhabi",1,IFERROR(VLOOKUP(AM218,Deviation!$B$67:$E$79,MATCH('Census Data'!AA218,Deviation!$B$66:$E$66,0),0),1))</f>
        <v>1</v>
      </c>
      <c r="BK218" s="659">
        <f>IFERROR(VLOOKUP(I218,Deviation!$B$54:$C$62,2,0),1)</f>
        <v>1</v>
      </c>
      <c r="BL218" s="148"/>
      <c r="BM218" s="148"/>
      <c r="BN218" s="148"/>
      <c r="BO218" s="148"/>
      <c r="BP218" s="148"/>
      <c r="BQ218" s="148"/>
      <c r="BR218" s="148"/>
      <c r="BS218" s="148"/>
      <c r="BT218" s="148">
        <f t="shared" si="119"/>
        <v>0</v>
      </c>
    </row>
    <row r="219" spans="1:72" ht="15" hidden="1" x14ac:dyDescent="0.25">
      <c r="A219" s="495"/>
      <c r="B219" s="470"/>
      <c r="C219" s="496"/>
      <c r="D219" s="94" t="s">
        <v>169</v>
      </c>
      <c r="E219" s="94" t="s">
        <v>173</v>
      </c>
      <c r="F219" s="94" t="s">
        <v>66</v>
      </c>
      <c r="G219" s="94" t="s">
        <v>174</v>
      </c>
      <c r="H219" s="94" t="s">
        <v>165</v>
      </c>
      <c r="I219" s="94"/>
      <c r="J219" s="80">
        <v>40</v>
      </c>
      <c r="K219" s="59">
        <f>IF(F219="","",IF(G219="Dubai",HLOOKUP(F219,Inputs!$C$26:$M$28,3,0),HLOOKUP(F219,Inputs!$C$45:$M$46,2,0)))</f>
        <v>0</v>
      </c>
      <c r="L219" s="94"/>
      <c r="M219" s="105">
        <f t="shared" si="68"/>
        <v>-2</v>
      </c>
      <c r="N219" s="654" t="b">
        <f t="shared" si="122"/>
        <v>1</v>
      </c>
      <c r="O219" s="655" t="str">
        <f t="shared" si="123"/>
        <v>x</v>
      </c>
      <c r="P219" s="655" t="str">
        <f t="shared" si="124"/>
        <v/>
      </c>
      <c r="Q219" s="655" t="str">
        <f t="shared" si="125"/>
        <v/>
      </c>
      <c r="R219" s="655" t="str">
        <f t="shared" si="126"/>
        <v/>
      </c>
      <c r="S219" s="655" t="str">
        <f t="shared" si="127"/>
        <v/>
      </c>
      <c r="T219" s="655" t="str">
        <f>IF(ISERROR(MATCH(G219,'Inputs Mapping'!$T$4:$T$5,0)),"x","")</f>
        <v/>
      </c>
      <c r="U219" s="655" t="str">
        <f>IF(ISERROR(MATCH(AA219,'Inputs Mapping'!$U$4:$U$5,0)),"x","")</f>
        <v/>
      </c>
      <c r="V219" s="655" t="str">
        <f>IF(ISERROR(MATCH(AB219,'Inputs Mapping'!$V$4:$V$5,0)),"x","")</f>
        <v/>
      </c>
      <c r="W219" s="655" t="str">
        <f>IF(ISERROR(MATCH(F219,'Inputs Mapping'!$W$4:$W$8,0)),"x","")</f>
        <v/>
      </c>
      <c r="X219" s="655" t="str">
        <f t="shared" si="128"/>
        <v/>
      </c>
      <c r="Y219" s="655" t="str">
        <f t="shared" si="129"/>
        <v/>
      </c>
      <c r="Z219" s="655" t="str">
        <f t="shared" si="76"/>
        <v/>
      </c>
      <c r="AA219" s="655" t="str">
        <f t="shared" si="114"/>
        <v>M</v>
      </c>
      <c r="AB219" s="655" t="str">
        <f t="shared" si="79"/>
        <v>S</v>
      </c>
      <c r="AC219" s="655" t="str">
        <f t="shared" si="130"/>
        <v/>
      </c>
      <c r="AD219" s="655" t="str">
        <f>IF(ISBLANK(I219),"x",IF(ISNUMBER(MATCH(I219,'Inputs Mapping'!$AF$5:$AF$199,0)),"","x"))</f>
        <v>x</v>
      </c>
      <c r="AE219" s="655" t="str">
        <f t="shared" si="115"/>
        <v>Abu Dhabi</v>
      </c>
      <c r="AF219" s="148"/>
      <c r="AG219" s="148"/>
      <c r="AH219" s="148" t="str">
        <f t="shared" si="116"/>
        <v>DAbu Dhabi</v>
      </c>
      <c r="AI219" s="654" t="str">
        <f>IF(J219="","",VLOOKUP(J219,'Inputs Mapping'!$T$27:$V$31,3))</f>
        <v>18-40</v>
      </c>
      <c r="AJ219" s="654" t="str">
        <f>IF(J219="","",VLOOKUP(J219,'Inputs Mapping'!$T$17:$V$24,3))</f>
        <v>36 - 45</v>
      </c>
      <c r="AK219" s="654">
        <f t="shared" si="131"/>
        <v>0</v>
      </c>
      <c r="AL219" s="655">
        <f t="shared" si="132"/>
        <v>0</v>
      </c>
      <c r="AM219" s="655">
        <f>IF(F219="","",IF(G219="Dubai",HLOOKUP(F219,Inputs!$C$26:$M$36,5,0),HLOOKUP(F219,Inputs!$C$45:$M$49,5,0)))</f>
        <v>0</v>
      </c>
      <c r="AN219" s="655" t="str">
        <f t="shared" si="133"/>
        <v>Abu Dhabi</v>
      </c>
      <c r="AO219" s="654">
        <f>IF(AJ219="","",IF(AN219="Dubai",VLOOKUP(AJ219,'Inputs Mapping'!$V$17:$W$24,2,0),VLOOKUP(AI219,'Inputs Mapping'!$V$27:$W$31,2,0)))</f>
        <v>3</v>
      </c>
      <c r="AP219" s="685">
        <f>IFERROR(IF($AN219="","",HLOOKUP($AN219&amp;RIGHT($AL219,1),'input for formula'!$B$16:$I$20,3,0)),0)</f>
        <v>0</v>
      </c>
      <c r="AQ219" s="686">
        <f>IFERROR(IF($AN219="","",HLOOKUP($AN219&amp;$F219,'input for formula'!$B$22:$M$25,2,0)),0)</f>
        <v>0</v>
      </c>
      <c r="AR219" s="685">
        <f>IFERROR(IF($AN219="","",HLOOKUP($AN219&amp;RIGHT($AL219,1),'input for formula'!$B$16:$I$20,4,0)),0)</f>
        <v>0</v>
      </c>
      <c r="AS219" s="686">
        <f>IFERROR(IF($AN219="","",HLOOKUP($AN219&amp;$F219,'input for formula'!$B$22:$M$25,3,0)),0)</f>
        <v>0</v>
      </c>
      <c r="AT219" s="686">
        <f>IFERROR(IF($AN219="","",HLOOKUP($AN219&amp;RIGHT($AL219,1),'input for formula'!$B$16:$I$20,5,0)),0)</f>
        <v>0</v>
      </c>
      <c r="AU219" s="686">
        <f>IFERROR(IF($AN219="","",HLOOKUP($AN219&amp;$F219,'input for formula'!$B$22:$M$25,4,0)),0)</f>
        <v>0</v>
      </c>
      <c r="AV219" s="666">
        <f>IFERROR(IF($AN219="","",IF('Census Data'!$AN219="Abu Dhabi",VLOOKUP('Census Data'!$AM219,'input for formula'!$A$28:$C$41,3,0),VLOOKUP('Census Data'!$AM219,'input for formula'!$A$28:$C$47,2,0))),0)*IFERROR(1+IF(AN219="Dubai",VLOOKUP(F219,'Quotation for Dubai Plans'!$V$6:$X$12,3,FALSE),VLOOKUP(F219,'Quotation for Abu Dhabi Plans'!$W$6:$Y$12,3,FALSE)),0)</f>
        <v>0</v>
      </c>
      <c r="AW219" s="686">
        <f t="shared" si="134"/>
        <v>0</v>
      </c>
      <c r="AX219" s="687">
        <f>IFERROR(IF(AL219="","",IF(AN219="Dubai",HLOOKUP((AL219&amp;AM219),Deviation!$B$7:$S$8,2,0)*BF219*BH219*BI219*BG219,HLOOKUP((AL219&amp;AM219),Deviation!$B$9:$O$10,2,0)*BF219*BH219*BI219*BG219)),0)</f>
        <v>0</v>
      </c>
      <c r="AY219" s="668">
        <f>IF(AL219="","",IFERROR(IF(AL219="","",IF(AN219="Dubai",HLOOKUP(AZ219,'input for formula'!$B$3:$F$10,AO219,FALSE), IF(AND(H219="Employee",AN219="Abu Dhabi"),HLOOKUP(AZ219,'input for formula'!$I$3:$K$7,AO219,FALSE),HLOOKUP(AZ219,'input for formula'!$M$3:$O$7,AO219,FALSE)))*AX219+AP219*AQ219+AR219*AS219+AT219*AU219),0)*$AZ$3*BK219*BJ219)*IF(AND(Inputs!$C$19&gt;19,Inputs!$C$19&lt;30),(1+$AZ$2),1)</f>
        <v>0</v>
      </c>
      <c r="AZ219" s="148" t="str">
        <f t="shared" si="84"/>
        <v>Abu Dhabi0</v>
      </c>
      <c r="BA219" s="688">
        <f>IF(F219="","",IF(G219="Dubai",HLOOKUP(F219,Inputs!$C$26:$M$37,9,0),HLOOKUP(F219,Inputs!$C$45:$M$56,9,0)))</f>
        <v>0</v>
      </c>
      <c r="BB219" s="689">
        <f>IF(F219="","",IF(G219="Dubai",HLOOKUP(F219,Inputs!$C$26:$M$37,10,0),HLOOKUP(F219,Inputs!$C$45:$M$56,10,0)))</f>
        <v>0</v>
      </c>
      <c r="BC219" s="689">
        <f>IF(F219="","",IF(G219="Dubai",HLOOKUP(F219,Inputs!$C$26:$M$37,11,0),HLOOKUP(F219,Inputs!$C$45:$M$56,11,0)))</f>
        <v>0</v>
      </c>
      <c r="BD219" s="688" t="str">
        <f>IF(F219="","",IF(G219="Dubai",HLOOKUP(F219,Inputs!$C$26:$M$37,12,0),HLOOKUP(F219,Inputs!$C$45:$M$56,12,0)))</f>
        <v/>
      </c>
      <c r="BE219" s="654"/>
      <c r="BF219" s="688">
        <f>IFERROR(IF(AL219="","",IF(AN219="Dubai",IF(OR(AL219="Plan1",AL219="Plan2"),VLOOKUP(BA219,Deviation!$B$31:$D$33,2,FALSE),VLOOKUP(BA219,Deviation!$B$31:$D$33,3,FALSE)),IF(OR(AL219="Plan1",AL219="Plan2"),VLOOKUP(BA219,Deviation!$E$31:$AE$33,2,FALSE),VLOOKUP(BA219,Deviation!$E$31:$AE$33,3,FALSE)))),0)</f>
        <v>1.125</v>
      </c>
      <c r="BG219" s="690">
        <f>IFERROR(IF(AL219="","",IF(AN219="Dubai",IF(AL219="Plan1",VLOOKUP(BB219,Deviation!$B$39:$C$40,2,FALSE),IF(AL219="Plan2",VLOOKUP(BB219,Deviation!$B$42:$C$43,2,FALSE),IF(AL219="Plan5",VLOOKUP(BB219,Deviation!$B$48:$C$49,2,FALSE),VLOOKUP(BB219,Deviation!$B$45:$C$46,2,FALSE)))),IF(AL219="Plan1",VLOOKUP(BB219,Deviation!$E$39:$F$40,2,FALSE),IF(AL219="Plan2",VLOOKUP(BB219,Deviation!$E$42:$F$43,2,FALSE),VLOOKUP(BB219,Deviation!$E$45:$F$46,2,FALSE))))),0)</f>
        <v>0</v>
      </c>
      <c r="BH219" s="690">
        <f>IFERROR(IF(AL219="","",IF(AN219="Dubai",IF(OR(AL219="Plan1",AL219="Plan2"),VLOOKUP(BC219,Deviation!$B$15:$D$19,2,FALSE),VLOOKUP(BC219,Deviation!$B$15:$D$19,3,FALSE)),IF(OR(AL219="Plan1",AL219="Plan2"),VLOOKUP(BC219,Deviation!$E$15:$AE$19,2,FALSE),VLOOKUP(BC219,Deviation!$E$15:$AE$19,3,FALSE)))),0)</f>
        <v>0</v>
      </c>
      <c r="BI219" s="691">
        <f>IFERROR(IF(AL219="","",IF(AN219="Dubai",VLOOKUP(BD219,Deviation!$B$24:$C$26,2,FALSE),100%)),0)</f>
        <v>1</v>
      </c>
      <c r="BJ219" s="672">
        <f>IF(AE219="Abu Dhabi",1,IFERROR(VLOOKUP(AM219,Deviation!$B$67:$E$79,MATCH('Census Data'!AA219,Deviation!$B$66:$E$66,0),0),1))</f>
        <v>1</v>
      </c>
      <c r="BK219" s="659">
        <f>IFERROR(VLOOKUP(I219,Deviation!$B$54:$C$62,2,0),1)</f>
        <v>1</v>
      </c>
      <c r="BL219" s="148"/>
      <c r="BM219" s="148"/>
      <c r="BN219" s="148"/>
      <c r="BO219" s="148"/>
      <c r="BP219" s="148"/>
      <c r="BQ219" s="148"/>
      <c r="BR219" s="148"/>
      <c r="BS219" s="148"/>
      <c r="BT219" s="148">
        <f t="shared" si="119"/>
        <v>0</v>
      </c>
    </row>
    <row r="220" spans="1:72" ht="15" hidden="1" x14ac:dyDescent="0.25">
      <c r="A220" s="497"/>
      <c r="B220" s="470"/>
      <c r="C220" s="496"/>
      <c r="D220" s="94" t="s">
        <v>169</v>
      </c>
      <c r="E220" s="94" t="s">
        <v>173</v>
      </c>
      <c r="F220" s="94" t="s">
        <v>66</v>
      </c>
      <c r="G220" s="94" t="s">
        <v>174</v>
      </c>
      <c r="H220" s="94" t="s">
        <v>165</v>
      </c>
      <c r="I220" s="94"/>
      <c r="J220" s="80">
        <v>59</v>
      </c>
      <c r="K220" s="59">
        <f>IF(F220="","",IF(G220="Dubai",HLOOKUP(F220,Inputs!$C$26:$M$28,3,0),HLOOKUP(F220,Inputs!$C$45:$M$46,2,0)))</f>
        <v>0</v>
      </c>
      <c r="L220" s="94"/>
      <c r="M220" s="105">
        <f t="shared" si="68"/>
        <v>-2</v>
      </c>
      <c r="N220" s="654" t="b">
        <f t="shared" si="122"/>
        <v>1</v>
      </c>
      <c r="O220" s="655" t="str">
        <f t="shared" si="123"/>
        <v>x</v>
      </c>
      <c r="P220" s="655" t="str">
        <f t="shared" si="124"/>
        <v/>
      </c>
      <c r="Q220" s="655" t="str">
        <f t="shared" si="125"/>
        <v/>
      </c>
      <c r="R220" s="655" t="str">
        <f t="shared" si="126"/>
        <v/>
      </c>
      <c r="S220" s="655" t="str">
        <f t="shared" si="127"/>
        <v/>
      </c>
      <c r="T220" s="655" t="str">
        <f>IF(ISERROR(MATCH(G220,'Inputs Mapping'!$T$4:$T$5,0)),"x","")</f>
        <v/>
      </c>
      <c r="U220" s="655" t="str">
        <f>IF(ISERROR(MATCH(AA220,'Inputs Mapping'!$U$4:$U$5,0)),"x","")</f>
        <v/>
      </c>
      <c r="V220" s="655" t="str">
        <f>IF(ISERROR(MATCH(AB220,'Inputs Mapping'!$V$4:$V$5,0)),"x","")</f>
        <v/>
      </c>
      <c r="W220" s="655" t="str">
        <f>IF(ISERROR(MATCH(F220,'Inputs Mapping'!$W$4:$W$8,0)),"x","")</f>
        <v/>
      </c>
      <c r="X220" s="655" t="str">
        <f t="shared" si="128"/>
        <v/>
      </c>
      <c r="Y220" s="655" t="str">
        <f t="shared" si="129"/>
        <v/>
      </c>
      <c r="Z220" s="655" t="str">
        <f t="shared" si="76"/>
        <v/>
      </c>
      <c r="AA220" s="655" t="str">
        <f t="shared" si="114"/>
        <v>M</v>
      </c>
      <c r="AB220" s="655" t="str">
        <f t="shared" si="79"/>
        <v>S</v>
      </c>
      <c r="AC220" s="655" t="str">
        <f t="shared" si="130"/>
        <v/>
      </c>
      <c r="AD220" s="655" t="str">
        <f>IF(ISBLANK(I220),"x",IF(ISNUMBER(MATCH(I220,'Inputs Mapping'!$AF$5:$AF$199,0)),"","x"))</f>
        <v>x</v>
      </c>
      <c r="AE220" s="655" t="str">
        <f t="shared" si="115"/>
        <v>Abu Dhabi</v>
      </c>
      <c r="AF220" s="148"/>
      <c r="AG220" s="148"/>
      <c r="AH220" s="148" t="str">
        <f t="shared" si="116"/>
        <v>DAbu Dhabi</v>
      </c>
      <c r="AI220" s="654" t="str">
        <f>IF(J220="","",VLOOKUP(J220,'Inputs Mapping'!$T$27:$V$31,3))</f>
        <v>41-59</v>
      </c>
      <c r="AJ220" s="654" t="str">
        <f>IF(J220="","",VLOOKUP(J220,'Inputs Mapping'!$T$17:$V$24,3))</f>
        <v>56 - 60</v>
      </c>
      <c r="AK220" s="654">
        <f t="shared" si="131"/>
        <v>0</v>
      </c>
      <c r="AL220" s="655">
        <f t="shared" si="132"/>
        <v>0</v>
      </c>
      <c r="AM220" s="655">
        <f>IF(F220="","",IF(G220="Dubai",HLOOKUP(F220,Inputs!$C$26:$M$36,5,0),HLOOKUP(F220,Inputs!$C$45:$M$49,5,0)))</f>
        <v>0</v>
      </c>
      <c r="AN220" s="655" t="str">
        <f t="shared" si="133"/>
        <v>Abu Dhabi</v>
      </c>
      <c r="AO220" s="654">
        <f>IF(AJ220="","",IF(AN220="Dubai",VLOOKUP(AJ220,'Inputs Mapping'!$V$17:$W$24,2,0),VLOOKUP(AI220,'Inputs Mapping'!$V$27:$W$31,2,0)))</f>
        <v>4</v>
      </c>
      <c r="AP220" s="685">
        <f>IFERROR(IF($AN220="","",HLOOKUP($AN220&amp;RIGHT($AL220,1),'input for formula'!$B$16:$I$20,3,0)),0)</f>
        <v>0</v>
      </c>
      <c r="AQ220" s="686">
        <f>IFERROR(IF($AN220="","",HLOOKUP($AN220&amp;$F220,'input for formula'!$B$22:$M$25,2,0)),0)</f>
        <v>0</v>
      </c>
      <c r="AR220" s="685">
        <f>IFERROR(IF($AN220="","",HLOOKUP($AN220&amp;RIGHT($AL220,1),'input for formula'!$B$16:$I$20,4,0)),0)</f>
        <v>0</v>
      </c>
      <c r="AS220" s="686">
        <f>IFERROR(IF($AN220="","",HLOOKUP($AN220&amp;$F220,'input for formula'!$B$22:$M$25,3,0)),0)</f>
        <v>0</v>
      </c>
      <c r="AT220" s="686">
        <f>IFERROR(IF($AN220="","",HLOOKUP($AN220&amp;RIGHT($AL220,1),'input for formula'!$B$16:$I$20,5,0)),0)</f>
        <v>0</v>
      </c>
      <c r="AU220" s="686">
        <f>IFERROR(IF($AN220="","",HLOOKUP($AN220&amp;$F220,'input for formula'!$B$22:$M$25,4,0)),0)</f>
        <v>0</v>
      </c>
      <c r="AV220" s="666">
        <f>IFERROR(IF($AN220="","",IF('Census Data'!$AN220="Abu Dhabi",VLOOKUP('Census Data'!$AM220,'input for formula'!$A$28:$C$41,3,0),VLOOKUP('Census Data'!$AM220,'input for formula'!$A$28:$C$47,2,0))),0)*IFERROR(1+IF(AN220="Dubai",VLOOKUP(F220,'Quotation for Dubai Plans'!$V$6:$X$12,3,FALSE),VLOOKUP(F220,'Quotation for Abu Dhabi Plans'!$W$6:$Y$12,3,FALSE)),0)</f>
        <v>0</v>
      </c>
      <c r="AW220" s="686">
        <f t="shared" si="134"/>
        <v>0</v>
      </c>
      <c r="AX220" s="687">
        <f>IFERROR(IF(AL220="","",IF(AN220="Dubai",HLOOKUP((AL220&amp;AM220),Deviation!$B$7:$S$8,2,0)*BF220*BH220*BI220*BG220,HLOOKUP((AL220&amp;AM220),Deviation!$B$9:$O$10,2,0)*BF220*BH220*BI220*BG220)),0)</f>
        <v>0</v>
      </c>
      <c r="AY220" s="668">
        <f>IF(AL220="","",IFERROR(IF(AL220="","",IF(AN220="Dubai",HLOOKUP(AZ220,'input for formula'!$B$3:$F$10,AO220,FALSE), IF(AND(H220="Employee",AN220="Abu Dhabi"),HLOOKUP(AZ220,'input for formula'!$I$3:$K$7,AO220,FALSE),HLOOKUP(AZ220,'input for formula'!$M$3:$O$7,AO220,FALSE)))*AX220+AP220*AQ220+AR220*AS220+AT220*AU220),0)*$AZ$3*BK220*BJ220)*IF(AND(Inputs!$C$19&gt;19,Inputs!$C$19&lt;30),(1+$AZ$2),1)</f>
        <v>0</v>
      </c>
      <c r="AZ220" s="148" t="str">
        <f t="shared" si="84"/>
        <v>Abu Dhabi0</v>
      </c>
      <c r="BA220" s="688">
        <f>IF(F220="","",IF(G220="Dubai",HLOOKUP(F220,Inputs!$C$26:$M$37,9,0),HLOOKUP(F220,Inputs!$C$45:$M$56,9,0)))</f>
        <v>0</v>
      </c>
      <c r="BB220" s="689">
        <f>IF(F220="","",IF(G220="Dubai",HLOOKUP(F220,Inputs!$C$26:$M$37,10,0),HLOOKUP(F220,Inputs!$C$45:$M$56,10,0)))</f>
        <v>0</v>
      </c>
      <c r="BC220" s="689">
        <f>IF(F220="","",IF(G220="Dubai",HLOOKUP(F220,Inputs!$C$26:$M$37,11,0),HLOOKUP(F220,Inputs!$C$45:$M$56,11,0)))</f>
        <v>0</v>
      </c>
      <c r="BD220" s="688" t="str">
        <f>IF(F220="","",IF(G220="Dubai",HLOOKUP(F220,Inputs!$C$26:$M$37,12,0),HLOOKUP(F220,Inputs!$C$45:$M$56,12,0)))</f>
        <v/>
      </c>
      <c r="BE220" s="654"/>
      <c r="BF220" s="688">
        <f>IFERROR(IF(AL220="","",IF(AN220="Dubai",IF(OR(AL220="Plan1",AL220="Plan2"),VLOOKUP(BA220,Deviation!$B$31:$D$33,2,FALSE),VLOOKUP(BA220,Deviation!$B$31:$D$33,3,FALSE)),IF(OR(AL220="Plan1",AL220="Plan2"),VLOOKUP(BA220,Deviation!$E$31:$AE$33,2,FALSE),VLOOKUP(BA220,Deviation!$E$31:$AE$33,3,FALSE)))),0)</f>
        <v>1.125</v>
      </c>
      <c r="BG220" s="690">
        <f>IFERROR(IF(AL220="","",IF(AN220="Dubai",IF(AL220="Plan1",VLOOKUP(BB220,Deviation!$B$39:$C$40,2,FALSE),IF(AL220="Plan2",VLOOKUP(BB220,Deviation!$B$42:$C$43,2,FALSE),IF(AL220="Plan5",VLOOKUP(BB220,Deviation!$B$48:$C$49,2,FALSE),VLOOKUP(BB220,Deviation!$B$45:$C$46,2,FALSE)))),IF(AL220="Plan1",VLOOKUP(BB220,Deviation!$E$39:$F$40,2,FALSE),IF(AL220="Plan2",VLOOKUP(BB220,Deviation!$E$42:$F$43,2,FALSE),VLOOKUP(BB220,Deviation!$E$45:$F$46,2,FALSE))))),0)</f>
        <v>0</v>
      </c>
      <c r="BH220" s="690">
        <f>IFERROR(IF(AL220="","",IF(AN220="Dubai",IF(OR(AL220="Plan1",AL220="Plan2"),VLOOKUP(BC220,Deviation!$B$15:$D$19,2,FALSE),VLOOKUP(BC220,Deviation!$B$15:$D$19,3,FALSE)),IF(OR(AL220="Plan1",AL220="Plan2"),VLOOKUP(BC220,Deviation!$E$15:$AE$19,2,FALSE),VLOOKUP(BC220,Deviation!$E$15:$AE$19,3,FALSE)))),0)</f>
        <v>0</v>
      </c>
      <c r="BI220" s="691">
        <f>IFERROR(IF(AL220="","",IF(AN220="Dubai",VLOOKUP(BD220,Deviation!$B$24:$C$26,2,FALSE),100%)),0)</f>
        <v>1</v>
      </c>
      <c r="BJ220" s="672">
        <f>IF(AE220="Abu Dhabi",1,IFERROR(VLOOKUP(AM220,Deviation!$B$67:$E$79,MATCH('Census Data'!AA220,Deviation!$B$66:$E$66,0),0),1))</f>
        <v>1</v>
      </c>
      <c r="BK220" s="659">
        <f>IFERROR(VLOOKUP(I220,Deviation!$B$54:$C$62,2,0),1)</f>
        <v>1</v>
      </c>
      <c r="BL220" s="148"/>
      <c r="BM220" s="148"/>
      <c r="BN220" s="148"/>
      <c r="BO220" s="148"/>
      <c r="BP220" s="148"/>
      <c r="BQ220" s="148"/>
      <c r="BR220" s="148"/>
      <c r="BS220" s="148"/>
      <c r="BT220" s="148">
        <f t="shared" si="119"/>
        <v>0</v>
      </c>
    </row>
    <row r="221" spans="1:72" ht="15" hidden="1" x14ac:dyDescent="0.25">
      <c r="A221" s="495"/>
      <c r="B221" s="470"/>
      <c r="C221" s="496"/>
      <c r="D221" s="94" t="s">
        <v>169</v>
      </c>
      <c r="E221" s="94" t="s">
        <v>173</v>
      </c>
      <c r="F221" s="94" t="s">
        <v>66</v>
      </c>
      <c r="G221" s="94" t="s">
        <v>174</v>
      </c>
      <c r="H221" s="94" t="s">
        <v>165</v>
      </c>
      <c r="I221" s="94"/>
      <c r="J221" s="80">
        <v>67</v>
      </c>
      <c r="K221" s="59">
        <f>IF(F221="","",IF(G221="Dubai",HLOOKUP(F221,Inputs!$C$26:$M$28,3,0),HLOOKUP(F221,Inputs!$C$45:$M$46,2,0)))</f>
        <v>0</v>
      </c>
      <c r="L221" s="94"/>
      <c r="M221" s="105">
        <f t="shared" si="68"/>
        <v>-2</v>
      </c>
      <c r="N221" s="654" t="b">
        <f t="shared" ref="N221:N244" si="135">NOT(AND(ISBLANK(C221),ISBLANK(D221),ISBLANK(E221),ISBLANK(F221),ISBLANK(G221)))</f>
        <v>1</v>
      </c>
      <c r="O221" s="655" t="str">
        <f t="shared" ref="O221:O244" si="136">IF(ISBLANK(C221),"x","")</f>
        <v>x</v>
      </c>
      <c r="P221" s="655" t="str">
        <f t="shared" ref="P221:P244" si="137">IF(ISBLANK(D221),"x","")</f>
        <v/>
      </c>
      <c r="Q221" s="655" t="str">
        <f t="shared" ref="Q221:Q244" si="138">IF(ISBLANK(E221),"x","")</f>
        <v/>
      </c>
      <c r="R221" s="655" t="str">
        <f t="shared" ref="R221:R244" si="139">IF(ISBLANK(F221),"x","")</f>
        <v/>
      </c>
      <c r="S221" s="655" t="str">
        <f t="shared" ref="S221:S244" si="140">IF(ISBLANK(G221),"x","")</f>
        <v/>
      </c>
      <c r="T221" s="655" t="str">
        <f>IF(ISERROR(MATCH(G221,'Inputs Mapping'!$T$4:$T$5,0)),"x","")</f>
        <v/>
      </c>
      <c r="U221" s="655" t="str">
        <f>IF(ISERROR(MATCH(AA221,'Inputs Mapping'!$U$4:$U$5,0)),"x","")</f>
        <v/>
      </c>
      <c r="V221" s="655" t="str">
        <f>IF(ISERROR(MATCH(AB221,'Inputs Mapping'!$V$4:$V$5,0)),"x","")</f>
        <v/>
      </c>
      <c r="W221" s="655" t="str">
        <f>IF(ISERROR(MATCH(F221,'Inputs Mapping'!$W$4:$W$8,0)),"x","")</f>
        <v/>
      </c>
      <c r="X221" s="655" t="str">
        <f t="shared" ref="X221:X244" si="141">IF(ISBLANK(C221),"",IF(OR(ISERROR(J221),NOT(ISNUMBER(C221))),"x",""))</f>
        <v/>
      </c>
      <c r="Y221" s="655" t="str">
        <f t="shared" ref="Y221:Y244" si="142">IF(ISBLANK(C221),"",IF(ISERROR(J221),"",""))</f>
        <v/>
      </c>
      <c r="Z221" s="655" t="str">
        <f t="shared" si="76"/>
        <v/>
      </c>
      <c r="AA221" s="655" t="str">
        <f t="shared" si="114"/>
        <v>M</v>
      </c>
      <c r="AB221" s="655" t="str">
        <f t="shared" si="79"/>
        <v>S</v>
      </c>
      <c r="AC221" s="655" t="str">
        <f t="shared" si="130"/>
        <v/>
      </c>
      <c r="AD221" s="655" t="str">
        <f>IF(ISBLANK(I221),"x",IF(ISNUMBER(MATCH(I221,'Inputs Mapping'!$AF$5:$AF$199,0)),"","x"))</f>
        <v>x</v>
      </c>
      <c r="AE221" s="655" t="str">
        <f t="shared" si="115"/>
        <v>Abu Dhabi</v>
      </c>
      <c r="AF221" s="148"/>
      <c r="AG221" s="148"/>
      <c r="AH221" s="148" t="str">
        <f t="shared" si="116"/>
        <v>DAbu Dhabi</v>
      </c>
      <c r="AI221" s="654" t="str">
        <f>IF(J221="","",VLOOKUP(J221,'Inputs Mapping'!$T$27:$V$31,3))</f>
        <v>60-69</v>
      </c>
      <c r="AJ221" s="654" t="str">
        <f>IF(J221="","",VLOOKUP(J221,'Inputs Mapping'!$T$17:$V$24,3))</f>
        <v>66 - 69</v>
      </c>
      <c r="AK221" s="654">
        <f t="shared" ref="AK221:AK244" si="143">IF(G221="Dubai",IF(J221="","",1*AND(LEFT(AA221)="F",LEFT(AB221)="M",J221&gt;=$AK$3,J221&lt;$AK$4+1)),IF(J221="","",1*AND(LEFT(AA221)="F",LEFT(AB221)="M",J221&gt;=$AJ$3,J221&lt;$AJ$4+1)))</f>
        <v>0</v>
      </c>
      <c r="AL221" s="655">
        <f t="shared" ref="AL221:AL244" si="144">K221</f>
        <v>0</v>
      </c>
      <c r="AM221" s="655">
        <f>IF(F221="","",IF(G221="Dubai",HLOOKUP(F221,Inputs!$C$26:$M$36,5,0),HLOOKUP(F221,Inputs!$C$45:$M$49,5,0)))</f>
        <v>0</v>
      </c>
      <c r="AN221" s="655" t="str">
        <f t="shared" ref="AN221:AN244" si="145">G221</f>
        <v>Abu Dhabi</v>
      </c>
      <c r="AO221" s="654">
        <f>IF(AJ221="","",IF(AN221="Dubai",VLOOKUP(AJ221,'Inputs Mapping'!$V$17:$W$24,2,0),VLOOKUP(AI221,'Inputs Mapping'!$V$27:$W$31,2,0)))</f>
        <v>5</v>
      </c>
      <c r="AP221" s="685">
        <f>IFERROR(IF($AN221="","",HLOOKUP($AN221&amp;RIGHT($AL221,1),'input for formula'!$B$16:$I$20,3,0)),0)</f>
        <v>0</v>
      </c>
      <c r="AQ221" s="686">
        <f>IFERROR(IF($AN221="","",HLOOKUP($AN221&amp;$F221,'input for formula'!$B$22:$M$25,2,0)),0)</f>
        <v>0</v>
      </c>
      <c r="AR221" s="685">
        <f>IFERROR(IF($AN221="","",HLOOKUP($AN221&amp;RIGHT($AL221,1),'input for formula'!$B$16:$I$20,4,0)),0)</f>
        <v>0</v>
      </c>
      <c r="AS221" s="686">
        <f>IFERROR(IF($AN221="","",HLOOKUP($AN221&amp;$F221,'input for formula'!$B$22:$M$25,3,0)),0)</f>
        <v>0</v>
      </c>
      <c r="AT221" s="686">
        <f>IFERROR(IF($AN221="","",HLOOKUP($AN221&amp;RIGHT($AL221,1),'input for formula'!$B$16:$I$20,5,0)),0)</f>
        <v>0</v>
      </c>
      <c r="AU221" s="686">
        <f>IFERROR(IF($AN221="","",HLOOKUP($AN221&amp;$F221,'input for formula'!$B$22:$M$25,4,0)),0)</f>
        <v>0</v>
      </c>
      <c r="AV221" s="666">
        <f>IFERROR(IF($AN221="","",IF('Census Data'!$AN221="Abu Dhabi",VLOOKUP('Census Data'!$AM221,'input for formula'!$A$28:$C$41,3,0),VLOOKUP('Census Data'!$AM221,'input for formula'!$A$28:$C$47,2,0))),0)*IFERROR(1+IF(AN221="Dubai",VLOOKUP(F221,'Quotation for Dubai Plans'!$V$6:$X$12,3,FALSE),VLOOKUP(F221,'Quotation for Abu Dhabi Plans'!$W$6:$Y$12,3,FALSE)),0)</f>
        <v>0</v>
      </c>
      <c r="AW221" s="686">
        <f t="shared" ref="AW221:AW244" si="146">AK221</f>
        <v>0</v>
      </c>
      <c r="AX221" s="687">
        <f>IFERROR(IF(AL221="","",IF(AN221="Dubai",HLOOKUP((AL221&amp;AM221),Deviation!$B$7:$S$8,2,0)*BF221*BH221*BI221*BG221,HLOOKUP((AL221&amp;AM221),Deviation!$B$9:$O$10,2,0)*BF221*BH221*BI221*BG221)),0)</f>
        <v>0</v>
      </c>
      <c r="AY221" s="668">
        <f>IF(AL221="","",IFERROR(IF(AL221="","",IF(AN221="Dubai",HLOOKUP(AZ221,'input for formula'!$B$3:$F$10,AO221,FALSE), IF(AND(H221="Employee",AN221="Abu Dhabi"),HLOOKUP(AZ221,'input for formula'!$I$3:$K$7,AO221,FALSE),HLOOKUP(AZ221,'input for formula'!$M$3:$O$7,AO221,FALSE)))*AX221+AP221*AQ221+AR221*AS221+AT221*AU221),0)*$AZ$3*BK221*BJ221)*IF(AND(Inputs!$C$19&gt;19,Inputs!$C$19&lt;30),(1+$AZ$2),1)</f>
        <v>0</v>
      </c>
      <c r="AZ221" s="148" t="str">
        <f t="shared" si="84"/>
        <v>Abu Dhabi0</v>
      </c>
      <c r="BA221" s="688">
        <f>IF(F221="","",IF(G221="Dubai",HLOOKUP(F221,Inputs!$C$26:$M$37,9,0),HLOOKUP(F221,Inputs!$C$45:$M$56,9,0)))</f>
        <v>0</v>
      </c>
      <c r="BB221" s="689">
        <f>IF(F221="","",IF(G221="Dubai",HLOOKUP(F221,Inputs!$C$26:$M$37,10,0),HLOOKUP(F221,Inputs!$C$45:$M$56,10,0)))</f>
        <v>0</v>
      </c>
      <c r="BC221" s="689">
        <f>IF(F221="","",IF(G221="Dubai",HLOOKUP(F221,Inputs!$C$26:$M$37,11,0),HLOOKUP(F221,Inputs!$C$45:$M$56,11,0)))</f>
        <v>0</v>
      </c>
      <c r="BD221" s="688" t="str">
        <f>IF(F221="","",IF(G221="Dubai",HLOOKUP(F221,Inputs!$C$26:$M$37,12,0),HLOOKUP(F221,Inputs!$C$45:$M$56,12,0)))</f>
        <v/>
      </c>
      <c r="BE221" s="654"/>
      <c r="BF221" s="688">
        <f>IFERROR(IF(AL221="","",IF(AN221="Dubai",IF(OR(AL221="Plan1",AL221="Plan2"),VLOOKUP(BA221,Deviation!$B$31:$D$33,2,FALSE),VLOOKUP(BA221,Deviation!$B$31:$D$33,3,FALSE)),IF(OR(AL221="Plan1",AL221="Plan2"),VLOOKUP(BA221,Deviation!$E$31:$AE$33,2,FALSE),VLOOKUP(BA221,Deviation!$E$31:$AE$33,3,FALSE)))),0)</f>
        <v>1.125</v>
      </c>
      <c r="BG221" s="690">
        <f>IFERROR(IF(AL221="","",IF(AN221="Dubai",IF(AL221="Plan1",VLOOKUP(BB221,Deviation!$B$39:$C$40,2,FALSE),IF(AL221="Plan2",VLOOKUP(BB221,Deviation!$B$42:$C$43,2,FALSE),IF(AL221="Plan5",VLOOKUP(BB221,Deviation!$B$48:$C$49,2,FALSE),VLOOKUP(BB221,Deviation!$B$45:$C$46,2,FALSE)))),IF(AL221="Plan1",VLOOKUP(BB221,Deviation!$E$39:$F$40,2,FALSE),IF(AL221="Plan2",VLOOKUP(BB221,Deviation!$E$42:$F$43,2,FALSE),VLOOKUP(BB221,Deviation!$E$45:$F$46,2,FALSE))))),0)</f>
        <v>0</v>
      </c>
      <c r="BH221" s="690">
        <f>IFERROR(IF(AL221="","",IF(AN221="Dubai",IF(OR(AL221="Plan1",AL221="Plan2"),VLOOKUP(BC221,Deviation!$B$15:$D$19,2,FALSE),VLOOKUP(BC221,Deviation!$B$15:$D$19,3,FALSE)),IF(OR(AL221="Plan1",AL221="Plan2"),VLOOKUP(BC221,Deviation!$E$15:$AE$19,2,FALSE),VLOOKUP(BC221,Deviation!$E$15:$AE$19,3,FALSE)))),0)</f>
        <v>0</v>
      </c>
      <c r="BI221" s="691">
        <f>IFERROR(IF(AL221="","",IF(AN221="Dubai",VLOOKUP(BD221,Deviation!$B$24:$C$26,2,FALSE),100%)),0)</f>
        <v>1</v>
      </c>
      <c r="BJ221" s="672">
        <f>IF(AE221="Abu Dhabi",1,IFERROR(VLOOKUP(AM221,Deviation!$B$67:$E$79,MATCH('Census Data'!AA221,Deviation!$B$66:$E$66,0),0),1))</f>
        <v>1</v>
      </c>
      <c r="BK221" s="659">
        <f>IFERROR(VLOOKUP(I221,Deviation!$B$54:$C$62,2,0),1)</f>
        <v>1</v>
      </c>
      <c r="BL221" s="148"/>
      <c r="BM221" s="148"/>
      <c r="BN221" s="148"/>
      <c r="BO221" s="148"/>
      <c r="BP221" s="148"/>
      <c r="BQ221" s="148"/>
      <c r="BR221" s="148"/>
      <c r="BS221" s="148"/>
      <c r="BT221" s="148">
        <f t="shared" si="119"/>
        <v>0</v>
      </c>
    </row>
    <row r="222" spans="1:72" ht="15" hidden="1" x14ac:dyDescent="0.25">
      <c r="A222" s="495"/>
      <c r="B222" s="470"/>
      <c r="C222" s="496"/>
      <c r="D222" s="94" t="s">
        <v>169</v>
      </c>
      <c r="E222" s="94" t="s">
        <v>173</v>
      </c>
      <c r="F222" s="94" t="s">
        <v>67</v>
      </c>
      <c r="G222" s="94" t="s">
        <v>174</v>
      </c>
      <c r="H222" s="94" t="s">
        <v>165</v>
      </c>
      <c r="I222" s="94"/>
      <c r="J222" s="80">
        <v>15</v>
      </c>
      <c r="K222" s="59">
        <f>IF(F222="","",IF(G222="Dubai",HLOOKUP(F222,Inputs!$C$26:$M$28,3,0),HLOOKUP(F222,Inputs!$C$45:$M$46,2,0)))</f>
        <v>0</v>
      </c>
      <c r="L222" s="94"/>
      <c r="M222" s="105">
        <f t="shared" si="68"/>
        <v>-2</v>
      </c>
      <c r="N222" s="654" t="b">
        <f t="shared" si="135"/>
        <v>1</v>
      </c>
      <c r="O222" s="655" t="str">
        <f t="shared" si="136"/>
        <v>x</v>
      </c>
      <c r="P222" s="655" t="str">
        <f t="shared" si="137"/>
        <v/>
      </c>
      <c r="Q222" s="655" t="str">
        <f t="shared" si="138"/>
        <v/>
      </c>
      <c r="R222" s="655" t="str">
        <f t="shared" si="139"/>
        <v/>
      </c>
      <c r="S222" s="655" t="str">
        <f t="shared" si="140"/>
        <v/>
      </c>
      <c r="T222" s="655" t="str">
        <f>IF(ISERROR(MATCH(G222,'Inputs Mapping'!$T$4:$T$5,0)),"x","")</f>
        <v/>
      </c>
      <c r="U222" s="655" t="str">
        <f>IF(ISERROR(MATCH(AA222,'Inputs Mapping'!$U$4:$U$5,0)),"x","")</f>
        <v/>
      </c>
      <c r="V222" s="655" t="str">
        <f>IF(ISERROR(MATCH(AB222,'Inputs Mapping'!$V$4:$V$5,0)),"x","")</f>
        <v/>
      </c>
      <c r="W222" s="655" t="str">
        <f>IF(ISERROR(MATCH(F222,'Inputs Mapping'!$W$4:$W$8,0)),"x","")</f>
        <v/>
      </c>
      <c r="X222" s="655" t="str">
        <f t="shared" si="141"/>
        <v/>
      </c>
      <c r="Y222" s="655" t="str">
        <f t="shared" si="142"/>
        <v/>
      </c>
      <c r="Z222" s="655" t="str">
        <f t="shared" si="76"/>
        <v/>
      </c>
      <c r="AA222" s="655" t="str">
        <f t="shared" si="114"/>
        <v>M</v>
      </c>
      <c r="AB222" s="655" t="str">
        <f t="shared" si="79"/>
        <v>S</v>
      </c>
      <c r="AC222" s="655" t="str">
        <f t="shared" si="130"/>
        <v>x</v>
      </c>
      <c r="AD222" s="655" t="str">
        <f>IF(ISBLANK(I222),"x",IF(ISNUMBER(MATCH(I222,'Inputs Mapping'!$AF$5:$AF$199,0)),"","x"))</f>
        <v>x</v>
      </c>
      <c r="AE222" s="655" t="str">
        <f t="shared" si="115"/>
        <v>Abu Dhabi</v>
      </c>
      <c r="AF222" s="148"/>
      <c r="AG222" s="148"/>
      <c r="AH222" s="148" t="str">
        <f t="shared" si="116"/>
        <v>EAbu Dhabi</v>
      </c>
      <c r="AI222" s="654" t="str">
        <f>IF(J222="","",VLOOKUP(J222,'Inputs Mapping'!$T$27:$V$31,3))</f>
        <v>0-17</v>
      </c>
      <c r="AJ222" s="654" t="str">
        <f>IF(J222="","",VLOOKUP(J222,'Inputs Mapping'!$T$17:$V$24,3))</f>
        <v>0 - 17</v>
      </c>
      <c r="AK222" s="654">
        <f t="shared" si="143"/>
        <v>0</v>
      </c>
      <c r="AL222" s="655">
        <f t="shared" si="144"/>
        <v>0</v>
      </c>
      <c r="AM222" s="655">
        <f>IF(F222="","",IF(G222="Dubai",HLOOKUP(F222,Inputs!$C$26:$M$36,5,0),HLOOKUP(F222,Inputs!$C$45:$M$49,5,0)))</f>
        <v>0</v>
      </c>
      <c r="AN222" s="655" t="str">
        <f t="shared" si="145"/>
        <v>Abu Dhabi</v>
      </c>
      <c r="AO222" s="654">
        <f>IF(AJ222="","",IF(AN222="Dubai",VLOOKUP(AJ222,'Inputs Mapping'!$V$17:$W$24,2,0),VLOOKUP(AI222,'Inputs Mapping'!$V$27:$W$31,2,0)))</f>
        <v>2</v>
      </c>
      <c r="AP222" s="685">
        <f>IFERROR(IF($AN222="","",HLOOKUP($AN222&amp;RIGHT($AL222,1),'input for formula'!$B$16:$I$20,3,0)),0)</f>
        <v>0</v>
      </c>
      <c r="AQ222" s="686">
        <f>IFERROR(IF($AN222="","",HLOOKUP($AN222&amp;$F222,'input for formula'!$B$22:$M$25,2,0)),0)</f>
        <v>0</v>
      </c>
      <c r="AR222" s="685">
        <f>IFERROR(IF($AN222="","",HLOOKUP($AN222&amp;RIGHT($AL222,1),'input for formula'!$B$16:$I$20,4,0)),0)</f>
        <v>0</v>
      </c>
      <c r="AS222" s="686">
        <f>IFERROR(IF($AN222="","",HLOOKUP($AN222&amp;$F222,'input for formula'!$B$22:$M$25,3,0)),0)</f>
        <v>0</v>
      </c>
      <c r="AT222" s="686">
        <f>IFERROR(IF($AN222="","",HLOOKUP($AN222&amp;RIGHT($AL222,1),'input for formula'!$B$16:$I$20,5,0)),0)</f>
        <v>0</v>
      </c>
      <c r="AU222" s="686">
        <f>IFERROR(IF($AN222="","",HLOOKUP($AN222&amp;$F222,'input for formula'!$B$22:$M$25,4,0)),0)</f>
        <v>0</v>
      </c>
      <c r="AV222" s="666">
        <f>IFERROR(IF($AN222="","",IF('Census Data'!$AN222="Abu Dhabi",VLOOKUP('Census Data'!$AM222,'input for formula'!$A$28:$C$41,3,0),VLOOKUP('Census Data'!$AM222,'input for formula'!$A$28:$C$47,2,0))),0)*IFERROR(1+IF(AN222="Dubai",VLOOKUP(F222,'Quotation for Dubai Plans'!$V$6:$X$12,3,FALSE),VLOOKUP(F222,'Quotation for Abu Dhabi Plans'!$W$6:$Y$12,3,FALSE)),0)</f>
        <v>0</v>
      </c>
      <c r="AW222" s="686">
        <f t="shared" si="146"/>
        <v>0</v>
      </c>
      <c r="AX222" s="687">
        <f>IFERROR(IF(AL222="","",IF(AN222="Dubai",HLOOKUP((AL222&amp;AM222),Deviation!$B$7:$S$8,2,0)*BF222*BH222*BI222*BG222,HLOOKUP((AL222&amp;AM222),Deviation!$B$9:$O$10,2,0)*BF222*BH222*BI222*BG222)),0)</f>
        <v>0</v>
      </c>
      <c r="AY222" s="668">
        <f>IF(AL222="","",IFERROR(IF(AL222="","",IF(AN222="Dubai",HLOOKUP(AZ222,'input for formula'!$B$3:$F$10,AO222,FALSE), IF(AND(H222="Employee",AN222="Abu Dhabi"),HLOOKUP(AZ222,'input for formula'!$I$3:$K$7,AO222,FALSE),HLOOKUP(AZ222,'input for formula'!$M$3:$O$7,AO222,FALSE)))*AX222+AP222*AQ222+AR222*AS222+AT222*AU222),0)*$AZ$3*BK222*BJ222)*IF(AND(Inputs!$C$19&gt;19,Inputs!$C$19&lt;30),(1+$AZ$2),1)</f>
        <v>0</v>
      </c>
      <c r="AZ222" s="148" t="str">
        <f t="shared" si="84"/>
        <v>Abu Dhabi0</v>
      </c>
      <c r="BA222" s="688">
        <f>IF(F222="","",IF(G222="Dubai",HLOOKUP(F222,Inputs!$C$26:$M$37,9,0),HLOOKUP(F222,Inputs!$C$45:$M$56,9,0)))</f>
        <v>0</v>
      </c>
      <c r="BB222" s="689">
        <f>IF(F222="","",IF(G222="Dubai",HLOOKUP(F222,Inputs!$C$26:$M$37,10,0),HLOOKUP(F222,Inputs!$C$45:$M$56,10,0)))</f>
        <v>0</v>
      </c>
      <c r="BC222" s="689">
        <f>IF(F222="","",IF(G222="Dubai",HLOOKUP(F222,Inputs!$C$26:$M$37,11,0),HLOOKUP(F222,Inputs!$C$45:$M$56,11,0)))</f>
        <v>0</v>
      </c>
      <c r="BD222" s="688" t="str">
        <f>IF(F222="","",IF(G222="Dubai",HLOOKUP(F222,Inputs!$C$26:$M$37,12,0),HLOOKUP(F222,Inputs!$C$45:$M$56,12,0)))</f>
        <v/>
      </c>
      <c r="BE222" s="654"/>
      <c r="BF222" s="688">
        <f>IFERROR(IF(AL222="","",IF(AN222="Dubai",IF(OR(AL222="Plan1",AL222="Plan2"),VLOOKUP(BA222,Deviation!$B$31:$D$33,2,FALSE),VLOOKUP(BA222,Deviation!$B$31:$D$33,3,FALSE)),IF(OR(AL222="Plan1",AL222="Plan2"),VLOOKUP(BA222,Deviation!$E$31:$AE$33,2,FALSE),VLOOKUP(BA222,Deviation!$E$31:$AE$33,3,FALSE)))),0)</f>
        <v>1.125</v>
      </c>
      <c r="BG222" s="690">
        <f>IFERROR(IF(AL222="","",IF(AN222="Dubai",IF(AL222="Plan1",VLOOKUP(BB222,Deviation!$B$39:$C$40,2,FALSE),IF(AL222="Plan2",VLOOKUP(BB222,Deviation!$B$42:$C$43,2,FALSE),IF(AL222="Plan5",VLOOKUP(BB222,Deviation!$B$48:$C$49,2,FALSE),VLOOKUP(BB222,Deviation!$B$45:$C$46,2,FALSE)))),IF(AL222="Plan1",VLOOKUP(BB222,Deviation!$E$39:$F$40,2,FALSE),IF(AL222="Plan2",VLOOKUP(BB222,Deviation!$E$42:$F$43,2,FALSE),VLOOKUP(BB222,Deviation!$E$45:$F$46,2,FALSE))))),0)</f>
        <v>0</v>
      </c>
      <c r="BH222" s="690">
        <f>IFERROR(IF(AL222="","",IF(AN222="Dubai",IF(OR(AL222="Plan1",AL222="Plan2"),VLOOKUP(BC222,Deviation!$B$15:$D$19,2,FALSE),VLOOKUP(BC222,Deviation!$B$15:$D$19,3,FALSE)),IF(OR(AL222="Plan1",AL222="Plan2"),VLOOKUP(BC222,Deviation!$E$15:$AE$19,2,FALSE),VLOOKUP(BC222,Deviation!$E$15:$AE$19,3,FALSE)))),0)</f>
        <v>0</v>
      </c>
      <c r="BI222" s="691">
        <f>IFERROR(IF(AL222="","",IF(AN222="Dubai",VLOOKUP(BD222,Deviation!$B$24:$C$26,2,FALSE),100%)),0)</f>
        <v>1</v>
      </c>
      <c r="BJ222" s="672">
        <f>IF(AE222="Abu Dhabi",1,IFERROR(VLOOKUP(AM222,Deviation!$B$67:$E$79,MATCH('Census Data'!AA222,Deviation!$B$66:$E$66,0),0),1))</f>
        <v>1</v>
      </c>
      <c r="BK222" s="659">
        <f>IFERROR(VLOOKUP(I222,Deviation!$B$54:$C$62,2,0),1)</f>
        <v>1</v>
      </c>
      <c r="BL222" s="148"/>
      <c r="BM222" s="148"/>
      <c r="BN222" s="148"/>
      <c r="BO222" s="148"/>
      <c r="BP222" s="148"/>
      <c r="BQ222" s="148"/>
      <c r="BR222" s="148"/>
      <c r="BS222" s="148"/>
      <c r="BT222" s="148">
        <f t="shared" si="119"/>
        <v>0</v>
      </c>
    </row>
    <row r="223" spans="1:72" ht="15" hidden="1" x14ac:dyDescent="0.25">
      <c r="A223" s="495"/>
      <c r="B223" s="470"/>
      <c r="C223" s="496"/>
      <c r="D223" s="94" t="s">
        <v>169</v>
      </c>
      <c r="E223" s="94" t="s">
        <v>173</v>
      </c>
      <c r="F223" s="94" t="s">
        <v>67</v>
      </c>
      <c r="G223" s="94" t="s">
        <v>174</v>
      </c>
      <c r="H223" s="94" t="s">
        <v>165</v>
      </c>
      <c r="I223" s="94"/>
      <c r="J223" s="80">
        <v>40</v>
      </c>
      <c r="K223" s="59">
        <f>IF(F223="","",IF(G223="Dubai",HLOOKUP(F223,Inputs!$C$26:$M$28,3,0),HLOOKUP(F223,Inputs!$C$45:$M$46,2,0)))</f>
        <v>0</v>
      </c>
      <c r="L223" s="94"/>
      <c r="M223" s="105">
        <f t="shared" si="68"/>
        <v>-2</v>
      </c>
      <c r="N223" s="654" t="b">
        <f t="shared" si="135"/>
        <v>1</v>
      </c>
      <c r="O223" s="655" t="str">
        <f t="shared" si="136"/>
        <v>x</v>
      </c>
      <c r="P223" s="655" t="str">
        <f t="shared" si="137"/>
        <v/>
      </c>
      <c r="Q223" s="655" t="str">
        <f t="shared" si="138"/>
        <v/>
      </c>
      <c r="R223" s="655" t="str">
        <f t="shared" si="139"/>
        <v/>
      </c>
      <c r="S223" s="655" t="str">
        <f t="shared" si="140"/>
        <v/>
      </c>
      <c r="T223" s="655" t="str">
        <f>IF(ISERROR(MATCH(G223,'Inputs Mapping'!$T$4:$T$5,0)),"x","")</f>
        <v/>
      </c>
      <c r="U223" s="655" t="str">
        <f>IF(ISERROR(MATCH(AA223,'Inputs Mapping'!$U$4:$U$5,0)),"x","")</f>
        <v/>
      </c>
      <c r="V223" s="655" t="str">
        <f>IF(ISERROR(MATCH(AB223,'Inputs Mapping'!$V$4:$V$5,0)),"x","")</f>
        <v/>
      </c>
      <c r="W223" s="655" t="str">
        <f>IF(ISERROR(MATCH(F223,'Inputs Mapping'!$W$4:$W$8,0)),"x","")</f>
        <v/>
      </c>
      <c r="X223" s="655" t="str">
        <f t="shared" si="141"/>
        <v/>
      </c>
      <c r="Y223" s="655" t="str">
        <f t="shared" si="142"/>
        <v/>
      </c>
      <c r="Z223" s="655" t="str">
        <f t="shared" si="76"/>
        <v/>
      </c>
      <c r="AA223" s="655" t="str">
        <f t="shared" si="114"/>
        <v>M</v>
      </c>
      <c r="AB223" s="655" t="str">
        <f t="shared" si="79"/>
        <v>S</v>
      </c>
      <c r="AC223" s="655" t="str">
        <f t="shared" si="130"/>
        <v/>
      </c>
      <c r="AD223" s="655" t="str">
        <f>IF(ISBLANK(I223),"x",IF(ISNUMBER(MATCH(I223,'Inputs Mapping'!$AF$5:$AF$199,0)),"","x"))</f>
        <v>x</v>
      </c>
      <c r="AE223" s="655" t="str">
        <f t="shared" si="115"/>
        <v>Abu Dhabi</v>
      </c>
      <c r="AF223" s="148"/>
      <c r="AG223" s="148"/>
      <c r="AH223" s="148" t="str">
        <f t="shared" si="116"/>
        <v>EAbu Dhabi</v>
      </c>
      <c r="AI223" s="654" t="str">
        <f>IF(J223="","",VLOOKUP(J223,'Inputs Mapping'!$T$27:$V$31,3))</f>
        <v>18-40</v>
      </c>
      <c r="AJ223" s="654" t="str">
        <f>IF(J223="","",VLOOKUP(J223,'Inputs Mapping'!$T$17:$V$24,3))</f>
        <v>36 - 45</v>
      </c>
      <c r="AK223" s="654">
        <f t="shared" si="143"/>
        <v>0</v>
      </c>
      <c r="AL223" s="655">
        <f t="shared" si="144"/>
        <v>0</v>
      </c>
      <c r="AM223" s="655">
        <f>IF(F223="","",IF(G223="Dubai",HLOOKUP(F223,Inputs!$C$26:$M$36,5,0),HLOOKUP(F223,Inputs!$C$45:$M$49,5,0)))</f>
        <v>0</v>
      </c>
      <c r="AN223" s="655" t="str">
        <f t="shared" si="145"/>
        <v>Abu Dhabi</v>
      </c>
      <c r="AO223" s="654">
        <f>IF(AJ223="","",IF(AN223="Dubai",VLOOKUP(AJ223,'Inputs Mapping'!$V$17:$W$24,2,0),VLOOKUP(AI223,'Inputs Mapping'!$V$27:$W$31,2,0)))</f>
        <v>3</v>
      </c>
      <c r="AP223" s="685">
        <f>IFERROR(IF($AN223="","",HLOOKUP($AN223&amp;RIGHT($AL223,1),'input for formula'!$B$16:$I$20,3,0)),0)</f>
        <v>0</v>
      </c>
      <c r="AQ223" s="686">
        <f>IFERROR(IF($AN223="","",HLOOKUP($AN223&amp;$F223,'input for formula'!$B$22:$M$25,2,0)),0)</f>
        <v>0</v>
      </c>
      <c r="AR223" s="685">
        <f>IFERROR(IF($AN223="","",HLOOKUP($AN223&amp;RIGHT($AL223,1),'input for formula'!$B$16:$I$20,4,0)),0)</f>
        <v>0</v>
      </c>
      <c r="AS223" s="686">
        <f>IFERROR(IF($AN223="","",HLOOKUP($AN223&amp;$F223,'input for formula'!$B$22:$M$25,3,0)),0)</f>
        <v>0</v>
      </c>
      <c r="AT223" s="686">
        <f>IFERROR(IF($AN223="","",HLOOKUP($AN223&amp;RIGHT($AL223,1),'input for formula'!$B$16:$I$20,5,0)),0)</f>
        <v>0</v>
      </c>
      <c r="AU223" s="686">
        <f>IFERROR(IF($AN223="","",HLOOKUP($AN223&amp;$F223,'input for formula'!$B$22:$M$25,4,0)),0)</f>
        <v>0</v>
      </c>
      <c r="AV223" s="666">
        <f>IFERROR(IF($AN223="","",IF('Census Data'!$AN223="Abu Dhabi",VLOOKUP('Census Data'!$AM223,'input for formula'!$A$28:$C$41,3,0),VLOOKUP('Census Data'!$AM223,'input for formula'!$A$28:$C$47,2,0))),0)*IFERROR(1+IF(AN223="Dubai",VLOOKUP(F223,'Quotation for Dubai Plans'!$V$6:$X$12,3,FALSE),VLOOKUP(F223,'Quotation for Abu Dhabi Plans'!$W$6:$Y$12,3,FALSE)),0)</f>
        <v>0</v>
      </c>
      <c r="AW223" s="686">
        <f t="shared" si="146"/>
        <v>0</v>
      </c>
      <c r="AX223" s="687">
        <f>IFERROR(IF(AL223="","",IF(AN223="Dubai",HLOOKUP((AL223&amp;AM223),Deviation!$B$7:$S$8,2,0)*BF223*BH223*BI223*BG223,HLOOKUP((AL223&amp;AM223),Deviation!$B$9:$O$10,2,0)*BF223*BH223*BI223*BG223)),0)</f>
        <v>0</v>
      </c>
      <c r="AY223" s="668">
        <f>IF(AL223="","",IFERROR(IF(AL223="","",IF(AN223="Dubai",HLOOKUP(AZ223,'input for formula'!$B$3:$F$10,AO223,FALSE), IF(AND(H223="Employee",AN223="Abu Dhabi"),HLOOKUP(AZ223,'input for formula'!$I$3:$K$7,AO223,FALSE),HLOOKUP(AZ223,'input for formula'!$M$3:$O$7,AO223,FALSE)))*AX223+AP223*AQ223+AR223*AS223+AT223*AU223),0)*$AZ$3*BK223*BJ223)*IF(AND(Inputs!$C$19&gt;19,Inputs!$C$19&lt;30),(1+$AZ$2),1)</f>
        <v>0</v>
      </c>
      <c r="AZ223" s="148" t="str">
        <f t="shared" si="84"/>
        <v>Abu Dhabi0</v>
      </c>
      <c r="BA223" s="688">
        <f>IF(F223="","",IF(G223="Dubai",HLOOKUP(F223,Inputs!$C$26:$M$37,9,0),HLOOKUP(F223,Inputs!$C$45:$M$56,9,0)))</f>
        <v>0</v>
      </c>
      <c r="BB223" s="689">
        <f>IF(F223="","",IF(G223="Dubai",HLOOKUP(F223,Inputs!$C$26:$M$37,10,0),HLOOKUP(F223,Inputs!$C$45:$M$56,10,0)))</f>
        <v>0</v>
      </c>
      <c r="BC223" s="689">
        <f>IF(F223="","",IF(G223="Dubai",HLOOKUP(F223,Inputs!$C$26:$M$37,11,0),HLOOKUP(F223,Inputs!$C$45:$M$56,11,0)))</f>
        <v>0</v>
      </c>
      <c r="BD223" s="688" t="str">
        <f>IF(F223="","",IF(G223="Dubai",HLOOKUP(F223,Inputs!$C$26:$M$37,12,0),HLOOKUP(F223,Inputs!$C$45:$M$56,12,0)))</f>
        <v/>
      </c>
      <c r="BE223" s="654"/>
      <c r="BF223" s="688">
        <f>IFERROR(IF(AL223="","",IF(AN223="Dubai",IF(OR(AL223="Plan1",AL223="Plan2"),VLOOKUP(BA223,Deviation!$B$31:$D$33,2,FALSE),VLOOKUP(BA223,Deviation!$B$31:$D$33,3,FALSE)),IF(OR(AL223="Plan1",AL223="Plan2"),VLOOKUP(BA223,Deviation!$E$31:$AE$33,2,FALSE),VLOOKUP(BA223,Deviation!$E$31:$AE$33,3,FALSE)))),0)</f>
        <v>1.125</v>
      </c>
      <c r="BG223" s="690">
        <f>IFERROR(IF(AL223="","",IF(AN223="Dubai",IF(AL223="Plan1",VLOOKUP(BB223,Deviation!$B$39:$C$40,2,FALSE),IF(AL223="Plan2",VLOOKUP(BB223,Deviation!$B$42:$C$43,2,FALSE),IF(AL223="Plan5",VLOOKUP(BB223,Deviation!$B$48:$C$49,2,FALSE),VLOOKUP(BB223,Deviation!$B$45:$C$46,2,FALSE)))),IF(AL223="Plan1",VLOOKUP(BB223,Deviation!$E$39:$F$40,2,FALSE),IF(AL223="Plan2",VLOOKUP(BB223,Deviation!$E$42:$F$43,2,FALSE),VLOOKUP(BB223,Deviation!$E$45:$F$46,2,FALSE))))),0)</f>
        <v>0</v>
      </c>
      <c r="BH223" s="690">
        <f>IFERROR(IF(AL223="","",IF(AN223="Dubai",IF(OR(AL223="Plan1",AL223="Plan2"),VLOOKUP(BC223,Deviation!$B$15:$D$19,2,FALSE),VLOOKUP(BC223,Deviation!$B$15:$D$19,3,FALSE)),IF(OR(AL223="Plan1",AL223="Plan2"),VLOOKUP(BC223,Deviation!$E$15:$AE$19,2,FALSE),VLOOKUP(BC223,Deviation!$E$15:$AE$19,3,FALSE)))),0)</f>
        <v>0</v>
      </c>
      <c r="BI223" s="691">
        <f>IFERROR(IF(AL223="","",IF(AN223="Dubai",VLOOKUP(BD223,Deviation!$B$24:$C$26,2,FALSE),100%)),0)</f>
        <v>1</v>
      </c>
      <c r="BJ223" s="672">
        <f>IF(AE223="Abu Dhabi",1,IFERROR(VLOOKUP(AM223,Deviation!$B$67:$E$79,MATCH('Census Data'!AA223,Deviation!$B$66:$E$66,0),0),1))</f>
        <v>1</v>
      </c>
      <c r="BK223" s="659">
        <f>IFERROR(VLOOKUP(I223,Deviation!$B$54:$C$62,2,0),1)</f>
        <v>1</v>
      </c>
      <c r="BL223" s="148"/>
      <c r="BM223" s="148"/>
      <c r="BN223" s="148"/>
      <c r="BO223" s="148"/>
      <c r="BP223" s="148"/>
      <c r="BQ223" s="148"/>
      <c r="BR223" s="148"/>
      <c r="BS223" s="148"/>
      <c r="BT223" s="148">
        <f t="shared" si="119"/>
        <v>0</v>
      </c>
    </row>
    <row r="224" spans="1:72" ht="15" hidden="1" x14ac:dyDescent="0.25">
      <c r="A224" s="497"/>
      <c r="B224" s="470"/>
      <c r="C224" s="496"/>
      <c r="D224" s="94" t="s">
        <v>169</v>
      </c>
      <c r="E224" s="94" t="s">
        <v>173</v>
      </c>
      <c r="F224" s="94" t="s">
        <v>67</v>
      </c>
      <c r="G224" s="94" t="s">
        <v>174</v>
      </c>
      <c r="H224" s="94" t="s">
        <v>165</v>
      </c>
      <c r="I224" s="94"/>
      <c r="J224" s="80">
        <v>59</v>
      </c>
      <c r="K224" s="59">
        <f>IF(F224="","",IF(G224="Dubai",HLOOKUP(F224,Inputs!$C$26:$M$28,3,0),HLOOKUP(F224,Inputs!$C$45:$M$46,2,0)))</f>
        <v>0</v>
      </c>
      <c r="L224" s="94"/>
      <c r="M224" s="105">
        <f t="shared" si="68"/>
        <v>-2</v>
      </c>
      <c r="N224" s="654" t="b">
        <f t="shared" si="135"/>
        <v>1</v>
      </c>
      <c r="O224" s="655" t="str">
        <f t="shared" si="136"/>
        <v>x</v>
      </c>
      <c r="P224" s="655" t="str">
        <f t="shared" si="137"/>
        <v/>
      </c>
      <c r="Q224" s="655" t="str">
        <f t="shared" si="138"/>
        <v/>
      </c>
      <c r="R224" s="655" t="str">
        <f t="shared" si="139"/>
        <v/>
      </c>
      <c r="S224" s="655" t="str">
        <f t="shared" si="140"/>
        <v/>
      </c>
      <c r="T224" s="655" t="str">
        <f>IF(ISERROR(MATCH(G224,'Inputs Mapping'!$T$4:$T$5,0)),"x","")</f>
        <v/>
      </c>
      <c r="U224" s="655" t="str">
        <f>IF(ISERROR(MATCH(AA224,'Inputs Mapping'!$U$4:$U$5,0)),"x","")</f>
        <v/>
      </c>
      <c r="V224" s="655" t="str">
        <f>IF(ISERROR(MATCH(AB224,'Inputs Mapping'!$V$4:$V$5,0)),"x","")</f>
        <v/>
      </c>
      <c r="W224" s="655" t="str">
        <f>IF(ISERROR(MATCH(F224,'Inputs Mapping'!$W$4:$W$8,0)),"x","")</f>
        <v/>
      </c>
      <c r="X224" s="655" t="str">
        <f t="shared" si="141"/>
        <v/>
      </c>
      <c r="Y224" s="655" t="str">
        <f t="shared" si="142"/>
        <v/>
      </c>
      <c r="Z224" s="655" t="str">
        <f t="shared" si="76"/>
        <v/>
      </c>
      <c r="AA224" s="655" t="str">
        <f t="shared" si="114"/>
        <v>M</v>
      </c>
      <c r="AB224" s="655" t="str">
        <f t="shared" si="79"/>
        <v>S</v>
      </c>
      <c r="AC224" s="655" t="str">
        <f t="shared" si="130"/>
        <v/>
      </c>
      <c r="AD224" s="655" t="str">
        <f>IF(ISBLANK(I224),"x",IF(ISNUMBER(MATCH(I224,'Inputs Mapping'!$AF$5:$AF$199,0)),"","x"))</f>
        <v>x</v>
      </c>
      <c r="AE224" s="655" t="str">
        <f t="shared" si="115"/>
        <v>Abu Dhabi</v>
      </c>
      <c r="AF224" s="148"/>
      <c r="AG224" s="148"/>
      <c r="AH224" s="148" t="str">
        <f t="shared" si="116"/>
        <v>EAbu Dhabi</v>
      </c>
      <c r="AI224" s="654" t="str">
        <f>IF(J224="","",VLOOKUP(J224,'Inputs Mapping'!$T$27:$V$31,3))</f>
        <v>41-59</v>
      </c>
      <c r="AJ224" s="654" t="str">
        <f>IF(J224="","",VLOOKUP(J224,'Inputs Mapping'!$T$17:$V$24,3))</f>
        <v>56 - 60</v>
      </c>
      <c r="AK224" s="654">
        <f t="shared" si="143"/>
        <v>0</v>
      </c>
      <c r="AL224" s="655">
        <f t="shared" si="144"/>
        <v>0</v>
      </c>
      <c r="AM224" s="655">
        <f>IF(F224="","",IF(G224="Dubai",HLOOKUP(F224,Inputs!$C$26:$M$36,5,0),HLOOKUP(F224,Inputs!$C$45:$M$49,5,0)))</f>
        <v>0</v>
      </c>
      <c r="AN224" s="655" t="str">
        <f t="shared" si="145"/>
        <v>Abu Dhabi</v>
      </c>
      <c r="AO224" s="654">
        <f>IF(AJ224="","",IF(AN224="Dubai",VLOOKUP(AJ224,'Inputs Mapping'!$V$17:$W$24,2,0),VLOOKUP(AI224,'Inputs Mapping'!$V$27:$W$31,2,0)))</f>
        <v>4</v>
      </c>
      <c r="AP224" s="685">
        <f>IFERROR(IF($AN224="","",HLOOKUP($AN224&amp;RIGHT($AL224,1),'input for formula'!$B$16:$I$20,3,0)),0)</f>
        <v>0</v>
      </c>
      <c r="AQ224" s="686">
        <f>IFERROR(IF($AN224="","",HLOOKUP($AN224&amp;$F224,'input for formula'!$B$22:$M$25,2,0)),0)</f>
        <v>0</v>
      </c>
      <c r="AR224" s="685">
        <f>IFERROR(IF($AN224="","",HLOOKUP($AN224&amp;RIGHT($AL224,1),'input for formula'!$B$16:$I$20,4,0)),0)</f>
        <v>0</v>
      </c>
      <c r="AS224" s="686">
        <f>IFERROR(IF($AN224="","",HLOOKUP($AN224&amp;$F224,'input for formula'!$B$22:$M$25,3,0)),0)</f>
        <v>0</v>
      </c>
      <c r="AT224" s="686">
        <f>IFERROR(IF($AN224="","",HLOOKUP($AN224&amp;RIGHT($AL224,1),'input for formula'!$B$16:$I$20,5,0)),0)</f>
        <v>0</v>
      </c>
      <c r="AU224" s="686">
        <f>IFERROR(IF($AN224="","",HLOOKUP($AN224&amp;$F224,'input for formula'!$B$22:$M$25,4,0)),0)</f>
        <v>0</v>
      </c>
      <c r="AV224" s="666">
        <f>IFERROR(IF($AN224="","",IF('Census Data'!$AN224="Abu Dhabi",VLOOKUP('Census Data'!$AM224,'input for formula'!$A$28:$C$41,3,0),VLOOKUP('Census Data'!$AM224,'input for formula'!$A$28:$C$47,2,0))),0)*IFERROR(1+IF(AN224="Dubai",VLOOKUP(F224,'Quotation for Dubai Plans'!$V$6:$X$12,3,FALSE),VLOOKUP(F224,'Quotation for Abu Dhabi Plans'!$W$6:$Y$12,3,FALSE)),0)</f>
        <v>0</v>
      </c>
      <c r="AW224" s="686">
        <f t="shared" si="146"/>
        <v>0</v>
      </c>
      <c r="AX224" s="687">
        <f>IFERROR(IF(AL224="","",IF(AN224="Dubai",HLOOKUP((AL224&amp;AM224),Deviation!$B$7:$S$8,2,0)*BF224*BH224*BI224*BG224,HLOOKUP((AL224&amp;AM224),Deviation!$B$9:$O$10,2,0)*BF224*BH224*BI224*BG224)),0)</f>
        <v>0</v>
      </c>
      <c r="AY224" s="668">
        <f>IF(AL224="","",IFERROR(IF(AL224="","",IF(AN224="Dubai",HLOOKUP(AZ224,'input for formula'!$B$3:$F$10,AO224,FALSE), IF(AND(H224="Employee",AN224="Abu Dhabi"),HLOOKUP(AZ224,'input for formula'!$I$3:$K$7,AO224,FALSE),HLOOKUP(AZ224,'input for formula'!$M$3:$O$7,AO224,FALSE)))*AX224+AP224*AQ224+AR224*AS224+AT224*AU224),0)*$AZ$3*BK224*BJ224)*IF(AND(Inputs!$C$19&gt;19,Inputs!$C$19&lt;30),(1+$AZ$2),1)</f>
        <v>0</v>
      </c>
      <c r="AZ224" s="148" t="str">
        <f t="shared" si="84"/>
        <v>Abu Dhabi0</v>
      </c>
      <c r="BA224" s="688">
        <f>IF(F224="","",IF(G224="Dubai",HLOOKUP(F224,Inputs!$C$26:$M$37,9,0),HLOOKUP(F224,Inputs!$C$45:$M$56,9,0)))</f>
        <v>0</v>
      </c>
      <c r="BB224" s="689">
        <f>IF(F224="","",IF(G224="Dubai",HLOOKUP(F224,Inputs!$C$26:$M$37,10,0),HLOOKUP(F224,Inputs!$C$45:$M$56,10,0)))</f>
        <v>0</v>
      </c>
      <c r="BC224" s="689">
        <f>IF(F224="","",IF(G224="Dubai",HLOOKUP(F224,Inputs!$C$26:$M$37,11,0),HLOOKUP(F224,Inputs!$C$45:$M$56,11,0)))</f>
        <v>0</v>
      </c>
      <c r="BD224" s="688" t="str">
        <f>IF(F224="","",IF(G224="Dubai",HLOOKUP(F224,Inputs!$C$26:$M$37,12,0),HLOOKUP(F224,Inputs!$C$45:$M$56,12,0)))</f>
        <v/>
      </c>
      <c r="BE224" s="654"/>
      <c r="BF224" s="688">
        <f>IFERROR(IF(AL224="","",IF(AN224="Dubai",IF(OR(AL224="Plan1",AL224="Plan2"),VLOOKUP(BA224,Deviation!$B$31:$D$33,2,FALSE),VLOOKUP(BA224,Deviation!$B$31:$D$33,3,FALSE)),IF(OR(AL224="Plan1",AL224="Plan2"),VLOOKUP(BA224,Deviation!$E$31:$AE$33,2,FALSE),VLOOKUP(BA224,Deviation!$E$31:$AE$33,3,FALSE)))),0)</f>
        <v>1.125</v>
      </c>
      <c r="BG224" s="690">
        <f>IFERROR(IF(AL224="","",IF(AN224="Dubai",IF(AL224="Plan1",VLOOKUP(BB224,Deviation!$B$39:$C$40,2,FALSE),IF(AL224="Plan2",VLOOKUP(BB224,Deviation!$B$42:$C$43,2,FALSE),IF(AL224="Plan5",VLOOKUP(BB224,Deviation!$B$48:$C$49,2,FALSE),VLOOKUP(BB224,Deviation!$B$45:$C$46,2,FALSE)))),IF(AL224="Plan1",VLOOKUP(BB224,Deviation!$E$39:$F$40,2,FALSE),IF(AL224="Plan2",VLOOKUP(BB224,Deviation!$E$42:$F$43,2,FALSE),VLOOKUP(BB224,Deviation!$E$45:$F$46,2,FALSE))))),0)</f>
        <v>0</v>
      </c>
      <c r="BH224" s="690">
        <f>IFERROR(IF(AL224="","",IF(AN224="Dubai",IF(OR(AL224="Plan1",AL224="Plan2"),VLOOKUP(BC224,Deviation!$B$15:$D$19,2,FALSE),VLOOKUP(BC224,Deviation!$B$15:$D$19,3,FALSE)),IF(OR(AL224="Plan1",AL224="Plan2"),VLOOKUP(BC224,Deviation!$E$15:$AE$19,2,FALSE),VLOOKUP(BC224,Deviation!$E$15:$AE$19,3,FALSE)))),0)</f>
        <v>0</v>
      </c>
      <c r="BI224" s="691">
        <f>IFERROR(IF(AL224="","",IF(AN224="Dubai",VLOOKUP(BD224,Deviation!$B$24:$C$26,2,FALSE),100%)),0)</f>
        <v>1</v>
      </c>
      <c r="BJ224" s="672">
        <f>IF(AE224="Abu Dhabi",1,IFERROR(VLOOKUP(AM224,Deviation!$B$67:$E$79,MATCH('Census Data'!AA224,Deviation!$B$66:$E$66,0),0),1))</f>
        <v>1</v>
      </c>
      <c r="BK224" s="659">
        <f>IFERROR(VLOOKUP(I224,Deviation!$B$54:$C$62,2,0),1)</f>
        <v>1</v>
      </c>
      <c r="BL224" s="148"/>
      <c r="BM224" s="148"/>
      <c r="BN224" s="148"/>
      <c r="BO224" s="148"/>
      <c r="BP224" s="148"/>
      <c r="BQ224" s="148"/>
      <c r="BR224" s="148"/>
      <c r="BS224" s="148"/>
      <c r="BT224" s="148">
        <f t="shared" si="119"/>
        <v>0</v>
      </c>
    </row>
    <row r="225" spans="1:72" ht="15" hidden="1" x14ac:dyDescent="0.25">
      <c r="A225" s="495"/>
      <c r="B225" s="470"/>
      <c r="C225" s="496"/>
      <c r="D225" s="94" t="s">
        <v>169</v>
      </c>
      <c r="E225" s="94" t="s">
        <v>173</v>
      </c>
      <c r="F225" s="94" t="s">
        <v>67</v>
      </c>
      <c r="G225" s="94" t="s">
        <v>174</v>
      </c>
      <c r="H225" s="94" t="s">
        <v>165</v>
      </c>
      <c r="I225" s="94"/>
      <c r="J225" s="80">
        <v>67</v>
      </c>
      <c r="K225" s="59">
        <f>IF(F225="","",IF(G225="Dubai",HLOOKUP(F225,Inputs!$C$26:$M$28,3,0),HLOOKUP(F225,Inputs!$C$45:$M$46,2,0)))</f>
        <v>0</v>
      </c>
      <c r="L225" s="94"/>
      <c r="M225" s="105">
        <f t="shared" si="68"/>
        <v>-2</v>
      </c>
      <c r="N225" s="654" t="b">
        <f t="shared" si="135"/>
        <v>1</v>
      </c>
      <c r="O225" s="655" t="str">
        <f t="shared" si="136"/>
        <v>x</v>
      </c>
      <c r="P225" s="655" t="str">
        <f t="shared" si="137"/>
        <v/>
      </c>
      <c r="Q225" s="655" t="str">
        <f t="shared" si="138"/>
        <v/>
      </c>
      <c r="R225" s="655" t="str">
        <f t="shared" si="139"/>
        <v/>
      </c>
      <c r="S225" s="655" t="str">
        <f t="shared" si="140"/>
        <v/>
      </c>
      <c r="T225" s="655" t="str">
        <f>IF(ISERROR(MATCH(G225,'Inputs Mapping'!$T$4:$T$5,0)),"x","")</f>
        <v/>
      </c>
      <c r="U225" s="655" t="str">
        <f>IF(ISERROR(MATCH(AA225,'Inputs Mapping'!$U$4:$U$5,0)),"x","")</f>
        <v/>
      </c>
      <c r="V225" s="655" t="str">
        <f>IF(ISERROR(MATCH(AB225,'Inputs Mapping'!$V$4:$V$5,0)),"x","")</f>
        <v/>
      </c>
      <c r="W225" s="655" t="str">
        <f>IF(ISERROR(MATCH(F225,'Inputs Mapping'!$W$4:$W$8,0)),"x","")</f>
        <v/>
      </c>
      <c r="X225" s="655" t="str">
        <f t="shared" si="141"/>
        <v/>
      </c>
      <c r="Y225" s="655" t="str">
        <f t="shared" si="142"/>
        <v/>
      </c>
      <c r="Z225" s="655" t="str">
        <f t="shared" si="76"/>
        <v/>
      </c>
      <c r="AA225" s="655" t="str">
        <f t="shared" si="114"/>
        <v>M</v>
      </c>
      <c r="AB225" s="655" t="str">
        <f t="shared" si="79"/>
        <v>S</v>
      </c>
      <c r="AC225" s="655" t="str">
        <f t="shared" si="130"/>
        <v/>
      </c>
      <c r="AD225" s="655" t="str">
        <f>IF(ISBLANK(I225),"x",IF(ISNUMBER(MATCH(I225,'Inputs Mapping'!$AF$5:$AF$199,0)),"","x"))</f>
        <v>x</v>
      </c>
      <c r="AE225" s="655" t="str">
        <f t="shared" si="115"/>
        <v>Abu Dhabi</v>
      </c>
      <c r="AF225" s="148"/>
      <c r="AG225" s="148"/>
      <c r="AH225" s="148" t="str">
        <f t="shared" si="116"/>
        <v>EAbu Dhabi</v>
      </c>
      <c r="AI225" s="654" t="str">
        <f>IF(J225="","",VLOOKUP(J225,'Inputs Mapping'!$T$27:$V$31,3))</f>
        <v>60-69</v>
      </c>
      <c r="AJ225" s="654" t="str">
        <f>IF(J225="","",VLOOKUP(J225,'Inputs Mapping'!$T$17:$V$24,3))</f>
        <v>66 - 69</v>
      </c>
      <c r="AK225" s="654">
        <f t="shared" si="143"/>
        <v>0</v>
      </c>
      <c r="AL225" s="655">
        <f t="shared" si="144"/>
        <v>0</v>
      </c>
      <c r="AM225" s="655">
        <f>IF(F225="","",IF(G225="Dubai",HLOOKUP(F225,Inputs!$C$26:$M$36,5,0),HLOOKUP(F225,Inputs!$C$45:$M$49,5,0)))</f>
        <v>0</v>
      </c>
      <c r="AN225" s="655" t="str">
        <f t="shared" si="145"/>
        <v>Abu Dhabi</v>
      </c>
      <c r="AO225" s="654">
        <f>IF(AJ225="","",IF(AN225="Dubai",VLOOKUP(AJ225,'Inputs Mapping'!$V$17:$W$24,2,0),VLOOKUP(AI225,'Inputs Mapping'!$V$27:$W$31,2,0)))</f>
        <v>5</v>
      </c>
      <c r="AP225" s="685">
        <f>IFERROR(IF($AN225="","",HLOOKUP($AN225&amp;RIGHT($AL225,1),'input for formula'!$B$16:$I$20,3,0)),0)</f>
        <v>0</v>
      </c>
      <c r="AQ225" s="686">
        <f>IFERROR(IF($AN225="","",HLOOKUP($AN225&amp;$F225,'input for formula'!$B$22:$M$25,2,0)),0)</f>
        <v>0</v>
      </c>
      <c r="AR225" s="685">
        <f>IFERROR(IF($AN225="","",HLOOKUP($AN225&amp;RIGHT($AL225,1),'input for formula'!$B$16:$I$20,4,0)),0)</f>
        <v>0</v>
      </c>
      <c r="AS225" s="686">
        <f>IFERROR(IF($AN225="","",HLOOKUP($AN225&amp;$F225,'input for formula'!$B$22:$M$25,3,0)),0)</f>
        <v>0</v>
      </c>
      <c r="AT225" s="686">
        <f>IFERROR(IF($AN225="","",HLOOKUP($AN225&amp;RIGHT($AL225,1),'input for formula'!$B$16:$I$20,5,0)),0)</f>
        <v>0</v>
      </c>
      <c r="AU225" s="686">
        <f>IFERROR(IF($AN225="","",HLOOKUP($AN225&amp;$F225,'input for formula'!$B$22:$M$25,4,0)),0)</f>
        <v>0</v>
      </c>
      <c r="AV225" s="666">
        <f>IFERROR(IF($AN225="","",IF('Census Data'!$AN225="Abu Dhabi",VLOOKUP('Census Data'!$AM225,'input for formula'!$A$28:$C$41,3,0),VLOOKUP('Census Data'!$AM225,'input for formula'!$A$28:$C$47,2,0))),0)*IFERROR(1+IF(AN225="Dubai",VLOOKUP(F225,'Quotation for Dubai Plans'!$V$6:$X$12,3,FALSE),VLOOKUP(F225,'Quotation for Abu Dhabi Plans'!$W$6:$Y$12,3,FALSE)),0)</f>
        <v>0</v>
      </c>
      <c r="AW225" s="686">
        <f t="shared" si="146"/>
        <v>0</v>
      </c>
      <c r="AX225" s="687">
        <f>IFERROR(IF(AL225="","",IF(AN225="Dubai",HLOOKUP((AL225&amp;AM225),Deviation!$B$7:$S$8,2,0)*BF225*BH225*BI225*BG225,HLOOKUP((AL225&amp;AM225),Deviation!$B$9:$O$10,2,0)*BF225*BH225*BI225*BG225)),0)</f>
        <v>0</v>
      </c>
      <c r="AY225" s="668">
        <f>IF(AL225="","",IFERROR(IF(AL225="","",IF(AN225="Dubai",HLOOKUP(AZ225,'input for formula'!$B$3:$F$10,AO225,FALSE), IF(AND(H225="Employee",AN225="Abu Dhabi"),HLOOKUP(AZ225,'input for formula'!$I$3:$K$7,AO225,FALSE),HLOOKUP(AZ225,'input for formula'!$M$3:$O$7,AO225,FALSE)))*AX225+AP225*AQ225+AR225*AS225+AT225*AU225),0)*$AZ$3*BK225*BJ225)*IF(AND(Inputs!$C$19&gt;19,Inputs!$C$19&lt;30),(1+$AZ$2),1)</f>
        <v>0</v>
      </c>
      <c r="AZ225" s="148" t="str">
        <f t="shared" si="84"/>
        <v>Abu Dhabi0</v>
      </c>
      <c r="BA225" s="688">
        <f>IF(F225="","",IF(G225="Dubai",HLOOKUP(F225,Inputs!$C$26:$M$37,9,0),HLOOKUP(F225,Inputs!$C$45:$M$56,9,0)))</f>
        <v>0</v>
      </c>
      <c r="BB225" s="689">
        <f>IF(F225="","",IF(G225="Dubai",HLOOKUP(F225,Inputs!$C$26:$M$37,10,0),HLOOKUP(F225,Inputs!$C$45:$M$56,10,0)))</f>
        <v>0</v>
      </c>
      <c r="BC225" s="689">
        <f>IF(F225="","",IF(G225="Dubai",HLOOKUP(F225,Inputs!$C$26:$M$37,11,0),HLOOKUP(F225,Inputs!$C$45:$M$56,11,0)))</f>
        <v>0</v>
      </c>
      <c r="BD225" s="688" t="str">
        <f>IF(F225="","",IF(G225="Dubai",HLOOKUP(F225,Inputs!$C$26:$M$37,12,0),HLOOKUP(F225,Inputs!$C$45:$M$56,12,0)))</f>
        <v/>
      </c>
      <c r="BE225" s="654"/>
      <c r="BF225" s="688">
        <f>IFERROR(IF(AL225="","",IF(AN225="Dubai",IF(OR(AL225="Plan1",AL225="Plan2"),VLOOKUP(BA225,Deviation!$B$31:$D$33,2,FALSE),VLOOKUP(BA225,Deviation!$B$31:$D$33,3,FALSE)),IF(OR(AL225="Plan1",AL225="Plan2"),VLOOKUP(BA225,Deviation!$E$31:$AE$33,2,FALSE),VLOOKUP(BA225,Deviation!$E$31:$AE$33,3,FALSE)))),0)</f>
        <v>1.125</v>
      </c>
      <c r="BG225" s="690">
        <f>IFERROR(IF(AL225="","",IF(AN225="Dubai",IF(AL225="Plan1",VLOOKUP(BB225,Deviation!$B$39:$C$40,2,FALSE),IF(AL225="Plan2",VLOOKUP(BB225,Deviation!$B$42:$C$43,2,FALSE),IF(AL225="Plan5",VLOOKUP(BB225,Deviation!$B$48:$C$49,2,FALSE),VLOOKUP(BB225,Deviation!$B$45:$C$46,2,FALSE)))),IF(AL225="Plan1",VLOOKUP(BB225,Deviation!$E$39:$F$40,2,FALSE),IF(AL225="Plan2",VLOOKUP(BB225,Deviation!$E$42:$F$43,2,FALSE),VLOOKUP(BB225,Deviation!$E$45:$F$46,2,FALSE))))),0)</f>
        <v>0</v>
      </c>
      <c r="BH225" s="690">
        <f>IFERROR(IF(AL225="","",IF(AN225="Dubai",IF(OR(AL225="Plan1",AL225="Plan2"),VLOOKUP(BC225,Deviation!$B$15:$D$19,2,FALSE),VLOOKUP(BC225,Deviation!$B$15:$D$19,3,FALSE)),IF(OR(AL225="Plan1",AL225="Plan2"),VLOOKUP(BC225,Deviation!$E$15:$AE$19,2,FALSE),VLOOKUP(BC225,Deviation!$E$15:$AE$19,3,FALSE)))),0)</f>
        <v>0</v>
      </c>
      <c r="BI225" s="691">
        <f>IFERROR(IF(AL225="","",IF(AN225="Dubai",VLOOKUP(BD225,Deviation!$B$24:$C$26,2,FALSE),100%)),0)</f>
        <v>1</v>
      </c>
      <c r="BJ225" s="672">
        <f>IF(AE225="Abu Dhabi",1,IFERROR(VLOOKUP(AM225,Deviation!$B$67:$E$79,MATCH('Census Data'!AA225,Deviation!$B$66:$E$66,0),0),1))</f>
        <v>1</v>
      </c>
      <c r="BK225" s="659">
        <f>IFERROR(VLOOKUP(I225,Deviation!$B$54:$C$62,2,0),1)</f>
        <v>1</v>
      </c>
      <c r="BL225" s="148"/>
      <c r="BM225" s="148"/>
      <c r="BN225" s="148"/>
      <c r="BO225" s="148"/>
      <c r="BP225" s="148"/>
      <c r="BQ225" s="148"/>
      <c r="BR225" s="148"/>
      <c r="BS225" s="148"/>
      <c r="BT225" s="148">
        <f t="shared" si="119"/>
        <v>0</v>
      </c>
    </row>
    <row r="226" spans="1:72" ht="15" hidden="1" x14ac:dyDescent="0.25">
      <c r="A226" s="495"/>
      <c r="B226" s="470"/>
      <c r="C226" s="496"/>
      <c r="D226" s="94" t="s">
        <v>169</v>
      </c>
      <c r="E226" s="94" t="s">
        <v>173</v>
      </c>
      <c r="F226" s="94" t="s">
        <v>68</v>
      </c>
      <c r="G226" s="94" t="s">
        <v>174</v>
      </c>
      <c r="H226" s="94" t="s">
        <v>165</v>
      </c>
      <c r="I226" s="94"/>
      <c r="J226" s="80">
        <v>15</v>
      </c>
      <c r="K226" s="59">
        <f>IF(F226="","",IF(G226="Dubai",HLOOKUP(F226,Inputs!$C$26:$M$28,3,0),HLOOKUP(F226,Inputs!$C$45:$M$46,2,0)))</f>
        <v>0</v>
      </c>
      <c r="L226" s="94"/>
      <c r="M226" s="105">
        <f t="shared" si="68"/>
        <v>-2</v>
      </c>
      <c r="N226" s="654" t="b">
        <f t="shared" si="135"/>
        <v>1</v>
      </c>
      <c r="O226" s="655" t="str">
        <f t="shared" si="136"/>
        <v>x</v>
      </c>
      <c r="P226" s="655" t="str">
        <f t="shared" si="137"/>
        <v/>
      </c>
      <c r="Q226" s="655" t="str">
        <f t="shared" si="138"/>
        <v/>
      </c>
      <c r="R226" s="655" t="str">
        <f t="shared" si="139"/>
        <v/>
      </c>
      <c r="S226" s="655" t="str">
        <f t="shared" si="140"/>
        <v/>
      </c>
      <c r="T226" s="655" t="str">
        <f>IF(ISERROR(MATCH(G226,'Inputs Mapping'!$T$4:$T$5,0)),"x","")</f>
        <v/>
      </c>
      <c r="U226" s="655" t="str">
        <f>IF(ISERROR(MATCH(AA226,'Inputs Mapping'!$U$4:$U$5,0)),"x","")</f>
        <v/>
      </c>
      <c r="V226" s="655" t="str">
        <f>IF(ISERROR(MATCH(AB226,'Inputs Mapping'!$V$4:$V$5,0)),"x","")</f>
        <v/>
      </c>
      <c r="W226" s="655" t="str">
        <f>IF(ISERROR(MATCH(F226,'Inputs Mapping'!$W$4:$W$8,0)),"x","")</f>
        <v>x</v>
      </c>
      <c r="X226" s="655" t="str">
        <f t="shared" si="141"/>
        <v/>
      </c>
      <c r="Y226" s="655" t="str">
        <f t="shared" si="142"/>
        <v/>
      </c>
      <c r="Z226" s="655" t="str">
        <f t="shared" si="76"/>
        <v/>
      </c>
      <c r="AA226" s="655" t="str">
        <f t="shared" si="114"/>
        <v>M</v>
      </c>
      <c r="AB226" s="655" t="str">
        <f t="shared" si="79"/>
        <v>S</v>
      </c>
      <c r="AC226" s="655" t="str">
        <f t="shared" si="130"/>
        <v>x</v>
      </c>
      <c r="AD226" s="655" t="str">
        <f>IF(ISBLANK(I226),"x",IF(ISNUMBER(MATCH(I226,'Inputs Mapping'!$AF$5:$AF$199,0)),"","x"))</f>
        <v>x</v>
      </c>
      <c r="AE226" s="655" t="str">
        <f t="shared" si="115"/>
        <v>Abu Dhabi</v>
      </c>
      <c r="AF226" s="148"/>
      <c r="AG226" s="148"/>
      <c r="AH226" s="148" t="str">
        <f t="shared" si="116"/>
        <v>FAbu Dhabi</v>
      </c>
      <c r="AI226" s="654" t="str">
        <f>IF(J226="","",VLOOKUP(J226,'Inputs Mapping'!$T$27:$V$31,3))</f>
        <v>0-17</v>
      </c>
      <c r="AJ226" s="654" t="str">
        <f>IF(J226="","",VLOOKUP(J226,'Inputs Mapping'!$T$17:$V$24,3))</f>
        <v>0 - 17</v>
      </c>
      <c r="AK226" s="654">
        <f t="shared" si="143"/>
        <v>0</v>
      </c>
      <c r="AL226" s="655">
        <f t="shared" si="144"/>
        <v>0</v>
      </c>
      <c r="AM226" s="655">
        <f>IF(F226="","",IF(G226="Dubai",HLOOKUP(F226,Inputs!$C$26:$M$36,5,0),HLOOKUP(F226,Inputs!$C$45:$M$49,5,0)))</f>
        <v>0</v>
      </c>
      <c r="AN226" s="655" t="str">
        <f t="shared" si="145"/>
        <v>Abu Dhabi</v>
      </c>
      <c r="AO226" s="654">
        <f>IF(AJ226="","",IF(AN226="Dubai",VLOOKUP(AJ226,'Inputs Mapping'!$V$17:$W$24,2,0),VLOOKUP(AI226,'Inputs Mapping'!$V$27:$W$31,2,0)))</f>
        <v>2</v>
      </c>
      <c r="AP226" s="685">
        <f>IFERROR(IF($AN226="","",HLOOKUP($AN226&amp;RIGHT($AL226,1),'input for formula'!$B$16:$I$20,3,0)),0)</f>
        <v>0</v>
      </c>
      <c r="AQ226" s="686">
        <f>IFERROR(IF($AN226="","",HLOOKUP($AN226&amp;$F226,'input for formula'!$B$22:$M$25,2,0)),0)</f>
        <v>0</v>
      </c>
      <c r="AR226" s="685">
        <f>IFERROR(IF($AN226="","",HLOOKUP($AN226&amp;RIGHT($AL226,1),'input for formula'!$B$16:$I$20,4,0)),0)</f>
        <v>0</v>
      </c>
      <c r="AS226" s="686">
        <f>IFERROR(IF($AN226="","",HLOOKUP($AN226&amp;$F226,'input for formula'!$B$22:$M$25,3,0)),0)</f>
        <v>0</v>
      </c>
      <c r="AT226" s="686">
        <f>IFERROR(IF($AN226="","",HLOOKUP($AN226&amp;RIGHT($AL226,1),'input for formula'!$B$16:$I$20,5,0)),0)</f>
        <v>0</v>
      </c>
      <c r="AU226" s="686">
        <f>IFERROR(IF($AN226="","",HLOOKUP($AN226&amp;$F226,'input for formula'!$B$22:$M$25,4,0)),0)</f>
        <v>0</v>
      </c>
      <c r="AV226" s="666">
        <f>IFERROR(IF($AN226="","",IF('Census Data'!$AN226="Abu Dhabi",VLOOKUP('Census Data'!$AM226,'input for formula'!$A$28:$C$41,3,0),VLOOKUP('Census Data'!$AM226,'input for formula'!$A$28:$C$47,2,0))),0)*IFERROR(1+IF(AN226="Dubai",VLOOKUP(F226,'Quotation for Dubai Plans'!$V$6:$X$12,3,FALSE),VLOOKUP(F226,'Quotation for Abu Dhabi Plans'!$W$6:$Y$12,3,FALSE)),0)</f>
        <v>0</v>
      </c>
      <c r="AW226" s="686">
        <f t="shared" si="146"/>
        <v>0</v>
      </c>
      <c r="AX226" s="687">
        <f>IFERROR(IF(AL226="","",IF(AN226="Dubai",HLOOKUP((AL226&amp;AM226),Deviation!$B$7:$S$8,2,0)*BF226*BH226*BI226*BG226,HLOOKUP((AL226&amp;AM226),Deviation!$B$9:$O$10,2,0)*BF226*BH226*BI226*BG226)),0)</f>
        <v>0</v>
      </c>
      <c r="AY226" s="668">
        <f>IF(AL226="","",IFERROR(IF(AL226="","",IF(AN226="Dubai",HLOOKUP(AZ226,'input for formula'!$B$3:$F$10,AO226,FALSE), IF(AND(H226="Employee",AN226="Abu Dhabi"),HLOOKUP(AZ226,'input for formula'!$I$3:$K$7,AO226,FALSE),HLOOKUP(AZ226,'input for formula'!$M$3:$O$7,AO226,FALSE)))*AX226+AP226*AQ226+AR226*AS226+AT226*AU226),0)*$AZ$3*BK226*BJ226)*IF(AND(Inputs!$C$19&gt;19,Inputs!$C$19&lt;30),(1+$AZ$2),1)</f>
        <v>0</v>
      </c>
      <c r="AZ226" s="148" t="str">
        <f t="shared" si="84"/>
        <v>Abu Dhabi0</v>
      </c>
      <c r="BA226" s="688">
        <f>IF(F226="","",IF(G226="Dubai",HLOOKUP(F226,Inputs!$C$26:$M$37,9,0),HLOOKUP(F226,Inputs!$C$45:$M$56,9,0)))</f>
        <v>0</v>
      </c>
      <c r="BB226" s="689">
        <f>IF(F226="","",IF(G226="Dubai",HLOOKUP(F226,Inputs!$C$26:$M$37,10,0),HLOOKUP(F226,Inputs!$C$45:$M$56,10,0)))</f>
        <v>0</v>
      </c>
      <c r="BC226" s="689">
        <f>IF(F226="","",IF(G226="Dubai",HLOOKUP(F226,Inputs!$C$26:$M$37,11,0),HLOOKUP(F226,Inputs!$C$45:$M$56,11,0)))</f>
        <v>0</v>
      </c>
      <c r="BD226" s="688" t="str">
        <f>IF(F226="","",IF(G226="Dubai",HLOOKUP(F226,Inputs!$C$26:$M$37,12,0),HLOOKUP(F226,Inputs!$C$45:$M$56,12,0)))</f>
        <v/>
      </c>
      <c r="BE226" s="654"/>
      <c r="BF226" s="688">
        <f>IFERROR(IF(AL226="","",IF(AN226="Dubai",IF(OR(AL226="Plan1",AL226="Plan2"),VLOOKUP(BA226,Deviation!$B$31:$D$33,2,FALSE),VLOOKUP(BA226,Deviation!$B$31:$D$33,3,FALSE)),IF(OR(AL226="Plan1",AL226="Plan2"),VLOOKUP(BA226,Deviation!$E$31:$AE$33,2,FALSE),VLOOKUP(BA226,Deviation!$E$31:$AE$33,3,FALSE)))),0)</f>
        <v>1.125</v>
      </c>
      <c r="BG226" s="690">
        <f>IFERROR(IF(AL226="","",IF(AN226="Dubai",IF(AL226="Plan1",VLOOKUP(BB226,Deviation!$B$39:$C$40,2,FALSE),IF(AL226="Plan2",VLOOKUP(BB226,Deviation!$B$42:$C$43,2,FALSE),IF(AL226="Plan5",VLOOKUP(BB226,Deviation!$B$48:$C$49,2,FALSE),VLOOKUP(BB226,Deviation!$B$45:$C$46,2,FALSE)))),IF(AL226="Plan1",VLOOKUP(BB226,Deviation!$E$39:$F$40,2,FALSE),IF(AL226="Plan2",VLOOKUP(BB226,Deviation!$E$42:$F$43,2,FALSE),VLOOKUP(BB226,Deviation!$E$45:$F$46,2,FALSE))))),0)</f>
        <v>0</v>
      </c>
      <c r="BH226" s="690">
        <f>IFERROR(IF(AL226="","",IF(AN226="Dubai",IF(OR(AL226="Plan1",AL226="Plan2"),VLOOKUP(BC226,Deviation!$B$15:$D$19,2,FALSE),VLOOKUP(BC226,Deviation!$B$15:$D$19,3,FALSE)),IF(OR(AL226="Plan1",AL226="Plan2"),VLOOKUP(BC226,Deviation!$E$15:$AE$19,2,FALSE),VLOOKUP(BC226,Deviation!$E$15:$AE$19,3,FALSE)))),0)</f>
        <v>0</v>
      </c>
      <c r="BI226" s="691">
        <f>IFERROR(IF(AL226="","",IF(AN226="Dubai",VLOOKUP(BD226,Deviation!$B$24:$C$26,2,FALSE),100%)),0)</f>
        <v>1</v>
      </c>
      <c r="BJ226" s="672">
        <f>IF(AE226="Abu Dhabi",1,IFERROR(VLOOKUP(AM226,Deviation!$B$67:$E$79,MATCH('Census Data'!AA226,Deviation!$B$66:$E$66,0),0),1))</f>
        <v>1</v>
      </c>
      <c r="BK226" s="659">
        <f>IFERROR(VLOOKUP(I226,Deviation!$B$54:$C$62,2,0),1)</f>
        <v>1</v>
      </c>
      <c r="BL226" s="148"/>
      <c r="BM226" s="148"/>
      <c r="BN226" s="148"/>
      <c r="BO226" s="148"/>
      <c r="BP226" s="148"/>
      <c r="BQ226" s="148"/>
      <c r="BR226" s="148"/>
      <c r="BS226" s="148"/>
      <c r="BT226" s="148">
        <f t="shared" si="119"/>
        <v>0</v>
      </c>
    </row>
    <row r="227" spans="1:72" ht="15" hidden="1" x14ac:dyDescent="0.25">
      <c r="A227" s="495"/>
      <c r="B227" s="470"/>
      <c r="C227" s="496"/>
      <c r="D227" s="94" t="s">
        <v>169</v>
      </c>
      <c r="E227" s="94" t="s">
        <v>173</v>
      </c>
      <c r="F227" s="94" t="s">
        <v>68</v>
      </c>
      <c r="G227" s="94" t="s">
        <v>174</v>
      </c>
      <c r="H227" s="94" t="s">
        <v>165</v>
      </c>
      <c r="I227" s="94"/>
      <c r="J227" s="80">
        <v>40</v>
      </c>
      <c r="K227" s="59">
        <f>IF(F227="","",IF(G227="Dubai",HLOOKUP(F227,Inputs!$C$26:$M$28,3,0),HLOOKUP(F227,Inputs!$C$45:$M$46,2,0)))</f>
        <v>0</v>
      </c>
      <c r="L227" s="94"/>
      <c r="M227" s="105">
        <f t="shared" si="68"/>
        <v>-2</v>
      </c>
      <c r="N227" s="654" t="b">
        <f t="shared" si="135"/>
        <v>1</v>
      </c>
      <c r="O227" s="655" t="str">
        <f t="shared" si="136"/>
        <v>x</v>
      </c>
      <c r="P227" s="655" t="str">
        <f t="shared" si="137"/>
        <v/>
      </c>
      <c r="Q227" s="655" t="str">
        <f t="shared" si="138"/>
        <v/>
      </c>
      <c r="R227" s="655" t="str">
        <f t="shared" si="139"/>
        <v/>
      </c>
      <c r="S227" s="655" t="str">
        <f t="shared" si="140"/>
        <v/>
      </c>
      <c r="T227" s="655" t="str">
        <f>IF(ISERROR(MATCH(G227,'Inputs Mapping'!$T$4:$T$5,0)),"x","")</f>
        <v/>
      </c>
      <c r="U227" s="655" t="str">
        <f>IF(ISERROR(MATCH(AA227,'Inputs Mapping'!$U$4:$U$5,0)),"x","")</f>
        <v/>
      </c>
      <c r="V227" s="655" t="str">
        <f>IF(ISERROR(MATCH(AB227,'Inputs Mapping'!$V$4:$V$5,0)),"x","")</f>
        <v/>
      </c>
      <c r="W227" s="655" t="str">
        <f>IF(ISERROR(MATCH(F227,'Inputs Mapping'!$W$4:$W$8,0)),"x","")</f>
        <v>x</v>
      </c>
      <c r="X227" s="655" t="str">
        <f t="shared" si="141"/>
        <v/>
      </c>
      <c r="Y227" s="655" t="str">
        <f t="shared" si="142"/>
        <v/>
      </c>
      <c r="Z227" s="655" t="str">
        <f t="shared" si="76"/>
        <v/>
      </c>
      <c r="AA227" s="655" t="str">
        <f t="shared" si="114"/>
        <v>M</v>
      </c>
      <c r="AB227" s="655" t="str">
        <f t="shared" si="79"/>
        <v>S</v>
      </c>
      <c r="AC227" s="655" t="str">
        <f t="shared" si="130"/>
        <v/>
      </c>
      <c r="AD227" s="655" t="str">
        <f>IF(ISBLANK(I227),"x",IF(ISNUMBER(MATCH(I227,'Inputs Mapping'!$AF$5:$AF$199,0)),"","x"))</f>
        <v>x</v>
      </c>
      <c r="AE227" s="655" t="str">
        <f t="shared" si="115"/>
        <v>Abu Dhabi</v>
      </c>
      <c r="AF227" s="148"/>
      <c r="AG227" s="148"/>
      <c r="AH227" s="148" t="str">
        <f t="shared" si="116"/>
        <v>FAbu Dhabi</v>
      </c>
      <c r="AI227" s="654" t="str">
        <f>IF(J227="","",VLOOKUP(J227,'Inputs Mapping'!$T$27:$V$31,3))</f>
        <v>18-40</v>
      </c>
      <c r="AJ227" s="654" t="str">
        <f>IF(J227="","",VLOOKUP(J227,'Inputs Mapping'!$T$17:$V$24,3))</f>
        <v>36 - 45</v>
      </c>
      <c r="AK227" s="654">
        <f t="shared" si="143"/>
        <v>0</v>
      </c>
      <c r="AL227" s="655">
        <f t="shared" si="144"/>
        <v>0</v>
      </c>
      <c r="AM227" s="655">
        <f>IF(F227="","",IF(G227="Dubai",HLOOKUP(F227,Inputs!$C$26:$M$36,5,0),HLOOKUP(F227,Inputs!$C$45:$M$49,5,0)))</f>
        <v>0</v>
      </c>
      <c r="AN227" s="655" t="str">
        <f t="shared" si="145"/>
        <v>Abu Dhabi</v>
      </c>
      <c r="AO227" s="654">
        <f>IF(AJ227="","",IF(AN227="Dubai",VLOOKUP(AJ227,'Inputs Mapping'!$V$17:$W$24,2,0),VLOOKUP(AI227,'Inputs Mapping'!$V$27:$W$31,2,0)))</f>
        <v>3</v>
      </c>
      <c r="AP227" s="685">
        <f>IFERROR(IF($AN227="","",HLOOKUP($AN227&amp;RIGHT($AL227,1),'input for formula'!$B$16:$I$20,3,0)),0)</f>
        <v>0</v>
      </c>
      <c r="AQ227" s="686">
        <f>IFERROR(IF($AN227="","",HLOOKUP($AN227&amp;$F227,'input for formula'!$B$22:$M$25,2,0)),0)</f>
        <v>0</v>
      </c>
      <c r="AR227" s="685">
        <f>IFERROR(IF($AN227="","",HLOOKUP($AN227&amp;RIGHT($AL227,1),'input for formula'!$B$16:$I$20,4,0)),0)</f>
        <v>0</v>
      </c>
      <c r="AS227" s="686">
        <f>IFERROR(IF($AN227="","",HLOOKUP($AN227&amp;$F227,'input for formula'!$B$22:$M$25,3,0)),0)</f>
        <v>0</v>
      </c>
      <c r="AT227" s="686">
        <f>IFERROR(IF($AN227="","",HLOOKUP($AN227&amp;RIGHT($AL227,1),'input for formula'!$B$16:$I$20,5,0)),0)</f>
        <v>0</v>
      </c>
      <c r="AU227" s="686">
        <f>IFERROR(IF($AN227="","",HLOOKUP($AN227&amp;$F227,'input for formula'!$B$22:$M$25,4,0)),0)</f>
        <v>0</v>
      </c>
      <c r="AV227" s="666">
        <f>IFERROR(IF($AN227="","",IF('Census Data'!$AN227="Abu Dhabi",VLOOKUP('Census Data'!$AM227,'input for formula'!$A$28:$C$41,3,0),VLOOKUP('Census Data'!$AM227,'input for formula'!$A$28:$C$47,2,0))),0)*IFERROR(1+IF(AN227="Dubai",VLOOKUP(F227,'Quotation for Dubai Plans'!$V$6:$X$12,3,FALSE),VLOOKUP(F227,'Quotation for Abu Dhabi Plans'!$W$6:$Y$12,3,FALSE)),0)</f>
        <v>0</v>
      </c>
      <c r="AW227" s="686">
        <f t="shared" si="146"/>
        <v>0</v>
      </c>
      <c r="AX227" s="687">
        <f>IFERROR(IF(AL227="","",IF(AN227="Dubai",HLOOKUP((AL227&amp;AM227),Deviation!$B$7:$S$8,2,0)*BF227*BH227*BI227*BG227,HLOOKUP((AL227&amp;AM227),Deviation!$B$9:$O$10,2,0)*BF227*BH227*BI227*BG227)),0)</f>
        <v>0</v>
      </c>
      <c r="AY227" s="668">
        <f>IF(AL227="","",IFERROR(IF(AL227="","",IF(AN227="Dubai",HLOOKUP(AZ227,'input for formula'!$B$3:$F$10,AO227,FALSE), IF(AND(H227="Employee",AN227="Abu Dhabi"),HLOOKUP(AZ227,'input for formula'!$I$3:$K$7,AO227,FALSE),HLOOKUP(AZ227,'input for formula'!$M$3:$O$7,AO227,FALSE)))*AX227+AP227*AQ227+AR227*AS227+AT227*AU227),0)*$AZ$3*BK227*BJ227)*IF(AND(Inputs!$C$19&gt;19,Inputs!$C$19&lt;30),(1+$AZ$2),1)</f>
        <v>0</v>
      </c>
      <c r="AZ227" s="148" t="str">
        <f t="shared" si="84"/>
        <v>Abu Dhabi0</v>
      </c>
      <c r="BA227" s="688">
        <f>IF(F227="","",IF(G227="Dubai",HLOOKUP(F227,Inputs!$C$26:$M$37,9,0),HLOOKUP(F227,Inputs!$C$45:$M$56,9,0)))</f>
        <v>0</v>
      </c>
      <c r="BB227" s="689">
        <f>IF(F227="","",IF(G227="Dubai",HLOOKUP(F227,Inputs!$C$26:$M$37,10,0),HLOOKUP(F227,Inputs!$C$45:$M$56,10,0)))</f>
        <v>0</v>
      </c>
      <c r="BC227" s="689">
        <f>IF(F227="","",IF(G227="Dubai",HLOOKUP(F227,Inputs!$C$26:$M$37,11,0),HLOOKUP(F227,Inputs!$C$45:$M$56,11,0)))</f>
        <v>0</v>
      </c>
      <c r="BD227" s="688" t="str">
        <f>IF(F227="","",IF(G227="Dubai",HLOOKUP(F227,Inputs!$C$26:$M$37,12,0),HLOOKUP(F227,Inputs!$C$45:$M$56,12,0)))</f>
        <v/>
      </c>
      <c r="BE227" s="654"/>
      <c r="BF227" s="688">
        <f>IFERROR(IF(AL227="","",IF(AN227="Dubai",IF(OR(AL227="Plan1",AL227="Plan2"),VLOOKUP(BA227,Deviation!$B$31:$D$33,2,FALSE),VLOOKUP(BA227,Deviation!$B$31:$D$33,3,FALSE)),IF(OR(AL227="Plan1",AL227="Plan2"),VLOOKUP(BA227,Deviation!$E$31:$AE$33,2,FALSE),VLOOKUP(BA227,Deviation!$E$31:$AE$33,3,FALSE)))),0)</f>
        <v>1.125</v>
      </c>
      <c r="BG227" s="690">
        <f>IFERROR(IF(AL227="","",IF(AN227="Dubai",IF(AL227="Plan1",VLOOKUP(BB227,Deviation!$B$39:$C$40,2,FALSE),IF(AL227="Plan2",VLOOKUP(BB227,Deviation!$B$42:$C$43,2,FALSE),IF(AL227="Plan5",VLOOKUP(BB227,Deviation!$B$48:$C$49,2,FALSE),VLOOKUP(BB227,Deviation!$B$45:$C$46,2,FALSE)))),IF(AL227="Plan1",VLOOKUP(BB227,Deviation!$E$39:$F$40,2,FALSE),IF(AL227="Plan2",VLOOKUP(BB227,Deviation!$E$42:$F$43,2,FALSE),VLOOKUP(BB227,Deviation!$E$45:$F$46,2,FALSE))))),0)</f>
        <v>0</v>
      </c>
      <c r="BH227" s="690">
        <f>IFERROR(IF(AL227="","",IF(AN227="Dubai",IF(OR(AL227="Plan1",AL227="Plan2"),VLOOKUP(BC227,Deviation!$B$15:$D$19,2,FALSE),VLOOKUP(BC227,Deviation!$B$15:$D$19,3,FALSE)),IF(OR(AL227="Plan1",AL227="Plan2"),VLOOKUP(BC227,Deviation!$E$15:$AE$19,2,FALSE),VLOOKUP(BC227,Deviation!$E$15:$AE$19,3,FALSE)))),0)</f>
        <v>0</v>
      </c>
      <c r="BI227" s="691">
        <f>IFERROR(IF(AL227="","",IF(AN227="Dubai",VLOOKUP(BD227,Deviation!$B$24:$C$26,2,FALSE),100%)),0)</f>
        <v>1</v>
      </c>
      <c r="BJ227" s="672">
        <f>IF(AE227="Abu Dhabi",1,IFERROR(VLOOKUP(AM227,Deviation!$B$67:$E$79,MATCH('Census Data'!AA227,Deviation!$B$66:$E$66,0),0),1))</f>
        <v>1</v>
      </c>
      <c r="BK227" s="659">
        <f>IFERROR(VLOOKUP(I227,Deviation!$B$54:$C$62,2,0),1)</f>
        <v>1</v>
      </c>
      <c r="BL227" s="148"/>
      <c r="BM227" s="148"/>
      <c r="BN227" s="148"/>
      <c r="BO227" s="148"/>
      <c r="BP227" s="148"/>
      <c r="BQ227" s="148"/>
      <c r="BR227" s="148"/>
      <c r="BS227" s="148"/>
      <c r="BT227" s="148">
        <f t="shared" si="119"/>
        <v>0</v>
      </c>
    </row>
    <row r="228" spans="1:72" ht="15" hidden="1" x14ac:dyDescent="0.25">
      <c r="A228" s="497"/>
      <c r="B228" s="470"/>
      <c r="C228" s="496"/>
      <c r="D228" s="94" t="s">
        <v>169</v>
      </c>
      <c r="E228" s="94" t="s">
        <v>173</v>
      </c>
      <c r="F228" s="94" t="s">
        <v>68</v>
      </c>
      <c r="G228" s="94" t="s">
        <v>174</v>
      </c>
      <c r="H228" s="94" t="s">
        <v>165</v>
      </c>
      <c r="I228" s="94"/>
      <c r="J228" s="80">
        <v>59</v>
      </c>
      <c r="K228" s="59">
        <f>IF(F228="","",IF(G228="Dubai",HLOOKUP(F228,Inputs!$C$26:$M$28,3,0),HLOOKUP(F228,Inputs!$C$45:$M$46,2,0)))</f>
        <v>0</v>
      </c>
      <c r="L228" s="94"/>
      <c r="M228" s="105">
        <f t="shared" si="68"/>
        <v>-2</v>
      </c>
      <c r="N228" s="654" t="b">
        <f t="shared" si="135"/>
        <v>1</v>
      </c>
      <c r="O228" s="655" t="str">
        <f t="shared" si="136"/>
        <v>x</v>
      </c>
      <c r="P228" s="655" t="str">
        <f t="shared" si="137"/>
        <v/>
      </c>
      <c r="Q228" s="655" t="str">
        <f t="shared" si="138"/>
        <v/>
      </c>
      <c r="R228" s="655" t="str">
        <f t="shared" si="139"/>
        <v/>
      </c>
      <c r="S228" s="655" t="str">
        <f t="shared" si="140"/>
        <v/>
      </c>
      <c r="T228" s="655" t="str">
        <f>IF(ISERROR(MATCH(G228,'Inputs Mapping'!$T$4:$T$5,0)),"x","")</f>
        <v/>
      </c>
      <c r="U228" s="655" t="str">
        <f>IF(ISERROR(MATCH(AA228,'Inputs Mapping'!$U$4:$U$5,0)),"x","")</f>
        <v/>
      </c>
      <c r="V228" s="655" t="str">
        <f>IF(ISERROR(MATCH(AB228,'Inputs Mapping'!$V$4:$V$5,0)),"x","")</f>
        <v/>
      </c>
      <c r="W228" s="655" t="str">
        <f>IF(ISERROR(MATCH(F228,'Inputs Mapping'!$W$4:$W$8,0)),"x","")</f>
        <v>x</v>
      </c>
      <c r="X228" s="655" t="str">
        <f t="shared" si="141"/>
        <v/>
      </c>
      <c r="Y228" s="655" t="str">
        <f t="shared" si="142"/>
        <v/>
      </c>
      <c r="Z228" s="655" t="str">
        <f t="shared" si="76"/>
        <v/>
      </c>
      <c r="AA228" s="655" t="str">
        <f t="shared" si="114"/>
        <v>M</v>
      </c>
      <c r="AB228" s="655" t="str">
        <f t="shared" si="79"/>
        <v>S</v>
      </c>
      <c r="AC228" s="655" t="str">
        <f t="shared" si="130"/>
        <v/>
      </c>
      <c r="AD228" s="655" t="str">
        <f>IF(ISBLANK(I228),"x",IF(ISNUMBER(MATCH(I228,'Inputs Mapping'!$AF$5:$AF$199,0)),"","x"))</f>
        <v>x</v>
      </c>
      <c r="AE228" s="655" t="str">
        <f t="shared" si="115"/>
        <v>Abu Dhabi</v>
      </c>
      <c r="AF228" s="148"/>
      <c r="AG228" s="148"/>
      <c r="AH228" s="148" t="str">
        <f t="shared" si="116"/>
        <v>FAbu Dhabi</v>
      </c>
      <c r="AI228" s="654" t="str">
        <f>IF(J228="","",VLOOKUP(J228,'Inputs Mapping'!$T$27:$V$31,3))</f>
        <v>41-59</v>
      </c>
      <c r="AJ228" s="654" t="str">
        <f>IF(J228="","",VLOOKUP(J228,'Inputs Mapping'!$T$17:$V$24,3))</f>
        <v>56 - 60</v>
      </c>
      <c r="AK228" s="654">
        <f t="shared" si="143"/>
        <v>0</v>
      </c>
      <c r="AL228" s="655">
        <f t="shared" si="144"/>
        <v>0</v>
      </c>
      <c r="AM228" s="655">
        <f>IF(F228="","",IF(G228="Dubai",HLOOKUP(F228,Inputs!$C$26:$M$36,5,0),HLOOKUP(F228,Inputs!$C$45:$M$49,5,0)))</f>
        <v>0</v>
      </c>
      <c r="AN228" s="655" t="str">
        <f t="shared" si="145"/>
        <v>Abu Dhabi</v>
      </c>
      <c r="AO228" s="654">
        <f>IF(AJ228="","",IF(AN228="Dubai",VLOOKUP(AJ228,'Inputs Mapping'!$V$17:$W$24,2,0),VLOOKUP(AI228,'Inputs Mapping'!$V$27:$W$31,2,0)))</f>
        <v>4</v>
      </c>
      <c r="AP228" s="685">
        <f>IFERROR(IF($AN228="","",HLOOKUP($AN228&amp;RIGHT($AL228,1),'input for formula'!$B$16:$I$20,3,0)),0)</f>
        <v>0</v>
      </c>
      <c r="AQ228" s="686">
        <f>IFERROR(IF($AN228="","",HLOOKUP($AN228&amp;$F228,'input for formula'!$B$22:$M$25,2,0)),0)</f>
        <v>0</v>
      </c>
      <c r="AR228" s="685">
        <f>IFERROR(IF($AN228="","",HLOOKUP($AN228&amp;RIGHT($AL228,1),'input for formula'!$B$16:$I$20,4,0)),0)</f>
        <v>0</v>
      </c>
      <c r="AS228" s="686">
        <f>IFERROR(IF($AN228="","",HLOOKUP($AN228&amp;$F228,'input for formula'!$B$22:$M$25,3,0)),0)</f>
        <v>0</v>
      </c>
      <c r="AT228" s="686">
        <f>IFERROR(IF($AN228="","",HLOOKUP($AN228&amp;RIGHT($AL228,1),'input for formula'!$B$16:$I$20,5,0)),0)</f>
        <v>0</v>
      </c>
      <c r="AU228" s="686">
        <f>IFERROR(IF($AN228="","",HLOOKUP($AN228&amp;$F228,'input for formula'!$B$22:$M$25,4,0)),0)</f>
        <v>0</v>
      </c>
      <c r="AV228" s="666">
        <f>IFERROR(IF($AN228="","",IF('Census Data'!$AN228="Abu Dhabi",VLOOKUP('Census Data'!$AM228,'input for formula'!$A$28:$C$41,3,0),VLOOKUP('Census Data'!$AM228,'input for formula'!$A$28:$C$47,2,0))),0)*IFERROR(1+IF(AN228="Dubai",VLOOKUP(F228,'Quotation for Dubai Plans'!$V$6:$X$12,3,FALSE),VLOOKUP(F228,'Quotation for Abu Dhabi Plans'!$W$6:$Y$12,3,FALSE)),0)</f>
        <v>0</v>
      </c>
      <c r="AW228" s="686">
        <f t="shared" si="146"/>
        <v>0</v>
      </c>
      <c r="AX228" s="687">
        <f>IFERROR(IF(AL228="","",IF(AN228="Dubai",HLOOKUP((AL228&amp;AM228),Deviation!$B$7:$S$8,2,0)*BF228*BH228*BI228*BG228,HLOOKUP((AL228&amp;AM228),Deviation!$B$9:$O$10,2,0)*BF228*BH228*BI228*BG228)),0)</f>
        <v>0</v>
      </c>
      <c r="AY228" s="668">
        <f>IF(AL228="","",IFERROR(IF(AL228="","",IF(AN228="Dubai",HLOOKUP(AZ228,'input for formula'!$B$3:$F$10,AO228,FALSE), IF(AND(H228="Employee",AN228="Abu Dhabi"),HLOOKUP(AZ228,'input for formula'!$I$3:$K$7,AO228,FALSE),HLOOKUP(AZ228,'input for formula'!$M$3:$O$7,AO228,FALSE)))*AX228+AP228*AQ228+AR228*AS228+AT228*AU228),0)*$AZ$3*BK228*BJ228)*IF(AND(Inputs!$C$19&gt;19,Inputs!$C$19&lt;30),(1+$AZ$2),1)</f>
        <v>0</v>
      </c>
      <c r="AZ228" s="148" t="str">
        <f t="shared" si="84"/>
        <v>Abu Dhabi0</v>
      </c>
      <c r="BA228" s="688">
        <f>IF(F228="","",IF(G228="Dubai",HLOOKUP(F228,Inputs!$C$26:$M$37,9,0),HLOOKUP(F228,Inputs!$C$45:$M$56,9,0)))</f>
        <v>0</v>
      </c>
      <c r="BB228" s="689">
        <f>IF(F228="","",IF(G228="Dubai",HLOOKUP(F228,Inputs!$C$26:$M$37,10,0),HLOOKUP(F228,Inputs!$C$45:$M$56,10,0)))</f>
        <v>0</v>
      </c>
      <c r="BC228" s="689">
        <f>IF(F228="","",IF(G228="Dubai",HLOOKUP(F228,Inputs!$C$26:$M$37,11,0),HLOOKUP(F228,Inputs!$C$45:$M$56,11,0)))</f>
        <v>0</v>
      </c>
      <c r="BD228" s="688" t="str">
        <f>IF(F228="","",IF(G228="Dubai",HLOOKUP(F228,Inputs!$C$26:$M$37,12,0),HLOOKUP(F228,Inputs!$C$45:$M$56,12,0)))</f>
        <v/>
      </c>
      <c r="BE228" s="654"/>
      <c r="BF228" s="688">
        <f>IFERROR(IF(AL228="","",IF(AN228="Dubai",IF(OR(AL228="Plan1",AL228="Plan2"),VLOOKUP(BA228,Deviation!$B$31:$D$33,2,FALSE),VLOOKUP(BA228,Deviation!$B$31:$D$33,3,FALSE)),IF(OR(AL228="Plan1",AL228="Plan2"),VLOOKUP(BA228,Deviation!$E$31:$AE$33,2,FALSE),VLOOKUP(BA228,Deviation!$E$31:$AE$33,3,FALSE)))),0)</f>
        <v>1.125</v>
      </c>
      <c r="BG228" s="690">
        <f>IFERROR(IF(AL228="","",IF(AN228="Dubai",IF(AL228="Plan1",VLOOKUP(BB228,Deviation!$B$39:$C$40,2,FALSE),IF(AL228="Plan2",VLOOKUP(BB228,Deviation!$B$42:$C$43,2,FALSE),IF(AL228="Plan5",VLOOKUP(BB228,Deviation!$B$48:$C$49,2,FALSE),VLOOKUP(BB228,Deviation!$B$45:$C$46,2,FALSE)))),IF(AL228="Plan1",VLOOKUP(BB228,Deviation!$E$39:$F$40,2,FALSE),IF(AL228="Plan2",VLOOKUP(BB228,Deviation!$E$42:$F$43,2,FALSE),VLOOKUP(BB228,Deviation!$E$45:$F$46,2,FALSE))))),0)</f>
        <v>0</v>
      </c>
      <c r="BH228" s="690">
        <f>IFERROR(IF(AL228="","",IF(AN228="Dubai",IF(OR(AL228="Plan1",AL228="Plan2"),VLOOKUP(BC228,Deviation!$B$15:$D$19,2,FALSE),VLOOKUP(BC228,Deviation!$B$15:$D$19,3,FALSE)),IF(OR(AL228="Plan1",AL228="Plan2"),VLOOKUP(BC228,Deviation!$E$15:$AE$19,2,FALSE),VLOOKUP(BC228,Deviation!$E$15:$AE$19,3,FALSE)))),0)</f>
        <v>0</v>
      </c>
      <c r="BI228" s="691">
        <f>IFERROR(IF(AL228="","",IF(AN228="Dubai",VLOOKUP(BD228,Deviation!$B$24:$C$26,2,FALSE),100%)),0)</f>
        <v>1</v>
      </c>
      <c r="BJ228" s="672">
        <f>IF(AE228="Abu Dhabi",1,IFERROR(VLOOKUP(AM228,Deviation!$B$67:$E$79,MATCH('Census Data'!AA228,Deviation!$B$66:$E$66,0),0),1))</f>
        <v>1</v>
      </c>
      <c r="BK228" s="659">
        <f>IFERROR(VLOOKUP(I228,Deviation!$B$54:$C$62,2,0),1)</f>
        <v>1</v>
      </c>
      <c r="BL228" s="148"/>
      <c r="BM228" s="148"/>
      <c r="BN228" s="148"/>
      <c r="BO228" s="148"/>
      <c r="BP228" s="148"/>
      <c r="BQ228" s="148"/>
      <c r="BR228" s="148"/>
      <c r="BS228" s="148"/>
      <c r="BT228" s="148">
        <f t="shared" si="119"/>
        <v>0</v>
      </c>
    </row>
    <row r="229" spans="1:72" ht="15" hidden="1" x14ac:dyDescent="0.25">
      <c r="A229" s="495"/>
      <c r="B229" s="470"/>
      <c r="C229" s="496"/>
      <c r="D229" s="94" t="s">
        <v>169</v>
      </c>
      <c r="E229" s="94" t="s">
        <v>173</v>
      </c>
      <c r="F229" s="94" t="s">
        <v>68</v>
      </c>
      <c r="G229" s="94" t="s">
        <v>174</v>
      </c>
      <c r="H229" s="94" t="s">
        <v>165</v>
      </c>
      <c r="I229" s="94"/>
      <c r="J229" s="80">
        <v>67</v>
      </c>
      <c r="K229" s="59">
        <f>IF(F229="","",IF(G229="Dubai",HLOOKUP(F229,Inputs!$C$26:$M$28,3,0),HLOOKUP(F229,Inputs!$C$45:$M$46,2,0)))</f>
        <v>0</v>
      </c>
      <c r="L229" s="94"/>
      <c r="M229" s="105">
        <f t="shared" si="68"/>
        <v>-2</v>
      </c>
      <c r="N229" s="654" t="b">
        <f t="shared" si="135"/>
        <v>1</v>
      </c>
      <c r="O229" s="655" t="str">
        <f t="shared" si="136"/>
        <v>x</v>
      </c>
      <c r="P229" s="655" t="str">
        <f t="shared" si="137"/>
        <v/>
      </c>
      <c r="Q229" s="655" t="str">
        <f t="shared" si="138"/>
        <v/>
      </c>
      <c r="R229" s="655" t="str">
        <f t="shared" si="139"/>
        <v/>
      </c>
      <c r="S229" s="655" t="str">
        <f t="shared" si="140"/>
        <v/>
      </c>
      <c r="T229" s="655" t="str">
        <f>IF(ISERROR(MATCH(G229,'Inputs Mapping'!$T$4:$T$5,0)),"x","")</f>
        <v/>
      </c>
      <c r="U229" s="655" t="str">
        <f>IF(ISERROR(MATCH(AA229,'Inputs Mapping'!$U$4:$U$5,0)),"x","")</f>
        <v/>
      </c>
      <c r="V229" s="655" t="str">
        <f>IF(ISERROR(MATCH(AB229,'Inputs Mapping'!$V$4:$V$5,0)),"x","")</f>
        <v/>
      </c>
      <c r="W229" s="655" t="str">
        <f>IF(ISERROR(MATCH(F229,'Inputs Mapping'!$W$4:$W$8,0)),"x","")</f>
        <v>x</v>
      </c>
      <c r="X229" s="655" t="str">
        <f t="shared" si="141"/>
        <v/>
      </c>
      <c r="Y229" s="655" t="str">
        <f t="shared" si="142"/>
        <v/>
      </c>
      <c r="Z229" s="655" t="str">
        <f t="shared" si="76"/>
        <v/>
      </c>
      <c r="AA229" s="655" t="str">
        <f t="shared" si="114"/>
        <v>M</v>
      </c>
      <c r="AB229" s="655" t="str">
        <f t="shared" si="79"/>
        <v>S</v>
      </c>
      <c r="AC229" s="655" t="str">
        <f t="shared" si="130"/>
        <v/>
      </c>
      <c r="AD229" s="655" t="str">
        <f>IF(ISBLANK(I229),"x",IF(ISNUMBER(MATCH(I229,'Inputs Mapping'!$AF$5:$AF$199,0)),"","x"))</f>
        <v>x</v>
      </c>
      <c r="AE229" s="655" t="str">
        <f t="shared" si="115"/>
        <v>Abu Dhabi</v>
      </c>
      <c r="AF229" s="148"/>
      <c r="AG229" s="148"/>
      <c r="AH229" s="148" t="str">
        <f t="shared" si="116"/>
        <v>FAbu Dhabi</v>
      </c>
      <c r="AI229" s="654" t="str">
        <f>IF(J229="","",VLOOKUP(J229,'Inputs Mapping'!$T$27:$V$31,3))</f>
        <v>60-69</v>
      </c>
      <c r="AJ229" s="654" t="str">
        <f>IF(J229="","",VLOOKUP(J229,'Inputs Mapping'!$T$17:$V$24,3))</f>
        <v>66 - 69</v>
      </c>
      <c r="AK229" s="654">
        <f t="shared" si="143"/>
        <v>0</v>
      </c>
      <c r="AL229" s="655">
        <f t="shared" si="144"/>
        <v>0</v>
      </c>
      <c r="AM229" s="655">
        <f>IF(F229="","",IF(G229="Dubai",HLOOKUP(F229,Inputs!$C$26:$M$36,5,0),HLOOKUP(F229,Inputs!$C$45:$M$49,5,0)))</f>
        <v>0</v>
      </c>
      <c r="AN229" s="655" t="str">
        <f t="shared" si="145"/>
        <v>Abu Dhabi</v>
      </c>
      <c r="AO229" s="654">
        <f>IF(AJ229="","",IF(AN229="Dubai",VLOOKUP(AJ229,'Inputs Mapping'!$V$17:$W$24,2,0),VLOOKUP(AI229,'Inputs Mapping'!$V$27:$W$31,2,0)))</f>
        <v>5</v>
      </c>
      <c r="AP229" s="685">
        <f>IFERROR(IF($AN229="","",HLOOKUP($AN229&amp;RIGHT($AL229,1),'input for formula'!$B$16:$I$20,3,0)),0)</f>
        <v>0</v>
      </c>
      <c r="AQ229" s="686">
        <f>IFERROR(IF($AN229="","",HLOOKUP($AN229&amp;$F229,'input for formula'!$B$22:$M$25,2,0)),0)</f>
        <v>0</v>
      </c>
      <c r="AR229" s="685">
        <f>IFERROR(IF($AN229="","",HLOOKUP($AN229&amp;RIGHT($AL229,1),'input for formula'!$B$16:$I$20,4,0)),0)</f>
        <v>0</v>
      </c>
      <c r="AS229" s="686">
        <f>IFERROR(IF($AN229="","",HLOOKUP($AN229&amp;$F229,'input for formula'!$B$22:$M$25,3,0)),0)</f>
        <v>0</v>
      </c>
      <c r="AT229" s="686">
        <f>IFERROR(IF($AN229="","",HLOOKUP($AN229&amp;RIGHT($AL229,1),'input for formula'!$B$16:$I$20,5,0)),0)</f>
        <v>0</v>
      </c>
      <c r="AU229" s="686">
        <f>IFERROR(IF($AN229="","",HLOOKUP($AN229&amp;$F229,'input for formula'!$B$22:$M$25,4,0)),0)</f>
        <v>0</v>
      </c>
      <c r="AV229" s="666">
        <f>IFERROR(IF($AN229="","",IF('Census Data'!$AN229="Abu Dhabi",VLOOKUP('Census Data'!$AM229,'input for formula'!$A$28:$C$41,3,0),VLOOKUP('Census Data'!$AM229,'input for formula'!$A$28:$C$47,2,0))),0)*IFERROR(1+IF(AN229="Dubai",VLOOKUP(F229,'Quotation for Dubai Plans'!$V$6:$X$12,3,FALSE),VLOOKUP(F229,'Quotation for Abu Dhabi Plans'!$W$6:$Y$12,3,FALSE)),0)</f>
        <v>0</v>
      </c>
      <c r="AW229" s="686">
        <f t="shared" si="146"/>
        <v>0</v>
      </c>
      <c r="AX229" s="687">
        <f>IFERROR(IF(AL229="","",IF(AN229="Dubai",HLOOKUP((AL229&amp;AM229),Deviation!$B$7:$S$8,2,0)*BF229*BH229*BI229*BG229,HLOOKUP((AL229&amp;AM229),Deviation!$B$9:$O$10,2,0)*BF229*BH229*BI229*BG229)),0)</f>
        <v>0</v>
      </c>
      <c r="AY229" s="668">
        <f>IF(AL229="","",IFERROR(IF(AL229="","",IF(AN229="Dubai",HLOOKUP(AZ229,'input for formula'!$B$3:$F$10,AO229,FALSE), IF(AND(H229="Employee",AN229="Abu Dhabi"),HLOOKUP(AZ229,'input for formula'!$I$3:$K$7,AO229,FALSE),HLOOKUP(AZ229,'input for formula'!$M$3:$O$7,AO229,FALSE)))*AX229+AP229*AQ229+AR229*AS229+AT229*AU229),0)*$AZ$3*BK229*BJ229)*IF(AND(Inputs!$C$19&gt;19,Inputs!$C$19&lt;30),(1+$AZ$2),1)</f>
        <v>0</v>
      </c>
      <c r="AZ229" s="148" t="str">
        <f t="shared" si="84"/>
        <v>Abu Dhabi0</v>
      </c>
      <c r="BA229" s="688">
        <f>IF(F229="","",IF(G229="Dubai",HLOOKUP(F229,Inputs!$C$26:$M$37,9,0),HLOOKUP(F229,Inputs!$C$45:$M$56,9,0)))</f>
        <v>0</v>
      </c>
      <c r="BB229" s="689">
        <f>IF(F229="","",IF(G229="Dubai",HLOOKUP(F229,Inputs!$C$26:$M$37,10,0),HLOOKUP(F229,Inputs!$C$45:$M$56,10,0)))</f>
        <v>0</v>
      </c>
      <c r="BC229" s="689">
        <f>IF(F229="","",IF(G229="Dubai",HLOOKUP(F229,Inputs!$C$26:$M$37,11,0),HLOOKUP(F229,Inputs!$C$45:$M$56,11,0)))</f>
        <v>0</v>
      </c>
      <c r="BD229" s="688" t="str">
        <f>IF(F229="","",IF(G229="Dubai",HLOOKUP(F229,Inputs!$C$26:$M$37,12,0),HLOOKUP(F229,Inputs!$C$45:$M$56,12,0)))</f>
        <v/>
      </c>
      <c r="BE229" s="654"/>
      <c r="BF229" s="688">
        <f>IFERROR(IF(AL229="","",IF(AN229="Dubai",IF(OR(AL229="Plan1",AL229="Plan2"),VLOOKUP(BA229,Deviation!$B$31:$D$33,2,FALSE),VLOOKUP(BA229,Deviation!$B$31:$D$33,3,FALSE)),IF(OR(AL229="Plan1",AL229="Plan2"),VLOOKUP(BA229,Deviation!$E$31:$AE$33,2,FALSE),VLOOKUP(BA229,Deviation!$E$31:$AE$33,3,FALSE)))),0)</f>
        <v>1.125</v>
      </c>
      <c r="BG229" s="690">
        <f>IFERROR(IF(AL229="","",IF(AN229="Dubai",IF(AL229="Plan1",VLOOKUP(BB229,Deviation!$B$39:$C$40,2,FALSE),IF(AL229="Plan2",VLOOKUP(BB229,Deviation!$B$42:$C$43,2,FALSE),IF(AL229="Plan5",VLOOKUP(BB229,Deviation!$B$48:$C$49,2,FALSE),VLOOKUP(BB229,Deviation!$B$45:$C$46,2,FALSE)))),IF(AL229="Plan1",VLOOKUP(BB229,Deviation!$E$39:$F$40,2,FALSE),IF(AL229="Plan2",VLOOKUP(BB229,Deviation!$E$42:$F$43,2,FALSE),VLOOKUP(BB229,Deviation!$E$45:$F$46,2,FALSE))))),0)</f>
        <v>0</v>
      </c>
      <c r="BH229" s="690">
        <f>IFERROR(IF(AL229="","",IF(AN229="Dubai",IF(OR(AL229="Plan1",AL229="Plan2"),VLOOKUP(BC229,Deviation!$B$15:$D$19,2,FALSE),VLOOKUP(BC229,Deviation!$B$15:$D$19,3,FALSE)),IF(OR(AL229="Plan1",AL229="Plan2"),VLOOKUP(BC229,Deviation!$E$15:$AE$19,2,FALSE),VLOOKUP(BC229,Deviation!$E$15:$AE$19,3,FALSE)))),0)</f>
        <v>0</v>
      </c>
      <c r="BI229" s="691">
        <f>IFERROR(IF(AL229="","",IF(AN229="Dubai",VLOOKUP(BD229,Deviation!$B$24:$C$26,2,FALSE),100%)),0)</f>
        <v>1</v>
      </c>
      <c r="BJ229" s="672">
        <f>IF(AE229="Abu Dhabi",1,IFERROR(VLOOKUP(AM229,Deviation!$B$67:$E$79,MATCH('Census Data'!AA229,Deviation!$B$66:$E$66,0),0),1))</f>
        <v>1</v>
      </c>
      <c r="BK229" s="659">
        <f>IFERROR(VLOOKUP(I229,Deviation!$B$54:$C$62,2,0),1)</f>
        <v>1</v>
      </c>
      <c r="BL229" s="148"/>
      <c r="BM229" s="148"/>
      <c r="BN229" s="148"/>
      <c r="BO229" s="148"/>
      <c r="BP229" s="148"/>
      <c r="BQ229" s="148"/>
      <c r="BR229" s="148"/>
      <c r="BS229" s="148"/>
      <c r="BT229" s="148">
        <f t="shared" si="119"/>
        <v>0</v>
      </c>
    </row>
    <row r="230" spans="1:72" ht="15" hidden="1" x14ac:dyDescent="0.25">
      <c r="A230" s="495"/>
      <c r="B230" s="470"/>
      <c r="C230" s="496"/>
      <c r="D230" s="94" t="s">
        <v>169</v>
      </c>
      <c r="E230" s="94" t="s">
        <v>173</v>
      </c>
      <c r="F230" s="94" t="s">
        <v>63</v>
      </c>
      <c r="G230" s="94" t="s">
        <v>174</v>
      </c>
      <c r="H230" s="94" t="s">
        <v>166</v>
      </c>
      <c r="I230" s="94"/>
      <c r="J230" s="80">
        <v>15</v>
      </c>
      <c r="K230" s="59">
        <f>IF(F230="","",IF(G230="Dubai",HLOOKUP(F230,Inputs!$C$26:$M$28,3,0),HLOOKUP(F230,Inputs!$C$45:$M$46,2,0)))</f>
        <v>0</v>
      </c>
      <c r="L230" s="94"/>
      <c r="M230" s="105">
        <f t="shared" si="68"/>
        <v>-2</v>
      </c>
      <c r="N230" s="654" t="b">
        <f t="shared" si="135"/>
        <v>1</v>
      </c>
      <c r="O230" s="655" t="str">
        <f t="shared" si="136"/>
        <v>x</v>
      </c>
      <c r="P230" s="655" t="str">
        <f t="shared" si="137"/>
        <v/>
      </c>
      <c r="Q230" s="655" t="str">
        <f t="shared" si="138"/>
        <v/>
      </c>
      <c r="R230" s="655" t="str">
        <f t="shared" si="139"/>
        <v/>
      </c>
      <c r="S230" s="655" t="str">
        <f t="shared" si="140"/>
        <v/>
      </c>
      <c r="T230" s="655" t="str">
        <f>IF(ISERROR(MATCH(G230,'Inputs Mapping'!$T$4:$T$5,0)),"x","")</f>
        <v/>
      </c>
      <c r="U230" s="655" t="str">
        <f>IF(ISERROR(MATCH(AA230,'Inputs Mapping'!$U$4:$U$5,0)),"x","")</f>
        <v/>
      </c>
      <c r="V230" s="655" t="str">
        <f>IF(ISERROR(MATCH(AB230,'Inputs Mapping'!$V$4:$V$5,0)),"x","")</f>
        <v/>
      </c>
      <c r="W230" s="655" t="str">
        <f>IF(ISERROR(MATCH(F230,'Inputs Mapping'!$W$4:$W$8,0)),"x","")</f>
        <v/>
      </c>
      <c r="X230" s="655" t="str">
        <f t="shared" si="141"/>
        <v/>
      </c>
      <c r="Y230" s="655" t="str">
        <f t="shared" si="142"/>
        <v/>
      </c>
      <c r="Z230" s="655" t="str">
        <f t="shared" si="76"/>
        <v/>
      </c>
      <c r="AA230" s="655" t="str">
        <f t="shared" si="114"/>
        <v>M</v>
      </c>
      <c r="AB230" s="655" t="str">
        <f t="shared" si="79"/>
        <v>S</v>
      </c>
      <c r="AC230" s="655" t="str">
        <f t="shared" si="130"/>
        <v/>
      </c>
      <c r="AD230" s="655" t="str">
        <f>IF(ISBLANK(I230),"x",IF(ISNUMBER(MATCH(I230,'Inputs Mapping'!$AF$5:$AF$199,0)),"","x"))</f>
        <v>x</v>
      </c>
      <c r="AE230" s="655" t="str">
        <f t="shared" si="115"/>
        <v>Abu Dhabi</v>
      </c>
      <c r="AF230" s="148"/>
      <c r="AG230" s="148"/>
      <c r="AH230" s="148" t="str">
        <f t="shared" si="116"/>
        <v>AAbu Dhabi</v>
      </c>
      <c r="AI230" s="654" t="str">
        <f>IF(J230="","",VLOOKUP(J230,'Inputs Mapping'!$T$27:$V$31,3))</f>
        <v>0-17</v>
      </c>
      <c r="AJ230" s="654" t="str">
        <f>IF(J230="","",VLOOKUP(J230,'Inputs Mapping'!$T$17:$V$24,3))</f>
        <v>0 - 17</v>
      </c>
      <c r="AK230" s="654">
        <f t="shared" si="143"/>
        <v>0</v>
      </c>
      <c r="AL230" s="655">
        <f t="shared" si="144"/>
        <v>0</v>
      </c>
      <c r="AM230" s="655">
        <f>IF(F230="","",IF(G230="Dubai",HLOOKUP(F230,Inputs!$C$26:$M$36,5,0),HLOOKUP(F230,Inputs!$C$45:$M$49,5,0)))</f>
        <v>0</v>
      </c>
      <c r="AN230" s="655" t="str">
        <f t="shared" si="145"/>
        <v>Abu Dhabi</v>
      </c>
      <c r="AO230" s="654">
        <f>IF(AJ230="","",IF(AN230="Dubai",VLOOKUP(AJ230,'Inputs Mapping'!$V$17:$W$24,2,0),VLOOKUP(AI230,'Inputs Mapping'!$V$27:$W$31,2,0)))</f>
        <v>2</v>
      </c>
      <c r="AP230" s="685">
        <f>IFERROR(IF($AN230="","",HLOOKUP($AN230&amp;RIGHT($AL230,1),'input for formula'!$B$16:$I$20,3,0)),0)</f>
        <v>0</v>
      </c>
      <c r="AQ230" s="686">
        <f>IFERROR(IF($AN230="","",HLOOKUP($AN230&amp;$F230,'input for formula'!$B$22:$M$25,2,0)),0)</f>
        <v>0</v>
      </c>
      <c r="AR230" s="685">
        <f>IFERROR(IF($AN230="","",HLOOKUP($AN230&amp;RIGHT($AL230,1),'input for formula'!$B$16:$I$20,4,0)),0)</f>
        <v>0</v>
      </c>
      <c r="AS230" s="686">
        <f>IFERROR(IF($AN230="","",HLOOKUP($AN230&amp;$F230,'input for formula'!$B$22:$M$25,3,0)),0)</f>
        <v>0</v>
      </c>
      <c r="AT230" s="686">
        <f>IFERROR(IF($AN230="","",HLOOKUP($AN230&amp;RIGHT($AL230,1),'input for formula'!$B$16:$I$20,5,0)),0)</f>
        <v>0</v>
      </c>
      <c r="AU230" s="686">
        <f>IFERROR(IF($AN230="","",HLOOKUP($AN230&amp;$F230,'input for formula'!$B$22:$M$25,4,0)),0)</f>
        <v>0</v>
      </c>
      <c r="AV230" s="666">
        <f>IFERROR(IF($AN230="","",IF('Census Data'!$AN230="Abu Dhabi",VLOOKUP('Census Data'!$AM230,'input for formula'!$A$28:$C$41,3,0),VLOOKUP('Census Data'!$AM230,'input for formula'!$A$28:$C$47,2,0))),0)*IFERROR(1+IF(AN230="Dubai",VLOOKUP(F230,'Quotation for Dubai Plans'!$V$6:$X$12,3,FALSE),VLOOKUP(F230,'Quotation for Abu Dhabi Plans'!$W$6:$Y$12,3,FALSE)),0)</f>
        <v>0</v>
      </c>
      <c r="AW230" s="686">
        <f t="shared" si="146"/>
        <v>0</v>
      </c>
      <c r="AX230" s="687">
        <f>IFERROR(IF(AL230="","",IF(AN230="Dubai",HLOOKUP((AL230&amp;AM230),Deviation!$B$7:$S$8,2,0)*BF230*BH230*BI230*BG230,HLOOKUP((AL230&amp;AM230),Deviation!$B$9:$O$10,2,0)*BF230*BH230*BI230*BG230)),0)</f>
        <v>0</v>
      </c>
      <c r="AY230" s="668">
        <f>IF(AL230="","",IFERROR(IF(AL230="","",IF(AN230="Dubai",HLOOKUP(AZ230,'input for formula'!$B$3:$F$10,AO230,FALSE), IF(AND(H230="Employee",AN230="Abu Dhabi"),HLOOKUP(AZ230,'input for formula'!$I$3:$K$7,AO230,FALSE),HLOOKUP(AZ230,'input for formula'!$M$3:$O$7,AO230,FALSE)))*AX230+AP230*AQ230+AR230*AS230+AT230*AU230),0)*$AZ$3*BK230*BJ230)*IF(AND(Inputs!$C$19&gt;19,Inputs!$C$19&lt;30),(1+$AZ$2),1)</f>
        <v>0</v>
      </c>
      <c r="AZ230" s="148" t="str">
        <f t="shared" si="84"/>
        <v>Abu Dhabi0</v>
      </c>
      <c r="BA230" s="688">
        <f>IF(F230="","",IF(G230="Dubai",HLOOKUP(F230,Inputs!$C$26:$M$37,9,0),HLOOKUP(F230,Inputs!$C$45:$M$56,9,0)))</f>
        <v>0</v>
      </c>
      <c r="BB230" s="689">
        <f>IF(F230="","",IF(G230="Dubai",HLOOKUP(F230,Inputs!$C$26:$M$37,10,0),HLOOKUP(F230,Inputs!$C$45:$M$56,10,0)))</f>
        <v>0</v>
      </c>
      <c r="BC230" s="689">
        <f>IF(F230="","",IF(G230="Dubai",HLOOKUP(F230,Inputs!$C$26:$M$37,11,0),HLOOKUP(F230,Inputs!$C$45:$M$56,11,0)))</f>
        <v>0</v>
      </c>
      <c r="BD230" s="688" t="str">
        <f>IF(F230="","",IF(G230="Dubai",HLOOKUP(F230,Inputs!$C$26:$M$37,12,0),HLOOKUP(F230,Inputs!$C$45:$M$56,12,0)))</f>
        <v/>
      </c>
      <c r="BE230" s="654"/>
      <c r="BF230" s="688">
        <f>IFERROR(IF(AL230="","",IF(AN230="Dubai",IF(OR(AL230="Plan1",AL230="Plan2"),VLOOKUP(BA230,Deviation!$B$31:$D$33,2,FALSE),VLOOKUP(BA230,Deviation!$B$31:$D$33,3,FALSE)),IF(OR(AL230="Plan1",AL230="Plan2"),VLOOKUP(BA230,Deviation!$E$31:$AE$33,2,FALSE),VLOOKUP(BA230,Deviation!$E$31:$AE$33,3,FALSE)))),0)</f>
        <v>1.125</v>
      </c>
      <c r="BG230" s="690">
        <f>IFERROR(IF(AL230="","",IF(AN230="Dubai",IF(AL230="Plan1",VLOOKUP(BB230,Deviation!$B$39:$C$40,2,FALSE),IF(AL230="Plan2",VLOOKUP(BB230,Deviation!$B$42:$C$43,2,FALSE),IF(AL230="Plan5",VLOOKUP(BB230,Deviation!$B$48:$C$49,2,FALSE),VLOOKUP(BB230,Deviation!$B$45:$C$46,2,FALSE)))),IF(AL230="Plan1",VLOOKUP(BB230,Deviation!$E$39:$F$40,2,FALSE),IF(AL230="Plan2",VLOOKUP(BB230,Deviation!$E$42:$F$43,2,FALSE),VLOOKUP(BB230,Deviation!$E$45:$F$46,2,FALSE))))),0)</f>
        <v>0</v>
      </c>
      <c r="BH230" s="690">
        <f>IFERROR(IF(AL230="","",IF(AN230="Dubai",IF(OR(AL230="Plan1",AL230="Plan2"),VLOOKUP(BC230,Deviation!$B$15:$D$19,2,FALSE),VLOOKUP(BC230,Deviation!$B$15:$D$19,3,FALSE)),IF(OR(AL230="Plan1",AL230="Plan2"),VLOOKUP(BC230,Deviation!$E$15:$AE$19,2,FALSE),VLOOKUP(BC230,Deviation!$E$15:$AE$19,3,FALSE)))),0)</f>
        <v>0</v>
      </c>
      <c r="BI230" s="691">
        <f>IFERROR(IF(AL230="","",IF(AN230="Dubai",VLOOKUP(BD230,Deviation!$B$24:$C$26,2,FALSE),100%)),0)</f>
        <v>1</v>
      </c>
      <c r="BJ230" s="672">
        <f>IF(AE230="Abu Dhabi",1,IFERROR(VLOOKUP(AM230,Deviation!$B$67:$E$79,MATCH('Census Data'!AA230,Deviation!$B$66:$E$66,0),0),1))</f>
        <v>1</v>
      </c>
      <c r="BK230" s="659">
        <f>IFERROR(VLOOKUP(I230,Deviation!$B$54:$C$62,2,0),1)</f>
        <v>1</v>
      </c>
      <c r="BL230" s="148"/>
      <c r="BM230" s="148"/>
      <c r="BN230" s="148"/>
      <c r="BO230" s="148"/>
      <c r="BP230" s="148"/>
      <c r="BQ230" s="148"/>
      <c r="BR230" s="148"/>
      <c r="BS230" s="148"/>
      <c r="BT230" s="148">
        <f t="shared" si="119"/>
        <v>0</v>
      </c>
    </row>
    <row r="231" spans="1:72" ht="15" hidden="1" x14ac:dyDescent="0.25">
      <c r="A231" s="495"/>
      <c r="B231" s="470"/>
      <c r="C231" s="496"/>
      <c r="D231" s="94" t="s">
        <v>169</v>
      </c>
      <c r="E231" s="94" t="s">
        <v>173</v>
      </c>
      <c r="F231" s="94" t="s">
        <v>63</v>
      </c>
      <c r="G231" s="94" t="s">
        <v>174</v>
      </c>
      <c r="H231" s="94" t="s">
        <v>166</v>
      </c>
      <c r="I231" s="94"/>
      <c r="J231" s="80">
        <v>40</v>
      </c>
      <c r="K231" s="59">
        <f>IF(F231="","",IF(G231="Dubai",HLOOKUP(F231,Inputs!$C$26:$M$28,3,0),HLOOKUP(F231,Inputs!$C$45:$M$46,2,0)))</f>
        <v>0</v>
      </c>
      <c r="L231" s="94"/>
      <c r="M231" s="105">
        <f t="shared" si="68"/>
        <v>-2</v>
      </c>
      <c r="N231" s="654" t="b">
        <f t="shared" si="135"/>
        <v>1</v>
      </c>
      <c r="O231" s="655" t="str">
        <f t="shared" si="136"/>
        <v>x</v>
      </c>
      <c r="P231" s="655" t="str">
        <f t="shared" si="137"/>
        <v/>
      </c>
      <c r="Q231" s="655" t="str">
        <f t="shared" si="138"/>
        <v/>
      </c>
      <c r="R231" s="655" t="str">
        <f t="shared" si="139"/>
        <v/>
      </c>
      <c r="S231" s="655" t="str">
        <f t="shared" si="140"/>
        <v/>
      </c>
      <c r="T231" s="655" t="str">
        <f>IF(ISERROR(MATCH(G231,'Inputs Mapping'!$T$4:$T$5,0)),"x","")</f>
        <v/>
      </c>
      <c r="U231" s="655" t="str">
        <f>IF(ISERROR(MATCH(AA231,'Inputs Mapping'!$U$4:$U$5,0)),"x","")</f>
        <v/>
      </c>
      <c r="V231" s="655" t="str">
        <f>IF(ISERROR(MATCH(AB231,'Inputs Mapping'!$V$4:$V$5,0)),"x","")</f>
        <v/>
      </c>
      <c r="W231" s="655" t="str">
        <f>IF(ISERROR(MATCH(F231,'Inputs Mapping'!$W$4:$W$8,0)),"x","")</f>
        <v/>
      </c>
      <c r="X231" s="655" t="str">
        <f t="shared" si="141"/>
        <v/>
      </c>
      <c r="Y231" s="655" t="str">
        <f t="shared" si="142"/>
        <v/>
      </c>
      <c r="Z231" s="655" t="str">
        <f t="shared" si="76"/>
        <v/>
      </c>
      <c r="AA231" s="655" t="str">
        <f t="shared" si="114"/>
        <v>M</v>
      </c>
      <c r="AB231" s="655" t="str">
        <f t="shared" si="79"/>
        <v>S</v>
      </c>
      <c r="AC231" s="655" t="str">
        <f t="shared" si="130"/>
        <v/>
      </c>
      <c r="AD231" s="655" t="str">
        <f>IF(ISBLANK(I231),"x",IF(ISNUMBER(MATCH(I231,'Inputs Mapping'!$AF$5:$AF$199,0)),"","x"))</f>
        <v>x</v>
      </c>
      <c r="AE231" s="655" t="str">
        <f t="shared" si="115"/>
        <v>Abu Dhabi</v>
      </c>
      <c r="AF231" s="148"/>
      <c r="AG231" s="148"/>
      <c r="AH231" s="148" t="str">
        <f t="shared" si="116"/>
        <v>AAbu Dhabi</v>
      </c>
      <c r="AI231" s="654" t="str">
        <f>IF(J231="","",VLOOKUP(J231,'Inputs Mapping'!$T$27:$V$31,3))</f>
        <v>18-40</v>
      </c>
      <c r="AJ231" s="654" t="str">
        <f>IF(J231="","",VLOOKUP(J231,'Inputs Mapping'!$T$17:$V$24,3))</f>
        <v>36 - 45</v>
      </c>
      <c r="AK231" s="654">
        <f t="shared" si="143"/>
        <v>0</v>
      </c>
      <c r="AL231" s="655">
        <f t="shared" si="144"/>
        <v>0</v>
      </c>
      <c r="AM231" s="655">
        <f>IF(F231="","",IF(G231="Dubai",HLOOKUP(F231,Inputs!$C$26:$M$36,5,0),HLOOKUP(F231,Inputs!$C$45:$M$49,5,0)))</f>
        <v>0</v>
      </c>
      <c r="AN231" s="655" t="str">
        <f t="shared" si="145"/>
        <v>Abu Dhabi</v>
      </c>
      <c r="AO231" s="654">
        <f>IF(AJ231="","",IF(AN231="Dubai",VLOOKUP(AJ231,'Inputs Mapping'!$V$17:$W$24,2,0),VLOOKUP(AI231,'Inputs Mapping'!$V$27:$W$31,2,0)))</f>
        <v>3</v>
      </c>
      <c r="AP231" s="685">
        <f>IFERROR(IF($AN231="","",HLOOKUP($AN231&amp;RIGHT($AL231,1),'input for formula'!$B$16:$I$20,3,0)),0)</f>
        <v>0</v>
      </c>
      <c r="AQ231" s="686">
        <f>IFERROR(IF($AN231="","",HLOOKUP($AN231&amp;$F231,'input for formula'!$B$22:$M$25,2,0)),0)</f>
        <v>0</v>
      </c>
      <c r="AR231" s="685">
        <f>IFERROR(IF($AN231="","",HLOOKUP($AN231&amp;RIGHT($AL231,1),'input for formula'!$B$16:$I$20,4,0)),0)</f>
        <v>0</v>
      </c>
      <c r="AS231" s="686">
        <f>IFERROR(IF($AN231="","",HLOOKUP($AN231&amp;$F231,'input for formula'!$B$22:$M$25,3,0)),0)</f>
        <v>0</v>
      </c>
      <c r="AT231" s="686">
        <f>IFERROR(IF($AN231="","",HLOOKUP($AN231&amp;RIGHT($AL231,1),'input for formula'!$B$16:$I$20,5,0)),0)</f>
        <v>0</v>
      </c>
      <c r="AU231" s="686">
        <f>IFERROR(IF($AN231="","",HLOOKUP($AN231&amp;$F231,'input for formula'!$B$22:$M$25,4,0)),0)</f>
        <v>0</v>
      </c>
      <c r="AV231" s="666">
        <f>IFERROR(IF($AN231="","",IF('Census Data'!$AN231="Abu Dhabi",VLOOKUP('Census Data'!$AM231,'input for formula'!$A$28:$C$41,3,0),VLOOKUP('Census Data'!$AM231,'input for formula'!$A$28:$C$47,2,0))),0)*IFERROR(1+IF(AN231="Dubai",VLOOKUP(F231,'Quotation for Dubai Plans'!$V$6:$X$12,3,FALSE),VLOOKUP(F231,'Quotation for Abu Dhabi Plans'!$W$6:$Y$12,3,FALSE)),0)</f>
        <v>0</v>
      </c>
      <c r="AW231" s="686">
        <f t="shared" si="146"/>
        <v>0</v>
      </c>
      <c r="AX231" s="687">
        <f>IFERROR(IF(AL231="","",IF(AN231="Dubai",HLOOKUP((AL231&amp;AM231),Deviation!$B$7:$S$8,2,0)*BF231*BH231*BI231*BG231,HLOOKUP((AL231&amp;AM231),Deviation!$B$9:$O$10,2,0)*BF231*BH231*BI231*BG231)),0)</f>
        <v>0</v>
      </c>
      <c r="AY231" s="668">
        <f>IF(AL231="","",IFERROR(IF(AL231="","",IF(AN231="Dubai",HLOOKUP(AZ231,'input for formula'!$B$3:$F$10,AO231,FALSE), IF(AND(H231="Employee",AN231="Abu Dhabi"),HLOOKUP(AZ231,'input for formula'!$I$3:$K$7,AO231,FALSE),HLOOKUP(AZ231,'input for formula'!$M$3:$O$7,AO231,FALSE)))*AX231+AP231*AQ231+AR231*AS231+AT231*AU231),0)*$AZ$3*BK231*BJ231)*IF(AND(Inputs!$C$19&gt;19,Inputs!$C$19&lt;30),(1+$AZ$2),1)</f>
        <v>0</v>
      </c>
      <c r="AZ231" s="148" t="str">
        <f t="shared" si="84"/>
        <v>Abu Dhabi0</v>
      </c>
      <c r="BA231" s="688">
        <f>IF(F231="","",IF(G231="Dubai",HLOOKUP(F231,Inputs!$C$26:$M$37,9,0),HLOOKUP(F231,Inputs!$C$45:$M$56,9,0)))</f>
        <v>0</v>
      </c>
      <c r="BB231" s="689">
        <f>IF(F231="","",IF(G231="Dubai",HLOOKUP(F231,Inputs!$C$26:$M$37,10,0),HLOOKUP(F231,Inputs!$C$45:$M$56,10,0)))</f>
        <v>0</v>
      </c>
      <c r="BC231" s="689">
        <f>IF(F231="","",IF(G231="Dubai",HLOOKUP(F231,Inputs!$C$26:$M$37,11,0),HLOOKUP(F231,Inputs!$C$45:$M$56,11,0)))</f>
        <v>0</v>
      </c>
      <c r="BD231" s="688" t="str">
        <f>IF(F231="","",IF(G231="Dubai",HLOOKUP(F231,Inputs!$C$26:$M$37,12,0),HLOOKUP(F231,Inputs!$C$45:$M$56,12,0)))</f>
        <v/>
      </c>
      <c r="BE231" s="654"/>
      <c r="BF231" s="688">
        <f>IFERROR(IF(AL231="","",IF(AN231="Dubai",IF(OR(AL231="Plan1",AL231="Plan2"),VLOOKUP(BA231,Deviation!$B$31:$D$33,2,FALSE),VLOOKUP(BA231,Deviation!$B$31:$D$33,3,FALSE)),IF(OR(AL231="Plan1",AL231="Plan2"),VLOOKUP(BA231,Deviation!$E$31:$AE$33,2,FALSE),VLOOKUP(BA231,Deviation!$E$31:$AE$33,3,FALSE)))),0)</f>
        <v>1.125</v>
      </c>
      <c r="BG231" s="690">
        <f>IFERROR(IF(AL231="","",IF(AN231="Dubai",IF(AL231="Plan1",VLOOKUP(BB231,Deviation!$B$39:$C$40,2,FALSE),IF(AL231="Plan2",VLOOKUP(BB231,Deviation!$B$42:$C$43,2,FALSE),IF(AL231="Plan5",VLOOKUP(BB231,Deviation!$B$48:$C$49,2,FALSE),VLOOKUP(BB231,Deviation!$B$45:$C$46,2,FALSE)))),IF(AL231="Plan1",VLOOKUP(BB231,Deviation!$E$39:$F$40,2,FALSE),IF(AL231="Plan2",VLOOKUP(BB231,Deviation!$E$42:$F$43,2,FALSE),VLOOKUP(BB231,Deviation!$E$45:$F$46,2,FALSE))))),0)</f>
        <v>0</v>
      </c>
      <c r="BH231" s="690">
        <f>IFERROR(IF(AL231="","",IF(AN231="Dubai",IF(OR(AL231="Plan1",AL231="Plan2"),VLOOKUP(BC231,Deviation!$B$15:$D$19,2,FALSE),VLOOKUP(BC231,Deviation!$B$15:$D$19,3,FALSE)),IF(OR(AL231="Plan1",AL231="Plan2"),VLOOKUP(BC231,Deviation!$E$15:$AE$19,2,FALSE),VLOOKUP(BC231,Deviation!$E$15:$AE$19,3,FALSE)))),0)</f>
        <v>0</v>
      </c>
      <c r="BI231" s="691">
        <f>IFERROR(IF(AL231="","",IF(AN231="Dubai",VLOOKUP(BD231,Deviation!$B$24:$C$26,2,FALSE),100%)),0)</f>
        <v>1</v>
      </c>
      <c r="BJ231" s="672">
        <f>IF(AE231="Abu Dhabi",1,IFERROR(VLOOKUP(AM231,Deviation!$B$67:$E$79,MATCH('Census Data'!AA231,Deviation!$B$66:$E$66,0),0),1))</f>
        <v>1</v>
      </c>
      <c r="BK231" s="659">
        <f>IFERROR(VLOOKUP(I231,Deviation!$B$54:$C$62,2,0),1)</f>
        <v>1</v>
      </c>
      <c r="BL231" s="148"/>
      <c r="BM231" s="148"/>
      <c r="BN231" s="148"/>
      <c r="BO231" s="148"/>
      <c r="BP231" s="148"/>
      <c r="BQ231" s="148"/>
      <c r="BR231" s="148"/>
      <c r="BS231" s="148"/>
      <c r="BT231" s="148">
        <f t="shared" si="119"/>
        <v>0</v>
      </c>
    </row>
    <row r="232" spans="1:72" ht="15" hidden="1" x14ac:dyDescent="0.25">
      <c r="A232" s="497"/>
      <c r="B232" s="470"/>
      <c r="C232" s="496"/>
      <c r="D232" s="94" t="s">
        <v>169</v>
      </c>
      <c r="E232" s="94" t="s">
        <v>173</v>
      </c>
      <c r="F232" s="94" t="s">
        <v>63</v>
      </c>
      <c r="G232" s="94" t="s">
        <v>174</v>
      </c>
      <c r="H232" s="94" t="s">
        <v>166</v>
      </c>
      <c r="I232" s="94"/>
      <c r="J232" s="80">
        <v>59</v>
      </c>
      <c r="K232" s="59">
        <f>IF(F232="","",IF(G232="Dubai",HLOOKUP(F232,Inputs!$C$26:$M$28,3,0),HLOOKUP(F232,Inputs!$C$45:$M$46,2,0)))</f>
        <v>0</v>
      </c>
      <c r="L232" s="94"/>
      <c r="M232" s="105">
        <f t="shared" si="68"/>
        <v>-2</v>
      </c>
      <c r="N232" s="654" t="b">
        <f t="shared" si="135"/>
        <v>1</v>
      </c>
      <c r="O232" s="655" t="str">
        <f t="shared" si="136"/>
        <v>x</v>
      </c>
      <c r="P232" s="655" t="str">
        <f t="shared" si="137"/>
        <v/>
      </c>
      <c r="Q232" s="655" t="str">
        <f t="shared" si="138"/>
        <v/>
      </c>
      <c r="R232" s="655" t="str">
        <f t="shared" si="139"/>
        <v/>
      </c>
      <c r="S232" s="655" t="str">
        <f t="shared" si="140"/>
        <v/>
      </c>
      <c r="T232" s="655" t="str">
        <f>IF(ISERROR(MATCH(G232,'Inputs Mapping'!$T$4:$T$5,0)),"x","")</f>
        <v/>
      </c>
      <c r="U232" s="655" t="str">
        <f>IF(ISERROR(MATCH(AA232,'Inputs Mapping'!$U$4:$U$5,0)),"x","")</f>
        <v/>
      </c>
      <c r="V232" s="655" t="str">
        <f>IF(ISERROR(MATCH(AB232,'Inputs Mapping'!$V$4:$V$5,0)),"x","")</f>
        <v/>
      </c>
      <c r="W232" s="655" t="str">
        <f>IF(ISERROR(MATCH(F232,'Inputs Mapping'!$W$4:$W$8,0)),"x","")</f>
        <v/>
      </c>
      <c r="X232" s="655" t="str">
        <f t="shared" si="141"/>
        <v/>
      </c>
      <c r="Y232" s="655" t="str">
        <f t="shared" si="142"/>
        <v/>
      </c>
      <c r="Z232" s="655" t="str">
        <f t="shared" si="76"/>
        <v/>
      </c>
      <c r="AA232" s="655" t="str">
        <f t="shared" si="114"/>
        <v>M</v>
      </c>
      <c r="AB232" s="655" t="str">
        <f t="shared" si="79"/>
        <v>S</v>
      </c>
      <c r="AC232" s="655" t="str">
        <f t="shared" si="130"/>
        <v/>
      </c>
      <c r="AD232" s="655" t="str">
        <f>IF(ISBLANK(I232),"x",IF(ISNUMBER(MATCH(I232,'Inputs Mapping'!$AF$5:$AF$199,0)),"","x"))</f>
        <v>x</v>
      </c>
      <c r="AE232" s="655" t="str">
        <f t="shared" si="115"/>
        <v>Abu Dhabi</v>
      </c>
      <c r="AF232" s="148"/>
      <c r="AG232" s="148"/>
      <c r="AH232" s="148" t="str">
        <f t="shared" si="116"/>
        <v>AAbu Dhabi</v>
      </c>
      <c r="AI232" s="654" t="str">
        <f>IF(J232="","",VLOOKUP(J232,'Inputs Mapping'!$T$27:$V$31,3))</f>
        <v>41-59</v>
      </c>
      <c r="AJ232" s="654" t="str">
        <f>IF(J232="","",VLOOKUP(J232,'Inputs Mapping'!$T$17:$V$24,3))</f>
        <v>56 - 60</v>
      </c>
      <c r="AK232" s="654">
        <f t="shared" si="143"/>
        <v>0</v>
      </c>
      <c r="AL232" s="655">
        <f t="shared" si="144"/>
        <v>0</v>
      </c>
      <c r="AM232" s="655">
        <f>IF(F232="","",IF(G232="Dubai",HLOOKUP(F232,Inputs!$C$26:$M$36,5,0),HLOOKUP(F232,Inputs!$C$45:$M$49,5,0)))</f>
        <v>0</v>
      </c>
      <c r="AN232" s="655" t="str">
        <f t="shared" si="145"/>
        <v>Abu Dhabi</v>
      </c>
      <c r="AO232" s="654">
        <f>IF(AJ232="","",IF(AN232="Dubai",VLOOKUP(AJ232,'Inputs Mapping'!$V$17:$W$24,2,0),VLOOKUP(AI232,'Inputs Mapping'!$V$27:$W$31,2,0)))</f>
        <v>4</v>
      </c>
      <c r="AP232" s="685">
        <f>IFERROR(IF($AN232="","",HLOOKUP($AN232&amp;RIGHT($AL232,1),'input for formula'!$B$16:$I$20,3,0)),0)</f>
        <v>0</v>
      </c>
      <c r="AQ232" s="686">
        <f>IFERROR(IF($AN232="","",HLOOKUP($AN232&amp;$F232,'input for formula'!$B$22:$M$25,2,0)),0)</f>
        <v>0</v>
      </c>
      <c r="AR232" s="685">
        <f>IFERROR(IF($AN232="","",HLOOKUP($AN232&amp;RIGHT($AL232,1),'input for formula'!$B$16:$I$20,4,0)),0)</f>
        <v>0</v>
      </c>
      <c r="AS232" s="686">
        <f>IFERROR(IF($AN232="","",HLOOKUP($AN232&amp;$F232,'input for formula'!$B$22:$M$25,3,0)),0)</f>
        <v>0</v>
      </c>
      <c r="AT232" s="686">
        <f>IFERROR(IF($AN232="","",HLOOKUP($AN232&amp;RIGHT($AL232,1),'input for formula'!$B$16:$I$20,5,0)),0)</f>
        <v>0</v>
      </c>
      <c r="AU232" s="686">
        <f>IFERROR(IF($AN232="","",HLOOKUP($AN232&amp;$F232,'input for formula'!$B$22:$M$25,4,0)),0)</f>
        <v>0</v>
      </c>
      <c r="AV232" s="666">
        <f>IFERROR(IF($AN232="","",IF('Census Data'!$AN232="Abu Dhabi",VLOOKUP('Census Data'!$AM232,'input for formula'!$A$28:$C$41,3,0),VLOOKUP('Census Data'!$AM232,'input for formula'!$A$28:$C$47,2,0))),0)*IFERROR(1+IF(AN232="Dubai",VLOOKUP(F232,'Quotation for Dubai Plans'!$V$6:$X$12,3,FALSE),VLOOKUP(F232,'Quotation for Abu Dhabi Plans'!$W$6:$Y$12,3,FALSE)),0)</f>
        <v>0</v>
      </c>
      <c r="AW232" s="686">
        <f t="shared" si="146"/>
        <v>0</v>
      </c>
      <c r="AX232" s="687">
        <f>IFERROR(IF(AL232="","",IF(AN232="Dubai",HLOOKUP((AL232&amp;AM232),Deviation!$B$7:$S$8,2,0)*BF232*BH232*BI232*BG232,HLOOKUP((AL232&amp;AM232),Deviation!$B$9:$O$10,2,0)*BF232*BH232*BI232*BG232)),0)</f>
        <v>0</v>
      </c>
      <c r="AY232" s="668">
        <f>IF(AL232="","",IFERROR(IF(AL232="","",IF(AN232="Dubai",HLOOKUP(AZ232,'input for formula'!$B$3:$F$10,AO232,FALSE), IF(AND(H232="Employee",AN232="Abu Dhabi"),HLOOKUP(AZ232,'input for formula'!$I$3:$K$7,AO232,FALSE),HLOOKUP(AZ232,'input for formula'!$M$3:$O$7,AO232,FALSE)))*AX232+AP232*AQ232+AR232*AS232+AT232*AU232),0)*$AZ$3*BK232*BJ232)*IF(AND(Inputs!$C$19&gt;19,Inputs!$C$19&lt;30),(1+$AZ$2),1)</f>
        <v>0</v>
      </c>
      <c r="AZ232" s="148" t="str">
        <f t="shared" si="84"/>
        <v>Abu Dhabi0</v>
      </c>
      <c r="BA232" s="688">
        <f>IF(F232="","",IF(G232="Dubai",HLOOKUP(F232,Inputs!$C$26:$M$37,9,0),HLOOKUP(F232,Inputs!$C$45:$M$56,9,0)))</f>
        <v>0</v>
      </c>
      <c r="BB232" s="689">
        <f>IF(F232="","",IF(G232="Dubai",HLOOKUP(F232,Inputs!$C$26:$M$37,10,0),HLOOKUP(F232,Inputs!$C$45:$M$56,10,0)))</f>
        <v>0</v>
      </c>
      <c r="BC232" s="689">
        <f>IF(F232="","",IF(G232="Dubai",HLOOKUP(F232,Inputs!$C$26:$M$37,11,0),HLOOKUP(F232,Inputs!$C$45:$M$56,11,0)))</f>
        <v>0</v>
      </c>
      <c r="BD232" s="688" t="str">
        <f>IF(F232="","",IF(G232="Dubai",HLOOKUP(F232,Inputs!$C$26:$M$37,12,0),HLOOKUP(F232,Inputs!$C$45:$M$56,12,0)))</f>
        <v/>
      </c>
      <c r="BE232" s="654"/>
      <c r="BF232" s="688">
        <f>IFERROR(IF(AL232="","",IF(AN232="Dubai",IF(OR(AL232="Plan1",AL232="Plan2"),VLOOKUP(BA232,Deviation!$B$31:$D$33,2,FALSE),VLOOKUP(BA232,Deviation!$B$31:$D$33,3,FALSE)),IF(OR(AL232="Plan1",AL232="Plan2"),VLOOKUP(BA232,Deviation!$E$31:$AE$33,2,FALSE),VLOOKUP(BA232,Deviation!$E$31:$AE$33,3,FALSE)))),0)</f>
        <v>1.125</v>
      </c>
      <c r="BG232" s="690">
        <f>IFERROR(IF(AL232="","",IF(AN232="Dubai",IF(AL232="Plan1",VLOOKUP(BB232,Deviation!$B$39:$C$40,2,FALSE),IF(AL232="Plan2",VLOOKUP(BB232,Deviation!$B$42:$C$43,2,FALSE),IF(AL232="Plan5",VLOOKUP(BB232,Deviation!$B$48:$C$49,2,FALSE),VLOOKUP(BB232,Deviation!$B$45:$C$46,2,FALSE)))),IF(AL232="Plan1",VLOOKUP(BB232,Deviation!$E$39:$F$40,2,FALSE),IF(AL232="Plan2",VLOOKUP(BB232,Deviation!$E$42:$F$43,2,FALSE),VLOOKUP(BB232,Deviation!$E$45:$F$46,2,FALSE))))),0)</f>
        <v>0</v>
      </c>
      <c r="BH232" s="690">
        <f>IFERROR(IF(AL232="","",IF(AN232="Dubai",IF(OR(AL232="Plan1",AL232="Plan2"),VLOOKUP(BC232,Deviation!$B$15:$D$19,2,FALSE),VLOOKUP(BC232,Deviation!$B$15:$D$19,3,FALSE)),IF(OR(AL232="Plan1",AL232="Plan2"),VLOOKUP(BC232,Deviation!$E$15:$AE$19,2,FALSE),VLOOKUP(BC232,Deviation!$E$15:$AE$19,3,FALSE)))),0)</f>
        <v>0</v>
      </c>
      <c r="BI232" s="691">
        <f>IFERROR(IF(AL232="","",IF(AN232="Dubai",VLOOKUP(BD232,Deviation!$B$24:$C$26,2,FALSE),100%)),0)</f>
        <v>1</v>
      </c>
      <c r="BJ232" s="672">
        <f>IF(AE232="Abu Dhabi",1,IFERROR(VLOOKUP(AM232,Deviation!$B$67:$E$79,MATCH('Census Data'!AA232,Deviation!$B$66:$E$66,0),0),1))</f>
        <v>1</v>
      </c>
      <c r="BK232" s="659">
        <f>IFERROR(VLOOKUP(I232,Deviation!$B$54:$C$62,2,0),1)</f>
        <v>1</v>
      </c>
      <c r="BL232" s="148"/>
      <c r="BM232" s="148"/>
      <c r="BN232" s="148"/>
      <c r="BO232" s="148"/>
      <c r="BP232" s="148"/>
      <c r="BQ232" s="148"/>
      <c r="BR232" s="148"/>
      <c r="BS232" s="148"/>
      <c r="BT232" s="148">
        <f t="shared" si="119"/>
        <v>0</v>
      </c>
    </row>
    <row r="233" spans="1:72" ht="15" hidden="1" x14ac:dyDescent="0.25">
      <c r="A233" s="495"/>
      <c r="B233" s="470"/>
      <c r="C233" s="496"/>
      <c r="D233" s="94" t="s">
        <v>169</v>
      </c>
      <c r="E233" s="94" t="s">
        <v>173</v>
      </c>
      <c r="F233" s="94" t="s">
        <v>63</v>
      </c>
      <c r="G233" s="94" t="s">
        <v>174</v>
      </c>
      <c r="H233" s="94" t="s">
        <v>166</v>
      </c>
      <c r="I233" s="94"/>
      <c r="J233" s="80">
        <v>67</v>
      </c>
      <c r="K233" s="59">
        <f>IF(F233="","",IF(G233="Dubai",HLOOKUP(F233,Inputs!$C$26:$M$28,3,0),HLOOKUP(F233,Inputs!$C$45:$M$46,2,0)))</f>
        <v>0</v>
      </c>
      <c r="L233" s="94"/>
      <c r="M233" s="105">
        <f t="shared" si="68"/>
        <v>-2</v>
      </c>
      <c r="N233" s="654" t="b">
        <f t="shared" si="135"/>
        <v>1</v>
      </c>
      <c r="O233" s="655" t="str">
        <f t="shared" si="136"/>
        <v>x</v>
      </c>
      <c r="P233" s="655" t="str">
        <f t="shared" si="137"/>
        <v/>
      </c>
      <c r="Q233" s="655" t="str">
        <f t="shared" si="138"/>
        <v/>
      </c>
      <c r="R233" s="655" t="str">
        <f t="shared" si="139"/>
        <v/>
      </c>
      <c r="S233" s="655" t="str">
        <f t="shared" si="140"/>
        <v/>
      </c>
      <c r="T233" s="655" t="str">
        <f>IF(ISERROR(MATCH(G233,'Inputs Mapping'!$T$4:$T$5,0)),"x","")</f>
        <v/>
      </c>
      <c r="U233" s="655" t="str">
        <f>IF(ISERROR(MATCH(AA233,'Inputs Mapping'!$U$4:$U$5,0)),"x","")</f>
        <v/>
      </c>
      <c r="V233" s="655" t="str">
        <f>IF(ISERROR(MATCH(AB233,'Inputs Mapping'!$V$4:$V$5,0)),"x","")</f>
        <v/>
      </c>
      <c r="W233" s="655" t="str">
        <f>IF(ISERROR(MATCH(F233,'Inputs Mapping'!$W$4:$W$8,0)),"x","")</f>
        <v/>
      </c>
      <c r="X233" s="655" t="str">
        <f t="shared" si="141"/>
        <v/>
      </c>
      <c r="Y233" s="655" t="str">
        <f t="shared" si="142"/>
        <v/>
      </c>
      <c r="Z233" s="655" t="str">
        <f t="shared" si="76"/>
        <v/>
      </c>
      <c r="AA233" s="655" t="str">
        <f t="shared" si="114"/>
        <v>M</v>
      </c>
      <c r="AB233" s="655" t="str">
        <f t="shared" si="79"/>
        <v>S</v>
      </c>
      <c r="AC233" s="655" t="str">
        <f t="shared" si="130"/>
        <v/>
      </c>
      <c r="AD233" s="655" t="str">
        <f>IF(ISBLANK(I233),"x",IF(ISNUMBER(MATCH(I233,'Inputs Mapping'!$AF$5:$AF$199,0)),"","x"))</f>
        <v>x</v>
      </c>
      <c r="AE233" s="655" t="str">
        <f t="shared" si="115"/>
        <v>Abu Dhabi</v>
      </c>
      <c r="AF233" s="148"/>
      <c r="AG233" s="148"/>
      <c r="AH233" s="148" t="str">
        <f t="shared" si="116"/>
        <v>AAbu Dhabi</v>
      </c>
      <c r="AI233" s="654" t="str">
        <f>IF(J233="","",VLOOKUP(J233,'Inputs Mapping'!$T$27:$V$31,3))</f>
        <v>60-69</v>
      </c>
      <c r="AJ233" s="654" t="str">
        <f>IF(J233="","",VLOOKUP(J233,'Inputs Mapping'!$T$17:$V$24,3))</f>
        <v>66 - 69</v>
      </c>
      <c r="AK233" s="654">
        <f t="shared" si="143"/>
        <v>0</v>
      </c>
      <c r="AL233" s="655">
        <f t="shared" si="144"/>
        <v>0</v>
      </c>
      <c r="AM233" s="655">
        <f>IF(F233="","",IF(G233="Dubai",HLOOKUP(F233,Inputs!$C$26:$M$36,5,0),HLOOKUP(F233,Inputs!$C$45:$M$49,5,0)))</f>
        <v>0</v>
      </c>
      <c r="AN233" s="655" t="str">
        <f t="shared" si="145"/>
        <v>Abu Dhabi</v>
      </c>
      <c r="AO233" s="654">
        <f>IF(AJ233="","",IF(AN233="Dubai",VLOOKUP(AJ233,'Inputs Mapping'!$V$17:$W$24,2,0),VLOOKUP(AI233,'Inputs Mapping'!$V$27:$W$31,2,0)))</f>
        <v>5</v>
      </c>
      <c r="AP233" s="685">
        <f>IFERROR(IF($AN233="","",HLOOKUP($AN233&amp;RIGHT($AL233,1),'input for formula'!$B$16:$I$20,3,0)),0)</f>
        <v>0</v>
      </c>
      <c r="AQ233" s="686">
        <f>IFERROR(IF($AN233="","",HLOOKUP($AN233&amp;$F233,'input for formula'!$B$22:$M$25,2,0)),0)</f>
        <v>0</v>
      </c>
      <c r="AR233" s="685">
        <f>IFERROR(IF($AN233="","",HLOOKUP($AN233&amp;RIGHT($AL233,1),'input for formula'!$B$16:$I$20,4,0)),0)</f>
        <v>0</v>
      </c>
      <c r="AS233" s="686">
        <f>IFERROR(IF($AN233="","",HLOOKUP($AN233&amp;$F233,'input for formula'!$B$22:$M$25,3,0)),0)</f>
        <v>0</v>
      </c>
      <c r="AT233" s="686">
        <f>IFERROR(IF($AN233="","",HLOOKUP($AN233&amp;RIGHT($AL233,1),'input for formula'!$B$16:$I$20,5,0)),0)</f>
        <v>0</v>
      </c>
      <c r="AU233" s="686">
        <f>IFERROR(IF($AN233="","",HLOOKUP($AN233&amp;$F233,'input for formula'!$B$22:$M$25,4,0)),0)</f>
        <v>0</v>
      </c>
      <c r="AV233" s="666">
        <f>IFERROR(IF($AN233="","",IF('Census Data'!$AN233="Abu Dhabi",VLOOKUP('Census Data'!$AM233,'input for formula'!$A$28:$C$41,3,0),VLOOKUP('Census Data'!$AM233,'input for formula'!$A$28:$C$47,2,0))),0)*IFERROR(1+IF(AN233="Dubai",VLOOKUP(F233,'Quotation for Dubai Plans'!$V$6:$X$12,3,FALSE),VLOOKUP(F233,'Quotation for Abu Dhabi Plans'!$W$6:$Y$12,3,FALSE)),0)</f>
        <v>0</v>
      </c>
      <c r="AW233" s="686">
        <f t="shared" si="146"/>
        <v>0</v>
      </c>
      <c r="AX233" s="687">
        <f>IFERROR(IF(AL233="","",IF(AN233="Dubai",HLOOKUP((AL233&amp;AM233),Deviation!$B$7:$S$8,2,0)*BF233*BH233*BI233*BG233,HLOOKUP((AL233&amp;AM233),Deviation!$B$9:$O$10,2,0)*BF233*BH233*BI233*BG233)),0)</f>
        <v>0</v>
      </c>
      <c r="AY233" s="668">
        <f>IF(AL233="","",IFERROR(IF(AL233="","",IF(AN233="Dubai",HLOOKUP(AZ233,'input for formula'!$B$3:$F$10,AO233,FALSE), IF(AND(H233="Employee",AN233="Abu Dhabi"),HLOOKUP(AZ233,'input for formula'!$I$3:$K$7,AO233,FALSE),HLOOKUP(AZ233,'input for formula'!$M$3:$O$7,AO233,FALSE)))*AX233+AP233*AQ233+AR233*AS233+AT233*AU233),0)*$AZ$3*BK233*BJ233)*IF(AND(Inputs!$C$19&gt;19,Inputs!$C$19&lt;30),(1+$AZ$2),1)</f>
        <v>0</v>
      </c>
      <c r="AZ233" s="148" t="str">
        <f t="shared" si="84"/>
        <v>Abu Dhabi0</v>
      </c>
      <c r="BA233" s="688">
        <f>IF(F233="","",IF(G233="Dubai",HLOOKUP(F233,Inputs!$C$26:$M$37,9,0),HLOOKUP(F233,Inputs!$C$45:$M$56,9,0)))</f>
        <v>0</v>
      </c>
      <c r="BB233" s="689">
        <f>IF(F233="","",IF(G233="Dubai",HLOOKUP(F233,Inputs!$C$26:$M$37,10,0),HLOOKUP(F233,Inputs!$C$45:$M$56,10,0)))</f>
        <v>0</v>
      </c>
      <c r="BC233" s="689">
        <f>IF(F233="","",IF(G233="Dubai",HLOOKUP(F233,Inputs!$C$26:$M$37,11,0),HLOOKUP(F233,Inputs!$C$45:$M$56,11,0)))</f>
        <v>0</v>
      </c>
      <c r="BD233" s="688" t="str">
        <f>IF(F233="","",IF(G233="Dubai",HLOOKUP(F233,Inputs!$C$26:$M$37,12,0),HLOOKUP(F233,Inputs!$C$45:$M$56,12,0)))</f>
        <v/>
      </c>
      <c r="BE233" s="654"/>
      <c r="BF233" s="688">
        <f>IFERROR(IF(AL233="","",IF(AN233="Dubai",IF(OR(AL233="Plan1",AL233="Plan2"),VLOOKUP(BA233,Deviation!$B$31:$D$33,2,FALSE),VLOOKUP(BA233,Deviation!$B$31:$D$33,3,FALSE)),IF(OR(AL233="Plan1",AL233="Plan2"),VLOOKUP(BA233,Deviation!$E$31:$AE$33,2,FALSE),VLOOKUP(BA233,Deviation!$E$31:$AE$33,3,FALSE)))),0)</f>
        <v>1.125</v>
      </c>
      <c r="BG233" s="690">
        <f>IFERROR(IF(AL233="","",IF(AN233="Dubai",IF(AL233="Plan1",VLOOKUP(BB233,Deviation!$B$39:$C$40,2,FALSE),IF(AL233="Plan2",VLOOKUP(BB233,Deviation!$B$42:$C$43,2,FALSE),IF(AL233="Plan5",VLOOKUP(BB233,Deviation!$B$48:$C$49,2,FALSE),VLOOKUP(BB233,Deviation!$B$45:$C$46,2,FALSE)))),IF(AL233="Plan1",VLOOKUP(BB233,Deviation!$E$39:$F$40,2,FALSE),IF(AL233="Plan2",VLOOKUP(BB233,Deviation!$E$42:$F$43,2,FALSE),VLOOKUP(BB233,Deviation!$E$45:$F$46,2,FALSE))))),0)</f>
        <v>0</v>
      </c>
      <c r="BH233" s="690">
        <f>IFERROR(IF(AL233="","",IF(AN233="Dubai",IF(OR(AL233="Plan1",AL233="Plan2"),VLOOKUP(BC233,Deviation!$B$15:$D$19,2,FALSE),VLOOKUP(BC233,Deviation!$B$15:$D$19,3,FALSE)),IF(OR(AL233="Plan1",AL233="Plan2"),VLOOKUP(BC233,Deviation!$E$15:$AE$19,2,FALSE),VLOOKUP(BC233,Deviation!$E$15:$AE$19,3,FALSE)))),0)</f>
        <v>0</v>
      </c>
      <c r="BI233" s="691">
        <f>IFERROR(IF(AL233="","",IF(AN233="Dubai",VLOOKUP(BD233,Deviation!$B$24:$C$26,2,FALSE),100%)),0)</f>
        <v>1</v>
      </c>
      <c r="BJ233" s="672">
        <f>IF(AE233="Abu Dhabi",1,IFERROR(VLOOKUP(AM233,Deviation!$B$67:$E$79,MATCH('Census Data'!AA233,Deviation!$B$66:$E$66,0),0),1))</f>
        <v>1</v>
      </c>
      <c r="BK233" s="659">
        <f>IFERROR(VLOOKUP(I233,Deviation!$B$54:$C$62,2,0),1)</f>
        <v>1</v>
      </c>
      <c r="BL233" s="148"/>
      <c r="BM233" s="148"/>
      <c r="BN233" s="148"/>
      <c r="BO233" s="148"/>
      <c r="BP233" s="148"/>
      <c r="BQ233" s="148"/>
      <c r="BR233" s="148"/>
      <c r="BS233" s="148"/>
      <c r="BT233" s="148">
        <f t="shared" si="119"/>
        <v>0</v>
      </c>
    </row>
    <row r="234" spans="1:72" ht="15" hidden="1" x14ac:dyDescent="0.25">
      <c r="A234" s="495"/>
      <c r="B234" s="470"/>
      <c r="C234" s="496"/>
      <c r="D234" s="94" t="s">
        <v>169</v>
      </c>
      <c r="E234" s="94" t="s">
        <v>173</v>
      </c>
      <c r="F234" s="94" t="s">
        <v>64</v>
      </c>
      <c r="G234" s="94" t="s">
        <v>174</v>
      </c>
      <c r="H234" s="94" t="s">
        <v>166</v>
      </c>
      <c r="I234" s="94"/>
      <c r="J234" s="80">
        <v>15</v>
      </c>
      <c r="K234" s="59">
        <f>IF(F234="","",IF(G234="Dubai",HLOOKUP(F234,Inputs!$C$26:$M$28,3,0),HLOOKUP(F234,Inputs!$C$45:$M$46,2,0)))</f>
        <v>0</v>
      </c>
      <c r="L234" s="94"/>
      <c r="M234" s="105">
        <f t="shared" si="68"/>
        <v>-2</v>
      </c>
      <c r="N234" s="654" t="b">
        <f t="shared" si="135"/>
        <v>1</v>
      </c>
      <c r="O234" s="655" t="str">
        <f t="shared" si="136"/>
        <v>x</v>
      </c>
      <c r="P234" s="655" t="str">
        <f t="shared" si="137"/>
        <v/>
      </c>
      <c r="Q234" s="655" t="str">
        <f t="shared" si="138"/>
        <v/>
      </c>
      <c r="R234" s="655" t="str">
        <f t="shared" si="139"/>
        <v/>
      </c>
      <c r="S234" s="655" t="str">
        <f t="shared" si="140"/>
        <v/>
      </c>
      <c r="T234" s="655" t="str">
        <f>IF(ISERROR(MATCH(G234,'Inputs Mapping'!$T$4:$T$5,0)),"x","")</f>
        <v/>
      </c>
      <c r="U234" s="655" t="str">
        <f>IF(ISERROR(MATCH(AA234,'Inputs Mapping'!$U$4:$U$5,0)),"x","")</f>
        <v/>
      </c>
      <c r="V234" s="655" t="str">
        <f>IF(ISERROR(MATCH(AB234,'Inputs Mapping'!$V$4:$V$5,0)),"x","")</f>
        <v/>
      </c>
      <c r="W234" s="655" t="str">
        <f>IF(ISERROR(MATCH(F234,'Inputs Mapping'!$W$4:$W$8,0)),"x","")</f>
        <v/>
      </c>
      <c r="X234" s="655" t="str">
        <f t="shared" si="141"/>
        <v/>
      </c>
      <c r="Y234" s="655" t="str">
        <f t="shared" si="142"/>
        <v/>
      </c>
      <c r="Z234" s="655" t="str">
        <f t="shared" si="76"/>
        <v/>
      </c>
      <c r="AA234" s="655" t="str">
        <f t="shared" si="114"/>
        <v>M</v>
      </c>
      <c r="AB234" s="655" t="str">
        <f t="shared" si="79"/>
        <v>S</v>
      </c>
      <c r="AC234" s="655" t="str">
        <f t="shared" si="130"/>
        <v/>
      </c>
      <c r="AD234" s="655" t="str">
        <f>IF(ISBLANK(I234),"x",IF(ISNUMBER(MATCH(I234,'Inputs Mapping'!$AF$5:$AF$199,0)),"","x"))</f>
        <v>x</v>
      </c>
      <c r="AE234" s="655" t="str">
        <f t="shared" si="115"/>
        <v>Abu Dhabi</v>
      </c>
      <c r="AF234" s="148"/>
      <c r="AG234" s="148"/>
      <c r="AH234" s="148" t="str">
        <f t="shared" si="116"/>
        <v>BAbu Dhabi</v>
      </c>
      <c r="AI234" s="654" t="str">
        <f>IF(J234="","",VLOOKUP(J234,'Inputs Mapping'!$T$27:$V$31,3))</f>
        <v>0-17</v>
      </c>
      <c r="AJ234" s="654" t="str">
        <f>IF(J234="","",VLOOKUP(J234,'Inputs Mapping'!$T$17:$V$24,3))</f>
        <v>0 - 17</v>
      </c>
      <c r="AK234" s="654">
        <f t="shared" si="143"/>
        <v>0</v>
      </c>
      <c r="AL234" s="655">
        <f t="shared" si="144"/>
        <v>0</v>
      </c>
      <c r="AM234" s="655">
        <f>IF(F234="","",IF(G234="Dubai",HLOOKUP(F234,Inputs!$C$26:$M$36,5,0),HLOOKUP(F234,Inputs!$C$45:$M$49,5,0)))</f>
        <v>0</v>
      </c>
      <c r="AN234" s="655" t="str">
        <f t="shared" si="145"/>
        <v>Abu Dhabi</v>
      </c>
      <c r="AO234" s="654">
        <f>IF(AJ234="","",IF(AN234="Dubai",VLOOKUP(AJ234,'Inputs Mapping'!$V$17:$W$24,2,0),VLOOKUP(AI234,'Inputs Mapping'!$V$27:$W$31,2,0)))</f>
        <v>2</v>
      </c>
      <c r="AP234" s="685">
        <f>IFERROR(IF($AN234="","",HLOOKUP($AN234&amp;RIGHT($AL234,1),'input for formula'!$B$16:$I$20,3,0)),0)</f>
        <v>0</v>
      </c>
      <c r="AQ234" s="686">
        <f>IFERROR(IF($AN234="","",HLOOKUP($AN234&amp;$F234,'input for formula'!$B$22:$M$25,2,0)),0)</f>
        <v>0</v>
      </c>
      <c r="AR234" s="685">
        <f>IFERROR(IF($AN234="","",HLOOKUP($AN234&amp;RIGHT($AL234,1),'input for formula'!$B$16:$I$20,4,0)),0)</f>
        <v>0</v>
      </c>
      <c r="AS234" s="686">
        <f>IFERROR(IF($AN234="","",HLOOKUP($AN234&amp;$F234,'input for formula'!$B$22:$M$25,3,0)),0)</f>
        <v>0</v>
      </c>
      <c r="AT234" s="686">
        <f>IFERROR(IF($AN234="","",HLOOKUP($AN234&amp;RIGHT($AL234,1),'input for formula'!$B$16:$I$20,5,0)),0)</f>
        <v>0</v>
      </c>
      <c r="AU234" s="686">
        <f>IFERROR(IF($AN234="","",HLOOKUP($AN234&amp;$F234,'input for formula'!$B$22:$M$25,4,0)),0)</f>
        <v>0</v>
      </c>
      <c r="AV234" s="666">
        <f>IFERROR(IF($AN234="","",IF('Census Data'!$AN234="Abu Dhabi",VLOOKUP('Census Data'!$AM234,'input for formula'!$A$28:$C$41,3,0),VLOOKUP('Census Data'!$AM234,'input for formula'!$A$28:$C$47,2,0))),0)*IFERROR(1+IF(AN234="Dubai",VLOOKUP(F234,'Quotation for Dubai Plans'!$V$6:$X$12,3,FALSE),VLOOKUP(F234,'Quotation for Abu Dhabi Plans'!$W$6:$Y$12,3,FALSE)),0)</f>
        <v>0</v>
      </c>
      <c r="AW234" s="686">
        <f t="shared" si="146"/>
        <v>0</v>
      </c>
      <c r="AX234" s="687">
        <f>IFERROR(IF(AL234="","",IF(AN234="Dubai",HLOOKUP((AL234&amp;AM234),Deviation!$B$7:$S$8,2,0)*BF234*BH234*BI234*BG234,HLOOKUP((AL234&amp;AM234),Deviation!$B$9:$O$10,2,0)*BF234*BH234*BI234*BG234)),0)</f>
        <v>0</v>
      </c>
      <c r="AY234" s="668">
        <f>IF(AL234="","",IFERROR(IF(AL234="","",IF(AN234="Dubai",HLOOKUP(AZ234,'input for formula'!$B$3:$F$10,AO234,FALSE), IF(AND(H234="Employee",AN234="Abu Dhabi"),HLOOKUP(AZ234,'input for formula'!$I$3:$K$7,AO234,FALSE),HLOOKUP(AZ234,'input for formula'!$M$3:$O$7,AO234,FALSE)))*AX234+AP234*AQ234+AR234*AS234+AT234*AU234),0)*$AZ$3*BK234*BJ234)*IF(AND(Inputs!$C$19&gt;19,Inputs!$C$19&lt;30),(1+$AZ$2),1)</f>
        <v>0</v>
      </c>
      <c r="AZ234" s="148" t="str">
        <f t="shared" si="84"/>
        <v>Abu Dhabi0</v>
      </c>
      <c r="BA234" s="688">
        <f>IF(F234="","",IF(G234="Dubai",HLOOKUP(F234,Inputs!$C$26:$M$37,9,0),HLOOKUP(F234,Inputs!$C$45:$M$56,9,0)))</f>
        <v>0</v>
      </c>
      <c r="BB234" s="689">
        <f>IF(F234="","",IF(G234="Dubai",HLOOKUP(F234,Inputs!$C$26:$M$37,10,0),HLOOKUP(F234,Inputs!$C$45:$M$56,10,0)))</f>
        <v>0</v>
      </c>
      <c r="BC234" s="689">
        <f>IF(F234="","",IF(G234="Dubai",HLOOKUP(F234,Inputs!$C$26:$M$37,11,0),HLOOKUP(F234,Inputs!$C$45:$M$56,11,0)))</f>
        <v>0</v>
      </c>
      <c r="BD234" s="688" t="str">
        <f>IF(F234="","",IF(G234="Dubai",HLOOKUP(F234,Inputs!$C$26:$M$37,12,0),HLOOKUP(F234,Inputs!$C$45:$M$56,12,0)))</f>
        <v/>
      </c>
      <c r="BE234" s="654"/>
      <c r="BF234" s="688">
        <f>IFERROR(IF(AL234="","",IF(AN234="Dubai",IF(OR(AL234="Plan1",AL234="Plan2"),VLOOKUP(BA234,Deviation!$B$31:$D$33,2,FALSE),VLOOKUP(BA234,Deviation!$B$31:$D$33,3,FALSE)),IF(OR(AL234="Plan1",AL234="Plan2"),VLOOKUP(BA234,Deviation!$E$31:$AE$33,2,FALSE),VLOOKUP(BA234,Deviation!$E$31:$AE$33,3,FALSE)))),0)</f>
        <v>1.125</v>
      </c>
      <c r="BG234" s="690">
        <f>IFERROR(IF(AL234="","",IF(AN234="Dubai",IF(AL234="Plan1",VLOOKUP(BB234,Deviation!$B$39:$C$40,2,FALSE),IF(AL234="Plan2",VLOOKUP(BB234,Deviation!$B$42:$C$43,2,FALSE),IF(AL234="Plan5",VLOOKUP(BB234,Deviation!$B$48:$C$49,2,FALSE),VLOOKUP(BB234,Deviation!$B$45:$C$46,2,FALSE)))),IF(AL234="Plan1",VLOOKUP(BB234,Deviation!$E$39:$F$40,2,FALSE),IF(AL234="Plan2",VLOOKUP(BB234,Deviation!$E$42:$F$43,2,FALSE),VLOOKUP(BB234,Deviation!$E$45:$F$46,2,FALSE))))),0)</f>
        <v>0</v>
      </c>
      <c r="BH234" s="690">
        <f>IFERROR(IF(AL234="","",IF(AN234="Dubai",IF(OR(AL234="Plan1",AL234="Plan2"),VLOOKUP(BC234,Deviation!$B$15:$D$19,2,FALSE),VLOOKUP(BC234,Deviation!$B$15:$D$19,3,FALSE)),IF(OR(AL234="Plan1",AL234="Plan2"),VLOOKUP(BC234,Deviation!$E$15:$AE$19,2,FALSE),VLOOKUP(BC234,Deviation!$E$15:$AE$19,3,FALSE)))),0)</f>
        <v>0</v>
      </c>
      <c r="BI234" s="691">
        <f>IFERROR(IF(AL234="","",IF(AN234="Dubai",VLOOKUP(BD234,Deviation!$B$24:$C$26,2,FALSE),100%)),0)</f>
        <v>1</v>
      </c>
      <c r="BJ234" s="672">
        <f>IF(AE234="Abu Dhabi",1,IFERROR(VLOOKUP(AM234,Deviation!$B$67:$E$79,MATCH('Census Data'!AA234,Deviation!$B$66:$E$66,0),0),1))</f>
        <v>1</v>
      </c>
      <c r="BK234" s="659">
        <f>IFERROR(VLOOKUP(I234,Deviation!$B$54:$C$62,2,0),1)</f>
        <v>1</v>
      </c>
      <c r="BL234" s="148"/>
      <c r="BM234" s="148"/>
      <c r="BN234" s="148"/>
      <c r="BO234" s="148"/>
      <c r="BP234" s="148"/>
      <c r="BQ234" s="148"/>
      <c r="BR234" s="148"/>
      <c r="BS234" s="148"/>
      <c r="BT234" s="148">
        <f t="shared" si="119"/>
        <v>0</v>
      </c>
    </row>
    <row r="235" spans="1:72" ht="15" hidden="1" x14ac:dyDescent="0.25">
      <c r="A235" s="495"/>
      <c r="B235" s="470"/>
      <c r="C235" s="496"/>
      <c r="D235" s="94" t="s">
        <v>169</v>
      </c>
      <c r="E235" s="94" t="s">
        <v>173</v>
      </c>
      <c r="F235" s="94" t="s">
        <v>64</v>
      </c>
      <c r="G235" s="94" t="s">
        <v>174</v>
      </c>
      <c r="H235" s="94" t="s">
        <v>166</v>
      </c>
      <c r="I235" s="94"/>
      <c r="J235" s="80">
        <v>40</v>
      </c>
      <c r="K235" s="59">
        <f>IF(F235="","",IF(G235="Dubai",HLOOKUP(F235,Inputs!$C$26:$M$28,3,0),HLOOKUP(F235,Inputs!$C$45:$M$46,2,0)))</f>
        <v>0</v>
      </c>
      <c r="L235" s="94"/>
      <c r="M235" s="105">
        <f t="shared" si="68"/>
        <v>-2</v>
      </c>
      <c r="N235" s="654" t="b">
        <f t="shared" si="135"/>
        <v>1</v>
      </c>
      <c r="O235" s="655" t="str">
        <f t="shared" si="136"/>
        <v>x</v>
      </c>
      <c r="P235" s="655" t="str">
        <f t="shared" si="137"/>
        <v/>
      </c>
      <c r="Q235" s="655" t="str">
        <f t="shared" si="138"/>
        <v/>
      </c>
      <c r="R235" s="655" t="str">
        <f t="shared" si="139"/>
        <v/>
      </c>
      <c r="S235" s="655" t="str">
        <f t="shared" si="140"/>
        <v/>
      </c>
      <c r="T235" s="655" t="str">
        <f>IF(ISERROR(MATCH(G235,'Inputs Mapping'!$T$4:$T$5,0)),"x","")</f>
        <v/>
      </c>
      <c r="U235" s="655" t="str">
        <f>IF(ISERROR(MATCH(AA235,'Inputs Mapping'!$U$4:$U$5,0)),"x","")</f>
        <v/>
      </c>
      <c r="V235" s="655" t="str">
        <f>IF(ISERROR(MATCH(AB235,'Inputs Mapping'!$V$4:$V$5,0)),"x","")</f>
        <v/>
      </c>
      <c r="W235" s="655" t="str">
        <f>IF(ISERROR(MATCH(F235,'Inputs Mapping'!$W$4:$W$8,0)),"x","")</f>
        <v/>
      </c>
      <c r="X235" s="655" t="str">
        <f t="shared" si="141"/>
        <v/>
      </c>
      <c r="Y235" s="655" t="str">
        <f t="shared" si="142"/>
        <v/>
      </c>
      <c r="Z235" s="655" t="str">
        <f t="shared" si="76"/>
        <v/>
      </c>
      <c r="AA235" s="655" t="str">
        <f t="shared" si="114"/>
        <v>M</v>
      </c>
      <c r="AB235" s="655" t="str">
        <f t="shared" si="79"/>
        <v>S</v>
      </c>
      <c r="AC235" s="655" t="str">
        <f t="shared" si="130"/>
        <v/>
      </c>
      <c r="AD235" s="655" t="str">
        <f>IF(ISBLANK(I235),"x",IF(ISNUMBER(MATCH(I235,'Inputs Mapping'!$AF$5:$AF$199,0)),"","x"))</f>
        <v>x</v>
      </c>
      <c r="AE235" s="655" t="str">
        <f t="shared" si="115"/>
        <v>Abu Dhabi</v>
      </c>
      <c r="AF235" s="148"/>
      <c r="AG235" s="148"/>
      <c r="AH235" s="148" t="str">
        <f t="shared" si="116"/>
        <v>BAbu Dhabi</v>
      </c>
      <c r="AI235" s="654" t="str">
        <f>IF(J235="","",VLOOKUP(J235,'Inputs Mapping'!$T$27:$V$31,3))</f>
        <v>18-40</v>
      </c>
      <c r="AJ235" s="654" t="str">
        <f>IF(J235="","",VLOOKUP(J235,'Inputs Mapping'!$T$17:$V$24,3))</f>
        <v>36 - 45</v>
      </c>
      <c r="AK235" s="654">
        <f t="shared" si="143"/>
        <v>0</v>
      </c>
      <c r="AL235" s="655">
        <f t="shared" si="144"/>
        <v>0</v>
      </c>
      <c r="AM235" s="655">
        <f>IF(F235="","",IF(G235="Dubai",HLOOKUP(F235,Inputs!$C$26:$M$36,5,0),HLOOKUP(F235,Inputs!$C$45:$M$49,5,0)))</f>
        <v>0</v>
      </c>
      <c r="AN235" s="655" t="str">
        <f t="shared" si="145"/>
        <v>Abu Dhabi</v>
      </c>
      <c r="AO235" s="654">
        <f>IF(AJ235="","",IF(AN235="Dubai",VLOOKUP(AJ235,'Inputs Mapping'!$V$17:$W$24,2,0),VLOOKUP(AI235,'Inputs Mapping'!$V$27:$W$31,2,0)))</f>
        <v>3</v>
      </c>
      <c r="AP235" s="685">
        <f>IFERROR(IF($AN235="","",HLOOKUP($AN235&amp;RIGHT($AL235,1),'input for formula'!$B$16:$I$20,3,0)),0)</f>
        <v>0</v>
      </c>
      <c r="AQ235" s="686">
        <f>IFERROR(IF($AN235="","",HLOOKUP($AN235&amp;$F235,'input for formula'!$B$22:$M$25,2,0)),0)</f>
        <v>0</v>
      </c>
      <c r="AR235" s="685">
        <f>IFERROR(IF($AN235="","",HLOOKUP($AN235&amp;RIGHT($AL235,1),'input for formula'!$B$16:$I$20,4,0)),0)</f>
        <v>0</v>
      </c>
      <c r="AS235" s="686">
        <f>IFERROR(IF($AN235="","",HLOOKUP($AN235&amp;$F235,'input for formula'!$B$22:$M$25,3,0)),0)</f>
        <v>0</v>
      </c>
      <c r="AT235" s="686">
        <f>IFERROR(IF($AN235="","",HLOOKUP($AN235&amp;RIGHT($AL235,1),'input for formula'!$B$16:$I$20,5,0)),0)</f>
        <v>0</v>
      </c>
      <c r="AU235" s="686">
        <f>IFERROR(IF($AN235="","",HLOOKUP($AN235&amp;$F235,'input for formula'!$B$22:$M$25,4,0)),0)</f>
        <v>0</v>
      </c>
      <c r="AV235" s="666">
        <f>IFERROR(IF($AN235="","",IF('Census Data'!$AN235="Abu Dhabi",VLOOKUP('Census Data'!$AM235,'input for formula'!$A$28:$C$41,3,0),VLOOKUP('Census Data'!$AM235,'input for formula'!$A$28:$C$47,2,0))),0)*IFERROR(1+IF(AN235="Dubai",VLOOKUP(F235,'Quotation for Dubai Plans'!$V$6:$X$12,3,FALSE),VLOOKUP(F235,'Quotation for Abu Dhabi Plans'!$W$6:$Y$12,3,FALSE)),0)</f>
        <v>0</v>
      </c>
      <c r="AW235" s="686">
        <f t="shared" si="146"/>
        <v>0</v>
      </c>
      <c r="AX235" s="687">
        <f>IFERROR(IF(AL235="","",IF(AN235="Dubai",HLOOKUP((AL235&amp;AM235),Deviation!$B$7:$S$8,2,0)*BF235*BH235*BI235*BG235,HLOOKUP((AL235&amp;AM235),Deviation!$B$9:$O$10,2,0)*BF235*BH235*BI235*BG235)),0)</f>
        <v>0</v>
      </c>
      <c r="AY235" s="668">
        <f>IF(AL235="","",IFERROR(IF(AL235="","",IF(AN235="Dubai",HLOOKUP(AZ235,'input for formula'!$B$3:$F$10,AO235,FALSE), IF(AND(H235="Employee",AN235="Abu Dhabi"),HLOOKUP(AZ235,'input for formula'!$I$3:$K$7,AO235,FALSE),HLOOKUP(AZ235,'input for formula'!$M$3:$O$7,AO235,FALSE)))*AX235+AP235*AQ235+AR235*AS235+AT235*AU235),0)*$AZ$3*BK235*BJ235)*IF(AND(Inputs!$C$19&gt;19,Inputs!$C$19&lt;30),(1+$AZ$2),1)</f>
        <v>0</v>
      </c>
      <c r="AZ235" s="148" t="str">
        <f t="shared" si="84"/>
        <v>Abu Dhabi0</v>
      </c>
      <c r="BA235" s="688">
        <f>IF(F235="","",IF(G235="Dubai",HLOOKUP(F235,Inputs!$C$26:$M$37,9,0),HLOOKUP(F235,Inputs!$C$45:$M$56,9,0)))</f>
        <v>0</v>
      </c>
      <c r="BB235" s="689">
        <f>IF(F235="","",IF(G235="Dubai",HLOOKUP(F235,Inputs!$C$26:$M$37,10,0),HLOOKUP(F235,Inputs!$C$45:$M$56,10,0)))</f>
        <v>0</v>
      </c>
      <c r="BC235" s="689">
        <f>IF(F235="","",IF(G235="Dubai",HLOOKUP(F235,Inputs!$C$26:$M$37,11,0),HLOOKUP(F235,Inputs!$C$45:$M$56,11,0)))</f>
        <v>0</v>
      </c>
      <c r="BD235" s="688" t="str">
        <f>IF(F235="","",IF(G235="Dubai",HLOOKUP(F235,Inputs!$C$26:$M$37,12,0),HLOOKUP(F235,Inputs!$C$45:$M$56,12,0)))</f>
        <v/>
      </c>
      <c r="BE235" s="654"/>
      <c r="BF235" s="688">
        <f>IFERROR(IF(AL235="","",IF(AN235="Dubai",IF(OR(AL235="Plan1",AL235="Plan2"),VLOOKUP(BA235,Deviation!$B$31:$D$33,2,FALSE),VLOOKUP(BA235,Deviation!$B$31:$D$33,3,FALSE)),IF(OR(AL235="Plan1",AL235="Plan2"),VLOOKUP(BA235,Deviation!$E$31:$AE$33,2,FALSE),VLOOKUP(BA235,Deviation!$E$31:$AE$33,3,FALSE)))),0)</f>
        <v>1.125</v>
      </c>
      <c r="BG235" s="690">
        <f>IFERROR(IF(AL235="","",IF(AN235="Dubai",IF(AL235="Plan1",VLOOKUP(BB235,Deviation!$B$39:$C$40,2,FALSE),IF(AL235="Plan2",VLOOKUP(BB235,Deviation!$B$42:$C$43,2,FALSE),IF(AL235="Plan5",VLOOKUP(BB235,Deviation!$B$48:$C$49,2,FALSE),VLOOKUP(BB235,Deviation!$B$45:$C$46,2,FALSE)))),IF(AL235="Plan1",VLOOKUP(BB235,Deviation!$E$39:$F$40,2,FALSE),IF(AL235="Plan2",VLOOKUP(BB235,Deviation!$E$42:$F$43,2,FALSE),VLOOKUP(BB235,Deviation!$E$45:$F$46,2,FALSE))))),0)</f>
        <v>0</v>
      </c>
      <c r="BH235" s="690">
        <f>IFERROR(IF(AL235="","",IF(AN235="Dubai",IF(OR(AL235="Plan1",AL235="Plan2"),VLOOKUP(BC235,Deviation!$B$15:$D$19,2,FALSE),VLOOKUP(BC235,Deviation!$B$15:$D$19,3,FALSE)),IF(OR(AL235="Plan1",AL235="Plan2"),VLOOKUP(BC235,Deviation!$E$15:$AE$19,2,FALSE),VLOOKUP(BC235,Deviation!$E$15:$AE$19,3,FALSE)))),0)</f>
        <v>0</v>
      </c>
      <c r="BI235" s="691">
        <f>IFERROR(IF(AL235="","",IF(AN235="Dubai",VLOOKUP(BD235,Deviation!$B$24:$C$26,2,FALSE),100%)),0)</f>
        <v>1</v>
      </c>
      <c r="BJ235" s="672">
        <f>IF(AE235="Abu Dhabi",1,IFERROR(VLOOKUP(AM235,Deviation!$B$67:$E$79,MATCH('Census Data'!AA235,Deviation!$B$66:$E$66,0),0),1))</f>
        <v>1</v>
      </c>
      <c r="BK235" s="659">
        <f>IFERROR(VLOOKUP(I235,Deviation!$B$54:$C$62,2,0),1)</f>
        <v>1</v>
      </c>
      <c r="BL235" s="148"/>
      <c r="BM235" s="148"/>
      <c r="BN235" s="148"/>
      <c r="BO235" s="148"/>
      <c r="BP235" s="148"/>
      <c r="BQ235" s="148"/>
      <c r="BR235" s="148"/>
      <c r="BS235" s="148"/>
      <c r="BT235" s="148">
        <f t="shared" si="119"/>
        <v>0</v>
      </c>
    </row>
    <row r="236" spans="1:72" ht="15" hidden="1" x14ac:dyDescent="0.25">
      <c r="A236" s="495"/>
      <c r="B236" s="470"/>
      <c r="C236" s="496"/>
      <c r="D236" s="94" t="s">
        <v>169</v>
      </c>
      <c r="E236" s="94" t="s">
        <v>173</v>
      </c>
      <c r="F236" s="94" t="s">
        <v>64</v>
      </c>
      <c r="G236" s="94" t="s">
        <v>174</v>
      </c>
      <c r="H236" s="94" t="s">
        <v>166</v>
      </c>
      <c r="I236" s="94"/>
      <c r="J236" s="80">
        <v>59</v>
      </c>
      <c r="K236" s="59">
        <f>IF(F236="","",IF(G236="Dubai",HLOOKUP(F236,Inputs!$C$26:$M$28,3,0),HLOOKUP(F236,Inputs!$C$45:$M$46,2,0)))</f>
        <v>0</v>
      </c>
      <c r="L236" s="94"/>
      <c r="M236" s="105">
        <f t="shared" si="68"/>
        <v>-2</v>
      </c>
      <c r="N236" s="654" t="b">
        <f t="shared" si="135"/>
        <v>1</v>
      </c>
      <c r="O236" s="655" t="str">
        <f t="shared" si="136"/>
        <v>x</v>
      </c>
      <c r="P236" s="655" t="str">
        <f t="shared" si="137"/>
        <v/>
      </c>
      <c r="Q236" s="655" t="str">
        <f t="shared" si="138"/>
        <v/>
      </c>
      <c r="R236" s="655" t="str">
        <f t="shared" si="139"/>
        <v/>
      </c>
      <c r="S236" s="655" t="str">
        <f t="shared" si="140"/>
        <v/>
      </c>
      <c r="T236" s="655" t="str">
        <f>IF(ISERROR(MATCH(G236,'Inputs Mapping'!$T$4:$T$5,0)),"x","")</f>
        <v/>
      </c>
      <c r="U236" s="655" t="str">
        <f>IF(ISERROR(MATCH(AA236,'Inputs Mapping'!$U$4:$U$5,0)),"x","")</f>
        <v/>
      </c>
      <c r="V236" s="655" t="str">
        <f>IF(ISERROR(MATCH(AB236,'Inputs Mapping'!$V$4:$V$5,0)),"x","")</f>
        <v/>
      </c>
      <c r="W236" s="655" t="str">
        <f>IF(ISERROR(MATCH(F236,'Inputs Mapping'!$W$4:$W$8,0)),"x","")</f>
        <v/>
      </c>
      <c r="X236" s="655" t="str">
        <f t="shared" si="141"/>
        <v/>
      </c>
      <c r="Y236" s="655" t="str">
        <f t="shared" si="142"/>
        <v/>
      </c>
      <c r="Z236" s="655" t="str">
        <f t="shared" si="76"/>
        <v/>
      </c>
      <c r="AA236" s="655" t="str">
        <f t="shared" si="114"/>
        <v>M</v>
      </c>
      <c r="AB236" s="655" t="str">
        <f t="shared" si="79"/>
        <v>S</v>
      </c>
      <c r="AC236" s="655" t="str">
        <f t="shared" si="130"/>
        <v/>
      </c>
      <c r="AD236" s="655" t="str">
        <f>IF(ISBLANK(I236),"x",IF(ISNUMBER(MATCH(I236,'Inputs Mapping'!$AF$5:$AF$199,0)),"","x"))</f>
        <v>x</v>
      </c>
      <c r="AE236" s="655" t="str">
        <f t="shared" si="115"/>
        <v>Abu Dhabi</v>
      </c>
      <c r="AF236" s="148"/>
      <c r="AG236" s="148"/>
      <c r="AH236" s="148" t="str">
        <f t="shared" si="116"/>
        <v>BAbu Dhabi</v>
      </c>
      <c r="AI236" s="654" t="str">
        <f>IF(J236="","",VLOOKUP(J236,'Inputs Mapping'!$T$27:$V$31,3))</f>
        <v>41-59</v>
      </c>
      <c r="AJ236" s="654" t="str">
        <f>IF(J236="","",VLOOKUP(J236,'Inputs Mapping'!$T$17:$V$24,3))</f>
        <v>56 - 60</v>
      </c>
      <c r="AK236" s="654">
        <f t="shared" si="143"/>
        <v>0</v>
      </c>
      <c r="AL236" s="655">
        <f t="shared" si="144"/>
        <v>0</v>
      </c>
      <c r="AM236" s="655">
        <f>IF(F236="","",IF(G236="Dubai",HLOOKUP(F236,Inputs!$C$26:$M$36,5,0),HLOOKUP(F236,Inputs!$C$45:$M$49,5,0)))</f>
        <v>0</v>
      </c>
      <c r="AN236" s="655" t="str">
        <f t="shared" si="145"/>
        <v>Abu Dhabi</v>
      </c>
      <c r="AO236" s="654">
        <f>IF(AJ236="","",IF(AN236="Dubai",VLOOKUP(AJ236,'Inputs Mapping'!$V$17:$W$24,2,0),VLOOKUP(AI236,'Inputs Mapping'!$V$27:$W$31,2,0)))</f>
        <v>4</v>
      </c>
      <c r="AP236" s="685">
        <f>IFERROR(IF($AN236="","",HLOOKUP($AN236&amp;RIGHT($AL236,1),'input for formula'!$B$16:$I$20,3,0)),0)</f>
        <v>0</v>
      </c>
      <c r="AQ236" s="686">
        <f>IFERROR(IF($AN236="","",HLOOKUP($AN236&amp;$F236,'input for formula'!$B$22:$M$25,2,0)),0)</f>
        <v>0</v>
      </c>
      <c r="AR236" s="685">
        <f>IFERROR(IF($AN236="","",HLOOKUP($AN236&amp;RIGHT($AL236,1),'input for formula'!$B$16:$I$20,4,0)),0)</f>
        <v>0</v>
      </c>
      <c r="AS236" s="686">
        <f>IFERROR(IF($AN236="","",HLOOKUP($AN236&amp;$F236,'input for formula'!$B$22:$M$25,3,0)),0)</f>
        <v>0</v>
      </c>
      <c r="AT236" s="686">
        <f>IFERROR(IF($AN236="","",HLOOKUP($AN236&amp;RIGHT($AL236,1),'input for formula'!$B$16:$I$20,5,0)),0)</f>
        <v>0</v>
      </c>
      <c r="AU236" s="686">
        <f>IFERROR(IF($AN236="","",HLOOKUP($AN236&amp;$F236,'input for formula'!$B$22:$M$25,4,0)),0)</f>
        <v>0</v>
      </c>
      <c r="AV236" s="666">
        <f>IFERROR(IF($AN236="","",IF('Census Data'!$AN236="Abu Dhabi",VLOOKUP('Census Data'!$AM236,'input for formula'!$A$28:$C$41,3,0),VLOOKUP('Census Data'!$AM236,'input for formula'!$A$28:$C$47,2,0))),0)*IFERROR(1+IF(AN236="Dubai",VLOOKUP(F236,'Quotation for Dubai Plans'!$V$6:$X$12,3,FALSE),VLOOKUP(F236,'Quotation for Abu Dhabi Plans'!$W$6:$Y$12,3,FALSE)),0)</f>
        <v>0</v>
      </c>
      <c r="AW236" s="686">
        <f t="shared" si="146"/>
        <v>0</v>
      </c>
      <c r="AX236" s="687">
        <f>IFERROR(IF(AL236="","",IF(AN236="Dubai",HLOOKUP((AL236&amp;AM236),Deviation!$B$7:$S$8,2,0)*BF236*BH236*BI236*BG236,HLOOKUP((AL236&amp;AM236),Deviation!$B$9:$O$10,2,0)*BF236*BH236*BI236*BG236)),0)</f>
        <v>0</v>
      </c>
      <c r="AY236" s="668">
        <f>IF(AL236="","",IFERROR(IF(AL236="","",IF(AN236="Dubai",HLOOKUP(AZ236,'input for formula'!$B$3:$F$10,AO236,FALSE), IF(AND(H236="Employee",AN236="Abu Dhabi"),HLOOKUP(AZ236,'input for formula'!$I$3:$K$7,AO236,FALSE),HLOOKUP(AZ236,'input for formula'!$M$3:$O$7,AO236,FALSE)))*AX236+AP236*AQ236+AR236*AS236+AT236*AU236),0)*$AZ$3*BK236*BJ236)*IF(AND(Inputs!$C$19&gt;19,Inputs!$C$19&lt;30),(1+$AZ$2),1)</f>
        <v>0</v>
      </c>
      <c r="AZ236" s="148" t="str">
        <f t="shared" si="84"/>
        <v>Abu Dhabi0</v>
      </c>
      <c r="BA236" s="688">
        <f>IF(F236="","",IF(G236="Dubai",HLOOKUP(F236,Inputs!$C$26:$M$37,9,0),HLOOKUP(F236,Inputs!$C$45:$M$56,9,0)))</f>
        <v>0</v>
      </c>
      <c r="BB236" s="689">
        <f>IF(F236="","",IF(G236="Dubai",HLOOKUP(F236,Inputs!$C$26:$M$37,10,0),HLOOKUP(F236,Inputs!$C$45:$M$56,10,0)))</f>
        <v>0</v>
      </c>
      <c r="BC236" s="689">
        <f>IF(F236="","",IF(G236="Dubai",HLOOKUP(F236,Inputs!$C$26:$M$37,11,0),HLOOKUP(F236,Inputs!$C$45:$M$56,11,0)))</f>
        <v>0</v>
      </c>
      <c r="BD236" s="688" t="str">
        <f>IF(F236="","",IF(G236="Dubai",HLOOKUP(F236,Inputs!$C$26:$M$37,12,0),HLOOKUP(F236,Inputs!$C$45:$M$56,12,0)))</f>
        <v/>
      </c>
      <c r="BE236" s="654"/>
      <c r="BF236" s="688">
        <f>IFERROR(IF(AL236="","",IF(AN236="Dubai",IF(OR(AL236="Plan1",AL236="Plan2"),VLOOKUP(BA236,Deviation!$B$31:$D$33,2,FALSE),VLOOKUP(BA236,Deviation!$B$31:$D$33,3,FALSE)),IF(OR(AL236="Plan1",AL236="Plan2"),VLOOKUP(BA236,Deviation!$E$31:$AE$33,2,FALSE),VLOOKUP(BA236,Deviation!$E$31:$AE$33,3,FALSE)))),0)</f>
        <v>1.125</v>
      </c>
      <c r="BG236" s="690">
        <f>IFERROR(IF(AL236="","",IF(AN236="Dubai",IF(AL236="Plan1",VLOOKUP(BB236,Deviation!$B$39:$C$40,2,FALSE),IF(AL236="Plan2",VLOOKUP(BB236,Deviation!$B$42:$C$43,2,FALSE),IF(AL236="Plan5",VLOOKUP(BB236,Deviation!$B$48:$C$49,2,FALSE),VLOOKUP(BB236,Deviation!$B$45:$C$46,2,FALSE)))),IF(AL236="Plan1",VLOOKUP(BB236,Deviation!$E$39:$F$40,2,FALSE),IF(AL236="Plan2",VLOOKUP(BB236,Deviation!$E$42:$F$43,2,FALSE),VLOOKUP(BB236,Deviation!$E$45:$F$46,2,FALSE))))),0)</f>
        <v>0</v>
      </c>
      <c r="BH236" s="690">
        <f>IFERROR(IF(AL236="","",IF(AN236="Dubai",IF(OR(AL236="Plan1",AL236="Plan2"),VLOOKUP(BC236,Deviation!$B$15:$D$19,2,FALSE),VLOOKUP(BC236,Deviation!$B$15:$D$19,3,FALSE)),IF(OR(AL236="Plan1",AL236="Plan2"),VLOOKUP(BC236,Deviation!$E$15:$AE$19,2,FALSE),VLOOKUP(BC236,Deviation!$E$15:$AE$19,3,FALSE)))),0)</f>
        <v>0</v>
      </c>
      <c r="BI236" s="691">
        <f>IFERROR(IF(AL236="","",IF(AN236="Dubai",VLOOKUP(BD236,Deviation!$B$24:$C$26,2,FALSE),100%)),0)</f>
        <v>1</v>
      </c>
      <c r="BJ236" s="672">
        <f>IF(AE236="Abu Dhabi",1,IFERROR(VLOOKUP(AM236,Deviation!$B$67:$E$79,MATCH('Census Data'!AA236,Deviation!$B$66:$E$66,0),0),1))</f>
        <v>1</v>
      </c>
      <c r="BK236" s="659">
        <f>IFERROR(VLOOKUP(I236,Deviation!$B$54:$C$62,2,0),1)</f>
        <v>1</v>
      </c>
      <c r="BL236" s="148"/>
      <c r="BM236" s="148"/>
      <c r="BN236" s="148"/>
      <c r="BO236" s="148"/>
      <c r="BP236" s="148"/>
      <c r="BQ236" s="148"/>
      <c r="BR236" s="148"/>
      <c r="BS236" s="148"/>
      <c r="BT236" s="148">
        <f t="shared" si="119"/>
        <v>0</v>
      </c>
    </row>
    <row r="237" spans="1:72" ht="15" hidden="1" x14ac:dyDescent="0.25">
      <c r="A237" s="495"/>
      <c r="B237" s="470"/>
      <c r="C237" s="496"/>
      <c r="D237" s="94" t="s">
        <v>169</v>
      </c>
      <c r="E237" s="94" t="s">
        <v>173</v>
      </c>
      <c r="F237" s="94" t="s">
        <v>64</v>
      </c>
      <c r="G237" s="94" t="s">
        <v>174</v>
      </c>
      <c r="H237" s="94" t="s">
        <v>166</v>
      </c>
      <c r="I237" s="94"/>
      <c r="J237" s="80">
        <v>67</v>
      </c>
      <c r="K237" s="59">
        <f>IF(F237="","",IF(G237="Dubai",HLOOKUP(F237,Inputs!$C$26:$M$28,3,0),HLOOKUP(F237,Inputs!$C$45:$M$46,2,0)))</f>
        <v>0</v>
      </c>
      <c r="L237" s="94"/>
      <c r="M237" s="105">
        <f t="shared" si="68"/>
        <v>-2</v>
      </c>
      <c r="N237" s="654" t="b">
        <f t="shared" si="135"/>
        <v>1</v>
      </c>
      <c r="O237" s="655" t="str">
        <f t="shared" si="136"/>
        <v>x</v>
      </c>
      <c r="P237" s="655" t="str">
        <f t="shared" si="137"/>
        <v/>
      </c>
      <c r="Q237" s="655" t="str">
        <f t="shared" si="138"/>
        <v/>
      </c>
      <c r="R237" s="655" t="str">
        <f t="shared" si="139"/>
        <v/>
      </c>
      <c r="S237" s="655" t="str">
        <f t="shared" si="140"/>
        <v/>
      </c>
      <c r="T237" s="655" t="str">
        <f>IF(ISERROR(MATCH(G237,'Inputs Mapping'!$T$4:$T$5,0)),"x","")</f>
        <v/>
      </c>
      <c r="U237" s="655" t="str">
        <f>IF(ISERROR(MATCH(AA237,'Inputs Mapping'!$U$4:$U$5,0)),"x","")</f>
        <v/>
      </c>
      <c r="V237" s="655" t="str">
        <f>IF(ISERROR(MATCH(AB237,'Inputs Mapping'!$V$4:$V$5,0)),"x","")</f>
        <v/>
      </c>
      <c r="W237" s="655" t="str">
        <f>IF(ISERROR(MATCH(F237,'Inputs Mapping'!$W$4:$W$8,0)),"x","")</f>
        <v/>
      </c>
      <c r="X237" s="655" t="str">
        <f t="shared" si="141"/>
        <v/>
      </c>
      <c r="Y237" s="655" t="str">
        <f t="shared" si="142"/>
        <v/>
      </c>
      <c r="Z237" s="655" t="str">
        <f t="shared" si="76"/>
        <v/>
      </c>
      <c r="AA237" s="655" t="str">
        <f t="shared" si="114"/>
        <v>M</v>
      </c>
      <c r="AB237" s="655" t="str">
        <f t="shared" si="79"/>
        <v>S</v>
      </c>
      <c r="AC237" s="655" t="str">
        <f t="shared" si="130"/>
        <v/>
      </c>
      <c r="AD237" s="655" t="str">
        <f>IF(ISBLANK(I237),"x",IF(ISNUMBER(MATCH(I237,'Inputs Mapping'!$AF$5:$AF$199,0)),"","x"))</f>
        <v>x</v>
      </c>
      <c r="AE237" s="655" t="str">
        <f t="shared" si="115"/>
        <v>Abu Dhabi</v>
      </c>
      <c r="AF237" s="148"/>
      <c r="AG237" s="148"/>
      <c r="AH237" s="148" t="str">
        <f t="shared" si="116"/>
        <v>BAbu Dhabi</v>
      </c>
      <c r="AI237" s="654" t="str">
        <f>IF(J237="","",VLOOKUP(J237,'Inputs Mapping'!$T$27:$V$31,3))</f>
        <v>60-69</v>
      </c>
      <c r="AJ237" s="654" t="str">
        <f>IF(J237="","",VLOOKUP(J237,'Inputs Mapping'!$T$17:$V$24,3))</f>
        <v>66 - 69</v>
      </c>
      <c r="AK237" s="654">
        <f t="shared" si="143"/>
        <v>0</v>
      </c>
      <c r="AL237" s="655">
        <f t="shared" si="144"/>
        <v>0</v>
      </c>
      <c r="AM237" s="655">
        <f>IF(F237="","",IF(G237="Dubai",HLOOKUP(F237,Inputs!$C$26:$M$36,5,0),HLOOKUP(F237,Inputs!$C$45:$M$49,5,0)))</f>
        <v>0</v>
      </c>
      <c r="AN237" s="655" t="str">
        <f t="shared" si="145"/>
        <v>Abu Dhabi</v>
      </c>
      <c r="AO237" s="654">
        <f>IF(AJ237="","",IF(AN237="Dubai",VLOOKUP(AJ237,'Inputs Mapping'!$V$17:$W$24,2,0),VLOOKUP(AI237,'Inputs Mapping'!$V$27:$W$31,2,0)))</f>
        <v>5</v>
      </c>
      <c r="AP237" s="685">
        <f>IFERROR(IF($AN237="","",HLOOKUP($AN237&amp;RIGHT($AL237,1),'input for formula'!$B$16:$I$20,3,0)),0)</f>
        <v>0</v>
      </c>
      <c r="AQ237" s="686">
        <f>IFERROR(IF($AN237="","",HLOOKUP($AN237&amp;$F237,'input for formula'!$B$22:$M$25,2,0)),0)</f>
        <v>0</v>
      </c>
      <c r="AR237" s="685">
        <f>IFERROR(IF($AN237="","",HLOOKUP($AN237&amp;RIGHT($AL237,1),'input for formula'!$B$16:$I$20,4,0)),0)</f>
        <v>0</v>
      </c>
      <c r="AS237" s="686">
        <f>IFERROR(IF($AN237="","",HLOOKUP($AN237&amp;$F237,'input for formula'!$B$22:$M$25,3,0)),0)</f>
        <v>0</v>
      </c>
      <c r="AT237" s="686">
        <f>IFERROR(IF($AN237="","",HLOOKUP($AN237&amp;RIGHT($AL237,1),'input for formula'!$B$16:$I$20,5,0)),0)</f>
        <v>0</v>
      </c>
      <c r="AU237" s="686">
        <f>IFERROR(IF($AN237="","",HLOOKUP($AN237&amp;$F237,'input for formula'!$B$22:$M$25,4,0)),0)</f>
        <v>0</v>
      </c>
      <c r="AV237" s="666">
        <f>IFERROR(IF($AN237="","",IF('Census Data'!$AN237="Abu Dhabi",VLOOKUP('Census Data'!$AM237,'input for formula'!$A$28:$C$41,3,0),VLOOKUP('Census Data'!$AM237,'input for formula'!$A$28:$C$47,2,0))),0)*IFERROR(1+IF(AN237="Dubai",VLOOKUP(F237,'Quotation for Dubai Plans'!$V$6:$X$12,3,FALSE),VLOOKUP(F237,'Quotation for Abu Dhabi Plans'!$W$6:$Y$12,3,FALSE)),0)</f>
        <v>0</v>
      </c>
      <c r="AW237" s="686">
        <f t="shared" si="146"/>
        <v>0</v>
      </c>
      <c r="AX237" s="687">
        <f>IFERROR(IF(AL237="","",IF(AN237="Dubai",HLOOKUP((AL237&amp;AM237),Deviation!$B$7:$S$8,2,0)*BF237*BH237*BI237*BG237,HLOOKUP((AL237&amp;AM237),Deviation!$B$9:$O$10,2,0)*BF237*BH237*BI237*BG237)),0)</f>
        <v>0</v>
      </c>
      <c r="AY237" s="668">
        <f>IF(AL237="","",IFERROR(IF(AL237="","",IF(AN237="Dubai",HLOOKUP(AZ237,'input for formula'!$B$3:$F$10,AO237,FALSE), IF(AND(H237="Employee",AN237="Abu Dhabi"),HLOOKUP(AZ237,'input for formula'!$I$3:$K$7,AO237,FALSE),HLOOKUP(AZ237,'input for formula'!$M$3:$O$7,AO237,FALSE)))*AX237+AP237*AQ237+AR237*AS237+AT237*AU237),0)*$AZ$3*BK237*BJ237)*IF(AND(Inputs!$C$19&gt;19,Inputs!$C$19&lt;30),(1+$AZ$2),1)</f>
        <v>0</v>
      </c>
      <c r="AZ237" s="148" t="str">
        <f t="shared" si="84"/>
        <v>Abu Dhabi0</v>
      </c>
      <c r="BA237" s="688">
        <f>IF(F237="","",IF(G237="Dubai",HLOOKUP(F237,Inputs!$C$26:$M$37,9,0),HLOOKUP(F237,Inputs!$C$45:$M$56,9,0)))</f>
        <v>0</v>
      </c>
      <c r="BB237" s="689">
        <f>IF(F237="","",IF(G237="Dubai",HLOOKUP(F237,Inputs!$C$26:$M$37,10,0),HLOOKUP(F237,Inputs!$C$45:$M$56,10,0)))</f>
        <v>0</v>
      </c>
      <c r="BC237" s="689">
        <f>IF(F237="","",IF(G237="Dubai",HLOOKUP(F237,Inputs!$C$26:$M$37,11,0),HLOOKUP(F237,Inputs!$C$45:$M$56,11,0)))</f>
        <v>0</v>
      </c>
      <c r="BD237" s="688" t="str">
        <f>IF(F237="","",IF(G237="Dubai",HLOOKUP(F237,Inputs!$C$26:$M$37,12,0),HLOOKUP(F237,Inputs!$C$45:$M$56,12,0)))</f>
        <v/>
      </c>
      <c r="BE237" s="654"/>
      <c r="BF237" s="688">
        <f>IFERROR(IF(AL237="","",IF(AN237="Dubai",IF(OR(AL237="Plan1",AL237="Plan2"),VLOOKUP(BA237,Deviation!$B$31:$D$33,2,FALSE),VLOOKUP(BA237,Deviation!$B$31:$D$33,3,FALSE)),IF(OR(AL237="Plan1",AL237="Plan2"),VLOOKUP(BA237,Deviation!$E$31:$AE$33,2,FALSE),VLOOKUP(BA237,Deviation!$E$31:$AE$33,3,FALSE)))),0)</f>
        <v>1.125</v>
      </c>
      <c r="BG237" s="690">
        <f>IFERROR(IF(AL237="","",IF(AN237="Dubai",IF(AL237="Plan1",VLOOKUP(BB237,Deviation!$B$39:$C$40,2,FALSE),IF(AL237="Plan2",VLOOKUP(BB237,Deviation!$B$42:$C$43,2,FALSE),IF(AL237="Plan5",VLOOKUP(BB237,Deviation!$B$48:$C$49,2,FALSE),VLOOKUP(BB237,Deviation!$B$45:$C$46,2,FALSE)))),IF(AL237="Plan1",VLOOKUP(BB237,Deviation!$E$39:$F$40,2,FALSE),IF(AL237="Plan2",VLOOKUP(BB237,Deviation!$E$42:$F$43,2,FALSE),VLOOKUP(BB237,Deviation!$E$45:$F$46,2,FALSE))))),0)</f>
        <v>0</v>
      </c>
      <c r="BH237" s="690">
        <f>IFERROR(IF(AL237="","",IF(AN237="Dubai",IF(OR(AL237="Plan1",AL237="Plan2"),VLOOKUP(BC237,Deviation!$B$15:$D$19,2,FALSE),VLOOKUP(BC237,Deviation!$B$15:$D$19,3,FALSE)),IF(OR(AL237="Plan1",AL237="Plan2"),VLOOKUP(BC237,Deviation!$E$15:$AE$19,2,FALSE),VLOOKUP(BC237,Deviation!$E$15:$AE$19,3,FALSE)))),0)</f>
        <v>0</v>
      </c>
      <c r="BI237" s="691">
        <f>IFERROR(IF(AL237="","",IF(AN237="Dubai",VLOOKUP(BD237,Deviation!$B$24:$C$26,2,FALSE),100%)),0)</f>
        <v>1</v>
      </c>
      <c r="BJ237" s="672">
        <f>IF(AE237="Abu Dhabi",1,IFERROR(VLOOKUP(AM237,Deviation!$B$67:$E$79,MATCH('Census Data'!AA237,Deviation!$B$66:$E$66,0),0),1))</f>
        <v>1</v>
      </c>
      <c r="BK237" s="659">
        <f>IFERROR(VLOOKUP(I237,Deviation!$B$54:$C$62,2,0),1)</f>
        <v>1</v>
      </c>
      <c r="BL237" s="148"/>
      <c r="BM237" s="148"/>
      <c r="BN237" s="148"/>
      <c r="BO237" s="148"/>
      <c r="BP237" s="148"/>
      <c r="BQ237" s="148"/>
      <c r="BR237" s="148"/>
      <c r="BS237" s="148"/>
      <c r="BT237" s="148">
        <f t="shared" si="119"/>
        <v>0</v>
      </c>
    </row>
    <row r="238" spans="1:72" ht="15" hidden="1" x14ac:dyDescent="0.25">
      <c r="A238" s="495"/>
      <c r="B238" s="470"/>
      <c r="C238" s="496"/>
      <c r="D238" s="94" t="s">
        <v>169</v>
      </c>
      <c r="E238" s="94" t="s">
        <v>173</v>
      </c>
      <c r="F238" s="94" t="s">
        <v>65</v>
      </c>
      <c r="G238" s="94" t="s">
        <v>174</v>
      </c>
      <c r="H238" s="94" t="s">
        <v>166</v>
      </c>
      <c r="I238" s="94"/>
      <c r="J238" s="80">
        <v>15</v>
      </c>
      <c r="K238" s="59">
        <f>IF(F238="","",IF(G238="Dubai",HLOOKUP(F238,Inputs!$C$26:$M$28,3,0),HLOOKUP(F238,Inputs!$C$45:$M$46,2,0)))</f>
        <v>0</v>
      </c>
      <c r="L238" s="94"/>
      <c r="M238" s="105">
        <f t="shared" si="68"/>
        <v>-2</v>
      </c>
      <c r="N238" s="654" t="b">
        <f t="shared" si="135"/>
        <v>1</v>
      </c>
      <c r="O238" s="655" t="str">
        <f t="shared" si="136"/>
        <v>x</v>
      </c>
      <c r="P238" s="655" t="str">
        <f t="shared" si="137"/>
        <v/>
      </c>
      <c r="Q238" s="655" t="str">
        <f t="shared" si="138"/>
        <v/>
      </c>
      <c r="R238" s="655" t="str">
        <f t="shared" si="139"/>
        <v/>
      </c>
      <c r="S238" s="655" t="str">
        <f t="shared" si="140"/>
        <v/>
      </c>
      <c r="T238" s="655" t="str">
        <f>IF(ISERROR(MATCH(G238,'Inputs Mapping'!$T$4:$T$5,0)),"x","")</f>
        <v/>
      </c>
      <c r="U238" s="655" t="str">
        <f>IF(ISERROR(MATCH(AA238,'Inputs Mapping'!$U$4:$U$5,0)),"x","")</f>
        <v/>
      </c>
      <c r="V238" s="655" t="str">
        <f>IF(ISERROR(MATCH(AB238,'Inputs Mapping'!$V$4:$V$5,0)),"x","")</f>
        <v/>
      </c>
      <c r="W238" s="655" t="str">
        <f>IF(ISERROR(MATCH(F238,'Inputs Mapping'!$W$4:$W$8,0)),"x","")</f>
        <v/>
      </c>
      <c r="X238" s="655" t="str">
        <f t="shared" si="141"/>
        <v/>
      </c>
      <c r="Y238" s="655" t="str">
        <f t="shared" si="142"/>
        <v/>
      </c>
      <c r="Z238" s="655" t="str">
        <f t="shared" si="76"/>
        <v/>
      </c>
      <c r="AA238" s="655" t="str">
        <f t="shared" si="114"/>
        <v>M</v>
      </c>
      <c r="AB238" s="655" t="str">
        <f t="shared" si="79"/>
        <v>S</v>
      </c>
      <c r="AC238" s="655" t="str">
        <f t="shared" si="130"/>
        <v/>
      </c>
      <c r="AD238" s="655" t="str">
        <f>IF(ISBLANK(I238),"x",IF(ISNUMBER(MATCH(I238,'Inputs Mapping'!$AF$5:$AF$199,0)),"","x"))</f>
        <v>x</v>
      </c>
      <c r="AE238" s="655" t="str">
        <f t="shared" si="115"/>
        <v>Abu Dhabi</v>
      </c>
      <c r="AF238" s="148"/>
      <c r="AG238" s="148"/>
      <c r="AH238" s="148" t="str">
        <f t="shared" si="116"/>
        <v>CAbu Dhabi</v>
      </c>
      <c r="AI238" s="654" t="str">
        <f>IF(J238="","",VLOOKUP(J238,'Inputs Mapping'!$T$27:$V$31,3))</f>
        <v>0-17</v>
      </c>
      <c r="AJ238" s="654" t="str">
        <f>IF(J238="","",VLOOKUP(J238,'Inputs Mapping'!$T$17:$V$24,3))</f>
        <v>0 - 17</v>
      </c>
      <c r="AK238" s="654">
        <f t="shared" si="143"/>
        <v>0</v>
      </c>
      <c r="AL238" s="655">
        <f t="shared" si="144"/>
        <v>0</v>
      </c>
      <c r="AM238" s="655">
        <f>IF(F238="","",IF(G238="Dubai",HLOOKUP(F238,Inputs!$C$26:$M$36,5,0),HLOOKUP(F238,Inputs!$C$45:$M$49,5,0)))</f>
        <v>0</v>
      </c>
      <c r="AN238" s="655" t="str">
        <f t="shared" si="145"/>
        <v>Abu Dhabi</v>
      </c>
      <c r="AO238" s="654">
        <f>IF(AJ238="","",IF(AN238="Dubai",VLOOKUP(AJ238,'Inputs Mapping'!$V$17:$W$24,2,0),VLOOKUP(AI238,'Inputs Mapping'!$V$27:$W$31,2,0)))</f>
        <v>2</v>
      </c>
      <c r="AP238" s="685">
        <f>IFERROR(IF($AN238="","",HLOOKUP($AN238&amp;RIGHT($AL238,1),'input for formula'!$B$16:$I$20,3,0)),0)</f>
        <v>0</v>
      </c>
      <c r="AQ238" s="686">
        <f>IFERROR(IF($AN238="","",HLOOKUP($AN238&amp;$F238,'input for formula'!$B$22:$M$25,2,0)),0)</f>
        <v>0</v>
      </c>
      <c r="AR238" s="685">
        <f>IFERROR(IF($AN238="","",HLOOKUP($AN238&amp;RIGHT($AL238,1),'input for formula'!$B$16:$I$20,4,0)),0)</f>
        <v>0</v>
      </c>
      <c r="AS238" s="686">
        <f>IFERROR(IF($AN238="","",HLOOKUP($AN238&amp;$F238,'input for formula'!$B$22:$M$25,3,0)),0)</f>
        <v>0</v>
      </c>
      <c r="AT238" s="686">
        <f>IFERROR(IF($AN238="","",HLOOKUP($AN238&amp;RIGHT($AL238,1),'input for formula'!$B$16:$I$20,5,0)),0)</f>
        <v>0</v>
      </c>
      <c r="AU238" s="686">
        <f>IFERROR(IF($AN238="","",HLOOKUP($AN238&amp;$F238,'input for formula'!$B$22:$M$25,4,0)),0)</f>
        <v>0</v>
      </c>
      <c r="AV238" s="666">
        <f>IFERROR(IF($AN238="","",IF('Census Data'!$AN238="Abu Dhabi",VLOOKUP('Census Data'!$AM238,'input for formula'!$A$28:$C$41,3,0),VLOOKUP('Census Data'!$AM238,'input for formula'!$A$28:$C$47,2,0))),0)*IFERROR(1+IF(AN238="Dubai",VLOOKUP(F238,'Quotation for Dubai Plans'!$V$6:$X$12,3,FALSE),VLOOKUP(F238,'Quotation for Abu Dhabi Plans'!$W$6:$Y$12,3,FALSE)),0)</f>
        <v>0</v>
      </c>
      <c r="AW238" s="686">
        <f t="shared" si="146"/>
        <v>0</v>
      </c>
      <c r="AX238" s="687">
        <f>IFERROR(IF(AL238="","",IF(AN238="Dubai",HLOOKUP((AL238&amp;AM238),Deviation!$B$7:$S$8,2,0)*BF238*BH238*BI238*BG238,HLOOKUP((AL238&amp;AM238),Deviation!$B$9:$O$10,2,0)*BF238*BH238*BI238*BG238)),0)</f>
        <v>0</v>
      </c>
      <c r="AY238" s="668">
        <f>IF(AL238="","",IFERROR(IF(AL238="","",IF(AN238="Dubai",HLOOKUP(AZ238,'input for formula'!$B$3:$F$10,AO238,FALSE), IF(AND(H238="Employee",AN238="Abu Dhabi"),HLOOKUP(AZ238,'input for formula'!$I$3:$K$7,AO238,FALSE),HLOOKUP(AZ238,'input for formula'!$M$3:$O$7,AO238,FALSE)))*AX238+AP238*AQ238+AR238*AS238+AT238*AU238),0)*$AZ$3*BK238*BJ238)*IF(AND(Inputs!$C$19&gt;19,Inputs!$C$19&lt;30),(1+$AZ$2),1)</f>
        <v>0</v>
      </c>
      <c r="AZ238" s="148" t="str">
        <f t="shared" si="84"/>
        <v>Abu Dhabi0</v>
      </c>
      <c r="BA238" s="688">
        <f>IF(F238="","",IF(G238="Dubai",HLOOKUP(F238,Inputs!$C$26:$M$37,9,0),HLOOKUP(F238,Inputs!$C$45:$M$56,9,0)))</f>
        <v>0</v>
      </c>
      <c r="BB238" s="689">
        <f>IF(F238="","",IF(G238="Dubai",HLOOKUP(F238,Inputs!$C$26:$M$37,10,0),HLOOKUP(F238,Inputs!$C$45:$M$56,10,0)))</f>
        <v>0</v>
      </c>
      <c r="BC238" s="689">
        <f>IF(F238="","",IF(G238="Dubai",HLOOKUP(F238,Inputs!$C$26:$M$37,11,0),HLOOKUP(F238,Inputs!$C$45:$M$56,11,0)))</f>
        <v>0</v>
      </c>
      <c r="BD238" s="688" t="str">
        <f>IF(F238="","",IF(G238="Dubai",HLOOKUP(F238,Inputs!$C$26:$M$37,12,0),HLOOKUP(F238,Inputs!$C$45:$M$56,12,0)))</f>
        <v/>
      </c>
      <c r="BE238" s="654"/>
      <c r="BF238" s="688">
        <f>IFERROR(IF(AL238="","",IF(AN238="Dubai",IF(OR(AL238="Plan1",AL238="Plan2"),VLOOKUP(BA238,Deviation!$B$31:$D$33,2,FALSE),VLOOKUP(BA238,Deviation!$B$31:$D$33,3,FALSE)),IF(OR(AL238="Plan1",AL238="Plan2"),VLOOKUP(BA238,Deviation!$E$31:$AE$33,2,FALSE),VLOOKUP(BA238,Deviation!$E$31:$AE$33,3,FALSE)))),0)</f>
        <v>1.125</v>
      </c>
      <c r="BG238" s="690">
        <f>IFERROR(IF(AL238="","",IF(AN238="Dubai",IF(AL238="Plan1",VLOOKUP(BB238,Deviation!$B$39:$C$40,2,FALSE),IF(AL238="Plan2",VLOOKUP(BB238,Deviation!$B$42:$C$43,2,FALSE),IF(AL238="Plan5",VLOOKUP(BB238,Deviation!$B$48:$C$49,2,FALSE),VLOOKUP(BB238,Deviation!$B$45:$C$46,2,FALSE)))),IF(AL238="Plan1",VLOOKUP(BB238,Deviation!$E$39:$F$40,2,FALSE),IF(AL238="Plan2",VLOOKUP(BB238,Deviation!$E$42:$F$43,2,FALSE),VLOOKUP(BB238,Deviation!$E$45:$F$46,2,FALSE))))),0)</f>
        <v>0</v>
      </c>
      <c r="BH238" s="690">
        <f>IFERROR(IF(AL238="","",IF(AN238="Dubai",IF(OR(AL238="Plan1",AL238="Plan2"),VLOOKUP(BC238,Deviation!$B$15:$D$19,2,FALSE),VLOOKUP(BC238,Deviation!$B$15:$D$19,3,FALSE)),IF(OR(AL238="Plan1",AL238="Plan2"),VLOOKUP(BC238,Deviation!$E$15:$AE$19,2,FALSE),VLOOKUP(BC238,Deviation!$E$15:$AE$19,3,FALSE)))),0)</f>
        <v>0</v>
      </c>
      <c r="BI238" s="691">
        <f>IFERROR(IF(AL238="","",IF(AN238="Dubai",VLOOKUP(BD238,Deviation!$B$24:$C$26,2,FALSE),100%)),0)</f>
        <v>1</v>
      </c>
      <c r="BJ238" s="672">
        <f>IF(AE238="Abu Dhabi",1,IFERROR(VLOOKUP(AM238,Deviation!$B$67:$E$79,MATCH('Census Data'!AA238,Deviation!$B$66:$E$66,0),0),1))</f>
        <v>1</v>
      </c>
      <c r="BK238" s="659">
        <f>IFERROR(VLOOKUP(I238,Deviation!$B$54:$C$62,2,0),1)</f>
        <v>1</v>
      </c>
      <c r="BL238" s="148"/>
      <c r="BM238" s="148"/>
      <c r="BN238" s="148"/>
      <c r="BO238" s="148"/>
      <c r="BP238" s="148"/>
      <c r="BQ238" s="148"/>
      <c r="BR238" s="148"/>
      <c r="BS238" s="148"/>
      <c r="BT238" s="148">
        <f t="shared" si="119"/>
        <v>0</v>
      </c>
    </row>
    <row r="239" spans="1:72" ht="15" hidden="1" x14ac:dyDescent="0.25">
      <c r="A239" s="497"/>
      <c r="B239" s="470"/>
      <c r="C239" s="496"/>
      <c r="D239" s="94" t="s">
        <v>169</v>
      </c>
      <c r="E239" s="94" t="s">
        <v>173</v>
      </c>
      <c r="F239" s="94" t="s">
        <v>65</v>
      </c>
      <c r="G239" s="94" t="s">
        <v>174</v>
      </c>
      <c r="H239" s="94" t="s">
        <v>166</v>
      </c>
      <c r="I239" s="94"/>
      <c r="J239" s="80">
        <v>40</v>
      </c>
      <c r="K239" s="59">
        <f>IF(F239="","",IF(G239="Dubai",HLOOKUP(F239,Inputs!$C$26:$M$28,3,0),HLOOKUP(F239,Inputs!$C$45:$M$46,2,0)))</f>
        <v>0</v>
      </c>
      <c r="L239" s="94"/>
      <c r="M239" s="105">
        <f t="shared" si="68"/>
        <v>-2</v>
      </c>
      <c r="N239" s="654" t="b">
        <f t="shared" si="135"/>
        <v>1</v>
      </c>
      <c r="O239" s="655" t="str">
        <f t="shared" si="136"/>
        <v>x</v>
      </c>
      <c r="P239" s="655" t="str">
        <f t="shared" si="137"/>
        <v/>
      </c>
      <c r="Q239" s="655" t="str">
        <f t="shared" si="138"/>
        <v/>
      </c>
      <c r="R239" s="655" t="str">
        <f t="shared" si="139"/>
        <v/>
      </c>
      <c r="S239" s="655" t="str">
        <f t="shared" si="140"/>
        <v/>
      </c>
      <c r="T239" s="655" t="str">
        <f>IF(ISERROR(MATCH(G239,'Inputs Mapping'!$T$4:$T$5,0)),"x","")</f>
        <v/>
      </c>
      <c r="U239" s="655" t="str">
        <f>IF(ISERROR(MATCH(AA239,'Inputs Mapping'!$U$4:$U$5,0)),"x","")</f>
        <v/>
      </c>
      <c r="V239" s="655" t="str">
        <f>IF(ISERROR(MATCH(AB239,'Inputs Mapping'!$V$4:$V$5,0)),"x","")</f>
        <v/>
      </c>
      <c r="W239" s="655" t="str">
        <f>IF(ISERROR(MATCH(F239,'Inputs Mapping'!$W$4:$W$8,0)),"x","")</f>
        <v/>
      </c>
      <c r="X239" s="655" t="str">
        <f t="shared" si="141"/>
        <v/>
      </c>
      <c r="Y239" s="655" t="str">
        <f t="shared" si="142"/>
        <v/>
      </c>
      <c r="Z239" s="655" t="str">
        <f t="shared" si="76"/>
        <v/>
      </c>
      <c r="AA239" s="655" t="str">
        <f t="shared" si="114"/>
        <v>M</v>
      </c>
      <c r="AB239" s="655" t="str">
        <f t="shared" si="79"/>
        <v>S</v>
      </c>
      <c r="AC239" s="655" t="str">
        <f t="shared" si="130"/>
        <v/>
      </c>
      <c r="AD239" s="655" t="str">
        <f>IF(ISBLANK(I239),"x",IF(ISNUMBER(MATCH(I239,'Inputs Mapping'!$AF$5:$AF$199,0)),"","x"))</f>
        <v>x</v>
      </c>
      <c r="AE239" s="655" t="str">
        <f t="shared" si="115"/>
        <v>Abu Dhabi</v>
      </c>
      <c r="AF239" s="148"/>
      <c r="AG239" s="148"/>
      <c r="AH239" s="148" t="str">
        <f t="shared" si="116"/>
        <v>CAbu Dhabi</v>
      </c>
      <c r="AI239" s="654" t="str">
        <f>IF(J239="","",VLOOKUP(J239,'Inputs Mapping'!$T$27:$V$31,3))</f>
        <v>18-40</v>
      </c>
      <c r="AJ239" s="654" t="str">
        <f>IF(J239="","",VLOOKUP(J239,'Inputs Mapping'!$T$17:$V$24,3))</f>
        <v>36 - 45</v>
      </c>
      <c r="AK239" s="654">
        <f t="shared" si="143"/>
        <v>0</v>
      </c>
      <c r="AL239" s="655">
        <f t="shared" si="144"/>
        <v>0</v>
      </c>
      <c r="AM239" s="655">
        <f>IF(F239="","",IF(G239="Dubai",HLOOKUP(F239,Inputs!$C$26:$M$36,5,0),HLOOKUP(F239,Inputs!$C$45:$M$49,5,0)))</f>
        <v>0</v>
      </c>
      <c r="AN239" s="655" t="str">
        <f t="shared" si="145"/>
        <v>Abu Dhabi</v>
      </c>
      <c r="AO239" s="654">
        <f>IF(AJ239="","",IF(AN239="Dubai",VLOOKUP(AJ239,'Inputs Mapping'!$V$17:$W$24,2,0),VLOOKUP(AI239,'Inputs Mapping'!$V$27:$W$31,2,0)))</f>
        <v>3</v>
      </c>
      <c r="AP239" s="685">
        <f>IFERROR(IF($AN239="","",HLOOKUP($AN239&amp;RIGHT($AL239,1),'input for formula'!$B$16:$I$20,3,0)),0)</f>
        <v>0</v>
      </c>
      <c r="AQ239" s="686">
        <f>IFERROR(IF($AN239="","",HLOOKUP($AN239&amp;$F239,'input for formula'!$B$22:$M$25,2,0)),0)</f>
        <v>0</v>
      </c>
      <c r="AR239" s="685">
        <f>IFERROR(IF($AN239="","",HLOOKUP($AN239&amp;RIGHT($AL239,1),'input for formula'!$B$16:$I$20,4,0)),0)</f>
        <v>0</v>
      </c>
      <c r="AS239" s="686">
        <f>IFERROR(IF($AN239="","",HLOOKUP($AN239&amp;$F239,'input for formula'!$B$22:$M$25,3,0)),0)</f>
        <v>0</v>
      </c>
      <c r="AT239" s="686">
        <f>IFERROR(IF($AN239="","",HLOOKUP($AN239&amp;RIGHT($AL239,1),'input for formula'!$B$16:$I$20,5,0)),0)</f>
        <v>0</v>
      </c>
      <c r="AU239" s="686">
        <f>IFERROR(IF($AN239="","",HLOOKUP($AN239&amp;$F239,'input for formula'!$B$22:$M$25,4,0)),0)</f>
        <v>0</v>
      </c>
      <c r="AV239" s="666">
        <f>IFERROR(IF($AN239="","",IF('Census Data'!$AN239="Abu Dhabi",VLOOKUP('Census Data'!$AM239,'input for formula'!$A$28:$C$41,3,0),VLOOKUP('Census Data'!$AM239,'input for formula'!$A$28:$C$47,2,0))),0)*IFERROR(1+IF(AN239="Dubai",VLOOKUP(F239,'Quotation for Dubai Plans'!$V$6:$X$12,3,FALSE),VLOOKUP(F239,'Quotation for Abu Dhabi Plans'!$W$6:$Y$12,3,FALSE)),0)</f>
        <v>0</v>
      </c>
      <c r="AW239" s="686">
        <f t="shared" si="146"/>
        <v>0</v>
      </c>
      <c r="AX239" s="687">
        <f>IFERROR(IF(AL239="","",IF(AN239="Dubai",HLOOKUP((AL239&amp;AM239),Deviation!$B$7:$S$8,2,0)*BF239*BH239*BI239*BG239,HLOOKUP((AL239&amp;AM239),Deviation!$B$9:$O$10,2,0)*BF239*BH239*BI239*BG239)),0)</f>
        <v>0</v>
      </c>
      <c r="AY239" s="668">
        <f>IF(AL239="","",IFERROR(IF(AL239="","",IF(AN239="Dubai",HLOOKUP(AZ239,'input for formula'!$B$3:$F$10,AO239,FALSE), IF(AND(H239="Employee",AN239="Abu Dhabi"),HLOOKUP(AZ239,'input for formula'!$I$3:$K$7,AO239,FALSE),HLOOKUP(AZ239,'input for formula'!$M$3:$O$7,AO239,FALSE)))*AX239+AP239*AQ239+AR239*AS239+AT239*AU239),0)*$AZ$3*BK239*BJ239)*IF(AND(Inputs!$C$19&gt;19,Inputs!$C$19&lt;30),(1+$AZ$2),1)</f>
        <v>0</v>
      </c>
      <c r="AZ239" s="148" t="str">
        <f t="shared" si="84"/>
        <v>Abu Dhabi0</v>
      </c>
      <c r="BA239" s="688">
        <f>IF(F239="","",IF(G239="Dubai",HLOOKUP(F239,Inputs!$C$26:$M$37,9,0),HLOOKUP(F239,Inputs!$C$45:$M$56,9,0)))</f>
        <v>0</v>
      </c>
      <c r="BB239" s="689">
        <f>IF(F239="","",IF(G239="Dubai",HLOOKUP(F239,Inputs!$C$26:$M$37,10,0),HLOOKUP(F239,Inputs!$C$45:$M$56,10,0)))</f>
        <v>0</v>
      </c>
      <c r="BC239" s="689">
        <f>IF(F239="","",IF(G239="Dubai",HLOOKUP(F239,Inputs!$C$26:$M$37,11,0),HLOOKUP(F239,Inputs!$C$45:$M$56,11,0)))</f>
        <v>0</v>
      </c>
      <c r="BD239" s="688" t="str">
        <f>IF(F239="","",IF(G239="Dubai",HLOOKUP(F239,Inputs!$C$26:$M$37,12,0),HLOOKUP(F239,Inputs!$C$45:$M$56,12,0)))</f>
        <v/>
      </c>
      <c r="BE239" s="654"/>
      <c r="BF239" s="688">
        <f>IFERROR(IF(AL239="","",IF(AN239="Dubai",IF(OR(AL239="Plan1",AL239="Plan2"),VLOOKUP(BA239,Deviation!$B$31:$D$33,2,FALSE),VLOOKUP(BA239,Deviation!$B$31:$D$33,3,FALSE)),IF(OR(AL239="Plan1",AL239="Plan2"),VLOOKUP(BA239,Deviation!$E$31:$AE$33,2,FALSE),VLOOKUP(BA239,Deviation!$E$31:$AE$33,3,FALSE)))),0)</f>
        <v>1.125</v>
      </c>
      <c r="BG239" s="690">
        <f>IFERROR(IF(AL239="","",IF(AN239="Dubai",IF(AL239="Plan1",VLOOKUP(BB239,Deviation!$B$39:$C$40,2,FALSE),IF(AL239="Plan2",VLOOKUP(BB239,Deviation!$B$42:$C$43,2,FALSE),IF(AL239="Plan5",VLOOKUP(BB239,Deviation!$B$48:$C$49,2,FALSE),VLOOKUP(BB239,Deviation!$B$45:$C$46,2,FALSE)))),IF(AL239="Plan1",VLOOKUP(BB239,Deviation!$E$39:$F$40,2,FALSE),IF(AL239="Plan2",VLOOKUP(BB239,Deviation!$E$42:$F$43,2,FALSE),VLOOKUP(BB239,Deviation!$E$45:$F$46,2,FALSE))))),0)</f>
        <v>0</v>
      </c>
      <c r="BH239" s="690">
        <f>IFERROR(IF(AL239="","",IF(AN239="Dubai",IF(OR(AL239="Plan1",AL239="Plan2"),VLOOKUP(BC239,Deviation!$B$15:$D$19,2,FALSE),VLOOKUP(BC239,Deviation!$B$15:$D$19,3,FALSE)),IF(OR(AL239="Plan1",AL239="Plan2"),VLOOKUP(BC239,Deviation!$E$15:$AE$19,2,FALSE),VLOOKUP(BC239,Deviation!$E$15:$AE$19,3,FALSE)))),0)</f>
        <v>0</v>
      </c>
      <c r="BI239" s="691">
        <f>IFERROR(IF(AL239="","",IF(AN239="Dubai",VLOOKUP(BD239,Deviation!$B$24:$C$26,2,FALSE),100%)),0)</f>
        <v>1</v>
      </c>
      <c r="BJ239" s="672">
        <f>IF(AE239="Abu Dhabi",1,IFERROR(VLOOKUP(AM239,Deviation!$B$67:$E$79,MATCH('Census Data'!AA239,Deviation!$B$66:$E$66,0),0),1))</f>
        <v>1</v>
      </c>
      <c r="BK239" s="659">
        <f>IFERROR(VLOOKUP(I239,Deviation!$B$54:$C$62,2,0),1)</f>
        <v>1</v>
      </c>
      <c r="BL239" s="148"/>
      <c r="BM239" s="148"/>
      <c r="BN239" s="148"/>
      <c r="BO239" s="148"/>
      <c r="BP239" s="148"/>
      <c r="BQ239" s="148"/>
      <c r="BR239" s="148"/>
      <c r="BS239" s="148"/>
      <c r="BT239" s="148">
        <f t="shared" si="119"/>
        <v>0</v>
      </c>
    </row>
    <row r="240" spans="1:72" ht="15" hidden="1" x14ac:dyDescent="0.25">
      <c r="A240" s="495"/>
      <c r="B240" s="470"/>
      <c r="C240" s="496"/>
      <c r="D240" s="94" t="s">
        <v>169</v>
      </c>
      <c r="E240" s="94" t="s">
        <v>173</v>
      </c>
      <c r="F240" s="94" t="s">
        <v>65</v>
      </c>
      <c r="G240" s="94" t="s">
        <v>174</v>
      </c>
      <c r="H240" s="94" t="s">
        <v>166</v>
      </c>
      <c r="I240" s="94"/>
      <c r="J240" s="80">
        <v>59</v>
      </c>
      <c r="K240" s="59">
        <f>IF(F240="","",IF(G240="Dubai",HLOOKUP(F240,Inputs!$C$26:$M$28,3,0),HLOOKUP(F240,Inputs!$C$45:$M$46,2,0)))</f>
        <v>0</v>
      </c>
      <c r="L240" s="94"/>
      <c r="M240" s="105">
        <f t="shared" si="68"/>
        <v>-2</v>
      </c>
      <c r="N240" s="654" t="b">
        <f t="shared" si="135"/>
        <v>1</v>
      </c>
      <c r="O240" s="655" t="str">
        <f t="shared" si="136"/>
        <v>x</v>
      </c>
      <c r="P240" s="655" t="str">
        <f t="shared" si="137"/>
        <v/>
      </c>
      <c r="Q240" s="655" t="str">
        <f t="shared" si="138"/>
        <v/>
      </c>
      <c r="R240" s="655" t="str">
        <f t="shared" si="139"/>
        <v/>
      </c>
      <c r="S240" s="655" t="str">
        <f t="shared" si="140"/>
        <v/>
      </c>
      <c r="T240" s="655" t="str">
        <f>IF(ISERROR(MATCH(G240,'Inputs Mapping'!$T$4:$T$5,0)),"x","")</f>
        <v/>
      </c>
      <c r="U240" s="655" t="str">
        <f>IF(ISERROR(MATCH(AA240,'Inputs Mapping'!$U$4:$U$5,0)),"x","")</f>
        <v/>
      </c>
      <c r="V240" s="655" t="str">
        <f>IF(ISERROR(MATCH(AB240,'Inputs Mapping'!$V$4:$V$5,0)),"x","")</f>
        <v/>
      </c>
      <c r="W240" s="655" t="str">
        <f>IF(ISERROR(MATCH(F240,'Inputs Mapping'!$W$4:$W$8,0)),"x","")</f>
        <v/>
      </c>
      <c r="X240" s="655" t="str">
        <f t="shared" si="141"/>
        <v/>
      </c>
      <c r="Y240" s="655" t="str">
        <f t="shared" si="142"/>
        <v/>
      </c>
      <c r="Z240" s="655" t="str">
        <f t="shared" si="76"/>
        <v/>
      </c>
      <c r="AA240" s="655" t="str">
        <f t="shared" si="114"/>
        <v>M</v>
      </c>
      <c r="AB240" s="655" t="str">
        <f t="shared" si="79"/>
        <v>S</v>
      </c>
      <c r="AC240" s="655" t="str">
        <f t="shared" si="130"/>
        <v/>
      </c>
      <c r="AD240" s="655" t="str">
        <f>IF(ISBLANK(I240),"x",IF(ISNUMBER(MATCH(I240,'Inputs Mapping'!$AF$5:$AF$199,0)),"","x"))</f>
        <v>x</v>
      </c>
      <c r="AE240" s="655" t="str">
        <f t="shared" si="115"/>
        <v>Abu Dhabi</v>
      </c>
      <c r="AF240" s="148"/>
      <c r="AG240" s="148"/>
      <c r="AH240" s="148" t="str">
        <f t="shared" si="116"/>
        <v>CAbu Dhabi</v>
      </c>
      <c r="AI240" s="654" t="str">
        <f>IF(J240="","",VLOOKUP(J240,'Inputs Mapping'!$T$27:$V$31,3))</f>
        <v>41-59</v>
      </c>
      <c r="AJ240" s="654" t="str">
        <f>IF(J240="","",VLOOKUP(J240,'Inputs Mapping'!$T$17:$V$24,3))</f>
        <v>56 - 60</v>
      </c>
      <c r="AK240" s="654">
        <f t="shared" si="143"/>
        <v>0</v>
      </c>
      <c r="AL240" s="655">
        <f t="shared" si="144"/>
        <v>0</v>
      </c>
      <c r="AM240" s="655">
        <f>IF(F240="","",IF(G240="Dubai",HLOOKUP(F240,Inputs!$C$26:$M$36,5,0),HLOOKUP(F240,Inputs!$C$45:$M$49,5,0)))</f>
        <v>0</v>
      </c>
      <c r="AN240" s="655" t="str">
        <f t="shared" si="145"/>
        <v>Abu Dhabi</v>
      </c>
      <c r="AO240" s="654">
        <f>IF(AJ240="","",IF(AN240="Dubai",VLOOKUP(AJ240,'Inputs Mapping'!$V$17:$W$24,2,0),VLOOKUP(AI240,'Inputs Mapping'!$V$27:$W$31,2,0)))</f>
        <v>4</v>
      </c>
      <c r="AP240" s="685">
        <f>IFERROR(IF($AN240="","",HLOOKUP($AN240&amp;RIGHT($AL240,1),'input for formula'!$B$16:$I$20,3,0)),0)</f>
        <v>0</v>
      </c>
      <c r="AQ240" s="686">
        <f>IFERROR(IF($AN240="","",HLOOKUP($AN240&amp;$F240,'input for formula'!$B$22:$M$25,2,0)),0)</f>
        <v>0</v>
      </c>
      <c r="AR240" s="685">
        <f>IFERROR(IF($AN240="","",HLOOKUP($AN240&amp;RIGHT($AL240,1),'input for formula'!$B$16:$I$20,4,0)),0)</f>
        <v>0</v>
      </c>
      <c r="AS240" s="686">
        <f>IFERROR(IF($AN240="","",HLOOKUP($AN240&amp;$F240,'input for formula'!$B$22:$M$25,3,0)),0)</f>
        <v>0</v>
      </c>
      <c r="AT240" s="686">
        <f>IFERROR(IF($AN240="","",HLOOKUP($AN240&amp;RIGHT($AL240,1),'input for formula'!$B$16:$I$20,5,0)),0)</f>
        <v>0</v>
      </c>
      <c r="AU240" s="686">
        <f>IFERROR(IF($AN240="","",HLOOKUP($AN240&amp;$F240,'input for formula'!$B$22:$M$25,4,0)),0)</f>
        <v>0</v>
      </c>
      <c r="AV240" s="666">
        <f>IFERROR(IF($AN240="","",IF('Census Data'!$AN240="Abu Dhabi",VLOOKUP('Census Data'!$AM240,'input for formula'!$A$28:$C$41,3,0),VLOOKUP('Census Data'!$AM240,'input for formula'!$A$28:$C$47,2,0))),0)*IFERROR(1+IF(AN240="Dubai",VLOOKUP(F240,'Quotation for Dubai Plans'!$V$6:$X$12,3,FALSE),VLOOKUP(F240,'Quotation for Abu Dhabi Plans'!$W$6:$Y$12,3,FALSE)),0)</f>
        <v>0</v>
      </c>
      <c r="AW240" s="686">
        <f t="shared" si="146"/>
        <v>0</v>
      </c>
      <c r="AX240" s="687">
        <f>IFERROR(IF(AL240="","",IF(AN240="Dubai",HLOOKUP((AL240&amp;AM240),Deviation!$B$7:$S$8,2,0)*BF240*BH240*BI240*BG240,HLOOKUP((AL240&amp;AM240),Deviation!$B$9:$O$10,2,0)*BF240*BH240*BI240*BG240)),0)</f>
        <v>0</v>
      </c>
      <c r="AY240" s="668">
        <f>IF(AL240="","",IFERROR(IF(AL240="","",IF(AN240="Dubai",HLOOKUP(AZ240,'input for formula'!$B$3:$F$10,AO240,FALSE), IF(AND(H240="Employee",AN240="Abu Dhabi"),HLOOKUP(AZ240,'input for formula'!$I$3:$K$7,AO240,FALSE),HLOOKUP(AZ240,'input for formula'!$M$3:$O$7,AO240,FALSE)))*AX240+AP240*AQ240+AR240*AS240+AT240*AU240),0)*$AZ$3*BK240*BJ240)*IF(AND(Inputs!$C$19&gt;19,Inputs!$C$19&lt;30),(1+$AZ$2),1)</f>
        <v>0</v>
      </c>
      <c r="AZ240" s="148" t="str">
        <f t="shared" si="84"/>
        <v>Abu Dhabi0</v>
      </c>
      <c r="BA240" s="688">
        <f>IF(F240="","",IF(G240="Dubai",HLOOKUP(F240,Inputs!$C$26:$M$37,9,0),HLOOKUP(F240,Inputs!$C$45:$M$56,9,0)))</f>
        <v>0</v>
      </c>
      <c r="BB240" s="689">
        <f>IF(F240="","",IF(G240="Dubai",HLOOKUP(F240,Inputs!$C$26:$M$37,10,0),HLOOKUP(F240,Inputs!$C$45:$M$56,10,0)))</f>
        <v>0</v>
      </c>
      <c r="BC240" s="689">
        <f>IF(F240="","",IF(G240="Dubai",HLOOKUP(F240,Inputs!$C$26:$M$37,11,0),HLOOKUP(F240,Inputs!$C$45:$M$56,11,0)))</f>
        <v>0</v>
      </c>
      <c r="BD240" s="688" t="str">
        <f>IF(F240="","",IF(G240="Dubai",HLOOKUP(F240,Inputs!$C$26:$M$37,12,0),HLOOKUP(F240,Inputs!$C$45:$M$56,12,0)))</f>
        <v/>
      </c>
      <c r="BE240" s="654"/>
      <c r="BF240" s="688">
        <f>IFERROR(IF(AL240="","",IF(AN240="Dubai",IF(OR(AL240="Plan1",AL240="Plan2"),VLOOKUP(BA240,Deviation!$B$31:$D$33,2,FALSE),VLOOKUP(BA240,Deviation!$B$31:$D$33,3,FALSE)),IF(OR(AL240="Plan1",AL240="Plan2"),VLOOKUP(BA240,Deviation!$E$31:$AE$33,2,FALSE),VLOOKUP(BA240,Deviation!$E$31:$AE$33,3,FALSE)))),0)</f>
        <v>1.125</v>
      </c>
      <c r="BG240" s="690">
        <f>IFERROR(IF(AL240="","",IF(AN240="Dubai",IF(AL240="Plan1",VLOOKUP(BB240,Deviation!$B$39:$C$40,2,FALSE),IF(AL240="Plan2",VLOOKUP(BB240,Deviation!$B$42:$C$43,2,FALSE),IF(AL240="Plan5",VLOOKUP(BB240,Deviation!$B$48:$C$49,2,FALSE),VLOOKUP(BB240,Deviation!$B$45:$C$46,2,FALSE)))),IF(AL240="Plan1",VLOOKUP(BB240,Deviation!$E$39:$F$40,2,FALSE),IF(AL240="Plan2",VLOOKUP(BB240,Deviation!$E$42:$F$43,2,FALSE),VLOOKUP(BB240,Deviation!$E$45:$F$46,2,FALSE))))),0)</f>
        <v>0</v>
      </c>
      <c r="BH240" s="690">
        <f>IFERROR(IF(AL240="","",IF(AN240="Dubai",IF(OR(AL240="Plan1",AL240="Plan2"),VLOOKUP(BC240,Deviation!$B$15:$D$19,2,FALSE),VLOOKUP(BC240,Deviation!$B$15:$D$19,3,FALSE)),IF(OR(AL240="Plan1",AL240="Plan2"),VLOOKUP(BC240,Deviation!$E$15:$AE$19,2,FALSE),VLOOKUP(BC240,Deviation!$E$15:$AE$19,3,FALSE)))),0)</f>
        <v>0</v>
      </c>
      <c r="BI240" s="691">
        <f>IFERROR(IF(AL240="","",IF(AN240="Dubai",VLOOKUP(BD240,Deviation!$B$24:$C$26,2,FALSE),100%)),0)</f>
        <v>1</v>
      </c>
      <c r="BJ240" s="672">
        <f>IF(AE240="Abu Dhabi",1,IFERROR(VLOOKUP(AM240,Deviation!$B$67:$E$79,MATCH('Census Data'!AA240,Deviation!$B$66:$E$66,0),0),1))</f>
        <v>1</v>
      </c>
      <c r="BK240" s="659">
        <f>IFERROR(VLOOKUP(I240,Deviation!$B$54:$C$62,2,0),1)</f>
        <v>1</v>
      </c>
      <c r="BL240" s="148"/>
      <c r="BM240" s="148"/>
      <c r="BN240" s="148"/>
      <c r="BO240" s="148"/>
      <c r="BP240" s="148"/>
      <c r="BQ240" s="148"/>
      <c r="BR240" s="148"/>
      <c r="BS240" s="148"/>
      <c r="BT240" s="148">
        <f t="shared" si="119"/>
        <v>0</v>
      </c>
    </row>
    <row r="241" spans="1:72" ht="15" hidden="1" x14ac:dyDescent="0.25">
      <c r="A241" s="495"/>
      <c r="B241" s="470"/>
      <c r="C241" s="496"/>
      <c r="D241" s="94" t="s">
        <v>169</v>
      </c>
      <c r="E241" s="94" t="s">
        <v>173</v>
      </c>
      <c r="F241" s="94" t="s">
        <v>65</v>
      </c>
      <c r="G241" s="94" t="s">
        <v>174</v>
      </c>
      <c r="H241" s="94" t="s">
        <v>166</v>
      </c>
      <c r="I241" s="94"/>
      <c r="J241" s="80">
        <v>67</v>
      </c>
      <c r="K241" s="59">
        <f>IF(F241="","",IF(G241="Dubai",HLOOKUP(F241,Inputs!$C$26:$M$28,3,0),HLOOKUP(F241,Inputs!$C$45:$M$46,2,0)))</f>
        <v>0</v>
      </c>
      <c r="L241" s="94"/>
      <c r="M241" s="105">
        <f t="shared" si="68"/>
        <v>-2</v>
      </c>
      <c r="N241" s="654" t="b">
        <f t="shared" si="135"/>
        <v>1</v>
      </c>
      <c r="O241" s="655" t="str">
        <f t="shared" si="136"/>
        <v>x</v>
      </c>
      <c r="P241" s="655" t="str">
        <f t="shared" si="137"/>
        <v/>
      </c>
      <c r="Q241" s="655" t="str">
        <f t="shared" si="138"/>
        <v/>
      </c>
      <c r="R241" s="655" t="str">
        <f t="shared" si="139"/>
        <v/>
      </c>
      <c r="S241" s="655" t="str">
        <f t="shared" si="140"/>
        <v/>
      </c>
      <c r="T241" s="655" t="str">
        <f>IF(ISERROR(MATCH(G241,'Inputs Mapping'!$T$4:$T$5,0)),"x","")</f>
        <v/>
      </c>
      <c r="U241" s="655" t="str">
        <f>IF(ISERROR(MATCH(AA241,'Inputs Mapping'!$U$4:$U$5,0)),"x","")</f>
        <v/>
      </c>
      <c r="V241" s="655" t="str">
        <f>IF(ISERROR(MATCH(AB241,'Inputs Mapping'!$V$4:$V$5,0)),"x","")</f>
        <v/>
      </c>
      <c r="W241" s="655" t="str">
        <f>IF(ISERROR(MATCH(F241,'Inputs Mapping'!$W$4:$W$8,0)),"x","")</f>
        <v/>
      </c>
      <c r="X241" s="655" t="str">
        <f t="shared" si="141"/>
        <v/>
      </c>
      <c r="Y241" s="655" t="str">
        <f t="shared" si="142"/>
        <v/>
      </c>
      <c r="Z241" s="655" t="str">
        <f t="shared" si="76"/>
        <v/>
      </c>
      <c r="AA241" s="655" t="str">
        <f t="shared" si="114"/>
        <v>M</v>
      </c>
      <c r="AB241" s="655" t="str">
        <f t="shared" si="79"/>
        <v>S</v>
      </c>
      <c r="AC241" s="655" t="str">
        <f t="shared" si="130"/>
        <v/>
      </c>
      <c r="AD241" s="655" t="str">
        <f>IF(ISBLANK(I241),"x",IF(ISNUMBER(MATCH(I241,'Inputs Mapping'!$AF$5:$AF$199,0)),"","x"))</f>
        <v>x</v>
      </c>
      <c r="AE241" s="655" t="str">
        <f t="shared" si="115"/>
        <v>Abu Dhabi</v>
      </c>
      <c r="AF241" s="148"/>
      <c r="AG241" s="148"/>
      <c r="AH241" s="148" t="str">
        <f t="shared" si="116"/>
        <v>CAbu Dhabi</v>
      </c>
      <c r="AI241" s="654" t="str">
        <f>IF(J241="","",VLOOKUP(J241,'Inputs Mapping'!$T$27:$V$31,3))</f>
        <v>60-69</v>
      </c>
      <c r="AJ241" s="654" t="str">
        <f>IF(J241="","",VLOOKUP(J241,'Inputs Mapping'!$T$17:$V$24,3))</f>
        <v>66 - 69</v>
      </c>
      <c r="AK241" s="654">
        <f t="shared" si="143"/>
        <v>0</v>
      </c>
      <c r="AL241" s="655">
        <f t="shared" si="144"/>
        <v>0</v>
      </c>
      <c r="AM241" s="655">
        <f>IF(F241="","",IF(G241="Dubai",HLOOKUP(F241,Inputs!$C$26:$M$36,5,0),HLOOKUP(F241,Inputs!$C$45:$M$49,5,0)))</f>
        <v>0</v>
      </c>
      <c r="AN241" s="655" t="str">
        <f t="shared" si="145"/>
        <v>Abu Dhabi</v>
      </c>
      <c r="AO241" s="654">
        <f>IF(AJ241="","",IF(AN241="Dubai",VLOOKUP(AJ241,'Inputs Mapping'!$V$17:$W$24,2,0),VLOOKUP(AI241,'Inputs Mapping'!$V$27:$W$31,2,0)))</f>
        <v>5</v>
      </c>
      <c r="AP241" s="685">
        <f>IFERROR(IF($AN241="","",HLOOKUP($AN241&amp;RIGHT($AL241,1),'input for formula'!$B$16:$I$20,3,0)),0)</f>
        <v>0</v>
      </c>
      <c r="AQ241" s="686">
        <f>IFERROR(IF($AN241="","",HLOOKUP($AN241&amp;$F241,'input for formula'!$B$22:$M$25,2,0)),0)</f>
        <v>0</v>
      </c>
      <c r="AR241" s="685">
        <f>IFERROR(IF($AN241="","",HLOOKUP($AN241&amp;RIGHT($AL241,1),'input for formula'!$B$16:$I$20,4,0)),0)</f>
        <v>0</v>
      </c>
      <c r="AS241" s="686">
        <f>IFERROR(IF($AN241="","",HLOOKUP($AN241&amp;$F241,'input for formula'!$B$22:$M$25,3,0)),0)</f>
        <v>0</v>
      </c>
      <c r="AT241" s="686">
        <f>IFERROR(IF($AN241="","",HLOOKUP($AN241&amp;RIGHT($AL241,1),'input for formula'!$B$16:$I$20,5,0)),0)</f>
        <v>0</v>
      </c>
      <c r="AU241" s="686">
        <f>IFERROR(IF($AN241="","",HLOOKUP($AN241&amp;$F241,'input for formula'!$B$22:$M$25,4,0)),0)</f>
        <v>0</v>
      </c>
      <c r="AV241" s="666">
        <f>IFERROR(IF($AN241="","",IF('Census Data'!$AN241="Abu Dhabi",VLOOKUP('Census Data'!$AM241,'input for formula'!$A$28:$C$41,3,0),VLOOKUP('Census Data'!$AM241,'input for formula'!$A$28:$C$47,2,0))),0)*IFERROR(1+IF(AN241="Dubai",VLOOKUP(F241,'Quotation for Dubai Plans'!$V$6:$X$12,3,FALSE),VLOOKUP(F241,'Quotation for Abu Dhabi Plans'!$W$6:$Y$12,3,FALSE)),0)</f>
        <v>0</v>
      </c>
      <c r="AW241" s="686">
        <f t="shared" si="146"/>
        <v>0</v>
      </c>
      <c r="AX241" s="687">
        <f>IFERROR(IF(AL241="","",IF(AN241="Dubai",HLOOKUP((AL241&amp;AM241),Deviation!$B$7:$S$8,2,0)*BF241*BH241*BI241*BG241,HLOOKUP((AL241&amp;AM241),Deviation!$B$9:$O$10,2,0)*BF241*BH241*BI241*BG241)),0)</f>
        <v>0</v>
      </c>
      <c r="AY241" s="668">
        <f>IF(AL241="","",IFERROR(IF(AL241="","",IF(AN241="Dubai",HLOOKUP(AZ241,'input for formula'!$B$3:$F$10,AO241,FALSE), IF(AND(H241="Employee",AN241="Abu Dhabi"),HLOOKUP(AZ241,'input for formula'!$I$3:$K$7,AO241,FALSE),HLOOKUP(AZ241,'input for formula'!$M$3:$O$7,AO241,FALSE)))*AX241+AP241*AQ241+AR241*AS241+AT241*AU241),0)*$AZ$3*BK241*BJ241)*IF(AND(Inputs!$C$19&gt;19,Inputs!$C$19&lt;30),(1+$AZ$2),1)</f>
        <v>0</v>
      </c>
      <c r="AZ241" s="148" t="str">
        <f t="shared" si="84"/>
        <v>Abu Dhabi0</v>
      </c>
      <c r="BA241" s="688">
        <f>IF(F241="","",IF(G241="Dubai",HLOOKUP(F241,Inputs!$C$26:$M$37,9,0),HLOOKUP(F241,Inputs!$C$45:$M$56,9,0)))</f>
        <v>0</v>
      </c>
      <c r="BB241" s="689">
        <f>IF(F241="","",IF(G241="Dubai",HLOOKUP(F241,Inputs!$C$26:$M$37,10,0),HLOOKUP(F241,Inputs!$C$45:$M$56,10,0)))</f>
        <v>0</v>
      </c>
      <c r="BC241" s="689">
        <f>IF(F241="","",IF(G241="Dubai",HLOOKUP(F241,Inputs!$C$26:$M$37,11,0),HLOOKUP(F241,Inputs!$C$45:$M$56,11,0)))</f>
        <v>0</v>
      </c>
      <c r="BD241" s="688" t="str">
        <f>IF(F241="","",IF(G241="Dubai",HLOOKUP(F241,Inputs!$C$26:$M$37,12,0),HLOOKUP(F241,Inputs!$C$45:$M$56,12,0)))</f>
        <v/>
      </c>
      <c r="BE241" s="654"/>
      <c r="BF241" s="688">
        <f>IFERROR(IF(AL241="","",IF(AN241="Dubai",IF(OR(AL241="Plan1",AL241="Plan2"),VLOOKUP(BA241,Deviation!$B$31:$D$33,2,FALSE),VLOOKUP(BA241,Deviation!$B$31:$D$33,3,FALSE)),IF(OR(AL241="Plan1",AL241="Plan2"),VLOOKUP(BA241,Deviation!$E$31:$AE$33,2,FALSE),VLOOKUP(BA241,Deviation!$E$31:$AE$33,3,FALSE)))),0)</f>
        <v>1.125</v>
      </c>
      <c r="BG241" s="690">
        <f>IFERROR(IF(AL241="","",IF(AN241="Dubai",IF(AL241="Plan1",VLOOKUP(BB241,Deviation!$B$39:$C$40,2,FALSE),IF(AL241="Plan2",VLOOKUP(BB241,Deviation!$B$42:$C$43,2,FALSE),IF(AL241="Plan5",VLOOKUP(BB241,Deviation!$B$48:$C$49,2,FALSE),VLOOKUP(BB241,Deviation!$B$45:$C$46,2,FALSE)))),IF(AL241="Plan1",VLOOKUP(BB241,Deviation!$E$39:$F$40,2,FALSE),IF(AL241="Plan2",VLOOKUP(BB241,Deviation!$E$42:$F$43,2,FALSE),VLOOKUP(BB241,Deviation!$E$45:$F$46,2,FALSE))))),0)</f>
        <v>0</v>
      </c>
      <c r="BH241" s="690">
        <f>IFERROR(IF(AL241="","",IF(AN241="Dubai",IF(OR(AL241="Plan1",AL241="Plan2"),VLOOKUP(BC241,Deviation!$B$15:$D$19,2,FALSE),VLOOKUP(BC241,Deviation!$B$15:$D$19,3,FALSE)),IF(OR(AL241="Plan1",AL241="Plan2"),VLOOKUP(BC241,Deviation!$E$15:$AE$19,2,FALSE),VLOOKUP(BC241,Deviation!$E$15:$AE$19,3,FALSE)))),0)</f>
        <v>0</v>
      </c>
      <c r="BI241" s="691">
        <f>IFERROR(IF(AL241="","",IF(AN241="Dubai",VLOOKUP(BD241,Deviation!$B$24:$C$26,2,FALSE),100%)),0)</f>
        <v>1</v>
      </c>
      <c r="BJ241" s="672">
        <f>IF(AE241="Abu Dhabi",1,IFERROR(VLOOKUP(AM241,Deviation!$B$67:$E$79,MATCH('Census Data'!AA241,Deviation!$B$66:$E$66,0),0),1))</f>
        <v>1</v>
      </c>
      <c r="BK241" s="659">
        <f>IFERROR(VLOOKUP(I241,Deviation!$B$54:$C$62,2,0),1)</f>
        <v>1</v>
      </c>
      <c r="BL241" s="148"/>
      <c r="BM241" s="148"/>
      <c r="BN241" s="148"/>
      <c r="BO241" s="148"/>
      <c r="BP241" s="148"/>
      <c r="BQ241" s="148"/>
      <c r="BR241" s="148"/>
      <c r="BS241" s="148"/>
      <c r="BT241" s="148">
        <f t="shared" si="119"/>
        <v>0</v>
      </c>
    </row>
    <row r="242" spans="1:72" ht="15" hidden="1" x14ac:dyDescent="0.25">
      <c r="A242" s="495"/>
      <c r="B242" s="470"/>
      <c r="C242" s="496"/>
      <c r="D242" s="94" t="s">
        <v>169</v>
      </c>
      <c r="E242" s="94" t="s">
        <v>173</v>
      </c>
      <c r="F242" s="94" t="s">
        <v>66</v>
      </c>
      <c r="G242" s="94" t="s">
        <v>174</v>
      </c>
      <c r="H242" s="94" t="s">
        <v>166</v>
      </c>
      <c r="I242" s="94"/>
      <c r="J242" s="80">
        <v>15</v>
      </c>
      <c r="K242" s="59">
        <f>IF(F242="","",IF(G242="Dubai",HLOOKUP(F242,Inputs!$C$26:$M$28,3,0),HLOOKUP(F242,Inputs!$C$45:$M$46,2,0)))</f>
        <v>0</v>
      </c>
      <c r="L242" s="94"/>
      <c r="M242" s="105">
        <f t="shared" si="68"/>
        <v>-2</v>
      </c>
      <c r="N242" s="654" t="b">
        <f t="shared" si="135"/>
        <v>1</v>
      </c>
      <c r="O242" s="655" t="str">
        <f t="shared" si="136"/>
        <v>x</v>
      </c>
      <c r="P242" s="655" t="str">
        <f t="shared" si="137"/>
        <v/>
      </c>
      <c r="Q242" s="655" t="str">
        <f t="shared" si="138"/>
        <v/>
      </c>
      <c r="R242" s="655" t="str">
        <f t="shared" si="139"/>
        <v/>
      </c>
      <c r="S242" s="655" t="str">
        <f t="shared" si="140"/>
        <v/>
      </c>
      <c r="T242" s="655" t="str">
        <f>IF(ISERROR(MATCH(G242,'Inputs Mapping'!$T$4:$T$5,0)),"x","")</f>
        <v/>
      </c>
      <c r="U242" s="655" t="str">
        <f>IF(ISERROR(MATCH(AA242,'Inputs Mapping'!$U$4:$U$5,0)),"x","")</f>
        <v/>
      </c>
      <c r="V242" s="655" t="str">
        <f>IF(ISERROR(MATCH(AB242,'Inputs Mapping'!$V$4:$V$5,0)),"x","")</f>
        <v/>
      </c>
      <c r="W242" s="655" t="str">
        <f>IF(ISERROR(MATCH(F242,'Inputs Mapping'!$W$4:$W$8,0)),"x","")</f>
        <v/>
      </c>
      <c r="X242" s="655" t="str">
        <f t="shared" si="141"/>
        <v/>
      </c>
      <c r="Y242" s="655" t="str">
        <f t="shared" si="142"/>
        <v/>
      </c>
      <c r="Z242" s="655" t="str">
        <f t="shared" si="76"/>
        <v/>
      </c>
      <c r="AA242" s="655" t="str">
        <f t="shared" si="114"/>
        <v>M</v>
      </c>
      <c r="AB242" s="655" t="str">
        <f t="shared" si="79"/>
        <v>S</v>
      </c>
      <c r="AC242" s="655" t="str">
        <f t="shared" si="130"/>
        <v/>
      </c>
      <c r="AD242" s="655" t="str">
        <f>IF(ISBLANK(I242),"x",IF(ISNUMBER(MATCH(I242,'Inputs Mapping'!$AF$5:$AF$199,0)),"","x"))</f>
        <v>x</v>
      </c>
      <c r="AE242" s="655" t="str">
        <f t="shared" si="115"/>
        <v>Abu Dhabi</v>
      </c>
      <c r="AF242" s="148"/>
      <c r="AG242" s="148"/>
      <c r="AH242" s="148" t="str">
        <f t="shared" si="116"/>
        <v>DAbu Dhabi</v>
      </c>
      <c r="AI242" s="654" t="str">
        <f>IF(J242="","",VLOOKUP(J242,'Inputs Mapping'!$T$27:$V$31,3))</f>
        <v>0-17</v>
      </c>
      <c r="AJ242" s="654" t="str">
        <f>IF(J242="","",VLOOKUP(J242,'Inputs Mapping'!$T$17:$V$24,3))</f>
        <v>0 - 17</v>
      </c>
      <c r="AK242" s="654">
        <f t="shared" si="143"/>
        <v>0</v>
      </c>
      <c r="AL242" s="655">
        <f t="shared" si="144"/>
        <v>0</v>
      </c>
      <c r="AM242" s="655">
        <f>IF(F242="","",IF(G242="Dubai",HLOOKUP(F242,Inputs!$C$26:$M$36,5,0),HLOOKUP(F242,Inputs!$C$45:$M$49,5,0)))</f>
        <v>0</v>
      </c>
      <c r="AN242" s="655" t="str">
        <f t="shared" si="145"/>
        <v>Abu Dhabi</v>
      </c>
      <c r="AO242" s="654">
        <f>IF(AJ242="","",IF(AN242="Dubai",VLOOKUP(AJ242,'Inputs Mapping'!$V$17:$W$24,2,0),VLOOKUP(AI242,'Inputs Mapping'!$V$27:$W$31,2,0)))</f>
        <v>2</v>
      </c>
      <c r="AP242" s="685">
        <f>IFERROR(IF($AN242="","",HLOOKUP($AN242&amp;RIGHT($AL242,1),'input for formula'!$B$16:$I$20,3,0)),0)</f>
        <v>0</v>
      </c>
      <c r="AQ242" s="686">
        <f>IFERROR(IF($AN242="","",HLOOKUP($AN242&amp;$F242,'input for formula'!$B$22:$M$25,2,0)),0)</f>
        <v>0</v>
      </c>
      <c r="AR242" s="685">
        <f>IFERROR(IF($AN242="","",HLOOKUP($AN242&amp;RIGHT($AL242,1),'input for formula'!$B$16:$I$20,4,0)),0)</f>
        <v>0</v>
      </c>
      <c r="AS242" s="686">
        <f>IFERROR(IF($AN242="","",HLOOKUP($AN242&amp;$F242,'input for formula'!$B$22:$M$25,3,0)),0)</f>
        <v>0</v>
      </c>
      <c r="AT242" s="686">
        <f>IFERROR(IF($AN242="","",HLOOKUP($AN242&amp;RIGHT($AL242,1),'input for formula'!$B$16:$I$20,5,0)),0)</f>
        <v>0</v>
      </c>
      <c r="AU242" s="686">
        <f>IFERROR(IF($AN242="","",HLOOKUP($AN242&amp;$F242,'input for formula'!$B$22:$M$25,4,0)),0)</f>
        <v>0</v>
      </c>
      <c r="AV242" s="666">
        <f>IFERROR(IF($AN242="","",IF('Census Data'!$AN242="Abu Dhabi",VLOOKUP('Census Data'!$AM242,'input for formula'!$A$28:$C$41,3,0),VLOOKUP('Census Data'!$AM242,'input for formula'!$A$28:$C$47,2,0))),0)*IFERROR(1+IF(AN242="Dubai",VLOOKUP(F242,'Quotation for Dubai Plans'!$V$6:$X$12,3,FALSE),VLOOKUP(F242,'Quotation for Abu Dhabi Plans'!$W$6:$Y$12,3,FALSE)),0)</f>
        <v>0</v>
      </c>
      <c r="AW242" s="686">
        <f t="shared" si="146"/>
        <v>0</v>
      </c>
      <c r="AX242" s="687">
        <f>IFERROR(IF(AL242="","",IF(AN242="Dubai",HLOOKUP((AL242&amp;AM242),Deviation!$B$7:$S$8,2,0)*BF242*BH242*BI242*BG242,HLOOKUP((AL242&amp;AM242),Deviation!$B$9:$O$10,2,0)*BF242*BH242*BI242*BG242)),0)</f>
        <v>0</v>
      </c>
      <c r="AY242" s="668">
        <f>IF(AL242="","",IFERROR(IF(AL242="","",IF(AN242="Dubai",HLOOKUP(AZ242,'input for formula'!$B$3:$F$10,AO242,FALSE), IF(AND(H242="Employee",AN242="Abu Dhabi"),HLOOKUP(AZ242,'input for formula'!$I$3:$K$7,AO242,FALSE),HLOOKUP(AZ242,'input for formula'!$M$3:$O$7,AO242,FALSE)))*AX242+AP242*AQ242+AR242*AS242+AT242*AU242),0)*$AZ$3*BK242*BJ242)*IF(AND(Inputs!$C$19&gt;19,Inputs!$C$19&lt;30),(1+$AZ$2),1)</f>
        <v>0</v>
      </c>
      <c r="AZ242" s="148" t="str">
        <f t="shared" si="84"/>
        <v>Abu Dhabi0</v>
      </c>
      <c r="BA242" s="688">
        <f>IF(F242="","",IF(G242="Dubai",HLOOKUP(F242,Inputs!$C$26:$M$37,9,0),HLOOKUP(F242,Inputs!$C$45:$M$56,9,0)))</f>
        <v>0</v>
      </c>
      <c r="BB242" s="689">
        <f>IF(F242="","",IF(G242="Dubai",HLOOKUP(F242,Inputs!$C$26:$M$37,10,0),HLOOKUP(F242,Inputs!$C$45:$M$56,10,0)))</f>
        <v>0</v>
      </c>
      <c r="BC242" s="689">
        <f>IF(F242="","",IF(G242="Dubai",HLOOKUP(F242,Inputs!$C$26:$M$37,11,0),HLOOKUP(F242,Inputs!$C$45:$M$56,11,0)))</f>
        <v>0</v>
      </c>
      <c r="BD242" s="688" t="str">
        <f>IF(F242="","",IF(G242="Dubai",HLOOKUP(F242,Inputs!$C$26:$M$37,12,0),HLOOKUP(F242,Inputs!$C$45:$M$56,12,0)))</f>
        <v/>
      </c>
      <c r="BE242" s="654"/>
      <c r="BF242" s="688">
        <f>IFERROR(IF(AL242="","",IF(AN242="Dubai",IF(OR(AL242="Plan1",AL242="Plan2"),VLOOKUP(BA242,Deviation!$B$31:$D$33,2,FALSE),VLOOKUP(BA242,Deviation!$B$31:$D$33,3,FALSE)),IF(OR(AL242="Plan1",AL242="Plan2"),VLOOKUP(BA242,Deviation!$E$31:$AE$33,2,FALSE),VLOOKUP(BA242,Deviation!$E$31:$AE$33,3,FALSE)))),0)</f>
        <v>1.125</v>
      </c>
      <c r="BG242" s="690">
        <f>IFERROR(IF(AL242="","",IF(AN242="Dubai",IF(AL242="Plan1",VLOOKUP(BB242,Deviation!$B$39:$C$40,2,FALSE),IF(AL242="Plan2",VLOOKUP(BB242,Deviation!$B$42:$C$43,2,FALSE),IF(AL242="Plan5",VLOOKUP(BB242,Deviation!$B$48:$C$49,2,FALSE),VLOOKUP(BB242,Deviation!$B$45:$C$46,2,FALSE)))),IF(AL242="Plan1",VLOOKUP(BB242,Deviation!$E$39:$F$40,2,FALSE),IF(AL242="Plan2",VLOOKUP(BB242,Deviation!$E$42:$F$43,2,FALSE),VLOOKUP(BB242,Deviation!$E$45:$F$46,2,FALSE))))),0)</f>
        <v>0</v>
      </c>
      <c r="BH242" s="690">
        <f>IFERROR(IF(AL242="","",IF(AN242="Dubai",IF(OR(AL242="Plan1",AL242="Plan2"),VLOOKUP(BC242,Deviation!$B$15:$D$19,2,FALSE),VLOOKUP(BC242,Deviation!$B$15:$D$19,3,FALSE)),IF(OR(AL242="Plan1",AL242="Plan2"),VLOOKUP(BC242,Deviation!$E$15:$AE$19,2,FALSE),VLOOKUP(BC242,Deviation!$E$15:$AE$19,3,FALSE)))),0)</f>
        <v>0</v>
      </c>
      <c r="BI242" s="691">
        <f>IFERROR(IF(AL242="","",IF(AN242="Dubai",VLOOKUP(BD242,Deviation!$B$24:$C$26,2,FALSE),100%)),0)</f>
        <v>1</v>
      </c>
      <c r="BJ242" s="672">
        <f>IF(AE242="Abu Dhabi",1,IFERROR(VLOOKUP(AM242,Deviation!$B$67:$E$79,MATCH('Census Data'!AA242,Deviation!$B$66:$E$66,0),0),1))</f>
        <v>1</v>
      </c>
      <c r="BK242" s="659">
        <f>IFERROR(VLOOKUP(I242,Deviation!$B$54:$C$62,2,0),1)</f>
        <v>1</v>
      </c>
      <c r="BL242" s="148"/>
      <c r="BM242" s="148"/>
      <c r="BN242" s="148"/>
      <c r="BO242" s="148"/>
      <c r="BP242" s="148"/>
      <c r="BQ242" s="148"/>
      <c r="BR242" s="148"/>
      <c r="BS242" s="148"/>
      <c r="BT242" s="148">
        <f t="shared" si="119"/>
        <v>0</v>
      </c>
    </row>
    <row r="243" spans="1:72" ht="15" hidden="1" x14ac:dyDescent="0.25">
      <c r="A243" s="495"/>
      <c r="B243" s="470"/>
      <c r="C243" s="496"/>
      <c r="D243" s="94" t="s">
        <v>169</v>
      </c>
      <c r="E243" s="94" t="s">
        <v>173</v>
      </c>
      <c r="F243" s="94" t="s">
        <v>66</v>
      </c>
      <c r="G243" s="94" t="s">
        <v>174</v>
      </c>
      <c r="H243" s="94" t="s">
        <v>166</v>
      </c>
      <c r="I243" s="94"/>
      <c r="J243" s="80">
        <v>40</v>
      </c>
      <c r="K243" s="59">
        <f>IF(F243="","",IF(G243="Dubai",HLOOKUP(F243,Inputs!$C$26:$M$28,3,0),HLOOKUP(F243,Inputs!$C$45:$M$46,2,0)))</f>
        <v>0</v>
      </c>
      <c r="L243" s="94"/>
      <c r="M243" s="105">
        <f t="shared" si="68"/>
        <v>-2</v>
      </c>
      <c r="N243" s="654" t="b">
        <f t="shared" si="135"/>
        <v>1</v>
      </c>
      <c r="O243" s="655" t="str">
        <f t="shared" si="136"/>
        <v>x</v>
      </c>
      <c r="P243" s="655" t="str">
        <f t="shared" si="137"/>
        <v/>
      </c>
      <c r="Q243" s="655" t="str">
        <f t="shared" si="138"/>
        <v/>
      </c>
      <c r="R243" s="655" t="str">
        <f t="shared" si="139"/>
        <v/>
      </c>
      <c r="S243" s="655" t="str">
        <f t="shared" si="140"/>
        <v/>
      </c>
      <c r="T243" s="655" t="str">
        <f>IF(ISERROR(MATCH(G243,'Inputs Mapping'!$T$4:$T$5,0)),"x","")</f>
        <v/>
      </c>
      <c r="U243" s="655" t="str">
        <f>IF(ISERROR(MATCH(AA243,'Inputs Mapping'!$U$4:$U$5,0)),"x","")</f>
        <v/>
      </c>
      <c r="V243" s="655" t="str">
        <f>IF(ISERROR(MATCH(AB243,'Inputs Mapping'!$V$4:$V$5,0)),"x","")</f>
        <v/>
      </c>
      <c r="W243" s="655" t="str">
        <f>IF(ISERROR(MATCH(F243,'Inputs Mapping'!$W$4:$W$8,0)),"x","")</f>
        <v/>
      </c>
      <c r="X243" s="655" t="str">
        <f t="shared" si="141"/>
        <v/>
      </c>
      <c r="Y243" s="655" t="str">
        <f t="shared" si="142"/>
        <v/>
      </c>
      <c r="Z243" s="655" t="str">
        <f t="shared" si="76"/>
        <v/>
      </c>
      <c r="AA243" s="655" t="str">
        <f t="shared" si="114"/>
        <v>M</v>
      </c>
      <c r="AB243" s="655" t="str">
        <f t="shared" si="79"/>
        <v>S</v>
      </c>
      <c r="AC243" s="655" t="str">
        <f t="shared" si="130"/>
        <v/>
      </c>
      <c r="AD243" s="655" t="str">
        <f>IF(ISBLANK(I243),"x",IF(ISNUMBER(MATCH(I243,'Inputs Mapping'!$AF$5:$AF$199,0)),"","x"))</f>
        <v>x</v>
      </c>
      <c r="AE243" s="655" t="str">
        <f t="shared" si="115"/>
        <v>Abu Dhabi</v>
      </c>
      <c r="AF243" s="148"/>
      <c r="AG243" s="148"/>
      <c r="AH243" s="148" t="str">
        <f t="shared" si="116"/>
        <v>DAbu Dhabi</v>
      </c>
      <c r="AI243" s="654" t="str">
        <f>IF(J243="","",VLOOKUP(J243,'Inputs Mapping'!$T$27:$V$31,3))</f>
        <v>18-40</v>
      </c>
      <c r="AJ243" s="654" t="str">
        <f>IF(J243="","",VLOOKUP(J243,'Inputs Mapping'!$T$17:$V$24,3))</f>
        <v>36 - 45</v>
      </c>
      <c r="AK243" s="654">
        <f t="shared" si="143"/>
        <v>0</v>
      </c>
      <c r="AL243" s="655">
        <f t="shared" si="144"/>
        <v>0</v>
      </c>
      <c r="AM243" s="655">
        <f>IF(F243="","",IF(G243="Dubai",HLOOKUP(F243,Inputs!$C$26:$M$36,5,0),HLOOKUP(F243,Inputs!$C$45:$M$49,5,0)))</f>
        <v>0</v>
      </c>
      <c r="AN243" s="655" t="str">
        <f t="shared" si="145"/>
        <v>Abu Dhabi</v>
      </c>
      <c r="AO243" s="654">
        <f>IF(AJ243="","",IF(AN243="Dubai",VLOOKUP(AJ243,'Inputs Mapping'!$V$17:$W$24,2,0),VLOOKUP(AI243,'Inputs Mapping'!$V$27:$W$31,2,0)))</f>
        <v>3</v>
      </c>
      <c r="AP243" s="685">
        <f>IFERROR(IF($AN243="","",HLOOKUP($AN243&amp;RIGHT($AL243,1),'input for formula'!$B$16:$I$20,3,0)),0)</f>
        <v>0</v>
      </c>
      <c r="AQ243" s="686">
        <f>IFERROR(IF($AN243="","",HLOOKUP($AN243&amp;$F243,'input for formula'!$B$22:$M$25,2,0)),0)</f>
        <v>0</v>
      </c>
      <c r="AR243" s="685">
        <f>IFERROR(IF($AN243="","",HLOOKUP($AN243&amp;RIGHT($AL243,1),'input for formula'!$B$16:$I$20,4,0)),0)</f>
        <v>0</v>
      </c>
      <c r="AS243" s="686">
        <f>IFERROR(IF($AN243="","",HLOOKUP($AN243&amp;$F243,'input for formula'!$B$22:$M$25,3,0)),0)</f>
        <v>0</v>
      </c>
      <c r="AT243" s="686">
        <f>IFERROR(IF($AN243="","",HLOOKUP($AN243&amp;RIGHT($AL243,1),'input for formula'!$B$16:$I$20,5,0)),0)</f>
        <v>0</v>
      </c>
      <c r="AU243" s="686">
        <f>IFERROR(IF($AN243="","",HLOOKUP($AN243&amp;$F243,'input for formula'!$B$22:$M$25,4,0)),0)</f>
        <v>0</v>
      </c>
      <c r="AV243" s="666">
        <f>IFERROR(IF($AN243="","",IF('Census Data'!$AN243="Abu Dhabi",VLOOKUP('Census Data'!$AM243,'input for formula'!$A$28:$C$41,3,0),VLOOKUP('Census Data'!$AM243,'input for formula'!$A$28:$C$47,2,0))),0)*IFERROR(1+IF(AN243="Dubai",VLOOKUP(F243,'Quotation for Dubai Plans'!$V$6:$X$12,3,FALSE),VLOOKUP(F243,'Quotation for Abu Dhabi Plans'!$W$6:$Y$12,3,FALSE)),0)</f>
        <v>0</v>
      </c>
      <c r="AW243" s="686">
        <f t="shared" si="146"/>
        <v>0</v>
      </c>
      <c r="AX243" s="687">
        <f>IFERROR(IF(AL243="","",IF(AN243="Dubai",HLOOKUP((AL243&amp;AM243),Deviation!$B$7:$S$8,2,0)*BF243*BH243*BI243*BG243,HLOOKUP((AL243&amp;AM243),Deviation!$B$9:$O$10,2,0)*BF243*BH243*BI243*BG243)),0)</f>
        <v>0</v>
      </c>
      <c r="AY243" s="668">
        <f>IF(AL243="","",IFERROR(IF(AL243="","",IF(AN243="Dubai",HLOOKUP(AZ243,'input for formula'!$B$3:$F$10,AO243,FALSE), IF(AND(H243="Employee",AN243="Abu Dhabi"),HLOOKUP(AZ243,'input for formula'!$I$3:$K$7,AO243,FALSE),HLOOKUP(AZ243,'input for formula'!$M$3:$O$7,AO243,FALSE)))*AX243+AP243*AQ243+AR243*AS243+AT243*AU243),0)*$AZ$3*BK243*BJ243)*IF(AND(Inputs!$C$19&gt;19,Inputs!$C$19&lt;30),(1+$AZ$2),1)</f>
        <v>0</v>
      </c>
      <c r="AZ243" s="148" t="str">
        <f t="shared" si="84"/>
        <v>Abu Dhabi0</v>
      </c>
      <c r="BA243" s="688">
        <f>IF(F243="","",IF(G243="Dubai",HLOOKUP(F243,Inputs!$C$26:$M$37,9,0),HLOOKUP(F243,Inputs!$C$45:$M$56,9,0)))</f>
        <v>0</v>
      </c>
      <c r="BB243" s="689">
        <f>IF(F243="","",IF(G243="Dubai",HLOOKUP(F243,Inputs!$C$26:$M$37,10,0),HLOOKUP(F243,Inputs!$C$45:$M$56,10,0)))</f>
        <v>0</v>
      </c>
      <c r="BC243" s="689">
        <f>IF(F243="","",IF(G243="Dubai",HLOOKUP(F243,Inputs!$C$26:$M$37,11,0),HLOOKUP(F243,Inputs!$C$45:$M$56,11,0)))</f>
        <v>0</v>
      </c>
      <c r="BD243" s="688" t="str">
        <f>IF(F243="","",IF(G243="Dubai",HLOOKUP(F243,Inputs!$C$26:$M$37,12,0),HLOOKUP(F243,Inputs!$C$45:$M$56,12,0)))</f>
        <v/>
      </c>
      <c r="BE243" s="654"/>
      <c r="BF243" s="688">
        <f>IFERROR(IF(AL243="","",IF(AN243="Dubai",IF(OR(AL243="Plan1",AL243="Plan2"),VLOOKUP(BA243,Deviation!$B$31:$D$33,2,FALSE),VLOOKUP(BA243,Deviation!$B$31:$D$33,3,FALSE)),IF(OR(AL243="Plan1",AL243="Plan2"),VLOOKUP(BA243,Deviation!$E$31:$AE$33,2,FALSE),VLOOKUP(BA243,Deviation!$E$31:$AE$33,3,FALSE)))),0)</f>
        <v>1.125</v>
      </c>
      <c r="BG243" s="690">
        <f>IFERROR(IF(AL243="","",IF(AN243="Dubai",IF(AL243="Plan1",VLOOKUP(BB243,Deviation!$B$39:$C$40,2,FALSE),IF(AL243="Plan2",VLOOKUP(BB243,Deviation!$B$42:$C$43,2,FALSE),IF(AL243="Plan5",VLOOKUP(BB243,Deviation!$B$48:$C$49,2,FALSE),VLOOKUP(BB243,Deviation!$B$45:$C$46,2,FALSE)))),IF(AL243="Plan1",VLOOKUP(BB243,Deviation!$E$39:$F$40,2,FALSE),IF(AL243="Plan2",VLOOKUP(BB243,Deviation!$E$42:$F$43,2,FALSE),VLOOKUP(BB243,Deviation!$E$45:$F$46,2,FALSE))))),0)</f>
        <v>0</v>
      </c>
      <c r="BH243" s="690">
        <f>IFERROR(IF(AL243="","",IF(AN243="Dubai",IF(OR(AL243="Plan1",AL243="Plan2"),VLOOKUP(BC243,Deviation!$B$15:$D$19,2,FALSE),VLOOKUP(BC243,Deviation!$B$15:$D$19,3,FALSE)),IF(OR(AL243="Plan1",AL243="Plan2"),VLOOKUP(BC243,Deviation!$E$15:$AE$19,2,FALSE),VLOOKUP(BC243,Deviation!$E$15:$AE$19,3,FALSE)))),0)</f>
        <v>0</v>
      </c>
      <c r="BI243" s="691">
        <f>IFERROR(IF(AL243="","",IF(AN243="Dubai",VLOOKUP(BD243,Deviation!$B$24:$C$26,2,FALSE),100%)),0)</f>
        <v>1</v>
      </c>
      <c r="BJ243" s="672">
        <f>IF(AE243="Abu Dhabi",1,IFERROR(VLOOKUP(AM243,Deviation!$B$67:$E$79,MATCH('Census Data'!AA243,Deviation!$B$66:$E$66,0),0),1))</f>
        <v>1</v>
      </c>
      <c r="BK243" s="659">
        <f>IFERROR(VLOOKUP(I243,Deviation!$B$54:$C$62,2,0),1)</f>
        <v>1</v>
      </c>
      <c r="BL243" s="148"/>
      <c r="BM243" s="148"/>
      <c r="BN243" s="148"/>
      <c r="BO243" s="148"/>
      <c r="BP243" s="148"/>
      <c r="BQ243" s="148"/>
      <c r="BR243" s="148"/>
      <c r="BS243" s="148"/>
      <c r="BT243" s="148">
        <f t="shared" si="119"/>
        <v>0</v>
      </c>
    </row>
    <row r="244" spans="1:72" ht="15" hidden="1" x14ac:dyDescent="0.25">
      <c r="A244" s="495"/>
      <c r="B244" s="470"/>
      <c r="C244" s="496"/>
      <c r="D244" s="94" t="s">
        <v>169</v>
      </c>
      <c r="E244" s="94" t="s">
        <v>173</v>
      </c>
      <c r="F244" s="94" t="s">
        <v>66</v>
      </c>
      <c r="G244" s="94" t="s">
        <v>174</v>
      </c>
      <c r="H244" s="94" t="s">
        <v>166</v>
      </c>
      <c r="I244" s="94"/>
      <c r="J244" s="80">
        <v>59</v>
      </c>
      <c r="K244" s="59">
        <f>IF(F244="","",IF(G244="Dubai",HLOOKUP(F244,Inputs!$C$26:$M$28,3,0),HLOOKUP(F244,Inputs!$C$45:$M$46,2,0)))</f>
        <v>0</v>
      </c>
      <c r="L244" s="94"/>
      <c r="M244" s="105">
        <f t="shared" si="68"/>
        <v>-2</v>
      </c>
      <c r="N244" s="654" t="b">
        <f t="shared" si="135"/>
        <v>1</v>
      </c>
      <c r="O244" s="655" t="str">
        <f t="shared" si="136"/>
        <v>x</v>
      </c>
      <c r="P244" s="655" t="str">
        <f t="shared" si="137"/>
        <v/>
      </c>
      <c r="Q244" s="655" t="str">
        <f t="shared" si="138"/>
        <v/>
      </c>
      <c r="R244" s="655" t="str">
        <f t="shared" si="139"/>
        <v/>
      </c>
      <c r="S244" s="655" t="str">
        <f t="shared" si="140"/>
        <v/>
      </c>
      <c r="T244" s="655" t="str">
        <f>IF(ISERROR(MATCH(G244,'Inputs Mapping'!$T$4:$T$5,0)),"x","")</f>
        <v/>
      </c>
      <c r="U244" s="655" t="str">
        <f>IF(ISERROR(MATCH(AA244,'Inputs Mapping'!$U$4:$U$5,0)),"x","")</f>
        <v/>
      </c>
      <c r="V244" s="655" t="str">
        <f>IF(ISERROR(MATCH(AB244,'Inputs Mapping'!$V$4:$V$5,0)),"x","")</f>
        <v/>
      </c>
      <c r="W244" s="655" t="str">
        <f>IF(ISERROR(MATCH(F244,'Inputs Mapping'!$W$4:$W$8,0)),"x","")</f>
        <v/>
      </c>
      <c r="X244" s="655" t="str">
        <f t="shared" si="141"/>
        <v/>
      </c>
      <c r="Y244" s="655" t="str">
        <f t="shared" si="142"/>
        <v/>
      </c>
      <c r="Z244" s="655" t="str">
        <f t="shared" si="76"/>
        <v/>
      </c>
      <c r="AA244" s="655" t="str">
        <f t="shared" si="114"/>
        <v>M</v>
      </c>
      <c r="AB244" s="655" t="str">
        <f t="shared" si="79"/>
        <v>S</v>
      </c>
      <c r="AC244" s="655" t="str">
        <f t="shared" si="130"/>
        <v/>
      </c>
      <c r="AD244" s="655" t="str">
        <f>IF(ISBLANK(I244),"x",IF(ISNUMBER(MATCH(I244,'Inputs Mapping'!$AF$5:$AF$199,0)),"","x"))</f>
        <v>x</v>
      </c>
      <c r="AE244" s="655" t="str">
        <f t="shared" si="115"/>
        <v>Abu Dhabi</v>
      </c>
      <c r="AF244" s="148"/>
      <c r="AG244" s="148"/>
      <c r="AH244" s="148" t="str">
        <f t="shared" si="116"/>
        <v>DAbu Dhabi</v>
      </c>
      <c r="AI244" s="654" t="str">
        <f>IF(J244="","",VLOOKUP(J244,'Inputs Mapping'!$T$27:$V$31,3))</f>
        <v>41-59</v>
      </c>
      <c r="AJ244" s="654" t="str">
        <f>IF(J244="","",VLOOKUP(J244,'Inputs Mapping'!$T$17:$V$24,3))</f>
        <v>56 - 60</v>
      </c>
      <c r="AK244" s="654">
        <f t="shared" si="143"/>
        <v>0</v>
      </c>
      <c r="AL244" s="655">
        <f t="shared" si="144"/>
        <v>0</v>
      </c>
      <c r="AM244" s="655">
        <f>IF(F244="","",IF(G244="Dubai",HLOOKUP(F244,Inputs!$C$26:$M$36,5,0),HLOOKUP(F244,Inputs!$C$45:$M$49,5,0)))</f>
        <v>0</v>
      </c>
      <c r="AN244" s="655" t="str">
        <f t="shared" si="145"/>
        <v>Abu Dhabi</v>
      </c>
      <c r="AO244" s="654">
        <f>IF(AJ244="","",IF(AN244="Dubai",VLOOKUP(AJ244,'Inputs Mapping'!$V$17:$W$24,2,0),VLOOKUP(AI244,'Inputs Mapping'!$V$27:$W$31,2,0)))</f>
        <v>4</v>
      </c>
      <c r="AP244" s="685">
        <f>IFERROR(IF($AN244="","",HLOOKUP($AN244&amp;RIGHT($AL244,1),'input for formula'!$B$16:$I$20,3,0)),0)</f>
        <v>0</v>
      </c>
      <c r="AQ244" s="686">
        <f>IFERROR(IF($AN244="","",HLOOKUP($AN244&amp;$F244,'input for formula'!$B$22:$M$25,2,0)),0)</f>
        <v>0</v>
      </c>
      <c r="AR244" s="685">
        <f>IFERROR(IF($AN244="","",HLOOKUP($AN244&amp;RIGHT($AL244,1),'input for formula'!$B$16:$I$20,4,0)),0)</f>
        <v>0</v>
      </c>
      <c r="AS244" s="686">
        <f>IFERROR(IF($AN244="","",HLOOKUP($AN244&amp;$F244,'input for formula'!$B$22:$M$25,3,0)),0)</f>
        <v>0</v>
      </c>
      <c r="AT244" s="686">
        <f>IFERROR(IF($AN244="","",HLOOKUP($AN244&amp;RIGHT($AL244,1),'input for formula'!$B$16:$I$20,5,0)),0)</f>
        <v>0</v>
      </c>
      <c r="AU244" s="686">
        <f>IFERROR(IF($AN244="","",HLOOKUP($AN244&amp;$F244,'input for formula'!$B$22:$M$25,4,0)),0)</f>
        <v>0</v>
      </c>
      <c r="AV244" s="666">
        <f>IFERROR(IF($AN244="","",IF('Census Data'!$AN244="Abu Dhabi",VLOOKUP('Census Data'!$AM244,'input for formula'!$A$28:$C$41,3,0),VLOOKUP('Census Data'!$AM244,'input for formula'!$A$28:$C$47,2,0))),0)*IFERROR(1+IF(AN244="Dubai",VLOOKUP(F244,'Quotation for Dubai Plans'!$V$6:$X$12,3,FALSE),VLOOKUP(F244,'Quotation for Abu Dhabi Plans'!$W$6:$Y$12,3,FALSE)),0)</f>
        <v>0</v>
      </c>
      <c r="AW244" s="686">
        <f t="shared" si="146"/>
        <v>0</v>
      </c>
      <c r="AX244" s="687">
        <f>IFERROR(IF(AL244="","",IF(AN244="Dubai",HLOOKUP((AL244&amp;AM244),Deviation!$B$7:$S$8,2,0)*BF244*BH244*BI244*BG244,HLOOKUP((AL244&amp;AM244),Deviation!$B$9:$O$10,2,0)*BF244*BH244*BI244*BG244)),0)</f>
        <v>0</v>
      </c>
      <c r="AY244" s="668">
        <f>IF(AL244="","",IFERROR(IF(AL244="","",IF(AN244="Dubai",HLOOKUP(AZ244,'input for formula'!$B$3:$F$10,AO244,FALSE), IF(AND(H244="Employee",AN244="Abu Dhabi"),HLOOKUP(AZ244,'input for formula'!$I$3:$K$7,AO244,FALSE),HLOOKUP(AZ244,'input for formula'!$M$3:$O$7,AO244,FALSE)))*AX244+AP244*AQ244+AR244*AS244+AT244*AU244),0)*$AZ$3*BK244*BJ244)*IF(AND(Inputs!$C$19&gt;19,Inputs!$C$19&lt;30),(1+$AZ$2),1)</f>
        <v>0</v>
      </c>
      <c r="AZ244" s="148" t="str">
        <f t="shared" si="84"/>
        <v>Abu Dhabi0</v>
      </c>
      <c r="BA244" s="688">
        <f>IF(F244="","",IF(G244="Dubai",HLOOKUP(F244,Inputs!$C$26:$M$37,9,0),HLOOKUP(F244,Inputs!$C$45:$M$56,9,0)))</f>
        <v>0</v>
      </c>
      <c r="BB244" s="689">
        <f>IF(F244="","",IF(G244="Dubai",HLOOKUP(F244,Inputs!$C$26:$M$37,10,0),HLOOKUP(F244,Inputs!$C$45:$M$56,10,0)))</f>
        <v>0</v>
      </c>
      <c r="BC244" s="689">
        <f>IF(F244="","",IF(G244="Dubai",HLOOKUP(F244,Inputs!$C$26:$M$37,11,0),HLOOKUP(F244,Inputs!$C$45:$M$56,11,0)))</f>
        <v>0</v>
      </c>
      <c r="BD244" s="688" t="str">
        <f>IF(F244="","",IF(G244="Dubai",HLOOKUP(F244,Inputs!$C$26:$M$37,12,0),HLOOKUP(F244,Inputs!$C$45:$M$56,12,0)))</f>
        <v/>
      </c>
      <c r="BE244" s="654"/>
      <c r="BF244" s="688">
        <f>IFERROR(IF(AL244="","",IF(AN244="Dubai",IF(OR(AL244="Plan1",AL244="Plan2"),VLOOKUP(BA244,Deviation!$B$31:$D$33,2,FALSE),VLOOKUP(BA244,Deviation!$B$31:$D$33,3,FALSE)),IF(OR(AL244="Plan1",AL244="Plan2"),VLOOKUP(BA244,Deviation!$E$31:$AE$33,2,FALSE),VLOOKUP(BA244,Deviation!$E$31:$AE$33,3,FALSE)))),0)</f>
        <v>1.125</v>
      </c>
      <c r="BG244" s="690">
        <f>IFERROR(IF(AL244="","",IF(AN244="Dubai",IF(AL244="Plan1",VLOOKUP(BB244,Deviation!$B$39:$C$40,2,FALSE),IF(AL244="Plan2",VLOOKUP(BB244,Deviation!$B$42:$C$43,2,FALSE),IF(AL244="Plan5",VLOOKUP(BB244,Deviation!$B$48:$C$49,2,FALSE),VLOOKUP(BB244,Deviation!$B$45:$C$46,2,FALSE)))),IF(AL244="Plan1",VLOOKUP(BB244,Deviation!$E$39:$F$40,2,FALSE),IF(AL244="Plan2",VLOOKUP(BB244,Deviation!$E$42:$F$43,2,FALSE),VLOOKUP(BB244,Deviation!$E$45:$F$46,2,FALSE))))),0)</f>
        <v>0</v>
      </c>
      <c r="BH244" s="690">
        <f>IFERROR(IF(AL244="","",IF(AN244="Dubai",IF(OR(AL244="Plan1",AL244="Plan2"),VLOOKUP(BC244,Deviation!$B$15:$D$19,2,FALSE),VLOOKUP(BC244,Deviation!$B$15:$D$19,3,FALSE)),IF(OR(AL244="Plan1",AL244="Plan2"),VLOOKUP(BC244,Deviation!$E$15:$AE$19,2,FALSE),VLOOKUP(BC244,Deviation!$E$15:$AE$19,3,FALSE)))),0)</f>
        <v>0</v>
      </c>
      <c r="BI244" s="691">
        <f>IFERROR(IF(AL244="","",IF(AN244="Dubai",VLOOKUP(BD244,Deviation!$B$24:$C$26,2,FALSE),100%)),0)</f>
        <v>1</v>
      </c>
      <c r="BJ244" s="672">
        <f>IF(AE244="Abu Dhabi",1,IFERROR(VLOOKUP(AM244,Deviation!$B$67:$E$79,MATCH('Census Data'!AA244,Deviation!$B$66:$E$66,0),0),1))</f>
        <v>1</v>
      </c>
      <c r="BK244" s="659">
        <f>IFERROR(VLOOKUP(I244,Deviation!$B$54:$C$62,2,0),1)</f>
        <v>1</v>
      </c>
      <c r="BL244" s="148"/>
      <c r="BM244" s="148"/>
      <c r="BN244" s="148"/>
      <c r="BO244" s="148"/>
      <c r="BP244" s="148"/>
      <c r="BQ244" s="148"/>
      <c r="BR244" s="148"/>
      <c r="BS244" s="148"/>
      <c r="BT244" s="148">
        <f t="shared" si="119"/>
        <v>0</v>
      </c>
    </row>
    <row r="245" spans="1:72" ht="15" hidden="1" x14ac:dyDescent="0.25">
      <c r="A245" s="495"/>
      <c r="B245" s="470"/>
      <c r="C245" s="496"/>
      <c r="D245" s="94" t="s">
        <v>169</v>
      </c>
      <c r="E245" s="94" t="s">
        <v>173</v>
      </c>
      <c r="F245" s="94" t="s">
        <v>66</v>
      </c>
      <c r="G245" s="94" t="s">
        <v>174</v>
      </c>
      <c r="H245" s="94" t="s">
        <v>166</v>
      </c>
      <c r="I245" s="94"/>
      <c r="J245" s="80">
        <v>67</v>
      </c>
      <c r="K245" s="59">
        <f>IF(F245="","",IF(G245="Dubai",HLOOKUP(F245,Inputs!$C$26:$M$28,3,0),HLOOKUP(F245,Inputs!$C$45:$M$46,2,0)))</f>
        <v>0</v>
      </c>
      <c r="L245" s="94"/>
      <c r="M245" s="105">
        <f t="shared" si="68"/>
        <v>-2</v>
      </c>
      <c r="N245" s="654" t="b">
        <f t="shared" ref="N245:N301" si="147">NOT(AND(ISBLANK(C245),ISBLANK(D245),ISBLANK(E245),ISBLANK(F245),ISBLANK(G245)))</f>
        <v>1</v>
      </c>
      <c r="O245" s="655" t="str">
        <f t="shared" ref="O245:O301" si="148">IF(ISBLANK(C245),"x","")</f>
        <v>x</v>
      </c>
      <c r="P245" s="655" t="str">
        <f t="shared" ref="P245:P301" si="149">IF(ISBLANK(D245),"x","")</f>
        <v/>
      </c>
      <c r="Q245" s="655" t="str">
        <f t="shared" ref="Q245:Q301" si="150">IF(ISBLANK(E245),"x","")</f>
        <v/>
      </c>
      <c r="R245" s="655" t="str">
        <f t="shared" ref="R245:R301" si="151">IF(ISBLANK(F245),"x","")</f>
        <v/>
      </c>
      <c r="S245" s="655" t="str">
        <f t="shared" ref="S245:S301" si="152">IF(ISBLANK(G245),"x","")</f>
        <v/>
      </c>
      <c r="T245" s="655" t="str">
        <f>IF(ISERROR(MATCH(G245,'Inputs Mapping'!$T$4:$T$5,0)),"x","")</f>
        <v/>
      </c>
      <c r="U245" s="655" t="str">
        <f>IF(ISERROR(MATCH(AA245,'Inputs Mapping'!$U$4:$U$5,0)),"x","")</f>
        <v/>
      </c>
      <c r="V245" s="655" t="str">
        <f>IF(ISERROR(MATCH(AB245,'Inputs Mapping'!$V$4:$V$5,0)),"x","")</f>
        <v/>
      </c>
      <c r="W245" s="655" t="str">
        <f>IF(ISERROR(MATCH(F245,'Inputs Mapping'!$W$4:$W$8,0)),"x","")</f>
        <v/>
      </c>
      <c r="X245" s="655" t="str">
        <f t="shared" ref="X245:X301" si="153">IF(ISBLANK(C245),"",IF(OR(ISERROR(J245),NOT(ISNUMBER(C245))),"x",""))</f>
        <v/>
      </c>
      <c r="Y245" s="655" t="str">
        <f t="shared" ref="Y245:Y301" si="154">IF(ISBLANK(C245),"",IF(ISERROR(J245),"",""))</f>
        <v/>
      </c>
      <c r="Z245" s="655" t="str">
        <f t="shared" si="76"/>
        <v/>
      </c>
      <c r="AA245" s="655" t="str">
        <f t="shared" si="114"/>
        <v>M</v>
      </c>
      <c r="AB245" s="655" t="str">
        <f t="shared" si="79"/>
        <v>S</v>
      </c>
      <c r="AC245" s="655" t="str">
        <f t="shared" si="130"/>
        <v/>
      </c>
      <c r="AD245" s="655" t="str">
        <f>IF(ISBLANK(I245),"x",IF(ISNUMBER(MATCH(I245,'Inputs Mapping'!$AF$5:$AF$199,0)),"","x"))</f>
        <v>x</v>
      </c>
      <c r="AE245" s="655" t="str">
        <f t="shared" si="115"/>
        <v>Abu Dhabi</v>
      </c>
      <c r="AF245" s="148"/>
      <c r="AG245" s="148"/>
      <c r="AH245" s="148" t="str">
        <f t="shared" si="116"/>
        <v>DAbu Dhabi</v>
      </c>
      <c r="AI245" s="654" t="str">
        <f>IF(J245="","",VLOOKUP(J245,'Inputs Mapping'!$T$27:$V$31,3))</f>
        <v>60-69</v>
      </c>
      <c r="AJ245" s="654" t="str">
        <f>IF(J245="","",VLOOKUP(J245,'Inputs Mapping'!$T$17:$V$24,3))</f>
        <v>66 - 69</v>
      </c>
      <c r="AK245" s="654">
        <f t="shared" ref="AK245:AK301" si="155">IF(G245="Dubai",IF(J245="","",1*AND(LEFT(AA245)="F",LEFT(AB245)="M",J245&gt;=$AK$3,J245&lt;$AK$4+1)),IF(J245="","",1*AND(LEFT(AA245)="F",LEFT(AB245)="M",J245&gt;=$AJ$3,J245&lt;$AJ$4+1)))</f>
        <v>0</v>
      </c>
      <c r="AL245" s="655">
        <f t="shared" ref="AL245:AL301" si="156">K245</f>
        <v>0</v>
      </c>
      <c r="AM245" s="655">
        <f>IF(F245="","",IF(G245="Dubai",HLOOKUP(F245,Inputs!$C$26:$M$36,5,0),HLOOKUP(F245,Inputs!$C$45:$M$49,5,0)))</f>
        <v>0</v>
      </c>
      <c r="AN245" s="655" t="str">
        <f t="shared" ref="AN245:AN301" si="157">G245</f>
        <v>Abu Dhabi</v>
      </c>
      <c r="AO245" s="654">
        <f>IF(AJ245="","",IF(AN245="Dubai",VLOOKUP(AJ245,'Inputs Mapping'!$V$17:$W$24,2,0),VLOOKUP(AI245,'Inputs Mapping'!$V$27:$W$31,2,0)))</f>
        <v>5</v>
      </c>
      <c r="AP245" s="685">
        <f>IFERROR(IF($AN245="","",HLOOKUP($AN245&amp;RIGHT($AL245,1),'input for formula'!$B$16:$I$20,3,0)),0)</f>
        <v>0</v>
      </c>
      <c r="AQ245" s="686">
        <f>IFERROR(IF($AN245="","",HLOOKUP($AN245&amp;$F245,'input for formula'!$B$22:$M$25,2,0)),0)</f>
        <v>0</v>
      </c>
      <c r="AR245" s="685">
        <f>IFERROR(IF($AN245="","",HLOOKUP($AN245&amp;RIGHT($AL245,1),'input for formula'!$B$16:$I$20,4,0)),0)</f>
        <v>0</v>
      </c>
      <c r="AS245" s="686">
        <f>IFERROR(IF($AN245="","",HLOOKUP($AN245&amp;$F245,'input for formula'!$B$22:$M$25,3,0)),0)</f>
        <v>0</v>
      </c>
      <c r="AT245" s="686">
        <f>IFERROR(IF($AN245="","",HLOOKUP($AN245&amp;RIGHT($AL245,1),'input for formula'!$B$16:$I$20,5,0)),0)</f>
        <v>0</v>
      </c>
      <c r="AU245" s="686">
        <f>IFERROR(IF($AN245="","",HLOOKUP($AN245&amp;$F245,'input for formula'!$B$22:$M$25,4,0)),0)</f>
        <v>0</v>
      </c>
      <c r="AV245" s="666">
        <f>IFERROR(IF($AN245="","",IF('Census Data'!$AN245="Abu Dhabi",VLOOKUP('Census Data'!$AM245,'input for formula'!$A$28:$C$41,3,0),VLOOKUP('Census Data'!$AM245,'input for formula'!$A$28:$C$47,2,0))),0)*IFERROR(1+IF(AN245="Dubai",VLOOKUP(F245,'Quotation for Dubai Plans'!$V$6:$X$12,3,FALSE),VLOOKUP(F245,'Quotation for Abu Dhabi Plans'!$W$6:$Y$12,3,FALSE)),0)</f>
        <v>0</v>
      </c>
      <c r="AW245" s="686">
        <f t="shared" ref="AW245:AW301" si="158">AK245</f>
        <v>0</v>
      </c>
      <c r="AX245" s="687">
        <f>IFERROR(IF(AL245="","",IF(AN245="Dubai",HLOOKUP((AL245&amp;AM245),Deviation!$B$7:$S$8,2,0)*BF245*BH245*BI245*BG245,HLOOKUP((AL245&amp;AM245),Deviation!$B$9:$O$10,2,0)*BF245*BH245*BI245*BG245)),0)</f>
        <v>0</v>
      </c>
      <c r="AY245" s="668">
        <f>IF(AL245="","",IFERROR(IF(AL245="","",IF(AN245="Dubai",HLOOKUP(AZ245,'input for formula'!$B$3:$F$10,AO245,FALSE), IF(AND(H245="Employee",AN245="Abu Dhabi"),HLOOKUP(AZ245,'input for formula'!$I$3:$K$7,AO245,FALSE),HLOOKUP(AZ245,'input for formula'!$M$3:$O$7,AO245,FALSE)))*AX245+AP245*AQ245+AR245*AS245+AT245*AU245),0)*$AZ$3*BK245*BJ245)*IF(AND(Inputs!$C$19&gt;19,Inputs!$C$19&lt;30),(1+$AZ$2),1)</f>
        <v>0</v>
      </c>
      <c r="AZ245" s="148" t="str">
        <f t="shared" si="84"/>
        <v>Abu Dhabi0</v>
      </c>
      <c r="BA245" s="688">
        <f>IF(F245="","",IF(G245="Dubai",HLOOKUP(F245,Inputs!$C$26:$M$37,9,0),HLOOKUP(F245,Inputs!$C$45:$M$56,9,0)))</f>
        <v>0</v>
      </c>
      <c r="BB245" s="689">
        <f>IF(F245="","",IF(G245="Dubai",HLOOKUP(F245,Inputs!$C$26:$M$37,10,0),HLOOKUP(F245,Inputs!$C$45:$M$56,10,0)))</f>
        <v>0</v>
      </c>
      <c r="BC245" s="689">
        <f>IF(F245="","",IF(G245="Dubai",HLOOKUP(F245,Inputs!$C$26:$M$37,11,0),HLOOKUP(F245,Inputs!$C$45:$M$56,11,0)))</f>
        <v>0</v>
      </c>
      <c r="BD245" s="688" t="str">
        <f>IF(F245="","",IF(G245="Dubai",HLOOKUP(F245,Inputs!$C$26:$M$37,12,0),HLOOKUP(F245,Inputs!$C$45:$M$56,12,0)))</f>
        <v/>
      </c>
      <c r="BE245" s="654"/>
      <c r="BF245" s="688">
        <f>IFERROR(IF(AL245="","",IF(AN245="Dubai",IF(OR(AL245="Plan1",AL245="Plan2"),VLOOKUP(BA245,Deviation!$B$31:$D$33,2,FALSE),VLOOKUP(BA245,Deviation!$B$31:$D$33,3,FALSE)),IF(OR(AL245="Plan1",AL245="Plan2"),VLOOKUP(BA245,Deviation!$E$31:$AE$33,2,FALSE),VLOOKUP(BA245,Deviation!$E$31:$AE$33,3,FALSE)))),0)</f>
        <v>1.125</v>
      </c>
      <c r="BG245" s="690">
        <f>IFERROR(IF(AL245="","",IF(AN245="Dubai",IF(AL245="Plan1",VLOOKUP(BB245,Deviation!$B$39:$C$40,2,FALSE),IF(AL245="Plan2",VLOOKUP(BB245,Deviation!$B$42:$C$43,2,FALSE),IF(AL245="Plan5",VLOOKUP(BB245,Deviation!$B$48:$C$49,2,FALSE),VLOOKUP(BB245,Deviation!$B$45:$C$46,2,FALSE)))),IF(AL245="Plan1",VLOOKUP(BB245,Deviation!$E$39:$F$40,2,FALSE),IF(AL245="Plan2",VLOOKUP(BB245,Deviation!$E$42:$F$43,2,FALSE),VLOOKUP(BB245,Deviation!$E$45:$F$46,2,FALSE))))),0)</f>
        <v>0</v>
      </c>
      <c r="BH245" s="690">
        <f>IFERROR(IF(AL245="","",IF(AN245="Dubai",IF(OR(AL245="Plan1",AL245="Plan2"),VLOOKUP(BC245,Deviation!$B$15:$D$19,2,FALSE),VLOOKUP(BC245,Deviation!$B$15:$D$19,3,FALSE)),IF(OR(AL245="Plan1",AL245="Plan2"),VLOOKUP(BC245,Deviation!$E$15:$AE$19,2,FALSE),VLOOKUP(BC245,Deviation!$E$15:$AE$19,3,FALSE)))),0)</f>
        <v>0</v>
      </c>
      <c r="BI245" s="691">
        <f>IFERROR(IF(AL245="","",IF(AN245="Dubai",VLOOKUP(BD245,Deviation!$B$24:$C$26,2,FALSE),100%)),0)</f>
        <v>1</v>
      </c>
      <c r="BJ245" s="672">
        <f>IF(AE245="Abu Dhabi",1,IFERROR(VLOOKUP(AM245,Deviation!$B$67:$E$79,MATCH('Census Data'!AA245,Deviation!$B$66:$E$66,0),0),1))</f>
        <v>1</v>
      </c>
      <c r="BK245" s="659">
        <f>IFERROR(VLOOKUP(I245,Deviation!$B$54:$C$62,2,0),1)</f>
        <v>1</v>
      </c>
      <c r="BL245" s="148"/>
      <c r="BM245" s="148"/>
      <c r="BN245" s="148"/>
      <c r="BO245" s="148"/>
      <c r="BP245" s="148"/>
      <c r="BQ245" s="148"/>
      <c r="BR245" s="148"/>
      <c r="BS245" s="148"/>
      <c r="BT245" s="148">
        <f t="shared" si="119"/>
        <v>0</v>
      </c>
    </row>
    <row r="246" spans="1:72" ht="15" hidden="1" x14ac:dyDescent="0.25">
      <c r="A246" s="495"/>
      <c r="B246" s="470"/>
      <c r="C246" s="496"/>
      <c r="D246" s="94" t="s">
        <v>169</v>
      </c>
      <c r="E246" s="94" t="s">
        <v>173</v>
      </c>
      <c r="F246" s="94" t="s">
        <v>67</v>
      </c>
      <c r="G246" s="94" t="s">
        <v>174</v>
      </c>
      <c r="H246" s="94" t="s">
        <v>166</v>
      </c>
      <c r="I246" s="94"/>
      <c r="J246" s="80">
        <v>15</v>
      </c>
      <c r="K246" s="59">
        <f>IF(F246="","",IF(G246="Dubai",HLOOKUP(F246,Inputs!$C$26:$M$28,3,0),HLOOKUP(F246,Inputs!$C$45:$M$46,2,0)))</f>
        <v>0</v>
      </c>
      <c r="L246" s="94"/>
      <c r="M246" s="105">
        <f t="shared" si="68"/>
        <v>-2</v>
      </c>
      <c r="N246" s="654" t="b">
        <f t="shared" si="147"/>
        <v>1</v>
      </c>
      <c r="O246" s="655" t="str">
        <f t="shared" si="148"/>
        <v>x</v>
      </c>
      <c r="P246" s="655" t="str">
        <f t="shared" si="149"/>
        <v/>
      </c>
      <c r="Q246" s="655" t="str">
        <f t="shared" si="150"/>
        <v/>
      </c>
      <c r="R246" s="655" t="str">
        <f t="shared" si="151"/>
        <v/>
      </c>
      <c r="S246" s="655" t="str">
        <f t="shared" si="152"/>
        <v/>
      </c>
      <c r="T246" s="655" t="str">
        <f>IF(ISERROR(MATCH(G246,'Inputs Mapping'!$T$4:$T$5,0)),"x","")</f>
        <v/>
      </c>
      <c r="U246" s="655" t="str">
        <f>IF(ISERROR(MATCH(AA246,'Inputs Mapping'!$U$4:$U$5,0)),"x","")</f>
        <v/>
      </c>
      <c r="V246" s="655" t="str">
        <f>IF(ISERROR(MATCH(AB246,'Inputs Mapping'!$V$4:$V$5,0)),"x","")</f>
        <v/>
      </c>
      <c r="W246" s="655" t="str">
        <f>IF(ISERROR(MATCH(F246,'Inputs Mapping'!$W$4:$W$8,0)),"x","")</f>
        <v/>
      </c>
      <c r="X246" s="655" t="str">
        <f t="shared" si="153"/>
        <v/>
      </c>
      <c r="Y246" s="655" t="str">
        <f t="shared" si="154"/>
        <v/>
      </c>
      <c r="Z246" s="655" t="str">
        <f t="shared" si="76"/>
        <v/>
      </c>
      <c r="AA246" s="655" t="str">
        <f t="shared" si="114"/>
        <v>M</v>
      </c>
      <c r="AB246" s="655" t="str">
        <f t="shared" si="79"/>
        <v>S</v>
      </c>
      <c r="AC246" s="655" t="str">
        <f t="shared" si="130"/>
        <v/>
      </c>
      <c r="AD246" s="655" t="str">
        <f>IF(ISBLANK(I246),"x",IF(ISNUMBER(MATCH(I246,'Inputs Mapping'!$AF$5:$AF$199,0)),"","x"))</f>
        <v>x</v>
      </c>
      <c r="AE246" s="655" t="str">
        <f t="shared" si="115"/>
        <v>Abu Dhabi</v>
      </c>
      <c r="AF246" s="148"/>
      <c r="AG246" s="148"/>
      <c r="AH246" s="148" t="str">
        <f t="shared" si="116"/>
        <v>EAbu Dhabi</v>
      </c>
      <c r="AI246" s="654" t="str">
        <f>IF(J246="","",VLOOKUP(J246,'Inputs Mapping'!$T$27:$V$31,3))</f>
        <v>0-17</v>
      </c>
      <c r="AJ246" s="654" t="str">
        <f>IF(J246="","",VLOOKUP(J246,'Inputs Mapping'!$T$17:$V$24,3))</f>
        <v>0 - 17</v>
      </c>
      <c r="AK246" s="654">
        <f t="shared" si="155"/>
        <v>0</v>
      </c>
      <c r="AL246" s="655">
        <f t="shared" si="156"/>
        <v>0</v>
      </c>
      <c r="AM246" s="655">
        <f>IF(F246="","",IF(G246="Dubai",HLOOKUP(F246,Inputs!$C$26:$M$36,5,0),HLOOKUP(F246,Inputs!$C$45:$M$49,5,0)))</f>
        <v>0</v>
      </c>
      <c r="AN246" s="655" t="str">
        <f t="shared" si="157"/>
        <v>Abu Dhabi</v>
      </c>
      <c r="AO246" s="654">
        <f>IF(AJ246="","",IF(AN246="Dubai",VLOOKUP(AJ246,'Inputs Mapping'!$V$17:$W$24,2,0),VLOOKUP(AI246,'Inputs Mapping'!$V$27:$W$31,2,0)))</f>
        <v>2</v>
      </c>
      <c r="AP246" s="685">
        <f>IFERROR(IF($AN246="","",HLOOKUP($AN246&amp;RIGHT($AL246,1),'input for formula'!$B$16:$I$20,3,0)),0)</f>
        <v>0</v>
      </c>
      <c r="AQ246" s="686">
        <f>IFERROR(IF($AN246="","",HLOOKUP($AN246&amp;$F246,'input for formula'!$B$22:$M$25,2,0)),0)</f>
        <v>0</v>
      </c>
      <c r="AR246" s="685">
        <f>IFERROR(IF($AN246="","",HLOOKUP($AN246&amp;RIGHT($AL246,1),'input for formula'!$B$16:$I$20,4,0)),0)</f>
        <v>0</v>
      </c>
      <c r="AS246" s="686">
        <f>IFERROR(IF($AN246="","",HLOOKUP($AN246&amp;$F246,'input for formula'!$B$22:$M$25,3,0)),0)</f>
        <v>0</v>
      </c>
      <c r="AT246" s="686">
        <f>IFERROR(IF($AN246="","",HLOOKUP($AN246&amp;RIGHT($AL246,1),'input for formula'!$B$16:$I$20,5,0)),0)</f>
        <v>0</v>
      </c>
      <c r="AU246" s="686">
        <f>IFERROR(IF($AN246="","",HLOOKUP($AN246&amp;$F246,'input for formula'!$B$22:$M$25,4,0)),0)</f>
        <v>0</v>
      </c>
      <c r="AV246" s="666">
        <f>IFERROR(IF($AN246="","",IF('Census Data'!$AN246="Abu Dhabi",VLOOKUP('Census Data'!$AM246,'input for formula'!$A$28:$C$41,3,0),VLOOKUP('Census Data'!$AM246,'input for formula'!$A$28:$C$47,2,0))),0)*IFERROR(1+IF(AN246="Dubai",VLOOKUP(F246,'Quotation for Dubai Plans'!$V$6:$X$12,3,FALSE),VLOOKUP(F246,'Quotation for Abu Dhabi Plans'!$W$6:$Y$12,3,FALSE)),0)</f>
        <v>0</v>
      </c>
      <c r="AW246" s="686">
        <f t="shared" si="158"/>
        <v>0</v>
      </c>
      <c r="AX246" s="687">
        <f>IFERROR(IF(AL246="","",IF(AN246="Dubai",HLOOKUP((AL246&amp;AM246),Deviation!$B$7:$S$8,2,0)*BF246*BH246*BI246*BG246,HLOOKUP((AL246&amp;AM246),Deviation!$B$9:$O$10,2,0)*BF246*BH246*BI246*BG246)),0)</f>
        <v>0</v>
      </c>
      <c r="AY246" s="668">
        <f>IF(AL246="","",IFERROR(IF(AL246="","",IF(AN246="Dubai",HLOOKUP(AZ246,'input for formula'!$B$3:$F$10,AO246,FALSE), IF(AND(H246="Employee",AN246="Abu Dhabi"),HLOOKUP(AZ246,'input for formula'!$I$3:$K$7,AO246,FALSE),HLOOKUP(AZ246,'input for formula'!$M$3:$O$7,AO246,FALSE)))*AX246+AP246*AQ246+AR246*AS246+AT246*AU246),0)*$AZ$3*BK246*BJ246)*IF(AND(Inputs!$C$19&gt;19,Inputs!$C$19&lt;30),(1+$AZ$2),1)</f>
        <v>0</v>
      </c>
      <c r="AZ246" s="148" t="str">
        <f t="shared" si="84"/>
        <v>Abu Dhabi0</v>
      </c>
      <c r="BA246" s="688">
        <f>IF(F246="","",IF(G246="Dubai",HLOOKUP(F246,Inputs!$C$26:$M$37,9,0),HLOOKUP(F246,Inputs!$C$45:$M$56,9,0)))</f>
        <v>0</v>
      </c>
      <c r="BB246" s="689">
        <f>IF(F246="","",IF(G246="Dubai",HLOOKUP(F246,Inputs!$C$26:$M$37,10,0),HLOOKUP(F246,Inputs!$C$45:$M$56,10,0)))</f>
        <v>0</v>
      </c>
      <c r="BC246" s="689">
        <f>IF(F246="","",IF(G246="Dubai",HLOOKUP(F246,Inputs!$C$26:$M$37,11,0),HLOOKUP(F246,Inputs!$C$45:$M$56,11,0)))</f>
        <v>0</v>
      </c>
      <c r="BD246" s="688" t="str">
        <f>IF(F246="","",IF(G246="Dubai",HLOOKUP(F246,Inputs!$C$26:$M$37,12,0),HLOOKUP(F246,Inputs!$C$45:$M$56,12,0)))</f>
        <v/>
      </c>
      <c r="BE246" s="654"/>
      <c r="BF246" s="688">
        <f>IFERROR(IF(AL246="","",IF(AN246="Dubai",IF(OR(AL246="Plan1",AL246="Plan2"),VLOOKUP(BA246,Deviation!$B$31:$D$33,2,FALSE),VLOOKUP(BA246,Deviation!$B$31:$D$33,3,FALSE)),IF(OR(AL246="Plan1",AL246="Plan2"),VLOOKUP(BA246,Deviation!$E$31:$AE$33,2,FALSE),VLOOKUP(BA246,Deviation!$E$31:$AE$33,3,FALSE)))),0)</f>
        <v>1.125</v>
      </c>
      <c r="BG246" s="690">
        <f>IFERROR(IF(AL246="","",IF(AN246="Dubai",IF(AL246="Plan1",VLOOKUP(BB246,Deviation!$B$39:$C$40,2,FALSE),IF(AL246="Plan2",VLOOKUP(BB246,Deviation!$B$42:$C$43,2,FALSE),IF(AL246="Plan5",VLOOKUP(BB246,Deviation!$B$48:$C$49,2,FALSE),VLOOKUP(BB246,Deviation!$B$45:$C$46,2,FALSE)))),IF(AL246="Plan1",VLOOKUP(BB246,Deviation!$E$39:$F$40,2,FALSE),IF(AL246="Plan2",VLOOKUP(BB246,Deviation!$E$42:$F$43,2,FALSE),VLOOKUP(BB246,Deviation!$E$45:$F$46,2,FALSE))))),0)</f>
        <v>0</v>
      </c>
      <c r="BH246" s="690">
        <f>IFERROR(IF(AL246="","",IF(AN246="Dubai",IF(OR(AL246="Plan1",AL246="Plan2"),VLOOKUP(BC246,Deviation!$B$15:$D$19,2,FALSE),VLOOKUP(BC246,Deviation!$B$15:$D$19,3,FALSE)),IF(OR(AL246="Plan1",AL246="Plan2"),VLOOKUP(BC246,Deviation!$E$15:$AE$19,2,FALSE),VLOOKUP(BC246,Deviation!$E$15:$AE$19,3,FALSE)))),0)</f>
        <v>0</v>
      </c>
      <c r="BI246" s="691">
        <f>IFERROR(IF(AL246="","",IF(AN246="Dubai",VLOOKUP(BD246,Deviation!$B$24:$C$26,2,FALSE),100%)),0)</f>
        <v>1</v>
      </c>
      <c r="BJ246" s="672">
        <f>IF(AE246="Abu Dhabi",1,IFERROR(VLOOKUP(AM246,Deviation!$B$67:$E$79,MATCH('Census Data'!AA246,Deviation!$B$66:$E$66,0),0),1))</f>
        <v>1</v>
      </c>
      <c r="BK246" s="659">
        <f>IFERROR(VLOOKUP(I246,Deviation!$B$54:$C$62,2,0),1)</f>
        <v>1</v>
      </c>
      <c r="BL246" s="148"/>
      <c r="BM246" s="148"/>
      <c r="BN246" s="148"/>
      <c r="BO246" s="148"/>
      <c r="BP246" s="148"/>
      <c r="BQ246" s="148"/>
      <c r="BR246" s="148"/>
      <c r="BS246" s="148"/>
      <c r="BT246" s="148">
        <f t="shared" si="119"/>
        <v>0</v>
      </c>
    </row>
    <row r="247" spans="1:72" ht="15" hidden="1" x14ac:dyDescent="0.25">
      <c r="A247" s="495"/>
      <c r="B247" s="470"/>
      <c r="C247" s="496"/>
      <c r="D247" s="94" t="s">
        <v>169</v>
      </c>
      <c r="E247" s="94" t="s">
        <v>173</v>
      </c>
      <c r="F247" s="94" t="s">
        <v>67</v>
      </c>
      <c r="G247" s="94" t="s">
        <v>174</v>
      </c>
      <c r="H247" s="94" t="s">
        <v>166</v>
      </c>
      <c r="I247" s="94"/>
      <c r="J247" s="80">
        <v>40</v>
      </c>
      <c r="K247" s="59">
        <f>IF(F247="","",IF(G247="Dubai",HLOOKUP(F247,Inputs!$C$26:$M$28,3,0),HLOOKUP(F247,Inputs!$C$45:$M$46,2,0)))</f>
        <v>0</v>
      </c>
      <c r="L247" s="94"/>
      <c r="M247" s="105">
        <f t="shared" si="68"/>
        <v>-2</v>
      </c>
      <c r="N247" s="654" t="b">
        <f t="shared" si="147"/>
        <v>1</v>
      </c>
      <c r="O247" s="655" t="str">
        <f t="shared" si="148"/>
        <v>x</v>
      </c>
      <c r="P247" s="655" t="str">
        <f t="shared" si="149"/>
        <v/>
      </c>
      <c r="Q247" s="655" t="str">
        <f t="shared" si="150"/>
        <v/>
      </c>
      <c r="R247" s="655" t="str">
        <f t="shared" si="151"/>
        <v/>
      </c>
      <c r="S247" s="655" t="str">
        <f t="shared" si="152"/>
        <v/>
      </c>
      <c r="T247" s="655" t="str">
        <f>IF(ISERROR(MATCH(G247,'Inputs Mapping'!$T$4:$T$5,0)),"x","")</f>
        <v/>
      </c>
      <c r="U247" s="655" t="str">
        <f>IF(ISERROR(MATCH(AA247,'Inputs Mapping'!$U$4:$U$5,0)),"x","")</f>
        <v/>
      </c>
      <c r="V247" s="655" t="str">
        <f>IF(ISERROR(MATCH(AB247,'Inputs Mapping'!$V$4:$V$5,0)),"x","")</f>
        <v/>
      </c>
      <c r="W247" s="655" t="str">
        <f>IF(ISERROR(MATCH(F247,'Inputs Mapping'!$W$4:$W$8,0)),"x","")</f>
        <v/>
      </c>
      <c r="X247" s="655" t="str">
        <f t="shared" si="153"/>
        <v/>
      </c>
      <c r="Y247" s="655" t="str">
        <f t="shared" si="154"/>
        <v/>
      </c>
      <c r="Z247" s="655" t="str">
        <f t="shared" si="76"/>
        <v/>
      </c>
      <c r="AA247" s="655" t="str">
        <f t="shared" si="114"/>
        <v>M</v>
      </c>
      <c r="AB247" s="655" t="str">
        <f t="shared" si="79"/>
        <v>S</v>
      </c>
      <c r="AC247" s="655" t="str">
        <f t="shared" si="130"/>
        <v/>
      </c>
      <c r="AD247" s="655" t="str">
        <f>IF(ISBLANK(I247),"x",IF(ISNUMBER(MATCH(I247,'Inputs Mapping'!$AF$5:$AF$199,0)),"","x"))</f>
        <v>x</v>
      </c>
      <c r="AE247" s="655" t="str">
        <f t="shared" si="115"/>
        <v>Abu Dhabi</v>
      </c>
      <c r="AF247" s="148"/>
      <c r="AG247" s="148"/>
      <c r="AH247" s="148" t="str">
        <f t="shared" si="116"/>
        <v>EAbu Dhabi</v>
      </c>
      <c r="AI247" s="654" t="str">
        <f>IF(J247="","",VLOOKUP(J247,'Inputs Mapping'!$T$27:$V$31,3))</f>
        <v>18-40</v>
      </c>
      <c r="AJ247" s="654" t="str">
        <f>IF(J247="","",VLOOKUP(J247,'Inputs Mapping'!$T$17:$V$24,3))</f>
        <v>36 - 45</v>
      </c>
      <c r="AK247" s="654">
        <f t="shared" si="155"/>
        <v>0</v>
      </c>
      <c r="AL247" s="655">
        <f t="shared" si="156"/>
        <v>0</v>
      </c>
      <c r="AM247" s="655">
        <f>IF(F247="","",IF(G247="Dubai",HLOOKUP(F247,Inputs!$C$26:$M$36,5,0),HLOOKUP(F247,Inputs!$C$45:$M$49,5,0)))</f>
        <v>0</v>
      </c>
      <c r="AN247" s="655" t="str">
        <f t="shared" si="157"/>
        <v>Abu Dhabi</v>
      </c>
      <c r="AO247" s="654">
        <f>IF(AJ247="","",IF(AN247="Dubai",VLOOKUP(AJ247,'Inputs Mapping'!$V$17:$W$24,2,0),VLOOKUP(AI247,'Inputs Mapping'!$V$27:$W$31,2,0)))</f>
        <v>3</v>
      </c>
      <c r="AP247" s="685">
        <f>IFERROR(IF($AN247="","",HLOOKUP($AN247&amp;RIGHT($AL247,1),'input for formula'!$B$16:$I$20,3,0)),0)</f>
        <v>0</v>
      </c>
      <c r="AQ247" s="686">
        <f>IFERROR(IF($AN247="","",HLOOKUP($AN247&amp;$F247,'input for formula'!$B$22:$M$25,2,0)),0)</f>
        <v>0</v>
      </c>
      <c r="AR247" s="685">
        <f>IFERROR(IF($AN247="","",HLOOKUP($AN247&amp;RIGHT($AL247,1),'input for formula'!$B$16:$I$20,4,0)),0)</f>
        <v>0</v>
      </c>
      <c r="AS247" s="686">
        <f>IFERROR(IF($AN247="","",HLOOKUP($AN247&amp;$F247,'input for formula'!$B$22:$M$25,3,0)),0)</f>
        <v>0</v>
      </c>
      <c r="AT247" s="686">
        <f>IFERROR(IF($AN247="","",HLOOKUP($AN247&amp;RIGHT($AL247,1),'input for formula'!$B$16:$I$20,5,0)),0)</f>
        <v>0</v>
      </c>
      <c r="AU247" s="686">
        <f>IFERROR(IF($AN247="","",HLOOKUP($AN247&amp;$F247,'input for formula'!$B$22:$M$25,4,0)),0)</f>
        <v>0</v>
      </c>
      <c r="AV247" s="666">
        <f>IFERROR(IF($AN247="","",IF('Census Data'!$AN247="Abu Dhabi",VLOOKUP('Census Data'!$AM247,'input for formula'!$A$28:$C$41,3,0),VLOOKUP('Census Data'!$AM247,'input for formula'!$A$28:$C$47,2,0))),0)*IFERROR(1+IF(AN247="Dubai",VLOOKUP(F247,'Quotation for Dubai Plans'!$V$6:$X$12,3,FALSE),VLOOKUP(F247,'Quotation for Abu Dhabi Plans'!$W$6:$Y$12,3,FALSE)),0)</f>
        <v>0</v>
      </c>
      <c r="AW247" s="686">
        <f t="shared" si="158"/>
        <v>0</v>
      </c>
      <c r="AX247" s="687">
        <f>IFERROR(IF(AL247="","",IF(AN247="Dubai",HLOOKUP((AL247&amp;AM247),Deviation!$B$7:$S$8,2,0)*BF247*BH247*BI247*BG247,HLOOKUP((AL247&amp;AM247),Deviation!$B$9:$O$10,2,0)*BF247*BH247*BI247*BG247)),0)</f>
        <v>0</v>
      </c>
      <c r="AY247" s="668">
        <f>IF(AL247="","",IFERROR(IF(AL247="","",IF(AN247="Dubai",HLOOKUP(AZ247,'input for formula'!$B$3:$F$10,AO247,FALSE), IF(AND(H247="Employee",AN247="Abu Dhabi"),HLOOKUP(AZ247,'input for formula'!$I$3:$K$7,AO247,FALSE),HLOOKUP(AZ247,'input for formula'!$M$3:$O$7,AO247,FALSE)))*AX247+AP247*AQ247+AR247*AS247+AT247*AU247),0)*$AZ$3*BK247*BJ247)*IF(AND(Inputs!$C$19&gt;19,Inputs!$C$19&lt;30),(1+$AZ$2),1)</f>
        <v>0</v>
      </c>
      <c r="AZ247" s="148" t="str">
        <f t="shared" si="84"/>
        <v>Abu Dhabi0</v>
      </c>
      <c r="BA247" s="688">
        <f>IF(F247="","",IF(G247="Dubai",HLOOKUP(F247,Inputs!$C$26:$M$37,9,0),HLOOKUP(F247,Inputs!$C$45:$M$56,9,0)))</f>
        <v>0</v>
      </c>
      <c r="BB247" s="689">
        <f>IF(F247="","",IF(G247="Dubai",HLOOKUP(F247,Inputs!$C$26:$M$37,10,0),HLOOKUP(F247,Inputs!$C$45:$M$56,10,0)))</f>
        <v>0</v>
      </c>
      <c r="BC247" s="689">
        <f>IF(F247="","",IF(G247="Dubai",HLOOKUP(F247,Inputs!$C$26:$M$37,11,0),HLOOKUP(F247,Inputs!$C$45:$M$56,11,0)))</f>
        <v>0</v>
      </c>
      <c r="BD247" s="688" t="str">
        <f>IF(F247="","",IF(G247="Dubai",HLOOKUP(F247,Inputs!$C$26:$M$37,12,0),HLOOKUP(F247,Inputs!$C$45:$M$56,12,0)))</f>
        <v/>
      </c>
      <c r="BE247" s="654"/>
      <c r="BF247" s="688">
        <f>IFERROR(IF(AL247="","",IF(AN247="Dubai",IF(OR(AL247="Plan1",AL247="Plan2"),VLOOKUP(BA247,Deviation!$B$31:$D$33,2,FALSE),VLOOKUP(BA247,Deviation!$B$31:$D$33,3,FALSE)),IF(OR(AL247="Plan1",AL247="Plan2"),VLOOKUP(BA247,Deviation!$E$31:$AE$33,2,FALSE),VLOOKUP(BA247,Deviation!$E$31:$AE$33,3,FALSE)))),0)</f>
        <v>1.125</v>
      </c>
      <c r="BG247" s="690">
        <f>IFERROR(IF(AL247="","",IF(AN247="Dubai",IF(AL247="Plan1",VLOOKUP(BB247,Deviation!$B$39:$C$40,2,FALSE),IF(AL247="Plan2",VLOOKUP(BB247,Deviation!$B$42:$C$43,2,FALSE),IF(AL247="Plan5",VLOOKUP(BB247,Deviation!$B$48:$C$49,2,FALSE),VLOOKUP(BB247,Deviation!$B$45:$C$46,2,FALSE)))),IF(AL247="Plan1",VLOOKUP(BB247,Deviation!$E$39:$F$40,2,FALSE),IF(AL247="Plan2",VLOOKUP(BB247,Deviation!$E$42:$F$43,2,FALSE),VLOOKUP(BB247,Deviation!$E$45:$F$46,2,FALSE))))),0)</f>
        <v>0</v>
      </c>
      <c r="BH247" s="690">
        <f>IFERROR(IF(AL247="","",IF(AN247="Dubai",IF(OR(AL247="Plan1",AL247="Plan2"),VLOOKUP(BC247,Deviation!$B$15:$D$19,2,FALSE),VLOOKUP(BC247,Deviation!$B$15:$D$19,3,FALSE)),IF(OR(AL247="Plan1",AL247="Plan2"),VLOOKUP(BC247,Deviation!$E$15:$AE$19,2,FALSE),VLOOKUP(BC247,Deviation!$E$15:$AE$19,3,FALSE)))),0)</f>
        <v>0</v>
      </c>
      <c r="BI247" s="691">
        <f>IFERROR(IF(AL247="","",IF(AN247="Dubai",VLOOKUP(BD247,Deviation!$B$24:$C$26,2,FALSE),100%)),0)</f>
        <v>1</v>
      </c>
      <c r="BJ247" s="672">
        <f>IF(AE247="Abu Dhabi",1,IFERROR(VLOOKUP(AM247,Deviation!$B$67:$E$79,MATCH('Census Data'!AA247,Deviation!$B$66:$E$66,0),0),1))</f>
        <v>1</v>
      </c>
      <c r="BK247" s="659">
        <f>IFERROR(VLOOKUP(I247,Deviation!$B$54:$C$62,2,0),1)</f>
        <v>1</v>
      </c>
      <c r="BL247" s="148"/>
      <c r="BM247" s="148"/>
      <c r="BN247" s="148"/>
      <c r="BO247" s="148"/>
      <c r="BP247" s="148"/>
      <c r="BQ247" s="148"/>
      <c r="BR247" s="148"/>
      <c r="BS247" s="148"/>
      <c r="BT247" s="148">
        <f t="shared" si="119"/>
        <v>0</v>
      </c>
    </row>
    <row r="248" spans="1:72" ht="15" hidden="1" x14ac:dyDescent="0.25">
      <c r="A248" s="495"/>
      <c r="B248" s="470"/>
      <c r="C248" s="496"/>
      <c r="D248" s="94" t="s">
        <v>169</v>
      </c>
      <c r="E248" s="94" t="s">
        <v>173</v>
      </c>
      <c r="F248" s="94" t="s">
        <v>67</v>
      </c>
      <c r="G248" s="94" t="s">
        <v>174</v>
      </c>
      <c r="H248" s="94" t="s">
        <v>166</v>
      </c>
      <c r="I248" s="94"/>
      <c r="J248" s="80">
        <v>59</v>
      </c>
      <c r="K248" s="59">
        <f>IF(F248="","",IF(G248="Dubai",HLOOKUP(F248,Inputs!$C$26:$M$28,3,0),HLOOKUP(F248,Inputs!$C$45:$M$46,2,0)))</f>
        <v>0</v>
      </c>
      <c r="L248" s="94"/>
      <c r="M248" s="105">
        <f t="shared" ref="M248:M310" si="159">IF(N248,IF(COUNTIF(N248:AD248,"x")=0,1,IF(OR(O248="x",P248="x",Q248="×",R248="x",S248="x",T248="x",V248="x",U248="x",W248="x",X248="x",Y248="x",Z248="x",AC248="x",AD248="x"),-2,-1)),0)</f>
        <v>-2</v>
      </c>
      <c r="N248" s="654" t="b">
        <f t="shared" si="147"/>
        <v>1</v>
      </c>
      <c r="O248" s="655" t="str">
        <f t="shared" si="148"/>
        <v>x</v>
      </c>
      <c r="P248" s="655" t="str">
        <f t="shared" si="149"/>
        <v/>
      </c>
      <c r="Q248" s="655" t="str">
        <f t="shared" si="150"/>
        <v/>
      </c>
      <c r="R248" s="655" t="str">
        <f t="shared" si="151"/>
        <v/>
      </c>
      <c r="S248" s="655" t="str">
        <f t="shared" si="152"/>
        <v/>
      </c>
      <c r="T248" s="655" t="str">
        <f>IF(ISERROR(MATCH(G248,'Inputs Mapping'!$T$4:$T$5,0)),"x","")</f>
        <v/>
      </c>
      <c r="U248" s="655" t="str">
        <f>IF(ISERROR(MATCH(AA248,'Inputs Mapping'!$U$4:$U$5,0)),"x","")</f>
        <v/>
      </c>
      <c r="V248" s="655" t="str">
        <f>IF(ISERROR(MATCH(AB248,'Inputs Mapping'!$V$4:$V$5,0)),"x","")</f>
        <v/>
      </c>
      <c r="W248" s="655" t="str">
        <f>IF(ISERROR(MATCH(F248,'Inputs Mapping'!$W$4:$W$8,0)),"x","")</f>
        <v/>
      </c>
      <c r="X248" s="655" t="str">
        <f t="shared" si="153"/>
        <v/>
      </c>
      <c r="Y248" s="655" t="str">
        <f t="shared" si="154"/>
        <v/>
      </c>
      <c r="Z248" s="655" t="str">
        <f t="shared" ref="Z248:Z310" si="160">IF(ISBLANK(C248),"",IF(ISERROR(J248),"",IF(AND(eff_date-C248&lt;0,C248&lt;&gt;""),"x","")))</f>
        <v/>
      </c>
      <c r="AA248" s="655" t="str">
        <f t="shared" si="114"/>
        <v>M</v>
      </c>
      <c r="AB248" s="655" t="str">
        <f t="shared" si="79"/>
        <v>S</v>
      </c>
      <c r="AC248" s="655" t="str">
        <f t="shared" si="130"/>
        <v/>
      </c>
      <c r="AD248" s="655" t="str">
        <f>IF(ISBLANK(I248),"x",IF(ISNUMBER(MATCH(I248,'Inputs Mapping'!$AF$5:$AF$199,0)),"","x"))</f>
        <v>x</v>
      </c>
      <c r="AE248" s="655" t="str">
        <f t="shared" si="115"/>
        <v>Abu Dhabi</v>
      </c>
      <c r="AF248" s="148"/>
      <c r="AG248" s="148"/>
      <c r="AH248" s="148" t="str">
        <f t="shared" si="116"/>
        <v>EAbu Dhabi</v>
      </c>
      <c r="AI248" s="654" t="str">
        <f>IF(J248="","",VLOOKUP(J248,'Inputs Mapping'!$T$27:$V$31,3))</f>
        <v>41-59</v>
      </c>
      <c r="AJ248" s="654" t="str">
        <f>IF(J248="","",VLOOKUP(J248,'Inputs Mapping'!$T$17:$V$24,3))</f>
        <v>56 - 60</v>
      </c>
      <c r="AK248" s="654">
        <f t="shared" si="155"/>
        <v>0</v>
      </c>
      <c r="AL248" s="655">
        <f t="shared" si="156"/>
        <v>0</v>
      </c>
      <c r="AM248" s="655">
        <f>IF(F248="","",IF(G248="Dubai",HLOOKUP(F248,Inputs!$C$26:$M$36,5,0),HLOOKUP(F248,Inputs!$C$45:$M$49,5,0)))</f>
        <v>0</v>
      </c>
      <c r="AN248" s="655" t="str">
        <f t="shared" si="157"/>
        <v>Abu Dhabi</v>
      </c>
      <c r="AO248" s="654">
        <f>IF(AJ248="","",IF(AN248="Dubai",VLOOKUP(AJ248,'Inputs Mapping'!$V$17:$W$24,2,0),VLOOKUP(AI248,'Inputs Mapping'!$V$27:$W$31,2,0)))</f>
        <v>4</v>
      </c>
      <c r="AP248" s="685">
        <f>IFERROR(IF($AN248="","",HLOOKUP($AN248&amp;RIGHT($AL248,1),'input for formula'!$B$16:$I$20,3,0)),0)</f>
        <v>0</v>
      </c>
      <c r="AQ248" s="686">
        <f>IFERROR(IF($AN248="","",HLOOKUP($AN248&amp;$F248,'input for formula'!$B$22:$M$25,2,0)),0)</f>
        <v>0</v>
      </c>
      <c r="AR248" s="685">
        <f>IFERROR(IF($AN248="","",HLOOKUP($AN248&amp;RIGHT($AL248,1),'input for formula'!$B$16:$I$20,4,0)),0)</f>
        <v>0</v>
      </c>
      <c r="AS248" s="686">
        <f>IFERROR(IF($AN248="","",HLOOKUP($AN248&amp;$F248,'input for formula'!$B$22:$M$25,3,0)),0)</f>
        <v>0</v>
      </c>
      <c r="AT248" s="686">
        <f>IFERROR(IF($AN248="","",HLOOKUP($AN248&amp;RIGHT($AL248,1),'input for formula'!$B$16:$I$20,5,0)),0)</f>
        <v>0</v>
      </c>
      <c r="AU248" s="686">
        <f>IFERROR(IF($AN248="","",HLOOKUP($AN248&amp;$F248,'input for formula'!$B$22:$M$25,4,0)),0)</f>
        <v>0</v>
      </c>
      <c r="AV248" s="666">
        <f>IFERROR(IF($AN248="","",IF('Census Data'!$AN248="Abu Dhabi",VLOOKUP('Census Data'!$AM248,'input for formula'!$A$28:$C$41,3,0),VLOOKUP('Census Data'!$AM248,'input for formula'!$A$28:$C$47,2,0))),0)*IFERROR(1+IF(AN248="Dubai",VLOOKUP(F248,'Quotation for Dubai Plans'!$V$6:$X$12,3,FALSE),VLOOKUP(F248,'Quotation for Abu Dhabi Plans'!$W$6:$Y$12,3,FALSE)),0)</f>
        <v>0</v>
      </c>
      <c r="AW248" s="686">
        <f t="shared" si="158"/>
        <v>0</v>
      </c>
      <c r="AX248" s="687">
        <f>IFERROR(IF(AL248="","",IF(AN248="Dubai",HLOOKUP((AL248&amp;AM248),Deviation!$B$7:$S$8,2,0)*BF248*BH248*BI248*BG248,HLOOKUP((AL248&amp;AM248),Deviation!$B$9:$O$10,2,0)*BF248*BH248*BI248*BG248)),0)</f>
        <v>0</v>
      </c>
      <c r="AY248" s="668">
        <f>IF(AL248="","",IFERROR(IF(AL248="","",IF(AN248="Dubai",HLOOKUP(AZ248,'input for formula'!$B$3:$F$10,AO248,FALSE), IF(AND(H248="Employee",AN248="Abu Dhabi"),HLOOKUP(AZ248,'input for formula'!$I$3:$K$7,AO248,FALSE),HLOOKUP(AZ248,'input for formula'!$M$3:$O$7,AO248,FALSE)))*AX248+AP248*AQ248+AR248*AS248+AT248*AU248),0)*$AZ$3*BK248*BJ248)*IF(AND(Inputs!$C$19&gt;19,Inputs!$C$19&lt;30),(1+$AZ$2),1)</f>
        <v>0</v>
      </c>
      <c r="AZ248" s="148" t="str">
        <f t="shared" si="84"/>
        <v>Abu Dhabi0</v>
      </c>
      <c r="BA248" s="688">
        <f>IF(F248="","",IF(G248="Dubai",HLOOKUP(F248,Inputs!$C$26:$M$37,9,0),HLOOKUP(F248,Inputs!$C$45:$M$56,9,0)))</f>
        <v>0</v>
      </c>
      <c r="BB248" s="689">
        <f>IF(F248="","",IF(G248="Dubai",HLOOKUP(F248,Inputs!$C$26:$M$37,10,0),HLOOKUP(F248,Inputs!$C$45:$M$56,10,0)))</f>
        <v>0</v>
      </c>
      <c r="BC248" s="689">
        <f>IF(F248="","",IF(G248="Dubai",HLOOKUP(F248,Inputs!$C$26:$M$37,11,0),HLOOKUP(F248,Inputs!$C$45:$M$56,11,0)))</f>
        <v>0</v>
      </c>
      <c r="BD248" s="688" t="str">
        <f>IF(F248="","",IF(G248="Dubai",HLOOKUP(F248,Inputs!$C$26:$M$37,12,0),HLOOKUP(F248,Inputs!$C$45:$M$56,12,0)))</f>
        <v/>
      </c>
      <c r="BE248" s="654"/>
      <c r="BF248" s="688">
        <f>IFERROR(IF(AL248="","",IF(AN248="Dubai",IF(OR(AL248="Plan1",AL248="Plan2"),VLOOKUP(BA248,Deviation!$B$31:$D$33,2,FALSE),VLOOKUP(BA248,Deviation!$B$31:$D$33,3,FALSE)),IF(OR(AL248="Plan1",AL248="Plan2"),VLOOKUP(BA248,Deviation!$E$31:$AE$33,2,FALSE),VLOOKUP(BA248,Deviation!$E$31:$AE$33,3,FALSE)))),0)</f>
        <v>1.125</v>
      </c>
      <c r="BG248" s="690">
        <f>IFERROR(IF(AL248="","",IF(AN248="Dubai",IF(AL248="Plan1",VLOOKUP(BB248,Deviation!$B$39:$C$40,2,FALSE),IF(AL248="Plan2",VLOOKUP(BB248,Deviation!$B$42:$C$43,2,FALSE),IF(AL248="Plan5",VLOOKUP(BB248,Deviation!$B$48:$C$49,2,FALSE),VLOOKUP(BB248,Deviation!$B$45:$C$46,2,FALSE)))),IF(AL248="Plan1",VLOOKUP(BB248,Deviation!$E$39:$F$40,2,FALSE),IF(AL248="Plan2",VLOOKUP(BB248,Deviation!$E$42:$F$43,2,FALSE),VLOOKUP(BB248,Deviation!$E$45:$F$46,2,FALSE))))),0)</f>
        <v>0</v>
      </c>
      <c r="BH248" s="690">
        <f>IFERROR(IF(AL248="","",IF(AN248="Dubai",IF(OR(AL248="Plan1",AL248="Plan2"),VLOOKUP(BC248,Deviation!$B$15:$D$19,2,FALSE),VLOOKUP(BC248,Deviation!$B$15:$D$19,3,FALSE)),IF(OR(AL248="Plan1",AL248="Plan2"),VLOOKUP(BC248,Deviation!$E$15:$AE$19,2,FALSE),VLOOKUP(BC248,Deviation!$E$15:$AE$19,3,FALSE)))),0)</f>
        <v>0</v>
      </c>
      <c r="BI248" s="691">
        <f>IFERROR(IF(AL248="","",IF(AN248="Dubai",VLOOKUP(BD248,Deviation!$B$24:$C$26,2,FALSE),100%)),0)</f>
        <v>1</v>
      </c>
      <c r="BJ248" s="672">
        <f>IF(AE248="Abu Dhabi",1,IFERROR(VLOOKUP(AM248,Deviation!$B$67:$E$79,MATCH('Census Data'!AA248,Deviation!$B$66:$E$66,0),0),1))</f>
        <v>1</v>
      </c>
      <c r="BK248" s="659">
        <f>IFERROR(VLOOKUP(I248,Deviation!$B$54:$C$62,2,0),1)</f>
        <v>1</v>
      </c>
      <c r="BL248" s="148"/>
      <c r="BM248" s="148"/>
      <c r="BN248" s="148"/>
      <c r="BO248" s="148"/>
      <c r="BP248" s="148"/>
      <c r="BQ248" s="148"/>
      <c r="BR248" s="148"/>
      <c r="BS248" s="148"/>
      <c r="BT248" s="148">
        <f t="shared" si="119"/>
        <v>0</v>
      </c>
    </row>
    <row r="249" spans="1:72" ht="15" hidden="1" x14ac:dyDescent="0.25">
      <c r="A249" s="495"/>
      <c r="B249" s="470"/>
      <c r="C249" s="496"/>
      <c r="D249" s="94" t="s">
        <v>169</v>
      </c>
      <c r="E249" s="94" t="s">
        <v>173</v>
      </c>
      <c r="F249" s="94" t="s">
        <v>67</v>
      </c>
      <c r="G249" s="94" t="s">
        <v>174</v>
      </c>
      <c r="H249" s="94" t="s">
        <v>166</v>
      </c>
      <c r="I249" s="94"/>
      <c r="J249" s="80">
        <v>67</v>
      </c>
      <c r="K249" s="59">
        <f>IF(F249="","",IF(G249="Dubai",HLOOKUP(F249,Inputs!$C$26:$M$28,3,0),HLOOKUP(F249,Inputs!$C$45:$M$46,2,0)))</f>
        <v>0</v>
      </c>
      <c r="L249" s="94"/>
      <c r="M249" s="105">
        <f t="shared" si="159"/>
        <v>-2</v>
      </c>
      <c r="N249" s="654" t="b">
        <f t="shared" si="147"/>
        <v>1</v>
      </c>
      <c r="O249" s="655" t="str">
        <f t="shared" si="148"/>
        <v>x</v>
      </c>
      <c r="P249" s="655" t="str">
        <f t="shared" si="149"/>
        <v/>
      </c>
      <c r="Q249" s="655" t="str">
        <f t="shared" si="150"/>
        <v/>
      </c>
      <c r="R249" s="655" t="str">
        <f t="shared" si="151"/>
        <v/>
      </c>
      <c r="S249" s="655" t="str">
        <f t="shared" si="152"/>
        <v/>
      </c>
      <c r="T249" s="655" t="str">
        <f>IF(ISERROR(MATCH(G249,'Inputs Mapping'!$T$4:$T$5,0)),"x","")</f>
        <v/>
      </c>
      <c r="U249" s="655" t="str">
        <f>IF(ISERROR(MATCH(AA249,'Inputs Mapping'!$U$4:$U$5,0)),"x","")</f>
        <v/>
      </c>
      <c r="V249" s="655" t="str">
        <f>IF(ISERROR(MATCH(AB249,'Inputs Mapping'!$V$4:$V$5,0)),"x","")</f>
        <v/>
      </c>
      <c r="W249" s="655" t="str">
        <f>IF(ISERROR(MATCH(F249,'Inputs Mapping'!$W$4:$W$8,0)),"x","")</f>
        <v/>
      </c>
      <c r="X249" s="655" t="str">
        <f t="shared" si="153"/>
        <v/>
      </c>
      <c r="Y249" s="655" t="str">
        <f t="shared" si="154"/>
        <v/>
      </c>
      <c r="Z249" s="655" t="str">
        <f t="shared" si="160"/>
        <v/>
      </c>
      <c r="AA249" s="655" t="str">
        <f t="shared" si="114"/>
        <v>M</v>
      </c>
      <c r="AB249" s="655" t="str">
        <f t="shared" ref="AB249:AB310" si="161">IF(E249="","",IF(OR(E249="Married",E249="M"),"M",IF(OR(E249="Single",E249="S"),"S","")))</f>
        <v>S</v>
      </c>
      <c r="AC249" s="655" t="str">
        <f t="shared" ref="AC249:AC310" si="162">IF(AND(OR(G249="Dubai",G249="Abu Dhabi"),H249="Employee",J249&gt;=18),"",IF(AND(OR(G249="Dubai",G249="Abu Dhabi"),H249="Dependent"),"","x"))</f>
        <v/>
      </c>
      <c r="AD249" s="655" t="str">
        <f>IF(ISBLANK(I249),"x",IF(ISNUMBER(MATCH(I249,'Inputs Mapping'!$AF$5:$AF$199,0)),"","x"))</f>
        <v>x</v>
      </c>
      <c r="AE249" s="655" t="str">
        <f t="shared" si="115"/>
        <v>Abu Dhabi</v>
      </c>
      <c r="AF249" s="148"/>
      <c r="AG249" s="148"/>
      <c r="AH249" s="148" t="str">
        <f t="shared" si="116"/>
        <v>EAbu Dhabi</v>
      </c>
      <c r="AI249" s="654" t="str">
        <f>IF(J249="","",VLOOKUP(J249,'Inputs Mapping'!$T$27:$V$31,3))</f>
        <v>60-69</v>
      </c>
      <c r="AJ249" s="654" t="str">
        <f>IF(J249="","",VLOOKUP(J249,'Inputs Mapping'!$T$17:$V$24,3))</f>
        <v>66 - 69</v>
      </c>
      <c r="AK249" s="654">
        <f t="shared" si="155"/>
        <v>0</v>
      </c>
      <c r="AL249" s="655">
        <f t="shared" si="156"/>
        <v>0</v>
      </c>
      <c r="AM249" s="655">
        <f>IF(F249="","",IF(G249="Dubai",HLOOKUP(F249,Inputs!$C$26:$M$36,5,0),HLOOKUP(F249,Inputs!$C$45:$M$49,5,0)))</f>
        <v>0</v>
      </c>
      <c r="AN249" s="655" t="str">
        <f t="shared" si="157"/>
        <v>Abu Dhabi</v>
      </c>
      <c r="AO249" s="654">
        <f>IF(AJ249="","",IF(AN249="Dubai",VLOOKUP(AJ249,'Inputs Mapping'!$V$17:$W$24,2,0),VLOOKUP(AI249,'Inputs Mapping'!$V$27:$W$31,2,0)))</f>
        <v>5</v>
      </c>
      <c r="AP249" s="685">
        <f>IFERROR(IF($AN249="","",HLOOKUP($AN249&amp;RIGHT($AL249,1),'input for formula'!$B$16:$I$20,3,0)),0)</f>
        <v>0</v>
      </c>
      <c r="AQ249" s="686">
        <f>IFERROR(IF($AN249="","",HLOOKUP($AN249&amp;$F249,'input for formula'!$B$22:$M$25,2,0)),0)</f>
        <v>0</v>
      </c>
      <c r="AR249" s="685">
        <f>IFERROR(IF($AN249="","",HLOOKUP($AN249&amp;RIGHT($AL249,1),'input for formula'!$B$16:$I$20,4,0)),0)</f>
        <v>0</v>
      </c>
      <c r="AS249" s="686">
        <f>IFERROR(IF($AN249="","",HLOOKUP($AN249&amp;$F249,'input for formula'!$B$22:$M$25,3,0)),0)</f>
        <v>0</v>
      </c>
      <c r="AT249" s="686">
        <f>IFERROR(IF($AN249="","",HLOOKUP($AN249&amp;RIGHT($AL249,1),'input for formula'!$B$16:$I$20,5,0)),0)</f>
        <v>0</v>
      </c>
      <c r="AU249" s="686">
        <f>IFERROR(IF($AN249="","",HLOOKUP($AN249&amp;$F249,'input for formula'!$B$22:$M$25,4,0)),0)</f>
        <v>0</v>
      </c>
      <c r="AV249" s="666">
        <f>IFERROR(IF($AN249="","",IF('Census Data'!$AN249="Abu Dhabi",VLOOKUP('Census Data'!$AM249,'input for formula'!$A$28:$C$41,3,0),VLOOKUP('Census Data'!$AM249,'input for formula'!$A$28:$C$47,2,0))),0)*IFERROR(1+IF(AN249="Dubai",VLOOKUP(F249,'Quotation for Dubai Plans'!$V$6:$X$12,3,FALSE),VLOOKUP(F249,'Quotation for Abu Dhabi Plans'!$W$6:$Y$12,3,FALSE)),0)</f>
        <v>0</v>
      </c>
      <c r="AW249" s="686">
        <f t="shared" si="158"/>
        <v>0</v>
      </c>
      <c r="AX249" s="687">
        <f>IFERROR(IF(AL249="","",IF(AN249="Dubai",HLOOKUP((AL249&amp;AM249),Deviation!$B$7:$S$8,2,0)*BF249*BH249*BI249*BG249,HLOOKUP((AL249&amp;AM249),Deviation!$B$9:$O$10,2,0)*BF249*BH249*BI249*BG249)),0)</f>
        <v>0</v>
      </c>
      <c r="AY249" s="668">
        <f>IF(AL249="","",IFERROR(IF(AL249="","",IF(AN249="Dubai",HLOOKUP(AZ249,'input for formula'!$B$3:$F$10,AO249,FALSE), IF(AND(H249="Employee",AN249="Abu Dhabi"),HLOOKUP(AZ249,'input for formula'!$I$3:$K$7,AO249,FALSE),HLOOKUP(AZ249,'input for formula'!$M$3:$O$7,AO249,FALSE)))*AX249+AP249*AQ249+AR249*AS249+AT249*AU249),0)*$AZ$3*BK249*BJ249)*IF(AND(Inputs!$C$19&gt;19,Inputs!$C$19&lt;30),(1+$AZ$2),1)</f>
        <v>0</v>
      </c>
      <c r="AZ249" s="148" t="str">
        <f>IF(AL249="","",IF(AN249="","",AN249&amp;RIGHT(AL249,1)))</f>
        <v>Abu Dhabi0</v>
      </c>
      <c r="BA249" s="688">
        <f>IF(F249="","",IF(G249="Dubai",HLOOKUP(F249,Inputs!$C$26:$M$37,9,0),HLOOKUP(F249,Inputs!$C$45:$M$56,9,0)))</f>
        <v>0</v>
      </c>
      <c r="BB249" s="689">
        <f>IF(F249="","",IF(G249="Dubai",HLOOKUP(F249,Inputs!$C$26:$M$37,10,0),HLOOKUP(F249,Inputs!$C$45:$M$56,10,0)))</f>
        <v>0</v>
      </c>
      <c r="BC249" s="689">
        <f>IF(F249="","",IF(G249="Dubai",HLOOKUP(F249,Inputs!$C$26:$M$37,11,0),HLOOKUP(F249,Inputs!$C$45:$M$56,11,0)))</f>
        <v>0</v>
      </c>
      <c r="BD249" s="688" t="str">
        <f>IF(F249="","",IF(G249="Dubai",HLOOKUP(F249,Inputs!$C$26:$M$37,12,0),HLOOKUP(F249,Inputs!$C$45:$M$56,12,0)))</f>
        <v/>
      </c>
      <c r="BE249" s="654"/>
      <c r="BF249" s="688">
        <f>IFERROR(IF(AL249="","",IF(AN249="Dubai",IF(OR(AL249="Plan1",AL249="Plan2"),VLOOKUP(BA249,Deviation!$B$31:$D$33,2,FALSE),VLOOKUP(BA249,Deviation!$B$31:$D$33,3,FALSE)),IF(OR(AL249="Plan1",AL249="Plan2"),VLOOKUP(BA249,Deviation!$E$31:$AE$33,2,FALSE),VLOOKUP(BA249,Deviation!$E$31:$AE$33,3,FALSE)))),0)</f>
        <v>1.125</v>
      </c>
      <c r="BG249" s="690">
        <f>IFERROR(IF(AL249="","",IF(AN249="Dubai",IF(AL249="Plan1",VLOOKUP(BB249,Deviation!$B$39:$C$40,2,FALSE),IF(AL249="Plan2",VLOOKUP(BB249,Deviation!$B$42:$C$43,2,FALSE),IF(AL249="Plan5",VLOOKUP(BB249,Deviation!$B$48:$C$49,2,FALSE),VLOOKUP(BB249,Deviation!$B$45:$C$46,2,FALSE)))),IF(AL249="Plan1",VLOOKUP(BB249,Deviation!$E$39:$F$40,2,FALSE),IF(AL249="Plan2",VLOOKUP(BB249,Deviation!$E$42:$F$43,2,FALSE),VLOOKUP(BB249,Deviation!$E$45:$F$46,2,FALSE))))),0)</f>
        <v>0</v>
      </c>
      <c r="BH249" s="690">
        <f>IFERROR(IF(AL249="","",IF(AN249="Dubai",IF(OR(AL249="Plan1",AL249="Plan2"),VLOOKUP(BC249,Deviation!$B$15:$D$19,2,FALSE),VLOOKUP(BC249,Deviation!$B$15:$D$19,3,FALSE)),IF(OR(AL249="Plan1",AL249="Plan2"),VLOOKUP(BC249,Deviation!$E$15:$AE$19,2,FALSE),VLOOKUP(BC249,Deviation!$E$15:$AE$19,3,FALSE)))),0)</f>
        <v>0</v>
      </c>
      <c r="BI249" s="691">
        <f>IFERROR(IF(AL249="","",IF(AN249="Dubai",VLOOKUP(BD249,Deviation!$B$24:$C$26,2,FALSE),100%)),0)</f>
        <v>1</v>
      </c>
      <c r="BJ249" s="672">
        <f>IF(AE249="Abu Dhabi",1,IFERROR(VLOOKUP(AM249,Deviation!$B$67:$E$79,MATCH('Census Data'!AA249,Deviation!$B$66:$E$66,0),0),1))</f>
        <v>1</v>
      </c>
      <c r="BK249" s="659">
        <f>IFERROR(VLOOKUP(I249,Deviation!$B$54:$C$62,2,0),1)</f>
        <v>1</v>
      </c>
      <c r="BL249" s="148"/>
      <c r="BM249" s="148"/>
      <c r="BN249" s="148"/>
      <c r="BO249" s="148"/>
      <c r="BP249" s="148"/>
      <c r="BQ249" s="148"/>
      <c r="BR249" s="148"/>
      <c r="BS249" s="148"/>
      <c r="BT249" s="148">
        <f t="shared" si="119"/>
        <v>0</v>
      </c>
    </row>
    <row r="250" spans="1:72" ht="15" hidden="1" x14ac:dyDescent="0.25">
      <c r="A250" s="495"/>
      <c r="B250" s="470"/>
      <c r="C250" s="496"/>
      <c r="D250" s="94" t="s">
        <v>169</v>
      </c>
      <c r="E250" s="94" t="s">
        <v>173</v>
      </c>
      <c r="F250" s="94" t="s">
        <v>68</v>
      </c>
      <c r="G250" s="94" t="s">
        <v>174</v>
      </c>
      <c r="H250" s="94" t="s">
        <v>166</v>
      </c>
      <c r="I250" s="94"/>
      <c r="J250" s="80">
        <v>15</v>
      </c>
      <c r="K250" s="59">
        <f>IF(F250="","",IF(G250="Dubai",HLOOKUP(F250,Inputs!$C$26:$M$28,3,0),HLOOKUP(F250,Inputs!$C$45:$M$46,2,0)))</f>
        <v>0</v>
      </c>
      <c r="L250" s="94"/>
      <c r="M250" s="105">
        <f t="shared" si="159"/>
        <v>-2</v>
      </c>
      <c r="N250" s="654" t="b">
        <f t="shared" si="147"/>
        <v>1</v>
      </c>
      <c r="O250" s="655" t="str">
        <f t="shared" si="148"/>
        <v>x</v>
      </c>
      <c r="P250" s="655" t="str">
        <f t="shared" si="149"/>
        <v/>
      </c>
      <c r="Q250" s="655" t="str">
        <f t="shared" si="150"/>
        <v/>
      </c>
      <c r="R250" s="655" t="str">
        <f t="shared" si="151"/>
        <v/>
      </c>
      <c r="S250" s="655" t="str">
        <f t="shared" si="152"/>
        <v/>
      </c>
      <c r="T250" s="655" t="str">
        <f>IF(ISERROR(MATCH(G250,'Inputs Mapping'!$T$4:$T$5,0)),"x","")</f>
        <v/>
      </c>
      <c r="U250" s="655" t="str">
        <f>IF(ISERROR(MATCH(AA250,'Inputs Mapping'!$U$4:$U$5,0)),"x","")</f>
        <v/>
      </c>
      <c r="V250" s="655" t="str">
        <f>IF(ISERROR(MATCH(AB250,'Inputs Mapping'!$V$4:$V$5,0)),"x","")</f>
        <v/>
      </c>
      <c r="W250" s="655" t="str">
        <f>IF(ISERROR(MATCH(F250,'Inputs Mapping'!$W$4:$W$8,0)),"x","")</f>
        <v>x</v>
      </c>
      <c r="X250" s="655" t="str">
        <f t="shared" si="153"/>
        <v/>
      </c>
      <c r="Y250" s="655" t="str">
        <f t="shared" si="154"/>
        <v/>
      </c>
      <c r="Z250" s="655" t="str">
        <f t="shared" si="160"/>
        <v/>
      </c>
      <c r="AA250" s="655" t="str">
        <f t="shared" si="114"/>
        <v>M</v>
      </c>
      <c r="AB250" s="655" t="str">
        <f t="shared" si="161"/>
        <v>S</v>
      </c>
      <c r="AC250" s="655" t="str">
        <f t="shared" si="162"/>
        <v/>
      </c>
      <c r="AD250" s="655" t="str">
        <f>IF(ISBLANK(I250),"x",IF(ISNUMBER(MATCH(I250,'Inputs Mapping'!$AF$5:$AF$199,0)),"","x"))</f>
        <v>x</v>
      </c>
      <c r="AE250" s="655" t="str">
        <f t="shared" si="115"/>
        <v>Abu Dhabi</v>
      </c>
      <c r="AF250" s="148"/>
      <c r="AG250" s="148"/>
      <c r="AH250" s="148" t="str">
        <f t="shared" si="116"/>
        <v>FAbu Dhabi</v>
      </c>
      <c r="AI250" s="654" t="str">
        <f>IF(J250="","",VLOOKUP(J250,'Inputs Mapping'!$T$27:$V$31,3))</f>
        <v>0-17</v>
      </c>
      <c r="AJ250" s="654" t="str">
        <f>IF(J250="","",VLOOKUP(J250,'Inputs Mapping'!$T$17:$V$24,3))</f>
        <v>0 - 17</v>
      </c>
      <c r="AK250" s="654">
        <f t="shared" si="155"/>
        <v>0</v>
      </c>
      <c r="AL250" s="655">
        <f t="shared" si="156"/>
        <v>0</v>
      </c>
      <c r="AM250" s="655">
        <f>IF(F250="","",IF(G250="Dubai",HLOOKUP(F250,Inputs!$C$26:$M$36,5,0),HLOOKUP(F250,Inputs!$C$45:$M$49,5,0)))</f>
        <v>0</v>
      </c>
      <c r="AN250" s="655" t="str">
        <f t="shared" si="157"/>
        <v>Abu Dhabi</v>
      </c>
      <c r="AO250" s="654">
        <f>IF(AJ250="","",IF(AN250="Dubai",VLOOKUP(AJ250,'Inputs Mapping'!$V$17:$W$24,2,0),VLOOKUP(AI250,'Inputs Mapping'!$V$27:$W$31,2,0)))</f>
        <v>2</v>
      </c>
      <c r="AP250" s="685">
        <f>IFERROR(IF($AN250="","",HLOOKUP($AN250&amp;RIGHT($AL250,1),'input for formula'!$B$16:$I$20,3,0)),0)</f>
        <v>0</v>
      </c>
      <c r="AQ250" s="686">
        <f>IFERROR(IF($AN250="","",HLOOKUP($AN250&amp;$F250,'input for formula'!$B$22:$M$25,2,0)),0)</f>
        <v>0</v>
      </c>
      <c r="AR250" s="685">
        <f>IFERROR(IF($AN250="","",HLOOKUP($AN250&amp;RIGHT($AL250,1),'input for formula'!$B$16:$I$20,4,0)),0)</f>
        <v>0</v>
      </c>
      <c r="AS250" s="686">
        <f>IFERROR(IF($AN250="","",HLOOKUP($AN250&amp;$F250,'input for formula'!$B$22:$M$25,3,0)),0)</f>
        <v>0</v>
      </c>
      <c r="AT250" s="686">
        <f>IFERROR(IF($AN250="","",HLOOKUP($AN250&amp;RIGHT($AL250,1),'input for formula'!$B$16:$I$20,5,0)),0)</f>
        <v>0</v>
      </c>
      <c r="AU250" s="686">
        <f>IFERROR(IF($AN250="","",HLOOKUP($AN250&amp;$F250,'input for formula'!$B$22:$M$25,4,0)),0)</f>
        <v>0</v>
      </c>
      <c r="AV250" s="666">
        <f>IFERROR(IF($AN250="","",IF('Census Data'!$AN250="Abu Dhabi",VLOOKUP('Census Data'!$AM250,'input for formula'!$A$28:$C$41,3,0),VLOOKUP('Census Data'!$AM250,'input for formula'!$A$28:$C$47,2,0))),0)*IFERROR(1+IF(AN250="Dubai",VLOOKUP(F250,'Quotation for Dubai Plans'!$V$6:$X$12,3,FALSE),VLOOKUP(F250,'Quotation for Abu Dhabi Plans'!$W$6:$Y$12,3,FALSE)),0)</f>
        <v>0</v>
      </c>
      <c r="AW250" s="686">
        <f t="shared" si="158"/>
        <v>0</v>
      </c>
      <c r="AX250" s="687">
        <f>IFERROR(IF(AL250="","",IF(AN250="Dubai",HLOOKUP((AL250&amp;AM250),Deviation!$B$7:$S$8,2,0)*BF250*BH250*BI250*BG250,HLOOKUP((AL250&amp;AM250),Deviation!$B$9:$O$10,2,0)*BF250*BH250*BI250*BG250)),0)</f>
        <v>0</v>
      </c>
      <c r="AY250" s="668">
        <f>IF(AL250="","",IFERROR(IF(AL250="","",IF(AN250="Dubai",HLOOKUP(AZ250,'input for formula'!$B$3:$F$10,AO250,FALSE), IF(AND(H250="Employee",AN250="Abu Dhabi"),HLOOKUP(AZ250,'input for formula'!$I$3:$K$7,AO250,FALSE),HLOOKUP(AZ250,'input for formula'!$M$3:$O$7,AO250,FALSE)))*AX250+AP250*AQ250+AR250*AS250+AT250*AU250),0)*$AZ$3*BK250*BJ250)*IF(AND(Inputs!$C$19&gt;19,Inputs!$C$19&lt;30),(1+$AZ$2),1)</f>
        <v>0</v>
      </c>
      <c r="AZ250" s="148" t="str">
        <f>IF(AL250="","",IF(AN250="","",AN250&amp;RIGHT(AL250,1)))</f>
        <v>Abu Dhabi0</v>
      </c>
      <c r="BA250" s="688">
        <f>IF(F250="","",IF(G250="Dubai",HLOOKUP(F250,Inputs!$C$26:$M$37,9,0),HLOOKUP(F250,Inputs!$C$45:$M$56,9,0)))</f>
        <v>0</v>
      </c>
      <c r="BB250" s="689">
        <f>IF(F250="","",IF(G250="Dubai",HLOOKUP(F250,Inputs!$C$26:$M$37,10,0),HLOOKUP(F250,Inputs!$C$45:$M$56,10,0)))</f>
        <v>0</v>
      </c>
      <c r="BC250" s="689">
        <f>IF(F250="","",IF(G250="Dubai",HLOOKUP(F250,Inputs!$C$26:$M$37,11,0),HLOOKUP(F250,Inputs!$C$45:$M$56,11,0)))</f>
        <v>0</v>
      </c>
      <c r="BD250" s="688" t="str">
        <f>IF(F250="","",IF(G250="Dubai",HLOOKUP(F250,Inputs!$C$26:$M$37,12,0),HLOOKUP(F250,Inputs!$C$45:$M$56,12,0)))</f>
        <v/>
      </c>
      <c r="BE250" s="654"/>
      <c r="BF250" s="688">
        <f>IFERROR(IF(AL250="","",IF(AN250="Dubai",IF(OR(AL250="Plan1",AL250="Plan2"),VLOOKUP(BA250,Deviation!$B$31:$D$33,2,FALSE),VLOOKUP(BA250,Deviation!$B$31:$D$33,3,FALSE)),IF(OR(AL250="Plan1",AL250="Plan2"),VLOOKUP(BA250,Deviation!$E$31:$AE$33,2,FALSE),VLOOKUP(BA250,Deviation!$E$31:$AE$33,3,FALSE)))),0)</f>
        <v>1.125</v>
      </c>
      <c r="BG250" s="690">
        <f>IFERROR(IF(AL250="","",IF(AN250="Dubai",IF(AL250="Plan1",VLOOKUP(BB250,Deviation!$B$39:$C$40,2,FALSE),IF(AL250="Plan2",VLOOKUP(BB250,Deviation!$B$42:$C$43,2,FALSE),IF(AL250="Plan5",VLOOKUP(BB250,Deviation!$B$48:$C$49,2,FALSE),VLOOKUP(BB250,Deviation!$B$45:$C$46,2,FALSE)))),IF(AL250="Plan1",VLOOKUP(BB250,Deviation!$E$39:$F$40,2,FALSE),IF(AL250="Plan2",VLOOKUP(BB250,Deviation!$E$42:$F$43,2,FALSE),VLOOKUP(BB250,Deviation!$E$45:$F$46,2,FALSE))))),0)</f>
        <v>0</v>
      </c>
      <c r="BH250" s="690">
        <f>IFERROR(IF(AL250="","",IF(AN250="Dubai",IF(OR(AL250="Plan1",AL250="Plan2"),VLOOKUP(BC250,Deviation!$B$15:$D$19,2,FALSE),VLOOKUP(BC250,Deviation!$B$15:$D$19,3,FALSE)),IF(OR(AL250="Plan1",AL250="Plan2"),VLOOKUP(BC250,Deviation!$E$15:$AE$19,2,FALSE),VLOOKUP(BC250,Deviation!$E$15:$AE$19,3,FALSE)))),0)</f>
        <v>0</v>
      </c>
      <c r="BI250" s="691">
        <f>IFERROR(IF(AL250="","",IF(AN250="Dubai",VLOOKUP(BD250,Deviation!$B$24:$C$26,2,FALSE),100%)),0)</f>
        <v>1</v>
      </c>
      <c r="BJ250" s="672">
        <f>IF(AE250="Abu Dhabi",1,IFERROR(VLOOKUP(AM250,Deviation!$B$67:$E$79,MATCH('Census Data'!AA250,Deviation!$B$66:$E$66,0),0),1))</f>
        <v>1</v>
      </c>
      <c r="BK250" s="659">
        <f>IFERROR(VLOOKUP(I250,Deviation!$B$54:$C$62,2,0),1)</f>
        <v>1</v>
      </c>
      <c r="BL250" s="148"/>
      <c r="BM250" s="148"/>
      <c r="BN250" s="148"/>
      <c r="BO250" s="148"/>
      <c r="BP250" s="148"/>
      <c r="BQ250" s="148"/>
      <c r="BR250" s="148"/>
      <c r="BS250" s="148"/>
      <c r="BT250" s="148">
        <f t="shared" si="119"/>
        <v>0</v>
      </c>
    </row>
    <row r="251" spans="1:72" ht="15" hidden="1" x14ac:dyDescent="0.25">
      <c r="A251" s="495"/>
      <c r="B251" s="470"/>
      <c r="C251" s="496"/>
      <c r="D251" s="94" t="s">
        <v>169</v>
      </c>
      <c r="E251" s="94" t="s">
        <v>173</v>
      </c>
      <c r="F251" s="94" t="s">
        <v>68</v>
      </c>
      <c r="G251" s="94" t="s">
        <v>174</v>
      </c>
      <c r="H251" s="94" t="s">
        <v>166</v>
      </c>
      <c r="I251" s="94"/>
      <c r="J251" s="80">
        <v>40</v>
      </c>
      <c r="K251" s="59">
        <f>IF(F251="","",IF(G251="Dubai",HLOOKUP(F251,Inputs!$C$26:$M$28,3,0),HLOOKUP(F251,Inputs!$C$45:$M$46,2,0)))</f>
        <v>0</v>
      </c>
      <c r="L251" s="94"/>
      <c r="M251" s="105">
        <f t="shared" si="159"/>
        <v>-2</v>
      </c>
      <c r="N251" s="654" t="b">
        <f t="shared" si="147"/>
        <v>1</v>
      </c>
      <c r="O251" s="655" t="str">
        <f t="shared" si="148"/>
        <v>x</v>
      </c>
      <c r="P251" s="655" t="str">
        <f t="shared" si="149"/>
        <v/>
      </c>
      <c r="Q251" s="655" t="str">
        <f t="shared" si="150"/>
        <v/>
      </c>
      <c r="R251" s="655" t="str">
        <f t="shared" si="151"/>
        <v/>
      </c>
      <c r="S251" s="655" t="str">
        <f t="shared" si="152"/>
        <v/>
      </c>
      <c r="T251" s="655" t="str">
        <f>IF(ISERROR(MATCH(G251,'Inputs Mapping'!$T$4:$T$5,0)),"x","")</f>
        <v/>
      </c>
      <c r="U251" s="655" t="str">
        <f>IF(ISERROR(MATCH(AA251,'Inputs Mapping'!$U$4:$U$5,0)),"x","")</f>
        <v/>
      </c>
      <c r="V251" s="655" t="str">
        <f>IF(ISERROR(MATCH(AB251,'Inputs Mapping'!$V$4:$V$5,0)),"x","")</f>
        <v/>
      </c>
      <c r="W251" s="655" t="str">
        <f>IF(ISERROR(MATCH(F251,'Inputs Mapping'!$W$4:$W$8,0)),"x","")</f>
        <v>x</v>
      </c>
      <c r="X251" s="655" t="str">
        <f t="shared" si="153"/>
        <v/>
      </c>
      <c r="Y251" s="655" t="str">
        <f t="shared" si="154"/>
        <v/>
      </c>
      <c r="Z251" s="655" t="str">
        <f t="shared" si="160"/>
        <v/>
      </c>
      <c r="AA251" s="655" t="str">
        <f t="shared" si="114"/>
        <v>M</v>
      </c>
      <c r="AB251" s="655" t="str">
        <f t="shared" si="161"/>
        <v>S</v>
      </c>
      <c r="AC251" s="655" t="str">
        <f t="shared" si="162"/>
        <v/>
      </c>
      <c r="AD251" s="655" t="str">
        <f>IF(ISBLANK(I251),"x",IF(ISNUMBER(MATCH(I251,'Inputs Mapping'!$AF$5:$AF$199,0)),"","x"))</f>
        <v>x</v>
      </c>
      <c r="AE251" s="655" t="str">
        <f t="shared" si="115"/>
        <v>Abu Dhabi</v>
      </c>
      <c r="AF251" s="148"/>
      <c r="AG251" s="148"/>
      <c r="AH251" s="148" t="str">
        <f t="shared" si="116"/>
        <v>FAbu Dhabi</v>
      </c>
      <c r="AI251" s="654" t="str">
        <f>IF(J251="","",VLOOKUP(J251,'Inputs Mapping'!$T$27:$V$31,3))</f>
        <v>18-40</v>
      </c>
      <c r="AJ251" s="654" t="str">
        <f>IF(J251="","",VLOOKUP(J251,'Inputs Mapping'!$T$17:$V$24,3))</f>
        <v>36 - 45</v>
      </c>
      <c r="AK251" s="654">
        <f t="shared" si="155"/>
        <v>0</v>
      </c>
      <c r="AL251" s="655">
        <f t="shared" si="156"/>
        <v>0</v>
      </c>
      <c r="AM251" s="655">
        <f>IF(F251="","",IF(G251="Dubai",HLOOKUP(F251,Inputs!$C$26:$M$36,5,0),HLOOKUP(F251,Inputs!$C$45:$M$49,5,0)))</f>
        <v>0</v>
      </c>
      <c r="AN251" s="655" t="str">
        <f t="shared" si="157"/>
        <v>Abu Dhabi</v>
      </c>
      <c r="AO251" s="654">
        <f>IF(AJ251="","",IF(AN251="Dubai",VLOOKUP(AJ251,'Inputs Mapping'!$V$17:$W$24,2,0),VLOOKUP(AI251,'Inputs Mapping'!$V$27:$W$31,2,0)))</f>
        <v>3</v>
      </c>
      <c r="AP251" s="685">
        <f>IFERROR(IF($AN251="","",HLOOKUP($AN251&amp;RIGHT($AL251,1),'input for formula'!$B$16:$I$20,3,0)),0)</f>
        <v>0</v>
      </c>
      <c r="AQ251" s="686">
        <f>IFERROR(IF($AN251="","",HLOOKUP($AN251&amp;$F251,'input for formula'!$B$22:$M$25,2,0)),0)</f>
        <v>0</v>
      </c>
      <c r="AR251" s="685">
        <f>IFERROR(IF($AN251="","",HLOOKUP($AN251&amp;RIGHT($AL251,1),'input for formula'!$B$16:$I$20,4,0)),0)</f>
        <v>0</v>
      </c>
      <c r="AS251" s="686">
        <f>IFERROR(IF($AN251="","",HLOOKUP($AN251&amp;$F251,'input for formula'!$B$22:$M$25,3,0)),0)</f>
        <v>0</v>
      </c>
      <c r="AT251" s="686">
        <f>IFERROR(IF($AN251="","",HLOOKUP($AN251&amp;RIGHT($AL251,1),'input for formula'!$B$16:$I$20,5,0)),0)</f>
        <v>0</v>
      </c>
      <c r="AU251" s="686">
        <f>IFERROR(IF($AN251="","",HLOOKUP($AN251&amp;$F251,'input for formula'!$B$22:$M$25,4,0)),0)</f>
        <v>0</v>
      </c>
      <c r="AV251" s="666">
        <f>IFERROR(IF($AN251="","",IF('Census Data'!$AN251="Abu Dhabi",VLOOKUP('Census Data'!$AM251,'input for formula'!$A$28:$C$41,3,0),VLOOKUP('Census Data'!$AM251,'input for formula'!$A$28:$C$47,2,0))),0)*IFERROR(1+IF(AN251="Dubai",VLOOKUP(F251,'Quotation for Dubai Plans'!$V$6:$X$12,3,FALSE),VLOOKUP(F251,'Quotation for Abu Dhabi Plans'!$W$6:$Y$12,3,FALSE)),0)</f>
        <v>0</v>
      </c>
      <c r="AW251" s="686">
        <f t="shared" si="158"/>
        <v>0</v>
      </c>
      <c r="AX251" s="687">
        <f>IFERROR(IF(AL251="","",IF(AN251="Dubai",HLOOKUP((AL251&amp;AM251),Deviation!$B$7:$S$8,2,0)*BF251*BH251*BI251*BG251,HLOOKUP((AL251&amp;AM251),Deviation!$B$9:$O$10,2,0)*BF251*BH251*BI251*BG251)),0)</f>
        <v>0</v>
      </c>
      <c r="AY251" s="668">
        <f>IF(AL251="","",IFERROR(IF(AL251="","",IF(AN251="Dubai",HLOOKUP(AZ251,'input for formula'!$B$3:$F$10,AO251,FALSE), IF(AND(H251="Employee",AN251="Abu Dhabi"),HLOOKUP(AZ251,'input for formula'!$I$3:$K$7,AO251,FALSE),HLOOKUP(AZ251,'input for formula'!$M$3:$O$7,AO251,FALSE)))*AX251+AP251*AQ251+AR251*AS251+AT251*AU251),0)*$AZ$3*BK251*BJ251)*IF(AND(Inputs!$C$19&gt;19,Inputs!$C$19&lt;30),(1+$AZ$2),1)</f>
        <v>0</v>
      </c>
      <c r="AZ251" s="148" t="str">
        <f>IF(AL251="","",IF(AN251="","",AN251&amp;RIGHT(AL251,1)))</f>
        <v>Abu Dhabi0</v>
      </c>
      <c r="BA251" s="688">
        <f>IF(F251="","",IF(G251="Dubai",HLOOKUP(F251,Inputs!$C$26:$M$37,9,0),HLOOKUP(F251,Inputs!$C$45:$M$56,9,0)))</f>
        <v>0</v>
      </c>
      <c r="BB251" s="689">
        <f>IF(F251="","",IF(G251="Dubai",HLOOKUP(F251,Inputs!$C$26:$M$37,10,0),HLOOKUP(F251,Inputs!$C$45:$M$56,10,0)))</f>
        <v>0</v>
      </c>
      <c r="BC251" s="689">
        <f>IF(F251="","",IF(G251="Dubai",HLOOKUP(F251,Inputs!$C$26:$M$37,11,0),HLOOKUP(F251,Inputs!$C$45:$M$56,11,0)))</f>
        <v>0</v>
      </c>
      <c r="BD251" s="688" t="str">
        <f>IF(F251="","",IF(G251="Dubai",HLOOKUP(F251,Inputs!$C$26:$M$37,12,0),HLOOKUP(F251,Inputs!$C$45:$M$56,12,0)))</f>
        <v/>
      </c>
      <c r="BE251" s="654"/>
      <c r="BF251" s="688">
        <f>IFERROR(IF(AL251="","",IF(AN251="Dubai",IF(OR(AL251="Plan1",AL251="Plan2"),VLOOKUP(BA251,Deviation!$B$31:$D$33,2,FALSE),VLOOKUP(BA251,Deviation!$B$31:$D$33,3,FALSE)),IF(OR(AL251="Plan1",AL251="Plan2"),VLOOKUP(BA251,Deviation!$E$31:$AE$33,2,FALSE),VLOOKUP(BA251,Deviation!$E$31:$AE$33,3,FALSE)))),0)</f>
        <v>1.125</v>
      </c>
      <c r="BG251" s="690">
        <f>IFERROR(IF(AL251="","",IF(AN251="Dubai",IF(AL251="Plan1",VLOOKUP(BB251,Deviation!$B$39:$C$40,2,FALSE),IF(AL251="Plan2",VLOOKUP(BB251,Deviation!$B$42:$C$43,2,FALSE),IF(AL251="Plan5",VLOOKUP(BB251,Deviation!$B$48:$C$49,2,FALSE),VLOOKUP(BB251,Deviation!$B$45:$C$46,2,FALSE)))),IF(AL251="Plan1",VLOOKUP(BB251,Deviation!$E$39:$F$40,2,FALSE),IF(AL251="Plan2",VLOOKUP(BB251,Deviation!$E$42:$F$43,2,FALSE),VLOOKUP(BB251,Deviation!$E$45:$F$46,2,FALSE))))),0)</f>
        <v>0</v>
      </c>
      <c r="BH251" s="690">
        <f>IFERROR(IF(AL251="","",IF(AN251="Dubai",IF(OR(AL251="Plan1",AL251="Plan2"),VLOOKUP(BC251,Deviation!$B$15:$D$19,2,FALSE),VLOOKUP(BC251,Deviation!$B$15:$D$19,3,FALSE)),IF(OR(AL251="Plan1",AL251="Plan2"),VLOOKUP(BC251,Deviation!$E$15:$AE$19,2,FALSE),VLOOKUP(BC251,Deviation!$E$15:$AE$19,3,FALSE)))),0)</f>
        <v>0</v>
      </c>
      <c r="BI251" s="691">
        <f>IFERROR(IF(AL251="","",IF(AN251="Dubai",VLOOKUP(BD251,Deviation!$B$24:$C$26,2,FALSE),100%)),0)</f>
        <v>1</v>
      </c>
      <c r="BJ251" s="672">
        <f>IF(AE251="Abu Dhabi",1,IFERROR(VLOOKUP(AM251,Deviation!$B$67:$E$79,MATCH('Census Data'!AA251,Deviation!$B$66:$E$66,0),0),1))</f>
        <v>1</v>
      </c>
      <c r="BK251" s="659">
        <f>IFERROR(VLOOKUP(I251,Deviation!$B$54:$C$62,2,0),1)</f>
        <v>1</v>
      </c>
      <c r="BL251" s="148"/>
      <c r="BM251" s="148"/>
      <c r="BN251" s="148"/>
      <c r="BO251" s="148"/>
      <c r="BP251" s="148"/>
      <c r="BQ251" s="148"/>
      <c r="BR251" s="148"/>
      <c r="BS251" s="148"/>
      <c r="BT251" s="148">
        <f t="shared" si="119"/>
        <v>0</v>
      </c>
    </row>
    <row r="252" spans="1:72" ht="15" hidden="1" x14ac:dyDescent="0.25">
      <c r="A252" s="495"/>
      <c r="B252" s="470"/>
      <c r="C252" s="496"/>
      <c r="D252" s="94" t="s">
        <v>169</v>
      </c>
      <c r="E252" s="94" t="s">
        <v>173</v>
      </c>
      <c r="F252" s="94" t="s">
        <v>68</v>
      </c>
      <c r="G252" s="94" t="s">
        <v>174</v>
      </c>
      <c r="H252" s="94" t="s">
        <v>166</v>
      </c>
      <c r="I252" s="94"/>
      <c r="J252" s="80">
        <v>59</v>
      </c>
      <c r="K252" s="59">
        <f>IF(F252="","",IF(G252="Dubai",HLOOKUP(F252,Inputs!$C$26:$M$28,3,0),HLOOKUP(F252,Inputs!$C$45:$M$46,2,0)))</f>
        <v>0</v>
      </c>
      <c r="L252" s="94"/>
      <c r="M252" s="105">
        <f t="shared" si="159"/>
        <v>-2</v>
      </c>
      <c r="N252" s="654" t="b">
        <f t="shared" si="147"/>
        <v>1</v>
      </c>
      <c r="O252" s="655" t="str">
        <f t="shared" si="148"/>
        <v>x</v>
      </c>
      <c r="P252" s="655" t="str">
        <f t="shared" si="149"/>
        <v/>
      </c>
      <c r="Q252" s="655" t="str">
        <f t="shared" si="150"/>
        <v/>
      </c>
      <c r="R252" s="655" t="str">
        <f t="shared" si="151"/>
        <v/>
      </c>
      <c r="S252" s="655" t="str">
        <f t="shared" si="152"/>
        <v/>
      </c>
      <c r="T252" s="655" t="str">
        <f>IF(ISERROR(MATCH(G252,'Inputs Mapping'!$T$4:$T$5,0)),"x","")</f>
        <v/>
      </c>
      <c r="U252" s="655" t="str">
        <f>IF(ISERROR(MATCH(AA252,'Inputs Mapping'!$U$4:$U$5,0)),"x","")</f>
        <v/>
      </c>
      <c r="V252" s="655" t="str">
        <f>IF(ISERROR(MATCH(AB252,'Inputs Mapping'!$V$4:$V$5,0)),"x","")</f>
        <v/>
      </c>
      <c r="W252" s="655" t="str">
        <f>IF(ISERROR(MATCH(F252,'Inputs Mapping'!$W$4:$W$8,0)),"x","")</f>
        <v>x</v>
      </c>
      <c r="X252" s="655" t="str">
        <f t="shared" si="153"/>
        <v/>
      </c>
      <c r="Y252" s="655" t="str">
        <f t="shared" si="154"/>
        <v/>
      </c>
      <c r="Z252" s="655" t="str">
        <f t="shared" si="160"/>
        <v/>
      </c>
      <c r="AA252" s="655" t="str">
        <f t="shared" si="114"/>
        <v>M</v>
      </c>
      <c r="AB252" s="655" t="str">
        <f t="shared" si="161"/>
        <v>S</v>
      </c>
      <c r="AC252" s="655" t="str">
        <f t="shared" si="162"/>
        <v/>
      </c>
      <c r="AD252" s="655" t="str">
        <f>IF(ISBLANK(I252),"x",IF(ISNUMBER(MATCH(I252,'Inputs Mapping'!$AF$5:$AF$199,0)),"","x"))</f>
        <v>x</v>
      </c>
      <c r="AE252" s="655" t="str">
        <f t="shared" si="115"/>
        <v>Abu Dhabi</v>
      </c>
      <c r="AF252" s="148"/>
      <c r="AG252" s="148"/>
      <c r="AH252" s="148" t="str">
        <f t="shared" si="116"/>
        <v>FAbu Dhabi</v>
      </c>
      <c r="AI252" s="654" t="str">
        <f>IF(J252="","",VLOOKUP(J252,'Inputs Mapping'!$T$27:$V$31,3))</f>
        <v>41-59</v>
      </c>
      <c r="AJ252" s="654" t="str">
        <f>IF(J252="","",VLOOKUP(J252,'Inputs Mapping'!$T$17:$V$24,3))</f>
        <v>56 - 60</v>
      </c>
      <c r="AK252" s="654">
        <f t="shared" si="155"/>
        <v>0</v>
      </c>
      <c r="AL252" s="655">
        <f t="shared" si="156"/>
        <v>0</v>
      </c>
      <c r="AM252" s="655">
        <f>IF(F252="","",IF(G252="Dubai",HLOOKUP(F252,Inputs!$C$26:$M$36,5,0),HLOOKUP(F252,Inputs!$C$45:$M$49,5,0)))</f>
        <v>0</v>
      </c>
      <c r="AN252" s="655" t="str">
        <f t="shared" si="157"/>
        <v>Abu Dhabi</v>
      </c>
      <c r="AO252" s="654">
        <f>IF(AJ252="","",IF(AN252="Dubai",VLOOKUP(AJ252,'Inputs Mapping'!$V$17:$W$24,2,0),VLOOKUP(AI252,'Inputs Mapping'!$V$27:$W$31,2,0)))</f>
        <v>4</v>
      </c>
      <c r="AP252" s="685">
        <f>IFERROR(IF($AN252="","",HLOOKUP($AN252&amp;RIGHT($AL252,1),'input for formula'!$B$16:$I$20,3,0)),0)</f>
        <v>0</v>
      </c>
      <c r="AQ252" s="686">
        <f>IFERROR(IF($AN252="","",HLOOKUP($AN252&amp;$F252,'input for formula'!$B$22:$M$25,2,0)),0)</f>
        <v>0</v>
      </c>
      <c r="AR252" s="685">
        <f>IFERROR(IF($AN252="","",HLOOKUP($AN252&amp;RIGHT($AL252,1),'input for formula'!$B$16:$I$20,4,0)),0)</f>
        <v>0</v>
      </c>
      <c r="AS252" s="686">
        <f>IFERROR(IF($AN252="","",HLOOKUP($AN252&amp;$F252,'input for formula'!$B$22:$M$25,3,0)),0)</f>
        <v>0</v>
      </c>
      <c r="AT252" s="686">
        <f>IFERROR(IF($AN252="","",HLOOKUP($AN252&amp;RIGHT($AL252,1),'input for formula'!$B$16:$I$20,5,0)),0)</f>
        <v>0</v>
      </c>
      <c r="AU252" s="686">
        <f>IFERROR(IF($AN252="","",HLOOKUP($AN252&amp;$F252,'input for formula'!$B$22:$M$25,4,0)),0)</f>
        <v>0</v>
      </c>
      <c r="AV252" s="666">
        <f>IFERROR(IF($AN252="","",IF('Census Data'!$AN252="Abu Dhabi",VLOOKUP('Census Data'!$AM252,'input for formula'!$A$28:$C$41,3,0),VLOOKUP('Census Data'!$AM252,'input for formula'!$A$28:$C$47,2,0))),0)*IFERROR(1+IF(AN252="Dubai",VLOOKUP(F252,'Quotation for Dubai Plans'!$V$6:$X$12,3,FALSE),VLOOKUP(F252,'Quotation for Abu Dhabi Plans'!$W$6:$Y$12,3,FALSE)),0)</f>
        <v>0</v>
      </c>
      <c r="AW252" s="686">
        <f t="shared" si="158"/>
        <v>0</v>
      </c>
      <c r="AX252" s="687">
        <f>IFERROR(IF(AL252="","",IF(AN252="Dubai",HLOOKUP((AL252&amp;AM252),Deviation!$B$7:$S$8,2,0)*BF252*BH252*BI252*BG252,HLOOKUP((AL252&amp;AM252),Deviation!$B$9:$O$10,2,0)*BF252*BH252*BI252*BG252)),0)</f>
        <v>0</v>
      </c>
      <c r="AY252" s="668">
        <f>IF(AL252="","",IFERROR(IF(AL252="","",IF(AN252="Dubai",HLOOKUP(AZ252,'input for formula'!$B$3:$F$10,AO252,FALSE), IF(AND(H252="Employee",AN252="Abu Dhabi"),HLOOKUP(AZ252,'input for formula'!$I$3:$K$7,AO252,FALSE),HLOOKUP(AZ252,'input for formula'!$M$3:$O$7,AO252,FALSE)))*AX252+AP252*AQ252+AR252*AS252+AT252*AU252),0)*$AZ$3*BK252*BJ252)*IF(AND(Inputs!$C$19&gt;19,Inputs!$C$19&lt;30),(1+$AZ$2),1)</f>
        <v>0</v>
      </c>
      <c r="AZ252" s="148" t="str">
        <f>IF(AL252="","",IF(AN252="","",AN252&amp;RIGHT(AL252,1)))</f>
        <v>Abu Dhabi0</v>
      </c>
      <c r="BA252" s="688">
        <f>IF(F252="","",IF(G252="Dubai",HLOOKUP(F252,Inputs!$C$26:$M$37,9,0),HLOOKUP(F252,Inputs!$C$45:$M$56,9,0)))</f>
        <v>0</v>
      </c>
      <c r="BB252" s="689">
        <f>IF(F252="","",IF(G252="Dubai",HLOOKUP(F252,Inputs!$C$26:$M$37,10,0),HLOOKUP(F252,Inputs!$C$45:$M$56,10,0)))</f>
        <v>0</v>
      </c>
      <c r="BC252" s="689">
        <f>IF(F252="","",IF(G252="Dubai",HLOOKUP(F252,Inputs!$C$26:$M$37,11,0),HLOOKUP(F252,Inputs!$C$45:$M$56,11,0)))</f>
        <v>0</v>
      </c>
      <c r="BD252" s="688" t="str">
        <f>IF(F252="","",IF(G252="Dubai",HLOOKUP(F252,Inputs!$C$26:$M$37,12,0),HLOOKUP(F252,Inputs!$C$45:$M$56,12,0)))</f>
        <v/>
      </c>
      <c r="BE252" s="654"/>
      <c r="BF252" s="688">
        <f>IFERROR(IF(AL252="","",IF(AN252="Dubai",IF(OR(AL252="Plan1",AL252="Plan2"),VLOOKUP(BA252,Deviation!$B$31:$D$33,2,FALSE),VLOOKUP(BA252,Deviation!$B$31:$D$33,3,FALSE)),IF(OR(AL252="Plan1",AL252="Plan2"),VLOOKUP(BA252,Deviation!$E$31:$AE$33,2,FALSE),VLOOKUP(BA252,Deviation!$E$31:$AE$33,3,FALSE)))),0)</f>
        <v>1.125</v>
      </c>
      <c r="BG252" s="690">
        <f>IFERROR(IF(AL252="","",IF(AN252="Dubai",IF(AL252="Plan1",VLOOKUP(BB252,Deviation!$B$39:$C$40,2,FALSE),IF(AL252="Plan2",VLOOKUP(BB252,Deviation!$B$42:$C$43,2,FALSE),IF(AL252="Plan5",VLOOKUP(BB252,Deviation!$B$48:$C$49,2,FALSE),VLOOKUP(BB252,Deviation!$B$45:$C$46,2,FALSE)))),IF(AL252="Plan1",VLOOKUP(BB252,Deviation!$E$39:$F$40,2,FALSE),IF(AL252="Plan2",VLOOKUP(BB252,Deviation!$E$42:$F$43,2,FALSE),VLOOKUP(BB252,Deviation!$E$45:$F$46,2,FALSE))))),0)</f>
        <v>0</v>
      </c>
      <c r="BH252" s="690">
        <f>IFERROR(IF(AL252="","",IF(AN252="Dubai",IF(OR(AL252="Plan1",AL252="Plan2"),VLOOKUP(BC252,Deviation!$B$15:$D$19,2,FALSE),VLOOKUP(BC252,Deviation!$B$15:$D$19,3,FALSE)),IF(OR(AL252="Plan1",AL252="Plan2"),VLOOKUP(BC252,Deviation!$E$15:$AE$19,2,FALSE),VLOOKUP(BC252,Deviation!$E$15:$AE$19,3,FALSE)))),0)</f>
        <v>0</v>
      </c>
      <c r="BI252" s="691">
        <f>IFERROR(IF(AL252="","",IF(AN252="Dubai",VLOOKUP(BD252,Deviation!$B$24:$C$26,2,FALSE),100%)),0)</f>
        <v>1</v>
      </c>
      <c r="BJ252" s="672">
        <f>IF(AE252="Abu Dhabi",1,IFERROR(VLOOKUP(AM252,Deviation!$B$67:$E$79,MATCH('Census Data'!AA252,Deviation!$B$66:$E$66,0),0),1))</f>
        <v>1</v>
      </c>
      <c r="BK252" s="659">
        <f>IFERROR(VLOOKUP(I252,Deviation!$B$54:$C$62,2,0),1)</f>
        <v>1</v>
      </c>
      <c r="BL252" s="148"/>
      <c r="BM252" s="148"/>
      <c r="BN252" s="148"/>
      <c r="BO252" s="148"/>
      <c r="BP252" s="148"/>
      <c r="BQ252" s="148"/>
      <c r="BR252" s="148"/>
      <c r="BS252" s="148"/>
      <c r="BT252" s="148">
        <f t="shared" si="119"/>
        <v>0</v>
      </c>
    </row>
    <row r="253" spans="1:72" ht="15.75" hidden="1" thickBot="1" x14ac:dyDescent="0.3">
      <c r="A253" s="498"/>
      <c r="B253" s="470"/>
      <c r="C253" s="500"/>
      <c r="D253" s="499" t="s">
        <v>169</v>
      </c>
      <c r="E253" s="499" t="s">
        <v>173</v>
      </c>
      <c r="F253" s="499" t="s">
        <v>68</v>
      </c>
      <c r="G253" s="499" t="s">
        <v>174</v>
      </c>
      <c r="H253" s="499" t="s">
        <v>166</v>
      </c>
      <c r="I253" s="94"/>
      <c r="J253" s="80">
        <v>67</v>
      </c>
      <c r="K253" s="501">
        <f>IF(F253="","",IF(G253="Dubai",HLOOKUP(F253,Inputs!$C$26:$M$28,3,0),HLOOKUP(F253,Inputs!$C$45:$M$46,2,0)))</f>
        <v>0</v>
      </c>
      <c r="L253" s="499"/>
      <c r="M253" s="502">
        <f t="shared" si="159"/>
        <v>-2</v>
      </c>
      <c r="N253" s="692" t="b">
        <f t="shared" si="147"/>
        <v>1</v>
      </c>
      <c r="O253" s="693" t="str">
        <f t="shared" si="148"/>
        <v>x</v>
      </c>
      <c r="P253" s="693" t="str">
        <f t="shared" si="149"/>
        <v/>
      </c>
      <c r="Q253" s="693" t="str">
        <f t="shared" si="150"/>
        <v/>
      </c>
      <c r="R253" s="693" t="str">
        <f t="shared" si="151"/>
        <v/>
      </c>
      <c r="S253" s="693" t="str">
        <f t="shared" si="152"/>
        <v/>
      </c>
      <c r="T253" s="693" t="str">
        <f>IF(ISERROR(MATCH(G253,'Inputs Mapping'!$T$4:$T$5,0)),"x","")</f>
        <v/>
      </c>
      <c r="U253" s="693" t="str">
        <f>IF(ISERROR(MATCH(AA253,'Inputs Mapping'!$U$4:$U$5,0)),"x","")</f>
        <v/>
      </c>
      <c r="V253" s="693" t="str">
        <f>IF(ISERROR(MATCH(AB253,'Inputs Mapping'!$V$4:$V$5,0)),"x","")</f>
        <v/>
      </c>
      <c r="W253" s="693" t="str">
        <f>IF(ISERROR(MATCH(F253,'Inputs Mapping'!$W$4:$W$8,0)),"x","")</f>
        <v>x</v>
      </c>
      <c r="X253" s="693" t="str">
        <f t="shared" si="153"/>
        <v/>
      </c>
      <c r="Y253" s="693" t="str">
        <f t="shared" si="154"/>
        <v/>
      </c>
      <c r="Z253" s="655" t="str">
        <f t="shared" si="160"/>
        <v/>
      </c>
      <c r="AA253" s="655" t="str">
        <f t="shared" si="114"/>
        <v>M</v>
      </c>
      <c r="AB253" s="655" t="str">
        <f t="shared" si="161"/>
        <v>S</v>
      </c>
      <c r="AC253" s="655" t="str">
        <f t="shared" si="162"/>
        <v/>
      </c>
      <c r="AD253" s="655" t="str">
        <f>IF(ISBLANK(I253),"x",IF(ISNUMBER(MATCH(I253,'Inputs Mapping'!$AF$5:$AF$199,0)),"","x"))</f>
        <v>x</v>
      </c>
      <c r="AE253" s="655" t="str">
        <f t="shared" si="115"/>
        <v>Abu Dhabi</v>
      </c>
      <c r="AF253" s="694"/>
      <c r="AG253" s="694"/>
      <c r="AH253" s="148" t="str">
        <f t="shared" si="116"/>
        <v>FAbu Dhabi</v>
      </c>
      <c r="AI253" s="654" t="str">
        <f>IF(J253="","",VLOOKUP(J253,'Inputs Mapping'!$T$27:$V$31,3))</f>
        <v>60-69</v>
      </c>
      <c r="AJ253" s="692" t="str">
        <f>IF(J253="","",VLOOKUP(J253,'Inputs Mapping'!$T$17:$V$24,3))</f>
        <v>66 - 69</v>
      </c>
      <c r="AK253" s="692">
        <f t="shared" si="155"/>
        <v>0</v>
      </c>
      <c r="AL253" s="693">
        <f t="shared" si="156"/>
        <v>0</v>
      </c>
      <c r="AM253" s="693">
        <f>IF(F253="","",IF(G253="Dubai",HLOOKUP(F253,Inputs!$C$26:$M$36,5,0),HLOOKUP(F253,Inputs!$C$45:$M$49,5,0)))</f>
        <v>0</v>
      </c>
      <c r="AN253" s="693" t="str">
        <f t="shared" si="157"/>
        <v>Abu Dhabi</v>
      </c>
      <c r="AO253" s="654">
        <f>IF(AJ253="","",IF(AN253="Dubai",VLOOKUP(AJ253,'Inputs Mapping'!$V$17:$W$24,2,0),VLOOKUP(AI253,'Inputs Mapping'!$V$27:$W$31,2,0)))</f>
        <v>5</v>
      </c>
      <c r="AP253" s="695">
        <f>IFERROR(IF($AN253="","",HLOOKUP($AN253&amp;RIGHT($AL253,1),'input for formula'!$B$16:$I$20,3,0)),0)</f>
        <v>0</v>
      </c>
      <c r="AQ253" s="696">
        <f>IFERROR(IF($AN253="","",HLOOKUP($AN253&amp;$F253,'input for formula'!$B$22:$M$25,2,0)),0)</f>
        <v>0</v>
      </c>
      <c r="AR253" s="695">
        <f>IFERROR(IF($AN253="","",HLOOKUP($AN253&amp;RIGHT($AL253,1),'input for formula'!$B$16:$I$20,4,0)),0)</f>
        <v>0</v>
      </c>
      <c r="AS253" s="696">
        <f>IFERROR(IF($AN253="","",HLOOKUP($AN253&amp;$F253,'input for formula'!$B$22:$M$25,3,0)),0)</f>
        <v>0</v>
      </c>
      <c r="AT253" s="696">
        <f>IFERROR(IF($AN253="","",HLOOKUP($AN253&amp;RIGHT($AL253,1),'input for formula'!$B$16:$I$20,5,0)),0)</f>
        <v>0</v>
      </c>
      <c r="AU253" s="696">
        <f>IFERROR(IF($AN253="","",HLOOKUP($AN253&amp;$F253,'input for formula'!$B$22:$M$25,4,0)),0)</f>
        <v>0</v>
      </c>
      <c r="AV253" s="666">
        <f>IFERROR(IF($AN253="","",IF('Census Data'!$AN253="Abu Dhabi",VLOOKUP('Census Data'!$AM253,'input for formula'!$A$28:$C$41,3,0),VLOOKUP('Census Data'!$AM253,'input for formula'!$A$28:$C$47,2,0))),0)*IFERROR(1+IF(AN253="Dubai",VLOOKUP(F253,'Quotation for Dubai Plans'!$V$6:$X$12,3,FALSE),VLOOKUP(F253,'Quotation for Abu Dhabi Plans'!$W$6:$Y$12,3,FALSE)),0)</f>
        <v>0</v>
      </c>
      <c r="AW253" s="696">
        <f t="shared" si="158"/>
        <v>0</v>
      </c>
      <c r="AX253" s="697">
        <f>IFERROR(IF(AL253="","",IF(AN253="Dubai",HLOOKUP((AL253&amp;AM253),Deviation!$B$7:$S$8,2,0)*BF253*BH253*BI253*BG253,HLOOKUP((AL253&amp;AM253),Deviation!$B$9:$O$10,2,0)*BF253*BH253*BI253*BG253)),0)</f>
        <v>0</v>
      </c>
      <c r="AY253" s="668">
        <f>IF(AL253="","",IFERROR(IF(AL253="","",IF(AN253="Dubai",HLOOKUP(AZ253,'input for formula'!$B$3:$F$10,AO253,FALSE), IF(AND(H253="Employee",AN253="Abu Dhabi"),HLOOKUP(AZ253,'input for formula'!$I$3:$K$7,AO253,FALSE),HLOOKUP(AZ253,'input for formula'!$M$3:$O$7,AO253,FALSE)))*AX253+AP253*AQ253+AR253*AS253+AT253*AU253),0)*$AZ$3*BK253*BJ253)*IF(AND(Inputs!$C$19&gt;19,Inputs!$C$19&lt;30),(1+$AZ$2),1)</f>
        <v>0</v>
      </c>
      <c r="AZ253" s="694" t="str">
        <f>IF(AL253="","",IF(AN253="","",AN253&amp;RIGHT(AL253,1)))</f>
        <v>Abu Dhabi0</v>
      </c>
      <c r="BA253" s="698">
        <f>IF(F253="","",IF(G253="Dubai",HLOOKUP(F253,Inputs!$C$26:$M$37,9,0),HLOOKUP(F253,Inputs!$C$45:$M$56,9,0)))</f>
        <v>0</v>
      </c>
      <c r="BB253" s="699">
        <f>IF(F253="","",IF(G253="Dubai",HLOOKUP(F253,Inputs!$C$26:$M$37,10,0),HLOOKUP(F253,Inputs!$C$45:$M$56,10,0)))</f>
        <v>0</v>
      </c>
      <c r="BC253" s="699">
        <f>IF(F253="","",IF(G253="Dubai",HLOOKUP(F253,Inputs!$C$26:$M$37,11,0),HLOOKUP(F253,Inputs!$C$45:$M$56,11,0)))</f>
        <v>0</v>
      </c>
      <c r="BD253" s="698" t="str">
        <f>IF(F253="","",IF(G253="Dubai",HLOOKUP(F253,Inputs!$C$26:$M$37,12,0),HLOOKUP(F253,Inputs!$C$45:$M$56,12,0)))</f>
        <v/>
      </c>
      <c r="BE253" s="692"/>
      <c r="BF253" s="698">
        <f>IFERROR(IF(AL253="","",IF(AN253="Dubai",IF(OR(AL253="Plan1",AL253="Plan2"),VLOOKUP(BA253,Deviation!$B$31:$D$33,2,FALSE),VLOOKUP(BA253,Deviation!$B$31:$D$33,3,FALSE)),IF(OR(AL253="Plan1",AL253="Plan2"),VLOOKUP(BA253,Deviation!$E$31:$AE$33,2,FALSE),VLOOKUP(BA253,Deviation!$E$31:$AE$33,3,FALSE)))),0)</f>
        <v>1.125</v>
      </c>
      <c r="BG253" s="700">
        <f>IFERROR(IF(AL253="","",IF(AN253="Dubai",IF(AL253="Plan1",VLOOKUP(BB253,Deviation!$B$39:$C$40,2,FALSE),IF(AL253="Plan2",VLOOKUP(BB253,Deviation!$B$42:$C$43,2,FALSE),IF(AL253="Plan5",VLOOKUP(BB253,Deviation!$B$48:$C$49,2,FALSE),VLOOKUP(BB253,Deviation!$B$45:$C$46,2,FALSE)))),IF(AL253="Plan1",VLOOKUP(BB253,Deviation!$E$39:$F$40,2,FALSE),IF(AL253="Plan2",VLOOKUP(BB253,Deviation!$E$42:$F$43,2,FALSE),VLOOKUP(BB253,Deviation!$E$45:$F$46,2,FALSE))))),0)</f>
        <v>0</v>
      </c>
      <c r="BH253" s="700">
        <f>IFERROR(IF(AL253="","",IF(AN253="Dubai",IF(OR(AL253="Plan1",AL253="Plan2"),VLOOKUP(BC253,Deviation!$B$15:$D$19,2,FALSE),VLOOKUP(BC253,Deviation!$B$15:$D$19,3,FALSE)),IF(OR(AL253="Plan1",AL253="Plan2"),VLOOKUP(BC253,Deviation!$E$15:$AE$19,2,FALSE),VLOOKUP(BC253,Deviation!$E$15:$AE$19,3,FALSE)))),0)</f>
        <v>0</v>
      </c>
      <c r="BI253" s="701">
        <f>IFERROR(IF(AL253="","",IF(AN253="Dubai",VLOOKUP(BD253,Deviation!$B$24:$C$26,2,FALSE),100%)),0)</f>
        <v>1</v>
      </c>
      <c r="BJ253" s="672">
        <f>IF(AE253="Abu Dhabi",1,IFERROR(VLOOKUP(AM253,Deviation!$B$67:$E$79,MATCH('Census Data'!AA253,Deviation!$B$66:$E$66,0),0),1))</f>
        <v>1</v>
      </c>
      <c r="BK253" s="659">
        <f>IFERROR(VLOOKUP(I253,Deviation!$B$54:$C$62,2,0),1)</f>
        <v>1</v>
      </c>
      <c r="BL253" s="148"/>
      <c r="BM253" s="148"/>
      <c r="BN253" s="148"/>
      <c r="BO253" s="148"/>
      <c r="BP253" s="148"/>
      <c r="BQ253" s="148"/>
      <c r="BR253" s="148"/>
      <c r="BS253" s="148"/>
      <c r="BT253" s="148">
        <f t="shared" si="119"/>
        <v>0</v>
      </c>
    </row>
    <row r="254" spans="1:72" ht="15" hidden="1" x14ac:dyDescent="0.25">
      <c r="A254" s="94"/>
      <c r="B254" s="470"/>
      <c r="C254" s="94"/>
      <c r="D254" s="491" t="s">
        <v>175</v>
      </c>
      <c r="E254" s="491" t="s">
        <v>173</v>
      </c>
      <c r="F254" s="491" t="s">
        <v>63</v>
      </c>
      <c r="G254" s="491" t="s">
        <v>170</v>
      </c>
      <c r="H254" s="491"/>
      <c r="I254" s="94"/>
      <c r="J254" s="80">
        <v>15</v>
      </c>
      <c r="K254" s="493">
        <f>IF(F254="","",IF(G254="Dubai",HLOOKUP(F254,Inputs!$C$26:$M$28,3,0),HLOOKUP(F254,Inputs!$C$45:$M$46,2,0)))</f>
        <v>0</v>
      </c>
      <c r="L254" s="491"/>
      <c r="M254" s="494">
        <f t="shared" si="159"/>
        <v>-2</v>
      </c>
      <c r="N254" s="675" t="b">
        <f t="shared" si="147"/>
        <v>1</v>
      </c>
      <c r="O254" s="676" t="str">
        <f t="shared" si="148"/>
        <v>x</v>
      </c>
      <c r="P254" s="676" t="str">
        <f t="shared" si="149"/>
        <v/>
      </c>
      <c r="Q254" s="676" t="str">
        <f t="shared" si="150"/>
        <v/>
      </c>
      <c r="R254" s="676" t="str">
        <f t="shared" si="151"/>
        <v/>
      </c>
      <c r="S254" s="676" t="str">
        <f t="shared" si="152"/>
        <v/>
      </c>
      <c r="T254" s="676" t="str">
        <f>IF(ISERROR(MATCH(G254,'Inputs Mapping'!$T$4:$T$5,0)),"x","")</f>
        <v/>
      </c>
      <c r="U254" s="676" t="str">
        <f>IF(ISERROR(MATCH(AA254,'Inputs Mapping'!$U$4:$U$5,0)),"x","")</f>
        <v>x</v>
      </c>
      <c r="V254" s="676" t="str">
        <f>IF(ISERROR(MATCH(AB254,'Inputs Mapping'!$V$4:$V$5,0)),"x","")</f>
        <v/>
      </c>
      <c r="W254" s="676" t="str">
        <f>IF(ISERROR(MATCH(F254,'Inputs Mapping'!$W$4:$W$8,0)),"x","")</f>
        <v/>
      </c>
      <c r="X254" s="676" t="str">
        <f t="shared" si="153"/>
        <v/>
      </c>
      <c r="Y254" s="676" t="str">
        <f t="shared" si="154"/>
        <v/>
      </c>
      <c r="Z254" s="655" t="str">
        <f t="shared" si="160"/>
        <v/>
      </c>
      <c r="AA254" s="655" t="str">
        <f t="shared" si="114"/>
        <v>M/F</v>
      </c>
      <c r="AB254" s="655" t="str">
        <f t="shared" si="161"/>
        <v>S</v>
      </c>
      <c r="AC254" s="655" t="str">
        <f t="shared" si="162"/>
        <v>x</v>
      </c>
      <c r="AD254" s="655" t="str">
        <f>IF(ISBLANK(I254),"x",IF(ISNUMBER(MATCH(I254,'Inputs Mapping'!$AF$5:$AF$199,0)),"","x"))</f>
        <v>x</v>
      </c>
      <c r="AE254" s="655" t="str">
        <f t="shared" si="115"/>
        <v>Dubai</v>
      </c>
      <c r="AF254" s="677"/>
      <c r="AG254" s="677"/>
      <c r="AH254" s="148" t="str">
        <f t="shared" si="116"/>
        <v>ADubai</v>
      </c>
      <c r="AI254" s="654" t="str">
        <f>IF(J254="","",VLOOKUP(J254,'Inputs Mapping'!$T$27:$V$31,3))</f>
        <v>0-17</v>
      </c>
      <c r="AJ254" s="675" t="str">
        <f>IF(J254="","",VLOOKUP(J254,'Inputs Mapping'!$T$17:$V$24,3))</f>
        <v>0 - 17</v>
      </c>
      <c r="AK254" s="675">
        <f t="shared" si="155"/>
        <v>0</v>
      </c>
      <c r="AL254" s="676">
        <f t="shared" si="156"/>
        <v>0</v>
      </c>
      <c r="AM254" s="676">
        <f>IF(F254="","",IF(G254="Dubai",HLOOKUP(F254,Inputs!$C$26:$M$36,5,0),HLOOKUP(F254,Inputs!$C$45:$M$49,5,0)))</f>
        <v>0</v>
      </c>
      <c r="AN254" s="676" t="str">
        <f t="shared" si="157"/>
        <v>Dubai</v>
      </c>
      <c r="AO254" s="654">
        <f>IF(AJ254="","",IF(AN254="Dubai",VLOOKUP(AJ254,'Inputs Mapping'!$V$17:$W$24,2,0),VLOOKUP(AI254,'Inputs Mapping'!$V$27:$W$31,2,0)))</f>
        <v>2</v>
      </c>
      <c r="AP254" s="678">
        <f>IFERROR(IF($AN254="","",HLOOKUP($AN254&amp;RIGHT($AL254,1),'input for formula'!$B$16:$I$20,3,0)),0)</f>
        <v>0</v>
      </c>
      <c r="AQ254" s="679">
        <f>IFERROR(IF($AN254="","",HLOOKUP($AN254&amp;$F254,'input for formula'!$B$22:$M$25,2,0)),0)</f>
        <v>0</v>
      </c>
      <c r="AR254" s="678">
        <f>IFERROR(IF($AN254="","",HLOOKUP($AN254&amp;RIGHT($AL254,1),'input for formula'!$B$16:$I$20,4,0)),0)</f>
        <v>0</v>
      </c>
      <c r="AS254" s="679">
        <f>IFERROR(IF($AN254="","",HLOOKUP($AN254&amp;$F254,'input for formula'!$B$22:$M$25,3,0)),0)</f>
        <v>0</v>
      </c>
      <c r="AT254" s="679">
        <f>IFERROR(IF($AN254="","",HLOOKUP($AN254&amp;RIGHT($AL254,1),'input for formula'!$B$16:$I$20,5,0)),0)</f>
        <v>0</v>
      </c>
      <c r="AU254" s="679">
        <f>IFERROR(IF($AN254="","",HLOOKUP($AN254&amp;$F254,'input for formula'!$B$22:$M$25,4,0)),0)</f>
        <v>0</v>
      </c>
      <c r="AV254" s="678">
        <f>IFERROR(IF($AN254="","",IF('Census Data'!$AN254="Abu Dhabi",VLOOKUP('Census Data'!$AM254,'input for formula'!$A$28:$C$41,3,0),VLOOKUP('Census Data'!$AM254,'input for formula'!$A$28:$C$47,2,0))),0)*IFERROR(1+IF(AN254="Dubai",VLOOKUP(F254,'Quotation for Dubai Plans'!$V$6:$X$12,3,FALSE),VLOOKUP(F254,'Quotation for Abu Dhabi Plans'!$W$6:$Y$12,3,FALSE)),0)</f>
        <v>0</v>
      </c>
      <c r="AW254" s="679">
        <f t="shared" si="158"/>
        <v>0</v>
      </c>
      <c r="AX254" s="680">
        <f>IFERROR(IF(AL254="","",IF(AN254="Dubai",HLOOKUP((AL254&amp;AM254),Deviation!$B$7:$S$8,2,0)*BF254*BH254*BI254*BG254,HLOOKUP((AL254&amp;AM254),Deviation!$B$9:$O$10,2,0)*BF254*BH254*BI254*BG254)),0)</f>
        <v>0</v>
      </c>
      <c r="AY254" s="668">
        <f>IF(AL254="","",IFERROR(IF(AL254="","",IF(AN254="Dubai",HLOOKUP(AZ254,'input for formula'!$B$3:$F$10,AO254,FALSE), IF(AND(H254="Employee",AN254="Abu Dhabi"),HLOOKUP(AZ254,'input for formula'!$I$3:$K$7,AO254,FALSE),HLOOKUP(AZ254,'input for formula'!$M$3:$O$7,AO254,FALSE)))*AX254+AP254*AQ254+AR254*AS254+AT254*AU254),0)*$AZ$3*BK254*BJ254)*IF(AND(Inputs!$C$19&gt;19,Inputs!$C$19&lt;30),(1+$AZ$2),1)</f>
        <v>0</v>
      </c>
      <c r="AZ254" s="677" t="str">
        <f t="shared" ref="AZ254:AZ305" si="163">IF(AL254="","",IF(AN254="","",AN254&amp;RIGHT(AL254,1)))</f>
        <v>Dubai0</v>
      </c>
      <c r="BA254" s="681">
        <f>IF(F254="","",IF(G254="Dubai",HLOOKUP(F254,Inputs!$C$26:$M$37,9,0),HLOOKUP(F254,Inputs!$C$45:$M$56,9,0)))</f>
        <v>0</v>
      </c>
      <c r="BB254" s="682">
        <f>IF(F254="","",IF(G254="Dubai",HLOOKUP(F254,Inputs!$C$26:$M$37,10,0),HLOOKUP(F254,Inputs!$C$45:$M$56,10,0)))</f>
        <v>0</v>
      </c>
      <c r="BC254" s="682">
        <f>IF(F254="","",IF(G254="Dubai",HLOOKUP(F254,Inputs!$C$26:$M$37,11,0),HLOOKUP(F254,Inputs!$C$45:$M$56,11,0)))</f>
        <v>0</v>
      </c>
      <c r="BD254" s="681">
        <f>IF(F254="","",IF(G254="Dubai",HLOOKUP(F254,Inputs!$C$26:$M$37,12,0),HLOOKUP(F254,Inputs!$C$45:$M$56,12,0)))</f>
        <v>0</v>
      </c>
      <c r="BE254" s="675"/>
      <c r="BF254" s="681">
        <f>IFERROR(IF(AL254="","",IF(AN254="Dubai",IF(OR(AL254="Plan1",AL254="Plan2"),VLOOKUP(BA254,Deviation!$B$31:$D$33,2,FALSE),VLOOKUP(BA254,Deviation!$B$31:$D$33,3,FALSE)),IF(OR(AL254="Plan1",AL254="Plan2"),VLOOKUP(BA254,Deviation!$E$31:$AE$33,2,FALSE),VLOOKUP(BA254,Deviation!$E$31:$AE$33,3,FALSE)))),0)</f>
        <v>1.125</v>
      </c>
      <c r="BG254" s="683">
        <f>IFERROR(IF(AL254="","",IF(AN254="Dubai",IF(AL254="Plan1",VLOOKUP(BB254,Deviation!$B$39:$C$40,2,FALSE),IF(AL254="Plan2",VLOOKUP(BB254,Deviation!$B$42:$C$43,2,FALSE),IF(AL254="Plan5",VLOOKUP(BB254,Deviation!$B$48:$C$49,2,FALSE),VLOOKUP(BB254,Deviation!$B$45:$C$46,2,FALSE)))),IF(AL254="Plan1",VLOOKUP(BB254,Deviation!$E$39:$F$40,2,FALSE),IF(AL254="Plan2",VLOOKUP(BB254,Deviation!$E$42:$F$43,2,FALSE),VLOOKUP(BB254,Deviation!$E$45:$F$46,2,FALSE))))),0)</f>
        <v>0</v>
      </c>
      <c r="BH254" s="683">
        <f>IFERROR(IF(AL254="","",IF(AN254="Dubai",IF(OR(AL254="Plan1",AL254="Plan2"),VLOOKUP(BC254,Deviation!$B$15:$D$19,2,FALSE),VLOOKUP(BC254,Deviation!$B$15:$D$19,3,FALSE)),IF(OR(AL254="Plan1",AL254="Plan2"),VLOOKUP(BC254,Deviation!$E$15:$AE$19,2,FALSE),VLOOKUP(BC254,Deviation!$E$15:$AE$19,3,FALSE)))),0)</f>
        <v>0</v>
      </c>
      <c r="BI254" s="684">
        <f>IFERROR(IF(AL254="","",IF(AN254="Dubai",VLOOKUP(BD254,Deviation!$B$24:$C$26,2,FALSE),100%)),0)</f>
        <v>1.06</v>
      </c>
      <c r="BJ254" s="672">
        <f>IF(AE254="Abu Dhabi",1,IFERROR(VLOOKUP(AM254,Deviation!$B$67:$E$79,MATCH('Census Data'!AA254,Deviation!$B$66:$E$66,0),0),1))</f>
        <v>1</v>
      </c>
      <c r="BK254" s="659">
        <f>IFERROR(VLOOKUP(I254,Deviation!$B$54:$C$62,2,0),1)</f>
        <v>1</v>
      </c>
      <c r="BL254" s="148"/>
      <c r="BM254" s="148"/>
      <c r="BN254" s="148"/>
      <c r="BO254" s="148"/>
      <c r="BP254" s="148"/>
      <c r="BQ254" s="148"/>
      <c r="BR254" s="148"/>
      <c r="BS254" s="148"/>
      <c r="BT254" s="148">
        <f t="shared" si="119"/>
        <v>0</v>
      </c>
    </row>
    <row r="255" spans="1:72" ht="15" hidden="1" x14ac:dyDescent="0.25">
      <c r="A255" s="94"/>
      <c r="B255" s="470"/>
      <c r="C255" s="94"/>
      <c r="D255" s="94" t="s">
        <v>175</v>
      </c>
      <c r="E255" s="94" t="s">
        <v>173</v>
      </c>
      <c r="F255" s="94" t="s">
        <v>63</v>
      </c>
      <c r="G255" s="94" t="s">
        <v>170</v>
      </c>
      <c r="H255" s="94"/>
      <c r="I255" s="94"/>
      <c r="J255" s="80">
        <v>33</v>
      </c>
      <c r="K255" s="59">
        <f>IF(F255="","",IF(G255="Dubai",HLOOKUP(F255,Inputs!$C$26:$M$28,3,0),HLOOKUP(F255,Inputs!$C$45:$M$46,2,0)))</f>
        <v>0</v>
      </c>
      <c r="L255" s="94"/>
      <c r="M255" s="105">
        <f t="shared" si="159"/>
        <v>-2</v>
      </c>
      <c r="N255" s="654" t="b">
        <f t="shared" si="147"/>
        <v>1</v>
      </c>
      <c r="O255" s="655" t="str">
        <f t="shared" si="148"/>
        <v>x</v>
      </c>
      <c r="P255" s="655" t="str">
        <f t="shared" si="149"/>
        <v/>
      </c>
      <c r="Q255" s="655" t="str">
        <f t="shared" si="150"/>
        <v/>
      </c>
      <c r="R255" s="655" t="str">
        <f t="shared" si="151"/>
        <v/>
      </c>
      <c r="S255" s="655" t="str">
        <f t="shared" si="152"/>
        <v/>
      </c>
      <c r="T255" s="655" t="str">
        <f>IF(ISERROR(MATCH(G255,'Inputs Mapping'!$T$4:$T$5,0)),"x","")</f>
        <v/>
      </c>
      <c r="U255" s="655" t="str">
        <f>IF(ISERROR(MATCH(AA255,'Inputs Mapping'!$U$4:$U$5,0)),"x","")</f>
        <v>x</v>
      </c>
      <c r="V255" s="655" t="str">
        <f>IF(ISERROR(MATCH(AB255,'Inputs Mapping'!$V$4:$V$5,0)),"x","")</f>
        <v/>
      </c>
      <c r="W255" s="655" t="str">
        <f>IF(ISERROR(MATCH(F255,'Inputs Mapping'!$W$4:$W$8,0)),"x","")</f>
        <v/>
      </c>
      <c r="X255" s="655" t="str">
        <f t="shared" si="153"/>
        <v/>
      </c>
      <c r="Y255" s="655" t="str">
        <f t="shared" si="154"/>
        <v/>
      </c>
      <c r="Z255" s="655" t="str">
        <f t="shared" si="160"/>
        <v/>
      </c>
      <c r="AA255" s="655" t="str">
        <f t="shared" si="114"/>
        <v>M/F</v>
      </c>
      <c r="AB255" s="655" t="str">
        <f t="shared" si="161"/>
        <v>S</v>
      </c>
      <c r="AC255" s="655" t="str">
        <f t="shared" si="162"/>
        <v>x</v>
      </c>
      <c r="AD255" s="655" t="str">
        <f>IF(ISBLANK(I255),"x",IF(ISNUMBER(MATCH(I255,'Inputs Mapping'!$AF$5:$AF$199,0)),"","x"))</f>
        <v>x</v>
      </c>
      <c r="AE255" s="655" t="str">
        <f t="shared" si="115"/>
        <v>Dubai</v>
      </c>
      <c r="AF255" s="148"/>
      <c r="AG255" s="148"/>
      <c r="AH255" s="148" t="str">
        <f t="shared" si="116"/>
        <v>ADubai</v>
      </c>
      <c r="AI255" s="654" t="str">
        <f>IF(J255="","",VLOOKUP(J255,'Inputs Mapping'!$T$27:$V$31,3))</f>
        <v>18-40</v>
      </c>
      <c r="AJ255" s="654" t="str">
        <f>IF(J255="","",VLOOKUP(J255,'Inputs Mapping'!$T$17:$V$24,3))</f>
        <v>18 - 35</v>
      </c>
      <c r="AK255" s="654">
        <f t="shared" si="155"/>
        <v>0</v>
      </c>
      <c r="AL255" s="655">
        <f t="shared" si="156"/>
        <v>0</v>
      </c>
      <c r="AM255" s="655">
        <f>IF(F255="","",IF(G255="Dubai",HLOOKUP(F255,Inputs!$C$26:$M$36,5,0),HLOOKUP(F255,Inputs!$C$45:$M$49,5,0)))</f>
        <v>0</v>
      </c>
      <c r="AN255" s="655" t="str">
        <f t="shared" si="157"/>
        <v>Dubai</v>
      </c>
      <c r="AO255" s="654">
        <f>IF(AJ255="","",IF(AN255="Dubai",VLOOKUP(AJ255,'Inputs Mapping'!$V$17:$W$24,2,0),VLOOKUP(AI255,'Inputs Mapping'!$V$27:$W$31,2,0)))</f>
        <v>3</v>
      </c>
      <c r="AP255" s="685">
        <f>IFERROR(IF($AN255="","",HLOOKUP($AN255&amp;RIGHT($AL255,1),'input for formula'!$B$16:$I$20,3,0)),0)</f>
        <v>0</v>
      </c>
      <c r="AQ255" s="686">
        <f>IFERROR(IF($AN255="","",HLOOKUP($AN255&amp;$F255,'input for formula'!$B$22:$M$25,2,0)),0)</f>
        <v>0</v>
      </c>
      <c r="AR255" s="685">
        <f>IFERROR(IF($AN255="","",HLOOKUP($AN255&amp;RIGHT($AL255,1),'input for formula'!$B$16:$I$20,4,0)),0)</f>
        <v>0</v>
      </c>
      <c r="AS255" s="686">
        <f>IFERROR(IF($AN255="","",HLOOKUP($AN255&amp;$F255,'input for formula'!$B$22:$M$25,3,0)),0)</f>
        <v>0</v>
      </c>
      <c r="AT255" s="686">
        <f>IFERROR(IF($AN255="","",HLOOKUP($AN255&amp;RIGHT($AL255,1),'input for formula'!$B$16:$I$20,5,0)),0)</f>
        <v>0</v>
      </c>
      <c r="AU255" s="686">
        <f>IFERROR(IF($AN255="","",HLOOKUP($AN255&amp;$F255,'input for formula'!$B$22:$M$25,4,0)),0)</f>
        <v>0</v>
      </c>
      <c r="AV255" s="666">
        <f>IFERROR(IF($AN255="","",IF('Census Data'!$AN255="Abu Dhabi",VLOOKUP('Census Data'!$AM255,'input for formula'!$A$28:$C$41,3,0),VLOOKUP('Census Data'!$AM255,'input for formula'!$A$28:$C$47,2,0))),0)*IFERROR(1+IF(AN255="Dubai",VLOOKUP(F255,'Quotation for Dubai Plans'!$V$6:$X$12,3,FALSE),VLOOKUP(F255,'Quotation for Abu Dhabi Plans'!$W$6:$Y$12,3,FALSE)),0)</f>
        <v>0</v>
      </c>
      <c r="AW255" s="686">
        <f t="shared" si="158"/>
        <v>0</v>
      </c>
      <c r="AX255" s="687">
        <f>IFERROR(IF(AL255="","",IF(AN255="Dubai",HLOOKUP((AL255&amp;AM255),Deviation!$B$7:$S$8,2,0)*BF255*BH255*BI255*BG255,HLOOKUP((AL255&amp;AM255),Deviation!$B$9:$O$10,2,0)*BF255*BH255*BI255*BG255)),0)</f>
        <v>0</v>
      </c>
      <c r="AY255" s="668">
        <f>IF(AL255="","",IFERROR(IF(AL255="","",IF(AN255="Dubai",HLOOKUP(AZ255,'input for formula'!$B$3:$F$10,AO255,FALSE), IF(AND(H255="Employee",AN255="Abu Dhabi"),HLOOKUP(AZ255,'input for formula'!$I$3:$K$7,AO255,FALSE),HLOOKUP(AZ255,'input for formula'!$M$3:$O$7,AO255,FALSE)))*AX255+AP255*AQ255+AR255*AS255+AT255*AU255),0)*$AZ$3*BK255*BJ255)*IF(AND(Inputs!$C$19&gt;19,Inputs!$C$19&lt;30),(1+$AZ$2),1)</f>
        <v>0</v>
      </c>
      <c r="AZ255" s="148" t="str">
        <f t="shared" si="163"/>
        <v>Dubai0</v>
      </c>
      <c r="BA255" s="688">
        <f>IF(F255="","",IF(G255="Dubai",HLOOKUP(F255,Inputs!$C$26:$M$37,9,0),HLOOKUP(F255,Inputs!$C$45:$M$56,9,0)))</f>
        <v>0</v>
      </c>
      <c r="BB255" s="689">
        <f>IF(F255="","",IF(G255="Dubai",HLOOKUP(F255,Inputs!$C$26:$M$37,10,0),HLOOKUP(F255,Inputs!$C$45:$M$56,10,0)))</f>
        <v>0</v>
      </c>
      <c r="BC255" s="689">
        <f>IF(F255="","",IF(G255="Dubai",HLOOKUP(F255,Inputs!$C$26:$M$37,11,0),HLOOKUP(F255,Inputs!$C$45:$M$56,11,0)))</f>
        <v>0</v>
      </c>
      <c r="BD255" s="688">
        <f>IF(F255="","",IF(G255="Dubai",HLOOKUP(F255,Inputs!$C$26:$M$37,12,0),HLOOKUP(F255,Inputs!$C$45:$M$56,12,0)))</f>
        <v>0</v>
      </c>
      <c r="BE255" s="654"/>
      <c r="BF255" s="688">
        <f>IFERROR(IF(AL255="","",IF(AN255="Dubai",IF(OR(AL255="Plan1",AL255="Plan2"),VLOOKUP(BA255,Deviation!$B$31:$D$33,2,FALSE),VLOOKUP(BA255,Deviation!$B$31:$D$33,3,FALSE)),IF(OR(AL255="Plan1",AL255="Plan2"),VLOOKUP(BA255,Deviation!$E$31:$AE$33,2,FALSE),VLOOKUP(BA255,Deviation!$E$31:$AE$33,3,FALSE)))),0)</f>
        <v>1.125</v>
      </c>
      <c r="BG255" s="690">
        <f>IFERROR(IF(AL255="","",IF(AN255="Dubai",IF(AL255="Plan1",VLOOKUP(BB255,Deviation!$B$39:$C$40,2,FALSE),IF(AL255="Plan2",VLOOKUP(BB255,Deviation!$B$42:$C$43,2,FALSE),IF(AL255="Plan5",VLOOKUP(BB255,Deviation!$B$48:$C$49,2,FALSE),VLOOKUP(BB255,Deviation!$B$45:$C$46,2,FALSE)))),IF(AL255="Plan1",VLOOKUP(BB255,Deviation!$E$39:$F$40,2,FALSE),IF(AL255="Plan2",VLOOKUP(BB255,Deviation!$E$42:$F$43,2,FALSE),VLOOKUP(BB255,Deviation!$E$45:$F$46,2,FALSE))))),0)</f>
        <v>0</v>
      </c>
      <c r="BH255" s="690">
        <f>IFERROR(IF(AL255="","",IF(AN255="Dubai",IF(OR(AL255="Plan1",AL255="Plan2"),VLOOKUP(BC255,Deviation!$B$15:$D$19,2,FALSE),VLOOKUP(BC255,Deviation!$B$15:$D$19,3,FALSE)),IF(OR(AL255="Plan1",AL255="Plan2"),VLOOKUP(BC255,Deviation!$E$15:$AE$19,2,FALSE),VLOOKUP(BC255,Deviation!$E$15:$AE$19,3,FALSE)))),0)</f>
        <v>0</v>
      </c>
      <c r="BI255" s="691">
        <f>IFERROR(IF(AL255="","",IF(AN255="Dubai",VLOOKUP(BD255,Deviation!$B$24:$C$26,2,FALSE),100%)),0)</f>
        <v>1.06</v>
      </c>
      <c r="BJ255" s="672">
        <f>IF(AE255="Abu Dhabi",1,IFERROR(VLOOKUP(AM255,Deviation!$B$67:$E$79,MATCH('Census Data'!AA255,Deviation!$B$66:$E$66,0),0),1))</f>
        <v>1</v>
      </c>
      <c r="BK255" s="659">
        <f>IFERROR(VLOOKUP(I255,Deviation!$B$54:$C$62,2,0),1)</f>
        <v>1</v>
      </c>
      <c r="BL255" s="148"/>
      <c r="BM255" s="148"/>
      <c r="BN255" s="148"/>
      <c r="BO255" s="148"/>
      <c r="BP255" s="148"/>
      <c r="BQ255" s="148"/>
      <c r="BR255" s="148"/>
      <c r="BS255" s="148"/>
      <c r="BT255" s="148">
        <f t="shared" si="119"/>
        <v>0</v>
      </c>
    </row>
    <row r="256" spans="1:72" ht="15" hidden="1" x14ac:dyDescent="0.25">
      <c r="A256" s="94"/>
      <c r="B256" s="470"/>
      <c r="C256" s="94"/>
      <c r="D256" s="94" t="s">
        <v>175</v>
      </c>
      <c r="E256" s="94" t="s">
        <v>173</v>
      </c>
      <c r="F256" s="94" t="s">
        <v>63</v>
      </c>
      <c r="G256" s="94" t="s">
        <v>170</v>
      </c>
      <c r="H256" s="94"/>
      <c r="I256" s="94"/>
      <c r="J256" s="80">
        <v>43</v>
      </c>
      <c r="K256" s="59">
        <f>IF(F256="","",IF(G256="Dubai",HLOOKUP(F256,Inputs!$C$26:$M$28,3,0),HLOOKUP(F256,Inputs!$C$45:$M$46,2,0)))</f>
        <v>0</v>
      </c>
      <c r="L256" s="94"/>
      <c r="M256" s="105">
        <f t="shared" si="159"/>
        <v>-2</v>
      </c>
      <c r="N256" s="654" t="b">
        <f t="shared" si="147"/>
        <v>1</v>
      </c>
      <c r="O256" s="655" t="str">
        <f t="shared" si="148"/>
        <v>x</v>
      </c>
      <c r="P256" s="655" t="str">
        <f t="shared" si="149"/>
        <v/>
      </c>
      <c r="Q256" s="655" t="str">
        <f t="shared" si="150"/>
        <v/>
      </c>
      <c r="R256" s="655" t="str">
        <f t="shared" si="151"/>
        <v/>
      </c>
      <c r="S256" s="655" t="str">
        <f t="shared" si="152"/>
        <v/>
      </c>
      <c r="T256" s="655" t="str">
        <f>IF(ISERROR(MATCH(G256,'Inputs Mapping'!$T$4:$T$5,0)),"x","")</f>
        <v/>
      </c>
      <c r="U256" s="655" t="str">
        <f>IF(ISERROR(MATCH(AA256,'Inputs Mapping'!$U$4:$U$5,0)),"x","")</f>
        <v>x</v>
      </c>
      <c r="V256" s="655" t="str">
        <f>IF(ISERROR(MATCH(AB256,'Inputs Mapping'!$V$4:$V$5,0)),"x","")</f>
        <v/>
      </c>
      <c r="W256" s="655" t="str">
        <f>IF(ISERROR(MATCH(F256,'Inputs Mapping'!$W$4:$W$8,0)),"x","")</f>
        <v/>
      </c>
      <c r="X256" s="655" t="str">
        <f t="shared" si="153"/>
        <v/>
      </c>
      <c r="Y256" s="655" t="str">
        <f t="shared" si="154"/>
        <v/>
      </c>
      <c r="Z256" s="655" t="str">
        <f t="shared" si="160"/>
        <v/>
      </c>
      <c r="AA256" s="655" t="str">
        <f t="shared" si="114"/>
        <v>M/F</v>
      </c>
      <c r="AB256" s="655" t="str">
        <f t="shared" si="161"/>
        <v>S</v>
      </c>
      <c r="AC256" s="655" t="str">
        <f t="shared" si="162"/>
        <v>x</v>
      </c>
      <c r="AD256" s="655" t="str">
        <f>IF(ISBLANK(I256),"x",IF(ISNUMBER(MATCH(I256,'Inputs Mapping'!$AF$5:$AF$199,0)),"","x"))</f>
        <v>x</v>
      </c>
      <c r="AE256" s="655" t="str">
        <f t="shared" si="115"/>
        <v>Dubai</v>
      </c>
      <c r="AF256" s="148"/>
      <c r="AG256" s="148"/>
      <c r="AH256" s="148" t="str">
        <f t="shared" si="116"/>
        <v>ADubai</v>
      </c>
      <c r="AI256" s="654" t="str">
        <f>IF(J256="","",VLOOKUP(J256,'Inputs Mapping'!$T$27:$V$31,3))</f>
        <v>41-59</v>
      </c>
      <c r="AJ256" s="654" t="str">
        <f>IF(J256="","",VLOOKUP(J256,'Inputs Mapping'!$T$17:$V$24,3))</f>
        <v>36 - 45</v>
      </c>
      <c r="AK256" s="654">
        <f t="shared" si="155"/>
        <v>0</v>
      </c>
      <c r="AL256" s="655">
        <f t="shared" si="156"/>
        <v>0</v>
      </c>
      <c r="AM256" s="655">
        <f>IF(F256="","",IF(G256="Dubai",HLOOKUP(F256,Inputs!$C$26:$M$36,5,0),HLOOKUP(F256,Inputs!$C$45:$M$49,5,0)))</f>
        <v>0</v>
      </c>
      <c r="AN256" s="655" t="str">
        <f t="shared" si="157"/>
        <v>Dubai</v>
      </c>
      <c r="AO256" s="654">
        <f>IF(AJ256="","",IF(AN256="Dubai",VLOOKUP(AJ256,'Inputs Mapping'!$V$17:$W$24,2,0),VLOOKUP(AI256,'Inputs Mapping'!$V$27:$W$31,2,0)))</f>
        <v>4</v>
      </c>
      <c r="AP256" s="685">
        <f>IFERROR(IF($AN256="","",HLOOKUP($AN256&amp;RIGHT($AL256,1),'input for formula'!$B$16:$I$20,3,0)),0)</f>
        <v>0</v>
      </c>
      <c r="AQ256" s="686">
        <f>IFERROR(IF($AN256="","",HLOOKUP($AN256&amp;$F256,'input for formula'!$B$22:$M$25,2,0)),0)</f>
        <v>0</v>
      </c>
      <c r="AR256" s="685">
        <f>IFERROR(IF($AN256="","",HLOOKUP($AN256&amp;RIGHT($AL256,1),'input for formula'!$B$16:$I$20,4,0)),0)</f>
        <v>0</v>
      </c>
      <c r="AS256" s="686">
        <f>IFERROR(IF($AN256="","",HLOOKUP($AN256&amp;$F256,'input for formula'!$B$22:$M$25,3,0)),0)</f>
        <v>0</v>
      </c>
      <c r="AT256" s="686">
        <f>IFERROR(IF($AN256="","",HLOOKUP($AN256&amp;RIGHT($AL256,1),'input for formula'!$B$16:$I$20,5,0)),0)</f>
        <v>0</v>
      </c>
      <c r="AU256" s="686">
        <f>IFERROR(IF($AN256="","",HLOOKUP($AN256&amp;$F256,'input for formula'!$B$22:$M$25,4,0)),0)</f>
        <v>0</v>
      </c>
      <c r="AV256" s="666">
        <f>IFERROR(IF($AN256="","",IF('Census Data'!$AN256="Abu Dhabi",VLOOKUP('Census Data'!$AM256,'input for formula'!$A$28:$C$41,3,0),VLOOKUP('Census Data'!$AM256,'input for formula'!$A$28:$C$47,2,0))),0)*IFERROR(1+IF(AN256="Dubai",VLOOKUP(F256,'Quotation for Dubai Plans'!$V$6:$X$12,3,FALSE),VLOOKUP(F256,'Quotation for Abu Dhabi Plans'!$W$6:$Y$12,3,FALSE)),0)</f>
        <v>0</v>
      </c>
      <c r="AW256" s="686">
        <f t="shared" si="158"/>
        <v>0</v>
      </c>
      <c r="AX256" s="687">
        <f>IFERROR(IF(AL256="","",IF(AN256="Dubai",HLOOKUP((AL256&amp;AM256),Deviation!$B$7:$S$8,2,0)*BF256*BH256*BI256*BG256,HLOOKUP((AL256&amp;AM256),Deviation!$B$9:$O$10,2,0)*BF256*BH256*BI256*BG256)),0)</f>
        <v>0</v>
      </c>
      <c r="AY256" s="668">
        <f>IF(AL256="","",IFERROR(IF(AL256="","",IF(AN256="Dubai",HLOOKUP(AZ256,'input for formula'!$B$3:$F$10,AO256,FALSE), IF(AND(H256="Employee",AN256="Abu Dhabi"),HLOOKUP(AZ256,'input for formula'!$I$3:$K$7,AO256,FALSE),HLOOKUP(AZ256,'input for formula'!$M$3:$O$7,AO256,FALSE)))*AX256+AP256*AQ256+AR256*AS256+AT256*AU256),0)*$AZ$3*BK256*BJ256)*IF(AND(Inputs!$C$19&gt;19,Inputs!$C$19&lt;30),(1+$AZ$2),1)</f>
        <v>0</v>
      </c>
      <c r="AZ256" s="148" t="str">
        <f t="shared" si="163"/>
        <v>Dubai0</v>
      </c>
      <c r="BA256" s="688">
        <f>IF(F256="","",IF(G256="Dubai",HLOOKUP(F256,Inputs!$C$26:$M$37,9,0),HLOOKUP(F256,Inputs!$C$45:$M$56,9,0)))</f>
        <v>0</v>
      </c>
      <c r="BB256" s="689">
        <f>IF(F256="","",IF(G256="Dubai",HLOOKUP(F256,Inputs!$C$26:$M$37,10,0),HLOOKUP(F256,Inputs!$C$45:$M$56,10,0)))</f>
        <v>0</v>
      </c>
      <c r="BC256" s="689">
        <f>IF(F256="","",IF(G256="Dubai",HLOOKUP(F256,Inputs!$C$26:$M$37,11,0),HLOOKUP(F256,Inputs!$C$45:$M$56,11,0)))</f>
        <v>0</v>
      </c>
      <c r="BD256" s="688">
        <f>IF(F256="","",IF(G256="Dubai",HLOOKUP(F256,Inputs!$C$26:$M$37,12,0),HLOOKUP(F256,Inputs!$C$45:$M$56,12,0)))</f>
        <v>0</v>
      </c>
      <c r="BE256" s="654"/>
      <c r="BF256" s="688">
        <f>IFERROR(IF(AL256="","",IF(AN256="Dubai",IF(OR(AL256="Plan1",AL256="Plan2"),VLOOKUP(BA256,Deviation!$B$31:$D$33,2,FALSE),VLOOKUP(BA256,Deviation!$B$31:$D$33,3,FALSE)),IF(OR(AL256="Plan1",AL256="Plan2"),VLOOKUP(BA256,Deviation!$E$31:$AE$33,2,FALSE),VLOOKUP(BA256,Deviation!$E$31:$AE$33,3,FALSE)))),0)</f>
        <v>1.125</v>
      </c>
      <c r="BG256" s="690">
        <f>IFERROR(IF(AL256="","",IF(AN256="Dubai",IF(AL256="Plan1",VLOOKUP(BB256,Deviation!$B$39:$C$40,2,FALSE),IF(AL256="Plan2",VLOOKUP(BB256,Deviation!$B$42:$C$43,2,FALSE),IF(AL256="Plan5",VLOOKUP(BB256,Deviation!$B$48:$C$49,2,FALSE),VLOOKUP(BB256,Deviation!$B$45:$C$46,2,FALSE)))),IF(AL256="Plan1",VLOOKUP(BB256,Deviation!$E$39:$F$40,2,FALSE),IF(AL256="Plan2",VLOOKUP(BB256,Deviation!$E$42:$F$43,2,FALSE),VLOOKUP(BB256,Deviation!$E$45:$F$46,2,FALSE))))),0)</f>
        <v>0</v>
      </c>
      <c r="BH256" s="690">
        <f>IFERROR(IF(AL256="","",IF(AN256="Dubai",IF(OR(AL256="Plan1",AL256="Plan2"),VLOOKUP(BC256,Deviation!$B$15:$D$19,2,FALSE),VLOOKUP(BC256,Deviation!$B$15:$D$19,3,FALSE)),IF(OR(AL256="Plan1",AL256="Plan2"),VLOOKUP(BC256,Deviation!$E$15:$AE$19,2,FALSE),VLOOKUP(BC256,Deviation!$E$15:$AE$19,3,FALSE)))),0)</f>
        <v>0</v>
      </c>
      <c r="BI256" s="691">
        <f>IFERROR(IF(AL256="","",IF(AN256="Dubai",VLOOKUP(BD256,Deviation!$B$24:$C$26,2,FALSE),100%)),0)</f>
        <v>1.06</v>
      </c>
      <c r="BJ256" s="672">
        <f>IF(AE256="Abu Dhabi",1,IFERROR(VLOOKUP(AM256,Deviation!$B$67:$E$79,MATCH('Census Data'!AA256,Deviation!$B$66:$E$66,0),0),1))</f>
        <v>1</v>
      </c>
      <c r="BK256" s="659">
        <f>IFERROR(VLOOKUP(I256,Deviation!$B$54:$C$62,2,0),1)</f>
        <v>1</v>
      </c>
      <c r="BL256" s="148"/>
      <c r="BM256" s="148"/>
      <c r="BN256" s="148"/>
      <c r="BO256" s="148"/>
      <c r="BP256" s="148"/>
      <c r="BQ256" s="148"/>
      <c r="BR256" s="148"/>
      <c r="BS256" s="148"/>
      <c r="BT256" s="148">
        <f t="shared" si="119"/>
        <v>0</v>
      </c>
    </row>
    <row r="257" spans="1:72" ht="15" hidden="1" x14ac:dyDescent="0.25">
      <c r="A257" s="94"/>
      <c r="B257" s="470"/>
      <c r="C257" s="94"/>
      <c r="D257" s="94" t="s">
        <v>175</v>
      </c>
      <c r="E257" s="94" t="s">
        <v>173</v>
      </c>
      <c r="F257" s="94" t="s">
        <v>63</v>
      </c>
      <c r="G257" s="94" t="s">
        <v>170</v>
      </c>
      <c r="H257" s="94"/>
      <c r="I257" s="94"/>
      <c r="J257" s="80">
        <v>53</v>
      </c>
      <c r="K257" s="59">
        <f>IF(F257="","",IF(G257="Dubai",HLOOKUP(F257,Inputs!$C$26:$M$28,3,0),HLOOKUP(F257,Inputs!$C$45:$M$46,2,0)))</f>
        <v>0</v>
      </c>
      <c r="L257" s="94"/>
      <c r="M257" s="105">
        <f>IF(N257,IF(COUNTIF(N257:AD257,"x")=0,1,IF(OR(O257="x",P257="x",Q257="×",R257="x",S257="x",T257="x",V257="x",U257="x",W257="x",X257="x",Y257="x",Z257="x",AC257="x",AD257="x"),-2,-1)),0)</f>
        <v>-2</v>
      </c>
      <c r="N257" s="654" t="b">
        <f>NOT(AND(ISBLANK(C257),ISBLANK(D257),ISBLANK(E257),ISBLANK(F257),ISBLANK(G257)))</f>
        <v>1</v>
      </c>
      <c r="O257" s="655" t="str">
        <f t="shared" ref="O257:S259" si="164">IF(ISBLANK(C257),"x","")</f>
        <v>x</v>
      </c>
      <c r="P257" s="655" t="str">
        <f t="shared" si="164"/>
        <v/>
      </c>
      <c r="Q257" s="655" t="str">
        <f t="shared" si="164"/>
        <v/>
      </c>
      <c r="R257" s="655" t="str">
        <f t="shared" si="164"/>
        <v/>
      </c>
      <c r="S257" s="655" t="str">
        <f t="shared" si="164"/>
        <v/>
      </c>
      <c r="T257" s="655" t="str">
        <f>IF(ISERROR(MATCH(G257,'Inputs Mapping'!$T$4:$T$5,0)),"x","")</f>
        <v/>
      </c>
      <c r="U257" s="655" t="str">
        <f>IF(ISERROR(MATCH(AA257,'Inputs Mapping'!$U$4:$U$5,0)),"x","")</f>
        <v>x</v>
      </c>
      <c r="V257" s="655" t="str">
        <f>IF(ISERROR(MATCH(AB257,'Inputs Mapping'!$V$4:$V$5,0)),"x","")</f>
        <v/>
      </c>
      <c r="W257" s="655" t="str">
        <f>IF(ISERROR(MATCH(F257,'Inputs Mapping'!$W$4:$W$8,0)),"x","")</f>
        <v/>
      </c>
      <c r="X257" s="655" t="str">
        <f>IF(ISBLANK(C257),"",IF(OR(ISERROR(J257),NOT(ISNUMBER(C257))),"x",""))</f>
        <v/>
      </c>
      <c r="Y257" s="655" t="str">
        <f>IF(ISBLANK(C257),"",IF(ISERROR(J257),"",""))</f>
        <v/>
      </c>
      <c r="Z257" s="655" t="str">
        <f>IF(ISBLANK(C257),"",IF(ISERROR(J257),"",IF(AND(eff_date-C257&lt;0,C257&lt;&gt;""),"x","")))</f>
        <v/>
      </c>
      <c r="AA257" s="655" t="str">
        <f t="shared" si="114"/>
        <v>M/F</v>
      </c>
      <c r="AB257" s="655" t="str">
        <f>IF(E257="","",IF(OR(E257="Married",E257="M"),"M",IF(OR(E257="Single",E257="S"),"S","")))</f>
        <v>S</v>
      </c>
      <c r="AC257" s="655" t="str">
        <f>IF(AND(OR(G257="Dubai",G257="Abu Dhabi"),H257="Employee",J257&gt;=18),"",IF(AND(OR(G257="Dubai",G257="Abu Dhabi"),H257="Dependent"),"","x"))</f>
        <v>x</v>
      </c>
      <c r="AD257" s="655" t="str">
        <f>IF(ISBLANK(I257),"x",IF(ISNUMBER(MATCH(I257,'Inputs Mapping'!$AF$5:$AF$199,0)),"","x"))</f>
        <v>x</v>
      </c>
      <c r="AE257" s="655" t="str">
        <f t="shared" si="115"/>
        <v>Dubai</v>
      </c>
      <c r="AF257" s="148"/>
      <c r="AG257" s="148"/>
      <c r="AH257" s="148" t="str">
        <f t="shared" si="116"/>
        <v>ADubai</v>
      </c>
      <c r="AI257" s="654" t="str">
        <f>IF(J257="","",VLOOKUP(J257,'Inputs Mapping'!$T$27:$V$31,3))</f>
        <v>41-59</v>
      </c>
      <c r="AJ257" s="654" t="str">
        <f>IF(J257="","",VLOOKUP(J257,'Inputs Mapping'!$T$17:$V$24,3))</f>
        <v>46 - 55</v>
      </c>
      <c r="AK257" s="654">
        <f>IF(G257="Dubai",IF(J257="","",1*AND(LEFT(AA257)="F",LEFT(AB257)="M",J257&gt;=$AK$3,J257&lt;$AK$4+1)),IF(J257="","",1*AND(LEFT(AA257)="F",LEFT(AB257)="M",J257&gt;=$AJ$3,J257&lt;$AJ$4+1)))</f>
        <v>0</v>
      </c>
      <c r="AL257" s="655">
        <f>K257</f>
        <v>0</v>
      </c>
      <c r="AM257" s="655">
        <f>IF(F257="","",IF(G257="Dubai",HLOOKUP(F257,Inputs!$C$26:$M$36,5,0),HLOOKUP(F257,Inputs!$C$45:$M$49,5,0)))</f>
        <v>0</v>
      </c>
      <c r="AN257" s="655" t="str">
        <f>G257</f>
        <v>Dubai</v>
      </c>
      <c r="AO257" s="654">
        <f>IF(AJ257="","",IF(AN257="Dubai",VLOOKUP(AJ257,'Inputs Mapping'!$V$17:$W$24,2,0),VLOOKUP(AI257,'Inputs Mapping'!$V$27:$W$31,2,0)))</f>
        <v>5</v>
      </c>
      <c r="AP257" s="685">
        <f>IFERROR(IF($AN257="","",HLOOKUP($AN257&amp;RIGHT($AL257,1),'input for formula'!$B$16:$I$20,3,0)),0)</f>
        <v>0</v>
      </c>
      <c r="AQ257" s="686">
        <f>IFERROR(IF($AN257="","",HLOOKUP($AN257&amp;$F257,'input for formula'!$B$22:$M$25,2,0)),0)</f>
        <v>0</v>
      </c>
      <c r="AR257" s="685">
        <f>IFERROR(IF($AN257="","",HLOOKUP($AN257&amp;RIGHT($AL257,1),'input for formula'!$B$16:$I$20,4,0)),0)</f>
        <v>0</v>
      </c>
      <c r="AS257" s="686">
        <f>IFERROR(IF($AN257="","",HLOOKUP($AN257&amp;$F257,'input for formula'!$B$22:$M$25,3,0)),0)</f>
        <v>0</v>
      </c>
      <c r="AT257" s="686">
        <f>IFERROR(IF($AN257="","",HLOOKUP($AN257&amp;RIGHT($AL257,1),'input for formula'!$B$16:$I$20,5,0)),0)</f>
        <v>0</v>
      </c>
      <c r="AU257" s="686">
        <f>IFERROR(IF($AN257="","",HLOOKUP($AN257&amp;$F257,'input for formula'!$B$22:$M$25,4,0)),0)</f>
        <v>0</v>
      </c>
      <c r="AV257" s="666">
        <f>IFERROR(IF($AN257="","",IF('Census Data'!$AN257="Abu Dhabi",VLOOKUP('Census Data'!$AM257,'input for formula'!$A$28:$C$41,3,0),VLOOKUP('Census Data'!$AM257,'input for formula'!$A$28:$C$47,2,0))),0)*IFERROR(1+IF(AN257="Dubai",VLOOKUP(F257,'Quotation for Dubai Plans'!$V$6:$X$12,3,FALSE),VLOOKUP(F257,'Quotation for Abu Dhabi Plans'!$W$6:$Y$12,3,FALSE)),0)</f>
        <v>0</v>
      </c>
      <c r="AW257" s="686">
        <f>AK257</f>
        <v>0</v>
      </c>
      <c r="AX257" s="687">
        <f>IFERROR(IF(AL257="","",IF(AN257="Dubai",HLOOKUP((AL257&amp;AM257),Deviation!$B$7:$S$8,2,0)*BF257*BH257*BI257*BG257,HLOOKUP((AL257&amp;AM257),Deviation!$B$9:$O$10,2,0)*BF257*BH257*BI257*BG257)),0)</f>
        <v>0</v>
      </c>
      <c r="AY257" s="668">
        <f>IF(AL257="","",IFERROR(IF(AL257="","",IF(AN257="Dubai",HLOOKUP(AZ257,'input for formula'!$B$3:$F$10,AO257,FALSE), IF(AND(H257="Employee",AN257="Abu Dhabi"),HLOOKUP(AZ257,'input for formula'!$I$3:$K$7,AO257,FALSE),HLOOKUP(AZ257,'input for formula'!$M$3:$O$7,AO257,FALSE)))*AX257+AP257*AQ257+AR257*AS257+AT257*AU257),0)*$AZ$3*BK257*BJ257)*IF(AND(Inputs!$C$19&gt;19,Inputs!$C$19&lt;30),(1+$AZ$2),1)</f>
        <v>0</v>
      </c>
      <c r="AZ257" s="148" t="str">
        <f>IF(AL257="","",IF(AN257="","",AN257&amp;RIGHT(AL257,1)))</f>
        <v>Dubai0</v>
      </c>
      <c r="BA257" s="688">
        <f>IF(F257="","",IF(G257="Dubai",HLOOKUP(F257,Inputs!$C$26:$M$37,9,0),HLOOKUP(F257,Inputs!$C$45:$M$56,9,0)))</f>
        <v>0</v>
      </c>
      <c r="BB257" s="689">
        <f>IF(F257="","",IF(G257="Dubai",HLOOKUP(F257,Inputs!$C$26:$M$37,10,0),HLOOKUP(F257,Inputs!$C$45:$M$56,10,0)))</f>
        <v>0</v>
      </c>
      <c r="BC257" s="689">
        <f>IF(F257="","",IF(G257="Dubai",HLOOKUP(F257,Inputs!$C$26:$M$37,11,0),HLOOKUP(F257,Inputs!$C$45:$M$56,11,0)))</f>
        <v>0</v>
      </c>
      <c r="BD257" s="688">
        <f>IF(F257="","",IF(G257="Dubai",HLOOKUP(F257,Inputs!$C$26:$M$37,12,0),HLOOKUP(F257,Inputs!$C$45:$M$56,12,0)))</f>
        <v>0</v>
      </c>
      <c r="BE257" s="654"/>
      <c r="BF257" s="688">
        <f>IFERROR(IF(AL257="","",IF(AN257="Dubai",IF(OR(AL257="Plan1",AL257="Plan2"),VLOOKUP(BA257,Deviation!$B$31:$D$33,2,FALSE),VLOOKUP(BA257,Deviation!$B$31:$D$33,3,FALSE)),IF(OR(AL257="Plan1",AL257="Plan2"),VLOOKUP(BA257,Deviation!$E$31:$AE$33,2,FALSE),VLOOKUP(BA257,Deviation!$E$31:$AE$33,3,FALSE)))),0)</f>
        <v>1.125</v>
      </c>
      <c r="BG257" s="690">
        <f>IFERROR(IF(AL257="","",IF(AN257="Dubai",IF(AL257="Plan1",VLOOKUP(BB257,Deviation!$B$39:$C$40,2,FALSE),IF(AL257="Plan2",VLOOKUP(BB257,Deviation!$B$42:$C$43,2,FALSE),IF(AL257="Plan5",VLOOKUP(BB257,Deviation!$B$48:$C$49,2,FALSE),VLOOKUP(BB257,Deviation!$B$45:$C$46,2,FALSE)))),IF(AL257="Plan1",VLOOKUP(BB257,Deviation!$E$39:$F$40,2,FALSE),IF(AL257="Plan2",VLOOKUP(BB257,Deviation!$E$42:$F$43,2,FALSE),VLOOKUP(BB257,Deviation!$E$45:$F$46,2,FALSE))))),0)</f>
        <v>0</v>
      </c>
      <c r="BH257" s="690">
        <f>IFERROR(IF(AL257="","",IF(AN257="Dubai",IF(OR(AL257="Plan1",AL257="Plan2"),VLOOKUP(BC257,Deviation!$B$15:$D$19,2,FALSE),VLOOKUP(BC257,Deviation!$B$15:$D$19,3,FALSE)),IF(OR(AL257="Plan1",AL257="Plan2"),VLOOKUP(BC257,Deviation!$E$15:$AE$19,2,FALSE),VLOOKUP(BC257,Deviation!$E$15:$AE$19,3,FALSE)))),0)</f>
        <v>0</v>
      </c>
      <c r="BI257" s="691">
        <f>IFERROR(IF(AL257="","",IF(AN257="Dubai",VLOOKUP(BD257,Deviation!$B$24:$C$26,2,FALSE),100%)),0)</f>
        <v>1.06</v>
      </c>
      <c r="BJ257" s="672">
        <f>IF(AE257="Abu Dhabi",1,IFERROR(VLOOKUP(AM257,Deviation!$B$67:$E$79,MATCH('Census Data'!AA257,Deviation!$B$66:$E$66,0),0),1))</f>
        <v>1</v>
      </c>
      <c r="BK257" s="659">
        <f>IFERROR(VLOOKUP(I257,Deviation!$B$54:$C$62,2,0),1)</f>
        <v>1</v>
      </c>
      <c r="BL257" s="148"/>
      <c r="BM257" s="148"/>
      <c r="BN257" s="148"/>
      <c r="BO257" s="148"/>
      <c r="BP257" s="148"/>
      <c r="BQ257" s="148"/>
      <c r="BR257" s="148"/>
      <c r="BS257" s="148"/>
      <c r="BT257" s="148">
        <f t="shared" si="119"/>
        <v>0</v>
      </c>
    </row>
    <row r="258" spans="1:72" ht="15" hidden="1" x14ac:dyDescent="0.25">
      <c r="A258" s="94"/>
      <c r="B258" s="470"/>
      <c r="C258" s="94"/>
      <c r="D258" s="94" t="s">
        <v>175</v>
      </c>
      <c r="E258" s="94" t="s">
        <v>173</v>
      </c>
      <c r="F258" s="94" t="s">
        <v>63</v>
      </c>
      <c r="G258" s="94" t="s">
        <v>170</v>
      </c>
      <c r="H258" s="94"/>
      <c r="I258" s="94"/>
      <c r="J258" s="80">
        <v>58</v>
      </c>
      <c r="K258" s="59">
        <f>IF(F258="","",IF(G258="Dubai",HLOOKUP(F258,Inputs!$C$26:$M$28,3,0),HLOOKUP(F258,Inputs!$C$45:$M$46,2,0)))</f>
        <v>0</v>
      </c>
      <c r="L258" s="94"/>
      <c r="M258" s="105">
        <f>IF(N258,IF(COUNTIF(N258:AD258,"x")=0,1,IF(OR(O258="x",P258="x",Q258="×",R258="x",S258="x",T258="x",V258="x",U258="x",W258="x",X258="x",Y258="x",Z258="x",AC258="x",AD258="x"),-2,-1)),0)</f>
        <v>-2</v>
      </c>
      <c r="N258" s="654" t="b">
        <f>NOT(AND(ISBLANK(C258),ISBLANK(D258),ISBLANK(E258),ISBLANK(F258),ISBLANK(G258)))</f>
        <v>1</v>
      </c>
      <c r="O258" s="655" t="str">
        <f t="shared" si="164"/>
        <v>x</v>
      </c>
      <c r="P258" s="655" t="str">
        <f t="shared" si="164"/>
        <v/>
      </c>
      <c r="Q258" s="655" t="str">
        <f t="shared" si="164"/>
        <v/>
      </c>
      <c r="R258" s="655" t="str">
        <f t="shared" si="164"/>
        <v/>
      </c>
      <c r="S258" s="655" t="str">
        <f t="shared" si="164"/>
        <v/>
      </c>
      <c r="T258" s="655" t="str">
        <f>IF(ISERROR(MATCH(G258,'Inputs Mapping'!$T$4:$T$5,0)),"x","")</f>
        <v/>
      </c>
      <c r="U258" s="655" t="str">
        <f>IF(ISERROR(MATCH(AA258,'Inputs Mapping'!$U$4:$U$5,0)),"x","")</f>
        <v>x</v>
      </c>
      <c r="V258" s="655" t="str">
        <f>IF(ISERROR(MATCH(AB258,'Inputs Mapping'!$V$4:$V$5,0)),"x","")</f>
        <v/>
      </c>
      <c r="W258" s="655" t="str">
        <f>IF(ISERROR(MATCH(F258,'Inputs Mapping'!$W$4:$W$8,0)),"x","")</f>
        <v/>
      </c>
      <c r="X258" s="655" t="str">
        <f>IF(ISBLANK(C258),"",IF(OR(ISERROR(J258),NOT(ISNUMBER(C258))),"x",""))</f>
        <v/>
      </c>
      <c r="Y258" s="655" t="str">
        <f>IF(ISBLANK(C258),"",IF(ISERROR(J258),"",""))</f>
        <v/>
      </c>
      <c r="Z258" s="655" t="str">
        <f>IF(ISBLANK(C258),"",IF(ISERROR(J258),"",IF(AND(eff_date-C258&lt;0,C258&lt;&gt;""),"x","")))</f>
        <v/>
      </c>
      <c r="AA258" s="655" t="str">
        <f t="shared" si="114"/>
        <v>M/F</v>
      </c>
      <c r="AB258" s="655" t="str">
        <f>IF(E258="","",IF(OR(E258="Married",E258="M"),"M",IF(OR(E258="Single",E258="S"),"S","")))</f>
        <v>S</v>
      </c>
      <c r="AC258" s="655" t="str">
        <f>IF(AND(OR(G258="Dubai",G258="Abu Dhabi"),H258="Employee",J258&gt;=18),"",IF(AND(OR(G258="Dubai",G258="Abu Dhabi"),H258="Dependent"),"","x"))</f>
        <v>x</v>
      </c>
      <c r="AD258" s="655" t="str">
        <f>IF(ISBLANK(I258),"x",IF(ISNUMBER(MATCH(I258,'Inputs Mapping'!$AF$5:$AF$199,0)),"","x"))</f>
        <v>x</v>
      </c>
      <c r="AE258" s="655" t="str">
        <f t="shared" si="115"/>
        <v>Dubai</v>
      </c>
      <c r="AF258" s="148"/>
      <c r="AG258" s="148"/>
      <c r="AH258" s="148" t="str">
        <f t="shared" si="116"/>
        <v>ADubai</v>
      </c>
      <c r="AI258" s="654" t="str">
        <f>IF(J258="","",VLOOKUP(J258,'Inputs Mapping'!$T$27:$V$31,3))</f>
        <v>41-59</v>
      </c>
      <c r="AJ258" s="654" t="str">
        <f>IF(J258="","",VLOOKUP(J258,'Inputs Mapping'!$T$17:$V$24,3))</f>
        <v>56 - 60</v>
      </c>
      <c r="AK258" s="654">
        <f>IF(G258="Dubai",IF(J258="","",1*AND(LEFT(AA258)="F",LEFT(AB258)="M",J258&gt;=$AK$3,J258&lt;$AK$4+1)),IF(J258="","",1*AND(LEFT(AA258)="F",LEFT(AB258)="M",J258&gt;=$AJ$3,J258&lt;$AJ$4+1)))</f>
        <v>0</v>
      </c>
      <c r="AL258" s="655">
        <f>K258</f>
        <v>0</v>
      </c>
      <c r="AM258" s="655">
        <f>IF(F258="","",IF(G258="Dubai",HLOOKUP(F258,Inputs!$C$26:$M$36,5,0),HLOOKUP(F258,Inputs!$C$45:$M$49,5,0)))</f>
        <v>0</v>
      </c>
      <c r="AN258" s="655" t="str">
        <f>G258</f>
        <v>Dubai</v>
      </c>
      <c r="AO258" s="654">
        <f>IF(AJ258="","",IF(AN258="Dubai",VLOOKUP(AJ258,'Inputs Mapping'!$V$17:$W$24,2,0),VLOOKUP(AI258,'Inputs Mapping'!$V$27:$W$31,2,0)))</f>
        <v>6</v>
      </c>
      <c r="AP258" s="685">
        <f>IFERROR(IF($AN258="","",HLOOKUP($AN258&amp;RIGHT($AL258,1),'input for formula'!$B$16:$I$20,3,0)),0)</f>
        <v>0</v>
      </c>
      <c r="AQ258" s="686">
        <f>IFERROR(IF($AN258="","",HLOOKUP($AN258&amp;$F258,'input for formula'!$B$22:$M$25,2,0)),0)</f>
        <v>0</v>
      </c>
      <c r="AR258" s="685">
        <f>IFERROR(IF($AN258="","",HLOOKUP($AN258&amp;RIGHT($AL258,1),'input for formula'!$B$16:$I$20,4,0)),0)</f>
        <v>0</v>
      </c>
      <c r="AS258" s="686">
        <f>IFERROR(IF($AN258="","",HLOOKUP($AN258&amp;$F258,'input for formula'!$B$22:$M$25,3,0)),0)</f>
        <v>0</v>
      </c>
      <c r="AT258" s="686">
        <f>IFERROR(IF($AN258="","",HLOOKUP($AN258&amp;RIGHT($AL258,1),'input for formula'!$B$16:$I$20,5,0)),0)</f>
        <v>0</v>
      </c>
      <c r="AU258" s="686">
        <f>IFERROR(IF($AN258="","",HLOOKUP($AN258&amp;$F258,'input for formula'!$B$22:$M$25,4,0)),0)</f>
        <v>0</v>
      </c>
      <c r="AV258" s="666">
        <f>IFERROR(IF($AN258="","",IF('Census Data'!$AN258="Abu Dhabi",VLOOKUP('Census Data'!$AM258,'input for formula'!$A$28:$C$41,3,0),VLOOKUP('Census Data'!$AM258,'input for formula'!$A$28:$C$47,2,0))),0)*IFERROR(1+IF(AN258="Dubai",VLOOKUP(F258,'Quotation for Dubai Plans'!$V$6:$X$12,3,FALSE),VLOOKUP(F258,'Quotation for Abu Dhabi Plans'!$W$6:$Y$12,3,FALSE)),0)</f>
        <v>0</v>
      </c>
      <c r="AW258" s="686">
        <f>AK258</f>
        <v>0</v>
      </c>
      <c r="AX258" s="687">
        <f>IFERROR(IF(AL258="","",IF(AN258="Dubai",HLOOKUP((AL258&amp;AM258),Deviation!$B$7:$S$8,2,0)*BF258*BH258*BI258*BG258,HLOOKUP((AL258&amp;AM258),Deviation!$B$9:$O$10,2,0)*BF258*BH258*BI258*BG258)),0)</f>
        <v>0</v>
      </c>
      <c r="AY258" s="668">
        <f>IF(AL258="","",IFERROR(IF(AL258="","",IF(AN258="Dubai",HLOOKUP(AZ258,'input for formula'!$B$3:$F$10,AO258,FALSE), IF(AND(H258="Employee",AN258="Abu Dhabi"),HLOOKUP(AZ258,'input for formula'!$I$3:$K$7,AO258,FALSE),HLOOKUP(AZ258,'input for formula'!$M$3:$O$7,AO258,FALSE)))*AX258+AP258*AQ258+AR258*AS258+AT258*AU258),0)*$AZ$3*BK258*BJ258)*IF(AND(Inputs!$C$19&gt;19,Inputs!$C$19&lt;30),(1+$AZ$2),1)</f>
        <v>0</v>
      </c>
      <c r="AZ258" s="148" t="str">
        <f>IF(AL258="","",IF(AN258="","",AN258&amp;RIGHT(AL258,1)))</f>
        <v>Dubai0</v>
      </c>
      <c r="BA258" s="688">
        <f>IF(F258="","",IF(G258="Dubai",HLOOKUP(F258,Inputs!$C$26:$M$37,9,0),HLOOKUP(F258,Inputs!$C$45:$M$56,9,0)))</f>
        <v>0</v>
      </c>
      <c r="BB258" s="689">
        <f>IF(F258="","",IF(G258="Dubai",HLOOKUP(F258,Inputs!$C$26:$M$37,10,0),HLOOKUP(F258,Inputs!$C$45:$M$56,10,0)))</f>
        <v>0</v>
      </c>
      <c r="BC258" s="689">
        <f>IF(F258="","",IF(G258="Dubai",HLOOKUP(F258,Inputs!$C$26:$M$37,11,0),HLOOKUP(F258,Inputs!$C$45:$M$56,11,0)))</f>
        <v>0</v>
      </c>
      <c r="BD258" s="688">
        <f>IF(F258="","",IF(G258="Dubai",HLOOKUP(F258,Inputs!$C$26:$M$37,12,0),HLOOKUP(F258,Inputs!$C$45:$M$56,12,0)))</f>
        <v>0</v>
      </c>
      <c r="BE258" s="654"/>
      <c r="BF258" s="688">
        <f>IFERROR(IF(AL258="","",IF(AN258="Dubai",IF(OR(AL258="Plan1",AL258="Plan2"),VLOOKUP(BA258,Deviation!$B$31:$D$33,2,FALSE),VLOOKUP(BA258,Deviation!$B$31:$D$33,3,FALSE)),IF(OR(AL258="Plan1",AL258="Plan2"),VLOOKUP(BA258,Deviation!$E$31:$AE$33,2,FALSE),VLOOKUP(BA258,Deviation!$E$31:$AE$33,3,FALSE)))),0)</f>
        <v>1.125</v>
      </c>
      <c r="BG258" s="690">
        <f>IFERROR(IF(AL258="","",IF(AN258="Dubai",IF(AL258="Plan1",VLOOKUP(BB258,Deviation!$B$39:$C$40,2,FALSE),IF(AL258="Plan2",VLOOKUP(BB258,Deviation!$B$42:$C$43,2,FALSE),IF(AL258="Plan5",VLOOKUP(BB258,Deviation!$B$48:$C$49,2,FALSE),VLOOKUP(BB258,Deviation!$B$45:$C$46,2,FALSE)))),IF(AL258="Plan1",VLOOKUP(BB258,Deviation!$E$39:$F$40,2,FALSE),IF(AL258="Plan2",VLOOKUP(BB258,Deviation!$E$42:$F$43,2,FALSE),VLOOKUP(BB258,Deviation!$E$45:$F$46,2,FALSE))))),0)</f>
        <v>0</v>
      </c>
      <c r="BH258" s="690">
        <f>IFERROR(IF(AL258="","",IF(AN258="Dubai",IF(OR(AL258="Plan1",AL258="Plan2"),VLOOKUP(BC258,Deviation!$B$15:$D$19,2,FALSE),VLOOKUP(BC258,Deviation!$B$15:$D$19,3,FALSE)),IF(OR(AL258="Plan1",AL258="Plan2"),VLOOKUP(BC258,Deviation!$E$15:$AE$19,2,FALSE),VLOOKUP(BC258,Deviation!$E$15:$AE$19,3,FALSE)))),0)</f>
        <v>0</v>
      </c>
      <c r="BI258" s="691">
        <f>IFERROR(IF(AL258="","",IF(AN258="Dubai",VLOOKUP(BD258,Deviation!$B$24:$C$26,2,FALSE),100%)),0)</f>
        <v>1.06</v>
      </c>
      <c r="BJ258" s="672">
        <f>IF(AE258="Abu Dhabi",1,IFERROR(VLOOKUP(AM258,Deviation!$B$67:$E$79,MATCH('Census Data'!AA258,Deviation!$B$66:$E$66,0),0),1))</f>
        <v>1</v>
      </c>
      <c r="BK258" s="659">
        <f>IFERROR(VLOOKUP(I258,Deviation!$B$54:$C$62,2,0),1)</f>
        <v>1</v>
      </c>
      <c r="BL258" s="148"/>
      <c r="BM258" s="148"/>
      <c r="BN258" s="148"/>
      <c r="BO258" s="148"/>
      <c r="BP258" s="148"/>
      <c r="BQ258" s="148"/>
      <c r="BR258" s="148"/>
      <c r="BS258" s="148"/>
      <c r="BT258" s="148">
        <f t="shared" si="119"/>
        <v>0</v>
      </c>
    </row>
    <row r="259" spans="1:72" ht="15" hidden="1" x14ac:dyDescent="0.25">
      <c r="A259" s="94"/>
      <c r="B259" s="470"/>
      <c r="C259" s="94"/>
      <c r="D259" s="94" t="s">
        <v>175</v>
      </c>
      <c r="E259" s="94" t="s">
        <v>173</v>
      </c>
      <c r="F259" s="94" t="s">
        <v>63</v>
      </c>
      <c r="G259" s="94" t="s">
        <v>170</v>
      </c>
      <c r="H259" s="94"/>
      <c r="I259" s="94"/>
      <c r="J259" s="80">
        <v>63</v>
      </c>
      <c r="K259" s="59">
        <f>IF(F259="","",IF(G259="Dubai",HLOOKUP(F259,Inputs!$C$26:$M$28,3,0),HLOOKUP(F259,Inputs!$C$45:$M$46,2,0)))</f>
        <v>0</v>
      </c>
      <c r="L259" s="94"/>
      <c r="M259" s="105">
        <f>IF(N259,IF(COUNTIF(N259:AD259,"x")=0,1,IF(OR(O259="x",P259="x",Q259="×",R259="x",S259="x",T259="x",V259="x",U259="x",W259="x",X259="x",Y259="x",Z259="x",AC259="x",AD259="x"),-2,-1)),0)</f>
        <v>-2</v>
      </c>
      <c r="N259" s="654" t="b">
        <f>NOT(AND(ISBLANK(C259),ISBLANK(D259),ISBLANK(E259),ISBLANK(F259),ISBLANK(G259)))</f>
        <v>1</v>
      </c>
      <c r="O259" s="655" t="str">
        <f t="shared" si="164"/>
        <v>x</v>
      </c>
      <c r="P259" s="655" t="str">
        <f t="shared" si="164"/>
        <v/>
      </c>
      <c r="Q259" s="655" t="str">
        <f t="shared" si="164"/>
        <v/>
      </c>
      <c r="R259" s="655" t="str">
        <f t="shared" si="164"/>
        <v/>
      </c>
      <c r="S259" s="655" t="str">
        <f t="shared" si="164"/>
        <v/>
      </c>
      <c r="T259" s="655" t="str">
        <f>IF(ISERROR(MATCH(G259,'Inputs Mapping'!$T$4:$T$5,0)),"x","")</f>
        <v/>
      </c>
      <c r="U259" s="655" t="str">
        <f>IF(ISERROR(MATCH(AA259,'Inputs Mapping'!$U$4:$U$5,0)),"x","")</f>
        <v>x</v>
      </c>
      <c r="V259" s="655" t="str">
        <f>IF(ISERROR(MATCH(AB259,'Inputs Mapping'!$V$4:$V$5,0)),"x","")</f>
        <v/>
      </c>
      <c r="W259" s="655" t="str">
        <f>IF(ISERROR(MATCH(F259,'Inputs Mapping'!$W$4:$W$8,0)),"x","")</f>
        <v/>
      </c>
      <c r="X259" s="655" t="str">
        <f>IF(ISBLANK(C259),"",IF(OR(ISERROR(J259),NOT(ISNUMBER(C259))),"x",""))</f>
        <v/>
      </c>
      <c r="Y259" s="655" t="str">
        <f>IF(ISBLANK(C259),"",IF(ISERROR(J259),"",""))</f>
        <v/>
      </c>
      <c r="Z259" s="655" t="str">
        <f>IF(ISBLANK(C259),"",IF(ISERROR(J259),"",IF(AND(eff_date-C259&lt;0,C259&lt;&gt;""),"x","")))</f>
        <v/>
      </c>
      <c r="AA259" s="655" t="str">
        <f t="shared" si="114"/>
        <v>M/F</v>
      </c>
      <c r="AB259" s="655" t="str">
        <f>IF(E259="","",IF(OR(E259="Married",E259="M"),"M",IF(OR(E259="Single",E259="S"),"S","")))</f>
        <v>S</v>
      </c>
      <c r="AC259" s="655" t="str">
        <f>IF(AND(OR(G259="Dubai",G259="Abu Dhabi"),H259="Employee",J259&gt;=18),"",IF(AND(OR(G259="Dubai",G259="Abu Dhabi"),H259="Dependent"),"","x"))</f>
        <v>x</v>
      </c>
      <c r="AD259" s="655" t="str">
        <f>IF(ISBLANK(I259),"x",IF(ISNUMBER(MATCH(I259,'Inputs Mapping'!$AF$5:$AF$199,0)),"","x"))</f>
        <v>x</v>
      </c>
      <c r="AE259" s="655" t="str">
        <f t="shared" si="115"/>
        <v>Dubai</v>
      </c>
      <c r="AF259" s="148"/>
      <c r="AG259" s="148"/>
      <c r="AH259" s="148" t="str">
        <f t="shared" si="116"/>
        <v>ADubai</v>
      </c>
      <c r="AI259" s="654" t="str">
        <f>IF(J259="","",VLOOKUP(J259,'Inputs Mapping'!$T$27:$V$31,3))</f>
        <v>60-69</v>
      </c>
      <c r="AJ259" s="654" t="str">
        <f>IF(J259="","",VLOOKUP(J259,'Inputs Mapping'!$T$17:$V$24,3))</f>
        <v>61 - 65</v>
      </c>
      <c r="AK259" s="654">
        <f>IF(G259="Dubai",IF(J259="","",1*AND(LEFT(AA259)="F",LEFT(AB259)="M",J259&gt;=$AK$3,J259&lt;$AK$4+1)),IF(J259="","",1*AND(LEFT(AA259)="F",LEFT(AB259)="M",J259&gt;=$AJ$3,J259&lt;$AJ$4+1)))</f>
        <v>0</v>
      </c>
      <c r="AL259" s="655">
        <f>K259</f>
        <v>0</v>
      </c>
      <c r="AM259" s="655">
        <f>IF(F259="","",IF(G259="Dubai",HLOOKUP(F259,Inputs!$C$26:$M$36,5,0),HLOOKUP(F259,Inputs!$C$45:$M$49,5,0)))</f>
        <v>0</v>
      </c>
      <c r="AN259" s="655" t="str">
        <f>G259</f>
        <v>Dubai</v>
      </c>
      <c r="AO259" s="654">
        <f>IF(AJ259="","",IF(AN259="Dubai",VLOOKUP(AJ259,'Inputs Mapping'!$V$17:$W$24,2,0),VLOOKUP(AI259,'Inputs Mapping'!$V$27:$W$31,2,0)))</f>
        <v>7</v>
      </c>
      <c r="AP259" s="685">
        <f>IFERROR(IF($AN259="","",HLOOKUP($AN259&amp;RIGHT($AL259,1),'input for formula'!$B$16:$I$20,3,0)),0)</f>
        <v>0</v>
      </c>
      <c r="AQ259" s="686">
        <f>IFERROR(IF($AN259="","",HLOOKUP($AN259&amp;$F259,'input for formula'!$B$22:$M$25,2,0)),0)</f>
        <v>0</v>
      </c>
      <c r="AR259" s="685">
        <f>IFERROR(IF($AN259="","",HLOOKUP($AN259&amp;RIGHT($AL259,1),'input for formula'!$B$16:$I$20,4,0)),0)</f>
        <v>0</v>
      </c>
      <c r="AS259" s="686">
        <f>IFERROR(IF($AN259="","",HLOOKUP($AN259&amp;$F259,'input for formula'!$B$22:$M$25,3,0)),0)</f>
        <v>0</v>
      </c>
      <c r="AT259" s="686">
        <f>IFERROR(IF($AN259="","",HLOOKUP($AN259&amp;RIGHT($AL259,1),'input for formula'!$B$16:$I$20,5,0)),0)</f>
        <v>0</v>
      </c>
      <c r="AU259" s="686">
        <f>IFERROR(IF($AN259="","",HLOOKUP($AN259&amp;$F259,'input for formula'!$B$22:$M$25,4,0)),0)</f>
        <v>0</v>
      </c>
      <c r="AV259" s="666">
        <f>IFERROR(IF($AN259="","",IF('Census Data'!$AN259="Abu Dhabi",VLOOKUP('Census Data'!$AM259,'input for formula'!$A$28:$C$41,3,0),VLOOKUP('Census Data'!$AM259,'input for formula'!$A$28:$C$47,2,0))),0)*IFERROR(1+IF(AN259="Dubai",VLOOKUP(F259,'Quotation for Dubai Plans'!$V$6:$X$12,3,FALSE),VLOOKUP(F259,'Quotation for Abu Dhabi Plans'!$W$6:$Y$12,3,FALSE)),0)</f>
        <v>0</v>
      </c>
      <c r="AW259" s="686">
        <f>AK259</f>
        <v>0</v>
      </c>
      <c r="AX259" s="687">
        <f>IFERROR(IF(AL259="","",IF(AN259="Dubai",HLOOKUP((AL259&amp;AM259),Deviation!$B$7:$S$8,2,0)*BF259*BH259*BI259*BG259,HLOOKUP((AL259&amp;AM259),Deviation!$B$9:$O$10,2,0)*BF259*BH259*BI259*BG259)),0)</f>
        <v>0</v>
      </c>
      <c r="AY259" s="668">
        <f>IF(AL259="","",IFERROR(IF(AL259="","",IF(AN259="Dubai",HLOOKUP(AZ259,'input for formula'!$B$3:$F$10,AO259,FALSE), IF(AND(H259="Employee",AN259="Abu Dhabi"),HLOOKUP(AZ259,'input for formula'!$I$3:$K$7,AO259,FALSE),HLOOKUP(AZ259,'input for formula'!$M$3:$O$7,AO259,FALSE)))*AX259+AP259*AQ259+AR259*AS259+AT259*AU259),0)*$AZ$3*BK259*BJ259)*IF(AND(Inputs!$C$19&gt;19,Inputs!$C$19&lt;30),(1+$AZ$2),1)</f>
        <v>0</v>
      </c>
      <c r="AZ259" s="148" t="str">
        <f>IF(AL259="","",IF(AN259="","",AN259&amp;RIGHT(AL259,1)))</f>
        <v>Dubai0</v>
      </c>
      <c r="BA259" s="688">
        <f>IF(F259="","",IF(G259="Dubai",HLOOKUP(F259,Inputs!$C$26:$M$37,9,0),HLOOKUP(F259,Inputs!$C$45:$M$56,9,0)))</f>
        <v>0</v>
      </c>
      <c r="BB259" s="689">
        <f>IF(F259="","",IF(G259="Dubai",HLOOKUP(F259,Inputs!$C$26:$M$37,10,0),HLOOKUP(F259,Inputs!$C$45:$M$56,10,0)))</f>
        <v>0</v>
      </c>
      <c r="BC259" s="689">
        <f>IF(F259="","",IF(G259="Dubai",HLOOKUP(F259,Inputs!$C$26:$M$37,11,0),HLOOKUP(F259,Inputs!$C$45:$M$56,11,0)))</f>
        <v>0</v>
      </c>
      <c r="BD259" s="688">
        <f>IF(F259="","",IF(G259="Dubai",HLOOKUP(F259,Inputs!$C$26:$M$37,12,0),HLOOKUP(F259,Inputs!$C$45:$M$56,12,0)))</f>
        <v>0</v>
      </c>
      <c r="BE259" s="654"/>
      <c r="BF259" s="688">
        <f>IFERROR(IF(AL259="","",IF(AN259="Dubai",IF(OR(AL259="Plan1",AL259="Plan2"),VLOOKUP(BA259,Deviation!$B$31:$D$33,2,FALSE),VLOOKUP(BA259,Deviation!$B$31:$D$33,3,FALSE)),IF(OR(AL259="Plan1",AL259="Plan2"),VLOOKUP(BA259,Deviation!$E$31:$AE$33,2,FALSE),VLOOKUP(BA259,Deviation!$E$31:$AE$33,3,FALSE)))),0)</f>
        <v>1.125</v>
      </c>
      <c r="BG259" s="690">
        <f>IFERROR(IF(AL259="","",IF(AN259="Dubai",IF(AL259="Plan1",VLOOKUP(BB259,Deviation!$B$39:$C$40,2,FALSE),IF(AL259="Plan2",VLOOKUP(BB259,Deviation!$B$42:$C$43,2,FALSE),IF(AL259="Plan5",VLOOKUP(BB259,Deviation!$B$48:$C$49,2,FALSE),VLOOKUP(BB259,Deviation!$B$45:$C$46,2,FALSE)))),IF(AL259="Plan1",VLOOKUP(BB259,Deviation!$E$39:$F$40,2,FALSE),IF(AL259="Plan2",VLOOKUP(BB259,Deviation!$E$42:$F$43,2,FALSE),VLOOKUP(BB259,Deviation!$E$45:$F$46,2,FALSE))))),0)</f>
        <v>0</v>
      </c>
      <c r="BH259" s="690">
        <f>IFERROR(IF(AL259="","",IF(AN259="Dubai",IF(OR(AL259="Plan1",AL259="Plan2"),VLOOKUP(BC259,Deviation!$B$15:$D$19,2,FALSE),VLOOKUP(BC259,Deviation!$B$15:$D$19,3,FALSE)),IF(OR(AL259="Plan1",AL259="Plan2"),VLOOKUP(BC259,Deviation!$E$15:$AE$19,2,FALSE),VLOOKUP(BC259,Deviation!$E$15:$AE$19,3,FALSE)))),0)</f>
        <v>0</v>
      </c>
      <c r="BI259" s="691">
        <f>IFERROR(IF(AL259="","",IF(AN259="Dubai",VLOOKUP(BD259,Deviation!$B$24:$C$26,2,FALSE),100%)),0)</f>
        <v>1.06</v>
      </c>
      <c r="BJ259" s="672">
        <f>IF(AE259="Abu Dhabi",1,IFERROR(VLOOKUP(AM259,Deviation!$B$67:$E$79,MATCH('Census Data'!AA259,Deviation!$B$66:$E$66,0),0),1))</f>
        <v>1</v>
      </c>
      <c r="BK259" s="659">
        <f>IFERROR(VLOOKUP(I259,Deviation!$B$54:$C$62,2,0),1)</f>
        <v>1</v>
      </c>
      <c r="BL259" s="148"/>
      <c r="BM259" s="148"/>
      <c r="BN259" s="148"/>
      <c r="BO259" s="148"/>
      <c r="BP259" s="148"/>
      <c r="BQ259" s="148"/>
      <c r="BR259" s="148"/>
      <c r="BS259" s="148"/>
      <c r="BT259" s="148">
        <f t="shared" si="119"/>
        <v>0</v>
      </c>
    </row>
    <row r="260" spans="1:72" ht="15" hidden="1" x14ac:dyDescent="0.25">
      <c r="A260" s="94"/>
      <c r="B260" s="470"/>
      <c r="C260" s="94"/>
      <c r="D260" s="94" t="s">
        <v>175</v>
      </c>
      <c r="E260" s="94" t="s">
        <v>173</v>
      </c>
      <c r="F260" s="94" t="s">
        <v>63</v>
      </c>
      <c r="G260" s="94" t="s">
        <v>170</v>
      </c>
      <c r="H260" s="94"/>
      <c r="I260" s="94"/>
      <c r="J260" s="80">
        <v>67</v>
      </c>
      <c r="K260" s="59">
        <f>IF(F260="","",IF(G260="Dubai",HLOOKUP(F260,Inputs!$C$26:$M$28,3,0),HLOOKUP(F260,Inputs!$C$45:$M$46,2,0)))</f>
        <v>0</v>
      </c>
      <c r="L260" s="94"/>
      <c r="M260" s="105">
        <f t="shared" si="159"/>
        <v>-2</v>
      </c>
      <c r="N260" s="654" t="b">
        <f t="shared" si="147"/>
        <v>1</v>
      </c>
      <c r="O260" s="655" t="str">
        <f t="shared" si="148"/>
        <v>x</v>
      </c>
      <c r="P260" s="655" t="str">
        <f t="shared" si="149"/>
        <v/>
      </c>
      <c r="Q260" s="655" t="str">
        <f t="shared" si="150"/>
        <v/>
      </c>
      <c r="R260" s="655" t="str">
        <f t="shared" si="151"/>
        <v/>
      </c>
      <c r="S260" s="655" t="str">
        <f t="shared" si="152"/>
        <v/>
      </c>
      <c r="T260" s="655" t="str">
        <f>IF(ISERROR(MATCH(G260,'Inputs Mapping'!$T$4:$T$5,0)),"x","")</f>
        <v/>
      </c>
      <c r="U260" s="655" t="str">
        <f>IF(ISERROR(MATCH(AA260,'Inputs Mapping'!$U$4:$U$5,0)),"x","")</f>
        <v>x</v>
      </c>
      <c r="V260" s="655" t="str">
        <f>IF(ISERROR(MATCH(AB260,'Inputs Mapping'!$V$4:$V$5,0)),"x","")</f>
        <v/>
      </c>
      <c r="W260" s="655" t="str">
        <f>IF(ISERROR(MATCH(F260,'Inputs Mapping'!$W$4:$W$8,0)),"x","")</f>
        <v/>
      </c>
      <c r="X260" s="655" t="str">
        <f t="shared" si="153"/>
        <v/>
      </c>
      <c r="Y260" s="655" t="str">
        <f t="shared" si="154"/>
        <v/>
      </c>
      <c r="Z260" s="655" t="str">
        <f t="shared" si="160"/>
        <v/>
      </c>
      <c r="AA260" s="655" t="str">
        <f t="shared" si="114"/>
        <v>M/F</v>
      </c>
      <c r="AB260" s="655" t="str">
        <f t="shared" si="161"/>
        <v>S</v>
      </c>
      <c r="AC260" s="655" t="str">
        <f t="shared" si="162"/>
        <v>x</v>
      </c>
      <c r="AD260" s="655" t="str">
        <f>IF(ISBLANK(I260),"x",IF(ISNUMBER(MATCH(I260,'Inputs Mapping'!$AF$5:$AF$199,0)),"","x"))</f>
        <v>x</v>
      </c>
      <c r="AE260" s="655" t="str">
        <f t="shared" si="115"/>
        <v>Dubai</v>
      </c>
      <c r="AF260" s="148"/>
      <c r="AG260" s="148"/>
      <c r="AH260" s="148" t="str">
        <f t="shared" si="116"/>
        <v>ADubai</v>
      </c>
      <c r="AI260" s="654" t="str">
        <f>IF(J260="","",VLOOKUP(J260,'Inputs Mapping'!$T$27:$V$31,3))</f>
        <v>60-69</v>
      </c>
      <c r="AJ260" s="654" t="str">
        <f>IF(J260="","",VLOOKUP(J260,'Inputs Mapping'!$T$17:$V$24,3))</f>
        <v>66 - 69</v>
      </c>
      <c r="AK260" s="654">
        <f t="shared" si="155"/>
        <v>0</v>
      </c>
      <c r="AL260" s="655">
        <f t="shared" si="156"/>
        <v>0</v>
      </c>
      <c r="AM260" s="655">
        <f>IF(F260="","",IF(G260="Dubai",HLOOKUP(F260,Inputs!$C$26:$M$36,5,0),HLOOKUP(F260,Inputs!$C$45:$M$49,5,0)))</f>
        <v>0</v>
      </c>
      <c r="AN260" s="655" t="str">
        <f t="shared" si="157"/>
        <v>Dubai</v>
      </c>
      <c r="AO260" s="654">
        <f>IF(AJ260="","",IF(AN260="Dubai",VLOOKUP(AJ260,'Inputs Mapping'!$V$17:$W$24,2,0),VLOOKUP(AI260,'Inputs Mapping'!$V$27:$W$31,2,0)))</f>
        <v>8</v>
      </c>
      <c r="AP260" s="685">
        <f>IFERROR(IF($AN260="","",HLOOKUP($AN260&amp;RIGHT($AL260,1),'input for formula'!$B$16:$I$20,3,0)),0)</f>
        <v>0</v>
      </c>
      <c r="AQ260" s="686">
        <f>IFERROR(IF($AN260="","",HLOOKUP($AN260&amp;$F260,'input for formula'!$B$22:$M$25,2,0)),0)</f>
        <v>0</v>
      </c>
      <c r="AR260" s="685">
        <f>IFERROR(IF($AN260="","",HLOOKUP($AN260&amp;RIGHT($AL260,1),'input for formula'!$B$16:$I$20,4,0)),0)</f>
        <v>0</v>
      </c>
      <c r="AS260" s="686">
        <f>IFERROR(IF($AN260="","",HLOOKUP($AN260&amp;$F260,'input for formula'!$B$22:$M$25,3,0)),0)</f>
        <v>0</v>
      </c>
      <c r="AT260" s="686">
        <f>IFERROR(IF($AN260="","",HLOOKUP($AN260&amp;RIGHT($AL260,1),'input for formula'!$B$16:$I$20,5,0)),0)</f>
        <v>0</v>
      </c>
      <c r="AU260" s="686">
        <f>IFERROR(IF($AN260="","",HLOOKUP($AN260&amp;$F260,'input for formula'!$B$22:$M$25,4,0)),0)</f>
        <v>0</v>
      </c>
      <c r="AV260" s="666">
        <f>IFERROR(IF($AN260="","",IF('Census Data'!$AN260="Abu Dhabi",VLOOKUP('Census Data'!$AM260,'input for formula'!$A$28:$C$41,3,0),VLOOKUP('Census Data'!$AM260,'input for formula'!$A$28:$C$47,2,0))),0)*IFERROR(1+IF(AN260="Dubai",VLOOKUP(F260,'Quotation for Dubai Plans'!$V$6:$X$12,3,FALSE),VLOOKUP(F260,'Quotation for Abu Dhabi Plans'!$W$6:$Y$12,3,FALSE)),0)</f>
        <v>0</v>
      </c>
      <c r="AW260" s="686">
        <f t="shared" si="158"/>
        <v>0</v>
      </c>
      <c r="AX260" s="687">
        <f>IFERROR(IF(AL260="","",IF(AN260="Dubai",HLOOKUP((AL260&amp;AM260),Deviation!$B$7:$S$8,2,0)*BF260*BH260*BI260*BG260,HLOOKUP((AL260&amp;AM260),Deviation!$B$9:$O$10,2,0)*BF260*BH260*BI260*BG260)),0)</f>
        <v>0</v>
      </c>
      <c r="AY260" s="668">
        <f>IF(AL260="","",IFERROR(IF(AL260="","",IF(AN260="Dubai",HLOOKUP(AZ260,'input for formula'!$B$3:$F$10,AO260,FALSE), IF(AND(H260="Employee",AN260="Abu Dhabi"),HLOOKUP(AZ260,'input for formula'!$I$3:$K$7,AO260,FALSE),HLOOKUP(AZ260,'input for formula'!$M$3:$O$7,AO260,FALSE)))*AX260+AP260*AQ260+AR260*AS260+AT260*AU260),0)*$AZ$3*BK260*BJ260)*IF(AND(Inputs!$C$19&gt;19,Inputs!$C$19&lt;30),(1+$AZ$2),1)</f>
        <v>0</v>
      </c>
      <c r="AZ260" s="148" t="str">
        <f t="shared" si="163"/>
        <v>Dubai0</v>
      </c>
      <c r="BA260" s="688">
        <f>IF(F260="","",IF(G260="Dubai",HLOOKUP(F260,Inputs!$C$26:$M$37,9,0),HLOOKUP(F260,Inputs!$C$45:$M$56,9,0)))</f>
        <v>0</v>
      </c>
      <c r="BB260" s="689">
        <f>IF(F260="","",IF(G260="Dubai",HLOOKUP(F260,Inputs!$C$26:$M$37,10,0),HLOOKUP(F260,Inputs!$C$45:$M$56,10,0)))</f>
        <v>0</v>
      </c>
      <c r="BC260" s="689">
        <f>IF(F260="","",IF(G260="Dubai",HLOOKUP(F260,Inputs!$C$26:$M$37,11,0),HLOOKUP(F260,Inputs!$C$45:$M$56,11,0)))</f>
        <v>0</v>
      </c>
      <c r="BD260" s="688">
        <f>IF(F260="","",IF(G260="Dubai",HLOOKUP(F260,Inputs!$C$26:$M$37,12,0),HLOOKUP(F260,Inputs!$C$45:$M$56,12,0)))</f>
        <v>0</v>
      </c>
      <c r="BE260" s="654"/>
      <c r="BF260" s="688">
        <f>IFERROR(IF(AL260="","",IF(AN260="Dubai",IF(OR(AL260="Plan1",AL260="Plan2"),VLOOKUP(BA260,Deviation!$B$31:$D$33,2,FALSE),VLOOKUP(BA260,Deviation!$B$31:$D$33,3,FALSE)),IF(OR(AL260="Plan1",AL260="Plan2"),VLOOKUP(BA260,Deviation!$E$31:$AE$33,2,FALSE),VLOOKUP(BA260,Deviation!$E$31:$AE$33,3,FALSE)))),0)</f>
        <v>1.125</v>
      </c>
      <c r="BG260" s="690">
        <f>IFERROR(IF(AL260="","",IF(AN260="Dubai",IF(AL260="Plan1",VLOOKUP(BB260,Deviation!$B$39:$C$40,2,FALSE),IF(AL260="Plan2",VLOOKUP(BB260,Deviation!$B$42:$C$43,2,FALSE),IF(AL260="Plan5",VLOOKUP(BB260,Deviation!$B$48:$C$49,2,FALSE),VLOOKUP(BB260,Deviation!$B$45:$C$46,2,FALSE)))),IF(AL260="Plan1",VLOOKUP(BB260,Deviation!$E$39:$F$40,2,FALSE),IF(AL260="Plan2",VLOOKUP(BB260,Deviation!$E$42:$F$43,2,FALSE),VLOOKUP(BB260,Deviation!$E$45:$F$46,2,FALSE))))),0)</f>
        <v>0</v>
      </c>
      <c r="BH260" s="690">
        <f>IFERROR(IF(AL260="","",IF(AN260="Dubai",IF(OR(AL260="Plan1",AL260="Plan2"),VLOOKUP(BC260,Deviation!$B$15:$D$19,2,FALSE),VLOOKUP(BC260,Deviation!$B$15:$D$19,3,FALSE)),IF(OR(AL260="Plan1",AL260="Plan2"),VLOOKUP(BC260,Deviation!$E$15:$AE$19,2,FALSE),VLOOKUP(BC260,Deviation!$E$15:$AE$19,3,FALSE)))),0)</f>
        <v>0</v>
      </c>
      <c r="BI260" s="691">
        <f>IFERROR(IF(AL260="","",IF(AN260="Dubai",VLOOKUP(BD260,Deviation!$B$24:$C$26,2,FALSE),100%)),0)</f>
        <v>1.06</v>
      </c>
      <c r="BJ260" s="672">
        <f>IF(AE260="Abu Dhabi",1,IFERROR(VLOOKUP(AM260,Deviation!$B$67:$E$79,MATCH('Census Data'!AA260,Deviation!$B$66:$E$66,0),0),1))</f>
        <v>1</v>
      </c>
      <c r="BK260" s="659">
        <f>IFERROR(VLOOKUP(I260,Deviation!$B$54:$C$62,2,0),1)</f>
        <v>1</v>
      </c>
      <c r="BL260" s="148"/>
      <c r="BM260" s="148"/>
      <c r="BN260" s="148"/>
      <c r="BO260" s="148"/>
      <c r="BP260" s="148"/>
      <c r="BQ260" s="148"/>
      <c r="BR260" s="148"/>
      <c r="BS260" s="148"/>
      <c r="BT260" s="148">
        <f t="shared" si="119"/>
        <v>0</v>
      </c>
    </row>
    <row r="261" spans="1:72" ht="15" hidden="1" x14ac:dyDescent="0.25">
      <c r="A261" s="94"/>
      <c r="B261" s="470"/>
      <c r="C261" s="94"/>
      <c r="D261" s="94" t="s">
        <v>175</v>
      </c>
      <c r="E261" s="94" t="s">
        <v>173</v>
      </c>
      <c r="F261" s="94" t="s">
        <v>64</v>
      </c>
      <c r="G261" s="94" t="s">
        <v>170</v>
      </c>
      <c r="H261" s="94"/>
      <c r="I261" s="94"/>
      <c r="J261" s="80">
        <v>15</v>
      </c>
      <c r="K261" s="59">
        <f>IF(F261="","",IF(G261="Dubai",HLOOKUP(F261,Inputs!$C$26:$M$28,3,0),HLOOKUP(F261,Inputs!$C$45:$M$46,2,0)))</f>
        <v>0</v>
      </c>
      <c r="L261" s="94"/>
      <c r="M261" s="105">
        <f t="shared" si="159"/>
        <v>-2</v>
      </c>
      <c r="N261" s="654" t="b">
        <f t="shared" si="147"/>
        <v>1</v>
      </c>
      <c r="O261" s="655" t="str">
        <f t="shared" si="148"/>
        <v>x</v>
      </c>
      <c r="P261" s="655" t="str">
        <f t="shared" si="149"/>
        <v/>
      </c>
      <c r="Q261" s="655" t="str">
        <f t="shared" si="150"/>
        <v/>
      </c>
      <c r="R261" s="655" t="str">
        <f t="shared" si="151"/>
        <v/>
      </c>
      <c r="S261" s="655" t="str">
        <f t="shared" si="152"/>
        <v/>
      </c>
      <c r="T261" s="655" t="str">
        <f>IF(ISERROR(MATCH(G261,'Inputs Mapping'!$T$4:$T$5,0)),"x","")</f>
        <v/>
      </c>
      <c r="U261" s="655" t="str">
        <f>IF(ISERROR(MATCH(AA261,'Inputs Mapping'!$U$4:$U$5,0)),"x","")</f>
        <v>x</v>
      </c>
      <c r="V261" s="655" t="str">
        <f>IF(ISERROR(MATCH(AB261,'Inputs Mapping'!$V$4:$V$5,0)),"x","")</f>
        <v/>
      </c>
      <c r="W261" s="655" t="str">
        <f>IF(ISERROR(MATCH(F261,'Inputs Mapping'!$W$4:$W$8,0)),"x","")</f>
        <v/>
      </c>
      <c r="X261" s="655" t="str">
        <f t="shared" si="153"/>
        <v/>
      </c>
      <c r="Y261" s="655" t="str">
        <f t="shared" si="154"/>
        <v/>
      </c>
      <c r="Z261" s="655" t="str">
        <f t="shared" si="160"/>
        <v/>
      </c>
      <c r="AA261" s="655" t="str">
        <f t="shared" si="114"/>
        <v>M/F</v>
      </c>
      <c r="AB261" s="655" t="str">
        <f t="shared" si="161"/>
        <v>S</v>
      </c>
      <c r="AC261" s="655" t="str">
        <f t="shared" si="162"/>
        <v>x</v>
      </c>
      <c r="AD261" s="655" t="str">
        <f>IF(ISBLANK(I261),"x",IF(ISNUMBER(MATCH(I261,'Inputs Mapping'!$AF$5:$AF$199,0)),"","x"))</f>
        <v>x</v>
      </c>
      <c r="AE261" s="655" t="str">
        <f t="shared" si="115"/>
        <v>Dubai</v>
      </c>
      <c r="AF261" s="148"/>
      <c r="AG261" s="148"/>
      <c r="AH261" s="148" t="str">
        <f t="shared" si="116"/>
        <v>BDubai</v>
      </c>
      <c r="AI261" s="654" t="str">
        <f>IF(J261="","",VLOOKUP(J261,'Inputs Mapping'!$T$27:$V$31,3))</f>
        <v>0-17</v>
      </c>
      <c r="AJ261" s="654" t="str">
        <f>IF(J261="","",VLOOKUP(J261,'Inputs Mapping'!$T$17:$V$24,3))</f>
        <v>0 - 17</v>
      </c>
      <c r="AK261" s="654">
        <f t="shared" si="155"/>
        <v>0</v>
      </c>
      <c r="AL261" s="655">
        <f t="shared" si="156"/>
        <v>0</v>
      </c>
      <c r="AM261" s="655">
        <f>IF(F261="","",IF(G261="Dubai",HLOOKUP(F261,Inputs!$C$26:$M$36,5,0),HLOOKUP(F261,Inputs!$C$45:$M$49,5,0)))</f>
        <v>0</v>
      </c>
      <c r="AN261" s="655" t="str">
        <f t="shared" si="157"/>
        <v>Dubai</v>
      </c>
      <c r="AO261" s="654">
        <f>IF(AJ261="","",IF(AN261="Dubai",VLOOKUP(AJ261,'Inputs Mapping'!$V$17:$W$24,2,0),VLOOKUP(AI261,'Inputs Mapping'!$V$27:$W$31,2,0)))</f>
        <v>2</v>
      </c>
      <c r="AP261" s="685">
        <f>IFERROR(IF($AN261="","",HLOOKUP($AN261&amp;RIGHT($AL261,1),'input for formula'!$B$16:$I$20,3,0)),0)</f>
        <v>0</v>
      </c>
      <c r="AQ261" s="686">
        <f>IFERROR(IF($AN261="","",HLOOKUP($AN261&amp;$F261,'input for formula'!$B$22:$M$25,2,0)),0)</f>
        <v>0</v>
      </c>
      <c r="AR261" s="685">
        <f>IFERROR(IF($AN261="","",HLOOKUP($AN261&amp;RIGHT($AL261,1),'input for formula'!$B$16:$I$20,4,0)),0)</f>
        <v>0</v>
      </c>
      <c r="AS261" s="686">
        <f>IFERROR(IF($AN261="","",HLOOKUP($AN261&amp;$F261,'input for formula'!$B$22:$M$25,3,0)),0)</f>
        <v>0</v>
      </c>
      <c r="AT261" s="686">
        <f>IFERROR(IF($AN261="","",HLOOKUP($AN261&amp;RIGHT($AL261,1),'input for formula'!$B$16:$I$20,5,0)),0)</f>
        <v>0</v>
      </c>
      <c r="AU261" s="686">
        <f>IFERROR(IF($AN261="","",HLOOKUP($AN261&amp;$F261,'input for formula'!$B$22:$M$25,4,0)),0)</f>
        <v>0</v>
      </c>
      <c r="AV261" s="666">
        <f>IFERROR(IF($AN261="","",IF('Census Data'!$AN261="Abu Dhabi",VLOOKUP('Census Data'!$AM261,'input for formula'!$A$28:$C$41,3,0),VLOOKUP('Census Data'!$AM261,'input for formula'!$A$28:$C$47,2,0))),0)*IFERROR(1+IF(AN261="Dubai",VLOOKUP(F261,'Quotation for Dubai Plans'!$V$6:$X$12,3,FALSE),VLOOKUP(F261,'Quotation for Abu Dhabi Plans'!$W$6:$Y$12,3,FALSE)),0)</f>
        <v>0</v>
      </c>
      <c r="AW261" s="686">
        <f t="shared" si="158"/>
        <v>0</v>
      </c>
      <c r="AX261" s="687">
        <f>IFERROR(IF(AL261="","",IF(AN261="Dubai",HLOOKUP((AL261&amp;AM261),Deviation!$B$7:$S$8,2,0)*BF261*BH261*BI261*BG261,HLOOKUP((AL261&amp;AM261),Deviation!$B$9:$O$10,2,0)*BF261*BH261*BI261*BG261)),0)</f>
        <v>0</v>
      </c>
      <c r="AY261" s="668">
        <f>IF(AL261="","",IFERROR(IF(AL261="","",IF(AN261="Dubai",HLOOKUP(AZ261,'input for formula'!$B$3:$F$10,AO261,FALSE), IF(AND(H261="Employee",AN261="Abu Dhabi"),HLOOKUP(AZ261,'input for formula'!$I$3:$K$7,AO261,FALSE),HLOOKUP(AZ261,'input for formula'!$M$3:$O$7,AO261,FALSE)))*AX261+AP261*AQ261+AR261*AS261+AT261*AU261),0)*$AZ$3*BK261*BJ261)*IF(AND(Inputs!$C$19&gt;19,Inputs!$C$19&lt;30),(1+$AZ$2),1)</f>
        <v>0</v>
      </c>
      <c r="AZ261" s="148" t="str">
        <f t="shared" si="163"/>
        <v>Dubai0</v>
      </c>
      <c r="BA261" s="688">
        <f>IF(F261="","",IF(G261="Dubai",HLOOKUP(F261,Inputs!$C$26:$M$37,9,0),HLOOKUP(F261,Inputs!$C$45:$M$56,9,0)))</f>
        <v>0</v>
      </c>
      <c r="BB261" s="689">
        <f>IF(F261="","",IF(G261="Dubai",HLOOKUP(F261,Inputs!$C$26:$M$37,10,0),HLOOKUP(F261,Inputs!$C$45:$M$56,10,0)))</f>
        <v>0</v>
      </c>
      <c r="BC261" s="689">
        <f>IF(F261="","",IF(G261="Dubai",HLOOKUP(F261,Inputs!$C$26:$M$37,11,0),HLOOKUP(F261,Inputs!$C$45:$M$56,11,0)))</f>
        <v>0</v>
      </c>
      <c r="BD261" s="688">
        <f>IF(F261="","",IF(G261="Dubai",HLOOKUP(F261,Inputs!$C$26:$M$37,12,0),HLOOKUP(F261,Inputs!$C$45:$M$56,12,0)))</f>
        <v>0</v>
      </c>
      <c r="BE261" s="654"/>
      <c r="BF261" s="688">
        <f>IFERROR(IF(AL261="","",IF(AN261="Dubai",IF(OR(AL261="Plan1",AL261="Plan2"),VLOOKUP(BA261,Deviation!$B$31:$D$33,2,FALSE),VLOOKUP(BA261,Deviation!$B$31:$D$33,3,FALSE)),IF(OR(AL261="Plan1",AL261="Plan2"),VLOOKUP(BA261,Deviation!$E$31:$AE$33,2,FALSE),VLOOKUP(BA261,Deviation!$E$31:$AE$33,3,FALSE)))),0)</f>
        <v>1.125</v>
      </c>
      <c r="BG261" s="690">
        <f>IFERROR(IF(AL261="","",IF(AN261="Dubai",IF(AL261="Plan1",VLOOKUP(BB261,Deviation!$B$39:$C$40,2,FALSE),IF(AL261="Plan2",VLOOKUP(BB261,Deviation!$B$42:$C$43,2,FALSE),IF(AL261="Plan5",VLOOKUP(BB261,Deviation!$B$48:$C$49,2,FALSE),VLOOKUP(BB261,Deviation!$B$45:$C$46,2,FALSE)))),IF(AL261="Plan1",VLOOKUP(BB261,Deviation!$E$39:$F$40,2,FALSE),IF(AL261="Plan2",VLOOKUP(BB261,Deviation!$E$42:$F$43,2,FALSE),VLOOKUP(BB261,Deviation!$E$45:$F$46,2,FALSE))))),0)</f>
        <v>0</v>
      </c>
      <c r="BH261" s="690">
        <f>IFERROR(IF(AL261="","",IF(AN261="Dubai",IF(OR(AL261="Plan1",AL261="Plan2"),VLOOKUP(BC261,Deviation!$B$15:$D$19,2,FALSE),VLOOKUP(BC261,Deviation!$B$15:$D$19,3,FALSE)),IF(OR(AL261="Plan1",AL261="Plan2"),VLOOKUP(BC261,Deviation!$E$15:$AE$19,2,FALSE),VLOOKUP(BC261,Deviation!$E$15:$AE$19,3,FALSE)))),0)</f>
        <v>0</v>
      </c>
      <c r="BI261" s="691">
        <f>IFERROR(IF(AL261="","",IF(AN261="Dubai",VLOOKUP(BD261,Deviation!$B$24:$C$26,2,FALSE),100%)),0)</f>
        <v>1.06</v>
      </c>
      <c r="BJ261" s="672">
        <f>IF(AE261="Abu Dhabi",1,IFERROR(VLOOKUP(AM261,Deviation!$B$67:$E$79,MATCH('Census Data'!AA261,Deviation!$B$66:$E$66,0),0),1))</f>
        <v>1</v>
      </c>
      <c r="BK261" s="659">
        <f>IFERROR(VLOOKUP(I261,Deviation!$B$54:$C$62,2,0),1)</f>
        <v>1</v>
      </c>
      <c r="BL261" s="148"/>
      <c r="BM261" s="148"/>
      <c r="BN261" s="148"/>
      <c r="BO261" s="148"/>
      <c r="BP261" s="148"/>
      <c r="BQ261" s="148"/>
      <c r="BR261" s="148"/>
      <c r="BS261" s="148"/>
      <c r="BT261" s="148">
        <f t="shared" si="119"/>
        <v>0</v>
      </c>
    </row>
    <row r="262" spans="1:72" ht="15" hidden="1" x14ac:dyDescent="0.25">
      <c r="A262" s="94"/>
      <c r="B262" s="470"/>
      <c r="C262" s="94"/>
      <c r="D262" s="94" t="s">
        <v>175</v>
      </c>
      <c r="E262" s="94" t="s">
        <v>173</v>
      </c>
      <c r="F262" s="94" t="s">
        <v>64</v>
      </c>
      <c r="G262" s="94" t="s">
        <v>170</v>
      </c>
      <c r="H262" s="94"/>
      <c r="I262" s="94"/>
      <c r="J262" s="80">
        <v>33</v>
      </c>
      <c r="K262" s="59">
        <f>IF(F262="","",IF(G262="Dubai",HLOOKUP(F262,Inputs!$C$26:$M$28,3,0),HLOOKUP(F262,Inputs!$C$45:$M$46,2,0)))</f>
        <v>0</v>
      </c>
      <c r="L262" s="94"/>
      <c r="M262" s="105">
        <f t="shared" si="159"/>
        <v>-2</v>
      </c>
      <c r="N262" s="654" t="b">
        <f t="shared" si="147"/>
        <v>1</v>
      </c>
      <c r="O262" s="655" t="str">
        <f t="shared" si="148"/>
        <v>x</v>
      </c>
      <c r="P262" s="655" t="str">
        <f t="shared" si="149"/>
        <v/>
      </c>
      <c r="Q262" s="655" t="str">
        <f t="shared" si="150"/>
        <v/>
      </c>
      <c r="R262" s="655" t="str">
        <f t="shared" si="151"/>
        <v/>
      </c>
      <c r="S262" s="655" t="str">
        <f t="shared" si="152"/>
        <v/>
      </c>
      <c r="T262" s="655" t="str">
        <f>IF(ISERROR(MATCH(G262,'Inputs Mapping'!$T$4:$T$5,0)),"x","")</f>
        <v/>
      </c>
      <c r="U262" s="655" t="str">
        <f>IF(ISERROR(MATCH(AA262,'Inputs Mapping'!$U$4:$U$5,0)),"x","")</f>
        <v>x</v>
      </c>
      <c r="V262" s="655" t="str">
        <f>IF(ISERROR(MATCH(AB262,'Inputs Mapping'!$V$4:$V$5,0)),"x","")</f>
        <v/>
      </c>
      <c r="W262" s="655" t="str">
        <f>IF(ISERROR(MATCH(F262,'Inputs Mapping'!$W$4:$W$8,0)),"x","")</f>
        <v/>
      </c>
      <c r="X262" s="655" t="str">
        <f t="shared" si="153"/>
        <v/>
      </c>
      <c r="Y262" s="655" t="str">
        <f t="shared" si="154"/>
        <v/>
      </c>
      <c r="Z262" s="655" t="str">
        <f t="shared" si="160"/>
        <v/>
      </c>
      <c r="AA262" s="655" t="str">
        <f t="shared" ref="AA262:AA310" si="165">IF(D262="","",IF(OR(D262="M",D262="Male"),"M",IF(OR(D262="F",D262="Female"),"F",IF(D262="M/F","M/F",""))))</f>
        <v>M/F</v>
      </c>
      <c r="AB262" s="655" t="str">
        <f t="shared" si="161"/>
        <v>S</v>
      </c>
      <c r="AC262" s="655" t="str">
        <f t="shared" si="162"/>
        <v>x</v>
      </c>
      <c r="AD262" s="655" t="str">
        <f>IF(ISBLANK(I262),"x",IF(ISNUMBER(MATCH(I262,'Inputs Mapping'!$AF$5:$AF$199,0)),"","x"))</f>
        <v>x</v>
      </c>
      <c r="AE262" s="655" t="str">
        <f t="shared" si="115"/>
        <v>Dubai</v>
      </c>
      <c r="AF262" s="148"/>
      <c r="AG262" s="148"/>
      <c r="AH262" s="148" t="str">
        <f t="shared" si="116"/>
        <v>BDubai</v>
      </c>
      <c r="AI262" s="654" t="str">
        <f>IF(J262="","",VLOOKUP(J262,'Inputs Mapping'!$T$27:$V$31,3))</f>
        <v>18-40</v>
      </c>
      <c r="AJ262" s="654" t="str">
        <f>IF(J262="","",VLOOKUP(J262,'Inputs Mapping'!$T$17:$V$24,3))</f>
        <v>18 - 35</v>
      </c>
      <c r="AK262" s="654">
        <f t="shared" si="155"/>
        <v>0</v>
      </c>
      <c r="AL262" s="655">
        <f t="shared" si="156"/>
        <v>0</v>
      </c>
      <c r="AM262" s="655">
        <f>IF(F262="","",IF(G262="Dubai",HLOOKUP(F262,Inputs!$C$26:$M$36,5,0),HLOOKUP(F262,Inputs!$C$45:$M$49,5,0)))</f>
        <v>0</v>
      </c>
      <c r="AN262" s="655" t="str">
        <f t="shared" si="157"/>
        <v>Dubai</v>
      </c>
      <c r="AO262" s="654">
        <f>IF(AJ262="","",IF(AN262="Dubai",VLOOKUP(AJ262,'Inputs Mapping'!$V$17:$W$24,2,0),VLOOKUP(AI262,'Inputs Mapping'!$V$27:$W$31,2,0)))</f>
        <v>3</v>
      </c>
      <c r="AP262" s="685">
        <f>IFERROR(IF($AN262="","",HLOOKUP($AN262&amp;RIGHT($AL262,1),'input for formula'!$B$16:$I$20,3,0)),0)</f>
        <v>0</v>
      </c>
      <c r="AQ262" s="686">
        <f>IFERROR(IF($AN262="","",HLOOKUP($AN262&amp;$F262,'input for formula'!$B$22:$M$25,2,0)),0)</f>
        <v>0</v>
      </c>
      <c r="AR262" s="685">
        <f>IFERROR(IF($AN262="","",HLOOKUP($AN262&amp;RIGHT($AL262,1),'input for formula'!$B$16:$I$20,4,0)),0)</f>
        <v>0</v>
      </c>
      <c r="AS262" s="686">
        <f>IFERROR(IF($AN262="","",HLOOKUP($AN262&amp;$F262,'input for formula'!$B$22:$M$25,3,0)),0)</f>
        <v>0</v>
      </c>
      <c r="AT262" s="686">
        <f>IFERROR(IF($AN262="","",HLOOKUP($AN262&amp;RIGHT($AL262,1),'input for formula'!$B$16:$I$20,5,0)),0)</f>
        <v>0</v>
      </c>
      <c r="AU262" s="686">
        <f>IFERROR(IF($AN262="","",HLOOKUP($AN262&amp;$F262,'input for formula'!$B$22:$M$25,4,0)),0)</f>
        <v>0</v>
      </c>
      <c r="AV262" s="666">
        <f>IFERROR(IF($AN262="","",IF('Census Data'!$AN262="Abu Dhabi",VLOOKUP('Census Data'!$AM262,'input for formula'!$A$28:$C$41,3,0),VLOOKUP('Census Data'!$AM262,'input for formula'!$A$28:$C$47,2,0))),0)*IFERROR(1+IF(AN262="Dubai",VLOOKUP(F262,'Quotation for Dubai Plans'!$V$6:$X$12,3,FALSE),VLOOKUP(F262,'Quotation for Abu Dhabi Plans'!$W$6:$Y$12,3,FALSE)),0)</f>
        <v>0</v>
      </c>
      <c r="AW262" s="686">
        <f t="shared" si="158"/>
        <v>0</v>
      </c>
      <c r="AX262" s="687">
        <f>IFERROR(IF(AL262="","",IF(AN262="Dubai",HLOOKUP((AL262&amp;AM262),Deviation!$B$7:$S$8,2,0)*BF262*BH262*BI262*BG262,HLOOKUP((AL262&amp;AM262),Deviation!$B$9:$O$10,2,0)*BF262*BH262*BI262*BG262)),0)</f>
        <v>0</v>
      </c>
      <c r="AY262" s="668">
        <f>IF(AL262="","",IFERROR(IF(AL262="","",IF(AN262="Dubai",HLOOKUP(AZ262,'input for formula'!$B$3:$F$10,AO262,FALSE), IF(AND(H262="Employee",AN262="Abu Dhabi"),HLOOKUP(AZ262,'input for formula'!$I$3:$K$7,AO262,FALSE),HLOOKUP(AZ262,'input for formula'!$M$3:$O$7,AO262,FALSE)))*AX262+AP262*AQ262+AR262*AS262+AT262*AU262),0)*$AZ$3*BK262*BJ262)*IF(AND(Inputs!$C$19&gt;19,Inputs!$C$19&lt;30),(1+$AZ$2),1)</f>
        <v>0</v>
      </c>
      <c r="AZ262" s="148" t="str">
        <f t="shared" si="163"/>
        <v>Dubai0</v>
      </c>
      <c r="BA262" s="688">
        <f>IF(F262="","",IF(G262="Dubai",HLOOKUP(F262,Inputs!$C$26:$M$37,9,0),HLOOKUP(F262,Inputs!$C$45:$M$56,9,0)))</f>
        <v>0</v>
      </c>
      <c r="BB262" s="689">
        <f>IF(F262="","",IF(G262="Dubai",HLOOKUP(F262,Inputs!$C$26:$M$37,10,0),HLOOKUP(F262,Inputs!$C$45:$M$56,10,0)))</f>
        <v>0</v>
      </c>
      <c r="BC262" s="689">
        <f>IF(F262="","",IF(G262="Dubai",HLOOKUP(F262,Inputs!$C$26:$M$37,11,0),HLOOKUP(F262,Inputs!$C$45:$M$56,11,0)))</f>
        <v>0</v>
      </c>
      <c r="BD262" s="688">
        <f>IF(F262="","",IF(G262="Dubai",HLOOKUP(F262,Inputs!$C$26:$M$37,12,0),HLOOKUP(F262,Inputs!$C$45:$M$56,12,0)))</f>
        <v>0</v>
      </c>
      <c r="BE262" s="654"/>
      <c r="BF262" s="688">
        <f>IFERROR(IF(AL262="","",IF(AN262="Dubai",IF(OR(AL262="Plan1",AL262="Plan2"),VLOOKUP(BA262,Deviation!$B$31:$D$33,2,FALSE),VLOOKUP(BA262,Deviation!$B$31:$D$33,3,FALSE)),IF(OR(AL262="Plan1",AL262="Plan2"),VLOOKUP(BA262,Deviation!$E$31:$AE$33,2,FALSE),VLOOKUP(BA262,Deviation!$E$31:$AE$33,3,FALSE)))),0)</f>
        <v>1.125</v>
      </c>
      <c r="BG262" s="690">
        <f>IFERROR(IF(AL262="","",IF(AN262="Dubai",IF(AL262="Plan1",VLOOKUP(BB262,Deviation!$B$39:$C$40,2,FALSE),IF(AL262="Plan2",VLOOKUP(BB262,Deviation!$B$42:$C$43,2,FALSE),IF(AL262="Plan5",VLOOKUP(BB262,Deviation!$B$48:$C$49,2,FALSE),VLOOKUP(BB262,Deviation!$B$45:$C$46,2,FALSE)))),IF(AL262="Plan1",VLOOKUP(BB262,Deviation!$E$39:$F$40,2,FALSE),IF(AL262="Plan2",VLOOKUP(BB262,Deviation!$E$42:$F$43,2,FALSE),VLOOKUP(BB262,Deviation!$E$45:$F$46,2,FALSE))))),0)</f>
        <v>0</v>
      </c>
      <c r="BH262" s="690">
        <f>IFERROR(IF(AL262="","",IF(AN262="Dubai",IF(OR(AL262="Plan1",AL262="Plan2"),VLOOKUP(BC262,Deviation!$B$15:$D$19,2,FALSE),VLOOKUP(BC262,Deviation!$B$15:$D$19,3,FALSE)),IF(OR(AL262="Plan1",AL262="Plan2"),VLOOKUP(BC262,Deviation!$E$15:$AE$19,2,FALSE),VLOOKUP(BC262,Deviation!$E$15:$AE$19,3,FALSE)))),0)</f>
        <v>0</v>
      </c>
      <c r="BI262" s="691">
        <f>IFERROR(IF(AL262="","",IF(AN262="Dubai",VLOOKUP(BD262,Deviation!$B$24:$C$26,2,FALSE),100%)),0)</f>
        <v>1.06</v>
      </c>
      <c r="BJ262" s="672">
        <f>IF(AE262="Abu Dhabi",1,IFERROR(VLOOKUP(AM262,Deviation!$B$67:$E$79,MATCH('Census Data'!AA262,Deviation!$B$66:$E$66,0),0),1))</f>
        <v>1</v>
      </c>
      <c r="BK262" s="659">
        <f>IFERROR(VLOOKUP(I262,Deviation!$B$54:$C$62,2,0),1)</f>
        <v>1</v>
      </c>
      <c r="BL262" s="148"/>
      <c r="BM262" s="148"/>
      <c r="BN262" s="148"/>
      <c r="BO262" s="148"/>
      <c r="BP262" s="148"/>
      <c r="BQ262" s="148"/>
      <c r="BR262" s="148"/>
      <c r="BS262" s="148"/>
      <c r="BT262" s="148">
        <f t="shared" si="119"/>
        <v>0</v>
      </c>
    </row>
    <row r="263" spans="1:72" ht="15" hidden="1" x14ac:dyDescent="0.25">
      <c r="A263" s="94"/>
      <c r="B263" s="470"/>
      <c r="C263" s="94"/>
      <c r="D263" s="94" t="s">
        <v>175</v>
      </c>
      <c r="E263" s="94" t="s">
        <v>173</v>
      </c>
      <c r="F263" s="94" t="s">
        <v>64</v>
      </c>
      <c r="G263" s="94" t="s">
        <v>170</v>
      </c>
      <c r="H263" s="94"/>
      <c r="I263" s="94"/>
      <c r="J263" s="80">
        <v>43</v>
      </c>
      <c r="K263" s="59">
        <f>IF(F263="","",IF(G263="Dubai",HLOOKUP(F263,Inputs!$C$26:$M$28,3,0),HLOOKUP(F263,Inputs!$C$45:$M$46,2,0)))</f>
        <v>0</v>
      </c>
      <c r="L263" s="94"/>
      <c r="M263" s="105">
        <f t="shared" si="159"/>
        <v>-2</v>
      </c>
      <c r="N263" s="654" t="b">
        <f t="shared" si="147"/>
        <v>1</v>
      </c>
      <c r="O263" s="655" t="str">
        <f t="shared" si="148"/>
        <v>x</v>
      </c>
      <c r="P263" s="655" t="str">
        <f t="shared" si="149"/>
        <v/>
      </c>
      <c r="Q263" s="655" t="str">
        <f t="shared" si="150"/>
        <v/>
      </c>
      <c r="R263" s="655" t="str">
        <f t="shared" si="151"/>
        <v/>
      </c>
      <c r="S263" s="655" t="str">
        <f t="shared" si="152"/>
        <v/>
      </c>
      <c r="T263" s="655" t="str">
        <f>IF(ISERROR(MATCH(G263,'Inputs Mapping'!$T$4:$T$5,0)),"x","")</f>
        <v/>
      </c>
      <c r="U263" s="655" t="str">
        <f>IF(ISERROR(MATCH(AA263,'Inputs Mapping'!$U$4:$U$5,0)),"x","")</f>
        <v>x</v>
      </c>
      <c r="V263" s="655" t="str">
        <f>IF(ISERROR(MATCH(AB263,'Inputs Mapping'!$V$4:$V$5,0)),"x","")</f>
        <v/>
      </c>
      <c r="W263" s="655" t="str">
        <f>IF(ISERROR(MATCH(F263,'Inputs Mapping'!$W$4:$W$8,0)),"x","")</f>
        <v/>
      </c>
      <c r="X263" s="655" t="str">
        <f t="shared" si="153"/>
        <v/>
      </c>
      <c r="Y263" s="655" t="str">
        <f t="shared" si="154"/>
        <v/>
      </c>
      <c r="Z263" s="655" t="str">
        <f t="shared" si="160"/>
        <v/>
      </c>
      <c r="AA263" s="655" t="str">
        <f t="shared" si="165"/>
        <v>M/F</v>
      </c>
      <c r="AB263" s="655" t="str">
        <f t="shared" si="161"/>
        <v>S</v>
      </c>
      <c r="AC263" s="655" t="str">
        <f t="shared" si="162"/>
        <v>x</v>
      </c>
      <c r="AD263" s="655" t="str">
        <f>IF(ISBLANK(I263),"x",IF(ISNUMBER(MATCH(I263,'Inputs Mapping'!$AF$5:$AF$199,0)),"","x"))</f>
        <v>x</v>
      </c>
      <c r="AE263" s="655" t="str">
        <f t="shared" ref="AE263:AE310" si="166">IF(D263="","",IF(G263="Abu Dhabi","Abu Dhabi","Dubai"))</f>
        <v>Dubai</v>
      </c>
      <c r="AF263" s="148"/>
      <c r="AG263" s="148"/>
      <c r="AH263" s="148" t="str">
        <f t="shared" ref="AH263:AH310" si="167">F263&amp;AE263</f>
        <v>BDubai</v>
      </c>
      <c r="AI263" s="654" t="str">
        <f>IF(J263="","",VLOOKUP(J263,'Inputs Mapping'!$T$27:$V$31,3))</f>
        <v>41-59</v>
      </c>
      <c r="AJ263" s="654" t="str">
        <f>IF(J263="","",VLOOKUP(J263,'Inputs Mapping'!$T$17:$V$24,3))</f>
        <v>36 - 45</v>
      </c>
      <c r="AK263" s="654">
        <f t="shared" si="155"/>
        <v>0</v>
      </c>
      <c r="AL263" s="655">
        <f t="shared" si="156"/>
        <v>0</v>
      </c>
      <c r="AM263" s="655">
        <f>IF(F263="","",IF(G263="Dubai",HLOOKUP(F263,Inputs!$C$26:$M$36,5,0),HLOOKUP(F263,Inputs!$C$45:$M$49,5,0)))</f>
        <v>0</v>
      </c>
      <c r="AN263" s="655" t="str">
        <f t="shared" si="157"/>
        <v>Dubai</v>
      </c>
      <c r="AO263" s="654">
        <f>IF(AJ263="","",IF(AN263="Dubai",VLOOKUP(AJ263,'Inputs Mapping'!$V$17:$W$24,2,0),VLOOKUP(AI263,'Inputs Mapping'!$V$27:$W$31,2,0)))</f>
        <v>4</v>
      </c>
      <c r="AP263" s="685">
        <f>IFERROR(IF($AN263="","",HLOOKUP($AN263&amp;RIGHT($AL263,1),'input for formula'!$B$16:$I$20,3,0)),0)</f>
        <v>0</v>
      </c>
      <c r="AQ263" s="686">
        <f>IFERROR(IF($AN263="","",HLOOKUP($AN263&amp;$F263,'input for formula'!$B$22:$M$25,2,0)),0)</f>
        <v>0</v>
      </c>
      <c r="AR263" s="685">
        <f>IFERROR(IF($AN263="","",HLOOKUP($AN263&amp;RIGHT($AL263,1),'input for formula'!$B$16:$I$20,4,0)),0)</f>
        <v>0</v>
      </c>
      <c r="AS263" s="686">
        <f>IFERROR(IF($AN263="","",HLOOKUP($AN263&amp;$F263,'input for formula'!$B$22:$M$25,3,0)),0)</f>
        <v>0</v>
      </c>
      <c r="AT263" s="686">
        <f>IFERROR(IF($AN263="","",HLOOKUP($AN263&amp;RIGHT($AL263,1),'input for formula'!$B$16:$I$20,5,0)),0)</f>
        <v>0</v>
      </c>
      <c r="AU263" s="686">
        <f>IFERROR(IF($AN263="","",HLOOKUP($AN263&amp;$F263,'input for formula'!$B$22:$M$25,4,0)),0)</f>
        <v>0</v>
      </c>
      <c r="AV263" s="666">
        <f>IFERROR(IF($AN263="","",IF('Census Data'!$AN263="Abu Dhabi",VLOOKUP('Census Data'!$AM263,'input for formula'!$A$28:$C$41,3,0),VLOOKUP('Census Data'!$AM263,'input for formula'!$A$28:$C$47,2,0))),0)*IFERROR(1+IF(AN263="Dubai",VLOOKUP(F263,'Quotation for Dubai Plans'!$V$6:$X$12,3,FALSE),VLOOKUP(F263,'Quotation for Abu Dhabi Plans'!$W$6:$Y$12,3,FALSE)),0)</f>
        <v>0</v>
      </c>
      <c r="AW263" s="686">
        <f t="shared" si="158"/>
        <v>0</v>
      </c>
      <c r="AX263" s="687">
        <f>IFERROR(IF(AL263="","",IF(AN263="Dubai",HLOOKUP((AL263&amp;AM263),Deviation!$B$7:$S$8,2,0)*BF263*BH263*BI263*BG263,HLOOKUP((AL263&amp;AM263),Deviation!$B$9:$O$10,2,0)*BF263*BH263*BI263*BG263)),0)</f>
        <v>0</v>
      </c>
      <c r="AY263" s="668">
        <f>IF(AL263="","",IFERROR(IF(AL263="","",IF(AN263="Dubai",HLOOKUP(AZ263,'input for formula'!$B$3:$F$10,AO263,FALSE), IF(AND(H263="Employee",AN263="Abu Dhabi"),HLOOKUP(AZ263,'input for formula'!$I$3:$K$7,AO263,FALSE),HLOOKUP(AZ263,'input for formula'!$M$3:$O$7,AO263,FALSE)))*AX263+AP263*AQ263+AR263*AS263+AT263*AU263),0)*$AZ$3*BK263*BJ263)*IF(AND(Inputs!$C$19&gt;19,Inputs!$C$19&lt;30),(1+$AZ$2),1)</f>
        <v>0</v>
      </c>
      <c r="AZ263" s="148" t="str">
        <f t="shared" si="163"/>
        <v>Dubai0</v>
      </c>
      <c r="BA263" s="688">
        <f>IF(F263="","",IF(G263="Dubai",HLOOKUP(F263,Inputs!$C$26:$M$37,9,0),HLOOKUP(F263,Inputs!$C$45:$M$56,9,0)))</f>
        <v>0</v>
      </c>
      <c r="BB263" s="689">
        <f>IF(F263="","",IF(G263="Dubai",HLOOKUP(F263,Inputs!$C$26:$M$37,10,0),HLOOKUP(F263,Inputs!$C$45:$M$56,10,0)))</f>
        <v>0</v>
      </c>
      <c r="BC263" s="689">
        <f>IF(F263="","",IF(G263="Dubai",HLOOKUP(F263,Inputs!$C$26:$M$37,11,0),HLOOKUP(F263,Inputs!$C$45:$M$56,11,0)))</f>
        <v>0</v>
      </c>
      <c r="BD263" s="688">
        <f>IF(F263="","",IF(G263="Dubai",HLOOKUP(F263,Inputs!$C$26:$M$37,12,0),HLOOKUP(F263,Inputs!$C$45:$M$56,12,0)))</f>
        <v>0</v>
      </c>
      <c r="BE263" s="654"/>
      <c r="BF263" s="688">
        <f>IFERROR(IF(AL263="","",IF(AN263="Dubai",IF(OR(AL263="Plan1",AL263="Plan2"),VLOOKUP(BA263,Deviation!$B$31:$D$33,2,FALSE),VLOOKUP(BA263,Deviation!$B$31:$D$33,3,FALSE)),IF(OR(AL263="Plan1",AL263="Plan2"),VLOOKUP(BA263,Deviation!$E$31:$AE$33,2,FALSE),VLOOKUP(BA263,Deviation!$E$31:$AE$33,3,FALSE)))),0)</f>
        <v>1.125</v>
      </c>
      <c r="BG263" s="690">
        <f>IFERROR(IF(AL263="","",IF(AN263="Dubai",IF(AL263="Plan1",VLOOKUP(BB263,Deviation!$B$39:$C$40,2,FALSE),IF(AL263="Plan2",VLOOKUP(BB263,Deviation!$B$42:$C$43,2,FALSE),IF(AL263="Plan5",VLOOKUP(BB263,Deviation!$B$48:$C$49,2,FALSE),VLOOKUP(BB263,Deviation!$B$45:$C$46,2,FALSE)))),IF(AL263="Plan1",VLOOKUP(BB263,Deviation!$E$39:$F$40,2,FALSE),IF(AL263="Plan2",VLOOKUP(BB263,Deviation!$E$42:$F$43,2,FALSE),VLOOKUP(BB263,Deviation!$E$45:$F$46,2,FALSE))))),0)</f>
        <v>0</v>
      </c>
      <c r="BH263" s="690">
        <f>IFERROR(IF(AL263="","",IF(AN263="Dubai",IF(OR(AL263="Plan1",AL263="Plan2"),VLOOKUP(BC263,Deviation!$B$15:$D$19,2,FALSE),VLOOKUP(BC263,Deviation!$B$15:$D$19,3,FALSE)),IF(OR(AL263="Plan1",AL263="Plan2"),VLOOKUP(BC263,Deviation!$E$15:$AE$19,2,FALSE),VLOOKUP(BC263,Deviation!$E$15:$AE$19,3,FALSE)))),0)</f>
        <v>0</v>
      </c>
      <c r="BI263" s="691">
        <f>IFERROR(IF(AL263="","",IF(AN263="Dubai",VLOOKUP(BD263,Deviation!$B$24:$C$26,2,FALSE),100%)),0)</f>
        <v>1.06</v>
      </c>
      <c r="BJ263" s="672">
        <f>IF(AE263="Abu Dhabi",1,IFERROR(VLOOKUP(AM263,Deviation!$B$67:$E$79,MATCH('Census Data'!AA263,Deviation!$B$66:$E$66,0),0),1))</f>
        <v>1</v>
      </c>
      <c r="BK263" s="659">
        <f>IFERROR(VLOOKUP(I263,Deviation!$B$54:$C$62,2,0),1)</f>
        <v>1</v>
      </c>
      <c r="BL263" s="148"/>
      <c r="BM263" s="148"/>
      <c r="BN263" s="148"/>
      <c r="BO263" s="148"/>
      <c r="BP263" s="148"/>
      <c r="BQ263" s="148"/>
      <c r="BR263" s="148"/>
      <c r="BS263" s="148"/>
      <c r="BT263" s="148">
        <f t="shared" ref="BT263:BT310" si="168">IF(AK263=0,AY263,(AY263+AV263))</f>
        <v>0</v>
      </c>
    </row>
    <row r="264" spans="1:72" ht="15" hidden="1" x14ac:dyDescent="0.25">
      <c r="A264" s="94"/>
      <c r="B264" s="470"/>
      <c r="C264" s="94"/>
      <c r="D264" s="94" t="s">
        <v>175</v>
      </c>
      <c r="E264" s="94" t="s">
        <v>173</v>
      </c>
      <c r="F264" s="94" t="s">
        <v>64</v>
      </c>
      <c r="G264" s="94" t="s">
        <v>170</v>
      </c>
      <c r="H264" s="94"/>
      <c r="I264" s="94"/>
      <c r="J264" s="80">
        <v>53</v>
      </c>
      <c r="K264" s="59">
        <f>IF(F264="","",IF(G264="Dubai",HLOOKUP(F264,Inputs!$C$26:$M$28,3,0),HLOOKUP(F264,Inputs!$C$45:$M$46,2,0)))</f>
        <v>0</v>
      </c>
      <c r="L264" s="94"/>
      <c r="M264" s="105">
        <f>IF(N264,IF(COUNTIF(N264:AD264,"x")=0,1,IF(OR(O264="x",P264="x",Q264="×",R264="x",S264="x",T264="x",V264="x",U264="x",W264="x",X264="x",Y264="x",Z264="x",AC264="x",AD264="x"),-2,-1)),0)</f>
        <v>-2</v>
      </c>
      <c r="N264" s="654" t="b">
        <f>NOT(AND(ISBLANK(C264),ISBLANK(D264),ISBLANK(E264),ISBLANK(F264),ISBLANK(G264)))</f>
        <v>1</v>
      </c>
      <c r="O264" s="655" t="str">
        <f t="shared" ref="O264:S266" si="169">IF(ISBLANK(C264),"x","")</f>
        <v>x</v>
      </c>
      <c r="P264" s="655" t="str">
        <f t="shared" si="169"/>
        <v/>
      </c>
      <c r="Q264" s="655" t="str">
        <f t="shared" si="169"/>
        <v/>
      </c>
      <c r="R264" s="655" t="str">
        <f t="shared" si="169"/>
        <v/>
      </c>
      <c r="S264" s="655" t="str">
        <f t="shared" si="169"/>
        <v/>
      </c>
      <c r="T264" s="655" t="str">
        <f>IF(ISERROR(MATCH(G264,'Inputs Mapping'!$T$4:$T$5,0)),"x","")</f>
        <v/>
      </c>
      <c r="U264" s="655" t="str">
        <f>IF(ISERROR(MATCH(AA264,'Inputs Mapping'!$U$4:$U$5,0)),"x","")</f>
        <v>x</v>
      </c>
      <c r="V264" s="655" t="str">
        <f>IF(ISERROR(MATCH(AB264,'Inputs Mapping'!$V$4:$V$5,0)),"x","")</f>
        <v/>
      </c>
      <c r="W264" s="655" t="str">
        <f>IF(ISERROR(MATCH(F264,'Inputs Mapping'!$W$4:$W$8,0)),"x","")</f>
        <v/>
      </c>
      <c r="X264" s="655" t="str">
        <f>IF(ISBLANK(C264),"",IF(OR(ISERROR(J264),NOT(ISNUMBER(C264))),"x",""))</f>
        <v/>
      </c>
      <c r="Y264" s="655" t="str">
        <f>IF(ISBLANK(C264),"",IF(ISERROR(J264),"",""))</f>
        <v/>
      </c>
      <c r="Z264" s="655" t="str">
        <f>IF(ISBLANK(C264),"",IF(ISERROR(J264),"",IF(AND(eff_date-C264&lt;0,C264&lt;&gt;""),"x","")))</f>
        <v/>
      </c>
      <c r="AA264" s="655" t="str">
        <f t="shared" si="165"/>
        <v>M/F</v>
      </c>
      <c r="AB264" s="655" t="str">
        <f>IF(E264="","",IF(OR(E264="Married",E264="M"),"M",IF(OR(E264="Single",E264="S"),"S","")))</f>
        <v>S</v>
      </c>
      <c r="AC264" s="655" t="str">
        <f>IF(AND(OR(G264="Dubai",G264="Abu Dhabi"),H264="Employee",J264&gt;=18),"",IF(AND(OR(G264="Dubai",G264="Abu Dhabi"),H264="Dependent"),"","x"))</f>
        <v>x</v>
      </c>
      <c r="AD264" s="655" t="str">
        <f>IF(ISBLANK(I264),"x",IF(ISNUMBER(MATCH(I264,'Inputs Mapping'!$AF$5:$AF$199,0)),"","x"))</f>
        <v>x</v>
      </c>
      <c r="AE264" s="655" t="str">
        <f t="shared" si="166"/>
        <v>Dubai</v>
      </c>
      <c r="AF264" s="148"/>
      <c r="AG264" s="148"/>
      <c r="AH264" s="148" t="str">
        <f t="shared" si="167"/>
        <v>BDubai</v>
      </c>
      <c r="AI264" s="654" t="str">
        <f>IF(J264="","",VLOOKUP(J264,'Inputs Mapping'!$T$27:$V$31,3))</f>
        <v>41-59</v>
      </c>
      <c r="AJ264" s="654" t="str">
        <f>IF(J264="","",VLOOKUP(J264,'Inputs Mapping'!$T$17:$V$24,3))</f>
        <v>46 - 55</v>
      </c>
      <c r="AK264" s="654">
        <f>IF(G264="Dubai",IF(J264="","",1*AND(LEFT(AA264)="F",LEFT(AB264)="M",J264&gt;=$AK$3,J264&lt;$AK$4+1)),IF(J264="","",1*AND(LEFT(AA264)="F",LEFT(AB264)="M",J264&gt;=$AJ$3,J264&lt;$AJ$4+1)))</f>
        <v>0</v>
      </c>
      <c r="AL264" s="655">
        <f>K264</f>
        <v>0</v>
      </c>
      <c r="AM264" s="655">
        <f>IF(F264="","",IF(G264="Dubai",HLOOKUP(F264,Inputs!$C$26:$M$36,5,0),HLOOKUP(F264,Inputs!$C$45:$M$49,5,0)))</f>
        <v>0</v>
      </c>
      <c r="AN264" s="655" t="str">
        <f>G264</f>
        <v>Dubai</v>
      </c>
      <c r="AO264" s="654">
        <f>IF(AJ264="","",IF(AN264="Dubai",VLOOKUP(AJ264,'Inputs Mapping'!$V$17:$W$24,2,0),VLOOKUP(AI264,'Inputs Mapping'!$V$27:$W$31,2,0)))</f>
        <v>5</v>
      </c>
      <c r="AP264" s="685">
        <f>IFERROR(IF($AN264="","",HLOOKUP($AN264&amp;RIGHT($AL264,1),'input for formula'!$B$16:$I$20,3,0)),0)</f>
        <v>0</v>
      </c>
      <c r="AQ264" s="686">
        <f>IFERROR(IF($AN264="","",HLOOKUP($AN264&amp;$F264,'input for formula'!$B$22:$M$25,2,0)),0)</f>
        <v>0</v>
      </c>
      <c r="AR264" s="685">
        <f>IFERROR(IF($AN264="","",HLOOKUP($AN264&amp;RIGHT($AL264,1),'input for formula'!$B$16:$I$20,4,0)),0)</f>
        <v>0</v>
      </c>
      <c r="AS264" s="686">
        <f>IFERROR(IF($AN264="","",HLOOKUP($AN264&amp;$F264,'input for formula'!$B$22:$M$25,3,0)),0)</f>
        <v>0</v>
      </c>
      <c r="AT264" s="686">
        <f>IFERROR(IF($AN264="","",HLOOKUP($AN264&amp;RIGHT($AL264,1),'input for formula'!$B$16:$I$20,5,0)),0)</f>
        <v>0</v>
      </c>
      <c r="AU264" s="686">
        <f>IFERROR(IF($AN264="","",HLOOKUP($AN264&amp;$F264,'input for formula'!$B$22:$M$25,4,0)),0)</f>
        <v>0</v>
      </c>
      <c r="AV264" s="666">
        <f>IFERROR(IF($AN264="","",IF('Census Data'!$AN264="Abu Dhabi",VLOOKUP('Census Data'!$AM264,'input for formula'!$A$28:$C$41,3,0),VLOOKUP('Census Data'!$AM264,'input for formula'!$A$28:$C$47,2,0))),0)*IFERROR(1+IF(AN264="Dubai",VLOOKUP(F264,'Quotation for Dubai Plans'!$V$6:$X$12,3,FALSE),VLOOKUP(F264,'Quotation for Abu Dhabi Plans'!$W$6:$Y$12,3,FALSE)),0)</f>
        <v>0</v>
      </c>
      <c r="AW264" s="686">
        <f>AK264</f>
        <v>0</v>
      </c>
      <c r="AX264" s="687">
        <f>IFERROR(IF(AL264="","",IF(AN264="Dubai",HLOOKUP((AL264&amp;AM264),Deviation!$B$7:$S$8,2,0)*BF264*BH264*BI264*BG264,HLOOKUP((AL264&amp;AM264),Deviation!$B$9:$O$10,2,0)*BF264*BH264*BI264*BG264)),0)</f>
        <v>0</v>
      </c>
      <c r="AY264" s="668">
        <f>IF(AL264="","",IFERROR(IF(AL264="","",IF(AN264="Dubai",HLOOKUP(AZ264,'input for formula'!$B$3:$F$10,AO264,FALSE), IF(AND(H264="Employee",AN264="Abu Dhabi"),HLOOKUP(AZ264,'input for formula'!$I$3:$K$7,AO264,FALSE),HLOOKUP(AZ264,'input for formula'!$M$3:$O$7,AO264,FALSE)))*AX264+AP264*AQ264+AR264*AS264+AT264*AU264),0)*$AZ$3*BK264*BJ264)*IF(AND(Inputs!$C$19&gt;19,Inputs!$C$19&lt;30),(1+$AZ$2),1)</f>
        <v>0</v>
      </c>
      <c r="AZ264" s="148" t="str">
        <f>IF(AL264="","",IF(AN264="","",AN264&amp;RIGHT(AL264,1)))</f>
        <v>Dubai0</v>
      </c>
      <c r="BA264" s="688">
        <f>IF(F264="","",IF(G264="Dubai",HLOOKUP(F264,Inputs!$C$26:$M$37,9,0),HLOOKUP(F264,Inputs!$C$45:$M$56,9,0)))</f>
        <v>0</v>
      </c>
      <c r="BB264" s="689">
        <f>IF(F264="","",IF(G264="Dubai",HLOOKUP(F264,Inputs!$C$26:$M$37,10,0),HLOOKUP(F264,Inputs!$C$45:$M$56,10,0)))</f>
        <v>0</v>
      </c>
      <c r="BC264" s="689">
        <f>IF(F264="","",IF(G264="Dubai",HLOOKUP(F264,Inputs!$C$26:$M$37,11,0),HLOOKUP(F264,Inputs!$C$45:$M$56,11,0)))</f>
        <v>0</v>
      </c>
      <c r="BD264" s="688">
        <f>IF(F264="","",IF(G264="Dubai",HLOOKUP(F264,Inputs!$C$26:$M$37,12,0),HLOOKUP(F264,Inputs!$C$45:$M$56,12,0)))</f>
        <v>0</v>
      </c>
      <c r="BE264" s="654"/>
      <c r="BF264" s="688">
        <f>IFERROR(IF(AL264="","",IF(AN264="Dubai",IF(OR(AL264="Plan1",AL264="Plan2"),VLOOKUP(BA264,Deviation!$B$31:$D$33,2,FALSE),VLOOKUP(BA264,Deviation!$B$31:$D$33,3,FALSE)),IF(OR(AL264="Plan1",AL264="Plan2"),VLOOKUP(BA264,Deviation!$E$31:$AE$33,2,FALSE),VLOOKUP(BA264,Deviation!$E$31:$AE$33,3,FALSE)))),0)</f>
        <v>1.125</v>
      </c>
      <c r="BG264" s="690">
        <f>IFERROR(IF(AL264="","",IF(AN264="Dubai",IF(AL264="Plan1",VLOOKUP(BB264,Deviation!$B$39:$C$40,2,FALSE),IF(AL264="Plan2",VLOOKUP(BB264,Deviation!$B$42:$C$43,2,FALSE),IF(AL264="Plan5",VLOOKUP(BB264,Deviation!$B$48:$C$49,2,FALSE),VLOOKUP(BB264,Deviation!$B$45:$C$46,2,FALSE)))),IF(AL264="Plan1",VLOOKUP(BB264,Deviation!$E$39:$F$40,2,FALSE),IF(AL264="Plan2",VLOOKUP(BB264,Deviation!$E$42:$F$43,2,FALSE),VLOOKUP(BB264,Deviation!$E$45:$F$46,2,FALSE))))),0)</f>
        <v>0</v>
      </c>
      <c r="BH264" s="690">
        <f>IFERROR(IF(AL264="","",IF(AN264="Dubai",IF(OR(AL264="Plan1",AL264="Plan2"),VLOOKUP(BC264,Deviation!$B$15:$D$19,2,FALSE),VLOOKUP(BC264,Deviation!$B$15:$D$19,3,FALSE)),IF(OR(AL264="Plan1",AL264="Plan2"),VLOOKUP(BC264,Deviation!$E$15:$AE$19,2,FALSE),VLOOKUP(BC264,Deviation!$E$15:$AE$19,3,FALSE)))),0)</f>
        <v>0</v>
      </c>
      <c r="BI264" s="691">
        <f>IFERROR(IF(AL264="","",IF(AN264="Dubai",VLOOKUP(BD264,Deviation!$B$24:$C$26,2,FALSE),100%)),0)</f>
        <v>1.06</v>
      </c>
      <c r="BJ264" s="672">
        <f>IF(AE264="Abu Dhabi",1,IFERROR(VLOOKUP(AM264,Deviation!$B$67:$E$79,MATCH('Census Data'!AA264,Deviation!$B$66:$E$66,0),0),1))</f>
        <v>1</v>
      </c>
      <c r="BK264" s="659">
        <f>IFERROR(VLOOKUP(I264,Deviation!$B$54:$C$62,2,0),1)</f>
        <v>1</v>
      </c>
      <c r="BL264" s="148"/>
      <c r="BM264" s="148"/>
      <c r="BN264" s="148"/>
      <c r="BO264" s="148"/>
      <c r="BP264" s="148"/>
      <c r="BQ264" s="148"/>
      <c r="BR264" s="148"/>
      <c r="BS264" s="148"/>
      <c r="BT264" s="148">
        <f t="shared" si="168"/>
        <v>0</v>
      </c>
    </row>
    <row r="265" spans="1:72" ht="15" hidden="1" x14ac:dyDescent="0.25">
      <c r="A265" s="94"/>
      <c r="B265" s="470"/>
      <c r="C265" s="94"/>
      <c r="D265" s="94" t="s">
        <v>175</v>
      </c>
      <c r="E265" s="94" t="s">
        <v>173</v>
      </c>
      <c r="F265" s="94" t="s">
        <v>64</v>
      </c>
      <c r="G265" s="94" t="s">
        <v>170</v>
      </c>
      <c r="H265" s="94"/>
      <c r="I265" s="94"/>
      <c r="J265" s="80">
        <v>58</v>
      </c>
      <c r="K265" s="59">
        <f>IF(F265="","",IF(G265="Dubai",HLOOKUP(F265,Inputs!$C$26:$M$28,3,0),HLOOKUP(F265,Inputs!$C$45:$M$46,2,0)))</f>
        <v>0</v>
      </c>
      <c r="L265" s="94"/>
      <c r="M265" s="105">
        <f>IF(N265,IF(COUNTIF(N265:AD265,"x")=0,1,IF(OR(O265="x",P265="x",Q265="×",R265="x",S265="x",T265="x",V265="x",U265="x",W265="x",X265="x",Y265="x",Z265="x",AC265="x",AD265="x"),-2,-1)),0)</f>
        <v>-2</v>
      </c>
      <c r="N265" s="654" t="b">
        <f>NOT(AND(ISBLANK(C265),ISBLANK(D265),ISBLANK(E265),ISBLANK(F265),ISBLANK(G265)))</f>
        <v>1</v>
      </c>
      <c r="O265" s="655" t="str">
        <f t="shared" si="169"/>
        <v>x</v>
      </c>
      <c r="P265" s="655" t="str">
        <f t="shared" si="169"/>
        <v/>
      </c>
      <c r="Q265" s="655" t="str">
        <f t="shared" si="169"/>
        <v/>
      </c>
      <c r="R265" s="655" t="str">
        <f t="shared" si="169"/>
        <v/>
      </c>
      <c r="S265" s="655" t="str">
        <f t="shared" si="169"/>
        <v/>
      </c>
      <c r="T265" s="655" t="str">
        <f>IF(ISERROR(MATCH(G265,'Inputs Mapping'!$T$4:$T$5,0)),"x","")</f>
        <v/>
      </c>
      <c r="U265" s="655" t="str">
        <f>IF(ISERROR(MATCH(AA265,'Inputs Mapping'!$U$4:$U$5,0)),"x","")</f>
        <v>x</v>
      </c>
      <c r="V265" s="655" t="str">
        <f>IF(ISERROR(MATCH(AB265,'Inputs Mapping'!$V$4:$V$5,0)),"x","")</f>
        <v/>
      </c>
      <c r="W265" s="655" t="str">
        <f>IF(ISERROR(MATCH(F265,'Inputs Mapping'!$W$4:$W$8,0)),"x","")</f>
        <v/>
      </c>
      <c r="X265" s="655" t="str">
        <f>IF(ISBLANK(C265),"",IF(OR(ISERROR(J265),NOT(ISNUMBER(C265))),"x",""))</f>
        <v/>
      </c>
      <c r="Y265" s="655" t="str">
        <f>IF(ISBLANK(C265),"",IF(ISERROR(J265),"",""))</f>
        <v/>
      </c>
      <c r="Z265" s="655" t="str">
        <f>IF(ISBLANK(C265),"",IF(ISERROR(J265),"",IF(AND(eff_date-C265&lt;0,C265&lt;&gt;""),"x","")))</f>
        <v/>
      </c>
      <c r="AA265" s="655" t="str">
        <f t="shared" si="165"/>
        <v>M/F</v>
      </c>
      <c r="AB265" s="655" t="str">
        <f>IF(E265="","",IF(OR(E265="Married",E265="M"),"M",IF(OR(E265="Single",E265="S"),"S","")))</f>
        <v>S</v>
      </c>
      <c r="AC265" s="655" t="str">
        <f>IF(AND(OR(G265="Dubai",G265="Abu Dhabi"),H265="Employee",J265&gt;=18),"",IF(AND(OR(G265="Dubai",G265="Abu Dhabi"),H265="Dependent"),"","x"))</f>
        <v>x</v>
      </c>
      <c r="AD265" s="655" t="str">
        <f>IF(ISBLANK(I265),"x",IF(ISNUMBER(MATCH(I265,'Inputs Mapping'!$AF$5:$AF$199,0)),"","x"))</f>
        <v>x</v>
      </c>
      <c r="AE265" s="655" t="str">
        <f t="shared" si="166"/>
        <v>Dubai</v>
      </c>
      <c r="AF265" s="148"/>
      <c r="AG265" s="148"/>
      <c r="AH265" s="148" t="str">
        <f t="shared" si="167"/>
        <v>BDubai</v>
      </c>
      <c r="AI265" s="654" t="str">
        <f>IF(J265="","",VLOOKUP(J265,'Inputs Mapping'!$T$27:$V$31,3))</f>
        <v>41-59</v>
      </c>
      <c r="AJ265" s="654" t="str">
        <f>IF(J265="","",VLOOKUP(J265,'Inputs Mapping'!$T$17:$V$24,3))</f>
        <v>56 - 60</v>
      </c>
      <c r="AK265" s="654">
        <f>IF(G265="Dubai",IF(J265="","",1*AND(LEFT(AA265)="F",LEFT(AB265)="M",J265&gt;=$AK$3,J265&lt;$AK$4+1)),IF(J265="","",1*AND(LEFT(AA265)="F",LEFT(AB265)="M",J265&gt;=$AJ$3,J265&lt;$AJ$4+1)))</f>
        <v>0</v>
      </c>
      <c r="AL265" s="655">
        <f>K265</f>
        <v>0</v>
      </c>
      <c r="AM265" s="655">
        <f>IF(F265="","",IF(G265="Dubai",HLOOKUP(F265,Inputs!$C$26:$M$36,5,0),HLOOKUP(F265,Inputs!$C$45:$M$49,5,0)))</f>
        <v>0</v>
      </c>
      <c r="AN265" s="655" t="str">
        <f>G265</f>
        <v>Dubai</v>
      </c>
      <c r="AO265" s="654">
        <f>IF(AJ265="","",IF(AN265="Dubai",VLOOKUP(AJ265,'Inputs Mapping'!$V$17:$W$24,2,0),VLOOKUP(AI265,'Inputs Mapping'!$V$27:$W$31,2,0)))</f>
        <v>6</v>
      </c>
      <c r="AP265" s="685">
        <f>IFERROR(IF($AN265="","",HLOOKUP($AN265&amp;RIGHT($AL265,1),'input for formula'!$B$16:$I$20,3,0)),0)</f>
        <v>0</v>
      </c>
      <c r="AQ265" s="686">
        <f>IFERROR(IF($AN265="","",HLOOKUP($AN265&amp;$F265,'input for formula'!$B$22:$M$25,2,0)),0)</f>
        <v>0</v>
      </c>
      <c r="AR265" s="685">
        <f>IFERROR(IF($AN265="","",HLOOKUP($AN265&amp;RIGHT($AL265,1),'input for formula'!$B$16:$I$20,4,0)),0)</f>
        <v>0</v>
      </c>
      <c r="AS265" s="686">
        <f>IFERROR(IF($AN265="","",HLOOKUP($AN265&amp;$F265,'input for formula'!$B$22:$M$25,3,0)),0)</f>
        <v>0</v>
      </c>
      <c r="AT265" s="686">
        <f>IFERROR(IF($AN265="","",HLOOKUP($AN265&amp;RIGHT($AL265,1),'input for formula'!$B$16:$I$20,5,0)),0)</f>
        <v>0</v>
      </c>
      <c r="AU265" s="686">
        <f>IFERROR(IF($AN265="","",HLOOKUP($AN265&amp;$F265,'input for formula'!$B$22:$M$25,4,0)),0)</f>
        <v>0</v>
      </c>
      <c r="AV265" s="666">
        <f>IFERROR(IF($AN265="","",IF('Census Data'!$AN265="Abu Dhabi",VLOOKUP('Census Data'!$AM265,'input for formula'!$A$28:$C$41,3,0),VLOOKUP('Census Data'!$AM265,'input for formula'!$A$28:$C$47,2,0))),0)*IFERROR(1+IF(AN265="Dubai",VLOOKUP(F265,'Quotation for Dubai Plans'!$V$6:$X$12,3,FALSE),VLOOKUP(F265,'Quotation for Abu Dhabi Plans'!$W$6:$Y$12,3,FALSE)),0)</f>
        <v>0</v>
      </c>
      <c r="AW265" s="686">
        <f>AK265</f>
        <v>0</v>
      </c>
      <c r="AX265" s="687">
        <f>IFERROR(IF(AL265="","",IF(AN265="Dubai",HLOOKUP((AL265&amp;AM265),Deviation!$B$7:$S$8,2,0)*BF265*BH265*BI265*BG265,HLOOKUP((AL265&amp;AM265),Deviation!$B$9:$O$10,2,0)*BF265*BH265*BI265*BG265)),0)</f>
        <v>0</v>
      </c>
      <c r="AY265" s="668">
        <f>IF(AL265="","",IFERROR(IF(AL265="","",IF(AN265="Dubai",HLOOKUP(AZ265,'input for formula'!$B$3:$F$10,AO265,FALSE), IF(AND(H265="Employee",AN265="Abu Dhabi"),HLOOKUP(AZ265,'input for formula'!$I$3:$K$7,AO265,FALSE),HLOOKUP(AZ265,'input for formula'!$M$3:$O$7,AO265,FALSE)))*AX265+AP265*AQ265+AR265*AS265+AT265*AU265),0)*$AZ$3*BK265*BJ265)*IF(AND(Inputs!$C$19&gt;19,Inputs!$C$19&lt;30),(1+$AZ$2),1)</f>
        <v>0</v>
      </c>
      <c r="AZ265" s="148" t="str">
        <f>IF(AL265="","",IF(AN265="","",AN265&amp;RIGHT(AL265,1)))</f>
        <v>Dubai0</v>
      </c>
      <c r="BA265" s="688">
        <f>IF(F265="","",IF(G265="Dubai",HLOOKUP(F265,Inputs!$C$26:$M$37,9,0),HLOOKUP(F265,Inputs!$C$45:$M$56,9,0)))</f>
        <v>0</v>
      </c>
      <c r="BB265" s="689">
        <f>IF(F265="","",IF(G265="Dubai",HLOOKUP(F265,Inputs!$C$26:$M$37,10,0),HLOOKUP(F265,Inputs!$C$45:$M$56,10,0)))</f>
        <v>0</v>
      </c>
      <c r="BC265" s="689">
        <f>IF(F265="","",IF(G265="Dubai",HLOOKUP(F265,Inputs!$C$26:$M$37,11,0),HLOOKUP(F265,Inputs!$C$45:$M$56,11,0)))</f>
        <v>0</v>
      </c>
      <c r="BD265" s="688">
        <f>IF(F265="","",IF(G265="Dubai",HLOOKUP(F265,Inputs!$C$26:$M$37,12,0),HLOOKUP(F265,Inputs!$C$45:$M$56,12,0)))</f>
        <v>0</v>
      </c>
      <c r="BE265" s="654"/>
      <c r="BF265" s="688">
        <f>IFERROR(IF(AL265="","",IF(AN265="Dubai",IF(OR(AL265="Plan1",AL265="Plan2"),VLOOKUP(BA265,Deviation!$B$31:$D$33,2,FALSE),VLOOKUP(BA265,Deviation!$B$31:$D$33,3,FALSE)),IF(OR(AL265="Plan1",AL265="Plan2"),VLOOKUP(BA265,Deviation!$E$31:$AE$33,2,FALSE),VLOOKUP(BA265,Deviation!$E$31:$AE$33,3,FALSE)))),0)</f>
        <v>1.125</v>
      </c>
      <c r="BG265" s="690">
        <f>IFERROR(IF(AL265="","",IF(AN265="Dubai",IF(AL265="Plan1",VLOOKUP(BB265,Deviation!$B$39:$C$40,2,FALSE),IF(AL265="Plan2",VLOOKUP(BB265,Deviation!$B$42:$C$43,2,FALSE),IF(AL265="Plan5",VLOOKUP(BB265,Deviation!$B$48:$C$49,2,FALSE),VLOOKUP(BB265,Deviation!$B$45:$C$46,2,FALSE)))),IF(AL265="Plan1",VLOOKUP(BB265,Deviation!$E$39:$F$40,2,FALSE),IF(AL265="Plan2",VLOOKUP(BB265,Deviation!$E$42:$F$43,2,FALSE),VLOOKUP(BB265,Deviation!$E$45:$F$46,2,FALSE))))),0)</f>
        <v>0</v>
      </c>
      <c r="BH265" s="690">
        <f>IFERROR(IF(AL265="","",IF(AN265="Dubai",IF(OR(AL265="Plan1",AL265="Plan2"),VLOOKUP(BC265,Deviation!$B$15:$D$19,2,FALSE),VLOOKUP(BC265,Deviation!$B$15:$D$19,3,FALSE)),IF(OR(AL265="Plan1",AL265="Plan2"),VLOOKUP(BC265,Deviation!$E$15:$AE$19,2,FALSE),VLOOKUP(BC265,Deviation!$E$15:$AE$19,3,FALSE)))),0)</f>
        <v>0</v>
      </c>
      <c r="BI265" s="691">
        <f>IFERROR(IF(AL265="","",IF(AN265="Dubai",VLOOKUP(BD265,Deviation!$B$24:$C$26,2,FALSE),100%)),0)</f>
        <v>1.06</v>
      </c>
      <c r="BJ265" s="672">
        <f>IF(AE265="Abu Dhabi",1,IFERROR(VLOOKUP(AM265,Deviation!$B$67:$E$79,MATCH('Census Data'!AA265,Deviation!$B$66:$E$66,0),0),1))</f>
        <v>1</v>
      </c>
      <c r="BK265" s="659">
        <f>IFERROR(VLOOKUP(I265,Deviation!$B$54:$C$62,2,0),1)</f>
        <v>1</v>
      </c>
      <c r="BL265" s="148"/>
      <c r="BM265" s="148"/>
      <c r="BN265" s="148"/>
      <c r="BO265" s="148"/>
      <c r="BP265" s="148"/>
      <c r="BQ265" s="148"/>
      <c r="BR265" s="148"/>
      <c r="BS265" s="148"/>
      <c r="BT265" s="148">
        <f t="shared" si="168"/>
        <v>0</v>
      </c>
    </row>
    <row r="266" spans="1:72" ht="15" hidden="1" x14ac:dyDescent="0.25">
      <c r="A266" s="94"/>
      <c r="B266" s="470"/>
      <c r="C266" s="94"/>
      <c r="D266" s="94" t="s">
        <v>175</v>
      </c>
      <c r="E266" s="94" t="s">
        <v>173</v>
      </c>
      <c r="F266" s="94" t="s">
        <v>64</v>
      </c>
      <c r="G266" s="94" t="s">
        <v>170</v>
      </c>
      <c r="H266" s="94"/>
      <c r="I266" s="94"/>
      <c r="J266" s="80">
        <v>63</v>
      </c>
      <c r="K266" s="59">
        <f>IF(F266="","",IF(G266="Dubai",HLOOKUP(F266,Inputs!$C$26:$M$28,3,0),HLOOKUP(F266,Inputs!$C$45:$M$46,2,0)))</f>
        <v>0</v>
      </c>
      <c r="L266" s="94"/>
      <c r="M266" s="105">
        <f>IF(N266,IF(COUNTIF(N266:AD266,"x")=0,1,IF(OR(O266="x",P266="x",Q266="×",R266="x",S266="x",T266="x",V266="x",U266="x",W266="x",X266="x",Y266="x",Z266="x",AC266="x",AD266="x"),-2,-1)),0)</f>
        <v>-2</v>
      </c>
      <c r="N266" s="654" t="b">
        <f>NOT(AND(ISBLANK(C266),ISBLANK(D266),ISBLANK(E266),ISBLANK(F266),ISBLANK(G266)))</f>
        <v>1</v>
      </c>
      <c r="O266" s="655" t="str">
        <f t="shared" si="169"/>
        <v>x</v>
      </c>
      <c r="P266" s="655" t="str">
        <f t="shared" si="169"/>
        <v/>
      </c>
      <c r="Q266" s="655" t="str">
        <f t="shared" si="169"/>
        <v/>
      </c>
      <c r="R266" s="655" t="str">
        <f t="shared" si="169"/>
        <v/>
      </c>
      <c r="S266" s="655" t="str">
        <f t="shared" si="169"/>
        <v/>
      </c>
      <c r="T266" s="655" t="str">
        <f>IF(ISERROR(MATCH(G266,'Inputs Mapping'!$T$4:$T$5,0)),"x","")</f>
        <v/>
      </c>
      <c r="U266" s="655" t="str">
        <f>IF(ISERROR(MATCH(AA266,'Inputs Mapping'!$U$4:$U$5,0)),"x","")</f>
        <v>x</v>
      </c>
      <c r="V266" s="655" t="str">
        <f>IF(ISERROR(MATCH(AB266,'Inputs Mapping'!$V$4:$V$5,0)),"x","")</f>
        <v/>
      </c>
      <c r="W266" s="655" t="str">
        <f>IF(ISERROR(MATCH(F266,'Inputs Mapping'!$W$4:$W$8,0)),"x","")</f>
        <v/>
      </c>
      <c r="X266" s="655" t="str">
        <f>IF(ISBLANK(C266),"",IF(OR(ISERROR(J266),NOT(ISNUMBER(C266))),"x",""))</f>
        <v/>
      </c>
      <c r="Y266" s="655" t="str">
        <f>IF(ISBLANK(C266),"",IF(ISERROR(J266),"",""))</f>
        <v/>
      </c>
      <c r="Z266" s="655" t="str">
        <f>IF(ISBLANK(C266),"",IF(ISERROR(J266),"",IF(AND(eff_date-C266&lt;0,C266&lt;&gt;""),"x","")))</f>
        <v/>
      </c>
      <c r="AA266" s="655" t="str">
        <f t="shared" si="165"/>
        <v>M/F</v>
      </c>
      <c r="AB266" s="655" t="str">
        <f>IF(E266="","",IF(OR(E266="Married",E266="M"),"M",IF(OR(E266="Single",E266="S"),"S","")))</f>
        <v>S</v>
      </c>
      <c r="AC266" s="655" t="str">
        <f>IF(AND(OR(G266="Dubai",G266="Abu Dhabi"),H266="Employee",J266&gt;=18),"",IF(AND(OR(G266="Dubai",G266="Abu Dhabi"),H266="Dependent"),"","x"))</f>
        <v>x</v>
      </c>
      <c r="AD266" s="655" t="str">
        <f>IF(ISBLANK(I266),"x",IF(ISNUMBER(MATCH(I266,'Inputs Mapping'!$AF$5:$AF$199,0)),"","x"))</f>
        <v>x</v>
      </c>
      <c r="AE266" s="655" t="str">
        <f t="shared" si="166"/>
        <v>Dubai</v>
      </c>
      <c r="AF266" s="148"/>
      <c r="AG266" s="148"/>
      <c r="AH266" s="148" t="str">
        <f t="shared" si="167"/>
        <v>BDubai</v>
      </c>
      <c r="AI266" s="654" t="str">
        <f>IF(J266="","",VLOOKUP(J266,'Inputs Mapping'!$T$27:$V$31,3))</f>
        <v>60-69</v>
      </c>
      <c r="AJ266" s="654" t="str">
        <f>IF(J266="","",VLOOKUP(J266,'Inputs Mapping'!$T$17:$V$24,3))</f>
        <v>61 - 65</v>
      </c>
      <c r="AK266" s="654">
        <f>IF(G266="Dubai",IF(J266="","",1*AND(LEFT(AA266)="F",LEFT(AB266)="M",J266&gt;=$AK$3,J266&lt;$AK$4+1)),IF(J266="","",1*AND(LEFT(AA266)="F",LEFT(AB266)="M",J266&gt;=$AJ$3,J266&lt;$AJ$4+1)))</f>
        <v>0</v>
      </c>
      <c r="AL266" s="655">
        <f>K266</f>
        <v>0</v>
      </c>
      <c r="AM266" s="655">
        <f>IF(F266="","",IF(G266="Dubai",HLOOKUP(F266,Inputs!$C$26:$M$36,5,0),HLOOKUP(F266,Inputs!$C$45:$M$49,5,0)))</f>
        <v>0</v>
      </c>
      <c r="AN266" s="655" t="str">
        <f>G266</f>
        <v>Dubai</v>
      </c>
      <c r="AO266" s="654">
        <f>IF(AJ266="","",IF(AN266="Dubai",VLOOKUP(AJ266,'Inputs Mapping'!$V$17:$W$24,2,0),VLOOKUP(AI266,'Inputs Mapping'!$V$27:$W$31,2,0)))</f>
        <v>7</v>
      </c>
      <c r="AP266" s="685">
        <f>IFERROR(IF($AN266="","",HLOOKUP($AN266&amp;RIGHT($AL266,1),'input for formula'!$B$16:$I$20,3,0)),0)</f>
        <v>0</v>
      </c>
      <c r="AQ266" s="686">
        <f>IFERROR(IF($AN266="","",HLOOKUP($AN266&amp;$F266,'input for formula'!$B$22:$M$25,2,0)),0)</f>
        <v>0</v>
      </c>
      <c r="AR266" s="685">
        <f>IFERROR(IF($AN266="","",HLOOKUP($AN266&amp;RIGHT($AL266,1),'input for formula'!$B$16:$I$20,4,0)),0)</f>
        <v>0</v>
      </c>
      <c r="AS266" s="686">
        <f>IFERROR(IF($AN266="","",HLOOKUP($AN266&amp;$F266,'input for formula'!$B$22:$M$25,3,0)),0)</f>
        <v>0</v>
      </c>
      <c r="AT266" s="686">
        <f>IFERROR(IF($AN266="","",HLOOKUP($AN266&amp;RIGHT($AL266,1),'input for formula'!$B$16:$I$20,5,0)),0)</f>
        <v>0</v>
      </c>
      <c r="AU266" s="686">
        <f>IFERROR(IF($AN266="","",HLOOKUP($AN266&amp;$F266,'input for formula'!$B$22:$M$25,4,0)),0)</f>
        <v>0</v>
      </c>
      <c r="AV266" s="666">
        <f>IFERROR(IF($AN266="","",IF('Census Data'!$AN266="Abu Dhabi",VLOOKUP('Census Data'!$AM266,'input for formula'!$A$28:$C$41,3,0),VLOOKUP('Census Data'!$AM266,'input for formula'!$A$28:$C$47,2,0))),0)*IFERROR(1+IF(AN266="Dubai",VLOOKUP(F266,'Quotation for Dubai Plans'!$V$6:$X$12,3,FALSE),VLOOKUP(F266,'Quotation for Abu Dhabi Plans'!$W$6:$Y$12,3,FALSE)),0)</f>
        <v>0</v>
      </c>
      <c r="AW266" s="686">
        <f>AK266</f>
        <v>0</v>
      </c>
      <c r="AX266" s="687">
        <f>IFERROR(IF(AL266="","",IF(AN266="Dubai",HLOOKUP((AL266&amp;AM266),Deviation!$B$7:$S$8,2,0)*BF266*BH266*BI266*BG266,HLOOKUP((AL266&amp;AM266),Deviation!$B$9:$O$10,2,0)*BF266*BH266*BI266*BG266)),0)</f>
        <v>0</v>
      </c>
      <c r="AY266" s="668">
        <f>IF(AL266="","",IFERROR(IF(AL266="","",IF(AN266="Dubai",HLOOKUP(AZ266,'input for formula'!$B$3:$F$10,AO266,FALSE), IF(AND(H266="Employee",AN266="Abu Dhabi"),HLOOKUP(AZ266,'input for formula'!$I$3:$K$7,AO266,FALSE),HLOOKUP(AZ266,'input for formula'!$M$3:$O$7,AO266,FALSE)))*AX266+AP266*AQ266+AR266*AS266+AT266*AU266),0)*$AZ$3*BK266*BJ266)*IF(AND(Inputs!$C$19&gt;19,Inputs!$C$19&lt;30),(1+$AZ$2),1)</f>
        <v>0</v>
      </c>
      <c r="AZ266" s="148" t="str">
        <f>IF(AL266="","",IF(AN266="","",AN266&amp;RIGHT(AL266,1)))</f>
        <v>Dubai0</v>
      </c>
      <c r="BA266" s="688">
        <f>IF(F266="","",IF(G266="Dubai",HLOOKUP(F266,Inputs!$C$26:$M$37,9,0),HLOOKUP(F266,Inputs!$C$45:$M$56,9,0)))</f>
        <v>0</v>
      </c>
      <c r="BB266" s="689">
        <f>IF(F266="","",IF(G266="Dubai",HLOOKUP(F266,Inputs!$C$26:$M$37,10,0),HLOOKUP(F266,Inputs!$C$45:$M$56,10,0)))</f>
        <v>0</v>
      </c>
      <c r="BC266" s="689">
        <f>IF(F266="","",IF(G266="Dubai",HLOOKUP(F266,Inputs!$C$26:$M$37,11,0),HLOOKUP(F266,Inputs!$C$45:$M$56,11,0)))</f>
        <v>0</v>
      </c>
      <c r="BD266" s="688">
        <f>IF(F266="","",IF(G266="Dubai",HLOOKUP(F266,Inputs!$C$26:$M$37,12,0),HLOOKUP(F266,Inputs!$C$45:$M$56,12,0)))</f>
        <v>0</v>
      </c>
      <c r="BE266" s="654"/>
      <c r="BF266" s="688">
        <f>IFERROR(IF(AL266="","",IF(AN266="Dubai",IF(OR(AL266="Plan1",AL266="Plan2"),VLOOKUP(BA266,Deviation!$B$31:$D$33,2,FALSE),VLOOKUP(BA266,Deviation!$B$31:$D$33,3,FALSE)),IF(OR(AL266="Plan1",AL266="Plan2"),VLOOKUP(BA266,Deviation!$E$31:$AE$33,2,FALSE),VLOOKUP(BA266,Deviation!$E$31:$AE$33,3,FALSE)))),0)</f>
        <v>1.125</v>
      </c>
      <c r="BG266" s="690">
        <f>IFERROR(IF(AL266="","",IF(AN266="Dubai",IF(AL266="Plan1",VLOOKUP(BB266,Deviation!$B$39:$C$40,2,FALSE),IF(AL266="Plan2",VLOOKUP(BB266,Deviation!$B$42:$C$43,2,FALSE),IF(AL266="Plan5",VLOOKUP(BB266,Deviation!$B$48:$C$49,2,FALSE),VLOOKUP(BB266,Deviation!$B$45:$C$46,2,FALSE)))),IF(AL266="Plan1",VLOOKUP(BB266,Deviation!$E$39:$F$40,2,FALSE),IF(AL266="Plan2",VLOOKUP(BB266,Deviation!$E$42:$F$43,2,FALSE),VLOOKUP(BB266,Deviation!$E$45:$F$46,2,FALSE))))),0)</f>
        <v>0</v>
      </c>
      <c r="BH266" s="690">
        <f>IFERROR(IF(AL266="","",IF(AN266="Dubai",IF(OR(AL266="Plan1",AL266="Plan2"),VLOOKUP(BC266,Deviation!$B$15:$D$19,2,FALSE),VLOOKUP(BC266,Deviation!$B$15:$D$19,3,FALSE)),IF(OR(AL266="Plan1",AL266="Plan2"),VLOOKUP(BC266,Deviation!$E$15:$AE$19,2,FALSE),VLOOKUP(BC266,Deviation!$E$15:$AE$19,3,FALSE)))),0)</f>
        <v>0</v>
      </c>
      <c r="BI266" s="691">
        <f>IFERROR(IF(AL266="","",IF(AN266="Dubai",VLOOKUP(BD266,Deviation!$B$24:$C$26,2,FALSE),100%)),0)</f>
        <v>1.06</v>
      </c>
      <c r="BJ266" s="672">
        <f>IF(AE266="Abu Dhabi",1,IFERROR(VLOOKUP(AM266,Deviation!$B$67:$E$79,MATCH('Census Data'!AA266,Deviation!$B$66:$E$66,0),0),1))</f>
        <v>1</v>
      </c>
      <c r="BK266" s="659">
        <f>IFERROR(VLOOKUP(I266,Deviation!$B$54:$C$62,2,0),1)</f>
        <v>1</v>
      </c>
      <c r="BL266" s="148"/>
      <c r="BM266" s="148"/>
      <c r="BN266" s="148"/>
      <c r="BO266" s="148"/>
      <c r="BP266" s="148"/>
      <c r="BQ266" s="148"/>
      <c r="BR266" s="148"/>
      <c r="BS266" s="148"/>
      <c r="BT266" s="148">
        <f t="shared" si="168"/>
        <v>0</v>
      </c>
    </row>
    <row r="267" spans="1:72" ht="15" hidden="1" x14ac:dyDescent="0.25">
      <c r="A267" s="94"/>
      <c r="B267" s="470"/>
      <c r="C267" s="94"/>
      <c r="D267" s="94" t="s">
        <v>175</v>
      </c>
      <c r="E267" s="94" t="s">
        <v>173</v>
      </c>
      <c r="F267" s="94" t="s">
        <v>64</v>
      </c>
      <c r="G267" s="94" t="s">
        <v>170</v>
      </c>
      <c r="H267" s="94"/>
      <c r="I267" s="94"/>
      <c r="J267" s="80">
        <v>67</v>
      </c>
      <c r="K267" s="59">
        <f>IF(F267="","",IF(G267="Dubai",HLOOKUP(F267,Inputs!$C$26:$M$28,3,0),HLOOKUP(F267,Inputs!$C$45:$M$46,2,0)))</f>
        <v>0</v>
      </c>
      <c r="L267" s="94"/>
      <c r="M267" s="105">
        <f t="shared" si="159"/>
        <v>-2</v>
      </c>
      <c r="N267" s="654" t="b">
        <f t="shared" si="147"/>
        <v>1</v>
      </c>
      <c r="O267" s="655" t="str">
        <f t="shared" si="148"/>
        <v>x</v>
      </c>
      <c r="P267" s="655" t="str">
        <f t="shared" si="149"/>
        <v/>
      </c>
      <c r="Q267" s="655" t="str">
        <f t="shared" si="150"/>
        <v/>
      </c>
      <c r="R267" s="655" t="str">
        <f t="shared" si="151"/>
        <v/>
      </c>
      <c r="S267" s="655" t="str">
        <f t="shared" si="152"/>
        <v/>
      </c>
      <c r="T267" s="655" t="str">
        <f>IF(ISERROR(MATCH(G267,'Inputs Mapping'!$T$4:$T$5,0)),"x","")</f>
        <v/>
      </c>
      <c r="U267" s="655" t="str">
        <f>IF(ISERROR(MATCH(AA267,'Inputs Mapping'!$U$4:$U$5,0)),"x","")</f>
        <v>x</v>
      </c>
      <c r="V267" s="655" t="str">
        <f>IF(ISERROR(MATCH(AB267,'Inputs Mapping'!$V$4:$V$5,0)),"x","")</f>
        <v/>
      </c>
      <c r="W267" s="655" t="str">
        <f>IF(ISERROR(MATCH(F267,'Inputs Mapping'!$W$4:$W$8,0)),"x","")</f>
        <v/>
      </c>
      <c r="X267" s="655" t="str">
        <f t="shared" si="153"/>
        <v/>
      </c>
      <c r="Y267" s="655" t="str">
        <f t="shared" si="154"/>
        <v/>
      </c>
      <c r="Z267" s="655" t="str">
        <f t="shared" si="160"/>
        <v/>
      </c>
      <c r="AA267" s="655" t="str">
        <f t="shared" si="165"/>
        <v>M/F</v>
      </c>
      <c r="AB267" s="655" t="str">
        <f t="shared" si="161"/>
        <v>S</v>
      </c>
      <c r="AC267" s="655" t="str">
        <f t="shared" si="162"/>
        <v>x</v>
      </c>
      <c r="AD267" s="655" t="str">
        <f>IF(ISBLANK(I267),"x",IF(ISNUMBER(MATCH(I267,'Inputs Mapping'!$AF$5:$AF$199,0)),"","x"))</f>
        <v>x</v>
      </c>
      <c r="AE267" s="655" t="str">
        <f t="shared" si="166"/>
        <v>Dubai</v>
      </c>
      <c r="AF267" s="148"/>
      <c r="AG267" s="148"/>
      <c r="AH267" s="148" t="str">
        <f t="shared" si="167"/>
        <v>BDubai</v>
      </c>
      <c r="AI267" s="654" t="str">
        <f>IF(J267="","",VLOOKUP(J267,'Inputs Mapping'!$T$27:$V$31,3))</f>
        <v>60-69</v>
      </c>
      <c r="AJ267" s="654" t="str">
        <f>IF(J267="","",VLOOKUP(J267,'Inputs Mapping'!$T$17:$V$24,3))</f>
        <v>66 - 69</v>
      </c>
      <c r="AK267" s="654">
        <f t="shared" si="155"/>
        <v>0</v>
      </c>
      <c r="AL267" s="655">
        <f t="shared" si="156"/>
        <v>0</v>
      </c>
      <c r="AM267" s="655">
        <f>IF(F267="","",IF(G267="Dubai",HLOOKUP(F267,Inputs!$C$26:$M$36,5,0),HLOOKUP(F267,Inputs!$C$45:$M$49,5,0)))</f>
        <v>0</v>
      </c>
      <c r="AN267" s="655" t="str">
        <f t="shared" si="157"/>
        <v>Dubai</v>
      </c>
      <c r="AO267" s="654">
        <f>IF(AJ267="","",IF(AN267="Dubai",VLOOKUP(AJ267,'Inputs Mapping'!$V$17:$W$24,2,0),VLOOKUP(AI267,'Inputs Mapping'!$V$27:$W$31,2,0)))</f>
        <v>8</v>
      </c>
      <c r="AP267" s="685">
        <f>IFERROR(IF($AN267="","",HLOOKUP($AN267&amp;RIGHT($AL267,1),'input for formula'!$B$16:$I$20,3,0)),0)</f>
        <v>0</v>
      </c>
      <c r="AQ267" s="686">
        <f>IFERROR(IF($AN267="","",HLOOKUP($AN267&amp;$F267,'input for formula'!$B$22:$M$25,2,0)),0)</f>
        <v>0</v>
      </c>
      <c r="AR267" s="685">
        <f>IFERROR(IF($AN267="","",HLOOKUP($AN267&amp;RIGHT($AL267,1),'input for formula'!$B$16:$I$20,4,0)),0)</f>
        <v>0</v>
      </c>
      <c r="AS267" s="686">
        <f>IFERROR(IF($AN267="","",HLOOKUP($AN267&amp;$F267,'input for formula'!$B$22:$M$25,3,0)),0)</f>
        <v>0</v>
      </c>
      <c r="AT267" s="686">
        <f>IFERROR(IF($AN267="","",HLOOKUP($AN267&amp;RIGHT($AL267,1),'input for formula'!$B$16:$I$20,5,0)),0)</f>
        <v>0</v>
      </c>
      <c r="AU267" s="686">
        <f>IFERROR(IF($AN267="","",HLOOKUP($AN267&amp;$F267,'input for formula'!$B$22:$M$25,4,0)),0)</f>
        <v>0</v>
      </c>
      <c r="AV267" s="666">
        <f>IFERROR(IF($AN267="","",IF('Census Data'!$AN267="Abu Dhabi",VLOOKUP('Census Data'!$AM267,'input for formula'!$A$28:$C$41,3,0),VLOOKUP('Census Data'!$AM267,'input for formula'!$A$28:$C$47,2,0))),0)*IFERROR(1+IF(AN267="Dubai",VLOOKUP(F267,'Quotation for Dubai Plans'!$V$6:$X$12,3,FALSE),VLOOKUP(F267,'Quotation for Abu Dhabi Plans'!$W$6:$Y$12,3,FALSE)),0)</f>
        <v>0</v>
      </c>
      <c r="AW267" s="686">
        <f t="shared" si="158"/>
        <v>0</v>
      </c>
      <c r="AX267" s="687">
        <f>IFERROR(IF(AL267="","",IF(AN267="Dubai",HLOOKUP((AL267&amp;AM267),Deviation!$B$7:$S$8,2,0)*BF267*BH267*BI267*BG267,HLOOKUP((AL267&amp;AM267),Deviation!$B$9:$O$10,2,0)*BF267*BH267*BI267*BG267)),0)</f>
        <v>0</v>
      </c>
      <c r="AY267" s="668">
        <f>IF(AL267="","",IFERROR(IF(AL267="","",IF(AN267="Dubai",HLOOKUP(AZ267,'input for formula'!$B$3:$F$10,AO267,FALSE), IF(AND(H267="Employee",AN267="Abu Dhabi"),HLOOKUP(AZ267,'input for formula'!$I$3:$K$7,AO267,FALSE),HLOOKUP(AZ267,'input for formula'!$M$3:$O$7,AO267,FALSE)))*AX267+AP267*AQ267+AR267*AS267+AT267*AU267),0)*$AZ$3*BK267*BJ267)*IF(AND(Inputs!$C$19&gt;19,Inputs!$C$19&lt;30),(1+$AZ$2),1)</f>
        <v>0</v>
      </c>
      <c r="AZ267" s="148" t="str">
        <f t="shared" si="163"/>
        <v>Dubai0</v>
      </c>
      <c r="BA267" s="688">
        <f>IF(F267="","",IF(G267="Dubai",HLOOKUP(F267,Inputs!$C$26:$M$37,9,0),HLOOKUP(F267,Inputs!$C$45:$M$56,9,0)))</f>
        <v>0</v>
      </c>
      <c r="BB267" s="689">
        <f>IF(F267="","",IF(G267="Dubai",HLOOKUP(F267,Inputs!$C$26:$M$37,10,0),HLOOKUP(F267,Inputs!$C$45:$M$56,10,0)))</f>
        <v>0</v>
      </c>
      <c r="BC267" s="689">
        <f>IF(F267="","",IF(G267="Dubai",HLOOKUP(F267,Inputs!$C$26:$M$37,11,0),HLOOKUP(F267,Inputs!$C$45:$M$56,11,0)))</f>
        <v>0</v>
      </c>
      <c r="BD267" s="688">
        <f>IF(F267="","",IF(G267="Dubai",HLOOKUP(F267,Inputs!$C$26:$M$37,12,0),HLOOKUP(F267,Inputs!$C$45:$M$56,12,0)))</f>
        <v>0</v>
      </c>
      <c r="BE267" s="654"/>
      <c r="BF267" s="688">
        <f>IFERROR(IF(AL267="","",IF(AN267="Dubai",IF(OR(AL267="Plan1",AL267="Plan2"),VLOOKUP(BA267,Deviation!$B$31:$D$33,2,FALSE),VLOOKUP(BA267,Deviation!$B$31:$D$33,3,FALSE)),IF(OR(AL267="Plan1",AL267="Plan2"),VLOOKUP(BA267,Deviation!$E$31:$AE$33,2,FALSE),VLOOKUP(BA267,Deviation!$E$31:$AE$33,3,FALSE)))),0)</f>
        <v>1.125</v>
      </c>
      <c r="BG267" s="690">
        <f>IFERROR(IF(AL267="","",IF(AN267="Dubai",IF(AL267="Plan1",VLOOKUP(BB267,Deviation!$B$39:$C$40,2,FALSE),IF(AL267="Plan2",VLOOKUP(BB267,Deviation!$B$42:$C$43,2,FALSE),IF(AL267="Plan5",VLOOKUP(BB267,Deviation!$B$48:$C$49,2,FALSE),VLOOKUP(BB267,Deviation!$B$45:$C$46,2,FALSE)))),IF(AL267="Plan1",VLOOKUP(BB267,Deviation!$E$39:$F$40,2,FALSE),IF(AL267="Plan2",VLOOKUP(BB267,Deviation!$E$42:$F$43,2,FALSE),VLOOKUP(BB267,Deviation!$E$45:$F$46,2,FALSE))))),0)</f>
        <v>0</v>
      </c>
      <c r="BH267" s="690">
        <f>IFERROR(IF(AL267="","",IF(AN267="Dubai",IF(OR(AL267="Plan1",AL267="Plan2"),VLOOKUP(BC267,Deviation!$B$15:$D$19,2,FALSE),VLOOKUP(BC267,Deviation!$B$15:$D$19,3,FALSE)),IF(OR(AL267="Plan1",AL267="Plan2"),VLOOKUP(BC267,Deviation!$E$15:$AE$19,2,FALSE),VLOOKUP(BC267,Deviation!$E$15:$AE$19,3,FALSE)))),0)</f>
        <v>0</v>
      </c>
      <c r="BI267" s="691">
        <f>IFERROR(IF(AL267="","",IF(AN267="Dubai",VLOOKUP(BD267,Deviation!$B$24:$C$26,2,FALSE),100%)),0)</f>
        <v>1.06</v>
      </c>
      <c r="BJ267" s="672">
        <f>IF(AE267="Abu Dhabi",1,IFERROR(VLOOKUP(AM267,Deviation!$B$67:$E$79,MATCH('Census Data'!AA267,Deviation!$B$66:$E$66,0),0),1))</f>
        <v>1</v>
      </c>
      <c r="BK267" s="659">
        <f>IFERROR(VLOOKUP(I267,Deviation!$B$54:$C$62,2,0),1)</f>
        <v>1</v>
      </c>
      <c r="BL267" s="148"/>
      <c r="BM267" s="148"/>
      <c r="BN267" s="148"/>
      <c r="BO267" s="148"/>
      <c r="BP267" s="148"/>
      <c r="BQ267" s="148"/>
      <c r="BR267" s="148"/>
      <c r="BS267" s="148"/>
      <c r="BT267" s="148">
        <f t="shared" si="168"/>
        <v>0</v>
      </c>
    </row>
    <row r="268" spans="1:72" ht="15" hidden="1" x14ac:dyDescent="0.25">
      <c r="A268" s="94"/>
      <c r="B268" s="470"/>
      <c r="C268" s="94"/>
      <c r="D268" s="94" t="s">
        <v>175</v>
      </c>
      <c r="E268" s="94" t="s">
        <v>173</v>
      </c>
      <c r="F268" s="94" t="s">
        <v>65</v>
      </c>
      <c r="G268" s="94" t="s">
        <v>170</v>
      </c>
      <c r="H268" s="94"/>
      <c r="I268" s="94"/>
      <c r="J268" s="80">
        <v>15</v>
      </c>
      <c r="K268" s="59">
        <f>IF(F268="","",IF(G268="Dubai",HLOOKUP(F268,Inputs!$C$26:$M$28,3,0),HLOOKUP(F268,Inputs!$C$45:$M$46,2,0)))</f>
        <v>0</v>
      </c>
      <c r="L268" s="94"/>
      <c r="M268" s="105">
        <f t="shared" si="159"/>
        <v>-2</v>
      </c>
      <c r="N268" s="654" t="b">
        <f t="shared" si="147"/>
        <v>1</v>
      </c>
      <c r="O268" s="655" t="str">
        <f t="shared" si="148"/>
        <v>x</v>
      </c>
      <c r="P268" s="655" t="str">
        <f t="shared" si="149"/>
        <v/>
      </c>
      <c r="Q268" s="655" t="str">
        <f t="shared" si="150"/>
        <v/>
      </c>
      <c r="R268" s="655" t="str">
        <f t="shared" si="151"/>
        <v/>
      </c>
      <c r="S268" s="655" t="str">
        <f t="shared" si="152"/>
        <v/>
      </c>
      <c r="T268" s="655" t="str">
        <f>IF(ISERROR(MATCH(G268,'Inputs Mapping'!$T$4:$T$5,0)),"x","")</f>
        <v/>
      </c>
      <c r="U268" s="655" t="str">
        <f>IF(ISERROR(MATCH(AA268,'Inputs Mapping'!$U$4:$U$5,0)),"x","")</f>
        <v>x</v>
      </c>
      <c r="V268" s="655" t="str">
        <f>IF(ISERROR(MATCH(AB268,'Inputs Mapping'!$V$4:$V$5,0)),"x","")</f>
        <v/>
      </c>
      <c r="W268" s="655" t="str">
        <f>IF(ISERROR(MATCH(F268,'Inputs Mapping'!$W$4:$W$8,0)),"x","")</f>
        <v/>
      </c>
      <c r="X268" s="655" t="str">
        <f t="shared" si="153"/>
        <v/>
      </c>
      <c r="Y268" s="655" t="str">
        <f t="shared" si="154"/>
        <v/>
      </c>
      <c r="Z268" s="655" t="str">
        <f t="shared" si="160"/>
        <v/>
      </c>
      <c r="AA268" s="655" t="str">
        <f t="shared" si="165"/>
        <v>M/F</v>
      </c>
      <c r="AB268" s="655" t="str">
        <f t="shared" si="161"/>
        <v>S</v>
      </c>
      <c r="AC268" s="655" t="str">
        <f t="shared" si="162"/>
        <v>x</v>
      </c>
      <c r="AD268" s="655" t="str">
        <f>IF(ISBLANK(I268),"x",IF(ISNUMBER(MATCH(I268,'Inputs Mapping'!$AF$5:$AF$199,0)),"","x"))</f>
        <v>x</v>
      </c>
      <c r="AE268" s="655" t="str">
        <f t="shared" si="166"/>
        <v>Dubai</v>
      </c>
      <c r="AF268" s="148"/>
      <c r="AG268" s="148"/>
      <c r="AH268" s="148" t="str">
        <f t="shared" si="167"/>
        <v>CDubai</v>
      </c>
      <c r="AI268" s="654" t="str">
        <f>IF(J268="","",VLOOKUP(J268,'Inputs Mapping'!$T$27:$V$31,3))</f>
        <v>0-17</v>
      </c>
      <c r="AJ268" s="654" t="str">
        <f>IF(J268="","",VLOOKUP(J268,'Inputs Mapping'!$T$17:$V$24,3))</f>
        <v>0 - 17</v>
      </c>
      <c r="AK268" s="654">
        <f t="shared" si="155"/>
        <v>0</v>
      </c>
      <c r="AL268" s="655">
        <f t="shared" si="156"/>
        <v>0</v>
      </c>
      <c r="AM268" s="655">
        <f>IF(F268="","",IF(G268="Dubai",HLOOKUP(F268,Inputs!$C$26:$M$36,5,0),HLOOKUP(F268,Inputs!$C$45:$M$49,5,0)))</f>
        <v>0</v>
      </c>
      <c r="AN268" s="655" t="str">
        <f t="shared" si="157"/>
        <v>Dubai</v>
      </c>
      <c r="AO268" s="654">
        <f>IF(AJ268="","",IF(AN268="Dubai",VLOOKUP(AJ268,'Inputs Mapping'!$V$17:$W$24,2,0),VLOOKUP(AI268,'Inputs Mapping'!$V$27:$W$31,2,0)))</f>
        <v>2</v>
      </c>
      <c r="AP268" s="685">
        <f>IFERROR(IF($AN268="","",HLOOKUP($AN268&amp;RIGHT($AL268,1),'input for formula'!$B$16:$I$20,3,0)),0)</f>
        <v>0</v>
      </c>
      <c r="AQ268" s="686">
        <f>IFERROR(IF($AN268="","",HLOOKUP($AN268&amp;$F268,'input for formula'!$B$22:$M$25,2,0)),0)</f>
        <v>0</v>
      </c>
      <c r="AR268" s="685">
        <f>IFERROR(IF($AN268="","",HLOOKUP($AN268&amp;RIGHT($AL268,1),'input for formula'!$B$16:$I$20,4,0)),0)</f>
        <v>0</v>
      </c>
      <c r="AS268" s="686">
        <f>IFERROR(IF($AN268="","",HLOOKUP($AN268&amp;$F268,'input for formula'!$B$22:$M$25,3,0)),0)</f>
        <v>0</v>
      </c>
      <c r="AT268" s="686">
        <f>IFERROR(IF($AN268="","",HLOOKUP($AN268&amp;RIGHT($AL268,1),'input for formula'!$B$16:$I$20,5,0)),0)</f>
        <v>0</v>
      </c>
      <c r="AU268" s="686">
        <f>IFERROR(IF($AN268="","",HLOOKUP($AN268&amp;$F268,'input for formula'!$B$22:$M$25,4,0)),0)</f>
        <v>0</v>
      </c>
      <c r="AV268" s="666">
        <f>IFERROR(IF($AN268="","",IF('Census Data'!$AN268="Abu Dhabi",VLOOKUP('Census Data'!$AM268,'input for formula'!$A$28:$C$41,3,0),VLOOKUP('Census Data'!$AM268,'input for formula'!$A$28:$C$47,2,0))),0)*IFERROR(1+IF(AN268="Dubai",VLOOKUP(F268,'Quotation for Dubai Plans'!$V$6:$X$12,3,FALSE),VLOOKUP(F268,'Quotation for Abu Dhabi Plans'!$W$6:$Y$12,3,FALSE)),0)</f>
        <v>0</v>
      </c>
      <c r="AW268" s="686">
        <f t="shared" si="158"/>
        <v>0</v>
      </c>
      <c r="AX268" s="687">
        <f>IFERROR(IF(AL268="","",IF(AN268="Dubai",HLOOKUP((AL268&amp;AM268),Deviation!$B$7:$S$8,2,0)*BF268*BH268*BI268*BG268,HLOOKUP((AL268&amp;AM268),Deviation!$B$9:$O$10,2,0)*BF268*BH268*BI268*BG268)),0)</f>
        <v>0</v>
      </c>
      <c r="AY268" s="668">
        <f>IF(AL268="","",IFERROR(IF(AL268="","",IF(AN268="Dubai",HLOOKUP(AZ268,'input for formula'!$B$3:$F$10,AO268,FALSE), IF(AND(H268="Employee",AN268="Abu Dhabi"),HLOOKUP(AZ268,'input for formula'!$I$3:$K$7,AO268,FALSE),HLOOKUP(AZ268,'input for formula'!$M$3:$O$7,AO268,FALSE)))*AX268+AP268*AQ268+AR268*AS268+AT268*AU268),0)*$AZ$3*BK268*BJ268)*IF(AND(Inputs!$C$19&gt;19,Inputs!$C$19&lt;30),(1+$AZ$2),1)</f>
        <v>0</v>
      </c>
      <c r="AZ268" s="148" t="str">
        <f t="shared" si="163"/>
        <v>Dubai0</v>
      </c>
      <c r="BA268" s="688">
        <f>IF(F268="","",IF(G268="Dubai",HLOOKUP(F268,Inputs!$C$26:$M$37,9,0),HLOOKUP(F268,Inputs!$C$45:$M$56,9,0)))</f>
        <v>0</v>
      </c>
      <c r="BB268" s="689">
        <f>IF(F268="","",IF(G268="Dubai",HLOOKUP(F268,Inputs!$C$26:$M$37,10,0),HLOOKUP(F268,Inputs!$C$45:$M$56,10,0)))</f>
        <v>0</v>
      </c>
      <c r="BC268" s="689">
        <f>IF(F268="","",IF(G268="Dubai",HLOOKUP(F268,Inputs!$C$26:$M$37,11,0),HLOOKUP(F268,Inputs!$C$45:$M$56,11,0)))</f>
        <v>0</v>
      </c>
      <c r="BD268" s="688">
        <f>IF(F268="","",IF(G268="Dubai",HLOOKUP(F268,Inputs!$C$26:$M$37,12,0),HLOOKUP(F268,Inputs!$C$45:$M$56,12,0)))</f>
        <v>0</v>
      </c>
      <c r="BE268" s="654"/>
      <c r="BF268" s="688">
        <f>IFERROR(IF(AL268="","",IF(AN268="Dubai",IF(OR(AL268="Plan1",AL268="Plan2"),VLOOKUP(BA268,Deviation!$B$31:$D$33,2,FALSE),VLOOKUP(BA268,Deviation!$B$31:$D$33,3,FALSE)),IF(OR(AL268="Plan1",AL268="Plan2"),VLOOKUP(BA268,Deviation!$E$31:$AE$33,2,FALSE),VLOOKUP(BA268,Deviation!$E$31:$AE$33,3,FALSE)))),0)</f>
        <v>1.125</v>
      </c>
      <c r="BG268" s="690">
        <f>IFERROR(IF(AL268="","",IF(AN268="Dubai",IF(AL268="Plan1",VLOOKUP(BB268,Deviation!$B$39:$C$40,2,FALSE),IF(AL268="Plan2",VLOOKUP(BB268,Deviation!$B$42:$C$43,2,FALSE),IF(AL268="Plan5",VLOOKUP(BB268,Deviation!$B$48:$C$49,2,FALSE),VLOOKUP(BB268,Deviation!$B$45:$C$46,2,FALSE)))),IF(AL268="Plan1",VLOOKUP(BB268,Deviation!$E$39:$F$40,2,FALSE),IF(AL268="Plan2",VLOOKUP(BB268,Deviation!$E$42:$F$43,2,FALSE),VLOOKUP(BB268,Deviation!$E$45:$F$46,2,FALSE))))),0)</f>
        <v>0</v>
      </c>
      <c r="BH268" s="690">
        <f>IFERROR(IF(AL268="","",IF(AN268="Dubai",IF(OR(AL268="Plan1",AL268="Plan2"),VLOOKUP(BC268,Deviation!$B$15:$D$19,2,FALSE),VLOOKUP(BC268,Deviation!$B$15:$D$19,3,FALSE)),IF(OR(AL268="Plan1",AL268="Plan2"),VLOOKUP(BC268,Deviation!$E$15:$AE$19,2,FALSE),VLOOKUP(BC268,Deviation!$E$15:$AE$19,3,FALSE)))),0)</f>
        <v>0</v>
      </c>
      <c r="BI268" s="691">
        <f>IFERROR(IF(AL268="","",IF(AN268="Dubai",VLOOKUP(BD268,Deviation!$B$24:$C$26,2,FALSE),100%)),0)</f>
        <v>1.06</v>
      </c>
      <c r="BJ268" s="672">
        <f>IF(AE268="Abu Dhabi",1,IFERROR(VLOOKUP(AM268,Deviation!$B$67:$E$79,MATCH('Census Data'!AA268,Deviation!$B$66:$E$66,0),0),1))</f>
        <v>1</v>
      </c>
      <c r="BK268" s="659">
        <f>IFERROR(VLOOKUP(I268,Deviation!$B$54:$C$62,2,0),1)</f>
        <v>1</v>
      </c>
      <c r="BL268" s="148"/>
      <c r="BM268" s="148"/>
      <c r="BN268" s="148"/>
      <c r="BO268" s="148"/>
      <c r="BP268" s="148"/>
      <c r="BQ268" s="148"/>
      <c r="BR268" s="148"/>
      <c r="BS268" s="148"/>
      <c r="BT268" s="148">
        <f t="shared" si="168"/>
        <v>0</v>
      </c>
    </row>
    <row r="269" spans="1:72" ht="15" hidden="1" x14ac:dyDescent="0.25">
      <c r="A269" s="94"/>
      <c r="B269" s="470"/>
      <c r="C269" s="94"/>
      <c r="D269" s="94" t="s">
        <v>175</v>
      </c>
      <c r="E269" s="94" t="s">
        <v>173</v>
      </c>
      <c r="F269" s="94" t="s">
        <v>65</v>
      </c>
      <c r="G269" s="94" t="s">
        <v>170</v>
      </c>
      <c r="H269" s="94"/>
      <c r="I269" s="94"/>
      <c r="J269" s="80">
        <v>33</v>
      </c>
      <c r="K269" s="59">
        <f>IF(F269="","",IF(G269="Dubai",HLOOKUP(F269,Inputs!$C$26:$M$28,3,0),HLOOKUP(F269,Inputs!$C$45:$M$46,2,0)))</f>
        <v>0</v>
      </c>
      <c r="L269" s="94"/>
      <c r="M269" s="105">
        <f t="shared" si="159"/>
        <v>-2</v>
      </c>
      <c r="N269" s="654" t="b">
        <f t="shared" si="147"/>
        <v>1</v>
      </c>
      <c r="O269" s="655" t="str">
        <f t="shared" si="148"/>
        <v>x</v>
      </c>
      <c r="P269" s="655" t="str">
        <f t="shared" si="149"/>
        <v/>
      </c>
      <c r="Q269" s="655" t="str">
        <f t="shared" si="150"/>
        <v/>
      </c>
      <c r="R269" s="655" t="str">
        <f t="shared" si="151"/>
        <v/>
      </c>
      <c r="S269" s="655" t="str">
        <f t="shared" si="152"/>
        <v/>
      </c>
      <c r="T269" s="655" t="str">
        <f>IF(ISERROR(MATCH(G269,'Inputs Mapping'!$T$4:$T$5,0)),"x","")</f>
        <v/>
      </c>
      <c r="U269" s="655" t="str">
        <f>IF(ISERROR(MATCH(AA269,'Inputs Mapping'!$U$4:$U$5,0)),"x","")</f>
        <v>x</v>
      </c>
      <c r="V269" s="655" t="str">
        <f>IF(ISERROR(MATCH(AB269,'Inputs Mapping'!$V$4:$V$5,0)),"x","")</f>
        <v/>
      </c>
      <c r="W269" s="655" t="str">
        <f>IF(ISERROR(MATCH(F269,'Inputs Mapping'!$W$4:$W$8,0)),"x","")</f>
        <v/>
      </c>
      <c r="X269" s="655" t="str">
        <f t="shared" si="153"/>
        <v/>
      </c>
      <c r="Y269" s="655" t="str">
        <f t="shared" si="154"/>
        <v/>
      </c>
      <c r="Z269" s="655" t="str">
        <f t="shared" si="160"/>
        <v/>
      </c>
      <c r="AA269" s="655" t="str">
        <f t="shared" si="165"/>
        <v>M/F</v>
      </c>
      <c r="AB269" s="655" t="str">
        <f t="shared" si="161"/>
        <v>S</v>
      </c>
      <c r="AC269" s="655" t="str">
        <f t="shared" si="162"/>
        <v>x</v>
      </c>
      <c r="AD269" s="655" t="str">
        <f>IF(ISBLANK(I269),"x",IF(ISNUMBER(MATCH(I269,'Inputs Mapping'!$AF$5:$AF$199,0)),"","x"))</f>
        <v>x</v>
      </c>
      <c r="AE269" s="655" t="str">
        <f t="shared" si="166"/>
        <v>Dubai</v>
      </c>
      <c r="AF269" s="148"/>
      <c r="AG269" s="148"/>
      <c r="AH269" s="148" t="str">
        <f t="shared" si="167"/>
        <v>CDubai</v>
      </c>
      <c r="AI269" s="654" t="str">
        <f>IF(J269="","",VLOOKUP(J269,'Inputs Mapping'!$T$27:$V$31,3))</f>
        <v>18-40</v>
      </c>
      <c r="AJ269" s="654" t="str">
        <f>IF(J269="","",VLOOKUP(J269,'Inputs Mapping'!$T$17:$V$24,3))</f>
        <v>18 - 35</v>
      </c>
      <c r="AK269" s="654">
        <f t="shared" si="155"/>
        <v>0</v>
      </c>
      <c r="AL269" s="655">
        <f t="shared" si="156"/>
        <v>0</v>
      </c>
      <c r="AM269" s="655">
        <f>IF(F269="","",IF(G269="Dubai",HLOOKUP(F269,Inputs!$C$26:$M$36,5,0),HLOOKUP(F269,Inputs!$C$45:$M$49,5,0)))</f>
        <v>0</v>
      </c>
      <c r="AN269" s="655" t="str">
        <f t="shared" si="157"/>
        <v>Dubai</v>
      </c>
      <c r="AO269" s="654">
        <f>IF(AJ269="","",IF(AN269="Dubai",VLOOKUP(AJ269,'Inputs Mapping'!$V$17:$W$24,2,0),VLOOKUP(AI269,'Inputs Mapping'!$V$27:$W$31,2,0)))</f>
        <v>3</v>
      </c>
      <c r="AP269" s="685">
        <f>IFERROR(IF($AN269="","",HLOOKUP($AN269&amp;RIGHT($AL269,1),'input for formula'!$B$16:$I$20,3,0)),0)</f>
        <v>0</v>
      </c>
      <c r="AQ269" s="686">
        <f>IFERROR(IF($AN269="","",HLOOKUP($AN269&amp;$F269,'input for formula'!$B$22:$M$25,2,0)),0)</f>
        <v>0</v>
      </c>
      <c r="AR269" s="685">
        <f>IFERROR(IF($AN269="","",HLOOKUP($AN269&amp;RIGHT($AL269,1),'input for formula'!$B$16:$I$20,4,0)),0)</f>
        <v>0</v>
      </c>
      <c r="AS269" s="686">
        <f>IFERROR(IF($AN269="","",HLOOKUP($AN269&amp;$F269,'input for formula'!$B$22:$M$25,3,0)),0)</f>
        <v>0</v>
      </c>
      <c r="AT269" s="686">
        <f>IFERROR(IF($AN269="","",HLOOKUP($AN269&amp;RIGHT($AL269,1),'input for formula'!$B$16:$I$20,5,0)),0)</f>
        <v>0</v>
      </c>
      <c r="AU269" s="686">
        <f>IFERROR(IF($AN269="","",HLOOKUP($AN269&amp;$F269,'input for formula'!$B$22:$M$25,4,0)),0)</f>
        <v>0</v>
      </c>
      <c r="AV269" s="666">
        <f>IFERROR(IF($AN269="","",IF('Census Data'!$AN269="Abu Dhabi",VLOOKUP('Census Data'!$AM269,'input for formula'!$A$28:$C$41,3,0),VLOOKUP('Census Data'!$AM269,'input for formula'!$A$28:$C$47,2,0))),0)*IFERROR(1+IF(AN269="Dubai",VLOOKUP(F269,'Quotation for Dubai Plans'!$V$6:$X$12,3,FALSE),VLOOKUP(F269,'Quotation for Abu Dhabi Plans'!$W$6:$Y$12,3,FALSE)),0)</f>
        <v>0</v>
      </c>
      <c r="AW269" s="686">
        <f t="shared" si="158"/>
        <v>0</v>
      </c>
      <c r="AX269" s="687">
        <f>IFERROR(IF(AL269="","",IF(AN269="Dubai",HLOOKUP((AL269&amp;AM269),Deviation!$B$7:$S$8,2,0)*BF269*BH269*BI269*BG269,HLOOKUP((AL269&amp;AM269),Deviation!$B$9:$O$10,2,0)*BF269*BH269*BI269*BG269)),0)</f>
        <v>0</v>
      </c>
      <c r="AY269" s="668">
        <f>IF(AL269="","",IFERROR(IF(AL269="","",IF(AN269="Dubai",HLOOKUP(AZ269,'input for formula'!$B$3:$F$10,AO269,FALSE), IF(AND(H269="Employee",AN269="Abu Dhabi"),HLOOKUP(AZ269,'input for formula'!$I$3:$K$7,AO269,FALSE),HLOOKUP(AZ269,'input for formula'!$M$3:$O$7,AO269,FALSE)))*AX269+AP269*AQ269+AR269*AS269+AT269*AU269),0)*$AZ$3*BK269*BJ269)*IF(AND(Inputs!$C$19&gt;19,Inputs!$C$19&lt;30),(1+$AZ$2),1)</f>
        <v>0</v>
      </c>
      <c r="AZ269" s="148" t="str">
        <f t="shared" si="163"/>
        <v>Dubai0</v>
      </c>
      <c r="BA269" s="688">
        <f>IF(F269="","",IF(G269="Dubai",HLOOKUP(F269,Inputs!$C$26:$M$37,9,0),HLOOKUP(F269,Inputs!$C$45:$M$56,9,0)))</f>
        <v>0</v>
      </c>
      <c r="BB269" s="689">
        <f>IF(F269="","",IF(G269="Dubai",HLOOKUP(F269,Inputs!$C$26:$M$37,10,0),HLOOKUP(F269,Inputs!$C$45:$M$56,10,0)))</f>
        <v>0</v>
      </c>
      <c r="BC269" s="689">
        <f>IF(F269="","",IF(G269="Dubai",HLOOKUP(F269,Inputs!$C$26:$M$37,11,0),HLOOKUP(F269,Inputs!$C$45:$M$56,11,0)))</f>
        <v>0</v>
      </c>
      <c r="BD269" s="688">
        <f>IF(F269="","",IF(G269="Dubai",HLOOKUP(F269,Inputs!$C$26:$M$37,12,0),HLOOKUP(F269,Inputs!$C$45:$M$56,12,0)))</f>
        <v>0</v>
      </c>
      <c r="BE269" s="654"/>
      <c r="BF269" s="688">
        <f>IFERROR(IF(AL269="","",IF(AN269="Dubai",IF(OR(AL269="Plan1",AL269="Plan2"),VLOOKUP(BA269,Deviation!$B$31:$D$33,2,FALSE),VLOOKUP(BA269,Deviation!$B$31:$D$33,3,FALSE)),IF(OR(AL269="Plan1",AL269="Plan2"),VLOOKUP(BA269,Deviation!$E$31:$AE$33,2,FALSE),VLOOKUP(BA269,Deviation!$E$31:$AE$33,3,FALSE)))),0)</f>
        <v>1.125</v>
      </c>
      <c r="BG269" s="690">
        <f>IFERROR(IF(AL269="","",IF(AN269="Dubai",IF(AL269="Plan1",VLOOKUP(BB269,Deviation!$B$39:$C$40,2,FALSE),IF(AL269="Plan2",VLOOKUP(BB269,Deviation!$B$42:$C$43,2,FALSE),IF(AL269="Plan5",VLOOKUP(BB269,Deviation!$B$48:$C$49,2,FALSE),VLOOKUP(BB269,Deviation!$B$45:$C$46,2,FALSE)))),IF(AL269="Plan1",VLOOKUP(BB269,Deviation!$E$39:$F$40,2,FALSE),IF(AL269="Plan2",VLOOKUP(BB269,Deviation!$E$42:$F$43,2,FALSE),VLOOKUP(BB269,Deviation!$E$45:$F$46,2,FALSE))))),0)</f>
        <v>0</v>
      </c>
      <c r="BH269" s="690">
        <f>IFERROR(IF(AL269="","",IF(AN269="Dubai",IF(OR(AL269="Plan1",AL269="Plan2"),VLOOKUP(BC269,Deviation!$B$15:$D$19,2,FALSE),VLOOKUP(BC269,Deviation!$B$15:$D$19,3,FALSE)),IF(OR(AL269="Plan1",AL269="Plan2"),VLOOKUP(BC269,Deviation!$E$15:$AE$19,2,FALSE),VLOOKUP(BC269,Deviation!$E$15:$AE$19,3,FALSE)))),0)</f>
        <v>0</v>
      </c>
      <c r="BI269" s="691">
        <f>IFERROR(IF(AL269="","",IF(AN269="Dubai",VLOOKUP(BD269,Deviation!$B$24:$C$26,2,FALSE),100%)),0)</f>
        <v>1.06</v>
      </c>
      <c r="BJ269" s="672">
        <f>IF(AE269="Abu Dhabi",1,IFERROR(VLOOKUP(AM269,Deviation!$B$67:$E$79,MATCH('Census Data'!AA269,Deviation!$B$66:$E$66,0),0),1))</f>
        <v>1</v>
      </c>
      <c r="BK269" s="659">
        <f>IFERROR(VLOOKUP(I269,Deviation!$B$54:$C$62,2,0),1)</f>
        <v>1</v>
      </c>
      <c r="BL269" s="148"/>
      <c r="BM269" s="148"/>
      <c r="BN269" s="148"/>
      <c r="BO269" s="148"/>
      <c r="BP269" s="148"/>
      <c r="BQ269" s="148"/>
      <c r="BR269" s="148"/>
      <c r="BS269" s="148"/>
      <c r="BT269" s="148">
        <f t="shared" si="168"/>
        <v>0</v>
      </c>
    </row>
    <row r="270" spans="1:72" ht="15" hidden="1" x14ac:dyDescent="0.25">
      <c r="A270" s="94"/>
      <c r="B270" s="470"/>
      <c r="C270" s="94"/>
      <c r="D270" s="94" t="s">
        <v>175</v>
      </c>
      <c r="E270" s="94" t="s">
        <v>173</v>
      </c>
      <c r="F270" s="94" t="s">
        <v>65</v>
      </c>
      <c r="G270" s="94" t="s">
        <v>170</v>
      </c>
      <c r="H270" s="94"/>
      <c r="I270" s="94"/>
      <c r="J270" s="80">
        <v>43</v>
      </c>
      <c r="K270" s="59">
        <f>IF(F270="","",IF(G270="Dubai",HLOOKUP(F270,Inputs!$C$26:$M$28,3,0),HLOOKUP(F270,Inputs!$C$45:$M$46,2,0)))</f>
        <v>0</v>
      </c>
      <c r="L270" s="94"/>
      <c r="M270" s="105">
        <f t="shared" si="159"/>
        <v>-2</v>
      </c>
      <c r="N270" s="654" t="b">
        <f t="shared" si="147"/>
        <v>1</v>
      </c>
      <c r="O270" s="655" t="str">
        <f t="shared" si="148"/>
        <v>x</v>
      </c>
      <c r="P270" s="655" t="str">
        <f t="shared" si="149"/>
        <v/>
      </c>
      <c r="Q270" s="655" t="str">
        <f t="shared" si="150"/>
        <v/>
      </c>
      <c r="R270" s="655" t="str">
        <f t="shared" si="151"/>
        <v/>
      </c>
      <c r="S270" s="655" t="str">
        <f t="shared" si="152"/>
        <v/>
      </c>
      <c r="T270" s="655" t="str">
        <f>IF(ISERROR(MATCH(G270,'Inputs Mapping'!$T$4:$T$5,0)),"x","")</f>
        <v/>
      </c>
      <c r="U270" s="655" t="str">
        <f>IF(ISERROR(MATCH(AA270,'Inputs Mapping'!$U$4:$U$5,0)),"x","")</f>
        <v>x</v>
      </c>
      <c r="V270" s="655" t="str">
        <f>IF(ISERROR(MATCH(AB270,'Inputs Mapping'!$V$4:$V$5,0)),"x","")</f>
        <v/>
      </c>
      <c r="W270" s="655" t="str">
        <f>IF(ISERROR(MATCH(F270,'Inputs Mapping'!$W$4:$W$8,0)),"x","")</f>
        <v/>
      </c>
      <c r="X270" s="655" t="str">
        <f t="shared" si="153"/>
        <v/>
      </c>
      <c r="Y270" s="655" t="str">
        <f t="shared" si="154"/>
        <v/>
      </c>
      <c r="Z270" s="655" t="str">
        <f t="shared" si="160"/>
        <v/>
      </c>
      <c r="AA270" s="655" t="str">
        <f t="shared" si="165"/>
        <v>M/F</v>
      </c>
      <c r="AB270" s="655" t="str">
        <f t="shared" si="161"/>
        <v>S</v>
      </c>
      <c r="AC270" s="655" t="str">
        <f t="shared" si="162"/>
        <v>x</v>
      </c>
      <c r="AD270" s="655" t="str">
        <f>IF(ISBLANK(I270),"x",IF(ISNUMBER(MATCH(I270,'Inputs Mapping'!$AF$5:$AF$199,0)),"","x"))</f>
        <v>x</v>
      </c>
      <c r="AE270" s="655" t="str">
        <f t="shared" si="166"/>
        <v>Dubai</v>
      </c>
      <c r="AF270" s="148"/>
      <c r="AG270" s="148"/>
      <c r="AH270" s="148" t="str">
        <f t="shared" si="167"/>
        <v>CDubai</v>
      </c>
      <c r="AI270" s="654" t="str">
        <f>IF(J270="","",VLOOKUP(J270,'Inputs Mapping'!$T$27:$V$31,3))</f>
        <v>41-59</v>
      </c>
      <c r="AJ270" s="654" t="str">
        <f>IF(J270="","",VLOOKUP(J270,'Inputs Mapping'!$T$17:$V$24,3))</f>
        <v>36 - 45</v>
      </c>
      <c r="AK270" s="654">
        <f t="shared" si="155"/>
        <v>0</v>
      </c>
      <c r="AL270" s="655">
        <f t="shared" si="156"/>
        <v>0</v>
      </c>
      <c r="AM270" s="655">
        <f>IF(F270="","",IF(G270="Dubai",HLOOKUP(F270,Inputs!$C$26:$M$36,5,0),HLOOKUP(F270,Inputs!$C$45:$M$49,5,0)))</f>
        <v>0</v>
      </c>
      <c r="AN270" s="655" t="str">
        <f t="shared" si="157"/>
        <v>Dubai</v>
      </c>
      <c r="AO270" s="654">
        <f>IF(AJ270="","",IF(AN270="Dubai",VLOOKUP(AJ270,'Inputs Mapping'!$V$17:$W$24,2,0),VLOOKUP(AI270,'Inputs Mapping'!$V$27:$W$31,2,0)))</f>
        <v>4</v>
      </c>
      <c r="AP270" s="685">
        <f>IFERROR(IF($AN270="","",HLOOKUP($AN270&amp;RIGHT($AL270,1),'input for formula'!$B$16:$I$20,3,0)),0)</f>
        <v>0</v>
      </c>
      <c r="AQ270" s="686">
        <f>IFERROR(IF($AN270="","",HLOOKUP($AN270&amp;$F270,'input for formula'!$B$22:$M$25,2,0)),0)</f>
        <v>0</v>
      </c>
      <c r="AR270" s="685">
        <f>IFERROR(IF($AN270="","",HLOOKUP($AN270&amp;RIGHT($AL270,1),'input for formula'!$B$16:$I$20,4,0)),0)</f>
        <v>0</v>
      </c>
      <c r="AS270" s="686">
        <f>IFERROR(IF($AN270="","",HLOOKUP($AN270&amp;$F270,'input for formula'!$B$22:$M$25,3,0)),0)</f>
        <v>0</v>
      </c>
      <c r="AT270" s="686">
        <f>IFERROR(IF($AN270="","",HLOOKUP($AN270&amp;RIGHT($AL270,1),'input for formula'!$B$16:$I$20,5,0)),0)</f>
        <v>0</v>
      </c>
      <c r="AU270" s="686">
        <f>IFERROR(IF($AN270="","",HLOOKUP($AN270&amp;$F270,'input for formula'!$B$22:$M$25,4,0)),0)</f>
        <v>0</v>
      </c>
      <c r="AV270" s="666">
        <f>IFERROR(IF($AN270="","",IF('Census Data'!$AN270="Abu Dhabi",VLOOKUP('Census Data'!$AM270,'input for formula'!$A$28:$C$41,3,0),VLOOKUP('Census Data'!$AM270,'input for formula'!$A$28:$C$47,2,0))),0)*IFERROR(1+IF(AN270="Dubai",VLOOKUP(F270,'Quotation for Dubai Plans'!$V$6:$X$12,3,FALSE),VLOOKUP(F270,'Quotation for Abu Dhabi Plans'!$W$6:$Y$12,3,FALSE)),0)</f>
        <v>0</v>
      </c>
      <c r="AW270" s="686">
        <f t="shared" si="158"/>
        <v>0</v>
      </c>
      <c r="AX270" s="687">
        <f>IFERROR(IF(AL270="","",IF(AN270="Dubai",HLOOKUP((AL270&amp;AM270),Deviation!$B$7:$S$8,2,0)*BF270*BH270*BI270*BG270,HLOOKUP((AL270&amp;AM270),Deviation!$B$9:$O$10,2,0)*BF270*BH270*BI270*BG270)),0)</f>
        <v>0</v>
      </c>
      <c r="AY270" s="668">
        <f>IF(AL270="","",IFERROR(IF(AL270="","",IF(AN270="Dubai",HLOOKUP(AZ270,'input for formula'!$B$3:$F$10,AO270,FALSE), IF(AND(H270="Employee",AN270="Abu Dhabi"),HLOOKUP(AZ270,'input for formula'!$I$3:$K$7,AO270,FALSE),HLOOKUP(AZ270,'input for formula'!$M$3:$O$7,AO270,FALSE)))*AX270+AP270*AQ270+AR270*AS270+AT270*AU270),0)*$AZ$3*BK270*BJ270)*IF(AND(Inputs!$C$19&gt;19,Inputs!$C$19&lt;30),(1+$AZ$2),1)</f>
        <v>0</v>
      </c>
      <c r="AZ270" s="148" t="str">
        <f t="shared" si="163"/>
        <v>Dubai0</v>
      </c>
      <c r="BA270" s="688">
        <f>IF(F270="","",IF(G270="Dubai",HLOOKUP(F270,Inputs!$C$26:$M$37,9,0),HLOOKUP(F270,Inputs!$C$45:$M$56,9,0)))</f>
        <v>0</v>
      </c>
      <c r="BB270" s="689">
        <f>IF(F270="","",IF(G270="Dubai",HLOOKUP(F270,Inputs!$C$26:$M$37,10,0),HLOOKUP(F270,Inputs!$C$45:$M$56,10,0)))</f>
        <v>0</v>
      </c>
      <c r="BC270" s="689">
        <f>IF(F270="","",IF(G270="Dubai",HLOOKUP(F270,Inputs!$C$26:$M$37,11,0),HLOOKUP(F270,Inputs!$C$45:$M$56,11,0)))</f>
        <v>0</v>
      </c>
      <c r="BD270" s="688">
        <f>IF(F270="","",IF(G270="Dubai",HLOOKUP(F270,Inputs!$C$26:$M$37,12,0),HLOOKUP(F270,Inputs!$C$45:$M$56,12,0)))</f>
        <v>0</v>
      </c>
      <c r="BE270" s="654"/>
      <c r="BF270" s="688">
        <f>IFERROR(IF(AL270="","",IF(AN270="Dubai",IF(OR(AL270="Plan1",AL270="Plan2"),VLOOKUP(BA270,Deviation!$B$31:$D$33,2,FALSE),VLOOKUP(BA270,Deviation!$B$31:$D$33,3,FALSE)),IF(OR(AL270="Plan1",AL270="Plan2"),VLOOKUP(BA270,Deviation!$E$31:$AE$33,2,FALSE),VLOOKUP(BA270,Deviation!$E$31:$AE$33,3,FALSE)))),0)</f>
        <v>1.125</v>
      </c>
      <c r="BG270" s="690">
        <f>IFERROR(IF(AL270="","",IF(AN270="Dubai",IF(AL270="Plan1",VLOOKUP(BB270,Deviation!$B$39:$C$40,2,FALSE),IF(AL270="Plan2",VLOOKUP(BB270,Deviation!$B$42:$C$43,2,FALSE),IF(AL270="Plan5",VLOOKUP(BB270,Deviation!$B$48:$C$49,2,FALSE),VLOOKUP(BB270,Deviation!$B$45:$C$46,2,FALSE)))),IF(AL270="Plan1",VLOOKUP(BB270,Deviation!$E$39:$F$40,2,FALSE),IF(AL270="Plan2",VLOOKUP(BB270,Deviation!$E$42:$F$43,2,FALSE),VLOOKUP(BB270,Deviation!$E$45:$F$46,2,FALSE))))),0)</f>
        <v>0</v>
      </c>
      <c r="BH270" s="690">
        <f>IFERROR(IF(AL270="","",IF(AN270="Dubai",IF(OR(AL270="Plan1",AL270="Plan2"),VLOOKUP(BC270,Deviation!$B$15:$D$19,2,FALSE),VLOOKUP(BC270,Deviation!$B$15:$D$19,3,FALSE)),IF(OR(AL270="Plan1",AL270="Plan2"),VLOOKUP(BC270,Deviation!$E$15:$AE$19,2,FALSE),VLOOKUP(BC270,Deviation!$E$15:$AE$19,3,FALSE)))),0)</f>
        <v>0</v>
      </c>
      <c r="BI270" s="691">
        <f>IFERROR(IF(AL270="","",IF(AN270="Dubai",VLOOKUP(BD270,Deviation!$B$24:$C$26,2,FALSE),100%)),0)</f>
        <v>1.06</v>
      </c>
      <c r="BJ270" s="672">
        <f>IF(AE270="Abu Dhabi",1,IFERROR(VLOOKUP(AM270,Deviation!$B$67:$E$79,MATCH('Census Data'!AA270,Deviation!$B$66:$E$66,0),0),1))</f>
        <v>1</v>
      </c>
      <c r="BK270" s="659">
        <f>IFERROR(VLOOKUP(I270,Deviation!$B$54:$C$62,2,0),1)</f>
        <v>1</v>
      </c>
      <c r="BL270" s="148"/>
      <c r="BM270" s="148"/>
      <c r="BN270" s="148"/>
      <c r="BO270" s="148"/>
      <c r="BP270" s="148"/>
      <c r="BQ270" s="148"/>
      <c r="BR270" s="148"/>
      <c r="BS270" s="148"/>
      <c r="BT270" s="148">
        <f t="shared" si="168"/>
        <v>0</v>
      </c>
    </row>
    <row r="271" spans="1:72" ht="15" hidden="1" x14ac:dyDescent="0.25">
      <c r="A271" s="94"/>
      <c r="B271" s="470"/>
      <c r="C271" s="94"/>
      <c r="D271" s="94" t="s">
        <v>175</v>
      </c>
      <c r="E271" s="94" t="s">
        <v>173</v>
      </c>
      <c r="F271" s="94" t="s">
        <v>65</v>
      </c>
      <c r="G271" s="94" t="s">
        <v>170</v>
      </c>
      <c r="H271" s="94"/>
      <c r="I271" s="94"/>
      <c r="J271" s="80">
        <v>53</v>
      </c>
      <c r="K271" s="59">
        <f>IF(F271="","",IF(G271="Dubai",HLOOKUP(F271,Inputs!$C$26:$M$28,3,0),HLOOKUP(F271,Inputs!$C$45:$M$46,2,0)))</f>
        <v>0</v>
      </c>
      <c r="L271" s="94"/>
      <c r="M271" s="105">
        <f>IF(N271,IF(COUNTIF(N271:AD271,"x")=0,1,IF(OR(O271="x",P271="x",Q271="×",R271="x",S271="x",T271="x",V271="x",U271="x",W271="x",X271="x",Y271="x",Z271="x",AC271="x",AD271="x"),-2,-1)),0)</f>
        <v>-2</v>
      </c>
      <c r="N271" s="654" t="b">
        <f>NOT(AND(ISBLANK(C271),ISBLANK(D271),ISBLANK(E271),ISBLANK(F271),ISBLANK(G271)))</f>
        <v>1</v>
      </c>
      <c r="O271" s="655" t="str">
        <f t="shared" ref="O271:S273" si="170">IF(ISBLANK(C271),"x","")</f>
        <v>x</v>
      </c>
      <c r="P271" s="655" t="str">
        <f t="shared" si="170"/>
        <v/>
      </c>
      <c r="Q271" s="655" t="str">
        <f t="shared" si="170"/>
        <v/>
      </c>
      <c r="R271" s="655" t="str">
        <f t="shared" si="170"/>
        <v/>
      </c>
      <c r="S271" s="655" t="str">
        <f t="shared" si="170"/>
        <v/>
      </c>
      <c r="T271" s="655" t="str">
        <f>IF(ISERROR(MATCH(G271,'Inputs Mapping'!$T$4:$T$5,0)),"x","")</f>
        <v/>
      </c>
      <c r="U271" s="655" t="str">
        <f>IF(ISERROR(MATCH(AA271,'Inputs Mapping'!$U$4:$U$5,0)),"x","")</f>
        <v>x</v>
      </c>
      <c r="V271" s="655" t="str">
        <f>IF(ISERROR(MATCH(AB271,'Inputs Mapping'!$V$4:$V$5,0)),"x","")</f>
        <v/>
      </c>
      <c r="W271" s="655" t="str">
        <f>IF(ISERROR(MATCH(F271,'Inputs Mapping'!$W$4:$W$8,0)),"x","")</f>
        <v/>
      </c>
      <c r="X271" s="655" t="str">
        <f>IF(ISBLANK(C271),"",IF(OR(ISERROR(J271),NOT(ISNUMBER(C271))),"x",""))</f>
        <v/>
      </c>
      <c r="Y271" s="655" t="str">
        <f>IF(ISBLANK(C271),"",IF(ISERROR(J271),"",""))</f>
        <v/>
      </c>
      <c r="Z271" s="655" t="str">
        <f>IF(ISBLANK(C271),"",IF(ISERROR(J271),"",IF(AND(eff_date-C271&lt;0,C271&lt;&gt;""),"x","")))</f>
        <v/>
      </c>
      <c r="AA271" s="655" t="str">
        <f t="shared" si="165"/>
        <v>M/F</v>
      </c>
      <c r="AB271" s="655" t="str">
        <f>IF(E271="","",IF(OR(E271="Married",E271="M"),"M",IF(OR(E271="Single",E271="S"),"S","")))</f>
        <v>S</v>
      </c>
      <c r="AC271" s="655" t="str">
        <f>IF(AND(OR(G271="Dubai",G271="Abu Dhabi"),H271="Employee",J271&gt;=18),"",IF(AND(OR(G271="Dubai",G271="Abu Dhabi"),H271="Dependent"),"","x"))</f>
        <v>x</v>
      </c>
      <c r="AD271" s="655" t="str">
        <f>IF(ISBLANK(I271),"x",IF(ISNUMBER(MATCH(I271,'Inputs Mapping'!$AF$5:$AF$199,0)),"","x"))</f>
        <v>x</v>
      </c>
      <c r="AE271" s="655" t="str">
        <f t="shared" si="166"/>
        <v>Dubai</v>
      </c>
      <c r="AF271" s="148"/>
      <c r="AG271" s="148"/>
      <c r="AH271" s="148" t="str">
        <f t="shared" si="167"/>
        <v>CDubai</v>
      </c>
      <c r="AI271" s="654" t="str">
        <f>IF(J271="","",VLOOKUP(J271,'Inputs Mapping'!$T$27:$V$31,3))</f>
        <v>41-59</v>
      </c>
      <c r="AJ271" s="654" t="str">
        <f>IF(J271="","",VLOOKUP(J271,'Inputs Mapping'!$T$17:$V$24,3))</f>
        <v>46 - 55</v>
      </c>
      <c r="AK271" s="654">
        <f>IF(G271="Dubai",IF(J271="","",1*AND(LEFT(AA271)="F",LEFT(AB271)="M",J271&gt;=$AK$3,J271&lt;$AK$4+1)),IF(J271="","",1*AND(LEFT(AA271)="F",LEFT(AB271)="M",J271&gt;=$AJ$3,J271&lt;$AJ$4+1)))</f>
        <v>0</v>
      </c>
      <c r="AL271" s="655">
        <f>K271</f>
        <v>0</v>
      </c>
      <c r="AM271" s="655">
        <f>IF(F271="","",IF(G271="Dubai",HLOOKUP(F271,Inputs!$C$26:$M$36,5,0),HLOOKUP(F271,Inputs!$C$45:$M$49,5,0)))</f>
        <v>0</v>
      </c>
      <c r="AN271" s="655" t="str">
        <f>G271</f>
        <v>Dubai</v>
      </c>
      <c r="AO271" s="654">
        <f>IF(AJ271="","",IF(AN271="Dubai",VLOOKUP(AJ271,'Inputs Mapping'!$V$17:$W$24,2,0),VLOOKUP(AI271,'Inputs Mapping'!$V$27:$W$31,2,0)))</f>
        <v>5</v>
      </c>
      <c r="AP271" s="685">
        <f>IFERROR(IF($AN271="","",HLOOKUP($AN271&amp;RIGHT($AL271,1),'input for formula'!$B$16:$I$20,3,0)),0)</f>
        <v>0</v>
      </c>
      <c r="AQ271" s="686">
        <f>IFERROR(IF($AN271="","",HLOOKUP($AN271&amp;$F271,'input for formula'!$B$22:$M$25,2,0)),0)</f>
        <v>0</v>
      </c>
      <c r="AR271" s="685">
        <f>IFERROR(IF($AN271="","",HLOOKUP($AN271&amp;RIGHT($AL271,1),'input for formula'!$B$16:$I$20,4,0)),0)</f>
        <v>0</v>
      </c>
      <c r="AS271" s="686">
        <f>IFERROR(IF($AN271="","",HLOOKUP($AN271&amp;$F271,'input for formula'!$B$22:$M$25,3,0)),0)</f>
        <v>0</v>
      </c>
      <c r="AT271" s="686">
        <f>IFERROR(IF($AN271="","",HLOOKUP($AN271&amp;RIGHT($AL271,1),'input for formula'!$B$16:$I$20,5,0)),0)</f>
        <v>0</v>
      </c>
      <c r="AU271" s="686">
        <f>IFERROR(IF($AN271="","",HLOOKUP($AN271&amp;$F271,'input for formula'!$B$22:$M$25,4,0)),0)</f>
        <v>0</v>
      </c>
      <c r="AV271" s="666">
        <f>IFERROR(IF($AN271="","",IF('Census Data'!$AN271="Abu Dhabi",VLOOKUP('Census Data'!$AM271,'input for formula'!$A$28:$C$41,3,0),VLOOKUP('Census Data'!$AM271,'input for formula'!$A$28:$C$47,2,0))),0)*IFERROR(1+IF(AN271="Dubai",VLOOKUP(F271,'Quotation for Dubai Plans'!$V$6:$X$12,3,FALSE),VLOOKUP(F271,'Quotation for Abu Dhabi Plans'!$W$6:$Y$12,3,FALSE)),0)</f>
        <v>0</v>
      </c>
      <c r="AW271" s="686">
        <f>AK271</f>
        <v>0</v>
      </c>
      <c r="AX271" s="687">
        <f>IFERROR(IF(AL271="","",IF(AN271="Dubai",HLOOKUP((AL271&amp;AM271),Deviation!$B$7:$S$8,2,0)*BF271*BH271*BI271*BG271,HLOOKUP((AL271&amp;AM271),Deviation!$B$9:$O$10,2,0)*BF271*BH271*BI271*BG271)),0)</f>
        <v>0</v>
      </c>
      <c r="AY271" s="668">
        <f>IF(AL271="","",IFERROR(IF(AL271="","",IF(AN271="Dubai",HLOOKUP(AZ271,'input for formula'!$B$3:$F$10,AO271,FALSE), IF(AND(H271="Employee",AN271="Abu Dhabi"),HLOOKUP(AZ271,'input for formula'!$I$3:$K$7,AO271,FALSE),HLOOKUP(AZ271,'input for formula'!$M$3:$O$7,AO271,FALSE)))*AX271+AP271*AQ271+AR271*AS271+AT271*AU271),0)*$AZ$3*BK271*BJ271)*IF(AND(Inputs!$C$19&gt;19,Inputs!$C$19&lt;30),(1+$AZ$2),1)</f>
        <v>0</v>
      </c>
      <c r="AZ271" s="148" t="str">
        <f>IF(AL271="","",IF(AN271="","",AN271&amp;RIGHT(AL271,1)))</f>
        <v>Dubai0</v>
      </c>
      <c r="BA271" s="688">
        <f>IF(F271="","",IF(G271="Dubai",HLOOKUP(F271,Inputs!$C$26:$M$37,9,0),HLOOKUP(F271,Inputs!$C$45:$M$56,9,0)))</f>
        <v>0</v>
      </c>
      <c r="BB271" s="689">
        <f>IF(F271="","",IF(G271="Dubai",HLOOKUP(F271,Inputs!$C$26:$M$37,10,0),HLOOKUP(F271,Inputs!$C$45:$M$56,10,0)))</f>
        <v>0</v>
      </c>
      <c r="BC271" s="689">
        <f>IF(F271="","",IF(G271="Dubai",HLOOKUP(F271,Inputs!$C$26:$M$37,11,0),HLOOKUP(F271,Inputs!$C$45:$M$56,11,0)))</f>
        <v>0</v>
      </c>
      <c r="BD271" s="688">
        <f>IF(F271="","",IF(G271="Dubai",HLOOKUP(F271,Inputs!$C$26:$M$37,12,0),HLOOKUP(F271,Inputs!$C$45:$M$56,12,0)))</f>
        <v>0</v>
      </c>
      <c r="BE271" s="654"/>
      <c r="BF271" s="688">
        <f>IFERROR(IF(AL271="","",IF(AN271="Dubai",IF(OR(AL271="Plan1",AL271="Plan2"),VLOOKUP(BA271,Deviation!$B$31:$D$33,2,FALSE),VLOOKUP(BA271,Deviation!$B$31:$D$33,3,FALSE)),IF(OR(AL271="Plan1",AL271="Plan2"),VLOOKUP(BA271,Deviation!$E$31:$AE$33,2,FALSE),VLOOKUP(BA271,Deviation!$E$31:$AE$33,3,FALSE)))),0)</f>
        <v>1.125</v>
      </c>
      <c r="BG271" s="690">
        <f>IFERROR(IF(AL271="","",IF(AN271="Dubai",IF(AL271="Plan1",VLOOKUP(BB271,Deviation!$B$39:$C$40,2,FALSE),IF(AL271="Plan2",VLOOKUP(BB271,Deviation!$B$42:$C$43,2,FALSE),IF(AL271="Plan5",VLOOKUP(BB271,Deviation!$B$48:$C$49,2,FALSE),VLOOKUP(BB271,Deviation!$B$45:$C$46,2,FALSE)))),IF(AL271="Plan1",VLOOKUP(BB271,Deviation!$E$39:$F$40,2,FALSE),IF(AL271="Plan2",VLOOKUP(BB271,Deviation!$E$42:$F$43,2,FALSE),VLOOKUP(BB271,Deviation!$E$45:$F$46,2,FALSE))))),0)</f>
        <v>0</v>
      </c>
      <c r="BH271" s="690">
        <f>IFERROR(IF(AL271="","",IF(AN271="Dubai",IF(OR(AL271="Plan1",AL271="Plan2"),VLOOKUP(BC271,Deviation!$B$15:$D$19,2,FALSE),VLOOKUP(BC271,Deviation!$B$15:$D$19,3,FALSE)),IF(OR(AL271="Plan1",AL271="Plan2"),VLOOKUP(BC271,Deviation!$E$15:$AE$19,2,FALSE),VLOOKUP(BC271,Deviation!$E$15:$AE$19,3,FALSE)))),0)</f>
        <v>0</v>
      </c>
      <c r="BI271" s="691">
        <f>IFERROR(IF(AL271="","",IF(AN271="Dubai",VLOOKUP(BD271,Deviation!$B$24:$C$26,2,FALSE),100%)),0)</f>
        <v>1.06</v>
      </c>
      <c r="BJ271" s="672">
        <f>IF(AE271="Abu Dhabi",1,IFERROR(VLOOKUP(AM271,Deviation!$B$67:$E$79,MATCH('Census Data'!AA271,Deviation!$B$66:$E$66,0),0),1))</f>
        <v>1</v>
      </c>
      <c r="BK271" s="659">
        <f>IFERROR(VLOOKUP(I271,Deviation!$B$54:$C$62,2,0),1)</f>
        <v>1</v>
      </c>
      <c r="BL271" s="148"/>
      <c r="BM271" s="148"/>
      <c r="BN271" s="148"/>
      <c r="BO271" s="148"/>
      <c r="BP271" s="148"/>
      <c r="BQ271" s="148"/>
      <c r="BR271" s="148"/>
      <c r="BS271" s="148"/>
      <c r="BT271" s="148">
        <f t="shared" si="168"/>
        <v>0</v>
      </c>
    </row>
    <row r="272" spans="1:72" ht="15" hidden="1" x14ac:dyDescent="0.25">
      <c r="A272" s="94"/>
      <c r="B272" s="470"/>
      <c r="C272" s="94"/>
      <c r="D272" s="94" t="s">
        <v>175</v>
      </c>
      <c r="E272" s="94" t="s">
        <v>173</v>
      </c>
      <c r="F272" s="94" t="s">
        <v>65</v>
      </c>
      <c r="G272" s="94" t="s">
        <v>170</v>
      </c>
      <c r="H272" s="94"/>
      <c r="I272" s="94"/>
      <c r="J272" s="80">
        <v>58</v>
      </c>
      <c r="K272" s="59">
        <f>IF(F272="","",IF(G272="Dubai",HLOOKUP(F272,Inputs!$C$26:$M$28,3,0),HLOOKUP(F272,Inputs!$C$45:$M$46,2,0)))</f>
        <v>0</v>
      </c>
      <c r="L272" s="94"/>
      <c r="M272" s="105">
        <f>IF(N272,IF(COUNTIF(N272:AD272,"x")=0,1,IF(OR(O272="x",P272="x",Q272="×",R272="x",S272="x",T272="x",V272="x",U272="x",W272="x",X272="x",Y272="x",Z272="x",AC272="x",AD272="x"),-2,-1)),0)</f>
        <v>-2</v>
      </c>
      <c r="N272" s="654" t="b">
        <f>NOT(AND(ISBLANK(C272),ISBLANK(D272),ISBLANK(E272),ISBLANK(F272),ISBLANK(G272)))</f>
        <v>1</v>
      </c>
      <c r="O272" s="655" t="str">
        <f t="shared" si="170"/>
        <v>x</v>
      </c>
      <c r="P272" s="655" t="str">
        <f t="shared" si="170"/>
        <v/>
      </c>
      <c r="Q272" s="655" t="str">
        <f t="shared" si="170"/>
        <v/>
      </c>
      <c r="R272" s="655" t="str">
        <f t="shared" si="170"/>
        <v/>
      </c>
      <c r="S272" s="655" t="str">
        <f t="shared" si="170"/>
        <v/>
      </c>
      <c r="T272" s="655" t="str">
        <f>IF(ISERROR(MATCH(G272,'Inputs Mapping'!$T$4:$T$5,0)),"x","")</f>
        <v/>
      </c>
      <c r="U272" s="655" t="str">
        <f>IF(ISERROR(MATCH(AA272,'Inputs Mapping'!$U$4:$U$5,0)),"x","")</f>
        <v>x</v>
      </c>
      <c r="V272" s="655" t="str">
        <f>IF(ISERROR(MATCH(AB272,'Inputs Mapping'!$V$4:$V$5,0)),"x","")</f>
        <v/>
      </c>
      <c r="W272" s="655" t="str">
        <f>IF(ISERROR(MATCH(F272,'Inputs Mapping'!$W$4:$W$8,0)),"x","")</f>
        <v/>
      </c>
      <c r="X272" s="655" t="str">
        <f>IF(ISBLANK(C272),"",IF(OR(ISERROR(J272),NOT(ISNUMBER(C272))),"x",""))</f>
        <v/>
      </c>
      <c r="Y272" s="655" t="str">
        <f>IF(ISBLANK(C272),"",IF(ISERROR(J272),"",""))</f>
        <v/>
      </c>
      <c r="Z272" s="655" t="str">
        <f>IF(ISBLANK(C272),"",IF(ISERROR(J272),"",IF(AND(eff_date-C272&lt;0,C272&lt;&gt;""),"x","")))</f>
        <v/>
      </c>
      <c r="AA272" s="655" t="str">
        <f t="shared" si="165"/>
        <v>M/F</v>
      </c>
      <c r="AB272" s="655" t="str">
        <f>IF(E272="","",IF(OR(E272="Married",E272="M"),"M",IF(OR(E272="Single",E272="S"),"S","")))</f>
        <v>S</v>
      </c>
      <c r="AC272" s="655" t="str">
        <f>IF(AND(OR(G272="Dubai",G272="Abu Dhabi"),H272="Employee",J272&gt;=18),"",IF(AND(OR(G272="Dubai",G272="Abu Dhabi"),H272="Dependent"),"","x"))</f>
        <v>x</v>
      </c>
      <c r="AD272" s="655" t="str">
        <f>IF(ISBLANK(I272),"x",IF(ISNUMBER(MATCH(I272,'Inputs Mapping'!$AF$5:$AF$199,0)),"","x"))</f>
        <v>x</v>
      </c>
      <c r="AE272" s="655" t="str">
        <f t="shared" si="166"/>
        <v>Dubai</v>
      </c>
      <c r="AF272" s="148"/>
      <c r="AG272" s="148"/>
      <c r="AH272" s="148" t="str">
        <f t="shared" si="167"/>
        <v>CDubai</v>
      </c>
      <c r="AI272" s="654" t="str">
        <f>IF(J272="","",VLOOKUP(J272,'Inputs Mapping'!$T$27:$V$31,3))</f>
        <v>41-59</v>
      </c>
      <c r="AJ272" s="654" t="str">
        <f>IF(J272="","",VLOOKUP(J272,'Inputs Mapping'!$T$17:$V$24,3))</f>
        <v>56 - 60</v>
      </c>
      <c r="AK272" s="654">
        <f>IF(G272="Dubai",IF(J272="","",1*AND(LEFT(AA272)="F",LEFT(AB272)="M",J272&gt;=$AK$3,J272&lt;$AK$4+1)),IF(J272="","",1*AND(LEFT(AA272)="F",LEFT(AB272)="M",J272&gt;=$AJ$3,J272&lt;$AJ$4+1)))</f>
        <v>0</v>
      </c>
      <c r="AL272" s="655">
        <f>K272</f>
        <v>0</v>
      </c>
      <c r="AM272" s="655">
        <f>IF(F272="","",IF(G272="Dubai",HLOOKUP(F272,Inputs!$C$26:$M$36,5,0),HLOOKUP(F272,Inputs!$C$45:$M$49,5,0)))</f>
        <v>0</v>
      </c>
      <c r="AN272" s="655" t="str">
        <f>G272</f>
        <v>Dubai</v>
      </c>
      <c r="AO272" s="654">
        <f>IF(AJ272="","",IF(AN272="Dubai",VLOOKUP(AJ272,'Inputs Mapping'!$V$17:$W$24,2,0),VLOOKUP(AI272,'Inputs Mapping'!$V$27:$W$31,2,0)))</f>
        <v>6</v>
      </c>
      <c r="AP272" s="685">
        <f>IFERROR(IF($AN272="","",HLOOKUP($AN272&amp;RIGHT($AL272,1),'input for formula'!$B$16:$I$20,3,0)),0)</f>
        <v>0</v>
      </c>
      <c r="AQ272" s="686">
        <f>IFERROR(IF($AN272="","",HLOOKUP($AN272&amp;$F272,'input for formula'!$B$22:$M$25,2,0)),0)</f>
        <v>0</v>
      </c>
      <c r="AR272" s="685">
        <f>IFERROR(IF($AN272="","",HLOOKUP($AN272&amp;RIGHT($AL272,1),'input for formula'!$B$16:$I$20,4,0)),0)</f>
        <v>0</v>
      </c>
      <c r="AS272" s="686">
        <f>IFERROR(IF($AN272="","",HLOOKUP($AN272&amp;$F272,'input for formula'!$B$22:$M$25,3,0)),0)</f>
        <v>0</v>
      </c>
      <c r="AT272" s="686">
        <f>IFERROR(IF($AN272="","",HLOOKUP($AN272&amp;RIGHT($AL272,1),'input for formula'!$B$16:$I$20,5,0)),0)</f>
        <v>0</v>
      </c>
      <c r="AU272" s="686">
        <f>IFERROR(IF($AN272="","",HLOOKUP($AN272&amp;$F272,'input for formula'!$B$22:$M$25,4,0)),0)</f>
        <v>0</v>
      </c>
      <c r="AV272" s="666">
        <f>IFERROR(IF($AN272="","",IF('Census Data'!$AN272="Abu Dhabi",VLOOKUP('Census Data'!$AM272,'input for formula'!$A$28:$C$41,3,0),VLOOKUP('Census Data'!$AM272,'input for formula'!$A$28:$C$47,2,0))),0)*IFERROR(1+IF(AN272="Dubai",VLOOKUP(F272,'Quotation for Dubai Plans'!$V$6:$X$12,3,FALSE),VLOOKUP(F272,'Quotation for Abu Dhabi Plans'!$W$6:$Y$12,3,FALSE)),0)</f>
        <v>0</v>
      </c>
      <c r="AW272" s="686">
        <f>AK272</f>
        <v>0</v>
      </c>
      <c r="AX272" s="687">
        <f>IFERROR(IF(AL272="","",IF(AN272="Dubai",HLOOKUP((AL272&amp;AM272),Deviation!$B$7:$S$8,2,0)*BF272*BH272*BI272*BG272,HLOOKUP((AL272&amp;AM272),Deviation!$B$9:$O$10,2,0)*BF272*BH272*BI272*BG272)),0)</f>
        <v>0</v>
      </c>
      <c r="AY272" s="668">
        <f>IF(AL272="","",IFERROR(IF(AL272="","",IF(AN272="Dubai",HLOOKUP(AZ272,'input for formula'!$B$3:$F$10,AO272,FALSE), IF(AND(H272="Employee",AN272="Abu Dhabi"),HLOOKUP(AZ272,'input for formula'!$I$3:$K$7,AO272,FALSE),HLOOKUP(AZ272,'input for formula'!$M$3:$O$7,AO272,FALSE)))*AX272+AP272*AQ272+AR272*AS272+AT272*AU272),0)*$AZ$3*BK272*BJ272)*IF(AND(Inputs!$C$19&gt;19,Inputs!$C$19&lt;30),(1+$AZ$2),1)</f>
        <v>0</v>
      </c>
      <c r="AZ272" s="148" t="str">
        <f>IF(AL272="","",IF(AN272="","",AN272&amp;RIGHT(AL272,1)))</f>
        <v>Dubai0</v>
      </c>
      <c r="BA272" s="688">
        <f>IF(F272="","",IF(G272="Dubai",HLOOKUP(F272,Inputs!$C$26:$M$37,9,0),HLOOKUP(F272,Inputs!$C$45:$M$56,9,0)))</f>
        <v>0</v>
      </c>
      <c r="BB272" s="689">
        <f>IF(F272="","",IF(G272="Dubai",HLOOKUP(F272,Inputs!$C$26:$M$37,10,0),HLOOKUP(F272,Inputs!$C$45:$M$56,10,0)))</f>
        <v>0</v>
      </c>
      <c r="BC272" s="689">
        <f>IF(F272="","",IF(G272="Dubai",HLOOKUP(F272,Inputs!$C$26:$M$37,11,0),HLOOKUP(F272,Inputs!$C$45:$M$56,11,0)))</f>
        <v>0</v>
      </c>
      <c r="BD272" s="688">
        <f>IF(F272="","",IF(G272="Dubai",HLOOKUP(F272,Inputs!$C$26:$M$37,12,0),HLOOKUP(F272,Inputs!$C$45:$M$56,12,0)))</f>
        <v>0</v>
      </c>
      <c r="BE272" s="654"/>
      <c r="BF272" s="688">
        <f>IFERROR(IF(AL272="","",IF(AN272="Dubai",IF(OR(AL272="Plan1",AL272="Plan2"),VLOOKUP(BA272,Deviation!$B$31:$D$33,2,FALSE),VLOOKUP(BA272,Deviation!$B$31:$D$33,3,FALSE)),IF(OR(AL272="Plan1",AL272="Plan2"),VLOOKUP(BA272,Deviation!$E$31:$AE$33,2,FALSE),VLOOKUP(BA272,Deviation!$E$31:$AE$33,3,FALSE)))),0)</f>
        <v>1.125</v>
      </c>
      <c r="BG272" s="690">
        <f>IFERROR(IF(AL272="","",IF(AN272="Dubai",IF(AL272="Plan1",VLOOKUP(BB272,Deviation!$B$39:$C$40,2,FALSE),IF(AL272="Plan2",VLOOKUP(BB272,Deviation!$B$42:$C$43,2,FALSE),IF(AL272="Plan5",VLOOKUP(BB272,Deviation!$B$48:$C$49,2,FALSE),VLOOKUP(BB272,Deviation!$B$45:$C$46,2,FALSE)))),IF(AL272="Plan1",VLOOKUP(BB272,Deviation!$E$39:$F$40,2,FALSE),IF(AL272="Plan2",VLOOKUP(BB272,Deviation!$E$42:$F$43,2,FALSE),VLOOKUP(BB272,Deviation!$E$45:$F$46,2,FALSE))))),0)</f>
        <v>0</v>
      </c>
      <c r="BH272" s="690">
        <f>IFERROR(IF(AL272="","",IF(AN272="Dubai",IF(OR(AL272="Plan1",AL272="Plan2"),VLOOKUP(BC272,Deviation!$B$15:$D$19,2,FALSE),VLOOKUP(BC272,Deviation!$B$15:$D$19,3,FALSE)),IF(OR(AL272="Plan1",AL272="Plan2"),VLOOKUP(BC272,Deviation!$E$15:$AE$19,2,FALSE),VLOOKUP(BC272,Deviation!$E$15:$AE$19,3,FALSE)))),0)</f>
        <v>0</v>
      </c>
      <c r="BI272" s="691">
        <f>IFERROR(IF(AL272="","",IF(AN272="Dubai",VLOOKUP(BD272,Deviation!$B$24:$C$26,2,FALSE),100%)),0)</f>
        <v>1.06</v>
      </c>
      <c r="BJ272" s="672">
        <f>IF(AE272="Abu Dhabi",1,IFERROR(VLOOKUP(AM272,Deviation!$B$67:$E$79,MATCH('Census Data'!AA272,Deviation!$B$66:$E$66,0),0),1))</f>
        <v>1</v>
      </c>
      <c r="BK272" s="659">
        <f>IFERROR(VLOOKUP(I272,Deviation!$B$54:$C$62,2,0),1)</f>
        <v>1</v>
      </c>
      <c r="BL272" s="148"/>
      <c r="BM272" s="148"/>
      <c r="BN272" s="148"/>
      <c r="BO272" s="148"/>
      <c r="BP272" s="148"/>
      <c r="BQ272" s="148"/>
      <c r="BR272" s="148"/>
      <c r="BS272" s="148"/>
      <c r="BT272" s="148">
        <f t="shared" si="168"/>
        <v>0</v>
      </c>
    </row>
    <row r="273" spans="1:72" ht="15" hidden="1" x14ac:dyDescent="0.25">
      <c r="A273" s="94"/>
      <c r="B273" s="470"/>
      <c r="C273" s="94"/>
      <c r="D273" s="94" t="s">
        <v>175</v>
      </c>
      <c r="E273" s="94" t="s">
        <v>173</v>
      </c>
      <c r="F273" s="94" t="s">
        <v>65</v>
      </c>
      <c r="G273" s="94" t="s">
        <v>170</v>
      </c>
      <c r="H273" s="94"/>
      <c r="I273" s="94"/>
      <c r="J273" s="80">
        <v>63</v>
      </c>
      <c r="K273" s="59">
        <f>IF(F273="","",IF(G273="Dubai",HLOOKUP(F273,Inputs!$C$26:$M$28,3,0),HLOOKUP(F273,Inputs!$C$45:$M$46,2,0)))</f>
        <v>0</v>
      </c>
      <c r="L273" s="94"/>
      <c r="M273" s="105">
        <f>IF(N273,IF(COUNTIF(N273:AD273,"x")=0,1,IF(OR(O273="x",P273="x",Q273="×",R273="x",S273="x",T273="x",V273="x",U273="x",W273="x",X273="x",Y273="x",Z273="x",AC273="x",AD273="x"),-2,-1)),0)</f>
        <v>-2</v>
      </c>
      <c r="N273" s="654" t="b">
        <f>NOT(AND(ISBLANK(C273),ISBLANK(D273),ISBLANK(E273),ISBLANK(F273),ISBLANK(G273)))</f>
        <v>1</v>
      </c>
      <c r="O273" s="655" t="str">
        <f t="shared" si="170"/>
        <v>x</v>
      </c>
      <c r="P273" s="655" t="str">
        <f t="shared" si="170"/>
        <v/>
      </c>
      <c r="Q273" s="655" t="str">
        <f t="shared" si="170"/>
        <v/>
      </c>
      <c r="R273" s="655" t="str">
        <f t="shared" si="170"/>
        <v/>
      </c>
      <c r="S273" s="655" t="str">
        <f t="shared" si="170"/>
        <v/>
      </c>
      <c r="T273" s="655" t="str">
        <f>IF(ISERROR(MATCH(G273,'Inputs Mapping'!$T$4:$T$5,0)),"x","")</f>
        <v/>
      </c>
      <c r="U273" s="655" t="str">
        <f>IF(ISERROR(MATCH(AA273,'Inputs Mapping'!$U$4:$U$5,0)),"x","")</f>
        <v>x</v>
      </c>
      <c r="V273" s="655" t="str">
        <f>IF(ISERROR(MATCH(AB273,'Inputs Mapping'!$V$4:$V$5,0)),"x","")</f>
        <v/>
      </c>
      <c r="W273" s="655" t="str">
        <f>IF(ISERROR(MATCH(F273,'Inputs Mapping'!$W$4:$W$8,0)),"x","")</f>
        <v/>
      </c>
      <c r="X273" s="655" t="str">
        <f>IF(ISBLANK(C273),"",IF(OR(ISERROR(J273),NOT(ISNUMBER(C273))),"x",""))</f>
        <v/>
      </c>
      <c r="Y273" s="655" t="str">
        <f>IF(ISBLANK(C273),"",IF(ISERROR(J273),"",""))</f>
        <v/>
      </c>
      <c r="Z273" s="655" t="str">
        <f>IF(ISBLANK(C273),"",IF(ISERROR(J273),"",IF(AND(eff_date-C273&lt;0,C273&lt;&gt;""),"x","")))</f>
        <v/>
      </c>
      <c r="AA273" s="655" t="str">
        <f t="shared" si="165"/>
        <v>M/F</v>
      </c>
      <c r="AB273" s="655" t="str">
        <f>IF(E273="","",IF(OR(E273="Married",E273="M"),"M",IF(OR(E273="Single",E273="S"),"S","")))</f>
        <v>S</v>
      </c>
      <c r="AC273" s="655" t="str">
        <f>IF(AND(OR(G273="Dubai",G273="Abu Dhabi"),H273="Employee",J273&gt;=18),"",IF(AND(OR(G273="Dubai",G273="Abu Dhabi"),H273="Dependent"),"","x"))</f>
        <v>x</v>
      </c>
      <c r="AD273" s="655" t="str">
        <f>IF(ISBLANK(I273),"x",IF(ISNUMBER(MATCH(I273,'Inputs Mapping'!$AF$5:$AF$199,0)),"","x"))</f>
        <v>x</v>
      </c>
      <c r="AE273" s="655" t="str">
        <f t="shared" si="166"/>
        <v>Dubai</v>
      </c>
      <c r="AF273" s="148"/>
      <c r="AG273" s="148"/>
      <c r="AH273" s="148" t="str">
        <f t="shared" si="167"/>
        <v>CDubai</v>
      </c>
      <c r="AI273" s="654" t="str">
        <f>IF(J273="","",VLOOKUP(J273,'Inputs Mapping'!$T$27:$V$31,3))</f>
        <v>60-69</v>
      </c>
      <c r="AJ273" s="654" t="str">
        <f>IF(J273="","",VLOOKUP(J273,'Inputs Mapping'!$T$17:$V$24,3))</f>
        <v>61 - 65</v>
      </c>
      <c r="AK273" s="654">
        <f>IF(G273="Dubai",IF(J273="","",1*AND(LEFT(AA273)="F",LEFT(AB273)="M",J273&gt;=$AK$3,J273&lt;$AK$4+1)),IF(J273="","",1*AND(LEFT(AA273)="F",LEFT(AB273)="M",J273&gt;=$AJ$3,J273&lt;$AJ$4+1)))</f>
        <v>0</v>
      </c>
      <c r="AL273" s="655">
        <f>K273</f>
        <v>0</v>
      </c>
      <c r="AM273" s="655">
        <f>IF(F273="","",IF(G273="Dubai",HLOOKUP(F273,Inputs!$C$26:$M$36,5,0),HLOOKUP(F273,Inputs!$C$45:$M$49,5,0)))</f>
        <v>0</v>
      </c>
      <c r="AN273" s="655" t="str">
        <f>G273</f>
        <v>Dubai</v>
      </c>
      <c r="AO273" s="654">
        <f>IF(AJ273="","",IF(AN273="Dubai",VLOOKUP(AJ273,'Inputs Mapping'!$V$17:$W$24,2,0),VLOOKUP(AI273,'Inputs Mapping'!$V$27:$W$31,2,0)))</f>
        <v>7</v>
      </c>
      <c r="AP273" s="685">
        <f>IFERROR(IF($AN273="","",HLOOKUP($AN273&amp;RIGHT($AL273,1),'input for formula'!$B$16:$I$20,3,0)),0)</f>
        <v>0</v>
      </c>
      <c r="AQ273" s="686">
        <f>IFERROR(IF($AN273="","",HLOOKUP($AN273&amp;$F273,'input for formula'!$B$22:$M$25,2,0)),0)</f>
        <v>0</v>
      </c>
      <c r="AR273" s="685">
        <f>IFERROR(IF($AN273="","",HLOOKUP($AN273&amp;RIGHT($AL273,1),'input for formula'!$B$16:$I$20,4,0)),0)</f>
        <v>0</v>
      </c>
      <c r="AS273" s="686">
        <f>IFERROR(IF($AN273="","",HLOOKUP($AN273&amp;$F273,'input for formula'!$B$22:$M$25,3,0)),0)</f>
        <v>0</v>
      </c>
      <c r="AT273" s="686">
        <f>IFERROR(IF($AN273="","",HLOOKUP($AN273&amp;RIGHT($AL273,1),'input for formula'!$B$16:$I$20,5,0)),0)</f>
        <v>0</v>
      </c>
      <c r="AU273" s="686">
        <f>IFERROR(IF($AN273="","",HLOOKUP($AN273&amp;$F273,'input for formula'!$B$22:$M$25,4,0)),0)</f>
        <v>0</v>
      </c>
      <c r="AV273" s="666">
        <f>IFERROR(IF($AN273="","",IF('Census Data'!$AN273="Abu Dhabi",VLOOKUP('Census Data'!$AM273,'input for formula'!$A$28:$C$41,3,0),VLOOKUP('Census Data'!$AM273,'input for formula'!$A$28:$C$47,2,0))),0)*IFERROR(1+IF(AN273="Dubai",VLOOKUP(F273,'Quotation for Dubai Plans'!$V$6:$X$12,3,FALSE),VLOOKUP(F273,'Quotation for Abu Dhabi Plans'!$W$6:$Y$12,3,FALSE)),0)</f>
        <v>0</v>
      </c>
      <c r="AW273" s="686">
        <f>AK273</f>
        <v>0</v>
      </c>
      <c r="AX273" s="687">
        <f>IFERROR(IF(AL273="","",IF(AN273="Dubai",HLOOKUP((AL273&amp;AM273),Deviation!$B$7:$S$8,2,0)*BF273*BH273*BI273*BG273,HLOOKUP((AL273&amp;AM273),Deviation!$B$9:$O$10,2,0)*BF273*BH273*BI273*BG273)),0)</f>
        <v>0</v>
      </c>
      <c r="AY273" s="668">
        <f>IF(AL273="","",IFERROR(IF(AL273="","",IF(AN273="Dubai",HLOOKUP(AZ273,'input for formula'!$B$3:$F$10,AO273,FALSE), IF(AND(H273="Employee",AN273="Abu Dhabi"),HLOOKUP(AZ273,'input for formula'!$I$3:$K$7,AO273,FALSE),HLOOKUP(AZ273,'input for formula'!$M$3:$O$7,AO273,FALSE)))*AX273+AP273*AQ273+AR273*AS273+AT273*AU273),0)*$AZ$3*BK273*BJ273)*IF(AND(Inputs!$C$19&gt;19,Inputs!$C$19&lt;30),(1+$AZ$2),1)</f>
        <v>0</v>
      </c>
      <c r="AZ273" s="148" t="str">
        <f>IF(AL273="","",IF(AN273="","",AN273&amp;RIGHT(AL273,1)))</f>
        <v>Dubai0</v>
      </c>
      <c r="BA273" s="688">
        <f>IF(F273="","",IF(G273="Dubai",HLOOKUP(F273,Inputs!$C$26:$M$37,9,0),HLOOKUP(F273,Inputs!$C$45:$M$56,9,0)))</f>
        <v>0</v>
      </c>
      <c r="BB273" s="689">
        <f>IF(F273="","",IF(G273="Dubai",HLOOKUP(F273,Inputs!$C$26:$M$37,10,0),HLOOKUP(F273,Inputs!$C$45:$M$56,10,0)))</f>
        <v>0</v>
      </c>
      <c r="BC273" s="689">
        <f>IF(F273="","",IF(G273="Dubai",HLOOKUP(F273,Inputs!$C$26:$M$37,11,0),HLOOKUP(F273,Inputs!$C$45:$M$56,11,0)))</f>
        <v>0</v>
      </c>
      <c r="BD273" s="688">
        <f>IF(F273="","",IF(G273="Dubai",HLOOKUP(F273,Inputs!$C$26:$M$37,12,0),HLOOKUP(F273,Inputs!$C$45:$M$56,12,0)))</f>
        <v>0</v>
      </c>
      <c r="BE273" s="654"/>
      <c r="BF273" s="688">
        <f>IFERROR(IF(AL273="","",IF(AN273="Dubai",IF(OR(AL273="Plan1",AL273="Plan2"),VLOOKUP(BA273,Deviation!$B$31:$D$33,2,FALSE),VLOOKUP(BA273,Deviation!$B$31:$D$33,3,FALSE)),IF(OR(AL273="Plan1",AL273="Plan2"),VLOOKUP(BA273,Deviation!$E$31:$AE$33,2,FALSE),VLOOKUP(BA273,Deviation!$E$31:$AE$33,3,FALSE)))),0)</f>
        <v>1.125</v>
      </c>
      <c r="BG273" s="690">
        <f>IFERROR(IF(AL273="","",IF(AN273="Dubai",IF(AL273="Plan1",VLOOKUP(BB273,Deviation!$B$39:$C$40,2,FALSE),IF(AL273="Plan2",VLOOKUP(BB273,Deviation!$B$42:$C$43,2,FALSE),IF(AL273="Plan5",VLOOKUP(BB273,Deviation!$B$48:$C$49,2,FALSE),VLOOKUP(BB273,Deviation!$B$45:$C$46,2,FALSE)))),IF(AL273="Plan1",VLOOKUP(BB273,Deviation!$E$39:$F$40,2,FALSE),IF(AL273="Plan2",VLOOKUP(BB273,Deviation!$E$42:$F$43,2,FALSE),VLOOKUP(BB273,Deviation!$E$45:$F$46,2,FALSE))))),0)</f>
        <v>0</v>
      </c>
      <c r="BH273" s="690">
        <f>IFERROR(IF(AL273="","",IF(AN273="Dubai",IF(OR(AL273="Plan1",AL273="Plan2"),VLOOKUP(BC273,Deviation!$B$15:$D$19,2,FALSE),VLOOKUP(BC273,Deviation!$B$15:$D$19,3,FALSE)),IF(OR(AL273="Plan1",AL273="Plan2"),VLOOKUP(BC273,Deviation!$E$15:$AE$19,2,FALSE),VLOOKUP(BC273,Deviation!$E$15:$AE$19,3,FALSE)))),0)</f>
        <v>0</v>
      </c>
      <c r="BI273" s="691">
        <f>IFERROR(IF(AL273="","",IF(AN273="Dubai",VLOOKUP(BD273,Deviation!$B$24:$C$26,2,FALSE),100%)),0)</f>
        <v>1.06</v>
      </c>
      <c r="BJ273" s="672">
        <f>IF(AE273="Abu Dhabi",1,IFERROR(VLOOKUP(AM273,Deviation!$B$67:$E$79,MATCH('Census Data'!AA273,Deviation!$B$66:$E$66,0),0),1))</f>
        <v>1</v>
      </c>
      <c r="BK273" s="659">
        <f>IFERROR(VLOOKUP(I273,Deviation!$B$54:$C$62,2,0),1)</f>
        <v>1</v>
      </c>
      <c r="BL273" s="148"/>
      <c r="BM273" s="148"/>
      <c r="BN273" s="148"/>
      <c r="BO273" s="148"/>
      <c r="BP273" s="148"/>
      <c r="BQ273" s="148"/>
      <c r="BR273" s="148"/>
      <c r="BS273" s="148"/>
      <c r="BT273" s="148">
        <f t="shared" si="168"/>
        <v>0</v>
      </c>
    </row>
    <row r="274" spans="1:72" ht="15" hidden="1" x14ac:dyDescent="0.25">
      <c r="A274" s="94"/>
      <c r="B274" s="470"/>
      <c r="C274" s="94"/>
      <c r="D274" s="94" t="s">
        <v>175</v>
      </c>
      <c r="E274" s="94" t="s">
        <v>173</v>
      </c>
      <c r="F274" s="94" t="s">
        <v>65</v>
      </c>
      <c r="G274" s="94" t="s">
        <v>170</v>
      </c>
      <c r="H274" s="94"/>
      <c r="I274" s="94"/>
      <c r="J274" s="80">
        <v>67</v>
      </c>
      <c r="K274" s="59">
        <f>IF(F274="","",IF(G274="Dubai",HLOOKUP(F274,Inputs!$C$26:$M$28,3,0),HLOOKUP(F274,Inputs!$C$45:$M$46,2,0)))</f>
        <v>0</v>
      </c>
      <c r="L274" s="94"/>
      <c r="M274" s="105">
        <f t="shared" si="159"/>
        <v>-2</v>
      </c>
      <c r="N274" s="654" t="b">
        <f t="shared" si="147"/>
        <v>1</v>
      </c>
      <c r="O274" s="655" t="str">
        <f t="shared" si="148"/>
        <v>x</v>
      </c>
      <c r="P274" s="655" t="str">
        <f t="shared" si="149"/>
        <v/>
      </c>
      <c r="Q274" s="655" t="str">
        <f t="shared" si="150"/>
        <v/>
      </c>
      <c r="R274" s="655" t="str">
        <f t="shared" si="151"/>
        <v/>
      </c>
      <c r="S274" s="655" t="str">
        <f t="shared" si="152"/>
        <v/>
      </c>
      <c r="T274" s="655" t="str">
        <f>IF(ISERROR(MATCH(G274,'Inputs Mapping'!$T$4:$T$5,0)),"x","")</f>
        <v/>
      </c>
      <c r="U274" s="655" t="str">
        <f>IF(ISERROR(MATCH(AA274,'Inputs Mapping'!$U$4:$U$5,0)),"x","")</f>
        <v>x</v>
      </c>
      <c r="V274" s="655" t="str">
        <f>IF(ISERROR(MATCH(AB274,'Inputs Mapping'!$V$4:$V$5,0)),"x","")</f>
        <v/>
      </c>
      <c r="W274" s="655" t="str">
        <f>IF(ISERROR(MATCH(F274,'Inputs Mapping'!$W$4:$W$8,0)),"x","")</f>
        <v/>
      </c>
      <c r="X274" s="655" t="str">
        <f t="shared" si="153"/>
        <v/>
      </c>
      <c r="Y274" s="655" t="str">
        <f t="shared" si="154"/>
        <v/>
      </c>
      <c r="Z274" s="655" t="str">
        <f t="shared" si="160"/>
        <v/>
      </c>
      <c r="AA274" s="655" t="str">
        <f t="shared" si="165"/>
        <v>M/F</v>
      </c>
      <c r="AB274" s="655" t="str">
        <f t="shared" si="161"/>
        <v>S</v>
      </c>
      <c r="AC274" s="655" t="str">
        <f t="shared" si="162"/>
        <v>x</v>
      </c>
      <c r="AD274" s="655" t="str">
        <f>IF(ISBLANK(I274),"x",IF(ISNUMBER(MATCH(I274,'Inputs Mapping'!$AF$5:$AF$199,0)),"","x"))</f>
        <v>x</v>
      </c>
      <c r="AE274" s="655" t="str">
        <f t="shared" si="166"/>
        <v>Dubai</v>
      </c>
      <c r="AF274" s="148"/>
      <c r="AG274" s="148"/>
      <c r="AH274" s="148" t="str">
        <f t="shared" si="167"/>
        <v>CDubai</v>
      </c>
      <c r="AI274" s="654" t="str">
        <f>IF(J274="","",VLOOKUP(J274,'Inputs Mapping'!$T$27:$V$31,3))</f>
        <v>60-69</v>
      </c>
      <c r="AJ274" s="654" t="str">
        <f>IF(J274="","",VLOOKUP(J274,'Inputs Mapping'!$T$17:$V$24,3))</f>
        <v>66 - 69</v>
      </c>
      <c r="AK274" s="654">
        <f t="shared" si="155"/>
        <v>0</v>
      </c>
      <c r="AL274" s="655">
        <f t="shared" si="156"/>
        <v>0</v>
      </c>
      <c r="AM274" s="655">
        <f>IF(F274="","",IF(G274="Dubai",HLOOKUP(F274,Inputs!$C$26:$M$36,5,0),HLOOKUP(F274,Inputs!$C$45:$M$49,5,0)))</f>
        <v>0</v>
      </c>
      <c r="AN274" s="655" t="str">
        <f t="shared" si="157"/>
        <v>Dubai</v>
      </c>
      <c r="AO274" s="654">
        <f>IF(AJ274="","",IF(AN274="Dubai",VLOOKUP(AJ274,'Inputs Mapping'!$V$17:$W$24,2,0),VLOOKUP(AI274,'Inputs Mapping'!$V$27:$W$31,2,0)))</f>
        <v>8</v>
      </c>
      <c r="AP274" s="685">
        <f>IFERROR(IF($AN274="","",HLOOKUP($AN274&amp;RIGHT($AL274,1),'input for formula'!$B$16:$I$20,3,0)),0)</f>
        <v>0</v>
      </c>
      <c r="AQ274" s="686">
        <f>IFERROR(IF($AN274="","",HLOOKUP($AN274&amp;$F274,'input for formula'!$B$22:$M$25,2,0)),0)</f>
        <v>0</v>
      </c>
      <c r="AR274" s="685">
        <f>IFERROR(IF($AN274="","",HLOOKUP($AN274&amp;RIGHT($AL274,1),'input for formula'!$B$16:$I$20,4,0)),0)</f>
        <v>0</v>
      </c>
      <c r="AS274" s="686">
        <f>IFERROR(IF($AN274="","",HLOOKUP($AN274&amp;$F274,'input for formula'!$B$22:$M$25,3,0)),0)</f>
        <v>0</v>
      </c>
      <c r="AT274" s="686">
        <f>IFERROR(IF($AN274="","",HLOOKUP($AN274&amp;RIGHT($AL274,1),'input for formula'!$B$16:$I$20,5,0)),0)</f>
        <v>0</v>
      </c>
      <c r="AU274" s="686">
        <f>IFERROR(IF($AN274="","",HLOOKUP($AN274&amp;$F274,'input for formula'!$B$22:$M$25,4,0)),0)</f>
        <v>0</v>
      </c>
      <c r="AV274" s="666">
        <f>IFERROR(IF($AN274="","",IF('Census Data'!$AN274="Abu Dhabi",VLOOKUP('Census Data'!$AM274,'input for formula'!$A$28:$C$41,3,0),VLOOKUP('Census Data'!$AM274,'input for formula'!$A$28:$C$47,2,0))),0)*IFERROR(1+IF(AN274="Dubai",VLOOKUP(F274,'Quotation for Dubai Plans'!$V$6:$X$12,3,FALSE),VLOOKUP(F274,'Quotation for Abu Dhabi Plans'!$W$6:$Y$12,3,FALSE)),0)</f>
        <v>0</v>
      </c>
      <c r="AW274" s="686">
        <f t="shared" si="158"/>
        <v>0</v>
      </c>
      <c r="AX274" s="687">
        <f>IFERROR(IF(AL274="","",IF(AN274="Dubai",HLOOKUP((AL274&amp;AM274),Deviation!$B$7:$S$8,2,0)*BF274*BH274*BI274*BG274,HLOOKUP((AL274&amp;AM274),Deviation!$B$9:$O$10,2,0)*BF274*BH274*BI274*BG274)),0)</f>
        <v>0</v>
      </c>
      <c r="AY274" s="668">
        <f>IF(AL274="","",IFERROR(IF(AL274="","",IF(AN274="Dubai",HLOOKUP(AZ274,'input for formula'!$B$3:$F$10,AO274,FALSE), IF(AND(H274="Employee",AN274="Abu Dhabi"),HLOOKUP(AZ274,'input for formula'!$I$3:$K$7,AO274,FALSE),HLOOKUP(AZ274,'input for formula'!$M$3:$O$7,AO274,FALSE)))*AX274+AP274*AQ274+AR274*AS274+AT274*AU274),0)*$AZ$3*BK274*BJ274)*IF(AND(Inputs!$C$19&gt;19,Inputs!$C$19&lt;30),(1+$AZ$2),1)</f>
        <v>0</v>
      </c>
      <c r="AZ274" s="148" t="str">
        <f t="shared" si="163"/>
        <v>Dubai0</v>
      </c>
      <c r="BA274" s="688">
        <f>IF(F274="","",IF(G274="Dubai",HLOOKUP(F274,Inputs!$C$26:$M$37,9,0),HLOOKUP(F274,Inputs!$C$45:$M$56,9,0)))</f>
        <v>0</v>
      </c>
      <c r="BB274" s="689">
        <f>IF(F274="","",IF(G274="Dubai",HLOOKUP(F274,Inputs!$C$26:$M$37,10,0),HLOOKUP(F274,Inputs!$C$45:$M$56,10,0)))</f>
        <v>0</v>
      </c>
      <c r="BC274" s="689">
        <f>IF(F274="","",IF(G274="Dubai",HLOOKUP(F274,Inputs!$C$26:$M$37,11,0),HLOOKUP(F274,Inputs!$C$45:$M$56,11,0)))</f>
        <v>0</v>
      </c>
      <c r="BD274" s="688">
        <f>IF(F274="","",IF(G274="Dubai",HLOOKUP(F274,Inputs!$C$26:$M$37,12,0),HLOOKUP(F274,Inputs!$C$45:$M$56,12,0)))</f>
        <v>0</v>
      </c>
      <c r="BE274" s="654"/>
      <c r="BF274" s="688">
        <f>IFERROR(IF(AL274="","",IF(AN274="Dubai",IF(OR(AL274="Plan1",AL274="Plan2"),VLOOKUP(BA274,Deviation!$B$31:$D$33,2,FALSE),VLOOKUP(BA274,Deviation!$B$31:$D$33,3,FALSE)),IF(OR(AL274="Plan1",AL274="Plan2"),VLOOKUP(BA274,Deviation!$E$31:$AE$33,2,FALSE),VLOOKUP(BA274,Deviation!$E$31:$AE$33,3,FALSE)))),0)</f>
        <v>1.125</v>
      </c>
      <c r="BG274" s="690">
        <f>IFERROR(IF(AL274="","",IF(AN274="Dubai",IF(AL274="Plan1",VLOOKUP(BB274,Deviation!$B$39:$C$40,2,FALSE),IF(AL274="Plan2",VLOOKUP(BB274,Deviation!$B$42:$C$43,2,FALSE),IF(AL274="Plan5",VLOOKUP(BB274,Deviation!$B$48:$C$49,2,FALSE),VLOOKUP(BB274,Deviation!$B$45:$C$46,2,FALSE)))),IF(AL274="Plan1",VLOOKUP(BB274,Deviation!$E$39:$F$40,2,FALSE),IF(AL274="Plan2",VLOOKUP(BB274,Deviation!$E$42:$F$43,2,FALSE),VLOOKUP(BB274,Deviation!$E$45:$F$46,2,FALSE))))),0)</f>
        <v>0</v>
      </c>
      <c r="BH274" s="690">
        <f>IFERROR(IF(AL274="","",IF(AN274="Dubai",IF(OR(AL274="Plan1",AL274="Plan2"),VLOOKUP(BC274,Deviation!$B$15:$D$19,2,FALSE),VLOOKUP(BC274,Deviation!$B$15:$D$19,3,FALSE)),IF(OR(AL274="Plan1",AL274="Plan2"),VLOOKUP(BC274,Deviation!$E$15:$AE$19,2,FALSE),VLOOKUP(BC274,Deviation!$E$15:$AE$19,3,FALSE)))),0)</f>
        <v>0</v>
      </c>
      <c r="BI274" s="691">
        <f>IFERROR(IF(AL274="","",IF(AN274="Dubai",VLOOKUP(BD274,Deviation!$B$24:$C$26,2,FALSE),100%)),0)</f>
        <v>1.06</v>
      </c>
      <c r="BJ274" s="672">
        <f>IF(AE274="Abu Dhabi",1,IFERROR(VLOOKUP(AM274,Deviation!$B$67:$E$79,MATCH('Census Data'!AA274,Deviation!$B$66:$E$66,0),0),1))</f>
        <v>1</v>
      </c>
      <c r="BK274" s="659">
        <f>IFERROR(VLOOKUP(I274,Deviation!$B$54:$C$62,2,0),1)</f>
        <v>1</v>
      </c>
      <c r="BL274" s="148"/>
      <c r="BM274" s="148"/>
      <c r="BN274" s="148"/>
      <c r="BO274" s="148"/>
      <c r="BP274" s="148"/>
      <c r="BQ274" s="148"/>
      <c r="BR274" s="148"/>
      <c r="BS274" s="148"/>
      <c r="BT274" s="148">
        <f t="shared" si="168"/>
        <v>0</v>
      </c>
    </row>
    <row r="275" spans="1:72" ht="15" hidden="1" x14ac:dyDescent="0.25">
      <c r="A275" s="94"/>
      <c r="B275" s="470"/>
      <c r="C275" s="94"/>
      <c r="D275" s="94" t="s">
        <v>175</v>
      </c>
      <c r="E275" s="94" t="s">
        <v>173</v>
      </c>
      <c r="F275" s="94" t="s">
        <v>66</v>
      </c>
      <c r="G275" s="94" t="s">
        <v>170</v>
      </c>
      <c r="H275" s="94"/>
      <c r="I275" s="94"/>
      <c r="J275" s="80">
        <v>15</v>
      </c>
      <c r="K275" s="59">
        <f>IF(F275="","",IF(G275="Dubai",HLOOKUP(F275,Inputs!$C$26:$M$28,3,0),HLOOKUP(F275,Inputs!$C$45:$M$46,2,0)))</f>
        <v>0</v>
      </c>
      <c r="L275" s="94"/>
      <c r="M275" s="105">
        <f t="shared" si="159"/>
        <v>-2</v>
      </c>
      <c r="N275" s="654" t="b">
        <f t="shared" si="147"/>
        <v>1</v>
      </c>
      <c r="O275" s="655" t="str">
        <f t="shared" si="148"/>
        <v>x</v>
      </c>
      <c r="P275" s="655" t="str">
        <f t="shared" si="149"/>
        <v/>
      </c>
      <c r="Q275" s="655" t="str">
        <f t="shared" si="150"/>
        <v/>
      </c>
      <c r="R275" s="655" t="str">
        <f t="shared" si="151"/>
        <v/>
      </c>
      <c r="S275" s="655" t="str">
        <f t="shared" si="152"/>
        <v/>
      </c>
      <c r="T275" s="655" t="str">
        <f>IF(ISERROR(MATCH(G275,'Inputs Mapping'!$T$4:$T$5,0)),"x","")</f>
        <v/>
      </c>
      <c r="U275" s="655" t="str">
        <f>IF(ISERROR(MATCH(AA275,'Inputs Mapping'!$U$4:$U$5,0)),"x","")</f>
        <v>x</v>
      </c>
      <c r="V275" s="655" t="str">
        <f>IF(ISERROR(MATCH(AB275,'Inputs Mapping'!$V$4:$V$5,0)),"x","")</f>
        <v/>
      </c>
      <c r="W275" s="655" t="str">
        <f>IF(ISERROR(MATCH(F275,'Inputs Mapping'!$W$4:$W$8,0)),"x","")</f>
        <v/>
      </c>
      <c r="X275" s="655" t="str">
        <f t="shared" si="153"/>
        <v/>
      </c>
      <c r="Y275" s="655" t="str">
        <f t="shared" si="154"/>
        <v/>
      </c>
      <c r="Z275" s="655" t="str">
        <f t="shared" si="160"/>
        <v/>
      </c>
      <c r="AA275" s="655" t="str">
        <f t="shared" si="165"/>
        <v>M/F</v>
      </c>
      <c r="AB275" s="655" t="str">
        <f t="shared" si="161"/>
        <v>S</v>
      </c>
      <c r="AC275" s="655" t="str">
        <f t="shared" si="162"/>
        <v>x</v>
      </c>
      <c r="AD275" s="655" t="str">
        <f>IF(ISBLANK(I275),"x",IF(ISNUMBER(MATCH(I275,'Inputs Mapping'!$AF$5:$AF$199,0)),"","x"))</f>
        <v>x</v>
      </c>
      <c r="AE275" s="655" t="str">
        <f t="shared" si="166"/>
        <v>Dubai</v>
      </c>
      <c r="AF275" s="148"/>
      <c r="AG275" s="148"/>
      <c r="AH275" s="148" t="str">
        <f t="shared" si="167"/>
        <v>DDubai</v>
      </c>
      <c r="AI275" s="654" t="str">
        <f>IF(J275="","",VLOOKUP(J275,'Inputs Mapping'!$T$27:$V$31,3))</f>
        <v>0-17</v>
      </c>
      <c r="AJ275" s="654" t="str">
        <f>IF(J275="","",VLOOKUP(J275,'Inputs Mapping'!$T$17:$V$24,3))</f>
        <v>0 - 17</v>
      </c>
      <c r="AK275" s="654">
        <f t="shared" si="155"/>
        <v>0</v>
      </c>
      <c r="AL275" s="655">
        <f t="shared" si="156"/>
        <v>0</v>
      </c>
      <c r="AM275" s="655">
        <f>IF(F275="","",IF(G275="Dubai",HLOOKUP(F275,Inputs!$C$26:$M$36,5,0),HLOOKUP(F275,Inputs!$C$45:$M$49,5,0)))</f>
        <v>0</v>
      </c>
      <c r="AN275" s="655" t="str">
        <f t="shared" si="157"/>
        <v>Dubai</v>
      </c>
      <c r="AO275" s="654">
        <f>IF(AJ275="","",IF(AN275="Dubai",VLOOKUP(AJ275,'Inputs Mapping'!$V$17:$W$24,2,0),VLOOKUP(AI275,'Inputs Mapping'!$V$27:$W$31,2,0)))</f>
        <v>2</v>
      </c>
      <c r="AP275" s="685">
        <f>IFERROR(IF($AN275="","",HLOOKUP($AN275&amp;RIGHT($AL275,1),'input for formula'!$B$16:$I$20,3,0)),0)</f>
        <v>0</v>
      </c>
      <c r="AQ275" s="686">
        <f>IFERROR(IF($AN275="","",HLOOKUP($AN275&amp;$F275,'input for formula'!$B$22:$M$25,2,0)),0)</f>
        <v>0</v>
      </c>
      <c r="AR275" s="685">
        <f>IFERROR(IF($AN275="","",HLOOKUP($AN275&amp;RIGHT($AL275,1),'input for formula'!$B$16:$I$20,4,0)),0)</f>
        <v>0</v>
      </c>
      <c r="AS275" s="686">
        <f>IFERROR(IF($AN275="","",HLOOKUP($AN275&amp;$F275,'input for formula'!$B$22:$M$25,3,0)),0)</f>
        <v>0</v>
      </c>
      <c r="AT275" s="686">
        <f>IFERROR(IF($AN275="","",HLOOKUP($AN275&amp;RIGHT($AL275,1),'input for formula'!$B$16:$I$20,5,0)),0)</f>
        <v>0</v>
      </c>
      <c r="AU275" s="686">
        <f>IFERROR(IF($AN275="","",HLOOKUP($AN275&amp;$F275,'input for formula'!$B$22:$M$25,4,0)),0)</f>
        <v>0</v>
      </c>
      <c r="AV275" s="666">
        <f>IFERROR(IF($AN275="","",IF('Census Data'!$AN275="Abu Dhabi",VLOOKUP('Census Data'!$AM275,'input for formula'!$A$28:$C$41,3,0),VLOOKUP('Census Data'!$AM275,'input for formula'!$A$28:$C$47,2,0))),0)*IFERROR(1+IF(AN275="Dubai",VLOOKUP(F275,'Quotation for Dubai Plans'!$V$6:$X$12,3,FALSE),VLOOKUP(F275,'Quotation for Abu Dhabi Plans'!$W$6:$Y$12,3,FALSE)),0)</f>
        <v>0</v>
      </c>
      <c r="AW275" s="686">
        <f t="shared" si="158"/>
        <v>0</v>
      </c>
      <c r="AX275" s="687">
        <f>IFERROR(IF(AL275="","",IF(AN275="Dubai",HLOOKUP((AL275&amp;AM275),Deviation!$B$7:$S$8,2,0)*BF275*BH275*BI275*BG275,HLOOKUP((AL275&amp;AM275),Deviation!$B$9:$O$10,2,0)*BF275*BH275*BI275*BG275)),0)</f>
        <v>0</v>
      </c>
      <c r="AY275" s="668">
        <f>IF(AL275="","",IFERROR(IF(AL275="","",IF(AN275="Dubai",HLOOKUP(AZ275,'input for formula'!$B$3:$F$10,AO275,FALSE), IF(AND(H275="Employee",AN275="Abu Dhabi"),HLOOKUP(AZ275,'input for formula'!$I$3:$K$7,AO275,FALSE),HLOOKUP(AZ275,'input for formula'!$M$3:$O$7,AO275,FALSE)))*AX275+AP275*AQ275+AR275*AS275+AT275*AU275),0)*$AZ$3*BK275*BJ275)*IF(AND(Inputs!$C$19&gt;19,Inputs!$C$19&lt;30),(1+$AZ$2),1)</f>
        <v>0</v>
      </c>
      <c r="AZ275" s="148" t="str">
        <f t="shared" si="163"/>
        <v>Dubai0</v>
      </c>
      <c r="BA275" s="688">
        <f>IF(F275="","",IF(G275="Dubai",HLOOKUP(F275,Inputs!$C$26:$M$37,9,0),HLOOKUP(F275,Inputs!$C$45:$M$56,9,0)))</f>
        <v>0</v>
      </c>
      <c r="BB275" s="689">
        <f>IF(F275="","",IF(G275="Dubai",HLOOKUP(F275,Inputs!$C$26:$M$37,10,0),HLOOKUP(F275,Inputs!$C$45:$M$56,10,0)))</f>
        <v>0</v>
      </c>
      <c r="BC275" s="689">
        <f>IF(F275="","",IF(G275="Dubai",HLOOKUP(F275,Inputs!$C$26:$M$37,11,0),HLOOKUP(F275,Inputs!$C$45:$M$56,11,0)))</f>
        <v>0</v>
      </c>
      <c r="BD275" s="688">
        <f>IF(F275="","",IF(G275="Dubai",HLOOKUP(F275,Inputs!$C$26:$M$37,12,0),HLOOKUP(F275,Inputs!$C$45:$M$56,12,0)))</f>
        <v>0</v>
      </c>
      <c r="BE275" s="654"/>
      <c r="BF275" s="688">
        <f>IFERROR(IF(AL275="","",IF(AN275="Dubai",IF(OR(AL275="Plan1",AL275="Plan2"),VLOOKUP(BA275,Deviation!$B$31:$D$33,2,FALSE),VLOOKUP(BA275,Deviation!$B$31:$D$33,3,FALSE)),IF(OR(AL275="Plan1",AL275="Plan2"),VLOOKUP(BA275,Deviation!$E$31:$AE$33,2,FALSE),VLOOKUP(BA275,Deviation!$E$31:$AE$33,3,FALSE)))),0)</f>
        <v>1.125</v>
      </c>
      <c r="BG275" s="690">
        <f>IFERROR(IF(AL275="","",IF(AN275="Dubai",IF(AL275="Plan1",VLOOKUP(BB275,Deviation!$B$39:$C$40,2,FALSE),IF(AL275="Plan2",VLOOKUP(BB275,Deviation!$B$42:$C$43,2,FALSE),IF(AL275="Plan5",VLOOKUP(BB275,Deviation!$B$48:$C$49,2,FALSE),VLOOKUP(BB275,Deviation!$B$45:$C$46,2,FALSE)))),IF(AL275="Plan1",VLOOKUP(BB275,Deviation!$E$39:$F$40,2,FALSE),IF(AL275="Plan2",VLOOKUP(BB275,Deviation!$E$42:$F$43,2,FALSE),VLOOKUP(BB275,Deviation!$E$45:$F$46,2,FALSE))))),0)</f>
        <v>0</v>
      </c>
      <c r="BH275" s="690">
        <f>IFERROR(IF(AL275="","",IF(AN275="Dubai",IF(OR(AL275="Plan1",AL275="Plan2"),VLOOKUP(BC275,Deviation!$B$15:$D$19,2,FALSE),VLOOKUP(BC275,Deviation!$B$15:$D$19,3,FALSE)),IF(OR(AL275="Plan1",AL275="Plan2"),VLOOKUP(BC275,Deviation!$E$15:$AE$19,2,FALSE),VLOOKUP(BC275,Deviation!$E$15:$AE$19,3,FALSE)))),0)</f>
        <v>0</v>
      </c>
      <c r="BI275" s="691">
        <f>IFERROR(IF(AL275="","",IF(AN275="Dubai",VLOOKUP(BD275,Deviation!$B$24:$C$26,2,FALSE),100%)),0)</f>
        <v>1.06</v>
      </c>
      <c r="BJ275" s="672">
        <f>IF(AE275="Abu Dhabi",1,IFERROR(VLOOKUP(AM275,Deviation!$B$67:$E$79,MATCH('Census Data'!AA275,Deviation!$B$66:$E$66,0),0),1))</f>
        <v>1</v>
      </c>
      <c r="BK275" s="659">
        <f>IFERROR(VLOOKUP(I275,Deviation!$B$54:$C$62,2,0),1)</f>
        <v>1</v>
      </c>
      <c r="BL275" s="148"/>
      <c r="BM275" s="148"/>
      <c r="BN275" s="148"/>
      <c r="BO275" s="148"/>
      <c r="BP275" s="148"/>
      <c r="BQ275" s="148"/>
      <c r="BR275" s="148"/>
      <c r="BS275" s="148"/>
      <c r="BT275" s="148">
        <f t="shared" si="168"/>
        <v>0</v>
      </c>
    </row>
    <row r="276" spans="1:72" ht="15" hidden="1" x14ac:dyDescent="0.25">
      <c r="A276" s="94"/>
      <c r="B276" s="470"/>
      <c r="C276" s="94"/>
      <c r="D276" s="94" t="s">
        <v>175</v>
      </c>
      <c r="E276" s="94" t="s">
        <v>173</v>
      </c>
      <c r="F276" s="94" t="s">
        <v>66</v>
      </c>
      <c r="G276" s="94" t="s">
        <v>170</v>
      </c>
      <c r="H276" s="94"/>
      <c r="I276" s="94"/>
      <c r="J276" s="80">
        <v>40</v>
      </c>
      <c r="K276" s="59">
        <f>IF(F276="","",IF(G276="Dubai",HLOOKUP(F276,Inputs!$C$26:$M$28,3,0),HLOOKUP(F276,Inputs!$C$45:$M$46,2,0)))</f>
        <v>0</v>
      </c>
      <c r="L276" s="94"/>
      <c r="M276" s="105">
        <f t="shared" si="159"/>
        <v>-2</v>
      </c>
      <c r="N276" s="654" t="b">
        <f t="shared" si="147"/>
        <v>1</v>
      </c>
      <c r="O276" s="655" t="str">
        <f t="shared" si="148"/>
        <v>x</v>
      </c>
      <c r="P276" s="655" t="str">
        <f t="shared" si="149"/>
        <v/>
      </c>
      <c r="Q276" s="655" t="str">
        <f t="shared" si="150"/>
        <v/>
      </c>
      <c r="R276" s="655" t="str">
        <f t="shared" si="151"/>
        <v/>
      </c>
      <c r="S276" s="655" t="str">
        <f t="shared" si="152"/>
        <v/>
      </c>
      <c r="T276" s="655" t="str">
        <f>IF(ISERROR(MATCH(G276,'Inputs Mapping'!$T$4:$T$5,0)),"x","")</f>
        <v/>
      </c>
      <c r="U276" s="655" t="str">
        <f>IF(ISERROR(MATCH(AA276,'Inputs Mapping'!$U$4:$U$5,0)),"x","")</f>
        <v>x</v>
      </c>
      <c r="V276" s="655" t="str">
        <f>IF(ISERROR(MATCH(AB276,'Inputs Mapping'!$V$4:$V$5,0)),"x","")</f>
        <v/>
      </c>
      <c r="W276" s="655" t="str">
        <f>IF(ISERROR(MATCH(F276,'Inputs Mapping'!$W$4:$W$8,0)),"x","")</f>
        <v/>
      </c>
      <c r="X276" s="655" t="str">
        <f t="shared" si="153"/>
        <v/>
      </c>
      <c r="Y276" s="655" t="str">
        <f t="shared" si="154"/>
        <v/>
      </c>
      <c r="Z276" s="655" t="str">
        <f t="shared" si="160"/>
        <v/>
      </c>
      <c r="AA276" s="655" t="str">
        <f t="shared" si="165"/>
        <v>M/F</v>
      </c>
      <c r="AB276" s="655" t="str">
        <f t="shared" si="161"/>
        <v>S</v>
      </c>
      <c r="AC276" s="655" t="str">
        <f t="shared" si="162"/>
        <v>x</v>
      </c>
      <c r="AD276" s="655" t="str">
        <f>IF(ISBLANK(I276),"x",IF(ISNUMBER(MATCH(I276,'Inputs Mapping'!$AF$5:$AF$199,0)),"","x"))</f>
        <v>x</v>
      </c>
      <c r="AE276" s="655" t="str">
        <f t="shared" si="166"/>
        <v>Dubai</v>
      </c>
      <c r="AF276" s="148"/>
      <c r="AG276" s="148"/>
      <c r="AH276" s="148" t="str">
        <f t="shared" si="167"/>
        <v>DDubai</v>
      </c>
      <c r="AI276" s="654" t="str">
        <f>IF(J276="","",VLOOKUP(J276,'Inputs Mapping'!$T$27:$V$31,3))</f>
        <v>18-40</v>
      </c>
      <c r="AJ276" s="654" t="str">
        <f>IF(J276="","",VLOOKUP(J276,'Inputs Mapping'!$T$17:$V$24,3))</f>
        <v>36 - 45</v>
      </c>
      <c r="AK276" s="654">
        <f t="shared" si="155"/>
        <v>0</v>
      </c>
      <c r="AL276" s="655">
        <f t="shared" si="156"/>
        <v>0</v>
      </c>
      <c r="AM276" s="655">
        <f>IF(F276="","",IF(G276="Dubai",HLOOKUP(F276,Inputs!$C$26:$M$36,5,0),HLOOKUP(F276,Inputs!$C$45:$M$49,5,0)))</f>
        <v>0</v>
      </c>
      <c r="AN276" s="655" t="str">
        <f t="shared" si="157"/>
        <v>Dubai</v>
      </c>
      <c r="AO276" s="654">
        <f>IF(AJ276="","",IF(AN276="Dubai",VLOOKUP(AJ276,'Inputs Mapping'!$V$17:$W$24,2,0),VLOOKUP(AI276,'Inputs Mapping'!$V$27:$W$31,2,0)))</f>
        <v>4</v>
      </c>
      <c r="AP276" s="685">
        <f>IFERROR(IF($AN276="","",HLOOKUP($AN276&amp;RIGHT($AL276,1),'input for formula'!$B$16:$I$20,3,0)),0)</f>
        <v>0</v>
      </c>
      <c r="AQ276" s="686">
        <f>IFERROR(IF($AN276="","",HLOOKUP($AN276&amp;$F276,'input for formula'!$B$22:$M$25,2,0)),0)</f>
        <v>0</v>
      </c>
      <c r="AR276" s="685">
        <f>IFERROR(IF($AN276="","",HLOOKUP($AN276&amp;RIGHT($AL276,1),'input for formula'!$B$16:$I$20,4,0)),0)</f>
        <v>0</v>
      </c>
      <c r="AS276" s="686">
        <f>IFERROR(IF($AN276="","",HLOOKUP($AN276&amp;$F276,'input for formula'!$B$22:$M$25,3,0)),0)</f>
        <v>0</v>
      </c>
      <c r="AT276" s="686">
        <f>IFERROR(IF($AN276="","",HLOOKUP($AN276&amp;RIGHT($AL276,1),'input for formula'!$B$16:$I$20,5,0)),0)</f>
        <v>0</v>
      </c>
      <c r="AU276" s="686">
        <f>IFERROR(IF($AN276="","",HLOOKUP($AN276&amp;$F276,'input for formula'!$B$22:$M$25,4,0)),0)</f>
        <v>0</v>
      </c>
      <c r="AV276" s="666">
        <f>IFERROR(IF($AN276="","",IF('Census Data'!$AN276="Abu Dhabi",VLOOKUP('Census Data'!$AM276,'input for formula'!$A$28:$C$41,3,0),VLOOKUP('Census Data'!$AM276,'input for formula'!$A$28:$C$47,2,0))),0)*IFERROR(1+IF(AN276="Dubai",VLOOKUP(F276,'Quotation for Dubai Plans'!$V$6:$X$12,3,FALSE),VLOOKUP(F276,'Quotation for Abu Dhabi Plans'!$W$6:$Y$12,3,FALSE)),0)</f>
        <v>0</v>
      </c>
      <c r="AW276" s="686">
        <f t="shared" si="158"/>
        <v>0</v>
      </c>
      <c r="AX276" s="687">
        <f>IFERROR(IF(AL276="","",IF(AN276="Dubai",HLOOKUP((AL276&amp;AM276),Deviation!$B$7:$S$8,2,0)*BF276*BH276*BI276*BG276,HLOOKUP((AL276&amp;AM276),Deviation!$B$9:$O$10,2,0)*BF276*BH276*BI276*BG276)),0)</f>
        <v>0</v>
      </c>
      <c r="AY276" s="668">
        <f>IF(AL276="","",IFERROR(IF(AL276="","",IF(AN276="Dubai",HLOOKUP(AZ276,'input for formula'!$B$3:$F$10,AO276,FALSE), IF(AND(H276="Employee",AN276="Abu Dhabi"),HLOOKUP(AZ276,'input for formula'!$I$3:$K$7,AO276,FALSE),HLOOKUP(AZ276,'input for formula'!$M$3:$O$7,AO276,FALSE)))*AX276+AP276*AQ276+AR276*AS276+AT276*AU276),0)*$AZ$3*BK276*BJ276)*IF(AND(Inputs!$C$19&gt;19,Inputs!$C$19&lt;30),(1+$AZ$2),1)</f>
        <v>0</v>
      </c>
      <c r="AZ276" s="148" t="str">
        <f t="shared" si="163"/>
        <v>Dubai0</v>
      </c>
      <c r="BA276" s="688">
        <f>IF(F276="","",IF(G276="Dubai",HLOOKUP(F276,Inputs!$C$26:$M$37,9,0),HLOOKUP(F276,Inputs!$C$45:$M$56,9,0)))</f>
        <v>0</v>
      </c>
      <c r="BB276" s="689">
        <f>IF(F276="","",IF(G276="Dubai",HLOOKUP(F276,Inputs!$C$26:$M$37,10,0),HLOOKUP(F276,Inputs!$C$45:$M$56,10,0)))</f>
        <v>0</v>
      </c>
      <c r="BC276" s="689">
        <f>IF(F276="","",IF(G276="Dubai",HLOOKUP(F276,Inputs!$C$26:$M$37,11,0),HLOOKUP(F276,Inputs!$C$45:$M$56,11,0)))</f>
        <v>0</v>
      </c>
      <c r="BD276" s="688">
        <f>IF(F276="","",IF(G276="Dubai",HLOOKUP(F276,Inputs!$C$26:$M$37,12,0),HLOOKUP(F276,Inputs!$C$45:$M$56,12,0)))</f>
        <v>0</v>
      </c>
      <c r="BE276" s="654"/>
      <c r="BF276" s="688">
        <f>IFERROR(IF(AL276="","",IF(AN276="Dubai",IF(OR(AL276="Plan1",AL276="Plan2"),VLOOKUP(BA276,Deviation!$B$31:$D$33,2,FALSE),VLOOKUP(BA276,Deviation!$B$31:$D$33,3,FALSE)),IF(OR(AL276="Plan1",AL276="Plan2"),VLOOKUP(BA276,Deviation!$E$31:$AE$33,2,FALSE),VLOOKUP(BA276,Deviation!$E$31:$AE$33,3,FALSE)))),0)</f>
        <v>1.125</v>
      </c>
      <c r="BG276" s="690">
        <f>IFERROR(IF(AL276="","",IF(AN276="Dubai",IF(AL276="Plan1",VLOOKUP(BB276,Deviation!$B$39:$C$40,2,FALSE),IF(AL276="Plan2",VLOOKUP(BB276,Deviation!$B$42:$C$43,2,FALSE),IF(AL276="Plan5",VLOOKUP(BB276,Deviation!$B$48:$C$49,2,FALSE),VLOOKUP(BB276,Deviation!$B$45:$C$46,2,FALSE)))),IF(AL276="Plan1",VLOOKUP(BB276,Deviation!$E$39:$F$40,2,FALSE),IF(AL276="Plan2",VLOOKUP(BB276,Deviation!$E$42:$F$43,2,FALSE),VLOOKUP(BB276,Deviation!$E$45:$F$46,2,FALSE))))),0)</f>
        <v>0</v>
      </c>
      <c r="BH276" s="690">
        <f>IFERROR(IF(AL276="","",IF(AN276="Dubai",IF(OR(AL276="Plan1",AL276="Plan2"),VLOOKUP(BC276,Deviation!$B$15:$D$19,2,FALSE),VLOOKUP(BC276,Deviation!$B$15:$D$19,3,FALSE)),IF(OR(AL276="Plan1",AL276="Plan2"),VLOOKUP(BC276,Deviation!$E$15:$AE$19,2,FALSE),VLOOKUP(BC276,Deviation!$E$15:$AE$19,3,FALSE)))),0)</f>
        <v>0</v>
      </c>
      <c r="BI276" s="691">
        <f>IFERROR(IF(AL276="","",IF(AN276="Dubai",VLOOKUP(BD276,Deviation!$B$24:$C$26,2,FALSE),100%)),0)</f>
        <v>1.06</v>
      </c>
      <c r="BJ276" s="672">
        <f>IF(AE276="Abu Dhabi",1,IFERROR(VLOOKUP(AM276,Deviation!$B$67:$E$79,MATCH('Census Data'!AA276,Deviation!$B$66:$E$66,0),0),1))</f>
        <v>1</v>
      </c>
      <c r="BK276" s="659">
        <f>IFERROR(VLOOKUP(I276,Deviation!$B$54:$C$62,2,0),1)</f>
        <v>1</v>
      </c>
      <c r="BL276" s="148"/>
      <c r="BM276" s="148"/>
      <c r="BN276" s="148"/>
      <c r="BO276" s="148"/>
      <c r="BP276" s="148"/>
      <c r="BQ276" s="148"/>
      <c r="BR276" s="148"/>
      <c r="BS276" s="148"/>
      <c r="BT276" s="148">
        <f t="shared" si="168"/>
        <v>0</v>
      </c>
    </row>
    <row r="277" spans="1:72" ht="15" hidden="1" x14ac:dyDescent="0.25">
      <c r="A277" s="94"/>
      <c r="B277" s="470"/>
      <c r="C277" s="94"/>
      <c r="D277" s="94" t="s">
        <v>175</v>
      </c>
      <c r="E277" s="94" t="s">
        <v>173</v>
      </c>
      <c r="F277" s="94" t="s">
        <v>66</v>
      </c>
      <c r="G277" s="94" t="s">
        <v>170</v>
      </c>
      <c r="H277" s="94"/>
      <c r="I277" s="94"/>
      <c r="J277" s="80">
        <v>59</v>
      </c>
      <c r="K277" s="59">
        <f>IF(F277="","",IF(G277="Dubai",HLOOKUP(F277,Inputs!$C$26:$M$28,3,0),HLOOKUP(F277,Inputs!$C$45:$M$46,2,0)))</f>
        <v>0</v>
      </c>
      <c r="L277" s="94"/>
      <c r="M277" s="105">
        <f t="shared" si="159"/>
        <v>-2</v>
      </c>
      <c r="N277" s="654" t="b">
        <f t="shared" si="147"/>
        <v>1</v>
      </c>
      <c r="O277" s="655" t="str">
        <f t="shared" si="148"/>
        <v>x</v>
      </c>
      <c r="P277" s="655" t="str">
        <f t="shared" si="149"/>
        <v/>
      </c>
      <c r="Q277" s="655" t="str">
        <f t="shared" si="150"/>
        <v/>
      </c>
      <c r="R277" s="655" t="str">
        <f t="shared" si="151"/>
        <v/>
      </c>
      <c r="S277" s="655" t="str">
        <f t="shared" si="152"/>
        <v/>
      </c>
      <c r="T277" s="655" t="str">
        <f>IF(ISERROR(MATCH(G277,'Inputs Mapping'!$T$4:$T$5,0)),"x","")</f>
        <v/>
      </c>
      <c r="U277" s="655" t="str">
        <f>IF(ISERROR(MATCH(AA277,'Inputs Mapping'!$U$4:$U$5,0)),"x","")</f>
        <v>x</v>
      </c>
      <c r="V277" s="655" t="str">
        <f>IF(ISERROR(MATCH(AB277,'Inputs Mapping'!$V$4:$V$5,0)),"x","")</f>
        <v/>
      </c>
      <c r="W277" s="655" t="str">
        <f>IF(ISERROR(MATCH(F277,'Inputs Mapping'!$W$4:$W$8,0)),"x","")</f>
        <v/>
      </c>
      <c r="X277" s="655" t="str">
        <f t="shared" si="153"/>
        <v/>
      </c>
      <c r="Y277" s="655" t="str">
        <f t="shared" si="154"/>
        <v/>
      </c>
      <c r="Z277" s="655" t="str">
        <f t="shared" si="160"/>
        <v/>
      </c>
      <c r="AA277" s="655" t="str">
        <f t="shared" si="165"/>
        <v>M/F</v>
      </c>
      <c r="AB277" s="655" t="str">
        <f t="shared" si="161"/>
        <v>S</v>
      </c>
      <c r="AC277" s="655" t="str">
        <f t="shared" si="162"/>
        <v>x</v>
      </c>
      <c r="AD277" s="655" t="str">
        <f>IF(ISBLANK(I277),"x",IF(ISNUMBER(MATCH(I277,'Inputs Mapping'!$AF$5:$AF$199,0)),"","x"))</f>
        <v>x</v>
      </c>
      <c r="AE277" s="655" t="str">
        <f t="shared" si="166"/>
        <v>Dubai</v>
      </c>
      <c r="AF277" s="148"/>
      <c r="AG277" s="148"/>
      <c r="AH277" s="148" t="str">
        <f t="shared" si="167"/>
        <v>DDubai</v>
      </c>
      <c r="AI277" s="654" t="str">
        <f>IF(J277="","",VLOOKUP(J277,'Inputs Mapping'!$T$27:$V$31,3))</f>
        <v>41-59</v>
      </c>
      <c r="AJ277" s="654" t="str">
        <f>IF(J277="","",VLOOKUP(J277,'Inputs Mapping'!$T$17:$V$24,3))</f>
        <v>56 - 60</v>
      </c>
      <c r="AK277" s="654">
        <f t="shared" si="155"/>
        <v>0</v>
      </c>
      <c r="AL277" s="655">
        <f t="shared" si="156"/>
        <v>0</v>
      </c>
      <c r="AM277" s="655">
        <f>IF(F277="","",IF(G277="Dubai",HLOOKUP(F277,Inputs!$C$26:$M$36,5,0),HLOOKUP(F277,Inputs!$C$45:$M$49,5,0)))</f>
        <v>0</v>
      </c>
      <c r="AN277" s="655" t="str">
        <f t="shared" si="157"/>
        <v>Dubai</v>
      </c>
      <c r="AO277" s="654">
        <f>IF(AJ277="","",IF(AN277="Dubai",VLOOKUP(AJ277,'Inputs Mapping'!$V$17:$W$24,2,0),VLOOKUP(AI277,'Inputs Mapping'!$V$27:$W$31,2,0)))</f>
        <v>6</v>
      </c>
      <c r="AP277" s="685">
        <f>IFERROR(IF($AN277="","",HLOOKUP($AN277&amp;RIGHT($AL277,1),'input for formula'!$B$16:$I$20,3,0)),0)</f>
        <v>0</v>
      </c>
      <c r="AQ277" s="686">
        <f>IFERROR(IF($AN277="","",HLOOKUP($AN277&amp;$F277,'input for formula'!$B$22:$M$25,2,0)),0)</f>
        <v>0</v>
      </c>
      <c r="AR277" s="685">
        <f>IFERROR(IF($AN277="","",HLOOKUP($AN277&amp;RIGHT($AL277,1),'input for formula'!$B$16:$I$20,4,0)),0)</f>
        <v>0</v>
      </c>
      <c r="AS277" s="686">
        <f>IFERROR(IF($AN277="","",HLOOKUP($AN277&amp;$F277,'input for formula'!$B$22:$M$25,3,0)),0)</f>
        <v>0</v>
      </c>
      <c r="AT277" s="686">
        <f>IFERROR(IF($AN277="","",HLOOKUP($AN277&amp;RIGHT($AL277,1),'input for formula'!$B$16:$I$20,5,0)),0)</f>
        <v>0</v>
      </c>
      <c r="AU277" s="686">
        <f>IFERROR(IF($AN277="","",HLOOKUP($AN277&amp;$F277,'input for formula'!$B$22:$M$25,4,0)),0)</f>
        <v>0</v>
      </c>
      <c r="AV277" s="666">
        <f>IFERROR(IF($AN277="","",IF('Census Data'!$AN277="Abu Dhabi",VLOOKUP('Census Data'!$AM277,'input for formula'!$A$28:$C$41,3,0),VLOOKUP('Census Data'!$AM277,'input for formula'!$A$28:$C$47,2,0))),0)*IFERROR(1+IF(AN277="Dubai",VLOOKUP(F277,'Quotation for Dubai Plans'!$V$6:$X$12,3,FALSE),VLOOKUP(F277,'Quotation for Abu Dhabi Plans'!$W$6:$Y$12,3,FALSE)),0)</f>
        <v>0</v>
      </c>
      <c r="AW277" s="686">
        <f t="shared" si="158"/>
        <v>0</v>
      </c>
      <c r="AX277" s="687">
        <f>IFERROR(IF(AL277="","",IF(AN277="Dubai",HLOOKUP((AL277&amp;AM277),Deviation!$B$7:$S$8,2,0)*BF277*BH277*BI277*BG277,HLOOKUP((AL277&amp;AM277),Deviation!$B$9:$O$10,2,0)*BF277*BH277*BI277*BG277)),0)</f>
        <v>0</v>
      </c>
      <c r="AY277" s="668">
        <f>IF(AL277="","",IFERROR(IF(AL277="","",IF(AN277="Dubai",HLOOKUP(AZ277,'input for formula'!$B$3:$F$10,AO277,FALSE), IF(AND(H277="Employee",AN277="Abu Dhabi"),HLOOKUP(AZ277,'input for formula'!$I$3:$K$7,AO277,FALSE),HLOOKUP(AZ277,'input for formula'!$M$3:$O$7,AO277,FALSE)))*AX277+AP277*AQ277+AR277*AS277+AT277*AU277),0)*$AZ$3*BK277*BJ277)*IF(AND(Inputs!$C$19&gt;19,Inputs!$C$19&lt;30),(1+$AZ$2),1)</f>
        <v>0</v>
      </c>
      <c r="AZ277" s="148" t="str">
        <f t="shared" si="163"/>
        <v>Dubai0</v>
      </c>
      <c r="BA277" s="688">
        <f>IF(F277="","",IF(G277="Dubai",HLOOKUP(F277,Inputs!$C$26:$M$37,9,0),HLOOKUP(F277,Inputs!$C$45:$M$56,9,0)))</f>
        <v>0</v>
      </c>
      <c r="BB277" s="689">
        <f>IF(F277="","",IF(G277="Dubai",HLOOKUP(F277,Inputs!$C$26:$M$37,10,0),HLOOKUP(F277,Inputs!$C$45:$M$56,10,0)))</f>
        <v>0</v>
      </c>
      <c r="BC277" s="689">
        <f>IF(F277="","",IF(G277="Dubai",HLOOKUP(F277,Inputs!$C$26:$M$37,11,0),HLOOKUP(F277,Inputs!$C$45:$M$56,11,0)))</f>
        <v>0</v>
      </c>
      <c r="BD277" s="688">
        <f>IF(F277="","",IF(G277="Dubai",HLOOKUP(F277,Inputs!$C$26:$M$37,12,0),HLOOKUP(F277,Inputs!$C$45:$M$56,12,0)))</f>
        <v>0</v>
      </c>
      <c r="BE277" s="654"/>
      <c r="BF277" s="688">
        <f>IFERROR(IF(AL277="","",IF(AN277="Dubai",IF(OR(AL277="Plan1",AL277="Plan2"),VLOOKUP(BA277,Deviation!$B$31:$D$33,2,FALSE),VLOOKUP(BA277,Deviation!$B$31:$D$33,3,FALSE)),IF(OR(AL277="Plan1",AL277="Plan2"),VLOOKUP(BA277,Deviation!$E$31:$AE$33,2,FALSE),VLOOKUP(BA277,Deviation!$E$31:$AE$33,3,FALSE)))),0)</f>
        <v>1.125</v>
      </c>
      <c r="BG277" s="690">
        <f>IFERROR(IF(AL277="","",IF(AN277="Dubai",IF(AL277="Plan1",VLOOKUP(BB277,Deviation!$B$39:$C$40,2,FALSE),IF(AL277="Plan2",VLOOKUP(BB277,Deviation!$B$42:$C$43,2,FALSE),IF(AL277="Plan5",VLOOKUP(BB277,Deviation!$B$48:$C$49,2,FALSE),VLOOKUP(BB277,Deviation!$B$45:$C$46,2,FALSE)))),IF(AL277="Plan1",VLOOKUP(BB277,Deviation!$E$39:$F$40,2,FALSE),IF(AL277="Plan2",VLOOKUP(BB277,Deviation!$E$42:$F$43,2,FALSE),VLOOKUP(BB277,Deviation!$E$45:$F$46,2,FALSE))))),0)</f>
        <v>0</v>
      </c>
      <c r="BH277" s="690">
        <f>IFERROR(IF(AL277="","",IF(AN277="Dubai",IF(OR(AL277="Plan1",AL277="Plan2"),VLOOKUP(BC277,Deviation!$B$15:$D$19,2,FALSE),VLOOKUP(BC277,Deviation!$B$15:$D$19,3,FALSE)),IF(OR(AL277="Plan1",AL277="Plan2"),VLOOKUP(BC277,Deviation!$E$15:$AE$19,2,FALSE),VLOOKUP(BC277,Deviation!$E$15:$AE$19,3,FALSE)))),0)</f>
        <v>0</v>
      </c>
      <c r="BI277" s="691">
        <f>IFERROR(IF(AL277="","",IF(AN277="Dubai",VLOOKUP(BD277,Deviation!$B$24:$C$26,2,FALSE),100%)),0)</f>
        <v>1.06</v>
      </c>
      <c r="BJ277" s="672">
        <f>IF(AE277="Abu Dhabi",1,IFERROR(VLOOKUP(AM277,Deviation!$B$67:$E$79,MATCH('Census Data'!AA277,Deviation!$B$66:$E$66,0),0),1))</f>
        <v>1</v>
      </c>
      <c r="BK277" s="659">
        <f>IFERROR(VLOOKUP(I277,Deviation!$B$54:$C$62,2,0),1)</f>
        <v>1</v>
      </c>
      <c r="BL277" s="148"/>
      <c r="BM277" s="148"/>
      <c r="BN277" s="148"/>
      <c r="BO277" s="148"/>
      <c r="BP277" s="148"/>
      <c r="BQ277" s="148"/>
      <c r="BR277" s="148"/>
      <c r="BS277" s="148"/>
      <c r="BT277" s="148">
        <f t="shared" si="168"/>
        <v>0</v>
      </c>
    </row>
    <row r="278" spans="1:72" ht="15" hidden="1" x14ac:dyDescent="0.25">
      <c r="A278" s="94"/>
      <c r="B278" s="470"/>
      <c r="C278" s="94"/>
      <c r="D278" s="94" t="s">
        <v>175</v>
      </c>
      <c r="E278" s="94" t="s">
        <v>173</v>
      </c>
      <c r="F278" s="94" t="s">
        <v>66</v>
      </c>
      <c r="G278" s="94" t="s">
        <v>170</v>
      </c>
      <c r="H278" s="94"/>
      <c r="I278" s="94"/>
      <c r="J278" s="80">
        <v>67</v>
      </c>
      <c r="K278" s="59">
        <f>IF(F278="","",IF(G278="Dubai",HLOOKUP(F278,Inputs!$C$26:$M$28,3,0),HLOOKUP(F278,Inputs!$C$45:$M$46,2,0)))</f>
        <v>0</v>
      </c>
      <c r="L278" s="94"/>
      <c r="M278" s="105">
        <f t="shared" si="159"/>
        <v>-2</v>
      </c>
      <c r="N278" s="654" t="b">
        <f t="shared" si="147"/>
        <v>1</v>
      </c>
      <c r="O278" s="655" t="str">
        <f t="shared" si="148"/>
        <v>x</v>
      </c>
      <c r="P278" s="655" t="str">
        <f t="shared" si="149"/>
        <v/>
      </c>
      <c r="Q278" s="655" t="str">
        <f t="shared" si="150"/>
        <v/>
      </c>
      <c r="R278" s="655" t="str">
        <f t="shared" si="151"/>
        <v/>
      </c>
      <c r="S278" s="655" t="str">
        <f t="shared" si="152"/>
        <v/>
      </c>
      <c r="T278" s="655" t="str">
        <f>IF(ISERROR(MATCH(G278,'Inputs Mapping'!$T$4:$T$5,0)),"x","")</f>
        <v/>
      </c>
      <c r="U278" s="655" t="str">
        <f>IF(ISERROR(MATCH(AA278,'Inputs Mapping'!$U$4:$U$5,0)),"x","")</f>
        <v>x</v>
      </c>
      <c r="V278" s="655" t="str">
        <f>IF(ISERROR(MATCH(AB278,'Inputs Mapping'!$V$4:$V$5,0)),"x","")</f>
        <v/>
      </c>
      <c r="W278" s="655" t="str">
        <f>IF(ISERROR(MATCH(F278,'Inputs Mapping'!$W$4:$W$8,0)),"x","")</f>
        <v/>
      </c>
      <c r="X278" s="655" t="str">
        <f t="shared" si="153"/>
        <v/>
      </c>
      <c r="Y278" s="655" t="str">
        <f t="shared" si="154"/>
        <v/>
      </c>
      <c r="Z278" s="655" t="str">
        <f t="shared" si="160"/>
        <v/>
      </c>
      <c r="AA278" s="655" t="str">
        <f t="shared" si="165"/>
        <v>M/F</v>
      </c>
      <c r="AB278" s="655" t="str">
        <f t="shared" si="161"/>
        <v>S</v>
      </c>
      <c r="AC278" s="655" t="str">
        <f t="shared" si="162"/>
        <v>x</v>
      </c>
      <c r="AD278" s="655" t="str">
        <f>IF(ISBLANK(I278),"x",IF(ISNUMBER(MATCH(I278,'Inputs Mapping'!$AF$5:$AF$199,0)),"","x"))</f>
        <v>x</v>
      </c>
      <c r="AE278" s="655" t="str">
        <f t="shared" si="166"/>
        <v>Dubai</v>
      </c>
      <c r="AF278" s="148"/>
      <c r="AG278" s="148"/>
      <c r="AH278" s="148" t="str">
        <f t="shared" si="167"/>
        <v>DDubai</v>
      </c>
      <c r="AI278" s="654" t="str">
        <f>IF(J278="","",VLOOKUP(J278,'Inputs Mapping'!$T$27:$V$31,3))</f>
        <v>60-69</v>
      </c>
      <c r="AJ278" s="654" t="str">
        <f>IF(J278="","",VLOOKUP(J278,'Inputs Mapping'!$T$17:$V$24,3))</f>
        <v>66 - 69</v>
      </c>
      <c r="AK278" s="654">
        <f t="shared" si="155"/>
        <v>0</v>
      </c>
      <c r="AL278" s="655">
        <f t="shared" si="156"/>
        <v>0</v>
      </c>
      <c r="AM278" s="655">
        <f>IF(F278="","",IF(G278="Dubai",HLOOKUP(F278,Inputs!$C$26:$M$36,5,0),HLOOKUP(F278,Inputs!$C$45:$M$49,5,0)))</f>
        <v>0</v>
      </c>
      <c r="AN278" s="655" t="str">
        <f t="shared" si="157"/>
        <v>Dubai</v>
      </c>
      <c r="AO278" s="654">
        <f>IF(AJ278="","",IF(AN278="Dubai",VLOOKUP(AJ278,'Inputs Mapping'!$V$17:$W$24,2,0),VLOOKUP(AI278,'Inputs Mapping'!$V$27:$W$31,2,0)))</f>
        <v>8</v>
      </c>
      <c r="AP278" s="685">
        <f>IFERROR(IF($AN278="","",HLOOKUP($AN278&amp;RIGHT($AL278,1),'input for formula'!$B$16:$I$20,3,0)),0)</f>
        <v>0</v>
      </c>
      <c r="AQ278" s="686">
        <f>IFERROR(IF($AN278="","",HLOOKUP($AN278&amp;$F278,'input for formula'!$B$22:$M$25,2,0)),0)</f>
        <v>0</v>
      </c>
      <c r="AR278" s="685">
        <f>IFERROR(IF($AN278="","",HLOOKUP($AN278&amp;RIGHT($AL278,1),'input for formula'!$B$16:$I$20,4,0)),0)</f>
        <v>0</v>
      </c>
      <c r="AS278" s="686">
        <f>IFERROR(IF($AN278="","",HLOOKUP($AN278&amp;$F278,'input for formula'!$B$22:$M$25,3,0)),0)</f>
        <v>0</v>
      </c>
      <c r="AT278" s="686">
        <f>IFERROR(IF($AN278="","",HLOOKUP($AN278&amp;RIGHT($AL278,1),'input for formula'!$B$16:$I$20,5,0)),0)</f>
        <v>0</v>
      </c>
      <c r="AU278" s="686">
        <f>IFERROR(IF($AN278="","",HLOOKUP($AN278&amp;$F278,'input for formula'!$B$22:$M$25,4,0)),0)</f>
        <v>0</v>
      </c>
      <c r="AV278" s="666">
        <f>IFERROR(IF($AN278="","",IF('Census Data'!$AN278="Abu Dhabi",VLOOKUP('Census Data'!$AM278,'input for formula'!$A$28:$C$41,3,0),VLOOKUP('Census Data'!$AM278,'input for formula'!$A$28:$C$47,2,0))),0)*IFERROR(1+IF(AN278="Dubai",VLOOKUP(F278,'Quotation for Dubai Plans'!$V$6:$X$12,3,FALSE),VLOOKUP(F278,'Quotation for Abu Dhabi Plans'!$W$6:$Y$12,3,FALSE)),0)</f>
        <v>0</v>
      </c>
      <c r="AW278" s="686">
        <f t="shared" si="158"/>
        <v>0</v>
      </c>
      <c r="AX278" s="687">
        <f>IFERROR(IF(AL278="","",IF(AN278="Dubai",HLOOKUP((AL278&amp;AM278),Deviation!$B$7:$S$8,2,0)*BF278*BH278*BI278*BG278,HLOOKUP((AL278&amp;AM278),Deviation!$B$9:$O$10,2,0)*BF278*BH278*BI278*BG278)),0)</f>
        <v>0</v>
      </c>
      <c r="AY278" s="668">
        <f>IF(AL278="","",IFERROR(IF(AL278="","",IF(AN278="Dubai",HLOOKUP(AZ278,'input for formula'!$B$3:$F$10,AO278,FALSE), IF(AND(H278="Employee",AN278="Abu Dhabi"),HLOOKUP(AZ278,'input for formula'!$I$3:$K$7,AO278,FALSE),HLOOKUP(AZ278,'input for formula'!$M$3:$O$7,AO278,FALSE)))*AX278+AP278*AQ278+AR278*AS278+AT278*AU278),0)*$AZ$3*BK278*BJ278)*IF(AND(Inputs!$C$19&gt;19,Inputs!$C$19&lt;30),(1+$AZ$2),1)</f>
        <v>0</v>
      </c>
      <c r="AZ278" s="148" t="str">
        <f t="shared" si="163"/>
        <v>Dubai0</v>
      </c>
      <c r="BA278" s="688">
        <f>IF(F278="","",IF(G278="Dubai",HLOOKUP(F278,Inputs!$C$26:$M$37,9,0),HLOOKUP(F278,Inputs!$C$45:$M$56,9,0)))</f>
        <v>0</v>
      </c>
      <c r="BB278" s="689">
        <f>IF(F278="","",IF(G278="Dubai",HLOOKUP(F278,Inputs!$C$26:$M$37,10,0),HLOOKUP(F278,Inputs!$C$45:$M$56,10,0)))</f>
        <v>0</v>
      </c>
      <c r="BC278" s="689">
        <f>IF(F278="","",IF(G278="Dubai",HLOOKUP(F278,Inputs!$C$26:$M$37,11,0),HLOOKUP(F278,Inputs!$C$45:$M$56,11,0)))</f>
        <v>0</v>
      </c>
      <c r="BD278" s="688">
        <f>IF(F278="","",IF(G278="Dubai",HLOOKUP(F278,Inputs!$C$26:$M$37,12,0),HLOOKUP(F278,Inputs!$C$45:$M$56,12,0)))</f>
        <v>0</v>
      </c>
      <c r="BE278" s="654"/>
      <c r="BF278" s="688">
        <f>IFERROR(IF(AL278="","",IF(AN278="Dubai",IF(OR(AL278="Plan1",AL278="Plan2"),VLOOKUP(BA278,Deviation!$B$31:$D$33,2,FALSE),VLOOKUP(BA278,Deviation!$B$31:$D$33,3,FALSE)),IF(OR(AL278="Plan1",AL278="Plan2"),VLOOKUP(BA278,Deviation!$E$31:$AE$33,2,FALSE),VLOOKUP(BA278,Deviation!$E$31:$AE$33,3,FALSE)))),0)</f>
        <v>1.125</v>
      </c>
      <c r="BG278" s="690">
        <f>IFERROR(IF(AL278="","",IF(AN278="Dubai",IF(AL278="Plan1",VLOOKUP(BB278,Deviation!$B$39:$C$40,2,FALSE),IF(AL278="Plan2",VLOOKUP(BB278,Deviation!$B$42:$C$43,2,FALSE),IF(AL278="Plan5",VLOOKUP(BB278,Deviation!$B$48:$C$49,2,FALSE),VLOOKUP(BB278,Deviation!$B$45:$C$46,2,FALSE)))),IF(AL278="Plan1",VLOOKUP(BB278,Deviation!$E$39:$F$40,2,FALSE),IF(AL278="Plan2",VLOOKUP(BB278,Deviation!$E$42:$F$43,2,FALSE),VLOOKUP(BB278,Deviation!$E$45:$F$46,2,FALSE))))),0)</f>
        <v>0</v>
      </c>
      <c r="BH278" s="690">
        <f>IFERROR(IF(AL278="","",IF(AN278="Dubai",IF(OR(AL278="Plan1",AL278="Plan2"),VLOOKUP(BC278,Deviation!$B$15:$D$19,2,FALSE),VLOOKUP(BC278,Deviation!$B$15:$D$19,3,FALSE)),IF(OR(AL278="Plan1",AL278="Plan2"),VLOOKUP(BC278,Deviation!$E$15:$AE$19,2,FALSE),VLOOKUP(BC278,Deviation!$E$15:$AE$19,3,FALSE)))),0)</f>
        <v>0</v>
      </c>
      <c r="BI278" s="691">
        <f>IFERROR(IF(AL278="","",IF(AN278="Dubai",VLOOKUP(BD278,Deviation!$B$24:$C$26,2,FALSE),100%)),0)</f>
        <v>1.06</v>
      </c>
      <c r="BJ278" s="672">
        <f>IF(AE278="Abu Dhabi",1,IFERROR(VLOOKUP(AM278,Deviation!$B$67:$E$79,MATCH('Census Data'!AA278,Deviation!$B$66:$E$66,0),0),1))</f>
        <v>1</v>
      </c>
      <c r="BK278" s="659">
        <f>IFERROR(VLOOKUP(I278,Deviation!$B$54:$C$62,2,0),1)</f>
        <v>1</v>
      </c>
      <c r="BL278" s="148"/>
      <c r="BM278" s="148"/>
      <c r="BN278" s="148"/>
      <c r="BO278" s="148"/>
      <c r="BP278" s="148"/>
      <c r="BQ278" s="148"/>
      <c r="BR278" s="148"/>
      <c r="BS278" s="148"/>
      <c r="BT278" s="148">
        <f t="shared" si="168"/>
        <v>0</v>
      </c>
    </row>
    <row r="279" spans="1:72" ht="15" hidden="1" x14ac:dyDescent="0.25">
      <c r="A279" s="94"/>
      <c r="B279" s="470"/>
      <c r="C279" s="94"/>
      <c r="D279" s="94" t="s">
        <v>175</v>
      </c>
      <c r="E279" s="94" t="s">
        <v>173</v>
      </c>
      <c r="F279" s="94" t="s">
        <v>67</v>
      </c>
      <c r="G279" s="94" t="s">
        <v>170</v>
      </c>
      <c r="H279" s="94"/>
      <c r="I279" s="94"/>
      <c r="J279" s="80">
        <v>15</v>
      </c>
      <c r="K279" s="59">
        <f>IF(F279="","",IF(G279="Dubai",HLOOKUP(F279,Inputs!$C$26:$M$28,3,0),HLOOKUP(F279,Inputs!$C$45:$M$46,2,0)))</f>
        <v>0</v>
      </c>
      <c r="L279" s="94"/>
      <c r="M279" s="105">
        <f t="shared" si="159"/>
        <v>-2</v>
      </c>
      <c r="N279" s="654" t="b">
        <f t="shared" si="147"/>
        <v>1</v>
      </c>
      <c r="O279" s="655" t="str">
        <f t="shared" si="148"/>
        <v>x</v>
      </c>
      <c r="P279" s="655" t="str">
        <f t="shared" si="149"/>
        <v/>
      </c>
      <c r="Q279" s="655" t="str">
        <f t="shared" si="150"/>
        <v/>
      </c>
      <c r="R279" s="655" t="str">
        <f t="shared" si="151"/>
        <v/>
      </c>
      <c r="S279" s="655" t="str">
        <f t="shared" si="152"/>
        <v/>
      </c>
      <c r="T279" s="655" t="str">
        <f>IF(ISERROR(MATCH(G279,'Inputs Mapping'!$T$4:$T$5,0)),"x","")</f>
        <v/>
      </c>
      <c r="U279" s="655" t="str">
        <f>IF(ISERROR(MATCH(AA279,'Inputs Mapping'!$U$4:$U$5,0)),"x","")</f>
        <v>x</v>
      </c>
      <c r="V279" s="655" t="str">
        <f>IF(ISERROR(MATCH(AB279,'Inputs Mapping'!$V$4:$V$5,0)),"x","")</f>
        <v/>
      </c>
      <c r="W279" s="655" t="str">
        <f>IF(ISERROR(MATCH(F279,'Inputs Mapping'!$W$4:$W$8,0)),"x","")</f>
        <v/>
      </c>
      <c r="X279" s="655" t="str">
        <f t="shared" si="153"/>
        <v/>
      </c>
      <c r="Y279" s="655" t="str">
        <f t="shared" si="154"/>
        <v/>
      </c>
      <c r="Z279" s="655" t="str">
        <f t="shared" si="160"/>
        <v/>
      </c>
      <c r="AA279" s="655" t="str">
        <f t="shared" si="165"/>
        <v>M/F</v>
      </c>
      <c r="AB279" s="655" t="str">
        <f t="shared" si="161"/>
        <v>S</v>
      </c>
      <c r="AC279" s="655" t="str">
        <f t="shared" si="162"/>
        <v>x</v>
      </c>
      <c r="AD279" s="655" t="str">
        <f>IF(ISBLANK(I279),"x",IF(ISNUMBER(MATCH(I279,'Inputs Mapping'!$AF$5:$AF$199,0)),"","x"))</f>
        <v>x</v>
      </c>
      <c r="AE279" s="655" t="str">
        <f t="shared" si="166"/>
        <v>Dubai</v>
      </c>
      <c r="AF279" s="148"/>
      <c r="AG279" s="148"/>
      <c r="AH279" s="148" t="str">
        <f t="shared" si="167"/>
        <v>EDubai</v>
      </c>
      <c r="AI279" s="654" t="str">
        <f>IF(J279="","",VLOOKUP(J279,'Inputs Mapping'!$T$27:$V$31,3))</f>
        <v>0-17</v>
      </c>
      <c r="AJ279" s="654" t="str">
        <f>IF(J279="","",VLOOKUP(J279,'Inputs Mapping'!$T$17:$V$24,3))</f>
        <v>0 - 17</v>
      </c>
      <c r="AK279" s="654">
        <f t="shared" si="155"/>
        <v>0</v>
      </c>
      <c r="AL279" s="655">
        <f t="shared" si="156"/>
        <v>0</v>
      </c>
      <c r="AM279" s="655">
        <f>IF(F279="","",IF(G279="Dubai",HLOOKUP(F279,Inputs!$C$26:$M$36,5,0),HLOOKUP(F279,Inputs!$C$45:$M$49,5,0)))</f>
        <v>0</v>
      </c>
      <c r="AN279" s="655" t="str">
        <f t="shared" si="157"/>
        <v>Dubai</v>
      </c>
      <c r="AO279" s="654">
        <f>IF(AJ279="","",IF(AN279="Dubai",VLOOKUP(AJ279,'Inputs Mapping'!$V$17:$W$24,2,0),VLOOKUP(AI279,'Inputs Mapping'!$V$27:$W$31,2,0)))</f>
        <v>2</v>
      </c>
      <c r="AP279" s="685">
        <f>IFERROR(IF($AN279="","",HLOOKUP($AN279&amp;RIGHT($AL279,1),'input for formula'!$B$16:$I$20,3,0)),0)</f>
        <v>0</v>
      </c>
      <c r="AQ279" s="686">
        <f>IFERROR(IF($AN279="","",HLOOKUP($AN279&amp;$F279,'input for formula'!$B$22:$M$25,2,0)),0)</f>
        <v>0</v>
      </c>
      <c r="AR279" s="685">
        <f>IFERROR(IF($AN279="","",HLOOKUP($AN279&amp;RIGHT($AL279,1),'input for formula'!$B$16:$I$20,4,0)),0)</f>
        <v>0</v>
      </c>
      <c r="AS279" s="686">
        <f>IFERROR(IF($AN279="","",HLOOKUP($AN279&amp;$F279,'input for formula'!$B$22:$M$25,3,0)),0)</f>
        <v>0</v>
      </c>
      <c r="AT279" s="686">
        <f>IFERROR(IF($AN279="","",HLOOKUP($AN279&amp;RIGHT($AL279,1),'input for formula'!$B$16:$I$20,5,0)),0)</f>
        <v>0</v>
      </c>
      <c r="AU279" s="686">
        <f>IFERROR(IF($AN279="","",HLOOKUP($AN279&amp;$F279,'input for formula'!$B$22:$M$25,4,0)),0)</f>
        <v>0</v>
      </c>
      <c r="AV279" s="666">
        <f>IFERROR(IF($AN279="","",IF('Census Data'!$AN279="Abu Dhabi",VLOOKUP('Census Data'!$AM279,'input for formula'!$A$28:$C$41,3,0),VLOOKUP('Census Data'!$AM279,'input for formula'!$A$28:$C$47,2,0))),0)*IFERROR(1+IF(AN279="Dubai",VLOOKUP(F279,'Quotation for Dubai Plans'!$V$6:$X$12,3,FALSE),VLOOKUP(F279,'Quotation for Abu Dhabi Plans'!$W$6:$Y$12,3,FALSE)),0)</f>
        <v>0</v>
      </c>
      <c r="AW279" s="686">
        <f t="shared" si="158"/>
        <v>0</v>
      </c>
      <c r="AX279" s="687">
        <f>IFERROR(IF(AL279="","",IF(AN279="Dubai",HLOOKUP((AL279&amp;AM279),Deviation!$B$7:$S$8,2,0)*BF279*BH279*BI279*BG279,HLOOKUP((AL279&amp;AM279),Deviation!$B$9:$O$10,2,0)*BF279*BH279*BI279*BG279)),0)</f>
        <v>0</v>
      </c>
      <c r="AY279" s="668">
        <f>IF(AL279="","",IFERROR(IF(AL279="","",IF(AN279="Dubai",HLOOKUP(AZ279,'input for formula'!$B$3:$F$10,AO279,FALSE), IF(AND(H279="Employee",AN279="Abu Dhabi"),HLOOKUP(AZ279,'input for formula'!$I$3:$K$7,AO279,FALSE),HLOOKUP(AZ279,'input for formula'!$M$3:$O$7,AO279,FALSE)))*AX279+AP279*AQ279+AR279*AS279+AT279*AU279),0)*$AZ$3*BK279*BJ279)*IF(AND(Inputs!$C$19&gt;19,Inputs!$C$19&lt;30),(1+$AZ$2),1)</f>
        <v>0</v>
      </c>
      <c r="AZ279" s="148" t="str">
        <f t="shared" si="163"/>
        <v>Dubai0</v>
      </c>
      <c r="BA279" s="688">
        <f>IF(F279="","",IF(G279="Dubai",HLOOKUP(F279,Inputs!$C$26:$M$37,9,0),HLOOKUP(F279,Inputs!$C$45:$M$56,9,0)))</f>
        <v>0</v>
      </c>
      <c r="BB279" s="689">
        <f>IF(F279="","",IF(G279="Dubai",HLOOKUP(F279,Inputs!$C$26:$M$37,10,0),HLOOKUP(F279,Inputs!$C$45:$M$56,10,0)))</f>
        <v>0</v>
      </c>
      <c r="BC279" s="689">
        <f>IF(F279="","",IF(G279="Dubai",HLOOKUP(F279,Inputs!$C$26:$M$37,11,0),HLOOKUP(F279,Inputs!$C$45:$M$56,11,0)))</f>
        <v>0</v>
      </c>
      <c r="BD279" s="688">
        <f>IF(F279="","",IF(G279="Dubai",HLOOKUP(F279,Inputs!$C$26:$M$37,12,0),HLOOKUP(F279,Inputs!$C$45:$M$56,12,0)))</f>
        <v>0</v>
      </c>
      <c r="BE279" s="654"/>
      <c r="BF279" s="688">
        <f>IFERROR(IF(AL279="","",IF(AN279="Dubai",IF(OR(AL279="Plan1",AL279="Plan2"),VLOOKUP(BA279,Deviation!$B$31:$D$33,2,FALSE),VLOOKUP(BA279,Deviation!$B$31:$D$33,3,FALSE)),IF(OR(AL279="Plan1",AL279="Plan2"),VLOOKUP(BA279,Deviation!$E$31:$AE$33,2,FALSE),VLOOKUP(BA279,Deviation!$E$31:$AE$33,3,FALSE)))),0)</f>
        <v>1.125</v>
      </c>
      <c r="BG279" s="690">
        <f>IFERROR(IF(AL279="","",IF(AN279="Dubai",IF(AL279="Plan1",VLOOKUP(BB279,Deviation!$B$39:$C$40,2,FALSE),IF(AL279="Plan2",VLOOKUP(BB279,Deviation!$B$42:$C$43,2,FALSE),IF(AL279="Plan5",VLOOKUP(BB279,Deviation!$B$48:$C$49,2,FALSE),VLOOKUP(BB279,Deviation!$B$45:$C$46,2,FALSE)))),IF(AL279="Plan1",VLOOKUP(BB279,Deviation!$E$39:$F$40,2,FALSE),IF(AL279="Plan2",VLOOKUP(BB279,Deviation!$E$42:$F$43,2,FALSE),VLOOKUP(BB279,Deviation!$E$45:$F$46,2,FALSE))))),0)</f>
        <v>0</v>
      </c>
      <c r="BH279" s="690">
        <f>IFERROR(IF(AL279="","",IF(AN279="Dubai",IF(OR(AL279="Plan1",AL279="Plan2"),VLOOKUP(BC279,Deviation!$B$15:$D$19,2,FALSE),VLOOKUP(BC279,Deviation!$B$15:$D$19,3,FALSE)),IF(OR(AL279="Plan1",AL279="Plan2"),VLOOKUP(BC279,Deviation!$E$15:$AE$19,2,FALSE),VLOOKUP(BC279,Deviation!$E$15:$AE$19,3,FALSE)))),0)</f>
        <v>0</v>
      </c>
      <c r="BI279" s="691">
        <f>IFERROR(IF(AL279="","",IF(AN279="Dubai",VLOOKUP(BD279,Deviation!$B$24:$C$26,2,FALSE),100%)),0)</f>
        <v>1.06</v>
      </c>
      <c r="BJ279" s="672">
        <f>IF(AE279="Abu Dhabi",1,IFERROR(VLOOKUP(AM279,Deviation!$B$67:$E$79,MATCH('Census Data'!AA279,Deviation!$B$66:$E$66,0),0),1))</f>
        <v>1</v>
      </c>
      <c r="BK279" s="659">
        <f>IFERROR(VLOOKUP(I279,Deviation!$B$54:$C$62,2,0),1)</f>
        <v>1</v>
      </c>
      <c r="BL279" s="148"/>
      <c r="BM279" s="148"/>
      <c r="BN279" s="148"/>
      <c r="BO279" s="148"/>
      <c r="BP279" s="148"/>
      <c r="BQ279" s="148"/>
      <c r="BR279" s="148"/>
      <c r="BS279" s="148"/>
      <c r="BT279" s="148">
        <f t="shared" si="168"/>
        <v>0</v>
      </c>
    </row>
    <row r="280" spans="1:72" ht="15" hidden="1" x14ac:dyDescent="0.25">
      <c r="A280" s="94"/>
      <c r="B280" s="470"/>
      <c r="C280" s="94"/>
      <c r="D280" s="94" t="s">
        <v>175</v>
      </c>
      <c r="E280" s="94" t="s">
        <v>173</v>
      </c>
      <c r="F280" s="94" t="s">
        <v>67</v>
      </c>
      <c r="G280" s="94" t="s">
        <v>170</v>
      </c>
      <c r="H280" s="94"/>
      <c r="I280" s="94"/>
      <c r="J280" s="80">
        <v>40</v>
      </c>
      <c r="K280" s="59">
        <f>IF(F280="","",IF(G280="Dubai",HLOOKUP(F280,Inputs!$C$26:$M$28,3,0),HLOOKUP(F280,Inputs!$C$45:$M$46,2,0)))</f>
        <v>0</v>
      </c>
      <c r="L280" s="94"/>
      <c r="M280" s="105">
        <f t="shared" si="159"/>
        <v>-2</v>
      </c>
      <c r="N280" s="654" t="b">
        <f t="shared" si="147"/>
        <v>1</v>
      </c>
      <c r="O280" s="655" t="str">
        <f t="shared" si="148"/>
        <v>x</v>
      </c>
      <c r="P280" s="655" t="str">
        <f t="shared" si="149"/>
        <v/>
      </c>
      <c r="Q280" s="655" t="str">
        <f t="shared" si="150"/>
        <v/>
      </c>
      <c r="R280" s="655" t="str">
        <f t="shared" si="151"/>
        <v/>
      </c>
      <c r="S280" s="655" t="str">
        <f t="shared" si="152"/>
        <v/>
      </c>
      <c r="T280" s="655" t="str">
        <f>IF(ISERROR(MATCH(G280,'Inputs Mapping'!$T$4:$T$5,0)),"x","")</f>
        <v/>
      </c>
      <c r="U280" s="655" t="str">
        <f>IF(ISERROR(MATCH(AA280,'Inputs Mapping'!$U$4:$U$5,0)),"x","")</f>
        <v>x</v>
      </c>
      <c r="V280" s="655" t="str">
        <f>IF(ISERROR(MATCH(AB280,'Inputs Mapping'!$V$4:$V$5,0)),"x","")</f>
        <v/>
      </c>
      <c r="W280" s="655" t="str">
        <f>IF(ISERROR(MATCH(F280,'Inputs Mapping'!$W$4:$W$8,0)),"x","")</f>
        <v/>
      </c>
      <c r="X280" s="655" t="str">
        <f t="shared" si="153"/>
        <v/>
      </c>
      <c r="Y280" s="655" t="str">
        <f t="shared" si="154"/>
        <v/>
      </c>
      <c r="Z280" s="655" t="str">
        <f t="shared" si="160"/>
        <v/>
      </c>
      <c r="AA280" s="655" t="str">
        <f t="shared" si="165"/>
        <v>M/F</v>
      </c>
      <c r="AB280" s="655" t="str">
        <f t="shared" si="161"/>
        <v>S</v>
      </c>
      <c r="AC280" s="655" t="str">
        <f t="shared" si="162"/>
        <v>x</v>
      </c>
      <c r="AD280" s="655" t="str">
        <f>IF(ISBLANK(I280),"x",IF(ISNUMBER(MATCH(I280,'Inputs Mapping'!$AF$5:$AF$199,0)),"","x"))</f>
        <v>x</v>
      </c>
      <c r="AE280" s="655" t="str">
        <f t="shared" si="166"/>
        <v>Dubai</v>
      </c>
      <c r="AF280" s="148"/>
      <c r="AG280" s="148"/>
      <c r="AH280" s="148" t="str">
        <f t="shared" si="167"/>
        <v>EDubai</v>
      </c>
      <c r="AI280" s="654" t="str">
        <f>IF(J280="","",VLOOKUP(J280,'Inputs Mapping'!$T$27:$V$31,3))</f>
        <v>18-40</v>
      </c>
      <c r="AJ280" s="654" t="str">
        <f>IF(J280="","",VLOOKUP(J280,'Inputs Mapping'!$T$17:$V$24,3))</f>
        <v>36 - 45</v>
      </c>
      <c r="AK280" s="654">
        <f t="shared" si="155"/>
        <v>0</v>
      </c>
      <c r="AL280" s="655">
        <f t="shared" si="156"/>
        <v>0</v>
      </c>
      <c r="AM280" s="655">
        <f>IF(F280="","",IF(G280="Dubai",HLOOKUP(F280,Inputs!$C$26:$M$36,5,0),HLOOKUP(F280,Inputs!$C$45:$M$49,5,0)))</f>
        <v>0</v>
      </c>
      <c r="AN280" s="655" t="str">
        <f t="shared" si="157"/>
        <v>Dubai</v>
      </c>
      <c r="AO280" s="654">
        <f>IF(AJ280="","",IF(AN280="Dubai",VLOOKUP(AJ280,'Inputs Mapping'!$V$17:$W$24,2,0),VLOOKUP(AI280,'Inputs Mapping'!$V$27:$W$31,2,0)))</f>
        <v>4</v>
      </c>
      <c r="AP280" s="685">
        <f>IFERROR(IF($AN280="","",HLOOKUP($AN280&amp;RIGHT($AL280,1),'input for formula'!$B$16:$I$20,3,0)),0)</f>
        <v>0</v>
      </c>
      <c r="AQ280" s="686">
        <f>IFERROR(IF($AN280="","",HLOOKUP($AN280&amp;$F280,'input for formula'!$B$22:$M$25,2,0)),0)</f>
        <v>0</v>
      </c>
      <c r="AR280" s="685">
        <f>IFERROR(IF($AN280="","",HLOOKUP($AN280&amp;RIGHT($AL280,1),'input for formula'!$B$16:$I$20,4,0)),0)</f>
        <v>0</v>
      </c>
      <c r="AS280" s="686">
        <f>IFERROR(IF($AN280="","",HLOOKUP($AN280&amp;$F280,'input for formula'!$B$22:$M$25,3,0)),0)</f>
        <v>0</v>
      </c>
      <c r="AT280" s="686">
        <f>IFERROR(IF($AN280="","",HLOOKUP($AN280&amp;RIGHT($AL280,1),'input for formula'!$B$16:$I$20,5,0)),0)</f>
        <v>0</v>
      </c>
      <c r="AU280" s="686">
        <f>IFERROR(IF($AN280="","",HLOOKUP($AN280&amp;$F280,'input for formula'!$B$22:$M$25,4,0)),0)</f>
        <v>0</v>
      </c>
      <c r="AV280" s="666">
        <f>IFERROR(IF($AN280="","",IF('Census Data'!$AN280="Abu Dhabi",VLOOKUP('Census Data'!$AM280,'input for formula'!$A$28:$C$41,3,0),VLOOKUP('Census Data'!$AM280,'input for formula'!$A$28:$C$47,2,0))),0)*IFERROR(1+IF(AN280="Dubai",VLOOKUP(F280,'Quotation for Dubai Plans'!$V$6:$X$12,3,FALSE),VLOOKUP(F280,'Quotation for Abu Dhabi Plans'!$W$6:$Y$12,3,FALSE)),0)</f>
        <v>0</v>
      </c>
      <c r="AW280" s="686">
        <f t="shared" si="158"/>
        <v>0</v>
      </c>
      <c r="AX280" s="687">
        <f>IFERROR(IF(AL280="","",IF(AN280="Dubai",HLOOKUP((AL280&amp;AM280),Deviation!$B$7:$S$8,2,0)*BF280*BH280*BI280*BG280,HLOOKUP((AL280&amp;AM280),Deviation!$B$9:$O$10,2,0)*BF280*BH280*BI280*BG280)),0)</f>
        <v>0</v>
      </c>
      <c r="AY280" s="668">
        <f>IF(AL280="","",IFERROR(IF(AL280="","",IF(AN280="Dubai",HLOOKUP(AZ280,'input for formula'!$B$3:$F$10,AO280,FALSE), IF(AND(H280="Employee",AN280="Abu Dhabi"),HLOOKUP(AZ280,'input for formula'!$I$3:$K$7,AO280,FALSE),HLOOKUP(AZ280,'input for formula'!$M$3:$O$7,AO280,FALSE)))*AX280+AP280*AQ280+AR280*AS280+AT280*AU280),0)*$AZ$3*BK280*BJ280)*IF(AND(Inputs!$C$19&gt;19,Inputs!$C$19&lt;30),(1+$AZ$2),1)</f>
        <v>0</v>
      </c>
      <c r="AZ280" s="148" t="str">
        <f t="shared" si="163"/>
        <v>Dubai0</v>
      </c>
      <c r="BA280" s="688">
        <f>IF(F280="","",IF(G280="Dubai",HLOOKUP(F280,Inputs!$C$26:$M$37,9,0),HLOOKUP(F280,Inputs!$C$45:$M$56,9,0)))</f>
        <v>0</v>
      </c>
      <c r="BB280" s="689">
        <f>IF(F280="","",IF(G280="Dubai",HLOOKUP(F280,Inputs!$C$26:$M$37,10,0),HLOOKUP(F280,Inputs!$C$45:$M$56,10,0)))</f>
        <v>0</v>
      </c>
      <c r="BC280" s="689">
        <f>IF(F280="","",IF(G280="Dubai",HLOOKUP(F280,Inputs!$C$26:$M$37,11,0),HLOOKUP(F280,Inputs!$C$45:$M$56,11,0)))</f>
        <v>0</v>
      </c>
      <c r="BD280" s="688">
        <f>IF(F280="","",IF(G280="Dubai",HLOOKUP(F280,Inputs!$C$26:$M$37,12,0),HLOOKUP(F280,Inputs!$C$45:$M$56,12,0)))</f>
        <v>0</v>
      </c>
      <c r="BE280" s="654"/>
      <c r="BF280" s="688">
        <f>IFERROR(IF(AL280="","",IF(AN280="Dubai",IF(OR(AL280="Plan1",AL280="Plan2"),VLOOKUP(BA280,Deviation!$B$31:$D$33,2,FALSE),VLOOKUP(BA280,Deviation!$B$31:$D$33,3,FALSE)),IF(OR(AL280="Plan1",AL280="Plan2"),VLOOKUP(BA280,Deviation!$E$31:$AE$33,2,FALSE),VLOOKUP(BA280,Deviation!$E$31:$AE$33,3,FALSE)))),0)</f>
        <v>1.125</v>
      </c>
      <c r="BG280" s="690">
        <f>IFERROR(IF(AL280="","",IF(AN280="Dubai",IF(AL280="Plan1",VLOOKUP(BB280,Deviation!$B$39:$C$40,2,FALSE),IF(AL280="Plan2",VLOOKUP(BB280,Deviation!$B$42:$C$43,2,FALSE),IF(AL280="Plan5",VLOOKUP(BB280,Deviation!$B$48:$C$49,2,FALSE),VLOOKUP(BB280,Deviation!$B$45:$C$46,2,FALSE)))),IF(AL280="Plan1",VLOOKUP(BB280,Deviation!$E$39:$F$40,2,FALSE),IF(AL280="Plan2",VLOOKUP(BB280,Deviation!$E$42:$F$43,2,FALSE),VLOOKUP(BB280,Deviation!$E$45:$F$46,2,FALSE))))),0)</f>
        <v>0</v>
      </c>
      <c r="BH280" s="690">
        <f>IFERROR(IF(AL280="","",IF(AN280="Dubai",IF(OR(AL280="Plan1",AL280="Plan2"),VLOOKUP(BC280,Deviation!$B$15:$D$19,2,FALSE),VLOOKUP(BC280,Deviation!$B$15:$D$19,3,FALSE)),IF(OR(AL280="Plan1",AL280="Plan2"),VLOOKUP(BC280,Deviation!$E$15:$AE$19,2,FALSE),VLOOKUP(BC280,Deviation!$E$15:$AE$19,3,FALSE)))),0)</f>
        <v>0</v>
      </c>
      <c r="BI280" s="691">
        <f>IFERROR(IF(AL280="","",IF(AN280="Dubai",VLOOKUP(BD280,Deviation!$B$24:$C$26,2,FALSE),100%)),0)</f>
        <v>1.06</v>
      </c>
      <c r="BJ280" s="672">
        <f>IF(AE280="Abu Dhabi",1,IFERROR(VLOOKUP(AM280,Deviation!$B$67:$E$79,MATCH('Census Data'!AA280,Deviation!$B$66:$E$66,0),0),1))</f>
        <v>1</v>
      </c>
      <c r="BK280" s="659">
        <f>IFERROR(VLOOKUP(I280,Deviation!$B$54:$C$62,2,0),1)</f>
        <v>1</v>
      </c>
      <c r="BL280" s="148"/>
      <c r="BM280" s="148"/>
      <c r="BN280" s="148"/>
      <c r="BO280" s="148"/>
      <c r="BP280" s="148"/>
      <c r="BQ280" s="148"/>
      <c r="BR280" s="148"/>
      <c r="BS280" s="148"/>
      <c r="BT280" s="148">
        <f t="shared" si="168"/>
        <v>0</v>
      </c>
    </row>
    <row r="281" spans="1:72" ht="15" hidden="1" x14ac:dyDescent="0.25">
      <c r="A281" s="94"/>
      <c r="B281" s="470"/>
      <c r="C281" s="94"/>
      <c r="D281" s="94" t="s">
        <v>175</v>
      </c>
      <c r="E281" s="94" t="s">
        <v>173</v>
      </c>
      <c r="F281" s="94" t="s">
        <v>67</v>
      </c>
      <c r="G281" s="94" t="s">
        <v>170</v>
      </c>
      <c r="H281" s="94"/>
      <c r="I281" s="94"/>
      <c r="J281" s="80">
        <v>59</v>
      </c>
      <c r="K281" s="59">
        <f>IF(F281="","",IF(G281="Dubai",HLOOKUP(F281,Inputs!$C$26:$M$28,3,0),HLOOKUP(F281,Inputs!$C$45:$M$46,2,0)))</f>
        <v>0</v>
      </c>
      <c r="L281" s="94"/>
      <c r="M281" s="105">
        <f t="shared" si="159"/>
        <v>-2</v>
      </c>
      <c r="N281" s="654" t="b">
        <f t="shared" si="147"/>
        <v>1</v>
      </c>
      <c r="O281" s="655" t="str">
        <f t="shared" si="148"/>
        <v>x</v>
      </c>
      <c r="P281" s="655" t="str">
        <f t="shared" si="149"/>
        <v/>
      </c>
      <c r="Q281" s="655" t="str">
        <f t="shared" si="150"/>
        <v/>
      </c>
      <c r="R281" s="655" t="str">
        <f t="shared" si="151"/>
        <v/>
      </c>
      <c r="S281" s="655" t="str">
        <f t="shared" si="152"/>
        <v/>
      </c>
      <c r="T281" s="655" t="str">
        <f>IF(ISERROR(MATCH(G281,'Inputs Mapping'!$T$4:$T$5,0)),"x","")</f>
        <v/>
      </c>
      <c r="U281" s="655" t="str">
        <f>IF(ISERROR(MATCH(AA281,'Inputs Mapping'!$U$4:$U$5,0)),"x","")</f>
        <v>x</v>
      </c>
      <c r="V281" s="655" t="str">
        <f>IF(ISERROR(MATCH(AB281,'Inputs Mapping'!$V$4:$V$5,0)),"x","")</f>
        <v/>
      </c>
      <c r="W281" s="655" t="str">
        <f>IF(ISERROR(MATCH(F281,'Inputs Mapping'!$W$4:$W$8,0)),"x","")</f>
        <v/>
      </c>
      <c r="X281" s="655" t="str">
        <f t="shared" si="153"/>
        <v/>
      </c>
      <c r="Y281" s="655" t="str">
        <f t="shared" si="154"/>
        <v/>
      </c>
      <c r="Z281" s="655" t="str">
        <f t="shared" si="160"/>
        <v/>
      </c>
      <c r="AA281" s="655" t="str">
        <f t="shared" si="165"/>
        <v>M/F</v>
      </c>
      <c r="AB281" s="655" t="str">
        <f t="shared" si="161"/>
        <v>S</v>
      </c>
      <c r="AC281" s="655" t="str">
        <f t="shared" si="162"/>
        <v>x</v>
      </c>
      <c r="AD281" s="655" t="str">
        <f>IF(ISBLANK(I281),"x",IF(ISNUMBER(MATCH(I281,'Inputs Mapping'!$AF$5:$AF$199,0)),"","x"))</f>
        <v>x</v>
      </c>
      <c r="AE281" s="655" t="str">
        <f t="shared" si="166"/>
        <v>Dubai</v>
      </c>
      <c r="AF281" s="148"/>
      <c r="AG281" s="148"/>
      <c r="AH281" s="148" t="str">
        <f t="shared" si="167"/>
        <v>EDubai</v>
      </c>
      <c r="AI281" s="654" t="str">
        <f>IF(J281="","",VLOOKUP(J281,'Inputs Mapping'!$T$27:$V$31,3))</f>
        <v>41-59</v>
      </c>
      <c r="AJ281" s="654" t="str">
        <f>IF(J281="","",VLOOKUP(J281,'Inputs Mapping'!$T$17:$V$24,3))</f>
        <v>56 - 60</v>
      </c>
      <c r="AK281" s="654">
        <f t="shared" si="155"/>
        <v>0</v>
      </c>
      <c r="AL281" s="655">
        <f t="shared" si="156"/>
        <v>0</v>
      </c>
      <c r="AM281" s="655">
        <f>IF(F281="","",IF(G281="Dubai",HLOOKUP(F281,Inputs!$C$26:$M$36,5,0),HLOOKUP(F281,Inputs!$C$45:$M$49,5,0)))</f>
        <v>0</v>
      </c>
      <c r="AN281" s="655" t="str">
        <f t="shared" si="157"/>
        <v>Dubai</v>
      </c>
      <c r="AO281" s="654">
        <f>IF(AJ281="","",IF(AN281="Dubai",VLOOKUP(AJ281,'Inputs Mapping'!$V$17:$W$24,2,0),VLOOKUP(AI281,'Inputs Mapping'!$V$27:$W$31,2,0)))</f>
        <v>6</v>
      </c>
      <c r="AP281" s="685">
        <f>IFERROR(IF($AN281="","",HLOOKUP($AN281&amp;RIGHT($AL281,1),'input for formula'!$B$16:$I$20,3,0)),0)</f>
        <v>0</v>
      </c>
      <c r="AQ281" s="686">
        <f>IFERROR(IF($AN281="","",HLOOKUP($AN281&amp;$F281,'input for formula'!$B$22:$M$25,2,0)),0)</f>
        <v>0</v>
      </c>
      <c r="AR281" s="685">
        <f>IFERROR(IF($AN281="","",HLOOKUP($AN281&amp;RIGHT($AL281,1),'input for formula'!$B$16:$I$20,4,0)),0)</f>
        <v>0</v>
      </c>
      <c r="AS281" s="686">
        <f>IFERROR(IF($AN281="","",HLOOKUP($AN281&amp;$F281,'input for formula'!$B$22:$M$25,3,0)),0)</f>
        <v>0</v>
      </c>
      <c r="AT281" s="686">
        <f>IFERROR(IF($AN281="","",HLOOKUP($AN281&amp;RIGHT($AL281,1),'input for formula'!$B$16:$I$20,5,0)),0)</f>
        <v>0</v>
      </c>
      <c r="AU281" s="686">
        <f>IFERROR(IF($AN281="","",HLOOKUP($AN281&amp;$F281,'input for formula'!$B$22:$M$25,4,0)),0)</f>
        <v>0</v>
      </c>
      <c r="AV281" s="666">
        <f>IFERROR(IF($AN281="","",IF('Census Data'!$AN281="Abu Dhabi",VLOOKUP('Census Data'!$AM281,'input for formula'!$A$28:$C$41,3,0),VLOOKUP('Census Data'!$AM281,'input for formula'!$A$28:$C$47,2,0))),0)*IFERROR(1+IF(AN281="Dubai",VLOOKUP(F281,'Quotation for Dubai Plans'!$V$6:$X$12,3,FALSE),VLOOKUP(F281,'Quotation for Abu Dhabi Plans'!$W$6:$Y$12,3,FALSE)),0)</f>
        <v>0</v>
      </c>
      <c r="AW281" s="686">
        <f t="shared" si="158"/>
        <v>0</v>
      </c>
      <c r="AX281" s="687">
        <f>IFERROR(IF(AL281="","",IF(AN281="Dubai",HLOOKUP((AL281&amp;AM281),Deviation!$B$7:$S$8,2,0)*BF281*BH281*BI281*BG281,HLOOKUP((AL281&amp;AM281),Deviation!$B$9:$O$10,2,0)*BF281*BH281*BI281*BG281)),0)</f>
        <v>0</v>
      </c>
      <c r="AY281" s="668">
        <f>IF(AL281="","",IFERROR(IF(AL281="","",IF(AN281="Dubai",HLOOKUP(AZ281,'input for formula'!$B$3:$F$10,AO281,FALSE), IF(AND(H281="Employee",AN281="Abu Dhabi"),HLOOKUP(AZ281,'input for formula'!$I$3:$K$7,AO281,FALSE),HLOOKUP(AZ281,'input for formula'!$M$3:$O$7,AO281,FALSE)))*AX281+AP281*AQ281+AR281*AS281+AT281*AU281),0)*$AZ$3*BK281*BJ281)*IF(AND(Inputs!$C$19&gt;19,Inputs!$C$19&lt;30),(1+$AZ$2),1)</f>
        <v>0</v>
      </c>
      <c r="AZ281" s="148" t="str">
        <f t="shared" si="163"/>
        <v>Dubai0</v>
      </c>
      <c r="BA281" s="688">
        <f>IF(F281="","",IF(G281="Dubai",HLOOKUP(F281,Inputs!$C$26:$M$37,9,0),HLOOKUP(F281,Inputs!$C$45:$M$56,9,0)))</f>
        <v>0</v>
      </c>
      <c r="BB281" s="689">
        <f>IF(F281="","",IF(G281="Dubai",HLOOKUP(F281,Inputs!$C$26:$M$37,10,0),HLOOKUP(F281,Inputs!$C$45:$M$56,10,0)))</f>
        <v>0</v>
      </c>
      <c r="BC281" s="689">
        <f>IF(F281="","",IF(G281="Dubai",HLOOKUP(F281,Inputs!$C$26:$M$37,11,0),HLOOKUP(F281,Inputs!$C$45:$M$56,11,0)))</f>
        <v>0</v>
      </c>
      <c r="BD281" s="688">
        <f>IF(F281="","",IF(G281="Dubai",HLOOKUP(F281,Inputs!$C$26:$M$37,12,0),HLOOKUP(F281,Inputs!$C$45:$M$56,12,0)))</f>
        <v>0</v>
      </c>
      <c r="BE281" s="654"/>
      <c r="BF281" s="688">
        <f>IFERROR(IF(AL281="","",IF(AN281="Dubai",IF(OR(AL281="Plan1",AL281="Plan2"),VLOOKUP(BA281,Deviation!$B$31:$D$33,2,FALSE),VLOOKUP(BA281,Deviation!$B$31:$D$33,3,FALSE)),IF(OR(AL281="Plan1",AL281="Plan2"),VLOOKUP(BA281,Deviation!$E$31:$AE$33,2,FALSE),VLOOKUP(BA281,Deviation!$E$31:$AE$33,3,FALSE)))),0)</f>
        <v>1.125</v>
      </c>
      <c r="BG281" s="690">
        <f>IFERROR(IF(AL281="","",IF(AN281="Dubai",IF(AL281="Plan1",VLOOKUP(BB281,Deviation!$B$39:$C$40,2,FALSE),IF(AL281="Plan2",VLOOKUP(BB281,Deviation!$B$42:$C$43,2,FALSE),IF(AL281="Plan5",VLOOKUP(BB281,Deviation!$B$48:$C$49,2,FALSE),VLOOKUP(BB281,Deviation!$B$45:$C$46,2,FALSE)))),IF(AL281="Plan1",VLOOKUP(BB281,Deviation!$E$39:$F$40,2,FALSE),IF(AL281="Plan2",VLOOKUP(BB281,Deviation!$E$42:$F$43,2,FALSE),VLOOKUP(BB281,Deviation!$E$45:$F$46,2,FALSE))))),0)</f>
        <v>0</v>
      </c>
      <c r="BH281" s="690">
        <f>IFERROR(IF(AL281="","",IF(AN281="Dubai",IF(OR(AL281="Plan1",AL281="Plan2"),VLOOKUP(BC281,Deviation!$B$15:$D$19,2,FALSE),VLOOKUP(BC281,Deviation!$B$15:$D$19,3,FALSE)),IF(OR(AL281="Plan1",AL281="Plan2"),VLOOKUP(BC281,Deviation!$E$15:$AE$19,2,FALSE),VLOOKUP(BC281,Deviation!$E$15:$AE$19,3,FALSE)))),0)</f>
        <v>0</v>
      </c>
      <c r="BI281" s="691">
        <f>IFERROR(IF(AL281="","",IF(AN281="Dubai",VLOOKUP(BD281,Deviation!$B$24:$C$26,2,FALSE),100%)),0)</f>
        <v>1.06</v>
      </c>
      <c r="BJ281" s="672">
        <f>IF(AE281="Abu Dhabi",1,IFERROR(VLOOKUP(AM281,Deviation!$B$67:$E$79,MATCH('Census Data'!AA281,Deviation!$B$66:$E$66,0),0),1))</f>
        <v>1</v>
      </c>
      <c r="BK281" s="659">
        <f>IFERROR(VLOOKUP(I281,Deviation!$B$54:$C$62,2,0),1)</f>
        <v>1</v>
      </c>
      <c r="BL281" s="148"/>
      <c r="BM281" s="148"/>
      <c r="BN281" s="148"/>
      <c r="BO281" s="148"/>
      <c r="BP281" s="148"/>
      <c r="BQ281" s="148"/>
      <c r="BR281" s="148"/>
      <c r="BS281" s="148"/>
      <c r="BT281" s="148">
        <f t="shared" si="168"/>
        <v>0</v>
      </c>
    </row>
    <row r="282" spans="1:72" ht="15" hidden="1" x14ac:dyDescent="0.25">
      <c r="A282" s="94"/>
      <c r="B282" s="470"/>
      <c r="C282" s="94"/>
      <c r="D282" s="94" t="s">
        <v>175</v>
      </c>
      <c r="E282" s="94" t="s">
        <v>173</v>
      </c>
      <c r="F282" s="94" t="s">
        <v>67</v>
      </c>
      <c r="G282" s="94" t="s">
        <v>170</v>
      </c>
      <c r="H282" s="94"/>
      <c r="I282" s="94"/>
      <c r="J282" s="80">
        <v>67</v>
      </c>
      <c r="K282" s="59">
        <f>IF(F282="","",IF(G282="Dubai",HLOOKUP(F282,Inputs!$C$26:$M$28,3,0),HLOOKUP(F282,Inputs!$C$45:$M$46,2,0)))</f>
        <v>0</v>
      </c>
      <c r="L282" s="94"/>
      <c r="M282" s="105">
        <f t="shared" si="159"/>
        <v>-2</v>
      </c>
      <c r="N282" s="654" t="b">
        <f t="shared" si="147"/>
        <v>1</v>
      </c>
      <c r="O282" s="655" t="str">
        <f t="shared" si="148"/>
        <v>x</v>
      </c>
      <c r="P282" s="655" t="str">
        <f t="shared" si="149"/>
        <v/>
      </c>
      <c r="Q282" s="655" t="str">
        <f t="shared" si="150"/>
        <v/>
      </c>
      <c r="R282" s="655" t="str">
        <f t="shared" si="151"/>
        <v/>
      </c>
      <c r="S282" s="655" t="str">
        <f t="shared" si="152"/>
        <v/>
      </c>
      <c r="T282" s="655" t="str">
        <f>IF(ISERROR(MATCH(G282,'Inputs Mapping'!$T$4:$T$5,0)),"x","")</f>
        <v/>
      </c>
      <c r="U282" s="655" t="str">
        <f>IF(ISERROR(MATCH(AA282,'Inputs Mapping'!$U$4:$U$5,0)),"x","")</f>
        <v>x</v>
      </c>
      <c r="V282" s="655" t="str">
        <f>IF(ISERROR(MATCH(AB282,'Inputs Mapping'!$V$4:$V$5,0)),"x","")</f>
        <v/>
      </c>
      <c r="W282" s="655" t="str">
        <f>IF(ISERROR(MATCH(F282,'Inputs Mapping'!$W$4:$W$8,0)),"x","")</f>
        <v/>
      </c>
      <c r="X282" s="655" t="str">
        <f t="shared" si="153"/>
        <v/>
      </c>
      <c r="Y282" s="655" t="str">
        <f t="shared" si="154"/>
        <v/>
      </c>
      <c r="Z282" s="655" t="str">
        <f t="shared" si="160"/>
        <v/>
      </c>
      <c r="AA282" s="655" t="str">
        <f t="shared" si="165"/>
        <v>M/F</v>
      </c>
      <c r="AB282" s="655" t="str">
        <f t="shared" si="161"/>
        <v>S</v>
      </c>
      <c r="AC282" s="655" t="str">
        <f t="shared" si="162"/>
        <v>x</v>
      </c>
      <c r="AD282" s="655" t="str">
        <f>IF(ISBLANK(I282),"x",IF(ISNUMBER(MATCH(I282,'Inputs Mapping'!$AF$5:$AF$199,0)),"","x"))</f>
        <v>x</v>
      </c>
      <c r="AE282" s="655" t="str">
        <f t="shared" si="166"/>
        <v>Dubai</v>
      </c>
      <c r="AF282" s="148"/>
      <c r="AG282" s="148"/>
      <c r="AH282" s="148" t="str">
        <f t="shared" si="167"/>
        <v>EDubai</v>
      </c>
      <c r="AI282" s="654" t="str">
        <f>IF(J282="","",VLOOKUP(J282,'Inputs Mapping'!$T$27:$V$31,3))</f>
        <v>60-69</v>
      </c>
      <c r="AJ282" s="654" t="str">
        <f>IF(J282="","",VLOOKUP(J282,'Inputs Mapping'!$T$17:$V$24,3))</f>
        <v>66 - 69</v>
      </c>
      <c r="AK282" s="654">
        <f t="shared" si="155"/>
        <v>0</v>
      </c>
      <c r="AL282" s="655">
        <f t="shared" si="156"/>
        <v>0</v>
      </c>
      <c r="AM282" s="655">
        <f>IF(F282="","",IF(G282="Dubai",HLOOKUP(F282,Inputs!$C$26:$M$36,5,0),HLOOKUP(F282,Inputs!$C$45:$M$49,5,0)))</f>
        <v>0</v>
      </c>
      <c r="AN282" s="655" t="str">
        <f t="shared" si="157"/>
        <v>Dubai</v>
      </c>
      <c r="AO282" s="654">
        <f>IF(AJ282="","",IF(AN282="Dubai",VLOOKUP(AJ282,'Inputs Mapping'!$V$17:$W$24,2,0),VLOOKUP(AI282,'Inputs Mapping'!$V$27:$W$31,2,0)))</f>
        <v>8</v>
      </c>
      <c r="AP282" s="685">
        <f>IFERROR(IF($AN282="","",HLOOKUP($AN282&amp;RIGHT($AL282,1),'input for formula'!$B$16:$I$20,3,0)),0)</f>
        <v>0</v>
      </c>
      <c r="AQ282" s="686">
        <f>IFERROR(IF($AN282="","",HLOOKUP($AN282&amp;$F282,'input for formula'!$B$22:$M$25,2,0)),0)</f>
        <v>0</v>
      </c>
      <c r="AR282" s="685">
        <f>IFERROR(IF($AN282="","",HLOOKUP($AN282&amp;RIGHT($AL282,1),'input for formula'!$B$16:$I$20,4,0)),0)</f>
        <v>0</v>
      </c>
      <c r="AS282" s="686">
        <f>IFERROR(IF($AN282="","",HLOOKUP($AN282&amp;$F282,'input for formula'!$B$22:$M$25,3,0)),0)</f>
        <v>0</v>
      </c>
      <c r="AT282" s="686">
        <f>IFERROR(IF($AN282="","",HLOOKUP($AN282&amp;RIGHT($AL282,1),'input for formula'!$B$16:$I$20,5,0)),0)</f>
        <v>0</v>
      </c>
      <c r="AU282" s="686">
        <f>IFERROR(IF($AN282="","",HLOOKUP($AN282&amp;$F282,'input for formula'!$B$22:$M$25,4,0)),0)</f>
        <v>0</v>
      </c>
      <c r="AV282" s="666">
        <f>IFERROR(IF($AN282="","",IF('Census Data'!$AN282="Abu Dhabi",VLOOKUP('Census Data'!$AM282,'input for formula'!$A$28:$C$41,3,0),VLOOKUP('Census Data'!$AM282,'input for formula'!$A$28:$C$47,2,0))),0)*IFERROR(1+IF(AN282="Dubai",VLOOKUP(F282,'Quotation for Dubai Plans'!$V$6:$X$12,3,FALSE),VLOOKUP(F282,'Quotation for Abu Dhabi Plans'!$W$6:$Y$12,3,FALSE)),0)</f>
        <v>0</v>
      </c>
      <c r="AW282" s="686">
        <f t="shared" si="158"/>
        <v>0</v>
      </c>
      <c r="AX282" s="687">
        <f>IFERROR(IF(AL282="","",IF(AN282="Dubai",HLOOKUP((AL282&amp;AM282),Deviation!$B$7:$S$8,2,0)*BF282*BH282*BI282*BG282,HLOOKUP((AL282&amp;AM282),Deviation!$B$9:$O$10,2,0)*BF282*BH282*BI282*BG282)),0)</f>
        <v>0</v>
      </c>
      <c r="AY282" s="668">
        <f>IF(AL282="","",IFERROR(IF(AL282="","",IF(AN282="Dubai",HLOOKUP(AZ282,'input for formula'!$B$3:$F$10,AO282,FALSE), IF(AND(H282="Employee",AN282="Abu Dhabi"),HLOOKUP(AZ282,'input for formula'!$I$3:$K$7,AO282,FALSE),HLOOKUP(AZ282,'input for formula'!$M$3:$O$7,AO282,FALSE)))*AX282+AP282*AQ282+AR282*AS282+AT282*AU282),0)*$AZ$3*BK282*BJ282)*IF(AND(Inputs!$C$19&gt;19,Inputs!$C$19&lt;30),(1+$AZ$2),1)</f>
        <v>0</v>
      </c>
      <c r="AZ282" s="148" t="str">
        <f t="shared" si="163"/>
        <v>Dubai0</v>
      </c>
      <c r="BA282" s="688">
        <f>IF(F282="","",IF(G282="Dubai",HLOOKUP(F282,Inputs!$C$26:$M$37,9,0),HLOOKUP(F282,Inputs!$C$45:$M$56,9,0)))</f>
        <v>0</v>
      </c>
      <c r="BB282" s="689">
        <f>IF(F282="","",IF(G282="Dubai",HLOOKUP(F282,Inputs!$C$26:$M$37,10,0),HLOOKUP(F282,Inputs!$C$45:$M$56,10,0)))</f>
        <v>0</v>
      </c>
      <c r="BC282" s="689">
        <f>IF(F282="","",IF(G282="Dubai",HLOOKUP(F282,Inputs!$C$26:$M$37,11,0),HLOOKUP(F282,Inputs!$C$45:$M$56,11,0)))</f>
        <v>0</v>
      </c>
      <c r="BD282" s="688">
        <f>IF(F282="","",IF(G282="Dubai",HLOOKUP(F282,Inputs!$C$26:$M$37,12,0),HLOOKUP(F282,Inputs!$C$45:$M$56,12,0)))</f>
        <v>0</v>
      </c>
      <c r="BE282" s="654"/>
      <c r="BF282" s="688">
        <f>IFERROR(IF(AL282="","",IF(AN282="Dubai",IF(OR(AL282="Plan1",AL282="Plan2"),VLOOKUP(BA282,Deviation!$B$31:$D$33,2,FALSE),VLOOKUP(BA282,Deviation!$B$31:$D$33,3,FALSE)),IF(OR(AL282="Plan1",AL282="Plan2"),VLOOKUP(BA282,Deviation!$E$31:$AE$33,2,FALSE),VLOOKUP(BA282,Deviation!$E$31:$AE$33,3,FALSE)))),0)</f>
        <v>1.125</v>
      </c>
      <c r="BG282" s="690">
        <f>IFERROR(IF(AL282="","",IF(AN282="Dubai",IF(AL282="Plan1",VLOOKUP(BB282,Deviation!$B$39:$C$40,2,FALSE),IF(AL282="Plan2",VLOOKUP(BB282,Deviation!$B$42:$C$43,2,FALSE),IF(AL282="Plan5",VLOOKUP(BB282,Deviation!$B$48:$C$49,2,FALSE),VLOOKUP(BB282,Deviation!$B$45:$C$46,2,FALSE)))),IF(AL282="Plan1",VLOOKUP(BB282,Deviation!$E$39:$F$40,2,FALSE),IF(AL282="Plan2",VLOOKUP(BB282,Deviation!$E$42:$F$43,2,FALSE),VLOOKUP(BB282,Deviation!$E$45:$F$46,2,FALSE))))),0)</f>
        <v>0</v>
      </c>
      <c r="BH282" s="690">
        <f>IFERROR(IF(AL282="","",IF(AN282="Dubai",IF(OR(AL282="Plan1",AL282="Plan2"),VLOOKUP(BC282,Deviation!$B$15:$D$19,2,FALSE),VLOOKUP(BC282,Deviation!$B$15:$D$19,3,FALSE)),IF(OR(AL282="Plan1",AL282="Plan2"),VLOOKUP(BC282,Deviation!$E$15:$AE$19,2,FALSE),VLOOKUP(BC282,Deviation!$E$15:$AE$19,3,FALSE)))),0)</f>
        <v>0</v>
      </c>
      <c r="BI282" s="691">
        <f>IFERROR(IF(AL282="","",IF(AN282="Dubai",VLOOKUP(BD282,Deviation!$B$24:$C$26,2,FALSE),100%)),0)</f>
        <v>1.06</v>
      </c>
      <c r="BJ282" s="672">
        <f>IF(AE282="Abu Dhabi",1,IFERROR(VLOOKUP(AM282,Deviation!$B$67:$E$79,MATCH('Census Data'!AA282,Deviation!$B$66:$E$66,0),0),1))</f>
        <v>1</v>
      </c>
      <c r="BK282" s="659">
        <f>IFERROR(VLOOKUP(I282,Deviation!$B$54:$C$62,2,0),1)</f>
        <v>1</v>
      </c>
      <c r="BL282" s="148"/>
      <c r="BM282" s="148"/>
      <c r="BN282" s="148"/>
      <c r="BO282" s="148"/>
      <c r="BP282" s="148"/>
      <c r="BQ282" s="148"/>
      <c r="BR282" s="148"/>
      <c r="BS282" s="148"/>
      <c r="BT282" s="148">
        <f t="shared" si="168"/>
        <v>0</v>
      </c>
    </row>
    <row r="283" spans="1:72" ht="15" hidden="1" x14ac:dyDescent="0.25">
      <c r="A283" s="94"/>
      <c r="B283" s="470"/>
      <c r="C283" s="94"/>
      <c r="D283" s="94" t="s">
        <v>175</v>
      </c>
      <c r="E283" s="94" t="s">
        <v>173</v>
      </c>
      <c r="F283" s="94" t="s">
        <v>68</v>
      </c>
      <c r="G283" s="94" t="s">
        <v>170</v>
      </c>
      <c r="H283" s="94"/>
      <c r="I283" s="94"/>
      <c r="J283" s="80">
        <v>15</v>
      </c>
      <c r="K283" s="59">
        <f>IF(F283="","",IF(G283="Dubai",HLOOKUP(F283,Inputs!$C$26:$M$28,3,0),HLOOKUP(F283,Inputs!$C$45:$M$46,2,0)))</f>
        <v>0</v>
      </c>
      <c r="L283" s="94"/>
      <c r="M283" s="105">
        <f t="shared" si="159"/>
        <v>-2</v>
      </c>
      <c r="N283" s="654" t="b">
        <f t="shared" si="147"/>
        <v>1</v>
      </c>
      <c r="O283" s="655" t="str">
        <f t="shared" si="148"/>
        <v>x</v>
      </c>
      <c r="P283" s="655" t="str">
        <f t="shared" si="149"/>
        <v/>
      </c>
      <c r="Q283" s="655" t="str">
        <f t="shared" si="150"/>
        <v/>
      </c>
      <c r="R283" s="655" t="str">
        <f t="shared" si="151"/>
        <v/>
      </c>
      <c r="S283" s="655" t="str">
        <f t="shared" si="152"/>
        <v/>
      </c>
      <c r="T283" s="655" t="str">
        <f>IF(ISERROR(MATCH(G283,'Inputs Mapping'!$T$4:$T$5,0)),"x","")</f>
        <v/>
      </c>
      <c r="U283" s="655" t="str">
        <f>IF(ISERROR(MATCH(AA283,'Inputs Mapping'!$U$4:$U$5,0)),"x","")</f>
        <v>x</v>
      </c>
      <c r="V283" s="655" t="str">
        <f>IF(ISERROR(MATCH(AB283,'Inputs Mapping'!$V$4:$V$5,0)),"x","")</f>
        <v/>
      </c>
      <c r="W283" s="655" t="str">
        <f>IF(ISERROR(MATCH(F283,'Inputs Mapping'!$W$4:$W$8,0)),"x","")</f>
        <v>x</v>
      </c>
      <c r="X283" s="655" t="str">
        <f t="shared" si="153"/>
        <v/>
      </c>
      <c r="Y283" s="655" t="str">
        <f t="shared" si="154"/>
        <v/>
      </c>
      <c r="Z283" s="655" t="str">
        <f t="shared" si="160"/>
        <v/>
      </c>
      <c r="AA283" s="655" t="str">
        <f t="shared" si="165"/>
        <v>M/F</v>
      </c>
      <c r="AB283" s="655" t="str">
        <f t="shared" si="161"/>
        <v>S</v>
      </c>
      <c r="AC283" s="655" t="str">
        <f t="shared" si="162"/>
        <v>x</v>
      </c>
      <c r="AD283" s="655" t="str">
        <f>IF(ISBLANK(I283),"x",IF(ISNUMBER(MATCH(I283,'Inputs Mapping'!$AF$5:$AF$199,0)),"","x"))</f>
        <v>x</v>
      </c>
      <c r="AE283" s="655" t="str">
        <f t="shared" si="166"/>
        <v>Dubai</v>
      </c>
      <c r="AF283" s="148"/>
      <c r="AG283" s="148"/>
      <c r="AH283" s="148" t="str">
        <f t="shared" si="167"/>
        <v>FDubai</v>
      </c>
      <c r="AI283" s="654" t="str">
        <f>IF(J283="","",VLOOKUP(J283,'Inputs Mapping'!$T$27:$V$31,3))</f>
        <v>0-17</v>
      </c>
      <c r="AJ283" s="654" t="str">
        <f>IF(J283="","",VLOOKUP(J283,'Inputs Mapping'!$T$17:$V$24,3))</f>
        <v>0 - 17</v>
      </c>
      <c r="AK283" s="654">
        <f t="shared" si="155"/>
        <v>0</v>
      </c>
      <c r="AL283" s="655">
        <f t="shared" si="156"/>
        <v>0</v>
      </c>
      <c r="AM283" s="655">
        <f>IF(F283="","",IF(G283="Dubai",HLOOKUP(F283,Inputs!$C$26:$M$36,5,0),HLOOKUP(F283,Inputs!$C$45:$M$49,5,0)))</f>
        <v>0</v>
      </c>
      <c r="AN283" s="655" t="str">
        <f t="shared" si="157"/>
        <v>Dubai</v>
      </c>
      <c r="AO283" s="654">
        <f>IF(AJ283="","",IF(AN283="Dubai",VLOOKUP(AJ283,'Inputs Mapping'!$V$17:$W$24,2,0),VLOOKUP(AI283,'Inputs Mapping'!$V$27:$W$31,2,0)))</f>
        <v>2</v>
      </c>
      <c r="AP283" s="685">
        <f>IFERROR(IF($AN283="","",HLOOKUP($AN283&amp;RIGHT($AL283,1),'input for formula'!$B$16:$I$20,3,0)),0)</f>
        <v>0</v>
      </c>
      <c r="AQ283" s="686">
        <f>IFERROR(IF($AN283="","",HLOOKUP($AN283&amp;$F283,'input for formula'!$B$22:$M$25,2,0)),0)</f>
        <v>0</v>
      </c>
      <c r="AR283" s="685">
        <f>IFERROR(IF($AN283="","",HLOOKUP($AN283&amp;RIGHT($AL283,1),'input for formula'!$B$16:$I$20,4,0)),0)</f>
        <v>0</v>
      </c>
      <c r="AS283" s="686">
        <f>IFERROR(IF($AN283="","",HLOOKUP($AN283&amp;$F283,'input for formula'!$B$22:$M$25,3,0)),0)</f>
        <v>0</v>
      </c>
      <c r="AT283" s="686">
        <f>IFERROR(IF($AN283="","",HLOOKUP($AN283&amp;RIGHT($AL283,1),'input for formula'!$B$16:$I$20,5,0)),0)</f>
        <v>0</v>
      </c>
      <c r="AU283" s="686">
        <f>IFERROR(IF($AN283="","",HLOOKUP($AN283&amp;$F283,'input for formula'!$B$22:$M$25,4,0)),0)</f>
        <v>0</v>
      </c>
      <c r="AV283" s="666">
        <f>IFERROR(IF($AN283="","",IF('Census Data'!$AN283="Abu Dhabi",VLOOKUP('Census Data'!$AM283,'input for formula'!$A$28:$C$41,3,0),VLOOKUP('Census Data'!$AM283,'input for formula'!$A$28:$C$47,2,0))),0)*IFERROR(1+IF(AN283="Dubai",VLOOKUP(F283,'Quotation for Dubai Plans'!$V$6:$X$12,3,FALSE),VLOOKUP(F283,'Quotation for Abu Dhabi Plans'!$W$6:$Y$12,3,FALSE)),0)</f>
        <v>0</v>
      </c>
      <c r="AW283" s="686">
        <f t="shared" si="158"/>
        <v>0</v>
      </c>
      <c r="AX283" s="687">
        <f>IFERROR(IF(AL283="","",IF(AN283="Dubai",HLOOKUP((AL283&amp;AM283),Deviation!$B$7:$S$8,2,0)*BF283*BH283*BI283*BG283,HLOOKUP((AL283&amp;AM283),Deviation!$B$9:$O$10,2,0)*BF283*BH283*BI283*BG283)),0)</f>
        <v>0</v>
      </c>
      <c r="AY283" s="668">
        <f>IF(AL283="","",IFERROR(IF(AL283="","",IF(AN283="Dubai",HLOOKUP(AZ283,'input for formula'!$B$3:$F$10,AO283,FALSE), IF(AND(H283="Employee",AN283="Abu Dhabi"),HLOOKUP(AZ283,'input for formula'!$I$3:$K$7,AO283,FALSE),HLOOKUP(AZ283,'input for formula'!$M$3:$O$7,AO283,FALSE)))*AX283+AP283*AQ283+AR283*AS283+AT283*AU283),0)*$AZ$3*BK283*BJ283)*IF(AND(Inputs!$C$19&gt;19,Inputs!$C$19&lt;30),(1+$AZ$2),1)</f>
        <v>0</v>
      </c>
      <c r="AZ283" s="148" t="str">
        <f t="shared" si="163"/>
        <v>Dubai0</v>
      </c>
      <c r="BA283" s="688">
        <f>IF(F283="","",IF(G283="Dubai",HLOOKUP(F283,Inputs!$C$26:$M$37,9,0),HLOOKUP(F283,Inputs!$C$45:$M$56,9,0)))</f>
        <v>0</v>
      </c>
      <c r="BB283" s="689">
        <f>IF(F283="","",IF(G283="Dubai",HLOOKUP(F283,Inputs!$C$26:$M$37,10,0),HLOOKUP(F283,Inputs!$C$45:$M$56,10,0)))</f>
        <v>0</v>
      </c>
      <c r="BC283" s="689">
        <f>IF(F283="","",IF(G283="Dubai",HLOOKUP(F283,Inputs!$C$26:$M$37,11,0),HLOOKUP(F283,Inputs!$C$45:$M$56,11,0)))</f>
        <v>0</v>
      </c>
      <c r="BD283" s="688">
        <f>IF(F283="","",IF(G283="Dubai",HLOOKUP(F283,Inputs!$C$26:$M$37,12,0),HLOOKUP(F283,Inputs!$C$45:$M$56,12,0)))</f>
        <v>0</v>
      </c>
      <c r="BE283" s="654"/>
      <c r="BF283" s="688">
        <f>IFERROR(IF(AL283="","",IF(AN283="Dubai",IF(OR(AL283="Plan1",AL283="Plan2"),VLOOKUP(BA283,Deviation!$B$31:$D$33,2,FALSE),VLOOKUP(BA283,Deviation!$B$31:$D$33,3,FALSE)),IF(OR(AL283="Plan1",AL283="Plan2"),VLOOKUP(BA283,Deviation!$E$31:$AE$33,2,FALSE),VLOOKUP(BA283,Deviation!$E$31:$AE$33,3,FALSE)))),0)</f>
        <v>1.125</v>
      </c>
      <c r="BG283" s="690">
        <f>IFERROR(IF(AL283="","",IF(AN283="Dubai",IF(AL283="Plan1",VLOOKUP(BB283,Deviation!$B$39:$C$40,2,FALSE),IF(AL283="Plan2",VLOOKUP(BB283,Deviation!$B$42:$C$43,2,FALSE),IF(AL283="Plan5",VLOOKUP(BB283,Deviation!$B$48:$C$49,2,FALSE),VLOOKUP(BB283,Deviation!$B$45:$C$46,2,FALSE)))),IF(AL283="Plan1",VLOOKUP(BB283,Deviation!$E$39:$F$40,2,FALSE),IF(AL283="Plan2",VLOOKUP(BB283,Deviation!$E$42:$F$43,2,FALSE),VLOOKUP(BB283,Deviation!$E$45:$F$46,2,FALSE))))),0)</f>
        <v>0</v>
      </c>
      <c r="BH283" s="690">
        <f>IFERROR(IF(AL283="","",IF(AN283="Dubai",IF(OR(AL283="Plan1",AL283="Plan2"),VLOOKUP(BC283,Deviation!$B$15:$D$19,2,FALSE),VLOOKUP(BC283,Deviation!$B$15:$D$19,3,FALSE)),IF(OR(AL283="Plan1",AL283="Plan2"),VLOOKUP(BC283,Deviation!$E$15:$AE$19,2,FALSE),VLOOKUP(BC283,Deviation!$E$15:$AE$19,3,FALSE)))),0)</f>
        <v>0</v>
      </c>
      <c r="BI283" s="691">
        <f>IFERROR(IF(AL283="","",IF(AN283="Dubai",VLOOKUP(BD283,Deviation!$B$24:$C$26,2,FALSE),100%)),0)</f>
        <v>1.06</v>
      </c>
      <c r="BJ283" s="672">
        <f>IF(AE283="Abu Dhabi",1,IFERROR(VLOOKUP(AM283,Deviation!$B$67:$E$79,MATCH('Census Data'!AA283,Deviation!$B$66:$E$66,0),0),1))</f>
        <v>1</v>
      </c>
      <c r="BK283" s="659">
        <f>IFERROR(VLOOKUP(I283,Deviation!$B$54:$C$62,2,0),1)</f>
        <v>1</v>
      </c>
      <c r="BL283" s="148"/>
      <c r="BM283" s="148"/>
      <c r="BN283" s="148"/>
      <c r="BO283" s="148"/>
      <c r="BP283" s="148"/>
      <c r="BQ283" s="148"/>
      <c r="BR283" s="148"/>
      <c r="BS283" s="148"/>
      <c r="BT283" s="148">
        <f t="shared" si="168"/>
        <v>0</v>
      </c>
    </row>
    <row r="284" spans="1:72" ht="15" hidden="1" x14ac:dyDescent="0.25">
      <c r="A284" s="94"/>
      <c r="B284" s="470"/>
      <c r="C284" s="94"/>
      <c r="D284" s="94" t="s">
        <v>175</v>
      </c>
      <c r="E284" s="94" t="s">
        <v>173</v>
      </c>
      <c r="F284" s="94" t="s">
        <v>68</v>
      </c>
      <c r="G284" s="94" t="s">
        <v>170</v>
      </c>
      <c r="H284" s="94"/>
      <c r="I284" s="94"/>
      <c r="J284" s="80">
        <v>40</v>
      </c>
      <c r="K284" s="59">
        <f>IF(F284="","",IF(G284="Dubai",HLOOKUP(F284,Inputs!$C$26:$M$28,3,0),HLOOKUP(F284,Inputs!$C$45:$M$46,2,0)))</f>
        <v>0</v>
      </c>
      <c r="L284" s="94"/>
      <c r="M284" s="105">
        <f t="shared" si="159"/>
        <v>-2</v>
      </c>
      <c r="N284" s="654" t="b">
        <f t="shared" si="147"/>
        <v>1</v>
      </c>
      <c r="O284" s="655" t="str">
        <f t="shared" si="148"/>
        <v>x</v>
      </c>
      <c r="P284" s="655" t="str">
        <f t="shared" si="149"/>
        <v/>
      </c>
      <c r="Q284" s="655" t="str">
        <f t="shared" si="150"/>
        <v/>
      </c>
      <c r="R284" s="655" t="str">
        <f t="shared" si="151"/>
        <v/>
      </c>
      <c r="S284" s="655" t="str">
        <f t="shared" si="152"/>
        <v/>
      </c>
      <c r="T284" s="655" t="str">
        <f>IF(ISERROR(MATCH(G284,'Inputs Mapping'!$T$4:$T$5,0)),"x","")</f>
        <v/>
      </c>
      <c r="U284" s="655" t="str">
        <f>IF(ISERROR(MATCH(AA284,'Inputs Mapping'!$U$4:$U$5,0)),"x","")</f>
        <v>x</v>
      </c>
      <c r="V284" s="655" t="str">
        <f>IF(ISERROR(MATCH(AB284,'Inputs Mapping'!$V$4:$V$5,0)),"x","")</f>
        <v/>
      </c>
      <c r="W284" s="655" t="str">
        <f>IF(ISERROR(MATCH(F284,'Inputs Mapping'!$W$4:$W$8,0)),"x","")</f>
        <v>x</v>
      </c>
      <c r="X284" s="655" t="str">
        <f t="shared" si="153"/>
        <v/>
      </c>
      <c r="Y284" s="655" t="str">
        <f t="shared" si="154"/>
        <v/>
      </c>
      <c r="Z284" s="655" t="str">
        <f t="shared" si="160"/>
        <v/>
      </c>
      <c r="AA284" s="655" t="str">
        <f t="shared" si="165"/>
        <v>M/F</v>
      </c>
      <c r="AB284" s="655" t="str">
        <f t="shared" si="161"/>
        <v>S</v>
      </c>
      <c r="AC284" s="655" t="str">
        <f t="shared" si="162"/>
        <v>x</v>
      </c>
      <c r="AD284" s="655" t="str">
        <f>IF(ISBLANK(I284),"x",IF(ISNUMBER(MATCH(I284,'Inputs Mapping'!$AF$5:$AF$199,0)),"","x"))</f>
        <v>x</v>
      </c>
      <c r="AE284" s="655" t="str">
        <f t="shared" si="166"/>
        <v>Dubai</v>
      </c>
      <c r="AF284" s="148"/>
      <c r="AG284" s="148"/>
      <c r="AH284" s="148" t="str">
        <f t="shared" si="167"/>
        <v>FDubai</v>
      </c>
      <c r="AI284" s="654" t="str">
        <f>IF(J284="","",VLOOKUP(J284,'Inputs Mapping'!$T$27:$V$31,3))</f>
        <v>18-40</v>
      </c>
      <c r="AJ284" s="654" t="str">
        <f>IF(J284="","",VLOOKUP(J284,'Inputs Mapping'!$T$17:$V$24,3))</f>
        <v>36 - 45</v>
      </c>
      <c r="AK284" s="654">
        <f t="shared" si="155"/>
        <v>0</v>
      </c>
      <c r="AL284" s="655">
        <f t="shared" si="156"/>
        <v>0</v>
      </c>
      <c r="AM284" s="655">
        <f>IF(F284="","",IF(G284="Dubai",HLOOKUP(F284,Inputs!$C$26:$M$36,5,0),HLOOKUP(F284,Inputs!$C$45:$M$49,5,0)))</f>
        <v>0</v>
      </c>
      <c r="AN284" s="655" t="str">
        <f t="shared" si="157"/>
        <v>Dubai</v>
      </c>
      <c r="AO284" s="654">
        <f>IF(AJ284="","",IF(AN284="Dubai",VLOOKUP(AJ284,'Inputs Mapping'!$V$17:$W$24,2,0),VLOOKUP(AI284,'Inputs Mapping'!$V$27:$W$31,2,0)))</f>
        <v>4</v>
      </c>
      <c r="AP284" s="685">
        <f>IFERROR(IF($AN284="","",HLOOKUP($AN284&amp;RIGHT($AL284,1),'input for formula'!$B$16:$I$20,3,0)),0)</f>
        <v>0</v>
      </c>
      <c r="AQ284" s="686">
        <f>IFERROR(IF($AN284="","",HLOOKUP($AN284&amp;$F284,'input for formula'!$B$22:$M$25,2,0)),0)</f>
        <v>0</v>
      </c>
      <c r="AR284" s="685">
        <f>IFERROR(IF($AN284="","",HLOOKUP($AN284&amp;RIGHT($AL284,1),'input for formula'!$B$16:$I$20,4,0)),0)</f>
        <v>0</v>
      </c>
      <c r="AS284" s="686">
        <f>IFERROR(IF($AN284="","",HLOOKUP($AN284&amp;$F284,'input for formula'!$B$22:$M$25,3,0)),0)</f>
        <v>0</v>
      </c>
      <c r="AT284" s="686">
        <f>IFERROR(IF($AN284="","",HLOOKUP($AN284&amp;RIGHT($AL284,1),'input for formula'!$B$16:$I$20,5,0)),0)</f>
        <v>0</v>
      </c>
      <c r="AU284" s="686">
        <f>IFERROR(IF($AN284="","",HLOOKUP($AN284&amp;$F284,'input for formula'!$B$22:$M$25,4,0)),0)</f>
        <v>0</v>
      </c>
      <c r="AV284" s="666">
        <f>IFERROR(IF($AN284="","",IF('Census Data'!$AN284="Abu Dhabi",VLOOKUP('Census Data'!$AM284,'input for formula'!$A$28:$C$41,3,0),VLOOKUP('Census Data'!$AM284,'input for formula'!$A$28:$C$47,2,0))),0)*IFERROR(1+IF(AN284="Dubai",VLOOKUP(F284,'Quotation for Dubai Plans'!$V$6:$X$12,3,FALSE),VLOOKUP(F284,'Quotation for Abu Dhabi Plans'!$W$6:$Y$12,3,FALSE)),0)</f>
        <v>0</v>
      </c>
      <c r="AW284" s="686">
        <f t="shared" si="158"/>
        <v>0</v>
      </c>
      <c r="AX284" s="687">
        <f>IFERROR(IF(AL284="","",IF(AN284="Dubai",HLOOKUP((AL284&amp;AM284),Deviation!$B$7:$S$8,2,0)*BF284*BH284*BI284*BG284,HLOOKUP((AL284&amp;AM284),Deviation!$B$9:$O$10,2,0)*BF284*BH284*BI284*BG284)),0)</f>
        <v>0</v>
      </c>
      <c r="AY284" s="668">
        <f>IF(AL284="","",IFERROR(IF(AL284="","",IF(AN284="Dubai",HLOOKUP(AZ284,'input for formula'!$B$3:$F$10,AO284,FALSE), IF(AND(H284="Employee",AN284="Abu Dhabi"),HLOOKUP(AZ284,'input for formula'!$I$3:$K$7,AO284,FALSE),HLOOKUP(AZ284,'input for formula'!$M$3:$O$7,AO284,FALSE)))*AX284+AP284*AQ284+AR284*AS284+AT284*AU284),0)*$AZ$3*BK284*BJ284)*IF(AND(Inputs!$C$19&gt;19,Inputs!$C$19&lt;30),(1+$AZ$2),1)</f>
        <v>0</v>
      </c>
      <c r="AZ284" s="148" t="str">
        <f t="shared" si="163"/>
        <v>Dubai0</v>
      </c>
      <c r="BA284" s="688">
        <f>IF(F284="","",IF(G284="Dubai",HLOOKUP(F284,Inputs!$C$26:$M$37,9,0),HLOOKUP(F284,Inputs!$C$45:$M$56,9,0)))</f>
        <v>0</v>
      </c>
      <c r="BB284" s="689">
        <f>IF(F284="","",IF(G284="Dubai",HLOOKUP(F284,Inputs!$C$26:$M$37,10,0),HLOOKUP(F284,Inputs!$C$45:$M$56,10,0)))</f>
        <v>0</v>
      </c>
      <c r="BC284" s="689">
        <f>IF(F284="","",IF(G284="Dubai",HLOOKUP(F284,Inputs!$C$26:$M$37,11,0),HLOOKUP(F284,Inputs!$C$45:$M$56,11,0)))</f>
        <v>0</v>
      </c>
      <c r="BD284" s="688">
        <f>IF(F284="","",IF(G284="Dubai",HLOOKUP(F284,Inputs!$C$26:$M$37,12,0),HLOOKUP(F284,Inputs!$C$45:$M$56,12,0)))</f>
        <v>0</v>
      </c>
      <c r="BE284" s="654"/>
      <c r="BF284" s="688">
        <f>IFERROR(IF(AL284="","",IF(AN284="Dubai",IF(OR(AL284="Plan1",AL284="Plan2"),VLOOKUP(BA284,Deviation!$B$31:$D$33,2,FALSE),VLOOKUP(BA284,Deviation!$B$31:$D$33,3,FALSE)),IF(OR(AL284="Plan1",AL284="Plan2"),VLOOKUP(BA284,Deviation!$E$31:$AE$33,2,FALSE),VLOOKUP(BA284,Deviation!$E$31:$AE$33,3,FALSE)))),0)</f>
        <v>1.125</v>
      </c>
      <c r="BG284" s="690">
        <f>IFERROR(IF(AL284="","",IF(AN284="Dubai",IF(AL284="Plan1",VLOOKUP(BB284,Deviation!$B$39:$C$40,2,FALSE),IF(AL284="Plan2",VLOOKUP(BB284,Deviation!$B$42:$C$43,2,FALSE),IF(AL284="Plan5",VLOOKUP(BB284,Deviation!$B$48:$C$49,2,FALSE),VLOOKUP(BB284,Deviation!$B$45:$C$46,2,FALSE)))),IF(AL284="Plan1",VLOOKUP(BB284,Deviation!$E$39:$F$40,2,FALSE),IF(AL284="Plan2",VLOOKUP(BB284,Deviation!$E$42:$F$43,2,FALSE),VLOOKUP(BB284,Deviation!$E$45:$F$46,2,FALSE))))),0)</f>
        <v>0</v>
      </c>
      <c r="BH284" s="690">
        <f>IFERROR(IF(AL284="","",IF(AN284="Dubai",IF(OR(AL284="Plan1",AL284="Plan2"),VLOOKUP(BC284,Deviation!$B$15:$D$19,2,FALSE),VLOOKUP(BC284,Deviation!$B$15:$D$19,3,FALSE)),IF(OR(AL284="Plan1",AL284="Plan2"),VLOOKUP(BC284,Deviation!$E$15:$AE$19,2,FALSE),VLOOKUP(BC284,Deviation!$E$15:$AE$19,3,FALSE)))),0)</f>
        <v>0</v>
      </c>
      <c r="BI284" s="691">
        <f>IFERROR(IF(AL284="","",IF(AN284="Dubai",VLOOKUP(BD284,Deviation!$B$24:$C$26,2,FALSE),100%)),0)</f>
        <v>1.06</v>
      </c>
      <c r="BJ284" s="672">
        <f>IF(AE284="Abu Dhabi",1,IFERROR(VLOOKUP(AM284,Deviation!$B$67:$E$79,MATCH('Census Data'!AA284,Deviation!$B$66:$E$66,0),0),1))</f>
        <v>1</v>
      </c>
      <c r="BK284" s="659">
        <f>IFERROR(VLOOKUP(I284,Deviation!$B$54:$C$62,2,0),1)</f>
        <v>1</v>
      </c>
      <c r="BL284" s="148"/>
      <c r="BM284" s="148"/>
      <c r="BN284" s="148"/>
      <c r="BO284" s="148"/>
      <c r="BP284" s="148"/>
      <c r="BQ284" s="148"/>
      <c r="BR284" s="148"/>
      <c r="BS284" s="148"/>
      <c r="BT284" s="148">
        <f t="shared" si="168"/>
        <v>0</v>
      </c>
    </row>
    <row r="285" spans="1:72" ht="15" hidden="1" x14ac:dyDescent="0.25">
      <c r="A285" s="94"/>
      <c r="B285" s="470"/>
      <c r="C285" s="94"/>
      <c r="D285" s="94" t="s">
        <v>175</v>
      </c>
      <c r="E285" s="94" t="s">
        <v>173</v>
      </c>
      <c r="F285" s="94" t="s">
        <v>68</v>
      </c>
      <c r="G285" s="94" t="s">
        <v>170</v>
      </c>
      <c r="H285" s="94"/>
      <c r="I285" s="94"/>
      <c r="J285" s="80">
        <v>59</v>
      </c>
      <c r="K285" s="59">
        <f>IF(F285="","",IF(G285="Dubai",HLOOKUP(F285,Inputs!$C$26:$M$28,3,0),HLOOKUP(F285,Inputs!$C$45:$M$46,2,0)))</f>
        <v>0</v>
      </c>
      <c r="L285" s="94"/>
      <c r="M285" s="105">
        <f t="shared" si="159"/>
        <v>-2</v>
      </c>
      <c r="N285" s="654" t="b">
        <f t="shared" si="147"/>
        <v>1</v>
      </c>
      <c r="O285" s="655" t="str">
        <f t="shared" si="148"/>
        <v>x</v>
      </c>
      <c r="P285" s="655" t="str">
        <f t="shared" si="149"/>
        <v/>
      </c>
      <c r="Q285" s="655" t="str">
        <f t="shared" si="150"/>
        <v/>
      </c>
      <c r="R285" s="655" t="str">
        <f t="shared" si="151"/>
        <v/>
      </c>
      <c r="S285" s="655" t="str">
        <f t="shared" si="152"/>
        <v/>
      </c>
      <c r="T285" s="655" t="str">
        <f>IF(ISERROR(MATCH(G285,'Inputs Mapping'!$T$4:$T$5,0)),"x","")</f>
        <v/>
      </c>
      <c r="U285" s="655" t="str">
        <f>IF(ISERROR(MATCH(AA285,'Inputs Mapping'!$U$4:$U$5,0)),"x","")</f>
        <v>x</v>
      </c>
      <c r="V285" s="655" t="str">
        <f>IF(ISERROR(MATCH(AB285,'Inputs Mapping'!$V$4:$V$5,0)),"x","")</f>
        <v/>
      </c>
      <c r="W285" s="655" t="str">
        <f>IF(ISERROR(MATCH(F285,'Inputs Mapping'!$W$4:$W$8,0)),"x","")</f>
        <v>x</v>
      </c>
      <c r="X285" s="655" t="str">
        <f t="shared" si="153"/>
        <v/>
      </c>
      <c r="Y285" s="655" t="str">
        <f t="shared" si="154"/>
        <v/>
      </c>
      <c r="Z285" s="655" t="str">
        <f t="shared" si="160"/>
        <v/>
      </c>
      <c r="AA285" s="655" t="str">
        <f t="shared" si="165"/>
        <v>M/F</v>
      </c>
      <c r="AB285" s="655" t="str">
        <f t="shared" si="161"/>
        <v>S</v>
      </c>
      <c r="AC285" s="655" t="str">
        <f t="shared" si="162"/>
        <v>x</v>
      </c>
      <c r="AD285" s="655" t="str">
        <f>IF(ISBLANK(I285),"x",IF(ISNUMBER(MATCH(I285,'Inputs Mapping'!$AF$5:$AF$199,0)),"","x"))</f>
        <v>x</v>
      </c>
      <c r="AE285" s="655" t="str">
        <f t="shared" si="166"/>
        <v>Dubai</v>
      </c>
      <c r="AF285" s="148"/>
      <c r="AG285" s="148"/>
      <c r="AH285" s="148" t="str">
        <f t="shared" si="167"/>
        <v>FDubai</v>
      </c>
      <c r="AI285" s="654" t="str">
        <f>IF(J285="","",VLOOKUP(J285,'Inputs Mapping'!$T$27:$V$31,3))</f>
        <v>41-59</v>
      </c>
      <c r="AJ285" s="654" t="str">
        <f>IF(J285="","",VLOOKUP(J285,'Inputs Mapping'!$T$17:$V$24,3))</f>
        <v>56 - 60</v>
      </c>
      <c r="AK285" s="654">
        <f t="shared" si="155"/>
        <v>0</v>
      </c>
      <c r="AL285" s="655">
        <f t="shared" si="156"/>
        <v>0</v>
      </c>
      <c r="AM285" s="655">
        <f>IF(F285="","",IF(G285="Dubai",HLOOKUP(F285,Inputs!$C$26:$M$36,5,0),HLOOKUP(F285,Inputs!$C$45:$M$49,5,0)))</f>
        <v>0</v>
      </c>
      <c r="AN285" s="655" t="str">
        <f t="shared" si="157"/>
        <v>Dubai</v>
      </c>
      <c r="AO285" s="654">
        <f>IF(AJ285="","",IF(AN285="Dubai",VLOOKUP(AJ285,'Inputs Mapping'!$V$17:$W$24,2,0),VLOOKUP(AI285,'Inputs Mapping'!$V$27:$W$31,2,0)))</f>
        <v>6</v>
      </c>
      <c r="AP285" s="685">
        <f>IFERROR(IF($AN285="","",HLOOKUP($AN285&amp;RIGHT($AL285,1),'input for formula'!$B$16:$I$20,3,0)),0)</f>
        <v>0</v>
      </c>
      <c r="AQ285" s="686">
        <f>IFERROR(IF($AN285="","",HLOOKUP($AN285&amp;$F285,'input for formula'!$B$22:$M$25,2,0)),0)</f>
        <v>0</v>
      </c>
      <c r="AR285" s="685">
        <f>IFERROR(IF($AN285="","",HLOOKUP($AN285&amp;RIGHT($AL285,1),'input for formula'!$B$16:$I$20,4,0)),0)</f>
        <v>0</v>
      </c>
      <c r="AS285" s="686">
        <f>IFERROR(IF($AN285="","",HLOOKUP($AN285&amp;$F285,'input for formula'!$B$22:$M$25,3,0)),0)</f>
        <v>0</v>
      </c>
      <c r="AT285" s="686">
        <f>IFERROR(IF($AN285="","",HLOOKUP($AN285&amp;RIGHT($AL285,1),'input for formula'!$B$16:$I$20,5,0)),0)</f>
        <v>0</v>
      </c>
      <c r="AU285" s="686">
        <f>IFERROR(IF($AN285="","",HLOOKUP($AN285&amp;$F285,'input for formula'!$B$22:$M$25,4,0)),0)</f>
        <v>0</v>
      </c>
      <c r="AV285" s="666">
        <f>IFERROR(IF($AN285="","",IF('Census Data'!$AN285="Abu Dhabi",VLOOKUP('Census Data'!$AM285,'input for formula'!$A$28:$C$41,3,0),VLOOKUP('Census Data'!$AM285,'input for formula'!$A$28:$C$47,2,0))),0)*IFERROR(1+IF(AN285="Dubai",VLOOKUP(F285,'Quotation for Dubai Plans'!$V$6:$X$12,3,FALSE),VLOOKUP(F285,'Quotation for Abu Dhabi Plans'!$W$6:$Y$12,3,FALSE)),0)</f>
        <v>0</v>
      </c>
      <c r="AW285" s="686">
        <f t="shared" si="158"/>
        <v>0</v>
      </c>
      <c r="AX285" s="687">
        <f>IFERROR(IF(AL285="","",IF(AN285="Dubai",HLOOKUP((AL285&amp;AM285),Deviation!$B$7:$S$8,2,0)*BF285*BH285*BI285*BG285,HLOOKUP((AL285&amp;AM285),Deviation!$B$9:$O$10,2,0)*BF285*BH285*BI285*BG285)),0)</f>
        <v>0</v>
      </c>
      <c r="AY285" s="668">
        <f>IF(AL285="","",IFERROR(IF(AL285="","",IF(AN285="Dubai",HLOOKUP(AZ285,'input for formula'!$B$3:$F$10,AO285,FALSE), IF(AND(H285="Employee",AN285="Abu Dhabi"),HLOOKUP(AZ285,'input for formula'!$I$3:$K$7,AO285,FALSE),HLOOKUP(AZ285,'input for formula'!$M$3:$O$7,AO285,FALSE)))*AX285+AP285*AQ285+AR285*AS285+AT285*AU285),0)*$AZ$3*BK285*BJ285)*IF(AND(Inputs!$C$19&gt;19,Inputs!$C$19&lt;30),(1+$AZ$2),1)</f>
        <v>0</v>
      </c>
      <c r="AZ285" s="148" t="str">
        <f t="shared" si="163"/>
        <v>Dubai0</v>
      </c>
      <c r="BA285" s="688">
        <f>IF(F285="","",IF(G285="Dubai",HLOOKUP(F285,Inputs!$C$26:$M$37,9,0),HLOOKUP(F285,Inputs!$C$45:$M$56,9,0)))</f>
        <v>0</v>
      </c>
      <c r="BB285" s="689">
        <f>IF(F285="","",IF(G285="Dubai",HLOOKUP(F285,Inputs!$C$26:$M$37,10,0),HLOOKUP(F285,Inputs!$C$45:$M$56,10,0)))</f>
        <v>0</v>
      </c>
      <c r="BC285" s="689">
        <f>IF(F285="","",IF(G285="Dubai",HLOOKUP(F285,Inputs!$C$26:$M$37,11,0),HLOOKUP(F285,Inputs!$C$45:$M$56,11,0)))</f>
        <v>0</v>
      </c>
      <c r="BD285" s="688">
        <f>IF(F285="","",IF(G285="Dubai",HLOOKUP(F285,Inputs!$C$26:$M$37,12,0),HLOOKUP(F285,Inputs!$C$45:$M$56,12,0)))</f>
        <v>0</v>
      </c>
      <c r="BE285" s="654"/>
      <c r="BF285" s="688">
        <f>IFERROR(IF(AL285="","",IF(AN285="Dubai",IF(OR(AL285="Plan1",AL285="Plan2"),VLOOKUP(BA285,Deviation!$B$31:$D$33,2,FALSE),VLOOKUP(BA285,Deviation!$B$31:$D$33,3,FALSE)),IF(OR(AL285="Plan1",AL285="Plan2"),VLOOKUP(BA285,Deviation!$E$31:$AE$33,2,FALSE),VLOOKUP(BA285,Deviation!$E$31:$AE$33,3,FALSE)))),0)</f>
        <v>1.125</v>
      </c>
      <c r="BG285" s="690">
        <f>IFERROR(IF(AL285="","",IF(AN285="Dubai",IF(AL285="Plan1",VLOOKUP(BB285,Deviation!$B$39:$C$40,2,FALSE),IF(AL285="Plan2",VLOOKUP(BB285,Deviation!$B$42:$C$43,2,FALSE),IF(AL285="Plan5",VLOOKUP(BB285,Deviation!$B$48:$C$49,2,FALSE),VLOOKUP(BB285,Deviation!$B$45:$C$46,2,FALSE)))),IF(AL285="Plan1",VLOOKUP(BB285,Deviation!$E$39:$F$40,2,FALSE),IF(AL285="Plan2",VLOOKUP(BB285,Deviation!$E$42:$F$43,2,FALSE),VLOOKUP(BB285,Deviation!$E$45:$F$46,2,FALSE))))),0)</f>
        <v>0</v>
      </c>
      <c r="BH285" s="690">
        <f>IFERROR(IF(AL285="","",IF(AN285="Dubai",IF(OR(AL285="Plan1",AL285="Plan2"),VLOOKUP(BC285,Deviation!$B$15:$D$19,2,FALSE),VLOOKUP(BC285,Deviation!$B$15:$D$19,3,FALSE)),IF(OR(AL285="Plan1",AL285="Plan2"),VLOOKUP(BC285,Deviation!$E$15:$AE$19,2,FALSE),VLOOKUP(BC285,Deviation!$E$15:$AE$19,3,FALSE)))),0)</f>
        <v>0</v>
      </c>
      <c r="BI285" s="691">
        <f>IFERROR(IF(AL285="","",IF(AN285="Dubai",VLOOKUP(BD285,Deviation!$B$24:$C$26,2,FALSE),100%)),0)</f>
        <v>1.06</v>
      </c>
      <c r="BJ285" s="672">
        <f>IF(AE285="Abu Dhabi",1,IFERROR(VLOOKUP(AM285,Deviation!$B$67:$E$79,MATCH('Census Data'!AA285,Deviation!$B$66:$E$66,0),0),1))</f>
        <v>1</v>
      </c>
      <c r="BK285" s="659">
        <f>IFERROR(VLOOKUP(I285,Deviation!$B$54:$C$62,2,0),1)</f>
        <v>1</v>
      </c>
      <c r="BL285" s="148"/>
      <c r="BM285" s="148"/>
      <c r="BN285" s="148"/>
      <c r="BO285" s="148"/>
      <c r="BP285" s="148"/>
      <c r="BQ285" s="148"/>
      <c r="BR285" s="148"/>
      <c r="BS285" s="148"/>
      <c r="BT285" s="148">
        <f t="shared" si="168"/>
        <v>0</v>
      </c>
    </row>
    <row r="286" spans="1:72" ht="15" hidden="1" x14ac:dyDescent="0.25">
      <c r="A286" s="94"/>
      <c r="B286" s="470"/>
      <c r="C286" s="94"/>
      <c r="D286" s="94" t="s">
        <v>175</v>
      </c>
      <c r="E286" s="94" t="s">
        <v>173</v>
      </c>
      <c r="F286" s="94" t="s">
        <v>68</v>
      </c>
      <c r="G286" s="94" t="s">
        <v>170</v>
      </c>
      <c r="H286" s="94"/>
      <c r="I286" s="94"/>
      <c r="J286" s="80">
        <v>67</v>
      </c>
      <c r="K286" s="59">
        <f>IF(F286="","",IF(G286="Dubai",HLOOKUP(F286,Inputs!$C$26:$M$28,3,0),HLOOKUP(F286,Inputs!$C$45:$M$46,2,0)))</f>
        <v>0</v>
      </c>
      <c r="L286" s="94"/>
      <c r="M286" s="105">
        <f t="shared" si="159"/>
        <v>-2</v>
      </c>
      <c r="N286" s="654" t="b">
        <f t="shared" si="147"/>
        <v>1</v>
      </c>
      <c r="O286" s="655" t="str">
        <f t="shared" si="148"/>
        <v>x</v>
      </c>
      <c r="P286" s="655" t="str">
        <f t="shared" si="149"/>
        <v/>
      </c>
      <c r="Q286" s="655" t="str">
        <f t="shared" si="150"/>
        <v/>
      </c>
      <c r="R286" s="655" t="str">
        <f t="shared" si="151"/>
        <v/>
      </c>
      <c r="S286" s="655" t="str">
        <f t="shared" si="152"/>
        <v/>
      </c>
      <c r="T286" s="655" t="str">
        <f>IF(ISERROR(MATCH(G286,'Inputs Mapping'!$T$4:$T$5,0)),"x","")</f>
        <v/>
      </c>
      <c r="U286" s="655" t="str">
        <f>IF(ISERROR(MATCH(AA286,'Inputs Mapping'!$U$4:$U$5,0)),"x","")</f>
        <v>x</v>
      </c>
      <c r="V286" s="655" t="str">
        <f>IF(ISERROR(MATCH(AB286,'Inputs Mapping'!$V$4:$V$5,0)),"x","")</f>
        <v/>
      </c>
      <c r="W286" s="655" t="str">
        <f>IF(ISERROR(MATCH(F286,'Inputs Mapping'!$W$4:$W$8,0)),"x","")</f>
        <v>x</v>
      </c>
      <c r="X286" s="655" t="str">
        <f t="shared" si="153"/>
        <v/>
      </c>
      <c r="Y286" s="655" t="str">
        <f t="shared" si="154"/>
        <v/>
      </c>
      <c r="Z286" s="655" t="str">
        <f t="shared" si="160"/>
        <v/>
      </c>
      <c r="AA286" s="655" t="str">
        <f t="shared" si="165"/>
        <v>M/F</v>
      </c>
      <c r="AB286" s="655" t="str">
        <f t="shared" si="161"/>
        <v>S</v>
      </c>
      <c r="AC286" s="655" t="str">
        <f t="shared" si="162"/>
        <v>x</v>
      </c>
      <c r="AD286" s="655" t="str">
        <f>IF(ISBLANK(I286),"x",IF(ISNUMBER(MATCH(I286,'Inputs Mapping'!$AF$5:$AF$199,0)),"","x"))</f>
        <v>x</v>
      </c>
      <c r="AE286" s="655" t="str">
        <f t="shared" si="166"/>
        <v>Dubai</v>
      </c>
      <c r="AF286" s="148"/>
      <c r="AG286" s="148"/>
      <c r="AH286" s="148" t="str">
        <f t="shared" si="167"/>
        <v>FDubai</v>
      </c>
      <c r="AI286" s="654" t="str">
        <f>IF(J286="","",VLOOKUP(J286,'Inputs Mapping'!$T$27:$V$31,3))</f>
        <v>60-69</v>
      </c>
      <c r="AJ286" s="654" t="str">
        <f>IF(J286="","",VLOOKUP(J286,'Inputs Mapping'!$T$17:$V$24,3))</f>
        <v>66 - 69</v>
      </c>
      <c r="AK286" s="654">
        <f t="shared" si="155"/>
        <v>0</v>
      </c>
      <c r="AL286" s="655">
        <f t="shared" si="156"/>
        <v>0</v>
      </c>
      <c r="AM286" s="655">
        <f>IF(F286="","",IF(G286="Dubai",HLOOKUP(F286,Inputs!$C$26:$M$36,5,0),HLOOKUP(F286,Inputs!$C$45:$M$49,5,0)))</f>
        <v>0</v>
      </c>
      <c r="AN286" s="655" t="str">
        <f t="shared" si="157"/>
        <v>Dubai</v>
      </c>
      <c r="AO286" s="654">
        <f>IF(AJ286="","",IF(AN286="Dubai",VLOOKUP(AJ286,'Inputs Mapping'!$V$17:$W$24,2,0),VLOOKUP(AI286,'Inputs Mapping'!$V$27:$W$31,2,0)))</f>
        <v>8</v>
      </c>
      <c r="AP286" s="685">
        <f>IFERROR(IF($AN286="","",HLOOKUP($AN286&amp;RIGHT($AL286,1),'input for formula'!$B$16:$I$20,3,0)),0)</f>
        <v>0</v>
      </c>
      <c r="AQ286" s="686">
        <f>IFERROR(IF($AN286="","",HLOOKUP($AN286&amp;$F286,'input for formula'!$B$22:$M$25,2,0)),0)</f>
        <v>0</v>
      </c>
      <c r="AR286" s="685">
        <f>IFERROR(IF($AN286="","",HLOOKUP($AN286&amp;RIGHT($AL286,1),'input for formula'!$B$16:$I$20,4,0)),0)</f>
        <v>0</v>
      </c>
      <c r="AS286" s="686">
        <f>IFERROR(IF($AN286="","",HLOOKUP($AN286&amp;$F286,'input for formula'!$B$22:$M$25,3,0)),0)</f>
        <v>0</v>
      </c>
      <c r="AT286" s="686">
        <f>IFERROR(IF($AN286="","",HLOOKUP($AN286&amp;RIGHT($AL286,1),'input for formula'!$B$16:$I$20,5,0)),0)</f>
        <v>0</v>
      </c>
      <c r="AU286" s="686">
        <f>IFERROR(IF($AN286="","",HLOOKUP($AN286&amp;$F286,'input for formula'!$B$22:$M$25,4,0)),0)</f>
        <v>0</v>
      </c>
      <c r="AV286" s="666">
        <f>IFERROR(IF($AN286="","",IF('Census Data'!$AN286="Abu Dhabi",VLOOKUP('Census Data'!$AM286,'input for formula'!$A$28:$C$41,3,0),VLOOKUP('Census Data'!$AM286,'input for formula'!$A$28:$C$47,2,0))),0)*IFERROR(1+IF(AN286="Dubai",VLOOKUP(F286,'Quotation for Dubai Plans'!$V$6:$X$12,3,FALSE),VLOOKUP(F286,'Quotation for Abu Dhabi Plans'!$W$6:$Y$12,3,FALSE)),0)</f>
        <v>0</v>
      </c>
      <c r="AW286" s="686">
        <f t="shared" si="158"/>
        <v>0</v>
      </c>
      <c r="AX286" s="687">
        <f>IFERROR(IF(AL286="","",IF(AN286="Dubai",HLOOKUP((AL286&amp;AM286),Deviation!$B$7:$S$8,2,0)*BF286*BH286*BI286*BG286,HLOOKUP((AL286&amp;AM286),Deviation!$B$9:$O$10,2,0)*BF286*BH286*BI286*BG286)),0)</f>
        <v>0</v>
      </c>
      <c r="AY286" s="668">
        <f>IF(AL286="","",IFERROR(IF(AL286="","",IF(AN286="Dubai",HLOOKUP(AZ286,'input for formula'!$B$3:$F$10,AO286,FALSE), IF(AND(H286="Employee",AN286="Abu Dhabi"),HLOOKUP(AZ286,'input for formula'!$I$3:$K$7,AO286,FALSE),HLOOKUP(AZ286,'input for formula'!$M$3:$O$7,AO286,FALSE)))*AX286+AP286*AQ286+AR286*AS286+AT286*AU286),0)*$AZ$3*BK286*BJ286)*IF(AND(Inputs!$C$19&gt;19,Inputs!$C$19&lt;30),(1+$AZ$2),1)</f>
        <v>0</v>
      </c>
      <c r="AZ286" s="148" t="str">
        <f t="shared" si="163"/>
        <v>Dubai0</v>
      </c>
      <c r="BA286" s="688">
        <f>IF(F286="","",IF(G286="Dubai",HLOOKUP(F286,Inputs!$C$26:$M$37,9,0),HLOOKUP(F286,Inputs!$C$45:$M$56,9,0)))</f>
        <v>0</v>
      </c>
      <c r="BB286" s="689">
        <f>IF(F286="","",IF(G286="Dubai",HLOOKUP(F286,Inputs!$C$26:$M$37,10,0),HLOOKUP(F286,Inputs!$C$45:$M$56,10,0)))</f>
        <v>0</v>
      </c>
      <c r="BC286" s="689">
        <f>IF(F286="","",IF(G286="Dubai",HLOOKUP(F286,Inputs!$C$26:$M$37,11,0),HLOOKUP(F286,Inputs!$C$45:$M$56,11,0)))</f>
        <v>0</v>
      </c>
      <c r="BD286" s="688">
        <f>IF(F286="","",IF(G286="Dubai",HLOOKUP(F286,Inputs!$C$26:$M$37,12,0),HLOOKUP(F286,Inputs!$C$45:$M$56,12,0)))</f>
        <v>0</v>
      </c>
      <c r="BE286" s="654"/>
      <c r="BF286" s="688">
        <f>IFERROR(IF(AL286="","",IF(AN286="Dubai",IF(OR(AL286="Plan1",AL286="Plan2"),VLOOKUP(BA286,Deviation!$B$31:$D$33,2,FALSE),VLOOKUP(BA286,Deviation!$B$31:$D$33,3,FALSE)),IF(OR(AL286="Plan1",AL286="Plan2"),VLOOKUP(BA286,Deviation!$E$31:$AE$33,2,FALSE),VLOOKUP(BA286,Deviation!$E$31:$AE$33,3,FALSE)))),0)</f>
        <v>1.125</v>
      </c>
      <c r="BG286" s="690">
        <f>IFERROR(IF(AL286="","",IF(AN286="Dubai",IF(AL286="Plan1",VLOOKUP(BB286,Deviation!$B$39:$C$40,2,FALSE),IF(AL286="Plan2",VLOOKUP(BB286,Deviation!$B$42:$C$43,2,FALSE),IF(AL286="Plan5",VLOOKUP(BB286,Deviation!$B$48:$C$49,2,FALSE),VLOOKUP(BB286,Deviation!$B$45:$C$46,2,FALSE)))),IF(AL286="Plan1",VLOOKUP(BB286,Deviation!$E$39:$F$40,2,FALSE),IF(AL286="Plan2",VLOOKUP(BB286,Deviation!$E$42:$F$43,2,FALSE),VLOOKUP(BB286,Deviation!$E$45:$F$46,2,FALSE))))),0)</f>
        <v>0</v>
      </c>
      <c r="BH286" s="690">
        <f>IFERROR(IF(AL286="","",IF(AN286="Dubai",IF(OR(AL286="Plan1",AL286="Plan2"),VLOOKUP(BC286,Deviation!$B$15:$D$19,2,FALSE),VLOOKUP(BC286,Deviation!$B$15:$D$19,3,FALSE)),IF(OR(AL286="Plan1",AL286="Plan2"),VLOOKUP(BC286,Deviation!$E$15:$AE$19,2,FALSE),VLOOKUP(BC286,Deviation!$E$15:$AE$19,3,FALSE)))),0)</f>
        <v>0</v>
      </c>
      <c r="BI286" s="691">
        <f>IFERROR(IF(AL286="","",IF(AN286="Dubai",VLOOKUP(BD286,Deviation!$B$24:$C$26,2,FALSE),100%)),0)</f>
        <v>1.06</v>
      </c>
      <c r="BJ286" s="672">
        <f>IF(AE286="Abu Dhabi",1,IFERROR(VLOOKUP(AM286,Deviation!$B$67:$E$79,MATCH('Census Data'!AA286,Deviation!$B$66:$E$66,0),0),1))</f>
        <v>1</v>
      </c>
      <c r="BK286" s="659">
        <f>IFERROR(VLOOKUP(I286,Deviation!$B$54:$C$62,2,0),1)</f>
        <v>1</v>
      </c>
      <c r="BL286" s="148"/>
      <c r="BM286" s="148"/>
      <c r="BN286" s="148"/>
      <c r="BO286" s="148"/>
      <c r="BP286" s="148"/>
      <c r="BQ286" s="148"/>
      <c r="BR286" s="148"/>
      <c r="BS286" s="148"/>
      <c r="BT286" s="148">
        <f t="shared" si="168"/>
        <v>0</v>
      </c>
    </row>
    <row r="287" spans="1:72" ht="15" hidden="1" x14ac:dyDescent="0.25">
      <c r="A287" s="94"/>
      <c r="B287" s="470"/>
      <c r="C287" s="94"/>
      <c r="D287" s="94" t="s">
        <v>175</v>
      </c>
      <c r="E287" s="94" t="s">
        <v>173</v>
      </c>
      <c r="F287" s="94" t="s">
        <v>63</v>
      </c>
      <c r="G287" s="94" t="s">
        <v>170</v>
      </c>
      <c r="H287" s="94"/>
      <c r="I287" s="94"/>
      <c r="J287" s="80">
        <v>15</v>
      </c>
      <c r="K287" s="59">
        <f>IF(F287="","",IF(G287="Dubai",HLOOKUP(F287,Inputs!$C$26:$M$28,3,0),HLOOKUP(F287,Inputs!$C$45:$M$46,2,0)))</f>
        <v>0</v>
      </c>
      <c r="L287" s="94"/>
      <c r="M287" s="105">
        <f t="shared" si="159"/>
        <v>-2</v>
      </c>
      <c r="N287" s="654" t="b">
        <f t="shared" si="147"/>
        <v>1</v>
      </c>
      <c r="O287" s="655" t="str">
        <f t="shared" si="148"/>
        <v>x</v>
      </c>
      <c r="P287" s="655" t="str">
        <f t="shared" si="149"/>
        <v/>
      </c>
      <c r="Q287" s="655" t="str">
        <f t="shared" si="150"/>
        <v/>
      </c>
      <c r="R287" s="655" t="str">
        <f t="shared" si="151"/>
        <v/>
      </c>
      <c r="S287" s="655" t="str">
        <f t="shared" si="152"/>
        <v/>
      </c>
      <c r="T287" s="655" t="str">
        <f>IF(ISERROR(MATCH(G287,'Inputs Mapping'!$T$4:$T$5,0)),"x","")</f>
        <v/>
      </c>
      <c r="U287" s="655" t="str">
        <f>IF(ISERROR(MATCH(AA287,'Inputs Mapping'!$U$4:$U$5,0)),"x","")</f>
        <v>x</v>
      </c>
      <c r="V287" s="655" t="str">
        <f>IF(ISERROR(MATCH(AB287,'Inputs Mapping'!$V$4:$V$5,0)),"x","")</f>
        <v/>
      </c>
      <c r="W287" s="655" t="str">
        <f>IF(ISERROR(MATCH(F287,'Inputs Mapping'!$W$4:$W$8,0)),"x","")</f>
        <v/>
      </c>
      <c r="X287" s="655" t="str">
        <f t="shared" si="153"/>
        <v/>
      </c>
      <c r="Y287" s="655" t="str">
        <f t="shared" si="154"/>
        <v/>
      </c>
      <c r="Z287" s="655" t="str">
        <f t="shared" si="160"/>
        <v/>
      </c>
      <c r="AA287" s="655" t="str">
        <f t="shared" si="165"/>
        <v>M/F</v>
      </c>
      <c r="AB287" s="655" t="str">
        <f t="shared" si="161"/>
        <v>S</v>
      </c>
      <c r="AC287" s="655" t="str">
        <f t="shared" si="162"/>
        <v>x</v>
      </c>
      <c r="AD287" s="655" t="str">
        <f>IF(ISBLANK(I287),"x",IF(ISNUMBER(MATCH(I287,'Inputs Mapping'!$AF$5:$AF$199,0)),"","x"))</f>
        <v>x</v>
      </c>
      <c r="AE287" s="655" t="str">
        <f t="shared" si="166"/>
        <v>Dubai</v>
      </c>
      <c r="AF287" s="148"/>
      <c r="AG287" s="148"/>
      <c r="AH287" s="148" t="str">
        <f t="shared" si="167"/>
        <v>ADubai</v>
      </c>
      <c r="AI287" s="654" t="str">
        <f>IF(J287="","",VLOOKUP(J287,'Inputs Mapping'!$T$27:$V$31,3))</f>
        <v>0-17</v>
      </c>
      <c r="AJ287" s="654" t="str">
        <f>IF(J287="","",VLOOKUP(J287,'Inputs Mapping'!$T$17:$V$24,3))</f>
        <v>0 - 17</v>
      </c>
      <c r="AK287" s="654">
        <f t="shared" si="155"/>
        <v>0</v>
      </c>
      <c r="AL287" s="655">
        <f t="shared" si="156"/>
        <v>0</v>
      </c>
      <c r="AM287" s="655">
        <f>IF(F287="","",IF(G287="Dubai",HLOOKUP(F287,Inputs!$C$26:$M$36,5,0),HLOOKUP(F287,Inputs!$C$45:$M$49,5,0)))</f>
        <v>0</v>
      </c>
      <c r="AN287" s="655" t="str">
        <f t="shared" si="157"/>
        <v>Dubai</v>
      </c>
      <c r="AO287" s="654">
        <f>IF(AJ287="","",IF(AN287="Dubai",VLOOKUP(AJ287,'Inputs Mapping'!$V$17:$W$24,2,0),VLOOKUP(AI287,'Inputs Mapping'!$V$27:$W$31,2,0)))</f>
        <v>2</v>
      </c>
      <c r="AP287" s="685">
        <f>IFERROR(IF($AN287="","",HLOOKUP($AN287&amp;RIGHT($AL287,1),'input for formula'!$B$16:$I$20,3,0)),0)</f>
        <v>0</v>
      </c>
      <c r="AQ287" s="686">
        <f>IFERROR(IF($AN287="","",HLOOKUP($AN287&amp;$F287,'input for formula'!$B$22:$M$25,2,0)),0)</f>
        <v>0</v>
      </c>
      <c r="AR287" s="685">
        <f>IFERROR(IF($AN287="","",HLOOKUP($AN287&amp;RIGHT($AL287,1),'input for formula'!$B$16:$I$20,4,0)),0)</f>
        <v>0</v>
      </c>
      <c r="AS287" s="686">
        <f>IFERROR(IF($AN287="","",HLOOKUP($AN287&amp;$F287,'input for formula'!$B$22:$M$25,3,0)),0)</f>
        <v>0</v>
      </c>
      <c r="AT287" s="686">
        <f>IFERROR(IF($AN287="","",HLOOKUP($AN287&amp;RIGHT($AL287,1),'input for formula'!$B$16:$I$20,5,0)),0)</f>
        <v>0</v>
      </c>
      <c r="AU287" s="686">
        <f>IFERROR(IF($AN287="","",HLOOKUP($AN287&amp;$F287,'input for formula'!$B$22:$M$25,4,0)),0)</f>
        <v>0</v>
      </c>
      <c r="AV287" s="666">
        <f>IFERROR(IF($AN287="","",IF('Census Data'!$AN287="Abu Dhabi",VLOOKUP('Census Data'!$AM287,'input for formula'!$A$28:$C$41,3,0),VLOOKUP('Census Data'!$AM287,'input for formula'!$A$28:$C$47,2,0))),0)*IFERROR(1+IF(AN287="Dubai",VLOOKUP(F287,'Quotation for Dubai Plans'!$V$6:$X$12,3,FALSE),VLOOKUP(F287,'Quotation for Abu Dhabi Plans'!$W$6:$Y$12,3,FALSE)),0)</f>
        <v>0</v>
      </c>
      <c r="AW287" s="686">
        <f t="shared" si="158"/>
        <v>0</v>
      </c>
      <c r="AX287" s="687">
        <f>IFERROR(IF(AL287="","",IF(AN287="Dubai",HLOOKUP((AL287&amp;AM287),Deviation!$B$7:$S$8,2,0)*BF287*BH287*BI287*BG287,HLOOKUP((AL287&amp;AM287),Deviation!$B$9:$O$10,2,0)*BF287*BH287*BI287*BG287)),0)</f>
        <v>0</v>
      </c>
      <c r="AY287" s="668">
        <f>IF(AL287="","",IFERROR(IF(AL287="","",IF(AN287="Dubai",HLOOKUP(AZ287,'input for formula'!$B$3:$F$10,AO287,FALSE), IF(AND(H287="Employee",AN287="Abu Dhabi"),HLOOKUP(AZ287,'input for formula'!$I$3:$K$7,AO287,FALSE),HLOOKUP(AZ287,'input for formula'!$M$3:$O$7,AO287,FALSE)))*AX287+AP287*AQ287+AR287*AS287+AT287*AU287),0)*$AZ$3*BK287*BJ287)*IF(AND(Inputs!$C$19&gt;19,Inputs!$C$19&lt;30),(1+$AZ$2),1)</f>
        <v>0</v>
      </c>
      <c r="AZ287" s="148" t="str">
        <f t="shared" si="163"/>
        <v>Dubai0</v>
      </c>
      <c r="BA287" s="688">
        <f>IF(F287="","",IF(G287="Dubai",HLOOKUP(F287,Inputs!$C$26:$M$37,9,0),HLOOKUP(F287,Inputs!$C$45:$M$56,9,0)))</f>
        <v>0</v>
      </c>
      <c r="BB287" s="689">
        <f>IF(F287="","",IF(G287="Dubai",HLOOKUP(F287,Inputs!$C$26:$M$37,10,0),HLOOKUP(F287,Inputs!$C$45:$M$56,10,0)))</f>
        <v>0</v>
      </c>
      <c r="BC287" s="689">
        <f>IF(F287="","",IF(G287="Dubai",HLOOKUP(F287,Inputs!$C$26:$M$37,11,0),HLOOKUP(F287,Inputs!$C$45:$M$56,11,0)))</f>
        <v>0</v>
      </c>
      <c r="BD287" s="688">
        <f>IF(F287="","",IF(G287="Dubai",HLOOKUP(F287,Inputs!$C$26:$M$37,12,0),HLOOKUP(F287,Inputs!$C$45:$M$56,12,0)))</f>
        <v>0</v>
      </c>
      <c r="BE287" s="654"/>
      <c r="BF287" s="688">
        <f>IFERROR(IF(AL287="","",IF(AN287="Dubai",IF(OR(AL287="Plan1",AL287="Plan2"),VLOOKUP(BA287,Deviation!$B$31:$D$33,2,FALSE),VLOOKUP(BA287,Deviation!$B$31:$D$33,3,FALSE)),IF(OR(AL287="Plan1",AL287="Plan2"),VLOOKUP(BA287,Deviation!$E$31:$AE$33,2,FALSE),VLOOKUP(BA287,Deviation!$E$31:$AE$33,3,FALSE)))),0)</f>
        <v>1.125</v>
      </c>
      <c r="BG287" s="690">
        <f>IFERROR(IF(AL287="","",IF(AN287="Dubai",IF(AL287="Plan1",VLOOKUP(BB287,Deviation!$B$39:$C$40,2,FALSE),IF(AL287="Plan2",VLOOKUP(BB287,Deviation!$B$42:$C$43,2,FALSE),IF(AL287="Plan5",VLOOKUP(BB287,Deviation!$B$48:$C$49,2,FALSE),VLOOKUP(BB287,Deviation!$B$45:$C$46,2,FALSE)))),IF(AL287="Plan1",VLOOKUP(BB287,Deviation!$E$39:$F$40,2,FALSE),IF(AL287="Plan2",VLOOKUP(BB287,Deviation!$E$42:$F$43,2,FALSE),VLOOKUP(BB287,Deviation!$E$45:$F$46,2,FALSE))))),0)</f>
        <v>0</v>
      </c>
      <c r="BH287" s="690">
        <f>IFERROR(IF(AL287="","",IF(AN287="Dubai",IF(OR(AL287="Plan1",AL287="Plan2"),VLOOKUP(BC287,Deviation!$B$15:$D$19,2,FALSE),VLOOKUP(BC287,Deviation!$B$15:$D$19,3,FALSE)),IF(OR(AL287="Plan1",AL287="Plan2"),VLOOKUP(BC287,Deviation!$E$15:$AE$19,2,FALSE),VLOOKUP(BC287,Deviation!$E$15:$AE$19,3,FALSE)))),0)</f>
        <v>0</v>
      </c>
      <c r="BI287" s="691">
        <f>IFERROR(IF(AL287="","",IF(AN287="Dubai",VLOOKUP(BD287,Deviation!$B$24:$C$26,2,FALSE),100%)),0)</f>
        <v>1.06</v>
      </c>
      <c r="BJ287" s="672">
        <f>IF(AE287="Abu Dhabi",1,IFERROR(VLOOKUP(AM287,Deviation!$B$67:$E$79,MATCH('Census Data'!AA287,Deviation!$B$66:$E$66,0),0),1))</f>
        <v>1</v>
      </c>
      <c r="BK287" s="659">
        <f>IFERROR(VLOOKUP(I287,Deviation!$B$54:$C$62,2,0),1)</f>
        <v>1</v>
      </c>
      <c r="BL287" s="148"/>
      <c r="BM287" s="148"/>
      <c r="BN287" s="148"/>
      <c r="BO287" s="148"/>
      <c r="BP287" s="148"/>
      <c r="BQ287" s="148"/>
      <c r="BR287" s="148"/>
      <c r="BS287" s="148"/>
      <c r="BT287" s="148">
        <f t="shared" si="168"/>
        <v>0</v>
      </c>
    </row>
    <row r="288" spans="1:72" ht="15" hidden="1" x14ac:dyDescent="0.25">
      <c r="A288" s="94"/>
      <c r="B288" s="470"/>
      <c r="C288" s="94"/>
      <c r="D288" s="94" t="s">
        <v>175</v>
      </c>
      <c r="E288" s="94" t="s">
        <v>173</v>
      </c>
      <c r="F288" s="94" t="s">
        <v>63</v>
      </c>
      <c r="G288" s="94" t="s">
        <v>170</v>
      </c>
      <c r="H288" s="94"/>
      <c r="I288" s="94"/>
      <c r="J288" s="80">
        <v>40</v>
      </c>
      <c r="K288" s="59">
        <f>IF(F288="","",IF(G288="Dubai",HLOOKUP(F288,Inputs!$C$26:$M$28,3,0),HLOOKUP(F288,Inputs!$C$45:$M$46,2,0)))</f>
        <v>0</v>
      </c>
      <c r="L288" s="94"/>
      <c r="M288" s="105">
        <f t="shared" si="159"/>
        <v>-2</v>
      </c>
      <c r="N288" s="654" t="b">
        <f t="shared" si="147"/>
        <v>1</v>
      </c>
      <c r="O288" s="655" t="str">
        <f t="shared" si="148"/>
        <v>x</v>
      </c>
      <c r="P288" s="655" t="str">
        <f t="shared" si="149"/>
        <v/>
      </c>
      <c r="Q288" s="655" t="str">
        <f t="shared" si="150"/>
        <v/>
      </c>
      <c r="R288" s="655" t="str">
        <f t="shared" si="151"/>
        <v/>
      </c>
      <c r="S288" s="655" t="str">
        <f t="shared" si="152"/>
        <v/>
      </c>
      <c r="T288" s="655" t="str">
        <f>IF(ISERROR(MATCH(G288,'Inputs Mapping'!$T$4:$T$5,0)),"x","")</f>
        <v/>
      </c>
      <c r="U288" s="655" t="str">
        <f>IF(ISERROR(MATCH(AA288,'Inputs Mapping'!$U$4:$U$5,0)),"x","")</f>
        <v>x</v>
      </c>
      <c r="V288" s="655" t="str">
        <f>IF(ISERROR(MATCH(AB288,'Inputs Mapping'!$V$4:$V$5,0)),"x","")</f>
        <v/>
      </c>
      <c r="W288" s="655" t="str">
        <f>IF(ISERROR(MATCH(F288,'Inputs Mapping'!$W$4:$W$8,0)),"x","")</f>
        <v/>
      </c>
      <c r="X288" s="655" t="str">
        <f t="shared" si="153"/>
        <v/>
      </c>
      <c r="Y288" s="655" t="str">
        <f t="shared" si="154"/>
        <v/>
      </c>
      <c r="Z288" s="655" t="str">
        <f t="shared" si="160"/>
        <v/>
      </c>
      <c r="AA288" s="655" t="str">
        <f t="shared" si="165"/>
        <v>M/F</v>
      </c>
      <c r="AB288" s="655" t="str">
        <f t="shared" si="161"/>
        <v>S</v>
      </c>
      <c r="AC288" s="655" t="str">
        <f t="shared" si="162"/>
        <v>x</v>
      </c>
      <c r="AD288" s="655" t="str">
        <f>IF(ISBLANK(I288),"x",IF(ISNUMBER(MATCH(I288,'Inputs Mapping'!$AF$5:$AF$199,0)),"","x"))</f>
        <v>x</v>
      </c>
      <c r="AE288" s="655" t="str">
        <f t="shared" si="166"/>
        <v>Dubai</v>
      </c>
      <c r="AF288" s="148"/>
      <c r="AG288" s="148"/>
      <c r="AH288" s="148" t="str">
        <f t="shared" si="167"/>
        <v>ADubai</v>
      </c>
      <c r="AI288" s="654" t="str">
        <f>IF(J288="","",VLOOKUP(J288,'Inputs Mapping'!$T$27:$V$31,3))</f>
        <v>18-40</v>
      </c>
      <c r="AJ288" s="654" t="str">
        <f>IF(J288="","",VLOOKUP(J288,'Inputs Mapping'!$T$17:$V$24,3))</f>
        <v>36 - 45</v>
      </c>
      <c r="AK288" s="654">
        <f t="shared" si="155"/>
        <v>0</v>
      </c>
      <c r="AL288" s="655">
        <f t="shared" si="156"/>
        <v>0</v>
      </c>
      <c r="AM288" s="655">
        <f>IF(F288="","",IF(G288="Dubai",HLOOKUP(F288,Inputs!$C$26:$M$36,5,0),HLOOKUP(F288,Inputs!$C$45:$M$49,5,0)))</f>
        <v>0</v>
      </c>
      <c r="AN288" s="655" t="str">
        <f t="shared" si="157"/>
        <v>Dubai</v>
      </c>
      <c r="AO288" s="654">
        <f>IF(AJ288="","",IF(AN288="Dubai",VLOOKUP(AJ288,'Inputs Mapping'!$V$17:$W$24,2,0),VLOOKUP(AI288,'Inputs Mapping'!$V$27:$W$31,2,0)))</f>
        <v>4</v>
      </c>
      <c r="AP288" s="685">
        <f>IFERROR(IF($AN288="","",HLOOKUP($AN288&amp;RIGHT($AL288,1),'input for formula'!$B$16:$I$20,3,0)),0)</f>
        <v>0</v>
      </c>
      <c r="AQ288" s="686">
        <f>IFERROR(IF($AN288="","",HLOOKUP($AN288&amp;$F288,'input for formula'!$B$22:$M$25,2,0)),0)</f>
        <v>0</v>
      </c>
      <c r="AR288" s="685">
        <f>IFERROR(IF($AN288="","",HLOOKUP($AN288&amp;RIGHT($AL288,1),'input for formula'!$B$16:$I$20,4,0)),0)</f>
        <v>0</v>
      </c>
      <c r="AS288" s="686">
        <f>IFERROR(IF($AN288="","",HLOOKUP($AN288&amp;$F288,'input for formula'!$B$22:$M$25,3,0)),0)</f>
        <v>0</v>
      </c>
      <c r="AT288" s="686">
        <f>IFERROR(IF($AN288="","",HLOOKUP($AN288&amp;RIGHT($AL288,1),'input for formula'!$B$16:$I$20,5,0)),0)</f>
        <v>0</v>
      </c>
      <c r="AU288" s="686">
        <f>IFERROR(IF($AN288="","",HLOOKUP($AN288&amp;$F288,'input for formula'!$B$22:$M$25,4,0)),0)</f>
        <v>0</v>
      </c>
      <c r="AV288" s="666">
        <f>IFERROR(IF($AN288="","",IF('Census Data'!$AN288="Abu Dhabi",VLOOKUP('Census Data'!$AM288,'input for formula'!$A$28:$C$41,3,0),VLOOKUP('Census Data'!$AM288,'input for formula'!$A$28:$C$47,2,0))),0)*IFERROR(1+IF(AN288="Dubai",VLOOKUP(F288,'Quotation for Dubai Plans'!$V$6:$X$12,3,FALSE),VLOOKUP(F288,'Quotation for Abu Dhabi Plans'!$W$6:$Y$12,3,FALSE)),0)</f>
        <v>0</v>
      </c>
      <c r="AW288" s="686">
        <f t="shared" si="158"/>
        <v>0</v>
      </c>
      <c r="AX288" s="687">
        <f>IFERROR(IF(AL288="","",IF(AN288="Dubai",HLOOKUP((AL288&amp;AM288),Deviation!$B$7:$S$8,2,0)*BF288*BH288*BI288*BG288,HLOOKUP((AL288&amp;AM288),Deviation!$B$9:$O$10,2,0)*BF288*BH288*BI288*BG288)),0)</f>
        <v>0</v>
      </c>
      <c r="AY288" s="668">
        <f>IF(AL288="","",IFERROR(IF(AL288="","",IF(AN288="Dubai",HLOOKUP(AZ288,'input for formula'!$B$3:$F$10,AO288,FALSE), IF(AND(H288="Employee",AN288="Abu Dhabi"),HLOOKUP(AZ288,'input for formula'!$I$3:$K$7,AO288,FALSE),HLOOKUP(AZ288,'input for formula'!$M$3:$O$7,AO288,FALSE)))*AX288+AP288*AQ288+AR288*AS288+AT288*AU288),0)*$AZ$3*BK288*BJ288)*IF(AND(Inputs!$C$19&gt;19,Inputs!$C$19&lt;30),(1+$AZ$2),1)</f>
        <v>0</v>
      </c>
      <c r="AZ288" s="148" t="str">
        <f t="shared" si="163"/>
        <v>Dubai0</v>
      </c>
      <c r="BA288" s="688">
        <f>IF(F288="","",IF(G288="Dubai",HLOOKUP(F288,Inputs!$C$26:$M$37,9,0),HLOOKUP(F288,Inputs!$C$45:$M$56,9,0)))</f>
        <v>0</v>
      </c>
      <c r="BB288" s="689">
        <f>IF(F288="","",IF(G288="Dubai",HLOOKUP(F288,Inputs!$C$26:$M$37,10,0),HLOOKUP(F288,Inputs!$C$45:$M$56,10,0)))</f>
        <v>0</v>
      </c>
      <c r="BC288" s="689">
        <f>IF(F288="","",IF(G288="Dubai",HLOOKUP(F288,Inputs!$C$26:$M$37,11,0),HLOOKUP(F288,Inputs!$C$45:$M$56,11,0)))</f>
        <v>0</v>
      </c>
      <c r="BD288" s="688">
        <f>IF(F288="","",IF(G288="Dubai",HLOOKUP(F288,Inputs!$C$26:$M$37,12,0),HLOOKUP(F288,Inputs!$C$45:$M$56,12,0)))</f>
        <v>0</v>
      </c>
      <c r="BE288" s="654"/>
      <c r="BF288" s="688">
        <f>IFERROR(IF(AL288="","",IF(AN288="Dubai",IF(OR(AL288="Plan1",AL288="Plan2"),VLOOKUP(BA288,Deviation!$B$31:$D$33,2,FALSE),VLOOKUP(BA288,Deviation!$B$31:$D$33,3,FALSE)),IF(OR(AL288="Plan1",AL288="Plan2"),VLOOKUP(BA288,Deviation!$E$31:$AE$33,2,FALSE),VLOOKUP(BA288,Deviation!$E$31:$AE$33,3,FALSE)))),0)</f>
        <v>1.125</v>
      </c>
      <c r="BG288" s="690">
        <f>IFERROR(IF(AL288="","",IF(AN288="Dubai",IF(AL288="Plan1",VLOOKUP(BB288,Deviation!$B$39:$C$40,2,FALSE),IF(AL288="Plan2",VLOOKUP(BB288,Deviation!$B$42:$C$43,2,FALSE),IF(AL288="Plan5",VLOOKUP(BB288,Deviation!$B$48:$C$49,2,FALSE),VLOOKUP(BB288,Deviation!$B$45:$C$46,2,FALSE)))),IF(AL288="Plan1",VLOOKUP(BB288,Deviation!$E$39:$F$40,2,FALSE),IF(AL288="Plan2",VLOOKUP(BB288,Deviation!$E$42:$F$43,2,FALSE),VLOOKUP(BB288,Deviation!$E$45:$F$46,2,FALSE))))),0)</f>
        <v>0</v>
      </c>
      <c r="BH288" s="690">
        <f>IFERROR(IF(AL288="","",IF(AN288="Dubai",IF(OR(AL288="Plan1",AL288="Plan2"),VLOOKUP(BC288,Deviation!$B$15:$D$19,2,FALSE),VLOOKUP(BC288,Deviation!$B$15:$D$19,3,FALSE)),IF(OR(AL288="Plan1",AL288="Plan2"),VLOOKUP(BC288,Deviation!$E$15:$AE$19,2,FALSE),VLOOKUP(BC288,Deviation!$E$15:$AE$19,3,FALSE)))),0)</f>
        <v>0</v>
      </c>
      <c r="BI288" s="691">
        <f>IFERROR(IF(AL288="","",IF(AN288="Dubai",VLOOKUP(BD288,Deviation!$B$24:$C$26,2,FALSE),100%)),0)</f>
        <v>1.06</v>
      </c>
      <c r="BJ288" s="672">
        <f>IF(AE288="Abu Dhabi",1,IFERROR(VLOOKUP(AM288,Deviation!$B$67:$E$79,MATCH('Census Data'!AA288,Deviation!$B$66:$E$66,0),0),1))</f>
        <v>1</v>
      </c>
      <c r="BK288" s="659">
        <f>IFERROR(VLOOKUP(I288,Deviation!$B$54:$C$62,2,0),1)</f>
        <v>1</v>
      </c>
      <c r="BL288" s="148"/>
      <c r="BM288" s="148"/>
      <c r="BN288" s="148"/>
      <c r="BO288" s="148"/>
      <c r="BP288" s="148"/>
      <c r="BQ288" s="148"/>
      <c r="BR288" s="148"/>
      <c r="BS288" s="148"/>
      <c r="BT288" s="148">
        <f t="shared" si="168"/>
        <v>0</v>
      </c>
    </row>
    <row r="289" spans="1:72" ht="15" hidden="1" x14ac:dyDescent="0.25">
      <c r="A289" s="94"/>
      <c r="B289" s="470"/>
      <c r="C289" s="94"/>
      <c r="D289" s="94" t="s">
        <v>175</v>
      </c>
      <c r="E289" s="94" t="s">
        <v>173</v>
      </c>
      <c r="F289" s="94" t="s">
        <v>63</v>
      </c>
      <c r="G289" s="94" t="s">
        <v>170</v>
      </c>
      <c r="H289" s="94"/>
      <c r="I289" s="94"/>
      <c r="J289" s="80">
        <v>59</v>
      </c>
      <c r="K289" s="59">
        <f>IF(F289="","",IF(G289="Dubai",HLOOKUP(F289,Inputs!$C$26:$M$28,3,0),HLOOKUP(F289,Inputs!$C$45:$M$46,2,0)))</f>
        <v>0</v>
      </c>
      <c r="L289" s="94"/>
      <c r="M289" s="105">
        <f t="shared" si="159"/>
        <v>-2</v>
      </c>
      <c r="N289" s="654" t="b">
        <f t="shared" si="147"/>
        <v>1</v>
      </c>
      <c r="O289" s="655" t="str">
        <f t="shared" si="148"/>
        <v>x</v>
      </c>
      <c r="P289" s="655" t="str">
        <f t="shared" si="149"/>
        <v/>
      </c>
      <c r="Q289" s="655" t="str">
        <f t="shared" si="150"/>
        <v/>
      </c>
      <c r="R289" s="655" t="str">
        <f t="shared" si="151"/>
        <v/>
      </c>
      <c r="S289" s="655" t="str">
        <f t="shared" si="152"/>
        <v/>
      </c>
      <c r="T289" s="655" t="str">
        <f>IF(ISERROR(MATCH(G289,'Inputs Mapping'!$T$4:$T$5,0)),"x","")</f>
        <v/>
      </c>
      <c r="U289" s="655" t="str">
        <f>IF(ISERROR(MATCH(AA289,'Inputs Mapping'!$U$4:$U$5,0)),"x","")</f>
        <v>x</v>
      </c>
      <c r="V289" s="655" t="str">
        <f>IF(ISERROR(MATCH(AB289,'Inputs Mapping'!$V$4:$V$5,0)),"x","")</f>
        <v/>
      </c>
      <c r="W289" s="655" t="str">
        <f>IF(ISERROR(MATCH(F289,'Inputs Mapping'!$W$4:$W$8,0)),"x","")</f>
        <v/>
      </c>
      <c r="X289" s="655" t="str">
        <f t="shared" si="153"/>
        <v/>
      </c>
      <c r="Y289" s="655" t="str">
        <f t="shared" si="154"/>
        <v/>
      </c>
      <c r="Z289" s="655" t="str">
        <f t="shared" si="160"/>
        <v/>
      </c>
      <c r="AA289" s="655" t="str">
        <f t="shared" si="165"/>
        <v>M/F</v>
      </c>
      <c r="AB289" s="655" t="str">
        <f t="shared" si="161"/>
        <v>S</v>
      </c>
      <c r="AC289" s="655" t="str">
        <f t="shared" si="162"/>
        <v>x</v>
      </c>
      <c r="AD289" s="655" t="str">
        <f>IF(ISBLANK(I289),"x",IF(ISNUMBER(MATCH(I289,'Inputs Mapping'!$AF$5:$AF$199,0)),"","x"))</f>
        <v>x</v>
      </c>
      <c r="AE289" s="655" t="str">
        <f t="shared" si="166"/>
        <v>Dubai</v>
      </c>
      <c r="AF289" s="148"/>
      <c r="AG289" s="148"/>
      <c r="AH289" s="148" t="str">
        <f t="shared" si="167"/>
        <v>ADubai</v>
      </c>
      <c r="AI289" s="654" t="str">
        <f>IF(J289="","",VLOOKUP(J289,'Inputs Mapping'!$T$27:$V$31,3))</f>
        <v>41-59</v>
      </c>
      <c r="AJ289" s="654" t="str">
        <f>IF(J289="","",VLOOKUP(J289,'Inputs Mapping'!$T$17:$V$24,3))</f>
        <v>56 - 60</v>
      </c>
      <c r="AK289" s="654">
        <f t="shared" si="155"/>
        <v>0</v>
      </c>
      <c r="AL289" s="655">
        <f t="shared" si="156"/>
        <v>0</v>
      </c>
      <c r="AM289" s="655">
        <f>IF(F289="","",IF(G289="Dubai",HLOOKUP(F289,Inputs!$C$26:$M$36,5,0),HLOOKUP(F289,Inputs!$C$45:$M$49,5,0)))</f>
        <v>0</v>
      </c>
      <c r="AN289" s="655" t="str">
        <f t="shared" si="157"/>
        <v>Dubai</v>
      </c>
      <c r="AO289" s="654">
        <f>IF(AJ289="","",IF(AN289="Dubai",VLOOKUP(AJ289,'Inputs Mapping'!$V$17:$W$24,2,0),VLOOKUP(AI289,'Inputs Mapping'!$V$27:$W$31,2,0)))</f>
        <v>6</v>
      </c>
      <c r="AP289" s="685">
        <f>IFERROR(IF($AN289="","",HLOOKUP($AN289&amp;RIGHT($AL289,1),'input for formula'!$B$16:$I$20,3,0)),0)</f>
        <v>0</v>
      </c>
      <c r="AQ289" s="686">
        <f>IFERROR(IF($AN289="","",HLOOKUP($AN289&amp;$F289,'input for formula'!$B$22:$M$25,2,0)),0)</f>
        <v>0</v>
      </c>
      <c r="AR289" s="685">
        <f>IFERROR(IF($AN289="","",HLOOKUP($AN289&amp;RIGHT($AL289,1),'input for formula'!$B$16:$I$20,4,0)),0)</f>
        <v>0</v>
      </c>
      <c r="AS289" s="686">
        <f>IFERROR(IF($AN289="","",HLOOKUP($AN289&amp;$F289,'input for formula'!$B$22:$M$25,3,0)),0)</f>
        <v>0</v>
      </c>
      <c r="AT289" s="686">
        <f>IFERROR(IF($AN289="","",HLOOKUP($AN289&amp;RIGHT($AL289,1),'input for formula'!$B$16:$I$20,5,0)),0)</f>
        <v>0</v>
      </c>
      <c r="AU289" s="686">
        <f>IFERROR(IF($AN289="","",HLOOKUP($AN289&amp;$F289,'input for formula'!$B$22:$M$25,4,0)),0)</f>
        <v>0</v>
      </c>
      <c r="AV289" s="666">
        <f>IFERROR(IF($AN289="","",IF('Census Data'!$AN289="Abu Dhabi",VLOOKUP('Census Data'!$AM289,'input for formula'!$A$28:$C$41,3,0),VLOOKUP('Census Data'!$AM289,'input for formula'!$A$28:$C$47,2,0))),0)*IFERROR(1+IF(AN289="Dubai",VLOOKUP(F289,'Quotation for Dubai Plans'!$V$6:$X$12,3,FALSE),VLOOKUP(F289,'Quotation for Abu Dhabi Plans'!$W$6:$Y$12,3,FALSE)),0)</f>
        <v>0</v>
      </c>
      <c r="AW289" s="686">
        <f t="shared" si="158"/>
        <v>0</v>
      </c>
      <c r="AX289" s="687">
        <f>IFERROR(IF(AL289="","",IF(AN289="Dubai",HLOOKUP((AL289&amp;AM289),Deviation!$B$7:$S$8,2,0)*BF289*BH289*BI289*BG289,HLOOKUP((AL289&amp;AM289),Deviation!$B$9:$O$10,2,0)*BF289*BH289*BI289*BG289)),0)</f>
        <v>0</v>
      </c>
      <c r="AY289" s="668">
        <f>IF(AL289="","",IFERROR(IF(AL289="","",IF(AN289="Dubai",HLOOKUP(AZ289,'input for formula'!$B$3:$F$10,AO289,FALSE), IF(AND(H289="Employee",AN289="Abu Dhabi"),HLOOKUP(AZ289,'input for formula'!$I$3:$K$7,AO289,FALSE),HLOOKUP(AZ289,'input for formula'!$M$3:$O$7,AO289,FALSE)))*AX289+AP289*AQ289+AR289*AS289+AT289*AU289),0)*$AZ$3*BK289*BJ289)*IF(AND(Inputs!$C$19&gt;19,Inputs!$C$19&lt;30),(1+$AZ$2),1)</f>
        <v>0</v>
      </c>
      <c r="AZ289" s="148" t="str">
        <f t="shared" si="163"/>
        <v>Dubai0</v>
      </c>
      <c r="BA289" s="688">
        <f>IF(F289="","",IF(G289="Dubai",HLOOKUP(F289,Inputs!$C$26:$M$37,9,0),HLOOKUP(F289,Inputs!$C$45:$M$56,9,0)))</f>
        <v>0</v>
      </c>
      <c r="BB289" s="689">
        <f>IF(F289="","",IF(G289="Dubai",HLOOKUP(F289,Inputs!$C$26:$M$37,10,0),HLOOKUP(F289,Inputs!$C$45:$M$56,10,0)))</f>
        <v>0</v>
      </c>
      <c r="BC289" s="689">
        <f>IF(F289="","",IF(G289="Dubai",HLOOKUP(F289,Inputs!$C$26:$M$37,11,0),HLOOKUP(F289,Inputs!$C$45:$M$56,11,0)))</f>
        <v>0</v>
      </c>
      <c r="BD289" s="688">
        <f>IF(F289="","",IF(G289="Dubai",HLOOKUP(F289,Inputs!$C$26:$M$37,12,0),HLOOKUP(F289,Inputs!$C$45:$M$56,12,0)))</f>
        <v>0</v>
      </c>
      <c r="BE289" s="654"/>
      <c r="BF289" s="688">
        <f>IFERROR(IF(AL289="","",IF(AN289="Dubai",IF(OR(AL289="Plan1",AL289="Plan2"),VLOOKUP(BA289,Deviation!$B$31:$D$33,2,FALSE),VLOOKUP(BA289,Deviation!$B$31:$D$33,3,FALSE)),IF(OR(AL289="Plan1",AL289="Plan2"),VLOOKUP(BA289,Deviation!$E$31:$AE$33,2,FALSE),VLOOKUP(BA289,Deviation!$E$31:$AE$33,3,FALSE)))),0)</f>
        <v>1.125</v>
      </c>
      <c r="BG289" s="690">
        <f>IFERROR(IF(AL289="","",IF(AN289="Dubai",IF(AL289="Plan1",VLOOKUP(BB289,Deviation!$B$39:$C$40,2,FALSE),IF(AL289="Plan2",VLOOKUP(BB289,Deviation!$B$42:$C$43,2,FALSE),IF(AL289="Plan5",VLOOKUP(BB289,Deviation!$B$48:$C$49,2,FALSE),VLOOKUP(BB289,Deviation!$B$45:$C$46,2,FALSE)))),IF(AL289="Plan1",VLOOKUP(BB289,Deviation!$E$39:$F$40,2,FALSE),IF(AL289="Plan2",VLOOKUP(BB289,Deviation!$E$42:$F$43,2,FALSE),VLOOKUP(BB289,Deviation!$E$45:$F$46,2,FALSE))))),0)</f>
        <v>0</v>
      </c>
      <c r="BH289" s="690">
        <f>IFERROR(IF(AL289="","",IF(AN289="Dubai",IF(OR(AL289="Plan1",AL289="Plan2"),VLOOKUP(BC289,Deviation!$B$15:$D$19,2,FALSE),VLOOKUP(BC289,Deviation!$B$15:$D$19,3,FALSE)),IF(OR(AL289="Plan1",AL289="Plan2"),VLOOKUP(BC289,Deviation!$E$15:$AE$19,2,FALSE),VLOOKUP(BC289,Deviation!$E$15:$AE$19,3,FALSE)))),0)</f>
        <v>0</v>
      </c>
      <c r="BI289" s="691">
        <f>IFERROR(IF(AL289="","",IF(AN289="Dubai",VLOOKUP(BD289,Deviation!$B$24:$C$26,2,FALSE),100%)),0)</f>
        <v>1.06</v>
      </c>
      <c r="BJ289" s="672">
        <f>IF(AE289="Abu Dhabi",1,IFERROR(VLOOKUP(AM289,Deviation!$B$67:$E$79,MATCH('Census Data'!AA289,Deviation!$B$66:$E$66,0),0),1))</f>
        <v>1</v>
      </c>
      <c r="BK289" s="659">
        <f>IFERROR(VLOOKUP(I289,Deviation!$B$54:$C$62,2,0),1)</f>
        <v>1</v>
      </c>
      <c r="BL289" s="148"/>
      <c r="BM289" s="148"/>
      <c r="BN289" s="148"/>
      <c r="BO289" s="148"/>
      <c r="BP289" s="148"/>
      <c r="BQ289" s="148"/>
      <c r="BR289" s="148"/>
      <c r="BS289" s="148"/>
      <c r="BT289" s="148">
        <f t="shared" si="168"/>
        <v>0</v>
      </c>
    </row>
    <row r="290" spans="1:72" ht="15" hidden="1" x14ac:dyDescent="0.25">
      <c r="A290" s="94"/>
      <c r="B290" s="470"/>
      <c r="C290" s="94"/>
      <c r="D290" s="94" t="s">
        <v>175</v>
      </c>
      <c r="E290" s="94" t="s">
        <v>173</v>
      </c>
      <c r="F290" s="94" t="s">
        <v>63</v>
      </c>
      <c r="G290" s="94" t="s">
        <v>170</v>
      </c>
      <c r="H290" s="94"/>
      <c r="I290" s="94"/>
      <c r="J290" s="80">
        <v>67</v>
      </c>
      <c r="K290" s="59">
        <f>IF(F290="","",IF(G290="Dubai",HLOOKUP(F290,Inputs!$C$26:$M$28,3,0),HLOOKUP(F290,Inputs!$C$45:$M$46,2,0)))</f>
        <v>0</v>
      </c>
      <c r="L290" s="94"/>
      <c r="M290" s="105">
        <f t="shared" si="159"/>
        <v>-2</v>
      </c>
      <c r="N290" s="654" t="b">
        <f t="shared" si="147"/>
        <v>1</v>
      </c>
      <c r="O290" s="655" t="str">
        <f t="shared" si="148"/>
        <v>x</v>
      </c>
      <c r="P290" s="655" t="str">
        <f t="shared" si="149"/>
        <v/>
      </c>
      <c r="Q290" s="655" t="str">
        <f t="shared" si="150"/>
        <v/>
      </c>
      <c r="R290" s="655" t="str">
        <f t="shared" si="151"/>
        <v/>
      </c>
      <c r="S290" s="655" t="str">
        <f t="shared" si="152"/>
        <v/>
      </c>
      <c r="T290" s="655" t="str">
        <f>IF(ISERROR(MATCH(G290,'Inputs Mapping'!$T$4:$T$5,0)),"x","")</f>
        <v/>
      </c>
      <c r="U290" s="655" t="str">
        <f>IF(ISERROR(MATCH(AA290,'Inputs Mapping'!$U$4:$U$5,0)),"x","")</f>
        <v>x</v>
      </c>
      <c r="V290" s="655" t="str">
        <f>IF(ISERROR(MATCH(AB290,'Inputs Mapping'!$V$4:$V$5,0)),"x","")</f>
        <v/>
      </c>
      <c r="W290" s="655" t="str">
        <f>IF(ISERROR(MATCH(F290,'Inputs Mapping'!$W$4:$W$8,0)),"x","")</f>
        <v/>
      </c>
      <c r="X290" s="655" t="str">
        <f t="shared" si="153"/>
        <v/>
      </c>
      <c r="Y290" s="655" t="str">
        <f t="shared" si="154"/>
        <v/>
      </c>
      <c r="Z290" s="655" t="str">
        <f t="shared" si="160"/>
        <v/>
      </c>
      <c r="AA290" s="655" t="str">
        <f t="shared" si="165"/>
        <v>M/F</v>
      </c>
      <c r="AB290" s="655" t="str">
        <f t="shared" si="161"/>
        <v>S</v>
      </c>
      <c r="AC290" s="655" t="str">
        <f t="shared" si="162"/>
        <v>x</v>
      </c>
      <c r="AD290" s="655" t="str">
        <f>IF(ISBLANK(I290),"x",IF(ISNUMBER(MATCH(I290,'Inputs Mapping'!$AF$5:$AF$199,0)),"","x"))</f>
        <v>x</v>
      </c>
      <c r="AE290" s="655" t="str">
        <f t="shared" si="166"/>
        <v>Dubai</v>
      </c>
      <c r="AF290" s="148"/>
      <c r="AG290" s="148"/>
      <c r="AH290" s="148" t="str">
        <f t="shared" si="167"/>
        <v>ADubai</v>
      </c>
      <c r="AI290" s="654" t="str">
        <f>IF(J290="","",VLOOKUP(J290,'Inputs Mapping'!$T$27:$V$31,3))</f>
        <v>60-69</v>
      </c>
      <c r="AJ290" s="654" t="str">
        <f>IF(J290="","",VLOOKUP(J290,'Inputs Mapping'!$T$17:$V$24,3))</f>
        <v>66 - 69</v>
      </c>
      <c r="AK290" s="654">
        <f t="shared" si="155"/>
        <v>0</v>
      </c>
      <c r="AL290" s="655">
        <f t="shared" si="156"/>
        <v>0</v>
      </c>
      <c r="AM290" s="655">
        <f>IF(F290="","",IF(G290="Dubai",HLOOKUP(F290,Inputs!$C$26:$M$36,5,0),HLOOKUP(F290,Inputs!$C$45:$M$49,5,0)))</f>
        <v>0</v>
      </c>
      <c r="AN290" s="655" t="str">
        <f t="shared" si="157"/>
        <v>Dubai</v>
      </c>
      <c r="AO290" s="654">
        <f>IF(AJ290="","",IF(AN290="Dubai",VLOOKUP(AJ290,'Inputs Mapping'!$V$17:$W$24,2,0),VLOOKUP(AI290,'Inputs Mapping'!$V$27:$W$31,2,0)))</f>
        <v>8</v>
      </c>
      <c r="AP290" s="685">
        <f>IFERROR(IF($AN290="","",HLOOKUP($AN290&amp;RIGHT($AL290,1),'input for formula'!$B$16:$I$20,3,0)),0)</f>
        <v>0</v>
      </c>
      <c r="AQ290" s="686">
        <f>IFERROR(IF($AN290="","",HLOOKUP($AN290&amp;$F290,'input for formula'!$B$22:$M$25,2,0)),0)</f>
        <v>0</v>
      </c>
      <c r="AR290" s="685">
        <f>IFERROR(IF($AN290="","",HLOOKUP($AN290&amp;RIGHT($AL290,1),'input for formula'!$B$16:$I$20,4,0)),0)</f>
        <v>0</v>
      </c>
      <c r="AS290" s="686">
        <f>IFERROR(IF($AN290="","",HLOOKUP($AN290&amp;$F290,'input for formula'!$B$22:$M$25,3,0)),0)</f>
        <v>0</v>
      </c>
      <c r="AT290" s="686">
        <f>IFERROR(IF($AN290="","",HLOOKUP($AN290&amp;RIGHT($AL290,1),'input for formula'!$B$16:$I$20,5,0)),0)</f>
        <v>0</v>
      </c>
      <c r="AU290" s="686">
        <f>IFERROR(IF($AN290="","",HLOOKUP($AN290&amp;$F290,'input for formula'!$B$22:$M$25,4,0)),0)</f>
        <v>0</v>
      </c>
      <c r="AV290" s="666">
        <f>IFERROR(IF($AN290="","",IF('Census Data'!$AN290="Abu Dhabi",VLOOKUP('Census Data'!$AM290,'input for formula'!$A$28:$C$41,3,0),VLOOKUP('Census Data'!$AM290,'input for formula'!$A$28:$C$47,2,0))),0)*IFERROR(1+IF(AN290="Dubai",VLOOKUP(F290,'Quotation for Dubai Plans'!$V$6:$X$12,3,FALSE),VLOOKUP(F290,'Quotation for Abu Dhabi Plans'!$W$6:$Y$12,3,FALSE)),0)</f>
        <v>0</v>
      </c>
      <c r="AW290" s="686">
        <f t="shared" si="158"/>
        <v>0</v>
      </c>
      <c r="AX290" s="687">
        <f>IFERROR(IF(AL290="","",IF(AN290="Dubai",HLOOKUP((AL290&amp;AM290),Deviation!$B$7:$S$8,2,0)*BF290*BH290*BI290*BG290,HLOOKUP((AL290&amp;AM290),Deviation!$B$9:$O$10,2,0)*BF290*BH290*BI290*BG290)),0)</f>
        <v>0</v>
      </c>
      <c r="AY290" s="668">
        <f>IF(AL290="","",IFERROR(IF(AL290="","",IF(AN290="Dubai",HLOOKUP(AZ290,'input for formula'!$B$3:$F$10,AO290,FALSE), IF(AND(H290="Employee",AN290="Abu Dhabi"),HLOOKUP(AZ290,'input for formula'!$I$3:$K$7,AO290,FALSE),HLOOKUP(AZ290,'input for formula'!$M$3:$O$7,AO290,FALSE)))*AX290+AP290*AQ290+AR290*AS290+AT290*AU290),0)*$AZ$3*BK290*BJ290)*IF(AND(Inputs!$C$19&gt;19,Inputs!$C$19&lt;30),(1+$AZ$2),1)</f>
        <v>0</v>
      </c>
      <c r="AZ290" s="148" t="str">
        <f t="shared" si="163"/>
        <v>Dubai0</v>
      </c>
      <c r="BA290" s="688">
        <f>IF(F290="","",IF(G290="Dubai",HLOOKUP(F290,Inputs!$C$26:$M$37,9,0),HLOOKUP(F290,Inputs!$C$45:$M$56,9,0)))</f>
        <v>0</v>
      </c>
      <c r="BB290" s="689">
        <f>IF(F290="","",IF(G290="Dubai",HLOOKUP(F290,Inputs!$C$26:$M$37,10,0),HLOOKUP(F290,Inputs!$C$45:$M$56,10,0)))</f>
        <v>0</v>
      </c>
      <c r="BC290" s="689">
        <f>IF(F290="","",IF(G290="Dubai",HLOOKUP(F290,Inputs!$C$26:$M$37,11,0),HLOOKUP(F290,Inputs!$C$45:$M$56,11,0)))</f>
        <v>0</v>
      </c>
      <c r="BD290" s="688">
        <f>IF(F290="","",IF(G290="Dubai",HLOOKUP(F290,Inputs!$C$26:$M$37,12,0),HLOOKUP(F290,Inputs!$C$45:$M$56,12,0)))</f>
        <v>0</v>
      </c>
      <c r="BE290" s="654"/>
      <c r="BF290" s="688">
        <f>IFERROR(IF(AL290="","",IF(AN290="Dubai",IF(OR(AL290="Plan1",AL290="Plan2"),VLOOKUP(BA290,Deviation!$B$31:$D$33,2,FALSE),VLOOKUP(BA290,Deviation!$B$31:$D$33,3,FALSE)),IF(OR(AL290="Plan1",AL290="Plan2"),VLOOKUP(BA290,Deviation!$E$31:$AE$33,2,FALSE),VLOOKUP(BA290,Deviation!$E$31:$AE$33,3,FALSE)))),0)</f>
        <v>1.125</v>
      </c>
      <c r="BG290" s="690">
        <f>IFERROR(IF(AL290="","",IF(AN290="Dubai",IF(AL290="Plan1",VLOOKUP(BB290,Deviation!$B$39:$C$40,2,FALSE),IF(AL290="Plan2",VLOOKUP(BB290,Deviation!$B$42:$C$43,2,FALSE),IF(AL290="Plan5",VLOOKUP(BB290,Deviation!$B$48:$C$49,2,FALSE),VLOOKUP(BB290,Deviation!$B$45:$C$46,2,FALSE)))),IF(AL290="Plan1",VLOOKUP(BB290,Deviation!$E$39:$F$40,2,FALSE),IF(AL290="Plan2",VLOOKUP(BB290,Deviation!$E$42:$F$43,2,FALSE),VLOOKUP(BB290,Deviation!$E$45:$F$46,2,FALSE))))),0)</f>
        <v>0</v>
      </c>
      <c r="BH290" s="690">
        <f>IFERROR(IF(AL290="","",IF(AN290="Dubai",IF(OR(AL290="Plan1",AL290="Plan2"),VLOOKUP(BC290,Deviation!$B$15:$D$19,2,FALSE),VLOOKUP(BC290,Deviation!$B$15:$D$19,3,FALSE)),IF(OR(AL290="Plan1",AL290="Plan2"),VLOOKUP(BC290,Deviation!$E$15:$AE$19,2,FALSE),VLOOKUP(BC290,Deviation!$E$15:$AE$19,3,FALSE)))),0)</f>
        <v>0</v>
      </c>
      <c r="BI290" s="691">
        <f>IFERROR(IF(AL290="","",IF(AN290="Dubai",VLOOKUP(BD290,Deviation!$B$24:$C$26,2,FALSE),100%)),0)</f>
        <v>1.06</v>
      </c>
      <c r="BJ290" s="672">
        <f>IF(AE290="Abu Dhabi",1,IFERROR(VLOOKUP(AM290,Deviation!$B$67:$E$79,MATCH('Census Data'!AA290,Deviation!$B$66:$E$66,0),0),1))</f>
        <v>1</v>
      </c>
      <c r="BK290" s="659">
        <f>IFERROR(VLOOKUP(I290,Deviation!$B$54:$C$62,2,0),1)</f>
        <v>1</v>
      </c>
      <c r="BL290" s="148"/>
      <c r="BM290" s="148"/>
      <c r="BN290" s="148"/>
      <c r="BO290" s="148"/>
      <c r="BP290" s="148"/>
      <c r="BQ290" s="148"/>
      <c r="BR290" s="148"/>
      <c r="BS290" s="148"/>
      <c r="BT290" s="148">
        <f t="shared" si="168"/>
        <v>0</v>
      </c>
    </row>
    <row r="291" spans="1:72" ht="15" hidden="1" x14ac:dyDescent="0.25">
      <c r="A291" s="94"/>
      <c r="B291" s="470"/>
      <c r="C291" s="94"/>
      <c r="D291" s="94" t="s">
        <v>175</v>
      </c>
      <c r="E291" s="94" t="s">
        <v>173</v>
      </c>
      <c r="F291" s="94" t="s">
        <v>64</v>
      </c>
      <c r="G291" s="94" t="s">
        <v>170</v>
      </c>
      <c r="H291" s="94"/>
      <c r="I291" s="94"/>
      <c r="J291" s="80">
        <v>15</v>
      </c>
      <c r="K291" s="59">
        <f>IF(F291="","",IF(G291="Dubai",HLOOKUP(F291,Inputs!$C$26:$M$28,3,0),HLOOKUP(F291,Inputs!$C$45:$M$46,2,0)))</f>
        <v>0</v>
      </c>
      <c r="L291" s="94"/>
      <c r="M291" s="105">
        <f t="shared" si="159"/>
        <v>-2</v>
      </c>
      <c r="N291" s="654" t="b">
        <f t="shared" si="147"/>
        <v>1</v>
      </c>
      <c r="O291" s="655" t="str">
        <f t="shared" si="148"/>
        <v>x</v>
      </c>
      <c r="P291" s="655" t="str">
        <f t="shared" si="149"/>
        <v/>
      </c>
      <c r="Q291" s="655" t="str">
        <f t="shared" si="150"/>
        <v/>
      </c>
      <c r="R291" s="655" t="str">
        <f t="shared" si="151"/>
        <v/>
      </c>
      <c r="S291" s="655" t="str">
        <f t="shared" si="152"/>
        <v/>
      </c>
      <c r="T291" s="655" t="str">
        <f>IF(ISERROR(MATCH(G291,'Inputs Mapping'!$T$4:$T$5,0)),"x","")</f>
        <v/>
      </c>
      <c r="U291" s="655" t="str">
        <f>IF(ISERROR(MATCH(AA291,'Inputs Mapping'!$U$4:$U$5,0)),"x","")</f>
        <v>x</v>
      </c>
      <c r="V291" s="655" t="str">
        <f>IF(ISERROR(MATCH(AB291,'Inputs Mapping'!$V$4:$V$5,0)),"x","")</f>
        <v/>
      </c>
      <c r="W291" s="655" t="str">
        <f>IF(ISERROR(MATCH(F291,'Inputs Mapping'!$W$4:$W$8,0)),"x","")</f>
        <v/>
      </c>
      <c r="X291" s="655" t="str">
        <f t="shared" si="153"/>
        <v/>
      </c>
      <c r="Y291" s="655" t="str">
        <f t="shared" si="154"/>
        <v/>
      </c>
      <c r="Z291" s="655" t="str">
        <f t="shared" si="160"/>
        <v/>
      </c>
      <c r="AA291" s="655" t="str">
        <f t="shared" si="165"/>
        <v>M/F</v>
      </c>
      <c r="AB291" s="655" t="str">
        <f t="shared" si="161"/>
        <v>S</v>
      </c>
      <c r="AC291" s="655" t="str">
        <f t="shared" si="162"/>
        <v>x</v>
      </c>
      <c r="AD291" s="655" t="str">
        <f>IF(ISBLANK(I291),"x",IF(ISNUMBER(MATCH(I291,'Inputs Mapping'!$AF$5:$AF$199,0)),"","x"))</f>
        <v>x</v>
      </c>
      <c r="AE291" s="655" t="str">
        <f t="shared" si="166"/>
        <v>Dubai</v>
      </c>
      <c r="AF291" s="148"/>
      <c r="AG291" s="148"/>
      <c r="AH291" s="148" t="str">
        <f t="shared" si="167"/>
        <v>BDubai</v>
      </c>
      <c r="AI291" s="654" t="str">
        <f>IF(J291="","",VLOOKUP(J291,'Inputs Mapping'!$T$27:$V$31,3))</f>
        <v>0-17</v>
      </c>
      <c r="AJ291" s="654" t="str">
        <f>IF(J291="","",VLOOKUP(J291,'Inputs Mapping'!$T$17:$V$24,3))</f>
        <v>0 - 17</v>
      </c>
      <c r="AK291" s="654">
        <f t="shared" si="155"/>
        <v>0</v>
      </c>
      <c r="AL291" s="655">
        <f t="shared" si="156"/>
        <v>0</v>
      </c>
      <c r="AM291" s="655">
        <f>IF(F291="","",IF(G291="Dubai",HLOOKUP(F291,Inputs!$C$26:$M$36,5,0),HLOOKUP(F291,Inputs!$C$45:$M$49,5,0)))</f>
        <v>0</v>
      </c>
      <c r="AN291" s="655" t="str">
        <f t="shared" si="157"/>
        <v>Dubai</v>
      </c>
      <c r="AO291" s="654">
        <f>IF(AJ291="","",IF(AN291="Dubai",VLOOKUP(AJ291,'Inputs Mapping'!$V$17:$W$24,2,0),VLOOKUP(AI291,'Inputs Mapping'!$V$27:$W$31,2,0)))</f>
        <v>2</v>
      </c>
      <c r="AP291" s="685">
        <f>IFERROR(IF($AN291="","",HLOOKUP($AN291&amp;RIGHT($AL291,1),'input for formula'!$B$16:$I$20,3,0)),0)</f>
        <v>0</v>
      </c>
      <c r="AQ291" s="686">
        <f>IFERROR(IF($AN291="","",HLOOKUP($AN291&amp;$F291,'input for formula'!$B$22:$M$25,2,0)),0)</f>
        <v>0</v>
      </c>
      <c r="AR291" s="685">
        <f>IFERROR(IF($AN291="","",HLOOKUP($AN291&amp;RIGHT($AL291,1),'input for formula'!$B$16:$I$20,4,0)),0)</f>
        <v>0</v>
      </c>
      <c r="AS291" s="686">
        <f>IFERROR(IF($AN291="","",HLOOKUP($AN291&amp;$F291,'input for formula'!$B$22:$M$25,3,0)),0)</f>
        <v>0</v>
      </c>
      <c r="AT291" s="686">
        <f>IFERROR(IF($AN291="","",HLOOKUP($AN291&amp;RIGHT($AL291,1),'input for formula'!$B$16:$I$20,5,0)),0)</f>
        <v>0</v>
      </c>
      <c r="AU291" s="686">
        <f>IFERROR(IF($AN291="","",HLOOKUP($AN291&amp;$F291,'input for formula'!$B$22:$M$25,4,0)),0)</f>
        <v>0</v>
      </c>
      <c r="AV291" s="666">
        <f>IFERROR(IF($AN291="","",IF('Census Data'!$AN291="Abu Dhabi",VLOOKUP('Census Data'!$AM291,'input for formula'!$A$28:$C$41,3,0),VLOOKUP('Census Data'!$AM291,'input for formula'!$A$28:$C$47,2,0))),0)*IFERROR(1+IF(AN291="Dubai",VLOOKUP(F291,'Quotation for Dubai Plans'!$V$6:$X$12,3,FALSE),VLOOKUP(F291,'Quotation for Abu Dhabi Plans'!$W$6:$Y$12,3,FALSE)),0)</f>
        <v>0</v>
      </c>
      <c r="AW291" s="686">
        <f t="shared" si="158"/>
        <v>0</v>
      </c>
      <c r="AX291" s="687">
        <f>IFERROR(IF(AL291="","",IF(AN291="Dubai",HLOOKUP((AL291&amp;AM291),Deviation!$B$7:$S$8,2,0)*BF291*BH291*BI291*BG291,HLOOKUP((AL291&amp;AM291),Deviation!$B$9:$O$10,2,0)*BF291*BH291*BI291*BG291)),0)</f>
        <v>0</v>
      </c>
      <c r="AY291" s="668">
        <f>IF(AL291="","",IFERROR(IF(AL291="","",IF(AN291="Dubai",HLOOKUP(AZ291,'input for formula'!$B$3:$F$10,AO291,FALSE), IF(AND(H291="Employee",AN291="Abu Dhabi"),HLOOKUP(AZ291,'input for formula'!$I$3:$K$7,AO291,FALSE),HLOOKUP(AZ291,'input for formula'!$M$3:$O$7,AO291,FALSE)))*AX291+AP291*AQ291+AR291*AS291+AT291*AU291),0)*$AZ$3*BK291*BJ291)*IF(AND(Inputs!$C$19&gt;19,Inputs!$C$19&lt;30),(1+$AZ$2),1)</f>
        <v>0</v>
      </c>
      <c r="AZ291" s="148" t="str">
        <f t="shared" si="163"/>
        <v>Dubai0</v>
      </c>
      <c r="BA291" s="688">
        <f>IF(F291="","",IF(G291="Dubai",HLOOKUP(F291,Inputs!$C$26:$M$37,9,0),HLOOKUP(F291,Inputs!$C$45:$M$56,9,0)))</f>
        <v>0</v>
      </c>
      <c r="BB291" s="689">
        <f>IF(F291="","",IF(G291="Dubai",HLOOKUP(F291,Inputs!$C$26:$M$37,10,0),HLOOKUP(F291,Inputs!$C$45:$M$56,10,0)))</f>
        <v>0</v>
      </c>
      <c r="BC291" s="689">
        <f>IF(F291="","",IF(G291="Dubai",HLOOKUP(F291,Inputs!$C$26:$M$37,11,0),HLOOKUP(F291,Inputs!$C$45:$M$56,11,0)))</f>
        <v>0</v>
      </c>
      <c r="BD291" s="688">
        <f>IF(F291="","",IF(G291="Dubai",HLOOKUP(F291,Inputs!$C$26:$M$37,12,0),HLOOKUP(F291,Inputs!$C$45:$M$56,12,0)))</f>
        <v>0</v>
      </c>
      <c r="BE291" s="654"/>
      <c r="BF291" s="688">
        <f>IFERROR(IF(AL291="","",IF(AN291="Dubai",IF(OR(AL291="Plan1",AL291="Plan2"),VLOOKUP(BA291,Deviation!$B$31:$D$33,2,FALSE),VLOOKUP(BA291,Deviation!$B$31:$D$33,3,FALSE)),IF(OR(AL291="Plan1",AL291="Plan2"),VLOOKUP(BA291,Deviation!$E$31:$AE$33,2,FALSE),VLOOKUP(BA291,Deviation!$E$31:$AE$33,3,FALSE)))),0)</f>
        <v>1.125</v>
      </c>
      <c r="BG291" s="690">
        <f>IFERROR(IF(AL291="","",IF(AN291="Dubai",IF(AL291="Plan1",VLOOKUP(BB291,Deviation!$B$39:$C$40,2,FALSE),IF(AL291="Plan2",VLOOKUP(BB291,Deviation!$B$42:$C$43,2,FALSE),IF(AL291="Plan5",VLOOKUP(BB291,Deviation!$B$48:$C$49,2,FALSE),VLOOKUP(BB291,Deviation!$B$45:$C$46,2,FALSE)))),IF(AL291="Plan1",VLOOKUP(BB291,Deviation!$E$39:$F$40,2,FALSE),IF(AL291="Plan2",VLOOKUP(BB291,Deviation!$E$42:$F$43,2,FALSE),VLOOKUP(BB291,Deviation!$E$45:$F$46,2,FALSE))))),0)</f>
        <v>0</v>
      </c>
      <c r="BH291" s="690">
        <f>IFERROR(IF(AL291="","",IF(AN291="Dubai",IF(OR(AL291="Plan1",AL291="Plan2"),VLOOKUP(BC291,Deviation!$B$15:$D$19,2,FALSE),VLOOKUP(BC291,Deviation!$B$15:$D$19,3,FALSE)),IF(OR(AL291="Plan1",AL291="Plan2"),VLOOKUP(BC291,Deviation!$E$15:$AE$19,2,FALSE),VLOOKUP(BC291,Deviation!$E$15:$AE$19,3,FALSE)))),0)</f>
        <v>0</v>
      </c>
      <c r="BI291" s="691">
        <f>IFERROR(IF(AL291="","",IF(AN291="Dubai",VLOOKUP(BD291,Deviation!$B$24:$C$26,2,FALSE),100%)),0)</f>
        <v>1.06</v>
      </c>
      <c r="BJ291" s="672">
        <f>IF(AE291="Abu Dhabi",1,IFERROR(VLOOKUP(AM291,Deviation!$B$67:$E$79,MATCH('Census Data'!AA291,Deviation!$B$66:$E$66,0),0),1))</f>
        <v>1</v>
      </c>
      <c r="BK291" s="659">
        <f>IFERROR(VLOOKUP(I291,Deviation!$B$54:$C$62,2,0),1)</f>
        <v>1</v>
      </c>
      <c r="BL291" s="148"/>
      <c r="BM291" s="148"/>
      <c r="BN291" s="148"/>
      <c r="BO291" s="148"/>
      <c r="BP291" s="148"/>
      <c r="BQ291" s="148"/>
      <c r="BR291" s="148"/>
      <c r="BS291" s="148"/>
      <c r="BT291" s="148">
        <f t="shared" si="168"/>
        <v>0</v>
      </c>
    </row>
    <row r="292" spans="1:72" ht="15" hidden="1" x14ac:dyDescent="0.25">
      <c r="A292" s="94"/>
      <c r="B292" s="470"/>
      <c r="C292" s="94"/>
      <c r="D292" s="94" t="s">
        <v>175</v>
      </c>
      <c r="E292" s="94" t="s">
        <v>173</v>
      </c>
      <c r="F292" s="94" t="s">
        <v>64</v>
      </c>
      <c r="G292" s="94" t="s">
        <v>170</v>
      </c>
      <c r="H292" s="94"/>
      <c r="I292" s="94"/>
      <c r="J292" s="80">
        <v>40</v>
      </c>
      <c r="K292" s="59">
        <f>IF(F292="","",IF(G292="Dubai",HLOOKUP(F292,Inputs!$C$26:$M$28,3,0),HLOOKUP(F292,Inputs!$C$45:$M$46,2,0)))</f>
        <v>0</v>
      </c>
      <c r="L292" s="94"/>
      <c r="M292" s="105">
        <f t="shared" si="159"/>
        <v>-2</v>
      </c>
      <c r="N292" s="654" t="b">
        <f t="shared" si="147"/>
        <v>1</v>
      </c>
      <c r="O292" s="655" t="str">
        <f t="shared" si="148"/>
        <v>x</v>
      </c>
      <c r="P292" s="655" t="str">
        <f t="shared" si="149"/>
        <v/>
      </c>
      <c r="Q292" s="655" t="str">
        <f t="shared" si="150"/>
        <v/>
      </c>
      <c r="R292" s="655" t="str">
        <f t="shared" si="151"/>
        <v/>
      </c>
      <c r="S292" s="655" t="str">
        <f t="shared" si="152"/>
        <v/>
      </c>
      <c r="T292" s="655" t="str">
        <f>IF(ISERROR(MATCH(G292,'Inputs Mapping'!$T$4:$T$5,0)),"x","")</f>
        <v/>
      </c>
      <c r="U292" s="655" t="str">
        <f>IF(ISERROR(MATCH(AA292,'Inputs Mapping'!$U$4:$U$5,0)),"x","")</f>
        <v>x</v>
      </c>
      <c r="V292" s="655" t="str">
        <f>IF(ISERROR(MATCH(AB292,'Inputs Mapping'!$V$4:$V$5,0)),"x","")</f>
        <v/>
      </c>
      <c r="W292" s="655" t="str">
        <f>IF(ISERROR(MATCH(F292,'Inputs Mapping'!$W$4:$W$8,0)),"x","")</f>
        <v/>
      </c>
      <c r="X292" s="655" t="str">
        <f t="shared" si="153"/>
        <v/>
      </c>
      <c r="Y292" s="655" t="str">
        <f t="shared" si="154"/>
        <v/>
      </c>
      <c r="Z292" s="655" t="str">
        <f t="shared" si="160"/>
        <v/>
      </c>
      <c r="AA292" s="655" t="str">
        <f t="shared" si="165"/>
        <v>M/F</v>
      </c>
      <c r="AB292" s="655" t="str">
        <f t="shared" si="161"/>
        <v>S</v>
      </c>
      <c r="AC292" s="655" t="str">
        <f t="shared" si="162"/>
        <v>x</v>
      </c>
      <c r="AD292" s="655" t="str">
        <f>IF(ISBLANK(I292),"x",IF(ISNUMBER(MATCH(I292,'Inputs Mapping'!$AF$5:$AF$199,0)),"","x"))</f>
        <v>x</v>
      </c>
      <c r="AE292" s="655" t="str">
        <f t="shared" si="166"/>
        <v>Dubai</v>
      </c>
      <c r="AF292" s="148"/>
      <c r="AG292" s="148"/>
      <c r="AH292" s="148" t="str">
        <f t="shared" si="167"/>
        <v>BDubai</v>
      </c>
      <c r="AI292" s="654" t="str">
        <f>IF(J292="","",VLOOKUP(J292,'Inputs Mapping'!$T$27:$V$31,3))</f>
        <v>18-40</v>
      </c>
      <c r="AJ292" s="654" t="str">
        <f>IF(J292="","",VLOOKUP(J292,'Inputs Mapping'!$T$17:$V$24,3))</f>
        <v>36 - 45</v>
      </c>
      <c r="AK292" s="654">
        <f t="shared" si="155"/>
        <v>0</v>
      </c>
      <c r="AL292" s="655">
        <f t="shared" si="156"/>
        <v>0</v>
      </c>
      <c r="AM292" s="655">
        <f>IF(F292="","",IF(G292="Dubai",HLOOKUP(F292,Inputs!$C$26:$M$36,5,0),HLOOKUP(F292,Inputs!$C$45:$M$49,5,0)))</f>
        <v>0</v>
      </c>
      <c r="AN292" s="655" t="str">
        <f t="shared" si="157"/>
        <v>Dubai</v>
      </c>
      <c r="AO292" s="654">
        <f>IF(AJ292="","",IF(AN292="Dubai",VLOOKUP(AJ292,'Inputs Mapping'!$V$17:$W$24,2,0),VLOOKUP(AI292,'Inputs Mapping'!$V$27:$W$31,2,0)))</f>
        <v>4</v>
      </c>
      <c r="AP292" s="685">
        <f>IFERROR(IF($AN292="","",HLOOKUP($AN292&amp;RIGHT($AL292,1),'input for formula'!$B$16:$I$20,3,0)),0)</f>
        <v>0</v>
      </c>
      <c r="AQ292" s="686">
        <f>IFERROR(IF($AN292="","",HLOOKUP($AN292&amp;$F292,'input for formula'!$B$22:$M$25,2,0)),0)</f>
        <v>0</v>
      </c>
      <c r="AR292" s="685">
        <f>IFERROR(IF($AN292="","",HLOOKUP($AN292&amp;RIGHT($AL292,1),'input for formula'!$B$16:$I$20,4,0)),0)</f>
        <v>0</v>
      </c>
      <c r="AS292" s="686">
        <f>IFERROR(IF($AN292="","",HLOOKUP($AN292&amp;$F292,'input for formula'!$B$22:$M$25,3,0)),0)</f>
        <v>0</v>
      </c>
      <c r="AT292" s="686">
        <f>IFERROR(IF($AN292="","",HLOOKUP($AN292&amp;RIGHT($AL292,1),'input for formula'!$B$16:$I$20,5,0)),0)</f>
        <v>0</v>
      </c>
      <c r="AU292" s="686">
        <f>IFERROR(IF($AN292="","",HLOOKUP($AN292&amp;$F292,'input for formula'!$B$22:$M$25,4,0)),0)</f>
        <v>0</v>
      </c>
      <c r="AV292" s="666">
        <f>IFERROR(IF($AN292="","",IF('Census Data'!$AN292="Abu Dhabi",VLOOKUP('Census Data'!$AM292,'input for formula'!$A$28:$C$41,3,0),VLOOKUP('Census Data'!$AM292,'input for formula'!$A$28:$C$47,2,0))),0)*IFERROR(1+IF(AN292="Dubai",VLOOKUP(F292,'Quotation for Dubai Plans'!$V$6:$X$12,3,FALSE),VLOOKUP(F292,'Quotation for Abu Dhabi Plans'!$W$6:$Y$12,3,FALSE)),0)</f>
        <v>0</v>
      </c>
      <c r="AW292" s="686">
        <f t="shared" si="158"/>
        <v>0</v>
      </c>
      <c r="AX292" s="687">
        <f>IFERROR(IF(AL292="","",IF(AN292="Dubai",HLOOKUP((AL292&amp;AM292),Deviation!$B$7:$S$8,2,0)*BF292*BH292*BI292*BG292,HLOOKUP((AL292&amp;AM292),Deviation!$B$9:$O$10,2,0)*BF292*BH292*BI292*BG292)),0)</f>
        <v>0</v>
      </c>
      <c r="AY292" s="668">
        <f>IF(AL292="","",IFERROR(IF(AL292="","",IF(AN292="Dubai",HLOOKUP(AZ292,'input for formula'!$B$3:$F$10,AO292,FALSE), IF(AND(H292="Employee",AN292="Abu Dhabi"),HLOOKUP(AZ292,'input for formula'!$I$3:$K$7,AO292,FALSE),HLOOKUP(AZ292,'input for formula'!$M$3:$O$7,AO292,FALSE)))*AX292+AP292*AQ292+AR292*AS292+AT292*AU292),0)*$AZ$3*BK292*BJ292)*IF(AND(Inputs!$C$19&gt;19,Inputs!$C$19&lt;30),(1+$AZ$2),1)</f>
        <v>0</v>
      </c>
      <c r="AZ292" s="148" t="str">
        <f t="shared" si="163"/>
        <v>Dubai0</v>
      </c>
      <c r="BA292" s="688">
        <f>IF(F292="","",IF(G292="Dubai",HLOOKUP(F292,Inputs!$C$26:$M$37,9,0),HLOOKUP(F292,Inputs!$C$45:$M$56,9,0)))</f>
        <v>0</v>
      </c>
      <c r="BB292" s="689">
        <f>IF(F292="","",IF(G292="Dubai",HLOOKUP(F292,Inputs!$C$26:$M$37,10,0),HLOOKUP(F292,Inputs!$C$45:$M$56,10,0)))</f>
        <v>0</v>
      </c>
      <c r="BC292" s="689">
        <f>IF(F292="","",IF(G292="Dubai",HLOOKUP(F292,Inputs!$C$26:$M$37,11,0),HLOOKUP(F292,Inputs!$C$45:$M$56,11,0)))</f>
        <v>0</v>
      </c>
      <c r="BD292" s="688">
        <f>IF(F292="","",IF(G292="Dubai",HLOOKUP(F292,Inputs!$C$26:$M$37,12,0),HLOOKUP(F292,Inputs!$C$45:$M$56,12,0)))</f>
        <v>0</v>
      </c>
      <c r="BE292" s="654"/>
      <c r="BF292" s="688">
        <f>IFERROR(IF(AL292="","",IF(AN292="Dubai",IF(OR(AL292="Plan1",AL292="Plan2"),VLOOKUP(BA292,Deviation!$B$31:$D$33,2,FALSE),VLOOKUP(BA292,Deviation!$B$31:$D$33,3,FALSE)),IF(OR(AL292="Plan1",AL292="Plan2"),VLOOKUP(BA292,Deviation!$E$31:$AE$33,2,FALSE),VLOOKUP(BA292,Deviation!$E$31:$AE$33,3,FALSE)))),0)</f>
        <v>1.125</v>
      </c>
      <c r="BG292" s="690">
        <f>IFERROR(IF(AL292="","",IF(AN292="Dubai",IF(AL292="Plan1",VLOOKUP(BB292,Deviation!$B$39:$C$40,2,FALSE),IF(AL292="Plan2",VLOOKUP(BB292,Deviation!$B$42:$C$43,2,FALSE),IF(AL292="Plan5",VLOOKUP(BB292,Deviation!$B$48:$C$49,2,FALSE),VLOOKUP(BB292,Deviation!$B$45:$C$46,2,FALSE)))),IF(AL292="Plan1",VLOOKUP(BB292,Deviation!$E$39:$F$40,2,FALSE),IF(AL292="Plan2",VLOOKUP(BB292,Deviation!$E$42:$F$43,2,FALSE),VLOOKUP(BB292,Deviation!$E$45:$F$46,2,FALSE))))),0)</f>
        <v>0</v>
      </c>
      <c r="BH292" s="690">
        <f>IFERROR(IF(AL292="","",IF(AN292="Dubai",IF(OR(AL292="Plan1",AL292="Plan2"),VLOOKUP(BC292,Deviation!$B$15:$D$19,2,FALSE),VLOOKUP(BC292,Deviation!$B$15:$D$19,3,FALSE)),IF(OR(AL292="Plan1",AL292="Plan2"),VLOOKUP(BC292,Deviation!$E$15:$AE$19,2,FALSE),VLOOKUP(BC292,Deviation!$E$15:$AE$19,3,FALSE)))),0)</f>
        <v>0</v>
      </c>
      <c r="BI292" s="691">
        <f>IFERROR(IF(AL292="","",IF(AN292="Dubai",VLOOKUP(BD292,Deviation!$B$24:$C$26,2,FALSE),100%)),0)</f>
        <v>1.06</v>
      </c>
      <c r="BJ292" s="672">
        <f>IF(AE292="Abu Dhabi",1,IFERROR(VLOOKUP(AM292,Deviation!$B$67:$E$79,MATCH('Census Data'!AA292,Deviation!$B$66:$E$66,0),0),1))</f>
        <v>1</v>
      </c>
      <c r="BK292" s="659">
        <f>IFERROR(VLOOKUP(I292,Deviation!$B$54:$C$62,2,0),1)</f>
        <v>1</v>
      </c>
      <c r="BL292" s="148"/>
      <c r="BM292" s="148"/>
      <c r="BN292" s="148"/>
      <c r="BO292" s="148"/>
      <c r="BP292" s="148"/>
      <c r="BQ292" s="148"/>
      <c r="BR292" s="148"/>
      <c r="BS292" s="148"/>
      <c r="BT292" s="148">
        <f t="shared" si="168"/>
        <v>0</v>
      </c>
    </row>
    <row r="293" spans="1:72" ht="15" hidden="1" x14ac:dyDescent="0.25">
      <c r="A293" s="94"/>
      <c r="B293" s="470"/>
      <c r="C293" s="94"/>
      <c r="D293" s="94" t="s">
        <v>175</v>
      </c>
      <c r="E293" s="94" t="s">
        <v>173</v>
      </c>
      <c r="F293" s="94" t="s">
        <v>64</v>
      </c>
      <c r="G293" s="94" t="s">
        <v>170</v>
      </c>
      <c r="H293" s="94"/>
      <c r="I293" s="94"/>
      <c r="J293" s="80">
        <v>59</v>
      </c>
      <c r="K293" s="59">
        <f>IF(F293="","",IF(G293="Dubai",HLOOKUP(F293,Inputs!$C$26:$M$28,3,0),HLOOKUP(F293,Inputs!$C$45:$M$46,2,0)))</f>
        <v>0</v>
      </c>
      <c r="L293" s="94"/>
      <c r="M293" s="105">
        <f t="shared" si="159"/>
        <v>-2</v>
      </c>
      <c r="N293" s="654" t="b">
        <f t="shared" si="147"/>
        <v>1</v>
      </c>
      <c r="O293" s="655" t="str">
        <f t="shared" si="148"/>
        <v>x</v>
      </c>
      <c r="P293" s="655" t="str">
        <f t="shared" si="149"/>
        <v/>
      </c>
      <c r="Q293" s="655" t="str">
        <f t="shared" si="150"/>
        <v/>
      </c>
      <c r="R293" s="655" t="str">
        <f t="shared" si="151"/>
        <v/>
      </c>
      <c r="S293" s="655" t="str">
        <f t="shared" si="152"/>
        <v/>
      </c>
      <c r="T293" s="655" t="str">
        <f>IF(ISERROR(MATCH(G293,'Inputs Mapping'!$T$4:$T$5,0)),"x","")</f>
        <v/>
      </c>
      <c r="U293" s="655" t="str">
        <f>IF(ISERROR(MATCH(AA293,'Inputs Mapping'!$U$4:$U$5,0)),"x","")</f>
        <v>x</v>
      </c>
      <c r="V293" s="655" t="str">
        <f>IF(ISERROR(MATCH(AB293,'Inputs Mapping'!$V$4:$V$5,0)),"x","")</f>
        <v/>
      </c>
      <c r="W293" s="655" t="str">
        <f>IF(ISERROR(MATCH(F293,'Inputs Mapping'!$W$4:$W$8,0)),"x","")</f>
        <v/>
      </c>
      <c r="X293" s="655" t="str">
        <f t="shared" si="153"/>
        <v/>
      </c>
      <c r="Y293" s="655" t="str">
        <f t="shared" si="154"/>
        <v/>
      </c>
      <c r="Z293" s="655" t="str">
        <f t="shared" si="160"/>
        <v/>
      </c>
      <c r="AA293" s="655" t="str">
        <f t="shared" si="165"/>
        <v>M/F</v>
      </c>
      <c r="AB293" s="655" t="str">
        <f t="shared" si="161"/>
        <v>S</v>
      </c>
      <c r="AC293" s="655" t="str">
        <f t="shared" si="162"/>
        <v>x</v>
      </c>
      <c r="AD293" s="655" t="str">
        <f>IF(ISBLANK(I293),"x",IF(ISNUMBER(MATCH(I293,'Inputs Mapping'!$AF$5:$AF$199,0)),"","x"))</f>
        <v>x</v>
      </c>
      <c r="AE293" s="655" t="str">
        <f t="shared" si="166"/>
        <v>Dubai</v>
      </c>
      <c r="AF293" s="148"/>
      <c r="AG293" s="148"/>
      <c r="AH293" s="148" t="str">
        <f t="shared" si="167"/>
        <v>BDubai</v>
      </c>
      <c r="AI293" s="654" t="str">
        <f>IF(J293="","",VLOOKUP(J293,'Inputs Mapping'!$T$27:$V$31,3))</f>
        <v>41-59</v>
      </c>
      <c r="AJ293" s="654" t="str">
        <f>IF(J293="","",VLOOKUP(J293,'Inputs Mapping'!$T$17:$V$24,3))</f>
        <v>56 - 60</v>
      </c>
      <c r="AK293" s="654">
        <f t="shared" si="155"/>
        <v>0</v>
      </c>
      <c r="AL293" s="655">
        <f t="shared" si="156"/>
        <v>0</v>
      </c>
      <c r="AM293" s="655">
        <f>IF(F293="","",IF(G293="Dubai",HLOOKUP(F293,Inputs!$C$26:$M$36,5,0),HLOOKUP(F293,Inputs!$C$45:$M$49,5,0)))</f>
        <v>0</v>
      </c>
      <c r="AN293" s="655" t="str">
        <f t="shared" si="157"/>
        <v>Dubai</v>
      </c>
      <c r="AO293" s="654">
        <f>IF(AJ293="","",IF(AN293="Dubai",VLOOKUP(AJ293,'Inputs Mapping'!$V$17:$W$24,2,0),VLOOKUP(AI293,'Inputs Mapping'!$V$27:$W$31,2,0)))</f>
        <v>6</v>
      </c>
      <c r="AP293" s="685">
        <f>IFERROR(IF($AN293="","",HLOOKUP($AN293&amp;RIGHT($AL293,1),'input for formula'!$B$16:$I$20,3,0)),0)</f>
        <v>0</v>
      </c>
      <c r="AQ293" s="686">
        <f>IFERROR(IF($AN293="","",HLOOKUP($AN293&amp;$F293,'input for formula'!$B$22:$M$25,2,0)),0)</f>
        <v>0</v>
      </c>
      <c r="AR293" s="685">
        <f>IFERROR(IF($AN293="","",HLOOKUP($AN293&amp;RIGHT($AL293,1),'input for formula'!$B$16:$I$20,4,0)),0)</f>
        <v>0</v>
      </c>
      <c r="AS293" s="686">
        <f>IFERROR(IF($AN293="","",HLOOKUP($AN293&amp;$F293,'input for formula'!$B$22:$M$25,3,0)),0)</f>
        <v>0</v>
      </c>
      <c r="AT293" s="686">
        <f>IFERROR(IF($AN293="","",HLOOKUP($AN293&amp;RIGHT($AL293,1),'input for formula'!$B$16:$I$20,5,0)),0)</f>
        <v>0</v>
      </c>
      <c r="AU293" s="686">
        <f>IFERROR(IF($AN293="","",HLOOKUP($AN293&amp;$F293,'input for formula'!$B$22:$M$25,4,0)),0)</f>
        <v>0</v>
      </c>
      <c r="AV293" s="666">
        <f>IFERROR(IF($AN293="","",IF('Census Data'!$AN293="Abu Dhabi",VLOOKUP('Census Data'!$AM293,'input for formula'!$A$28:$C$41,3,0),VLOOKUP('Census Data'!$AM293,'input for formula'!$A$28:$C$47,2,0))),0)*IFERROR(1+IF(AN293="Dubai",VLOOKUP(F293,'Quotation for Dubai Plans'!$V$6:$X$12,3,FALSE),VLOOKUP(F293,'Quotation for Abu Dhabi Plans'!$W$6:$Y$12,3,FALSE)),0)</f>
        <v>0</v>
      </c>
      <c r="AW293" s="686">
        <f t="shared" si="158"/>
        <v>0</v>
      </c>
      <c r="AX293" s="687">
        <f>IFERROR(IF(AL293="","",IF(AN293="Dubai",HLOOKUP((AL293&amp;AM293),Deviation!$B$7:$S$8,2,0)*BF293*BH293*BI293*BG293,HLOOKUP((AL293&amp;AM293),Deviation!$B$9:$O$10,2,0)*BF293*BH293*BI293*BG293)),0)</f>
        <v>0</v>
      </c>
      <c r="AY293" s="668">
        <f>IF(AL293="","",IFERROR(IF(AL293="","",IF(AN293="Dubai",HLOOKUP(AZ293,'input for formula'!$B$3:$F$10,AO293,FALSE), IF(AND(H293="Employee",AN293="Abu Dhabi"),HLOOKUP(AZ293,'input for formula'!$I$3:$K$7,AO293,FALSE),HLOOKUP(AZ293,'input for formula'!$M$3:$O$7,AO293,FALSE)))*AX293+AP293*AQ293+AR293*AS293+AT293*AU293),0)*$AZ$3*BK293*BJ293)*IF(AND(Inputs!$C$19&gt;19,Inputs!$C$19&lt;30),(1+$AZ$2),1)</f>
        <v>0</v>
      </c>
      <c r="AZ293" s="148" t="str">
        <f t="shared" si="163"/>
        <v>Dubai0</v>
      </c>
      <c r="BA293" s="688">
        <f>IF(F293="","",IF(G293="Dubai",HLOOKUP(F293,Inputs!$C$26:$M$37,9,0),HLOOKUP(F293,Inputs!$C$45:$M$56,9,0)))</f>
        <v>0</v>
      </c>
      <c r="BB293" s="689">
        <f>IF(F293="","",IF(G293="Dubai",HLOOKUP(F293,Inputs!$C$26:$M$37,10,0),HLOOKUP(F293,Inputs!$C$45:$M$56,10,0)))</f>
        <v>0</v>
      </c>
      <c r="BC293" s="689">
        <f>IF(F293="","",IF(G293="Dubai",HLOOKUP(F293,Inputs!$C$26:$M$37,11,0),HLOOKUP(F293,Inputs!$C$45:$M$56,11,0)))</f>
        <v>0</v>
      </c>
      <c r="BD293" s="688">
        <f>IF(F293="","",IF(G293="Dubai",HLOOKUP(F293,Inputs!$C$26:$M$37,12,0),HLOOKUP(F293,Inputs!$C$45:$M$56,12,0)))</f>
        <v>0</v>
      </c>
      <c r="BE293" s="654"/>
      <c r="BF293" s="688">
        <f>IFERROR(IF(AL293="","",IF(AN293="Dubai",IF(OR(AL293="Plan1",AL293="Plan2"),VLOOKUP(BA293,Deviation!$B$31:$D$33,2,FALSE),VLOOKUP(BA293,Deviation!$B$31:$D$33,3,FALSE)),IF(OR(AL293="Plan1",AL293="Plan2"),VLOOKUP(BA293,Deviation!$E$31:$AE$33,2,FALSE),VLOOKUP(BA293,Deviation!$E$31:$AE$33,3,FALSE)))),0)</f>
        <v>1.125</v>
      </c>
      <c r="BG293" s="690">
        <f>IFERROR(IF(AL293="","",IF(AN293="Dubai",IF(AL293="Plan1",VLOOKUP(BB293,Deviation!$B$39:$C$40,2,FALSE),IF(AL293="Plan2",VLOOKUP(BB293,Deviation!$B$42:$C$43,2,FALSE),IF(AL293="Plan5",VLOOKUP(BB293,Deviation!$B$48:$C$49,2,FALSE),VLOOKUP(BB293,Deviation!$B$45:$C$46,2,FALSE)))),IF(AL293="Plan1",VLOOKUP(BB293,Deviation!$E$39:$F$40,2,FALSE),IF(AL293="Plan2",VLOOKUP(BB293,Deviation!$E$42:$F$43,2,FALSE),VLOOKUP(BB293,Deviation!$E$45:$F$46,2,FALSE))))),0)</f>
        <v>0</v>
      </c>
      <c r="BH293" s="690">
        <f>IFERROR(IF(AL293="","",IF(AN293="Dubai",IF(OR(AL293="Plan1",AL293="Plan2"),VLOOKUP(BC293,Deviation!$B$15:$D$19,2,FALSE),VLOOKUP(BC293,Deviation!$B$15:$D$19,3,FALSE)),IF(OR(AL293="Plan1",AL293="Plan2"),VLOOKUP(BC293,Deviation!$E$15:$AE$19,2,FALSE),VLOOKUP(BC293,Deviation!$E$15:$AE$19,3,FALSE)))),0)</f>
        <v>0</v>
      </c>
      <c r="BI293" s="691">
        <f>IFERROR(IF(AL293="","",IF(AN293="Dubai",VLOOKUP(BD293,Deviation!$B$24:$C$26,2,FALSE),100%)),0)</f>
        <v>1.06</v>
      </c>
      <c r="BJ293" s="672">
        <f>IF(AE293="Abu Dhabi",1,IFERROR(VLOOKUP(AM293,Deviation!$B$67:$E$79,MATCH('Census Data'!AA293,Deviation!$B$66:$E$66,0),0),1))</f>
        <v>1</v>
      </c>
      <c r="BK293" s="659">
        <f>IFERROR(VLOOKUP(I293,Deviation!$B$54:$C$62,2,0),1)</f>
        <v>1</v>
      </c>
      <c r="BL293" s="148"/>
      <c r="BM293" s="148"/>
      <c r="BN293" s="148"/>
      <c r="BO293" s="148"/>
      <c r="BP293" s="148"/>
      <c r="BQ293" s="148"/>
      <c r="BR293" s="148"/>
      <c r="BS293" s="148"/>
      <c r="BT293" s="148">
        <f t="shared" si="168"/>
        <v>0</v>
      </c>
    </row>
    <row r="294" spans="1:72" ht="15" hidden="1" x14ac:dyDescent="0.25">
      <c r="A294" s="94"/>
      <c r="B294" s="470"/>
      <c r="C294" s="94"/>
      <c r="D294" s="94" t="s">
        <v>175</v>
      </c>
      <c r="E294" s="94" t="s">
        <v>173</v>
      </c>
      <c r="F294" s="94" t="s">
        <v>64</v>
      </c>
      <c r="G294" s="94" t="s">
        <v>170</v>
      </c>
      <c r="H294" s="94"/>
      <c r="I294" s="94"/>
      <c r="J294" s="80">
        <v>67</v>
      </c>
      <c r="K294" s="59">
        <f>IF(F294="","",IF(G294="Dubai",HLOOKUP(F294,Inputs!$C$26:$M$28,3,0),HLOOKUP(F294,Inputs!$C$45:$M$46,2,0)))</f>
        <v>0</v>
      </c>
      <c r="L294" s="94"/>
      <c r="M294" s="105">
        <f t="shared" si="159"/>
        <v>-2</v>
      </c>
      <c r="N294" s="654" t="b">
        <f t="shared" si="147"/>
        <v>1</v>
      </c>
      <c r="O294" s="655" t="str">
        <f t="shared" si="148"/>
        <v>x</v>
      </c>
      <c r="P294" s="655" t="str">
        <f t="shared" si="149"/>
        <v/>
      </c>
      <c r="Q294" s="655" t="str">
        <f t="shared" si="150"/>
        <v/>
      </c>
      <c r="R294" s="655" t="str">
        <f t="shared" si="151"/>
        <v/>
      </c>
      <c r="S294" s="655" t="str">
        <f t="shared" si="152"/>
        <v/>
      </c>
      <c r="T294" s="655" t="str">
        <f>IF(ISERROR(MATCH(G294,'Inputs Mapping'!$T$4:$T$5,0)),"x","")</f>
        <v/>
      </c>
      <c r="U294" s="655" t="str">
        <f>IF(ISERROR(MATCH(AA294,'Inputs Mapping'!$U$4:$U$5,0)),"x","")</f>
        <v>x</v>
      </c>
      <c r="V294" s="655" t="str">
        <f>IF(ISERROR(MATCH(AB294,'Inputs Mapping'!$V$4:$V$5,0)),"x","")</f>
        <v/>
      </c>
      <c r="W294" s="655" t="str">
        <f>IF(ISERROR(MATCH(F294,'Inputs Mapping'!$W$4:$W$8,0)),"x","")</f>
        <v/>
      </c>
      <c r="X294" s="655" t="str">
        <f t="shared" si="153"/>
        <v/>
      </c>
      <c r="Y294" s="655" t="str">
        <f t="shared" si="154"/>
        <v/>
      </c>
      <c r="Z294" s="655" t="str">
        <f t="shared" si="160"/>
        <v/>
      </c>
      <c r="AA294" s="655" t="str">
        <f t="shared" si="165"/>
        <v>M/F</v>
      </c>
      <c r="AB294" s="655" t="str">
        <f t="shared" si="161"/>
        <v>S</v>
      </c>
      <c r="AC294" s="655" t="str">
        <f t="shared" si="162"/>
        <v>x</v>
      </c>
      <c r="AD294" s="655" t="str">
        <f>IF(ISBLANK(I294),"x",IF(ISNUMBER(MATCH(I294,'Inputs Mapping'!$AF$5:$AF$199,0)),"","x"))</f>
        <v>x</v>
      </c>
      <c r="AE294" s="655" t="str">
        <f t="shared" si="166"/>
        <v>Dubai</v>
      </c>
      <c r="AF294" s="148"/>
      <c r="AG294" s="148"/>
      <c r="AH294" s="148" t="str">
        <f t="shared" si="167"/>
        <v>BDubai</v>
      </c>
      <c r="AI294" s="654" t="str">
        <f>IF(J294="","",VLOOKUP(J294,'Inputs Mapping'!$T$27:$V$31,3))</f>
        <v>60-69</v>
      </c>
      <c r="AJ294" s="654" t="str">
        <f>IF(J294="","",VLOOKUP(J294,'Inputs Mapping'!$T$17:$V$24,3))</f>
        <v>66 - 69</v>
      </c>
      <c r="AK294" s="654">
        <f t="shared" si="155"/>
        <v>0</v>
      </c>
      <c r="AL294" s="655">
        <f t="shared" si="156"/>
        <v>0</v>
      </c>
      <c r="AM294" s="655">
        <f>IF(F294="","",IF(G294="Dubai",HLOOKUP(F294,Inputs!$C$26:$M$36,5,0),HLOOKUP(F294,Inputs!$C$45:$M$49,5,0)))</f>
        <v>0</v>
      </c>
      <c r="AN294" s="655" t="str">
        <f t="shared" si="157"/>
        <v>Dubai</v>
      </c>
      <c r="AO294" s="654">
        <f>IF(AJ294="","",IF(AN294="Dubai",VLOOKUP(AJ294,'Inputs Mapping'!$V$17:$W$24,2,0),VLOOKUP(AI294,'Inputs Mapping'!$V$27:$W$31,2,0)))</f>
        <v>8</v>
      </c>
      <c r="AP294" s="685">
        <f>IFERROR(IF($AN294="","",HLOOKUP($AN294&amp;RIGHT($AL294,1),'input for formula'!$B$16:$I$20,3,0)),0)</f>
        <v>0</v>
      </c>
      <c r="AQ294" s="686">
        <f>IFERROR(IF($AN294="","",HLOOKUP($AN294&amp;$F294,'input for formula'!$B$22:$M$25,2,0)),0)</f>
        <v>0</v>
      </c>
      <c r="AR294" s="685">
        <f>IFERROR(IF($AN294="","",HLOOKUP($AN294&amp;RIGHT($AL294,1),'input for formula'!$B$16:$I$20,4,0)),0)</f>
        <v>0</v>
      </c>
      <c r="AS294" s="686">
        <f>IFERROR(IF($AN294="","",HLOOKUP($AN294&amp;$F294,'input for formula'!$B$22:$M$25,3,0)),0)</f>
        <v>0</v>
      </c>
      <c r="AT294" s="686">
        <f>IFERROR(IF($AN294="","",HLOOKUP($AN294&amp;RIGHT($AL294,1),'input for formula'!$B$16:$I$20,5,0)),0)</f>
        <v>0</v>
      </c>
      <c r="AU294" s="686">
        <f>IFERROR(IF($AN294="","",HLOOKUP($AN294&amp;$F294,'input for formula'!$B$22:$M$25,4,0)),0)</f>
        <v>0</v>
      </c>
      <c r="AV294" s="666">
        <f>IFERROR(IF($AN294="","",IF('Census Data'!$AN294="Abu Dhabi",VLOOKUP('Census Data'!$AM294,'input for formula'!$A$28:$C$41,3,0),VLOOKUP('Census Data'!$AM294,'input for formula'!$A$28:$C$47,2,0))),0)*IFERROR(1+IF(AN294="Dubai",VLOOKUP(F294,'Quotation for Dubai Plans'!$V$6:$X$12,3,FALSE),VLOOKUP(F294,'Quotation for Abu Dhabi Plans'!$W$6:$Y$12,3,FALSE)),0)</f>
        <v>0</v>
      </c>
      <c r="AW294" s="686">
        <f t="shared" si="158"/>
        <v>0</v>
      </c>
      <c r="AX294" s="687">
        <f>IFERROR(IF(AL294="","",IF(AN294="Dubai",HLOOKUP((AL294&amp;AM294),Deviation!$B$7:$S$8,2,0)*BF294*BH294*BI294*BG294,HLOOKUP((AL294&amp;AM294),Deviation!$B$9:$O$10,2,0)*BF294*BH294*BI294*BG294)),0)</f>
        <v>0</v>
      </c>
      <c r="AY294" s="668">
        <f>IF(AL294="","",IFERROR(IF(AL294="","",IF(AN294="Dubai",HLOOKUP(AZ294,'input for formula'!$B$3:$F$10,AO294,FALSE), IF(AND(H294="Employee",AN294="Abu Dhabi"),HLOOKUP(AZ294,'input for formula'!$I$3:$K$7,AO294,FALSE),HLOOKUP(AZ294,'input for formula'!$M$3:$O$7,AO294,FALSE)))*AX294+AP294*AQ294+AR294*AS294+AT294*AU294),0)*$AZ$3*BK294*BJ294)*IF(AND(Inputs!$C$19&gt;19,Inputs!$C$19&lt;30),(1+$AZ$2),1)</f>
        <v>0</v>
      </c>
      <c r="AZ294" s="148" t="str">
        <f t="shared" si="163"/>
        <v>Dubai0</v>
      </c>
      <c r="BA294" s="688">
        <f>IF(F294="","",IF(G294="Dubai",HLOOKUP(F294,Inputs!$C$26:$M$37,9,0),HLOOKUP(F294,Inputs!$C$45:$M$56,9,0)))</f>
        <v>0</v>
      </c>
      <c r="BB294" s="689">
        <f>IF(F294="","",IF(G294="Dubai",HLOOKUP(F294,Inputs!$C$26:$M$37,10,0),HLOOKUP(F294,Inputs!$C$45:$M$56,10,0)))</f>
        <v>0</v>
      </c>
      <c r="BC294" s="689">
        <f>IF(F294="","",IF(G294="Dubai",HLOOKUP(F294,Inputs!$C$26:$M$37,11,0),HLOOKUP(F294,Inputs!$C$45:$M$56,11,0)))</f>
        <v>0</v>
      </c>
      <c r="BD294" s="688">
        <f>IF(F294="","",IF(G294="Dubai",HLOOKUP(F294,Inputs!$C$26:$M$37,12,0),HLOOKUP(F294,Inputs!$C$45:$M$56,12,0)))</f>
        <v>0</v>
      </c>
      <c r="BE294" s="654"/>
      <c r="BF294" s="688">
        <f>IFERROR(IF(AL294="","",IF(AN294="Dubai",IF(OR(AL294="Plan1",AL294="Plan2"),VLOOKUP(BA294,Deviation!$B$31:$D$33,2,FALSE),VLOOKUP(BA294,Deviation!$B$31:$D$33,3,FALSE)),IF(OR(AL294="Plan1",AL294="Plan2"),VLOOKUP(BA294,Deviation!$E$31:$AE$33,2,FALSE),VLOOKUP(BA294,Deviation!$E$31:$AE$33,3,FALSE)))),0)</f>
        <v>1.125</v>
      </c>
      <c r="BG294" s="690">
        <f>IFERROR(IF(AL294="","",IF(AN294="Dubai",IF(AL294="Plan1",VLOOKUP(BB294,Deviation!$B$39:$C$40,2,FALSE),IF(AL294="Plan2",VLOOKUP(BB294,Deviation!$B$42:$C$43,2,FALSE),IF(AL294="Plan5",VLOOKUP(BB294,Deviation!$B$48:$C$49,2,FALSE),VLOOKUP(BB294,Deviation!$B$45:$C$46,2,FALSE)))),IF(AL294="Plan1",VLOOKUP(BB294,Deviation!$E$39:$F$40,2,FALSE),IF(AL294="Plan2",VLOOKUP(BB294,Deviation!$E$42:$F$43,2,FALSE),VLOOKUP(BB294,Deviation!$E$45:$F$46,2,FALSE))))),0)</f>
        <v>0</v>
      </c>
      <c r="BH294" s="690">
        <f>IFERROR(IF(AL294="","",IF(AN294="Dubai",IF(OR(AL294="Plan1",AL294="Plan2"),VLOOKUP(BC294,Deviation!$B$15:$D$19,2,FALSE),VLOOKUP(BC294,Deviation!$B$15:$D$19,3,FALSE)),IF(OR(AL294="Plan1",AL294="Plan2"),VLOOKUP(BC294,Deviation!$E$15:$AE$19,2,FALSE),VLOOKUP(BC294,Deviation!$E$15:$AE$19,3,FALSE)))),0)</f>
        <v>0</v>
      </c>
      <c r="BI294" s="691">
        <f>IFERROR(IF(AL294="","",IF(AN294="Dubai",VLOOKUP(BD294,Deviation!$B$24:$C$26,2,FALSE),100%)),0)</f>
        <v>1.06</v>
      </c>
      <c r="BJ294" s="672">
        <f>IF(AE294="Abu Dhabi",1,IFERROR(VLOOKUP(AM294,Deviation!$B$67:$E$79,MATCH('Census Data'!AA294,Deviation!$B$66:$E$66,0),0),1))</f>
        <v>1</v>
      </c>
      <c r="BK294" s="659">
        <f>IFERROR(VLOOKUP(I294,Deviation!$B$54:$C$62,2,0),1)</f>
        <v>1</v>
      </c>
      <c r="BL294" s="148"/>
      <c r="BM294" s="148"/>
      <c r="BN294" s="148"/>
      <c r="BO294" s="148"/>
      <c r="BP294" s="148"/>
      <c r="BQ294" s="148"/>
      <c r="BR294" s="148"/>
      <c r="BS294" s="148"/>
      <c r="BT294" s="148">
        <f t="shared" si="168"/>
        <v>0</v>
      </c>
    </row>
    <row r="295" spans="1:72" ht="15" hidden="1" x14ac:dyDescent="0.25">
      <c r="A295" s="94"/>
      <c r="B295" s="470"/>
      <c r="C295" s="94"/>
      <c r="D295" s="94" t="s">
        <v>175</v>
      </c>
      <c r="E295" s="94" t="s">
        <v>173</v>
      </c>
      <c r="F295" s="94" t="s">
        <v>65</v>
      </c>
      <c r="G295" s="94" t="s">
        <v>170</v>
      </c>
      <c r="H295" s="94"/>
      <c r="I295" s="94"/>
      <c r="J295" s="80">
        <v>15</v>
      </c>
      <c r="K295" s="59">
        <f>IF(F295="","",IF(G295="Dubai",HLOOKUP(F295,Inputs!$C$26:$M$28,3,0),HLOOKUP(F295,Inputs!$C$45:$M$46,2,0)))</f>
        <v>0</v>
      </c>
      <c r="L295" s="94"/>
      <c r="M295" s="105">
        <f t="shared" si="159"/>
        <v>-2</v>
      </c>
      <c r="N295" s="654" t="b">
        <f t="shared" si="147"/>
        <v>1</v>
      </c>
      <c r="O295" s="655" t="str">
        <f t="shared" si="148"/>
        <v>x</v>
      </c>
      <c r="P295" s="655" t="str">
        <f t="shared" si="149"/>
        <v/>
      </c>
      <c r="Q295" s="655" t="str">
        <f t="shared" si="150"/>
        <v/>
      </c>
      <c r="R295" s="655" t="str">
        <f t="shared" si="151"/>
        <v/>
      </c>
      <c r="S295" s="655" t="str">
        <f t="shared" si="152"/>
        <v/>
      </c>
      <c r="T295" s="655" t="str">
        <f>IF(ISERROR(MATCH(G295,'Inputs Mapping'!$T$4:$T$5,0)),"x","")</f>
        <v/>
      </c>
      <c r="U295" s="655" t="str">
        <f>IF(ISERROR(MATCH(AA295,'Inputs Mapping'!$U$4:$U$5,0)),"x","")</f>
        <v>x</v>
      </c>
      <c r="V295" s="655" t="str">
        <f>IF(ISERROR(MATCH(AB295,'Inputs Mapping'!$V$4:$V$5,0)),"x","")</f>
        <v/>
      </c>
      <c r="W295" s="655" t="str">
        <f>IF(ISERROR(MATCH(F295,'Inputs Mapping'!$W$4:$W$8,0)),"x","")</f>
        <v/>
      </c>
      <c r="X295" s="655" t="str">
        <f t="shared" si="153"/>
        <v/>
      </c>
      <c r="Y295" s="655" t="str">
        <f t="shared" si="154"/>
        <v/>
      </c>
      <c r="Z295" s="655" t="str">
        <f t="shared" si="160"/>
        <v/>
      </c>
      <c r="AA295" s="655" t="str">
        <f t="shared" si="165"/>
        <v>M/F</v>
      </c>
      <c r="AB295" s="655" t="str">
        <f t="shared" si="161"/>
        <v>S</v>
      </c>
      <c r="AC295" s="655" t="str">
        <f t="shared" si="162"/>
        <v>x</v>
      </c>
      <c r="AD295" s="655" t="str">
        <f>IF(ISBLANK(I295),"x",IF(ISNUMBER(MATCH(I295,'Inputs Mapping'!$AF$5:$AF$199,0)),"","x"))</f>
        <v>x</v>
      </c>
      <c r="AE295" s="655" t="str">
        <f t="shared" si="166"/>
        <v>Dubai</v>
      </c>
      <c r="AF295" s="148"/>
      <c r="AG295" s="148"/>
      <c r="AH295" s="148" t="str">
        <f t="shared" si="167"/>
        <v>CDubai</v>
      </c>
      <c r="AI295" s="654" t="str">
        <f>IF(J295="","",VLOOKUP(J295,'Inputs Mapping'!$T$27:$V$31,3))</f>
        <v>0-17</v>
      </c>
      <c r="AJ295" s="654" t="str">
        <f>IF(J295="","",VLOOKUP(J295,'Inputs Mapping'!$T$17:$V$24,3))</f>
        <v>0 - 17</v>
      </c>
      <c r="AK295" s="654">
        <f t="shared" si="155"/>
        <v>0</v>
      </c>
      <c r="AL295" s="655">
        <f t="shared" si="156"/>
        <v>0</v>
      </c>
      <c r="AM295" s="655">
        <f>IF(F295="","",IF(G295="Dubai",HLOOKUP(F295,Inputs!$C$26:$M$36,5,0),HLOOKUP(F295,Inputs!$C$45:$M$49,5,0)))</f>
        <v>0</v>
      </c>
      <c r="AN295" s="655" t="str">
        <f t="shared" si="157"/>
        <v>Dubai</v>
      </c>
      <c r="AO295" s="654">
        <f>IF(AJ295="","",IF(AN295="Dubai",VLOOKUP(AJ295,'Inputs Mapping'!$V$17:$W$24,2,0),VLOOKUP(AI295,'Inputs Mapping'!$V$27:$W$31,2,0)))</f>
        <v>2</v>
      </c>
      <c r="AP295" s="685">
        <f>IFERROR(IF($AN295="","",HLOOKUP($AN295&amp;RIGHT($AL295,1),'input for formula'!$B$16:$I$20,3,0)),0)</f>
        <v>0</v>
      </c>
      <c r="AQ295" s="686">
        <f>IFERROR(IF($AN295="","",HLOOKUP($AN295&amp;$F295,'input for formula'!$B$22:$M$25,2,0)),0)</f>
        <v>0</v>
      </c>
      <c r="AR295" s="685">
        <f>IFERROR(IF($AN295="","",HLOOKUP($AN295&amp;RIGHT($AL295,1),'input for formula'!$B$16:$I$20,4,0)),0)</f>
        <v>0</v>
      </c>
      <c r="AS295" s="686">
        <f>IFERROR(IF($AN295="","",HLOOKUP($AN295&amp;$F295,'input for formula'!$B$22:$M$25,3,0)),0)</f>
        <v>0</v>
      </c>
      <c r="AT295" s="686">
        <f>IFERROR(IF($AN295="","",HLOOKUP($AN295&amp;RIGHT($AL295,1),'input for formula'!$B$16:$I$20,5,0)),0)</f>
        <v>0</v>
      </c>
      <c r="AU295" s="686">
        <f>IFERROR(IF($AN295="","",HLOOKUP($AN295&amp;$F295,'input for formula'!$B$22:$M$25,4,0)),0)</f>
        <v>0</v>
      </c>
      <c r="AV295" s="666">
        <f>IFERROR(IF($AN295="","",IF('Census Data'!$AN295="Abu Dhabi",VLOOKUP('Census Data'!$AM295,'input for formula'!$A$28:$C$41,3,0),VLOOKUP('Census Data'!$AM295,'input for formula'!$A$28:$C$47,2,0))),0)*IFERROR(1+IF(AN295="Dubai",VLOOKUP(F295,'Quotation for Dubai Plans'!$V$6:$X$12,3,FALSE),VLOOKUP(F295,'Quotation for Abu Dhabi Plans'!$W$6:$Y$12,3,FALSE)),0)</f>
        <v>0</v>
      </c>
      <c r="AW295" s="686">
        <f t="shared" si="158"/>
        <v>0</v>
      </c>
      <c r="AX295" s="687">
        <f>IFERROR(IF(AL295="","",IF(AN295="Dubai",HLOOKUP((AL295&amp;AM295),Deviation!$B$7:$S$8,2,0)*BF295*BH295*BI295*BG295,HLOOKUP((AL295&amp;AM295),Deviation!$B$9:$O$10,2,0)*BF295*BH295*BI295*BG295)),0)</f>
        <v>0</v>
      </c>
      <c r="AY295" s="668">
        <f>IF(AL295="","",IFERROR(IF(AL295="","",IF(AN295="Dubai",HLOOKUP(AZ295,'input for formula'!$B$3:$F$10,AO295,FALSE), IF(AND(H295="Employee",AN295="Abu Dhabi"),HLOOKUP(AZ295,'input for formula'!$I$3:$K$7,AO295,FALSE),HLOOKUP(AZ295,'input for formula'!$M$3:$O$7,AO295,FALSE)))*AX295+AP295*AQ295+AR295*AS295+AT295*AU295),0)*$AZ$3*BK295*BJ295)*IF(AND(Inputs!$C$19&gt;19,Inputs!$C$19&lt;30),(1+$AZ$2),1)</f>
        <v>0</v>
      </c>
      <c r="AZ295" s="148" t="str">
        <f t="shared" si="163"/>
        <v>Dubai0</v>
      </c>
      <c r="BA295" s="688">
        <f>IF(F295="","",IF(G295="Dubai",HLOOKUP(F295,Inputs!$C$26:$M$37,9,0),HLOOKUP(F295,Inputs!$C$45:$M$56,9,0)))</f>
        <v>0</v>
      </c>
      <c r="BB295" s="689">
        <f>IF(F295="","",IF(G295="Dubai",HLOOKUP(F295,Inputs!$C$26:$M$37,10,0),HLOOKUP(F295,Inputs!$C$45:$M$56,10,0)))</f>
        <v>0</v>
      </c>
      <c r="BC295" s="689">
        <f>IF(F295="","",IF(G295="Dubai",HLOOKUP(F295,Inputs!$C$26:$M$37,11,0),HLOOKUP(F295,Inputs!$C$45:$M$56,11,0)))</f>
        <v>0</v>
      </c>
      <c r="BD295" s="688">
        <f>IF(F295="","",IF(G295="Dubai",HLOOKUP(F295,Inputs!$C$26:$M$37,12,0),HLOOKUP(F295,Inputs!$C$45:$M$56,12,0)))</f>
        <v>0</v>
      </c>
      <c r="BE295" s="654"/>
      <c r="BF295" s="688">
        <f>IFERROR(IF(AL295="","",IF(AN295="Dubai",IF(OR(AL295="Plan1",AL295="Plan2"),VLOOKUP(BA295,Deviation!$B$31:$D$33,2,FALSE),VLOOKUP(BA295,Deviation!$B$31:$D$33,3,FALSE)),IF(OR(AL295="Plan1",AL295="Plan2"),VLOOKUP(BA295,Deviation!$E$31:$AE$33,2,FALSE),VLOOKUP(BA295,Deviation!$E$31:$AE$33,3,FALSE)))),0)</f>
        <v>1.125</v>
      </c>
      <c r="BG295" s="690">
        <f>IFERROR(IF(AL295="","",IF(AN295="Dubai",IF(AL295="Plan1",VLOOKUP(BB295,Deviation!$B$39:$C$40,2,FALSE),IF(AL295="Plan2",VLOOKUP(BB295,Deviation!$B$42:$C$43,2,FALSE),IF(AL295="Plan5",VLOOKUP(BB295,Deviation!$B$48:$C$49,2,FALSE),VLOOKUP(BB295,Deviation!$B$45:$C$46,2,FALSE)))),IF(AL295="Plan1",VLOOKUP(BB295,Deviation!$E$39:$F$40,2,FALSE),IF(AL295="Plan2",VLOOKUP(BB295,Deviation!$E$42:$F$43,2,FALSE),VLOOKUP(BB295,Deviation!$E$45:$F$46,2,FALSE))))),0)</f>
        <v>0</v>
      </c>
      <c r="BH295" s="690">
        <f>IFERROR(IF(AL295="","",IF(AN295="Dubai",IF(OR(AL295="Plan1",AL295="Plan2"),VLOOKUP(BC295,Deviation!$B$15:$D$19,2,FALSE),VLOOKUP(BC295,Deviation!$B$15:$D$19,3,FALSE)),IF(OR(AL295="Plan1",AL295="Plan2"),VLOOKUP(BC295,Deviation!$E$15:$AE$19,2,FALSE),VLOOKUP(BC295,Deviation!$E$15:$AE$19,3,FALSE)))),0)</f>
        <v>0</v>
      </c>
      <c r="BI295" s="691">
        <f>IFERROR(IF(AL295="","",IF(AN295="Dubai",VLOOKUP(BD295,Deviation!$B$24:$C$26,2,FALSE),100%)),0)</f>
        <v>1.06</v>
      </c>
      <c r="BJ295" s="672">
        <f>IF(AE295="Abu Dhabi",1,IFERROR(VLOOKUP(AM295,Deviation!$B$67:$E$79,MATCH('Census Data'!AA295,Deviation!$B$66:$E$66,0),0),1))</f>
        <v>1</v>
      </c>
      <c r="BK295" s="659">
        <f>IFERROR(VLOOKUP(I295,Deviation!$B$54:$C$62,2,0),1)</f>
        <v>1</v>
      </c>
      <c r="BL295" s="148"/>
      <c r="BM295" s="148"/>
      <c r="BN295" s="148"/>
      <c r="BO295" s="148"/>
      <c r="BP295" s="148"/>
      <c r="BQ295" s="148"/>
      <c r="BR295" s="148"/>
      <c r="BS295" s="148"/>
      <c r="BT295" s="148">
        <f t="shared" si="168"/>
        <v>0</v>
      </c>
    </row>
    <row r="296" spans="1:72" ht="15" hidden="1" x14ac:dyDescent="0.25">
      <c r="A296" s="94"/>
      <c r="B296" s="470"/>
      <c r="C296" s="94"/>
      <c r="D296" s="94" t="s">
        <v>175</v>
      </c>
      <c r="E296" s="94" t="s">
        <v>173</v>
      </c>
      <c r="F296" s="94" t="s">
        <v>65</v>
      </c>
      <c r="G296" s="94" t="s">
        <v>170</v>
      </c>
      <c r="H296" s="94"/>
      <c r="I296" s="94"/>
      <c r="J296" s="80">
        <v>40</v>
      </c>
      <c r="K296" s="59">
        <f>IF(F296="","",IF(G296="Dubai",HLOOKUP(F296,Inputs!$C$26:$M$28,3,0),HLOOKUP(F296,Inputs!$C$45:$M$46,2,0)))</f>
        <v>0</v>
      </c>
      <c r="L296" s="94"/>
      <c r="M296" s="105">
        <f t="shared" si="159"/>
        <v>-2</v>
      </c>
      <c r="N296" s="654" t="b">
        <f t="shared" si="147"/>
        <v>1</v>
      </c>
      <c r="O296" s="655" t="str">
        <f t="shared" si="148"/>
        <v>x</v>
      </c>
      <c r="P296" s="655" t="str">
        <f t="shared" si="149"/>
        <v/>
      </c>
      <c r="Q296" s="655" t="str">
        <f t="shared" si="150"/>
        <v/>
      </c>
      <c r="R296" s="655" t="str">
        <f t="shared" si="151"/>
        <v/>
      </c>
      <c r="S296" s="655" t="str">
        <f t="shared" si="152"/>
        <v/>
      </c>
      <c r="T296" s="655" t="str">
        <f>IF(ISERROR(MATCH(G296,'Inputs Mapping'!$T$4:$T$5,0)),"x","")</f>
        <v/>
      </c>
      <c r="U296" s="655" t="str">
        <f>IF(ISERROR(MATCH(AA296,'Inputs Mapping'!$U$4:$U$5,0)),"x","")</f>
        <v>x</v>
      </c>
      <c r="V296" s="655" t="str">
        <f>IF(ISERROR(MATCH(AB296,'Inputs Mapping'!$V$4:$V$5,0)),"x","")</f>
        <v/>
      </c>
      <c r="W296" s="655" t="str">
        <f>IF(ISERROR(MATCH(F296,'Inputs Mapping'!$W$4:$W$8,0)),"x","")</f>
        <v/>
      </c>
      <c r="X296" s="655" t="str">
        <f t="shared" si="153"/>
        <v/>
      </c>
      <c r="Y296" s="655" t="str">
        <f t="shared" si="154"/>
        <v/>
      </c>
      <c r="Z296" s="655" t="str">
        <f t="shared" si="160"/>
        <v/>
      </c>
      <c r="AA296" s="655" t="str">
        <f t="shared" si="165"/>
        <v>M/F</v>
      </c>
      <c r="AB296" s="655" t="str">
        <f t="shared" si="161"/>
        <v>S</v>
      </c>
      <c r="AC296" s="655" t="str">
        <f t="shared" si="162"/>
        <v>x</v>
      </c>
      <c r="AD296" s="655" t="str">
        <f>IF(ISBLANK(I296),"x",IF(ISNUMBER(MATCH(I296,'Inputs Mapping'!$AF$5:$AF$199,0)),"","x"))</f>
        <v>x</v>
      </c>
      <c r="AE296" s="655" t="str">
        <f t="shared" si="166"/>
        <v>Dubai</v>
      </c>
      <c r="AF296" s="148"/>
      <c r="AG296" s="148"/>
      <c r="AH296" s="148" t="str">
        <f t="shared" si="167"/>
        <v>CDubai</v>
      </c>
      <c r="AI296" s="654" t="str">
        <f>IF(J296="","",VLOOKUP(J296,'Inputs Mapping'!$T$27:$V$31,3))</f>
        <v>18-40</v>
      </c>
      <c r="AJ296" s="654" t="str">
        <f>IF(J296="","",VLOOKUP(J296,'Inputs Mapping'!$T$17:$V$24,3))</f>
        <v>36 - 45</v>
      </c>
      <c r="AK296" s="654">
        <f t="shared" si="155"/>
        <v>0</v>
      </c>
      <c r="AL296" s="655">
        <f t="shared" si="156"/>
        <v>0</v>
      </c>
      <c r="AM296" s="655">
        <f>IF(F296="","",IF(G296="Dubai",HLOOKUP(F296,Inputs!$C$26:$M$36,5,0),HLOOKUP(F296,Inputs!$C$45:$M$49,5,0)))</f>
        <v>0</v>
      </c>
      <c r="AN296" s="655" t="str">
        <f t="shared" si="157"/>
        <v>Dubai</v>
      </c>
      <c r="AO296" s="654">
        <f>IF(AJ296="","",IF(AN296="Dubai",VLOOKUP(AJ296,'Inputs Mapping'!$V$17:$W$24,2,0),VLOOKUP(AI296,'Inputs Mapping'!$V$27:$W$31,2,0)))</f>
        <v>4</v>
      </c>
      <c r="AP296" s="685">
        <f>IFERROR(IF($AN296="","",HLOOKUP($AN296&amp;RIGHT($AL296,1),'input for formula'!$B$16:$I$20,3,0)),0)</f>
        <v>0</v>
      </c>
      <c r="AQ296" s="686">
        <f>IFERROR(IF($AN296="","",HLOOKUP($AN296&amp;$F296,'input for formula'!$B$22:$M$25,2,0)),0)</f>
        <v>0</v>
      </c>
      <c r="AR296" s="685">
        <f>IFERROR(IF($AN296="","",HLOOKUP($AN296&amp;RIGHT($AL296,1),'input for formula'!$B$16:$I$20,4,0)),0)</f>
        <v>0</v>
      </c>
      <c r="AS296" s="686">
        <f>IFERROR(IF($AN296="","",HLOOKUP($AN296&amp;$F296,'input for formula'!$B$22:$M$25,3,0)),0)</f>
        <v>0</v>
      </c>
      <c r="AT296" s="686">
        <f>IFERROR(IF($AN296="","",HLOOKUP($AN296&amp;RIGHT($AL296,1),'input for formula'!$B$16:$I$20,5,0)),0)</f>
        <v>0</v>
      </c>
      <c r="AU296" s="686">
        <f>IFERROR(IF($AN296="","",HLOOKUP($AN296&amp;$F296,'input for formula'!$B$22:$M$25,4,0)),0)</f>
        <v>0</v>
      </c>
      <c r="AV296" s="666">
        <f>IFERROR(IF($AN296="","",IF('Census Data'!$AN296="Abu Dhabi",VLOOKUP('Census Data'!$AM296,'input for formula'!$A$28:$C$41,3,0),VLOOKUP('Census Data'!$AM296,'input for formula'!$A$28:$C$47,2,0))),0)*IFERROR(1+IF(AN296="Dubai",VLOOKUP(F296,'Quotation for Dubai Plans'!$V$6:$X$12,3,FALSE),VLOOKUP(F296,'Quotation for Abu Dhabi Plans'!$W$6:$Y$12,3,FALSE)),0)</f>
        <v>0</v>
      </c>
      <c r="AW296" s="686">
        <f t="shared" si="158"/>
        <v>0</v>
      </c>
      <c r="AX296" s="687">
        <f>IFERROR(IF(AL296="","",IF(AN296="Dubai",HLOOKUP((AL296&amp;AM296),Deviation!$B$7:$S$8,2,0)*BF296*BH296*BI296*BG296,HLOOKUP((AL296&amp;AM296),Deviation!$B$9:$O$10,2,0)*BF296*BH296*BI296*BG296)),0)</f>
        <v>0</v>
      </c>
      <c r="AY296" s="668">
        <f>IF(AL296="","",IFERROR(IF(AL296="","",IF(AN296="Dubai",HLOOKUP(AZ296,'input for formula'!$B$3:$F$10,AO296,FALSE), IF(AND(H296="Employee",AN296="Abu Dhabi"),HLOOKUP(AZ296,'input for formula'!$I$3:$K$7,AO296,FALSE),HLOOKUP(AZ296,'input for formula'!$M$3:$O$7,AO296,FALSE)))*AX296+AP296*AQ296+AR296*AS296+AT296*AU296),0)*$AZ$3*BK296*BJ296)*IF(AND(Inputs!$C$19&gt;19,Inputs!$C$19&lt;30),(1+$AZ$2),1)</f>
        <v>0</v>
      </c>
      <c r="AZ296" s="148" t="str">
        <f t="shared" si="163"/>
        <v>Dubai0</v>
      </c>
      <c r="BA296" s="688">
        <f>IF(F296="","",IF(G296="Dubai",HLOOKUP(F296,Inputs!$C$26:$M$37,9,0),HLOOKUP(F296,Inputs!$C$45:$M$56,9,0)))</f>
        <v>0</v>
      </c>
      <c r="BB296" s="689">
        <f>IF(F296="","",IF(G296="Dubai",HLOOKUP(F296,Inputs!$C$26:$M$37,10,0),HLOOKUP(F296,Inputs!$C$45:$M$56,10,0)))</f>
        <v>0</v>
      </c>
      <c r="BC296" s="689">
        <f>IF(F296="","",IF(G296="Dubai",HLOOKUP(F296,Inputs!$C$26:$M$37,11,0),HLOOKUP(F296,Inputs!$C$45:$M$56,11,0)))</f>
        <v>0</v>
      </c>
      <c r="BD296" s="688">
        <f>IF(F296="","",IF(G296="Dubai",HLOOKUP(F296,Inputs!$C$26:$M$37,12,0),HLOOKUP(F296,Inputs!$C$45:$M$56,12,0)))</f>
        <v>0</v>
      </c>
      <c r="BE296" s="654"/>
      <c r="BF296" s="688">
        <f>IFERROR(IF(AL296="","",IF(AN296="Dubai",IF(OR(AL296="Plan1",AL296="Plan2"),VLOOKUP(BA296,Deviation!$B$31:$D$33,2,FALSE),VLOOKUP(BA296,Deviation!$B$31:$D$33,3,FALSE)),IF(OR(AL296="Plan1",AL296="Plan2"),VLOOKUP(BA296,Deviation!$E$31:$AE$33,2,FALSE),VLOOKUP(BA296,Deviation!$E$31:$AE$33,3,FALSE)))),0)</f>
        <v>1.125</v>
      </c>
      <c r="BG296" s="690">
        <f>IFERROR(IF(AL296="","",IF(AN296="Dubai",IF(AL296="Plan1",VLOOKUP(BB296,Deviation!$B$39:$C$40,2,FALSE),IF(AL296="Plan2",VLOOKUP(BB296,Deviation!$B$42:$C$43,2,FALSE),IF(AL296="Plan5",VLOOKUP(BB296,Deviation!$B$48:$C$49,2,FALSE),VLOOKUP(BB296,Deviation!$B$45:$C$46,2,FALSE)))),IF(AL296="Plan1",VLOOKUP(BB296,Deviation!$E$39:$F$40,2,FALSE),IF(AL296="Plan2",VLOOKUP(BB296,Deviation!$E$42:$F$43,2,FALSE),VLOOKUP(BB296,Deviation!$E$45:$F$46,2,FALSE))))),0)</f>
        <v>0</v>
      </c>
      <c r="BH296" s="690">
        <f>IFERROR(IF(AL296="","",IF(AN296="Dubai",IF(OR(AL296="Plan1",AL296="Plan2"),VLOOKUP(BC296,Deviation!$B$15:$D$19,2,FALSE),VLOOKUP(BC296,Deviation!$B$15:$D$19,3,FALSE)),IF(OR(AL296="Plan1",AL296="Plan2"),VLOOKUP(BC296,Deviation!$E$15:$AE$19,2,FALSE),VLOOKUP(BC296,Deviation!$E$15:$AE$19,3,FALSE)))),0)</f>
        <v>0</v>
      </c>
      <c r="BI296" s="691">
        <f>IFERROR(IF(AL296="","",IF(AN296="Dubai",VLOOKUP(BD296,Deviation!$B$24:$C$26,2,FALSE),100%)),0)</f>
        <v>1.06</v>
      </c>
      <c r="BJ296" s="672">
        <f>IF(AE296="Abu Dhabi",1,IFERROR(VLOOKUP(AM296,Deviation!$B$67:$E$79,MATCH('Census Data'!AA296,Deviation!$B$66:$E$66,0),0),1))</f>
        <v>1</v>
      </c>
      <c r="BK296" s="659">
        <f>IFERROR(VLOOKUP(I296,Deviation!$B$54:$C$62,2,0),1)</f>
        <v>1</v>
      </c>
      <c r="BL296" s="148"/>
      <c r="BM296" s="148"/>
      <c r="BN296" s="148"/>
      <c r="BO296" s="148"/>
      <c r="BP296" s="148"/>
      <c r="BQ296" s="148"/>
      <c r="BR296" s="148"/>
      <c r="BS296" s="148"/>
      <c r="BT296" s="148">
        <f t="shared" si="168"/>
        <v>0</v>
      </c>
    </row>
    <row r="297" spans="1:72" ht="15" hidden="1" x14ac:dyDescent="0.25">
      <c r="A297" s="94"/>
      <c r="B297" s="470"/>
      <c r="C297" s="94"/>
      <c r="D297" s="94" t="s">
        <v>175</v>
      </c>
      <c r="E297" s="94" t="s">
        <v>173</v>
      </c>
      <c r="F297" s="94" t="s">
        <v>65</v>
      </c>
      <c r="G297" s="94" t="s">
        <v>170</v>
      </c>
      <c r="H297" s="94"/>
      <c r="I297" s="94"/>
      <c r="J297" s="80">
        <v>59</v>
      </c>
      <c r="K297" s="59">
        <f>IF(F297="","",IF(G297="Dubai",HLOOKUP(F297,Inputs!$C$26:$M$28,3,0),HLOOKUP(F297,Inputs!$C$45:$M$46,2,0)))</f>
        <v>0</v>
      </c>
      <c r="L297" s="94"/>
      <c r="M297" s="105">
        <f t="shared" si="159"/>
        <v>-2</v>
      </c>
      <c r="N297" s="654" t="b">
        <f t="shared" si="147"/>
        <v>1</v>
      </c>
      <c r="O297" s="655" t="str">
        <f t="shared" si="148"/>
        <v>x</v>
      </c>
      <c r="P297" s="655" t="str">
        <f t="shared" si="149"/>
        <v/>
      </c>
      <c r="Q297" s="655" t="str">
        <f t="shared" si="150"/>
        <v/>
      </c>
      <c r="R297" s="655" t="str">
        <f t="shared" si="151"/>
        <v/>
      </c>
      <c r="S297" s="655" t="str">
        <f t="shared" si="152"/>
        <v/>
      </c>
      <c r="T297" s="655" t="str">
        <f>IF(ISERROR(MATCH(G297,'Inputs Mapping'!$T$4:$T$5,0)),"x","")</f>
        <v/>
      </c>
      <c r="U297" s="655" t="str">
        <f>IF(ISERROR(MATCH(AA297,'Inputs Mapping'!$U$4:$U$5,0)),"x","")</f>
        <v>x</v>
      </c>
      <c r="V297" s="655" t="str">
        <f>IF(ISERROR(MATCH(AB297,'Inputs Mapping'!$V$4:$V$5,0)),"x","")</f>
        <v/>
      </c>
      <c r="W297" s="655" t="str">
        <f>IF(ISERROR(MATCH(F297,'Inputs Mapping'!$W$4:$W$8,0)),"x","")</f>
        <v/>
      </c>
      <c r="X297" s="655" t="str">
        <f t="shared" si="153"/>
        <v/>
      </c>
      <c r="Y297" s="655" t="str">
        <f t="shared" si="154"/>
        <v/>
      </c>
      <c r="Z297" s="655" t="str">
        <f t="shared" si="160"/>
        <v/>
      </c>
      <c r="AA297" s="655" t="str">
        <f t="shared" si="165"/>
        <v>M/F</v>
      </c>
      <c r="AB297" s="655" t="str">
        <f t="shared" si="161"/>
        <v>S</v>
      </c>
      <c r="AC297" s="655" t="str">
        <f t="shared" si="162"/>
        <v>x</v>
      </c>
      <c r="AD297" s="655" t="str">
        <f>IF(ISBLANK(I297),"x",IF(ISNUMBER(MATCH(I297,'Inputs Mapping'!$AF$5:$AF$199,0)),"","x"))</f>
        <v>x</v>
      </c>
      <c r="AE297" s="655" t="str">
        <f t="shared" si="166"/>
        <v>Dubai</v>
      </c>
      <c r="AF297" s="148"/>
      <c r="AG297" s="148"/>
      <c r="AH297" s="148" t="str">
        <f t="shared" si="167"/>
        <v>CDubai</v>
      </c>
      <c r="AI297" s="654" t="str">
        <f>IF(J297="","",VLOOKUP(J297,'Inputs Mapping'!$T$27:$V$31,3))</f>
        <v>41-59</v>
      </c>
      <c r="AJ297" s="654" t="str">
        <f>IF(J297="","",VLOOKUP(J297,'Inputs Mapping'!$T$17:$V$24,3))</f>
        <v>56 - 60</v>
      </c>
      <c r="AK297" s="654">
        <f t="shared" si="155"/>
        <v>0</v>
      </c>
      <c r="AL297" s="655">
        <f t="shared" si="156"/>
        <v>0</v>
      </c>
      <c r="AM297" s="655">
        <f>IF(F297="","",IF(G297="Dubai",HLOOKUP(F297,Inputs!$C$26:$M$36,5,0),HLOOKUP(F297,Inputs!$C$45:$M$49,5,0)))</f>
        <v>0</v>
      </c>
      <c r="AN297" s="655" t="str">
        <f t="shared" si="157"/>
        <v>Dubai</v>
      </c>
      <c r="AO297" s="654">
        <f>IF(AJ297="","",IF(AN297="Dubai",VLOOKUP(AJ297,'Inputs Mapping'!$V$17:$W$24,2,0),VLOOKUP(AI297,'Inputs Mapping'!$V$27:$W$31,2,0)))</f>
        <v>6</v>
      </c>
      <c r="AP297" s="685">
        <f>IFERROR(IF($AN297="","",HLOOKUP($AN297&amp;RIGHT($AL297,1),'input for formula'!$B$16:$I$20,3,0)),0)</f>
        <v>0</v>
      </c>
      <c r="AQ297" s="686">
        <f>IFERROR(IF($AN297="","",HLOOKUP($AN297&amp;$F297,'input for formula'!$B$22:$M$25,2,0)),0)</f>
        <v>0</v>
      </c>
      <c r="AR297" s="685">
        <f>IFERROR(IF($AN297="","",HLOOKUP($AN297&amp;RIGHT($AL297,1),'input for formula'!$B$16:$I$20,4,0)),0)</f>
        <v>0</v>
      </c>
      <c r="AS297" s="686">
        <f>IFERROR(IF($AN297="","",HLOOKUP($AN297&amp;$F297,'input for formula'!$B$22:$M$25,3,0)),0)</f>
        <v>0</v>
      </c>
      <c r="AT297" s="686">
        <f>IFERROR(IF($AN297="","",HLOOKUP($AN297&amp;RIGHT($AL297,1),'input for formula'!$B$16:$I$20,5,0)),0)</f>
        <v>0</v>
      </c>
      <c r="AU297" s="686">
        <f>IFERROR(IF($AN297="","",HLOOKUP($AN297&amp;$F297,'input for formula'!$B$22:$M$25,4,0)),0)</f>
        <v>0</v>
      </c>
      <c r="AV297" s="666">
        <f>IFERROR(IF($AN297="","",IF('Census Data'!$AN297="Abu Dhabi",VLOOKUP('Census Data'!$AM297,'input for formula'!$A$28:$C$41,3,0),VLOOKUP('Census Data'!$AM297,'input for formula'!$A$28:$C$47,2,0))),0)*IFERROR(1+IF(AN297="Dubai",VLOOKUP(F297,'Quotation for Dubai Plans'!$V$6:$X$12,3,FALSE),VLOOKUP(F297,'Quotation for Abu Dhabi Plans'!$W$6:$Y$12,3,FALSE)),0)</f>
        <v>0</v>
      </c>
      <c r="AW297" s="686">
        <f t="shared" si="158"/>
        <v>0</v>
      </c>
      <c r="AX297" s="687">
        <f>IFERROR(IF(AL297="","",IF(AN297="Dubai",HLOOKUP((AL297&amp;AM297),Deviation!$B$7:$S$8,2,0)*BF297*BH297*BI297*BG297,HLOOKUP((AL297&amp;AM297),Deviation!$B$9:$O$10,2,0)*BF297*BH297*BI297*BG297)),0)</f>
        <v>0</v>
      </c>
      <c r="AY297" s="668">
        <f>IF(AL297="","",IFERROR(IF(AL297="","",IF(AN297="Dubai",HLOOKUP(AZ297,'input for formula'!$B$3:$F$10,AO297,FALSE), IF(AND(H297="Employee",AN297="Abu Dhabi"),HLOOKUP(AZ297,'input for formula'!$I$3:$K$7,AO297,FALSE),HLOOKUP(AZ297,'input for formula'!$M$3:$O$7,AO297,FALSE)))*AX297+AP297*AQ297+AR297*AS297+AT297*AU297),0)*$AZ$3*BK297*BJ297)*IF(AND(Inputs!$C$19&gt;19,Inputs!$C$19&lt;30),(1+$AZ$2),1)</f>
        <v>0</v>
      </c>
      <c r="AZ297" s="148" t="str">
        <f t="shared" si="163"/>
        <v>Dubai0</v>
      </c>
      <c r="BA297" s="688">
        <f>IF(F297="","",IF(G297="Dubai",HLOOKUP(F297,Inputs!$C$26:$M$37,9,0),HLOOKUP(F297,Inputs!$C$45:$M$56,9,0)))</f>
        <v>0</v>
      </c>
      <c r="BB297" s="689">
        <f>IF(F297="","",IF(G297="Dubai",HLOOKUP(F297,Inputs!$C$26:$M$37,10,0),HLOOKUP(F297,Inputs!$C$45:$M$56,10,0)))</f>
        <v>0</v>
      </c>
      <c r="BC297" s="689">
        <f>IF(F297="","",IF(G297="Dubai",HLOOKUP(F297,Inputs!$C$26:$M$37,11,0),HLOOKUP(F297,Inputs!$C$45:$M$56,11,0)))</f>
        <v>0</v>
      </c>
      <c r="BD297" s="688">
        <f>IF(F297="","",IF(G297="Dubai",HLOOKUP(F297,Inputs!$C$26:$M$37,12,0),HLOOKUP(F297,Inputs!$C$45:$M$56,12,0)))</f>
        <v>0</v>
      </c>
      <c r="BE297" s="654"/>
      <c r="BF297" s="688">
        <f>IFERROR(IF(AL297="","",IF(AN297="Dubai",IF(OR(AL297="Plan1",AL297="Plan2"),VLOOKUP(BA297,Deviation!$B$31:$D$33,2,FALSE),VLOOKUP(BA297,Deviation!$B$31:$D$33,3,FALSE)),IF(OR(AL297="Plan1",AL297="Plan2"),VLOOKUP(BA297,Deviation!$E$31:$AE$33,2,FALSE),VLOOKUP(BA297,Deviation!$E$31:$AE$33,3,FALSE)))),0)</f>
        <v>1.125</v>
      </c>
      <c r="BG297" s="690">
        <f>IFERROR(IF(AL297="","",IF(AN297="Dubai",IF(AL297="Plan1",VLOOKUP(BB297,Deviation!$B$39:$C$40,2,FALSE),IF(AL297="Plan2",VLOOKUP(BB297,Deviation!$B$42:$C$43,2,FALSE),IF(AL297="Plan5",VLOOKUP(BB297,Deviation!$B$48:$C$49,2,FALSE),VLOOKUP(BB297,Deviation!$B$45:$C$46,2,FALSE)))),IF(AL297="Plan1",VLOOKUP(BB297,Deviation!$E$39:$F$40,2,FALSE),IF(AL297="Plan2",VLOOKUP(BB297,Deviation!$E$42:$F$43,2,FALSE),VLOOKUP(BB297,Deviation!$E$45:$F$46,2,FALSE))))),0)</f>
        <v>0</v>
      </c>
      <c r="BH297" s="690">
        <f>IFERROR(IF(AL297="","",IF(AN297="Dubai",IF(OR(AL297="Plan1",AL297="Plan2"),VLOOKUP(BC297,Deviation!$B$15:$D$19,2,FALSE),VLOOKUP(BC297,Deviation!$B$15:$D$19,3,FALSE)),IF(OR(AL297="Plan1",AL297="Plan2"),VLOOKUP(BC297,Deviation!$E$15:$AE$19,2,FALSE),VLOOKUP(BC297,Deviation!$E$15:$AE$19,3,FALSE)))),0)</f>
        <v>0</v>
      </c>
      <c r="BI297" s="691">
        <f>IFERROR(IF(AL297="","",IF(AN297="Dubai",VLOOKUP(BD297,Deviation!$B$24:$C$26,2,FALSE),100%)),0)</f>
        <v>1.06</v>
      </c>
      <c r="BJ297" s="672">
        <f>IF(AE297="Abu Dhabi",1,IFERROR(VLOOKUP(AM297,Deviation!$B$67:$E$79,MATCH('Census Data'!AA297,Deviation!$B$66:$E$66,0),0),1))</f>
        <v>1</v>
      </c>
      <c r="BK297" s="659">
        <f>IFERROR(VLOOKUP(I297,Deviation!$B$54:$C$62,2,0),1)</f>
        <v>1</v>
      </c>
      <c r="BL297" s="148"/>
      <c r="BM297" s="148"/>
      <c r="BN297" s="148"/>
      <c r="BO297" s="148"/>
      <c r="BP297" s="148"/>
      <c r="BQ297" s="148"/>
      <c r="BR297" s="148"/>
      <c r="BS297" s="148"/>
      <c r="BT297" s="148">
        <f t="shared" si="168"/>
        <v>0</v>
      </c>
    </row>
    <row r="298" spans="1:72" ht="15" hidden="1" x14ac:dyDescent="0.25">
      <c r="A298" s="94"/>
      <c r="B298" s="470"/>
      <c r="C298" s="94"/>
      <c r="D298" s="94" t="s">
        <v>175</v>
      </c>
      <c r="E298" s="94" t="s">
        <v>173</v>
      </c>
      <c r="F298" s="94" t="s">
        <v>65</v>
      </c>
      <c r="G298" s="94" t="s">
        <v>170</v>
      </c>
      <c r="H298" s="94"/>
      <c r="I298" s="94"/>
      <c r="J298" s="80">
        <v>67</v>
      </c>
      <c r="K298" s="59">
        <f>IF(F298="","",IF(G298="Dubai",HLOOKUP(F298,Inputs!$C$26:$M$28,3,0),HLOOKUP(F298,Inputs!$C$45:$M$46,2,0)))</f>
        <v>0</v>
      </c>
      <c r="L298" s="94"/>
      <c r="M298" s="105">
        <f t="shared" si="159"/>
        <v>-2</v>
      </c>
      <c r="N298" s="654" t="b">
        <f t="shared" si="147"/>
        <v>1</v>
      </c>
      <c r="O298" s="655" t="str">
        <f t="shared" si="148"/>
        <v>x</v>
      </c>
      <c r="P298" s="655" t="str">
        <f t="shared" si="149"/>
        <v/>
      </c>
      <c r="Q298" s="655" t="str">
        <f t="shared" si="150"/>
        <v/>
      </c>
      <c r="R298" s="655" t="str">
        <f t="shared" si="151"/>
        <v/>
      </c>
      <c r="S298" s="655" t="str">
        <f t="shared" si="152"/>
        <v/>
      </c>
      <c r="T298" s="655" t="str">
        <f>IF(ISERROR(MATCH(G298,'Inputs Mapping'!$T$4:$T$5,0)),"x","")</f>
        <v/>
      </c>
      <c r="U298" s="655" t="str">
        <f>IF(ISERROR(MATCH(AA298,'Inputs Mapping'!$U$4:$U$5,0)),"x","")</f>
        <v>x</v>
      </c>
      <c r="V298" s="655" t="str">
        <f>IF(ISERROR(MATCH(AB298,'Inputs Mapping'!$V$4:$V$5,0)),"x","")</f>
        <v/>
      </c>
      <c r="W298" s="655" t="str">
        <f>IF(ISERROR(MATCH(F298,'Inputs Mapping'!$W$4:$W$8,0)),"x","")</f>
        <v/>
      </c>
      <c r="X298" s="655" t="str">
        <f t="shared" si="153"/>
        <v/>
      </c>
      <c r="Y298" s="655" t="str">
        <f t="shared" si="154"/>
        <v/>
      </c>
      <c r="Z298" s="655" t="str">
        <f t="shared" si="160"/>
        <v/>
      </c>
      <c r="AA298" s="655" t="str">
        <f t="shared" si="165"/>
        <v>M/F</v>
      </c>
      <c r="AB298" s="655" t="str">
        <f t="shared" si="161"/>
        <v>S</v>
      </c>
      <c r="AC298" s="655" t="str">
        <f t="shared" si="162"/>
        <v>x</v>
      </c>
      <c r="AD298" s="655" t="str">
        <f>IF(ISBLANK(I298),"x",IF(ISNUMBER(MATCH(I298,'Inputs Mapping'!$AF$5:$AF$199,0)),"","x"))</f>
        <v>x</v>
      </c>
      <c r="AE298" s="655" t="str">
        <f t="shared" si="166"/>
        <v>Dubai</v>
      </c>
      <c r="AF298" s="148"/>
      <c r="AG298" s="148"/>
      <c r="AH298" s="148" t="str">
        <f t="shared" si="167"/>
        <v>CDubai</v>
      </c>
      <c r="AI298" s="654" t="str">
        <f>IF(J298="","",VLOOKUP(J298,'Inputs Mapping'!$T$27:$V$31,3))</f>
        <v>60-69</v>
      </c>
      <c r="AJ298" s="654" t="str">
        <f>IF(J298="","",VLOOKUP(J298,'Inputs Mapping'!$T$17:$V$24,3))</f>
        <v>66 - 69</v>
      </c>
      <c r="AK298" s="654">
        <f t="shared" si="155"/>
        <v>0</v>
      </c>
      <c r="AL298" s="655">
        <f t="shared" si="156"/>
        <v>0</v>
      </c>
      <c r="AM298" s="655">
        <f>IF(F298="","",IF(G298="Dubai",HLOOKUP(F298,Inputs!$C$26:$M$36,5,0),HLOOKUP(F298,Inputs!$C$45:$M$49,5,0)))</f>
        <v>0</v>
      </c>
      <c r="AN298" s="655" t="str">
        <f t="shared" si="157"/>
        <v>Dubai</v>
      </c>
      <c r="AO298" s="654">
        <f>IF(AJ298="","",IF(AN298="Dubai",VLOOKUP(AJ298,'Inputs Mapping'!$V$17:$W$24,2,0),VLOOKUP(AI298,'Inputs Mapping'!$V$27:$W$31,2,0)))</f>
        <v>8</v>
      </c>
      <c r="AP298" s="685">
        <f>IFERROR(IF($AN298="","",HLOOKUP($AN298&amp;RIGHT($AL298,1),'input for formula'!$B$16:$I$20,3,0)),0)</f>
        <v>0</v>
      </c>
      <c r="AQ298" s="686">
        <f>IFERROR(IF($AN298="","",HLOOKUP($AN298&amp;$F298,'input for formula'!$B$22:$M$25,2,0)),0)</f>
        <v>0</v>
      </c>
      <c r="AR298" s="685">
        <f>IFERROR(IF($AN298="","",HLOOKUP($AN298&amp;RIGHT($AL298,1),'input for formula'!$B$16:$I$20,4,0)),0)</f>
        <v>0</v>
      </c>
      <c r="AS298" s="686">
        <f>IFERROR(IF($AN298="","",HLOOKUP($AN298&amp;$F298,'input for formula'!$B$22:$M$25,3,0)),0)</f>
        <v>0</v>
      </c>
      <c r="AT298" s="686">
        <f>IFERROR(IF($AN298="","",HLOOKUP($AN298&amp;RIGHT($AL298,1),'input for formula'!$B$16:$I$20,5,0)),0)</f>
        <v>0</v>
      </c>
      <c r="AU298" s="686">
        <f>IFERROR(IF($AN298="","",HLOOKUP($AN298&amp;$F298,'input for formula'!$B$22:$M$25,4,0)),0)</f>
        <v>0</v>
      </c>
      <c r="AV298" s="666">
        <f>IFERROR(IF($AN298="","",IF('Census Data'!$AN298="Abu Dhabi",VLOOKUP('Census Data'!$AM298,'input for formula'!$A$28:$C$41,3,0),VLOOKUP('Census Data'!$AM298,'input for formula'!$A$28:$C$47,2,0))),0)*IFERROR(1+IF(AN298="Dubai",VLOOKUP(F298,'Quotation for Dubai Plans'!$V$6:$X$12,3,FALSE),VLOOKUP(F298,'Quotation for Abu Dhabi Plans'!$W$6:$Y$12,3,FALSE)),0)</f>
        <v>0</v>
      </c>
      <c r="AW298" s="686">
        <f t="shared" si="158"/>
        <v>0</v>
      </c>
      <c r="AX298" s="687">
        <f>IFERROR(IF(AL298="","",IF(AN298="Dubai",HLOOKUP((AL298&amp;AM298),Deviation!$B$7:$S$8,2,0)*BF298*BH298*BI298*BG298,HLOOKUP((AL298&amp;AM298),Deviation!$B$9:$O$10,2,0)*BF298*BH298*BI298*BG298)),0)</f>
        <v>0</v>
      </c>
      <c r="AY298" s="668">
        <f>IF(AL298="","",IFERROR(IF(AL298="","",IF(AN298="Dubai",HLOOKUP(AZ298,'input for formula'!$B$3:$F$10,AO298,FALSE), IF(AND(H298="Employee",AN298="Abu Dhabi"),HLOOKUP(AZ298,'input for formula'!$I$3:$K$7,AO298,FALSE),HLOOKUP(AZ298,'input for formula'!$M$3:$O$7,AO298,FALSE)))*AX298+AP298*AQ298+AR298*AS298+AT298*AU298),0)*$AZ$3*BK298*BJ298)*IF(AND(Inputs!$C$19&gt;19,Inputs!$C$19&lt;30),(1+$AZ$2),1)</f>
        <v>0</v>
      </c>
      <c r="AZ298" s="148" t="str">
        <f t="shared" si="163"/>
        <v>Dubai0</v>
      </c>
      <c r="BA298" s="688">
        <f>IF(F298="","",IF(G298="Dubai",HLOOKUP(F298,Inputs!$C$26:$M$37,9,0),HLOOKUP(F298,Inputs!$C$45:$M$56,9,0)))</f>
        <v>0</v>
      </c>
      <c r="BB298" s="689">
        <f>IF(F298="","",IF(G298="Dubai",HLOOKUP(F298,Inputs!$C$26:$M$37,10,0),HLOOKUP(F298,Inputs!$C$45:$M$56,10,0)))</f>
        <v>0</v>
      </c>
      <c r="BC298" s="689">
        <f>IF(F298="","",IF(G298="Dubai",HLOOKUP(F298,Inputs!$C$26:$M$37,11,0),HLOOKUP(F298,Inputs!$C$45:$M$56,11,0)))</f>
        <v>0</v>
      </c>
      <c r="BD298" s="688">
        <f>IF(F298="","",IF(G298="Dubai",HLOOKUP(F298,Inputs!$C$26:$M$37,12,0),HLOOKUP(F298,Inputs!$C$45:$M$56,12,0)))</f>
        <v>0</v>
      </c>
      <c r="BE298" s="654"/>
      <c r="BF298" s="688">
        <f>IFERROR(IF(AL298="","",IF(AN298="Dubai",IF(OR(AL298="Plan1",AL298="Plan2"),VLOOKUP(BA298,Deviation!$B$31:$D$33,2,FALSE),VLOOKUP(BA298,Deviation!$B$31:$D$33,3,FALSE)),IF(OR(AL298="Plan1",AL298="Plan2"),VLOOKUP(BA298,Deviation!$E$31:$AE$33,2,FALSE),VLOOKUP(BA298,Deviation!$E$31:$AE$33,3,FALSE)))),0)</f>
        <v>1.125</v>
      </c>
      <c r="BG298" s="690">
        <f>IFERROR(IF(AL298="","",IF(AN298="Dubai",IF(AL298="Plan1",VLOOKUP(BB298,Deviation!$B$39:$C$40,2,FALSE),IF(AL298="Plan2",VLOOKUP(BB298,Deviation!$B$42:$C$43,2,FALSE),IF(AL298="Plan5",VLOOKUP(BB298,Deviation!$B$48:$C$49,2,FALSE),VLOOKUP(BB298,Deviation!$B$45:$C$46,2,FALSE)))),IF(AL298="Plan1",VLOOKUP(BB298,Deviation!$E$39:$F$40,2,FALSE),IF(AL298="Plan2",VLOOKUP(BB298,Deviation!$E$42:$F$43,2,FALSE),VLOOKUP(BB298,Deviation!$E$45:$F$46,2,FALSE))))),0)</f>
        <v>0</v>
      </c>
      <c r="BH298" s="690">
        <f>IFERROR(IF(AL298="","",IF(AN298="Dubai",IF(OR(AL298="Plan1",AL298="Plan2"),VLOOKUP(BC298,Deviation!$B$15:$D$19,2,FALSE),VLOOKUP(BC298,Deviation!$B$15:$D$19,3,FALSE)),IF(OR(AL298="Plan1",AL298="Plan2"),VLOOKUP(BC298,Deviation!$E$15:$AE$19,2,FALSE),VLOOKUP(BC298,Deviation!$E$15:$AE$19,3,FALSE)))),0)</f>
        <v>0</v>
      </c>
      <c r="BI298" s="691">
        <f>IFERROR(IF(AL298="","",IF(AN298="Dubai",VLOOKUP(BD298,Deviation!$B$24:$C$26,2,FALSE),100%)),0)</f>
        <v>1.06</v>
      </c>
      <c r="BJ298" s="672">
        <f>IF(AE298="Abu Dhabi",1,IFERROR(VLOOKUP(AM298,Deviation!$B$67:$E$79,MATCH('Census Data'!AA298,Deviation!$B$66:$E$66,0),0),1))</f>
        <v>1</v>
      </c>
      <c r="BK298" s="659">
        <f>IFERROR(VLOOKUP(I298,Deviation!$B$54:$C$62,2,0),1)</f>
        <v>1</v>
      </c>
      <c r="BL298" s="148"/>
      <c r="BM298" s="148"/>
      <c r="BN298" s="148"/>
      <c r="BO298" s="148"/>
      <c r="BP298" s="148"/>
      <c r="BQ298" s="148"/>
      <c r="BR298" s="148"/>
      <c r="BS298" s="148"/>
      <c r="BT298" s="148">
        <f t="shared" si="168"/>
        <v>0</v>
      </c>
    </row>
    <row r="299" spans="1:72" ht="15" hidden="1" x14ac:dyDescent="0.25">
      <c r="A299" s="94"/>
      <c r="B299" s="470"/>
      <c r="C299" s="94"/>
      <c r="D299" s="94" t="s">
        <v>175</v>
      </c>
      <c r="E299" s="94" t="s">
        <v>173</v>
      </c>
      <c r="F299" s="94" t="s">
        <v>66</v>
      </c>
      <c r="G299" s="94" t="s">
        <v>170</v>
      </c>
      <c r="H299" s="94"/>
      <c r="I299" s="94"/>
      <c r="J299" s="80">
        <v>15</v>
      </c>
      <c r="K299" s="59">
        <f>IF(F299="","",IF(G299="Dubai",HLOOKUP(F299,Inputs!$C$26:$M$28,3,0),HLOOKUP(F299,Inputs!$C$45:$M$46,2,0)))</f>
        <v>0</v>
      </c>
      <c r="L299" s="94"/>
      <c r="M299" s="105">
        <f t="shared" si="159"/>
        <v>-2</v>
      </c>
      <c r="N299" s="654" t="b">
        <f t="shared" si="147"/>
        <v>1</v>
      </c>
      <c r="O299" s="655" t="str">
        <f t="shared" si="148"/>
        <v>x</v>
      </c>
      <c r="P299" s="655" t="str">
        <f t="shared" si="149"/>
        <v/>
      </c>
      <c r="Q299" s="655" t="str">
        <f t="shared" si="150"/>
        <v/>
      </c>
      <c r="R299" s="655" t="str">
        <f t="shared" si="151"/>
        <v/>
      </c>
      <c r="S299" s="655" t="str">
        <f t="shared" si="152"/>
        <v/>
      </c>
      <c r="T299" s="655" t="str">
        <f>IF(ISERROR(MATCH(G299,'Inputs Mapping'!$T$4:$T$5,0)),"x","")</f>
        <v/>
      </c>
      <c r="U299" s="655" t="str">
        <f>IF(ISERROR(MATCH(AA299,'Inputs Mapping'!$U$4:$U$5,0)),"x","")</f>
        <v>x</v>
      </c>
      <c r="V299" s="655" t="str">
        <f>IF(ISERROR(MATCH(AB299,'Inputs Mapping'!$V$4:$V$5,0)),"x","")</f>
        <v/>
      </c>
      <c r="W299" s="655" t="str">
        <f>IF(ISERROR(MATCH(F299,'Inputs Mapping'!$W$4:$W$8,0)),"x","")</f>
        <v/>
      </c>
      <c r="X299" s="655" t="str">
        <f t="shared" si="153"/>
        <v/>
      </c>
      <c r="Y299" s="655" t="str">
        <f t="shared" si="154"/>
        <v/>
      </c>
      <c r="Z299" s="655" t="str">
        <f t="shared" si="160"/>
        <v/>
      </c>
      <c r="AA299" s="655" t="str">
        <f t="shared" si="165"/>
        <v>M/F</v>
      </c>
      <c r="AB299" s="655" t="str">
        <f t="shared" si="161"/>
        <v>S</v>
      </c>
      <c r="AC299" s="655" t="str">
        <f t="shared" si="162"/>
        <v>x</v>
      </c>
      <c r="AD299" s="655" t="str">
        <f>IF(ISBLANK(I299),"x",IF(ISNUMBER(MATCH(I299,'Inputs Mapping'!$AF$5:$AF$199,0)),"","x"))</f>
        <v>x</v>
      </c>
      <c r="AE299" s="655" t="str">
        <f t="shared" si="166"/>
        <v>Dubai</v>
      </c>
      <c r="AF299" s="148"/>
      <c r="AG299" s="148"/>
      <c r="AH299" s="148" t="str">
        <f t="shared" si="167"/>
        <v>DDubai</v>
      </c>
      <c r="AI299" s="654" t="str">
        <f>IF(J299="","",VLOOKUP(J299,'Inputs Mapping'!$T$27:$V$31,3))</f>
        <v>0-17</v>
      </c>
      <c r="AJ299" s="654" t="str">
        <f>IF(J299="","",VLOOKUP(J299,'Inputs Mapping'!$T$17:$V$24,3))</f>
        <v>0 - 17</v>
      </c>
      <c r="AK299" s="654">
        <f t="shared" si="155"/>
        <v>0</v>
      </c>
      <c r="AL299" s="655">
        <f t="shared" si="156"/>
        <v>0</v>
      </c>
      <c r="AM299" s="655">
        <f>IF(F299="","",IF(G299="Dubai",HLOOKUP(F299,Inputs!$C$26:$M$36,5,0),HLOOKUP(F299,Inputs!$C$45:$M$49,5,0)))</f>
        <v>0</v>
      </c>
      <c r="AN299" s="655" t="str">
        <f t="shared" si="157"/>
        <v>Dubai</v>
      </c>
      <c r="AO299" s="654">
        <f>IF(AJ299="","",IF(AN299="Dubai",VLOOKUP(AJ299,'Inputs Mapping'!$V$17:$W$24,2,0),VLOOKUP(AI299,'Inputs Mapping'!$V$27:$W$31,2,0)))</f>
        <v>2</v>
      </c>
      <c r="AP299" s="685">
        <f>IFERROR(IF($AN299="","",HLOOKUP($AN299&amp;RIGHT($AL299,1),'input for formula'!$B$16:$I$20,3,0)),0)</f>
        <v>0</v>
      </c>
      <c r="AQ299" s="686">
        <f>IFERROR(IF($AN299="","",HLOOKUP($AN299&amp;$F299,'input for formula'!$B$22:$M$25,2,0)),0)</f>
        <v>0</v>
      </c>
      <c r="AR299" s="685">
        <f>IFERROR(IF($AN299="","",HLOOKUP($AN299&amp;RIGHT($AL299,1),'input for formula'!$B$16:$I$20,4,0)),0)</f>
        <v>0</v>
      </c>
      <c r="AS299" s="686">
        <f>IFERROR(IF($AN299="","",HLOOKUP($AN299&amp;$F299,'input for formula'!$B$22:$M$25,3,0)),0)</f>
        <v>0</v>
      </c>
      <c r="AT299" s="686">
        <f>IFERROR(IF($AN299="","",HLOOKUP($AN299&amp;RIGHT($AL299,1),'input for formula'!$B$16:$I$20,5,0)),0)</f>
        <v>0</v>
      </c>
      <c r="AU299" s="686">
        <f>IFERROR(IF($AN299="","",HLOOKUP($AN299&amp;$F299,'input for formula'!$B$22:$M$25,4,0)),0)</f>
        <v>0</v>
      </c>
      <c r="AV299" s="666">
        <f>IFERROR(IF($AN299="","",IF('Census Data'!$AN299="Abu Dhabi",VLOOKUP('Census Data'!$AM299,'input for formula'!$A$28:$C$41,3,0),VLOOKUP('Census Data'!$AM299,'input for formula'!$A$28:$C$47,2,0))),0)*IFERROR(1+IF(AN299="Dubai",VLOOKUP(F299,'Quotation for Dubai Plans'!$V$6:$X$12,3,FALSE),VLOOKUP(F299,'Quotation for Abu Dhabi Plans'!$W$6:$Y$12,3,FALSE)),0)</f>
        <v>0</v>
      </c>
      <c r="AW299" s="686">
        <f t="shared" si="158"/>
        <v>0</v>
      </c>
      <c r="AX299" s="687">
        <f>IFERROR(IF(AL299="","",IF(AN299="Dubai",HLOOKUP((AL299&amp;AM299),Deviation!$B$7:$S$8,2,0)*BF299*BH299*BI299*BG299,HLOOKUP((AL299&amp;AM299),Deviation!$B$9:$O$10,2,0)*BF299*BH299*BI299*BG299)),0)</f>
        <v>0</v>
      </c>
      <c r="AY299" s="668">
        <f>IF(AL299="","",IFERROR(IF(AL299="","",IF(AN299="Dubai",HLOOKUP(AZ299,'input for formula'!$B$3:$F$10,AO299,FALSE), IF(AND(H299="Employee",AN299="Abu Dhabi"),HLOOKUP(AZ299,'input for formula'!$I$3:$K$7,AO299,FALSE),HLOOKUP(AZ299,'input for formula'!$M$3:$O$7,AO299,FALSE)))*AX299+AP299*AQ299+AR299*AS299+AT299*AU299),0)*$AZ$3*BK299*BJ299)*IF(AND(Inputs!$C$19&gt;19,Inputs!$C$19&lt;30),(1+$AZ$2),1)</f>
        <v>0</v>
      </c>
      <c r="AZ299" s="148" t="str">
        <f t="shared" si="163"/>
        <v>Dubai0</v>
      </c>
      <c r="BA299" s="688">
        <f>IF(F299="","",IF(G299="Dubai",HLOOKUP(F299,Inputs!$C$26:$M$37,9,0),HLOOKUP(F299,Inputs!$C$45:$M$56,9,0)))</f>
        <v>0</v>
      </c>
      <c r="BB299" s="689">
        <f>IF(F299="","",IF(G299="Dubai",HLOOKUP(F299,Inputs!$C$26:$M$37,10,0),HLOOKUP(F299,Inputs!$C$45:$M$56,10,0)))</f>
        <v>0</v>
      </c>
      <c r="BC299" s="689">
        <f>IF(F299="","",IF(G299="Dubai",HLOOKUP(F299,Inputs!$C$26:$M$37,11,0),HLOOKUP(F299,Inputs!$C$45:$M$56,11,0)))</f>
        <v>0</v>
      </c>
      <c r="BD299" s="688">
        <f>IF(F299="","",IF(G299="Dubai",HLOOKUP(F299,Inputs!$C$26:$M$37,12,0),HLOOKUP(F299,Inputs!$C$45:$M$56,12,0)))</f>
        <v>0</v>
      </c>
      <c r="BE299" s="654"/>
      <c r="BF299" s="688">
        <f>IFERROR(IF(AL299="","",IF(AN299="Dubai",IF(OR(AL299="Plan1",AL299="Plan2"),VLOOKUP(BA299,Deviation!$B$31:$D$33,2,FALSE),VLOOKUP(BA299,Deviation!$B$31:$D$33,3,FALSE)),IF(OR(AL299="Plan1",AL299="Plan2"),VLOOKUP(BA299,Deviation!$E$31:$AE$33,2,FALSE),VLOOKUP(BA299,Deviation!$E$31:$AE$33,3,FALSE)))),0)</f>
        <v>1.125</v>
      </c>
      <c r="BG299" s="690">
        <f>IFERROR(IF(AL299="","",IF(AN299="Dubai",IF(AL299="Plan1",VLOOKUP(BB299,Deviation!$B$39:$C$40,2,FALSE),IF(AL299="Plan2",VLOOKUP(BB299,Deviation!$B$42:$C$43,2,FALSE),IF(AL299="Plan5",VLOOKUP(BB299,Deviation!$B$48:$C$49,2,FALSE),VLOOKUP(BB299,Deviation!$B$45:$C$46,2,FALSE)))),IF(AL299="Plan1",VLOOKUP(BB299,Deviation!$E$39:$F$40,2,FALSE),IF(AL299="Plan2",VLOOKUP(BB299,Deviation!$E$42:$F$43,2,FALSE),VLOOKUP(BB299,Deviation!$E$45:$F$46,2,FALSE))))),0)</f>
        <v>0</v>
      </c>
      <c r="BH299" s="690">
        <f>IFERROR(IF(AL299="","",IF(AN299="Dubai",IF(OR(AL299="Plan1",AL299="Plan2"),VLOOKUP(BC299,Deviation!$B$15:$D$19,2,FALSE),VLOOKUP(BC299,Deviation!$B$15:$D$19,3,FALSE)),IF(OR(AL299="Plan1",AL299="Plan2"),VLOOKUP(BC299,Deviation!$E$15:$AE$19,2,FALSE),VLOOKUP(BC299,Deviation!$E$15:$AE$19,3,FALSE)))),0)</f>
        <v>0</v>
      </c>
      <c r="BI299" s="691">
        <f>IFERROR(IF(AL299="","",IF(AN299="Dubai",VLOOKUP(BD299,Deviation!$B$24:$C$26,2,FALSE),100%)),0)</f>
        <v>1.06</v>
      </c>
      <c r="BJ299" s="672">
        <f>IF(AE299="Abu Dhabi",1,IFERROR(VLOOKUP(AM299,Deviation!$B$67:$E$79,MATCH('Census Data'!AA299,Deviation!$B$66:$E$66,0),0),1))</f>
        <v>1</v>
      </c>
      <c r="BK299" s="659">
        <f>IFERROR(VLOOKUP(I299,Deviation!$B$54:$C$62,2,0),1)</f>
        <v>1</v>
      </c>
      <c r="BL299" s="148"/>
      <c r="BM299" s="148"/>
      <c r="BN299" s="148"/>
      <c r="BO299" s="148"/>
      <c r="BP299" s="148"/>
      <c r="BQ299" s="148"/>
      <c r="BR299" s="148"/>
      <c r="BS299" s="148"/>
      <c r="BT299" s="148">
        <f t="shared" si="168"/>
        <v>0</v>
      </c>
    </row>
    <row r="300" spans="1:72" ht="15" hidden="1" x14ac:dyDescent="0.25">
      <c r="A300" s="94"/>
      <c r="B300" s="470"/>
      <c r="C300" s="94"/>
      <c r="D300" s="94" t="s">
        <v>175</v>
      </c>
      <c r="E300" s="94" t="s">
        <v>173</v>
      </c>
      <c r="F300" s="94" t="s">
        <v>66</v>
      </c>
      <c r="G300" s="94" t="s">
        <v>170</v>
      </c>
      <c r="H300" s="94"/>
      <c r="I300" s="94"/>
      <c r="J300" s="80">
        <v>40</v>
      </c>
      <c r="K300" s="59">
        <f>IF(F300="","",IF(G300="Dubai",HLOOKUP(F300,Inputs!$C$26:$M$28,3,0),HLOOKUP(F300,Inputs!$C$45:$M$46,2,0)))</f>
        <v>0</v>
      </c>
      <c r="L300" s="94"/>
      <c r="M300" s="105">
        <f t="shared" si="159"/>
        <v>-2</v>
      </c>
      <c r="N300" s="654" t="b">
        <f t="shared" si="147"/>
        <v>1</v>
      </c>
      <c r="O300" s="655" t="str">
        <f t="shared" si="148"/>
        <v>x</v>
      </c>
      <c r="P300" s="655" t="str">
        <f t="shared" si="149"/>
        <v/>
      </c>
      <c r="Q300" s="655" t="str">
        <f t="shared" si="150"/>
        <v/>
      </c>
      <c r="R300" s="655" t="str">
        <f t="shared" si="151"/>
        <v/>
      </c>
      <c r="S300" s="655" t="str">
        <f t="shared" si="152"/>
        <v/>
      </c>
      <c r="T300" s="655" t="str">
        <f>IF(ISERROR(MATCH(G300,'Inputs Mapping'!$T$4:$T$5,0)),"x","")</f>
        <v/>
      </c>
      <c r="U300" s="655" t="str">
        <f>IF(ISERROR(MATCH(AA300,'Inputs Mapping'!$U$4:$U$5,0)),"x","")</f>
        <v>x</v>
      </c>
      <c r="V300" s="655" t="str">
        <f>IF(ISERROR(MATCH(AB300,'Inputs Mapping'!$V$4:$V$5,0)),"x","")</f>
        <v/>
      </c>
      <c r="W300" s="655" t="str">
        <f>IF(ISERROR(MATCH(F300,'Inputs Mapping'!$W$4:$W$8,0)),"x","")</f>
        <v/>
      </c>
      <c r="X300" s="655" t="str">
        <f t="shared" si="153"/>
        <v/>
      </c>
      <c r="Y300" s="655" t="str">
        <f t="shared" si="154"/>
        <v/>
      </c>
      <c r="Z300" s="655" t="str">
        <f t="shared" si="160"/>
        <v/>
      </c>
      <c r="AA300" s="655" t="str">
        <f t="shared" si="165"/>
        <v>M/F</v>
      </c>
      <c r="AB300" s="655" t="str">
        <f t="shared" si="161"/>
        <v>S</v>
      </c>
      <c r="AC300" s="655" t="str">
        <f t="shared" si="162"/>
        <v>x</v>
      </c>
      <c r="AD300" s="655" t="str">
        <f>IF(ISBLANK(I300),"x",IF(ISNUMBER(MATCH(I300,'Inputs Mapping'!$AF$5:$AF$199,0)),"","x"))</f>
        <v>x</v>
      </c>
      <c r="AE300" s="655" t="str">
        <f t="shared" si="166"/>
        <v>Dubai</v>
      </c>
      <c r="AF300" s="148"/>
      <c r="AG300" s="148"/>
      <c r="AH300" s="148" t="str">
        <f t="shared" si="167"/>
        <v>DDubai</v>
      </c>
      <c r="AI300" s="654" t="str">
        <f>IF(J300="","",VLOOKUP(J300,'Inputs Mapping'!$T$27:$V$31,3))</f>
        <v>18-40</v>
      </c>
      <c r="AJ300" s="654" t="str">
        <f>IF(J300="","",VLOOKUP(J300,'Inputs Mapping'!$T$17:$V$24,3))</f>
        <v>36 - 45</v>
      </c>
      <c r="AK300" s="654">
        <f t="shared" si="155"/>
        <v>0</v>
      </c>
      <c r="AL300" s="655">
        <f t="shared" si="156"/>
        <v>0</v>
      </c>
      <c r="AM300" s="655">
        <f>IF(F300="","",IF(G300="Dubai",HLOOKUP(F300,Inputs!$C$26:$M$36,5,0),HLOOKUP(F300,Inputs!$C$45:$M$49,5,0)))</f>
        <v>0</v>
      </c>
      <c r="AN300" s="655" t="str">
        <f t="shared" si="157"/>
        <v>Dubai</v>
      </c>
      <c r="AO300" s="654">
        <f>IF(AJ300="","",IF(AN300="Dubai",VLOOKUP(AJ300,'Inputs Mapping'!$V$17:$W$24,2,0),VLOOKUP(AI300,'Inputs Mapping'!$V$27:$W$31,2,0)))</f>
        <v>4</v>
      </c>
      <c r="AP300" s="685">
        <f>IFERROR(IF($AN300="","",HLOOKUP($AN300&amp;RIGHT($AL300,1),'input for formula'!$B$16:$I$20,3,0)),0)</f>
        <v>0</v>
      </c>
      <c r="AQ300" s="686">
        <f>IFERROR(IF($AN300="","",HLOOKUP($AN300&amp;$F300,'input for formula'!$B$22:$M$25,2,0)),0)</f>
        <v>0</v>
      </c>
      <c r="AR300" s="685">
        <f>IFERROR(IF($AN300="","",HLOOKUP($AN300&amp;RIGHT($AL300,1),'input for formula'!$B$16:$I$20,4,0)),0)</f>
        <v>0</v>
      </c>
      <c r="AS300" s="686">
        <f>IFERROR(IF($AN300="","",HLOOKUP($AN300&amp;$F300,'input for formula'!$B$22:$M$25,3,0)),0)</f>
        <v>0</v>
      </c>
      <c r="AT300" s="686">
        <f>IFERROR(IF($AN300="","",HLOOKUP($AN300&amp;RIGHT($AL300,1),'input for formula'!$B$16:$I$20,5,0)),0)</f>
        <v>0</v>
      </c>
      <c r="AU300" s="686">
        <f>IFERROR(IF($AN300="","",HLOOKUP($AN300&amp;$F300,'input for formula'!$B$22:$M$25,4,0)),0)</f>
        <v>0</v>
      </c>
      <c r="AV300" s="666">
        <f>IFERROR(IF($AN300="","",IF('Census Data'!$AN300="Abu Dhabi",VLOOKUP('Census Data'!$AM300,'input for formula'!$A$28:$C$41,3,0),VLOOKUP('Census Data'!$AM300,'input for formula'!$A$28:$C$47,2,0))),0)*IFERROR(1+IF(AN300="Dubai",VLOOKUP(F300,'Quotation for Dubai Plans'!$V$6:$X$12,3,FALSE),VLOOKUP(F300,'Quotation for Abu Dhabi Plans'!$W$6:$Y$12,3,FALSE)),0)</f>
        <v>0</v>
      </c>
      <c r="AW300" s="686">
        <f t="shared" si="158"/>
        <v>0</v>
      </c>
      <c r="AX300" s="687">
        <f>IFERROR(IF(AL300="","",IF(AN300="Dubai",HLOOKUP((AL300&amp;AM300),Deviation!$B$7:$S$8,2,0)*BF300*BH300*BI300*BG300,HLOOKUP((AL300&amp;AM300),Deviation!$B$9:$O$10,2,0)*BF300*BH300*BI300*BG300)),0)</f>
        <v>0</v>
      </c>
      <c r="AY300" s="668">
        <f>IF(AL300="","",IFERROR(IF(AL300="","",IF(AN300="Dubai",HLOOKUP(AZ300,'input for formula'!$B$3:$F$10,AO300,FALSE), IF(AND(H300="Employee",AN300="Abu Dhabi"),HLOOKUP(AZ300,'input for formula'!$I$3:$K$7,AO300,FALSE),HLOOKUP(AZ300,'input for formula'!$M$3:$O$7,AO300,FALSE)))*AX300+AP300*AQ300+AR300*AS300+AT300*AU300),0)*$AZ$3*BK300*BJ300)*IF(AND(Inputs!$C$19&gt;19,Inputs!$C$19&lt;30),(1+$AZ$2),1)</f>
        <v>0</v>
      </c>
      <c r="AZ300" s="148" t="str">
        <f t="shared" si="163"/>
        <v>Dubai0</v>
      </c>
      <c r="BA300" s="688">
        <f>IF(F300="","",IF(G300="Dubai",HLOOKUP(F300,Inputs!$C$26:$M$37,9,0),HLOOKUP(F300,Inputs!$C$45:$M$56,9,0)))</f>
        <v>0</v>
      </c>
      <c r="BB300" s="689">
        <f>IF(F300="","",IF(G300="Dubai",HLOOKUP(F300,Inputs!$C$26:$M$37,10,0),HLOOKUP(F300,Inputs!$C$45:$M$56,10,0)))</f>
        <v>0</v>
      </c>
      <c r="BC300" s="689">
        <f>IF(F300="","",IF(G300="Dubai",HLOOKUP(F300,Inputs!$C$26:$M$37,11,0),HLOOKUP(F300,Inputs!$C$45:$M$56,11,0)))</f>
        <v>0</v>
      </c>
      <c r="BD300" s="688">
        <f>IF(F300="","",IF(G300="Dubai",HLOOKUP(F300,Inputs!$C$26:$M$37,12,0),HLOOKUP(F300,Inputs!$C$45:$M$56,12,0)))</f>
        <v>0</v>
      </c>
      <c r="BE300" s="654"/>
      <c r="BF300" s="688">
        <f>IFERROR(IF(AL300="","",IF(AN300="Dubai",IF(OR(AL300="Plan1",AL300="Plan2"),VLOOKUP(BA300,Deviation!$B$31:$D$33,2,FALSE),VLOOKUP(BA300,Deviation!$B$31:$D$33,3,FALSE)),IF(OR(AL300="Plan1",AL300="Plan2"),VLOOKUP(BA300,Deviation!$E$31:$AE$33,2,FALSE),VLOOKUP(BA300,Deviation!$E$31:$AE$33,3,FALSE)))),0)</f>
        <v>1.125</v>
      </c>
      <c r="BG300" s="690">
        <f>IFERROR(IF(AL300="","",IF(AN300="Dubai",IF(AL300="Plan1",VLOOKUP(BB300,Deviation!$B$39:$C$40,2,FALSE),IF(AL300="Plan2",VLOOKUP(BB300,Deviation!$B$42:$C$43,2,FALSE),IF(AL300="Plan5",VLOOKUP(BB300,Deviation!$B$48:$C$49,2,FALSE),VLOOKUP(BB300,Deviation!$B$45:$C$46,2,FALSE)))),IF(AL300="Plan1",VLOOKUP(BB300,Deviation!$E$39:$F$40,2,FALSE),IF(AL300="Plan2",VLOOKUP(BB300,Deviation!$E$42:$F$43,2,FALSE),VLOOKUP(BB300,Deviation!$E$45:$F$46,2,FALSE))))),0)</f>
        <v>0</v>
      </c>
      <c r="BH300" s="690">
        <f>IFERROR(IF(AL300="","",IF(AN300="Dubai",IF(OR(AL300="Plan1",AL300="Plan2"),VLOOKUP(BC300,Deviation!$B$15:$D$19,2,FALSE),VLOOKUP(BC300,Deviation!$B$15:$D$19,3,FALSE)),IF(OR(AL300="Plan1",AL300="Plan2"),VLOOKUP(BC300,Deviation!$E$15:$AE$19,2,FALSE),VLOOKUP(BC300,Deviation!$E$15:$AE$19,3,FALSE)))),0)</f>
        <v>0</v>
      </c>
      <c r="BI300" s="691">
        <f>IFERROR(IF(AL300="","",IF(AN300="Dubai",VLOOKUP(BD300,Deviation!$B$24:$C$26,2,FALSE),100%)),0)</f>
        <v>1.06</v>
      </c>
      <c r="BJ300" s="672">
        <f>IF(AE300="Abu Dhabi",1,IFERROR(VLOOKUP(AM300,Deviation!$B$67:$E$79,MATCH('Census Data'!AA300,Deviation!$B$66:$E$66,0),0),1))</f>
        <v>1</v>
      </c>
      <c r="BK300" s="659">
        <f>IFERROR(VLOOKUP(I300,Deviation!$B$54:$C$62,2,0),1)</f>
        <v>1</v>
      </c>
      <c r="BL300" s="148"/>
      <c r="BM300" s="148"/>
      <c r="BN300" s="148"/>
      <c r="BO300" s="148"/>
      <c r="BP300" s="148"/>
      <c r="BQ300" s="148"/>
      <c r="BR300" s="148"/>
      <c r="BS300" s="148"/>
      <c r="BT300" s="148">
        <f t="shared" si="168"/>
        <v>0</v>
      </c>
    </row>
    <row r="301" spans="1:72" ht="15" hidden="1" x14ac:dyDescent="0.25">
      <c r="A301" s="94"/>
      <c r="B301" s="470"/>
      <c r="C301" s="94"/>
      <c r="D301" s="94" t="s">
        <v>175</v>
      </c>
      <c r="E301" s="94" t="s">
        <v>173</v>
      </c>
      <c r="F301" s="94" t="s">
        <v>66</v>
      </c>
      <c r="G301" s="94" t="s">
        <v>170</v>
      </c>
      <c r="H301" s="94"/>
      <c r="I301" s="94"/>
      <c r="J301" s="80">
        <v>59</v>
      </c>
      <c r="K301" s="59">
        <f>IF(F301="","",IF(G301="Dubai",HLOOKUP(F301,Inputs!$C$26:$M$28,3,0),HLOOKUP(F301,Inputs!$C$45:$M$46,2,0)))</f>
        <v>0</v>
      </c>
      <c r="L301" s="94"/>
      <c r="M301" s="105">
        <f t="shared" si="159"/>
        <v>-2</v>
      </c>
      <c r="N301" s="654" t="b">
        <f t="shared" si="147"/>
        <v>1</v>
      </c>
      <c r="O301" s="655" t="str">
        <f t="shared" si="148"/>
        <v>x</v>
      </c>
      <c r="P301" s="655" t="str">
        <f t="shared" si="149"/>
        <v/>
      </c>
      <c r="Q301" s="655" t="str">
        <f t="shared" si="150"/>
        <v/>
      </c>
      <c r="R301" s="655" t="str">
        <f t="shared" si="151"/>
        <v/>
      </c>
      <c r="S301" s="655" t="str">
        <f t="shared" si="152"/>
        <v/>
      </c>
      <c r="T301" s="655" t="str">
        <f>IF(ISERROR(MATCH(G301,'Inputs Mapping'!$T$4:$T$5,0)),"x","")</f>
        <v/>
      </c>
      <c r="U301" s="655" t="str">
        <f>IF(ISERROR(MATCH(AA301,'Inputs Mapping'!$U$4:$U$5,0)),"x","")</f>
        <v>x</v>
      </c>
      <c r="V301" s="655" t="str">
        <f>IF(ISERROR(MATCH(AB301,'Inputs Mapping'!$V$4:$V$5,0)),"x","")</f>
        <v/>
      </c>
      <c r="W301" s="655" t="str">
        <f>IF(ISERROR(MATCH(F301,'Inputs Mapping'!$W$4:$W$8,0)),"x","")</f>
        <v/>
      </c>
      <c r="X301" s="655" t="str">
        <f t="shared" si="153"/>
        <v/>
      </c>
      <c r="Y301" s="655" t="str">
        <f t="shared" si="154"/>
        <v/>
      </c>
      <c r="Z301" s="655" t="str">
        <f t="shared" si="160"/>
        <v/>
      </c>
      <c r="AA301" s="655" t="str">
        <f t="shared" si="165"/>
        <v>M/F</v>
      </c>
      <c r="AB301" s="655" t="str">
        <f t="shared" si="161"/>
        <v>S</v>
      </c>
      <c r="AC301" s="655" t="str">
        <f t="shared" si="162"/>
        <v>x</v>
      </c>
      <c r="AD301" s="655" t="str">
        <f>IF(ISBLANK(I301),"x",IF(ISNUMBER(MATCH(I301,'Inputs Mapping'!$AF$5:$AF$199,0)),"","x"))</f>
        <v>x</v>
      </c>
      <c r="AE301" s="655" t="str">
        <f t="shared" si="166"/>
        <v>Dubai</v>
      </c>
      <c r="AF301" s="148"/>
      <c r="AG301" s="148"/>
      <c r="AH301" s="148" t="str">
        <f t="shared" si="167"/>
        <v>DDubai</v>
      </c>
      <c r="AI301" s="654" t="str">
        <f>IF(J301="","",VLOOKUP(J301,'Inputs Mapping'!$T$27:$V$31,3))</f>
        <v>41-59</v>
      </c>
      <c r="AJ301" s="654" t="str">
        <f>IF(J301="","",VLOOKUP(J301,'Inputs Mapping'!$T$17:$V$24,3))</f>
        <v>56 - 60</v>
      </c>
      <c r="AK301" s="654">
        <f t="shared" si="155"/>
        <v>0</v>
      </c>
      <c r="AL301" s="655">
        <f t="shared" si="156"/>
        <v>0</v>
      </c>
      <c r="AM301" s="655">
        <f>IF(F301="","",IF(G301="Dubai",HLOOKUP(F301,Inputs!$C$26:$M$36,5,0),HLOOKUP(F301,Inputs!$C$45:$M$49,5,0)))</f>
        <v>0</v>
      </c>
      <c r="AN301" s="655" t="str">
        <f t="shared" si="157"/>
        <v>Dubai</v>
      </c>
      <c r="AO301" s="654">
        <f>IF(AJ301="","",IF(AN301="Dubai",VLOOKUP(AJ301,'Inputs Mapping'!$V$17:$W$24,2,0),VLOOKUP(AI301,'Inputs Mapping'!$V$27:$W$31,2,0)))</f>
        <v>6</v>
      </c>
      <c r="AP301" s="685">
        <f>IFERROR(IF($AN301="","",HLOOKUP($AN301&amp;RIGHT($AL301,1),'input for formula'!$B$16:$I$20,3,0)),0)</f>
        <v>0</v>
      </c>
      <c r="AQ301" s="686">
        <f>IFERROR(IF($AN301="","",HLOOKUP($AN301&amp;$F301,'input for formula'!$B$22:$M$25,2,0)),0)</f>
        <v>0</v>
      </c>
      <c r="AR301" s="685">
        <f>IFERROR(IF($AN301="","",HLOOKUP($AN301&amp;RIGHT($AL301,1),'input for formula'!$B$16:$I$20,4,0)),0)</f>
        <v>0</v>
      </c>
      <c r="AS301" s="686">
        <f>IFERROR(IF($AN301="","",HLOOKUP($AN301&amp;$F301,'input for formula'!$B$22:$M$25,3,0)),0)</f>
        <v>0</v>
      </c>
      <c r="AT301" s="686">
        <f>IFERROR(IF($AN301="","",HLOOKUP($AN301&amp;RIGHT($AL301,1),'input for formula'!$B$16:$I$20,5,0)),0)</f>
        <v>0</v>
      </c>
      <c r="AU301" s="686">
        <f>IFERROR(IF($AN301="","",HLOOKUP($AN301&amp;$F301,'input for formula'!$B$22:$M$25,4,0)),0)</f>
        <v>0</v>
      </c>
      <c r="AV301" s="666">
        <f>IFERROR(IF($AN301="","",IF('Census Data'!$AN301="Abu Dhabi",VLOOKUP('Census Data'!$AM301,'input for formula'!$A$28:$C$41,3,0),VLOOKUP('Census Data'!$AM301,'input for formula'!$A$28:$C$47,2,0))),0)*IFERROR(1+IF(AN301="Dubai",VLOOKUP(F301,'Quotation for Dubai Plans'!$V$6:$X$12,3,FALSE),VLOOKUP(F301,'Quotation for Abu Dhabi Plans'!$W$6:$Y$12,3,FALSE)),0)</f>
        <v>0</v>
      </c>
      <c r="AW301" s="686">
        <f t="shared" si="158"/>
        <v>0</v>
      </c>
      <c r="AX301" s="687">
        <f>IFERROR(IF(AL301="","",IF(AN301="Dubai",HLOOKUP((AL301&amp;AM301),Deviation!$B$7:$S$8,2,0)*BF301*BH301*BI301*BG301,HLOOKUP((AL301&amp;AM301),Deviation!$B$9:$O$10,2,0)*BF301*BH301*BI301*BG301)),0)</f>
        <v>0</v>
      </c>
      <c r="AY301" s="668">
        <f>IF(AL301="","",IFERROR(IF(AL301="","",IF(AN301="Dubai",HLOOKUP(AZ301,'input for formula'!$B$3:$F$10,AO301,FALSE), IF(AND(H301="Employee",AN301="Abu Dhabi"),HLOOKUP(AZ301,'input for formula'!$I$3:$K$7,AO301,FALSE),HLOOKUP(AZ301,'input for formula'!$M$3:$O$7,AO301,FALSE)))*AX301+AP301*AQ301+AR301*AS301+AT301*AU301),0)*$AZ$3*BK301*BJ301)*IF(AND(Inputs!$C$19&gt;19,Inputs!$C$19&lt;30),(1+$AZ$2),1)</f>
        <v>0</v>
      </c>
      <c r="AZ301" s="148" t="str">
        <f t="shared" si="163"/>
        <v>Dubai0</v>
      </c>
      <c r="BA301" s="688">
        <f>IF(F301="","",IF(G301="Dubai",HLOOKUP(F301,Inputs!$C$26:$M$37,9,0),HLOOKUP(F301,Inputs!$C$45:$M$56,9,0)))</f>
        <v>0</v>
      </c>
      <c r="BB301" s="689">
        <f>IF(F301="","",IF(G301="Dubai",HLOOKUP(F301,Inputs!$C$26:$M$37,10,0),HLOOKUP(F301,Inputs!$C$45:$M$56,10,0)))</f>
        <v>0</v>
      </c>
      <c r="BC301" s="689">
        <f>IF(F301="","",IF(G301="Dubai",HLOOKUP(F301,Inputs!$C$26:$M$37,11,0),HLOOKUP(F301,Inputs!$C$45:$M$56,11,0)))</f>
        <v>0</v>
      </c>
      <c r="BD301" s="688">
        <f>IF(F301="","",IF(G301="Dubai",HLOOKUP(F301,Inputs!$C$26:$M$37,12,0),HLOOKUP(F301,Inputs!$C$45:$M$56,12,0)))</f>
        <v>0</v>
      </c>
      <c r="BE301" s="654"/>
      <c r="BF301" s="688">
        <f>IFERROR(IF(AL301="","",IF(AN301="Dubai",IF(OR(AL301="Plan1",AL301="Plan2"),VLOOKUP(BA301,Deviation!$B$31:$D$33,2,FALSE),VLOOKUP(BA301,Deviation!$B$31:$D$33,3,FALSE)),IF(OR(AL301="Plan1",AL301="Plan2"),VLOOKUP(BA301,Deviation!$E$31:$AE$33,2,FALSE),VLOOKUP(BA301,Deviation!$E$31:$AE$33,3,FALSE)))),0)</f>
        <v>1.125</v>
      </c>
      <c r="BG301" s="690">
        <f>IFERROR(IF(AL301="","",IF(AN301="Dubai",IF(AL301="Plan1",VLOOKUP(BB301,Deviation!$B$39:$C$40,2,FALSE),IF(AL301="Plan2",VLOOKUP(BB301,Deviation!$B$42:$C$43,2,FALSE),IF(AL301="Plan5",VLOOKUP(BB301,Deviation!$B$48:$C$49,2,FALSE),VLOOKUP(BB301,Deviation!$B$45:$C$46,2,FALSE)))),IF(AL301="Plan1",VLOOKUP(BB301,Deviation!$E$39:$F$40,2,FALSE),IF(AL301="Plan2",VLOOKUP(BB301,Deviation!$E$42:$F$43,2,FALSE),VLOOKUP(BB301,Deviation!$E$45:$F$46,2,FALSE))))),0)</f>
        <v>0</v>
      </c>
      <c r="BH301" s="690">
        <f>IFERROR(IF(AL301="","",IF(AN301="Dubai",IF(OR(AL301="Plan1",AL301="Plan2"),VLOOKUP(BC301,Deviation!$B$15:$D$19,2,FALSE),VLOOKUP(BC301,Deviation!$B$15:$D$19,3,FALSE)),IF(OR(AL301="Plan1",AL301="Plan2"),VLOOKUP(BC301,Deviation!$E$15:$AE$19,2,FALSE),VLOOKUP(BC301,Deviation!$E$15:$AE$19,3,FALSE)))),0)</f>
        <v>0</v>
      </c>
      <c r="BI301" s="691">
        <f>IFERROR(IF(AL301="","",IF(AN301="Dubai",VLOOKUP(BD301,Deviation!$B$24:$C$26,2,FALSE),100%)),0)</f>
        <v>1.06</v>
      </c>
      <c r="BJ301" s="672">
        <f>IF(AE301="Abu Dhabi",1,IFERROR(VLOOKUP(AM301,Deviation!$B$67:$E$79,MATCH('Census Data'!AA301,Deviation!$B$66:$E$66,0),0),1))</f>
        <v>1</v>
      </c>
      <c r="BK301" s="659">
        <f>IFERROR(VLOOKUP(I301,Deviation!$B$54:$C$62,2,0),1)</f>
        <v>1</v>
      </c>
      <c r="BL301" s="148"/>
      <c r="BM301" s="148"/>
      <c r="BN301" s="148"/>
      <c r="BO301" s="148"/>
      <c r="BP301" s="148"/>
      <c r="BQ301" s="148"/>
      <c r="BR301" s="148"/>
      <c r="BS301" s="148"/>
      <c r="BT301" s="148">
        <f t="shared" si="168"/>
        <v>0</v>
      </c>
    </row>
    <row r="302" spans="1:72" ht="15" hidden="1" x14ac:dyDescent="0.25">
      <c r="A302" s="94"/>
      <c r="B302" s="470"/>
      <c r="C302" s="94"/>
      <c r="D302" s="94" t="s">
        <v>175</v>
      </c>
      <c r="E302" s="94" t="s">
        <v>173</v>
      </c>
      <c r="F302" s="94" t="s">
        <v>66</v>
      </c>
      <c r="G302" s="94" t="s">
        <v>170</v>
      </c>
      <c r="H302" s="94"/>
      <c r="I302" s="94"/>
      <c r="J302" s="80">
        <v>67</v>
      </c>
      <c r="K302" s="59">
        <f>IF(F302="","",IF(G302="Dubai",HLOOKUP(F302,Inputs!$C$26:$M$28,3,0),HLOOKUP(F302,Inputs!$C$45:$M$46,2,0)))</f>
        <v>0</v>
      </c>
      <c r="L302" s="94"/>
      <c r="M302" s="105">
        <f t="shared" si="159"/>
        <v>-2</v>
      </c>
      <c r="N302" s="654" t="b">
        <f t="shared" ref="N302:N310" si="171">NOT(AND(ISBLANK(C302),ISBLANK(D302),ISBLANK(E302),ISBLANK(F302),ISBLANK(G302)))</f>
        <v>1</v>
      </c>
      <c r="O302" s="655" t="str">
        <f t="shared" ref="O302:O310" si="172">IF(ISBLANK(C302),"x","")</f>
        <v>x</v>
      </c>
      <c r="P302" s="655" t="str">
        <f t="shared" ref="P302:P310" si="173">IF(ISBLANK(D302),"x","")</f>
        <v/>
      </c>
      <c r="Q302" s="655" t="str">
        <f t="shared" ref="Q302:Q310" si="174">IF(ISBLANK(E302),"x","")</f>
        <v/>
      </c>
      <c r="R302" s="655" t="str">
        <f t="shared" ref="R302:R310" si="175">IF(ISBLANK(F302),"x","")</f>
        <v/>
      </c>
      <c r="S302" s="655" t="str">
        <f t="shared" ref="S302:S310" si="176">IF(ISBLANK(G302),"x","")</f>
        <v/>
      </c>
      <c r="T302" s="655" t="str">
        <f>IF(ISERROR(MATCH(G302,'Inputs Mapping'!$T$4:$T$5,0)),"x","")</f>
        <v/>
      </c>
      <c r="U302" s="655" t="str">
        <f>IF(ISERROR(MATCH(AA302,'Inputs Mapping'!$U$4:$U$5,0)),"x","")</f>
        <v>x</v>
      </c>
      <c r="V302" s="655" t="str">
        <f>IF(ISERROR(MATCH(AB302,'Inputs Mapping'!$V$4:$V$5,0)),"x","")</f>
        <v/>
      </c>
      <c r="W302" s="655" t="str">
        <f>IF(ISERROR(MATCH(F302,'Inputs Mapping'!$W$4:$W$8,0)),"x","")</f>
        <v/>
      </c>
      <c r="X302" s="655" t="str">
        <f t="shared" ref="X302:X310" si="177">IF(ISBLANK(C302),"",IF(OR(ISERROR(J302),NOT(ISNUMBER(C302))),"x",""))</f>
        <v/>
      </c>
      <c r="Y302" s="655" t="str">
        <f t="shared" ref="Y302:Y310" si="178">IF(ISBLANK(C302),"",IF(ISERROR(J302),"",""))</f>
        <v/>
      </c>
      <c r="Z302" s="655" t="str">
        <f t="shared" si="160"/>
        <v/>
      </c>
      <c r="AA302" s="655" t="str">
        <f t="shared" si="165"/>
        <v>M/F</v>
      </c>
      <c r="AB302" s="655" t="str">
        <f t="shared" si="161"/>
        <v>S</v>
      </c>
      <c r="AC302" s="655" t="str">
        <f t="shared" si="162"/>
        <v>x</v>
      </c>
      <c r="AD302" s="655" t="str">
        <f>IF(ISBLANK(I302),"x",IF(ISNUMBER(MATCH(I302,'Inputs Mapping'!$AF$5:$AF$199,0)),"","x"))</f>
        <v>x</v>
      </c>
      <c r="AE302" s="655" t="str">
        <f t="shared" si="166"/>
        <v>Dubai</v>
      </c>
      <c r="AF302" s="148"/>
      <c r="AG302" s="148"/>
      <c r="AH302" s="148" t="str">
        <f t="shared" si="167"/>
        <v>DDubai</v>
      </c>
      <c r="AI302" s="654" t="str">
        <f>IF(J302="","",VLOOKUP(J302,'Inputs Mapping'!$T$27:$V$31,3))</f>
        <v>60-69</v>
      </c>
      <c r="AJ302" s="654" t="str">
        <f>IF(J302="","",VLOOKUP(J302,'Inputs Mapping'!$T$17:$V$24,3))</f>
        <v>66 - 69</v>
      </c>
      <c r="AK302" s="654">
        <f t="shared" ref="AK302:AK310" si="179">IF(G302="Dubai",IF(J302="","",1*AND(LEFT(AA302)="F",LEFT(AB302)="M",J302&gt;=$AK$3,J302&lt;$AK$4+1)),IF(J302="","",1*AND(LEFT(AA302)="F",LEFT(AB302)="M",J302&gt;=$AJ$3,J302&lt;$AJ$4+1)))</f>
        <v>0</v>
      </c>
      <c r="AL302" s="655">
        <f t="shared" ref="AL302:AL310" si="180">K302</f>
        <v>0</v>
      </c>
      <c r="AM302" s="655">
        <f>IF(F302="","",IF(G302="Dubai",HLOOKUP(F302,Inputs!$C$26:$M$36,5,0),HLOOKUP(F302,Inputs!$C$45:$M$49,5,0)))</f>
        <v>0</v>
      </c>
      <c r="AN302" s="655" t="str">
        <f t="shared" ref="AN302:AN310" si="181">G302</f>
        <v>Dubai</v>
      </c>
      <c r="AO302" s="654">
        <f>IF(AJ302="","",IF(AN302="Dubai",VLOOKUP(AJ302,'Inputs Mapping'!$V$17:$W$24,2,0),VLOOKUP(AI302,'Inputs Mapping'!$V$27:$W$31,2,0)))</f>
        <v>8</v>
      </c>
      <c r="AP302" s="685">
        <f>IFERROR(IF($AN302="","",HLOOKUP($AN302&amp;RIGHT($AL302,1),'input for formula'!$B$16:$I$20,3,0)),0)</f>
        <v>0</v>
      </c>
      <c r="AQ302" s="686">
        <f>IFERROR(IF($AN302="","",HLOOKUP($AN302&amp;$F302,'input for formula'!$B$22:$M$25,2,0)),0)</f>
        <v>0</v>
      </c>
      <c r="AR302" s="685">
        <f>IFERROR(IF($AN302="","",HLOOKUP($AN302&amp;RIGHT($AL302,1),'input for formula'!$B$16:$I$20,4,0)),0)</f>
        <v>0</v>
      </c>
      <c r="AS302" s="686">
        <f>IFERROR(IF($AN302="","",HLOOKUP($AN302&amp;$F302,'input for formula'!$B$22:$M$25,3,0)),0)</f>
        <v>0</v>
      </c>
      <c r="AT302" s="686">
        <f>IFERROR(IF($AN302="","",HLOOKUP($AN302&amp;RIGHT($AL302,1),'input for formula'!$B$16:$I$20,5,0)),0)</f>
        <v>0</v>
      </c>
      <c r="AU302" s="686">
        <f>IFERROR(IF($AN302="","",HLOOKUP($AN302&amp;$F302,'input for formula'!$B$22:$M$25,4,0)),0)</f>
        <v>0</v>
      </c>
      <c r="AV302" s="666">
        <f>IFERROR(IF($AN302="","",IF('Census Data'!$AN302="Abu Dhabi",VLOOKUP('Census Data'!$AM302,'input for formula'!$A$28:$C$41,3,0),VLOOKUP('Census Data'!$AM302,'input for formula'!$A$28:$C$47,2,0))),0)*IFERROR(1+IF(AN302="Dubai",VLOOKUP(F302,'Quotation for Dubai Plans'!$V$6:$X$12,3,FALSE),VLOOKUP(F302,'Quotation for Abu Dhabi Plans'!$W$6:$Y$12,3,FALSE)),0)</f>
        <v>0</v>
      </c>
      <c r="AW302" s="686">
        <f t="shared" ref="AW302:AW310" si="182">AK302</f>
        <v>0</v>
      </c>
      <c r="AX302" s="687">
        <f>IFERROR(IF(AL302="","",IF(AN302="Dubai",HLOOKUP((AL302&amp;AM302),Deviation!$B$7:$S$8,2,0)*BF302*BH302*BI302*BG302,HLOOKUP((AL302&amp;AM302),Deviation!$B$9:$O$10,2,0)*BF302*BH302*BI302*BG302)),0)</f>
        <v>0</v>
      </c>
      <c r="AY302" s="668">
        <f>IF(AL302="","",IFERROR(IF(AL302="","",IF(AN302="Dubai",HLOOKUP(AZ302,'input for formula'!$B$3:$F$10,AO302,FALSE), IF(AND(H302="Employee",AN302="Abu Dhabi"),HLOOKUP(AZ302,'input for formula'!$I$3:$K$7,AO302,FALSE),HLOOKUP(AZ302,'input for formula'!$M$3:$O$7,AO302,FALSE)))*AX302+AP302*AQ302+AR302*AS302+AT302*AU302),0)*$AZ$3*BK302*BJ302)*IF(AND(Inputs!$C$19&gt;19,Inputs!$C$19&lt;30),(1+$AZ$2),1)</f>
        <v>0</v>
      </c>
      <c r="AZ302" s="148" t="str">
        <f t="shared" si="163"/>
        <v>Dubai0</v>
      </c>
      <c r="BA302" s="688">
        <f>IF(F302="","",IF(G302="Dubai",HLOOKUP(F302,Inputs!$C$26:$M$37,9,0),HLOOKUP(F302,Inputs!$C$45:$M$56,9,0)))</f>
        <v>0</v>
      </c>
      <c r="BB302" s="689">
        <f>IF(F302="","",IF(G302="Dubai",HLOOKUP(F302,Inputs!$C$26:$M$37,10,0),HLOOKUP(F302,Inputs!$C$45:$M$56,10,0)))</f>
        <v>0</v>
      </c>
      <c r="BC302" s="689">
        <f>IF(F302="","",IF(G302="Dubai",HLOOKUP(F302,Inputs!$C$26:$M$37,11,0),HLOOKUP(F302,Inputs!$C$45:$M$56,11,0)))</f>
        <v>0</v>
      </c>
      <c r="BD302" s="688">
        <f>IF(F302="","",IF(G302="Dubai",HLOOKUP(F302,Inputs!$C$26:$M$37,12,0),HLOOKUP(F302,Inputs!$C$45:$M$56,12,0)))</f>
        <v>0</v>
      </c>
      <c r="BE302" s="654"/>
      <c r="BF302" s="688">
        <f>IFERROR(IF(AL302="","",IF(AN302="Dubai",IF(OR(AL302="Plan1",AL302="Plan2"),VLOOKUP(BA302,Deviation!$B$31:$D$33,2,FALSE),VLOOKUP(BA302,Deviation!$B$31:$D$33,3,FALSE)),IF(OR(AL302="Plan1",AL302="Plan2"),VLOOKUP(BA302,Deviation!$E$31:$AE$33,2,FALSE),VLOOKUP(BA302,Deviation!$E$31:$AE$33,3,FALSE)))),0)</f>
        <v>1.125</v>
      </c>
      <c r="BG302" s="690">
        <f>IFERROR(IF(AL302="","",IF(AN302="Dubai",IF(AL302="Plan1",VLOOKUP(BB302,Deviation!$B$39:$C$40,2,FALSE),IF(AL302="Plan2",VLOOKUP(BB302,Deviation!$B$42:$C$43,2,FALSE),IF(AL302="Plan5",VLOOKUP(BB302,Deviation!$B$48:$C$49,2,FALSE),VLOOKUP(BB302,Deviation!$B$45:$C$46,2,FALSE)))),IF(AL302="Plan1",VLOOKUP(BB302,Deviation!$E$39:$F$40,2,FALSE),IF(AL302="Plan2",VLOOKUP(BB302,Deviation!$E$42:$F$43,2,FALSE),VLOOKUP(BB302,Deviation!$E$45:$F$46,2,FALSE))))),0)</f>
        <v>0</v>
      </c>
      <c r="BH302" s="690">
        <f>IFERROR(IF(AL302="","",IF(AN302="Dubai",IF(OR(AL302="Plan1",AL302="Plan2"),VLOOKUP(BC302,Deviation!$B$15:$D$19,2,FALSE),VLOOKUP(BC302,Deviation!$B$15:$D$19,3,FALSE)),IF(OR(AL302="Plan1",AL302="Plan2"),VLOOKUP(BC302,Deviation!$E$15:$AE$19,2,FALSE),VLOOKUP(BC302,Deviation!$E$15:$AE$19,3,FALSE)))),0)</f>
        <v>0</v>
      </c>
      <c r="BI302" s="691">
        <f>IFERROR(IF(AL302="","",IF(AN302="Dubai",VLOOKUP(BD302,Deviation!$B$24:$C$26,2,FALSE),100%)),0)</f>
        <v>1.06</v>
      </c>
      <c r="BJ302" s="672">
        <f>IF(AE302="Abu Dhabi",1,IFERROR(VLOOKUP(AM302,Deviation!$B$67:$E$79,MATCH('Census Data'!AA302,Deviation!$B$66:$E$66,0),0),1))</f>
        <v>1</v>
      </c>
      <c r="BK302" s="659">
        <f>IFERROR(VLOOKUP(I302,Deviation!$B$54:$C$62,2,0),1)</f>
        <v>1</v>
      </c>
      <c r="BL302" s="148"/>
      <c r="BM302" s="148"/>
      <c r="BN302" s="148"/>
      <c r="BO302" s="148"/>
      <c r="BP302" s="148"/>
      <c r="BQ302" s="148"/>
      <c r="BR302" s="148"/>
      <c r="BS302" s="148"/>
      <c r="BT302" s="148">
        <f t="shared" si="168"/>
        <v>0</v>
      </c>
    </row>
    <row r="303" spans="1:72" ht="15" hidden="1" x14ac:dyDescent="0.25">
      <c r="A303" s="94"/>
      <c r="B303" s="470"/>
      <c r="C303" s="94"/>
      <c r="D303" s="94" t="s">
        <v>175</v>
      </c>
      <c r="E303" s="94" t="s">
        <v>173</v>
      </c>
      <c r="F303" s="94" t="s">
        <v>67</v>
      </c>
      <c r="G303" s="94" t="s">
        <v>170</v>
      </c>
      <c r="H303" s="94"/>
      <c r="I303" s="94"/>
      <c r="J303" s="80">
        <v>15</v>
      </c>
      <c r="K303" s="59">
        <f>IF(F303="","",IF(G303="Dubai",HLOOKUP(F303,Inputs!$C$26:$M$28,3,0),HLOOKUP(F303,Inputs!$C$45:$M$46,2,0)))</f>
        <v>0</v>
      </c>
      <c r="L303" s="94"/>
      <c r="M303" s="105">
        <f t="shared" si="159"/>
        <v>-2</v>
      </c>
      <c r="N303" s="654" t="b">
        <f t="shared" si="171"/>
        <v>1</v>
      </c>
      <c r="O303" s="655" t="str">
        <f t="shared" si="172"/>
        <v>x</v>
      </c>
      <c r="P303" s="655" t="str">
        <f t="shared" si="173"/>
        <v/>
      </c>
      <c r="Q303" s="655" t="str">
        <f t="shared" si="174"/>
        <v/>
      </c>
      <c r="R303" s="655" t="str">
        <f t="shared" si="175"/>
        <v/>
      </c>
      <c r="S303" s="655" t="str">
        <f t="shared" si="176"/>
        <v/>
      </c>
      <c r="T303" s="655" t="str">
        <f>IF(ISERROR(MATCH(G303,'Inputs Mapping'!$T$4:$T$5,0)),"x","")</f>
        <v/>
      </c>
      <c r="U303" s="655" t="str">
        <f>IF(ISERROR(MATCH(AA303,'Inputs Mapping'!$U$4:$U$5,0)),"x","")</f>
        <v>x</v>
      </c>
      <c r="V303" s="655" t="str">
        <f>IF(ISERROR(MATCH(AB303,'Inputs Mapping'!$V$4:$V$5,0)),"x","")</f>
        <v/>
      </c>
      <c r="W303" s="655" t="str">
        <f>IF(ISERROR(MATCH(F303,'Inputs Mapping'!$W$4:$W$8,0)),"x","")</f>
        <v/>
      </c>
      <c r="X303" s="655" t="str">
        <f t="shared" si="177"/>
        <v/>
      </c>
      <c r="Y303" s="655" t="str">
        <f t="shared" si="178"/>
        <v/>
      </c>
      <c r="Z303" s="655" t="str">
        <f t="shared" si="160"/>
        <v/>
      </c>
      <c r="AA303" s="655" t="str">
        <f t="shared" si="165"/>
        <v>M/F</v>
      </c>
      <c r="AB303" s="655" t="str">
        <f t="shared" si="161"/>
        <v>S</v>
      </c>
      <c r="AC303" s="655" t="str">
        <f t="shared" si="162"/>
        <v>x</v>
      </c>
      <c r="AD303" s="655" t="str">
        <f>IF(ISBLANK(I303),"x",IF(ISNUMBER(MATCH(I303,'Inputs Mapping'!$AF$5:$AF$199,0)),"","x"))</f>
        <v>x</v>
      </c>
      <c r="AE303" s="655" t="str">
        <f t="shared" si="166"/>
        <v>Dubai</v>
      </c>
      <c r="AF303" s="148"/>
      <c r="AG303" s="148"/>
      <c r="AH303" s="148" t="str">
        <f t="shared" si="167"/>
        <v>EDubai</v>
      </c>
      <c r="AI303" s="654" t="str">
        <f>IF(J303="","",VLOOKUP(J303,'Inputs Mapping'!$T$27:$V$31,3))</f>
        <v>0-17</v>
      </c>
      <c r="AJ303" s="654" t="str">
        <f>IF(J303="","",VLOOKUP(J303,'Inputs Mapping'!$T$17:$V$24,3))</f>
        <v>0 - 17</v>
      </c>
      <c r="AK303" s="654">
        <f t="shared" si="179"/>
        <v>0</v>
      </c>
      <c r="AL303" s="655">
        <f t="shared" si="180"/>
        <v>0</v>
      </c>
      <c r="AM303" s="655">
        <f>IF(F303="","",IF(G303="Dubai",HLOOKUP(F303,Inputs!$C$26:$M$36,5,0),HLOOKUP(F303,Inputs!$C$45:$M$49,5,0)))</f>
        <v>0</v>
      </c>
      <c r="AN303" s="655" t="str">
        <f t="shared" si="181"/>
        <v>Dubai</v>
      </c>
      <c r="AO303" s="654">
        <f>IF(AJ303="","",IF(AN303="Dubai",VLOOKUP(AJ303,'Inputs Mapping'!$V$17:$W$24,2,0),VLOOKUP(AI303,'Inputs Mapping'!$V$27:$W$31,2,0)))</f>
        <v>2</v>
      </c>
      <c r="AP303" s="685">
        <f>IFERROR(IF($AN303="","",HLOOKUP($AN303&amp;RIGHT($AL303,1),'input for formula'!$B$16:$I$20,3,0)),0)</f>
        <v>0</v>
      </c>
      <c r="AQ303" s="686">
        <f>IFERROR(IF($AN303="","",HLOOKUP($AN303&amp;$F303,'input for formula'!$B$22:$M$25,2,0)),0)</f>
        <v>0</v>
      </c>
      <c r="AR303" s="685">
        <f>IFERROR(IF($AN303="","",HLOOKUP($AN303&amp;RIGHT($AL303,1),'input for formula'!$B$16:$I$20,4,0)),0)</f>
        <v>0</v>
      </c>
      <c r="AS303" s="686">
        <f>IFERROR(IF($AN303="","",HLOOKUP($AN303&amp;$F303,'input for formula'!$B$22:$M$25,3,0)),0)</f>
        <v>0</v>
      </c>
      <c r="AT303" s="686">
        <f>IFERROR(IF($AN303="","",HLOOKUP($AN303&amp;RIGHT($AL303,1),'input for formula'!$B$16:$I$20,5,0)),0)</f>
        <v>0</v>
      </c>
      <c r="AU303" s="686">
        <f>IFERROR(IF($AN303="","",HLOOKUP($AN303&amp;$F303,'input for formula'!$B$22:$M$25,4,0)),0)</f>
        <v>0</v>
      </c>
      <c r="AV303" s="666">
        <f>IFERROR(IF($AN303="","",IF('Census Data'!$AN303="Abu Dhabi",VLOOKUP('Census Data'!$AM303,'input for formula'!$A$28:$C$41,3,0),VLOOKUP('Census Data'!$AM303,'input for formula'!$A$28:$C$47,2,0))),0)*IFERROR(1+IF(AN303="Dubai",VLOOKUP(F303,'Quotation for Dubai Plans'!$V$6:$X$12,3,FALSE),VLOOKUP(F303,'Quotation for Abu Dhabi Plans'!$W$6:$Y$12,3,FALSE)),0)</f>
        <v>0</v>
      </c>
      <c r="AW303" s="686">
        <f t="shared" si="182"/>
        <v>0</v>
      </c>
      <c r="AX303" s="687">
        <f>IFERROR(IF(AL303="","",IF(AN303="Dubai",HLOOKUP((AL303&amp;AM303),Deviation!$B$7:$S$8,2,0)*BF303*BH303*BI303*BG303,HLOOKUP((AL303&amp;AM303),Deviation!$B$9:$O$10,2,0)*BF303*BH303*BI303*BG303)),0)</f>
        <v>0</v>
      </c>
      <c r="AY303" s="668">
        <f>IF(AL303="","",IFERROR(IF(AL303="","",IF(AN303="Dubai",HLOOKUP(AZ303,'input for formula'!$B$3:$F$10,AO303,FALSE), IF(AND(H303="Employee",AN303="Abu Dhabi"),HLOOKUP(AZ303,'input for formula'!$I$3:$K$7,AO303,FALSE),HLOOKUP(AZ303,'input for formula'!$M$3:$O$7,AO303,FALSE)))*AX303+AP303*AQ303+AR303*AS303+AT303*AU303),0)*$AZ$3*BK303*BJ303)*IF(AND(Inputs!$C$19&gt;19,Inputs!$C$19&lt;30),(1+$AZ$2),1)</f>
        <v>0</v>
      </c>
      <c r="AZ303" s="148" t="str">
        <f t="shared" si="163"/>
        <v>Dubai0</v>
      </c>
      <c r="BA303" s="688">
        <f>IF(F303="","",IF(G303="Dubai",HLOOKUP(F303,Inputs!$C$26:$M$37,9,0),HLOOKUP(F303,Inputs!$C$45:$M$56,9,0)))</f>
        <v>0</v>
      </c>
      <c r="BB303" s="689">
        <f>IF(F303="","",IF(G303="Dubai",HLOOKUP(F303,Inputs!$C$26:$M$37,10,0),HLOOKUP(F303,Inputs!$C$45:$M$56,10,0)))</f>
        <v>0</v>
      </c>
      <c r="BC303" s="689">
        <f>IF(F303="","",IF(G303="Dubai",HLOOKUP(F303,Inputs!$C$26:$M$37,11,0),HLOOKUP(F303,Inputs!$C$45:$M$56,11,0)))</f>
        <v>0</v>
      </c>
      <c r="BD303" s="688">
        <f>IF(F303="","",IF(G303="Dubai",HLOOKUP(F303,Inputs!$C$26:$M$37,12,0),HLOOKUP(F303,Inputs!$C$45:$M$56,12,0)))</f>
        <v>0</v>
      </c>
      <c r="BE303" s="654"/>
      <c r="BF303" s="688">
        <f>IFERROR(IF(AL303="","",IF(AN303="Dubai",IF(OR(AL303="Plan1",AL303="Plan2"),VLOOKUP(BA303,Deviation!$B$31:$D$33,2,FALSE),VLOOKUP(BA303,Deviation!$B$31:$D$33,3,FALSE)),IF(OR(AL303="Plan1",AL303="Plan2"),VLOOKUP(BA303,Deviation!$E$31:$AE$33,2,FALSE),VLOOKUP(BA303,Deviation!$E$31:$AE$33,3,FALSE)))),0)</f>
        <v>1.125</v>
      </c>
      <c r="BG303" s="690">
        <f>IFERROR(IF(AL303="","",IF(AN303="Dubai",IF(AL303="Plan1",VLOOKUP(BB303,Deviation!$B$39:$C$40,2,FALSE),IF(AL303="Plan2",VLOOKUP(BB303,Deviation!$B$42:$C$43,2,FALSE),IF(AL303="Plan5",VLOOKUP(BB303,Deviation!$B$48:$C$49,2,FALSE),VLOOKUP(BB303,Deviation!$B$45:$C$46,2,FALSE)))),IF(AL303="Plan1",VLOOKUP(BB303,Deviation!$E$39:$F$40,2,FALSE),IF(AL303="Plan2",VLOOKUP(BB303,Deviation!$E$42:$F$43,2,FALSE),VLOOKUP(BB303,Deviation!$E$45:$F$46,2,FALSE))))),0)</f>
        <v>0</v>
      </c>
      <c r="BH303" s="690">
        <f>IFERROR(IF(AL303="","",IF(AN303="Dubai",IF(OR(AL303="Plan1",AL303="Plan2"),VLOOKUP(BC303,Deviation!$B$15:$D$19,2,FALSE),VLOOKUP(BC303,Deviation!$B$15:$D$19,3,FALSE)),IF(OR(AL303="Plan1",AL303="Plan2"),VLOOKUP(BC303,Deviation!$E$15:$AE$19,2,FALSE),VLOOKUP(BC303,Deviation!$E$15:$AE$19,3,FALSE)))),0)</f>
        <v>0</v>
      </c>
      <c r="BI303" s="691">
        <f>IFERROR(IF(AL303="","",IF(AN303="Dubai",VLOOKUP(BD303,Deviation!$B$24:$C$26,2,FALSE),100%)),0)</f>
        <v>1.06</v>
      </c>
      <c r="BJ303" s="672">
        <f>IF(AE303="Abu Dhabi",1,IFERROR(VLOOKUP(AM303,Deviation!$B$67:$E$79,MATCH('Census Data'!AA303,Deviation!$B$66:$E$66,0),0),1))</f>
        <v>1</v>
      </c>
      <c r="BK303" s="659">
        <f>IFERROR(VLOOKUP(I303,Deviation!$B$54:$C$62,2,0),1)</f>
        <v>1</v>
      </c>
      <c r="BL303" s="148"/>
      <c r="BM303" s="148"/>
      <c r="BN303" s="148"/>
      <c r="BO303" s="148"/>
      <c r="BP303" s="148"/>
      <c r="BQ303" s="148"/>
      <c r="BR303" s="148"/>
      <c r="BS303" s="148"/>
      <c r="BT303" s="148">
        <f t="shared" si="168"/>
        <v>0</v>
      </c>
    </row>
    <row r="304" spans="1:72" ht="15" hidden="1" x14ac:dyDescent="0.25">
      <c r="A304" s="94"/>
      <c r="B304" s="470"/>
      <c r="C304" s="94"/>
      <c r="D304" s="94" t="s">
        <v>175</v>
      </c>
      <c r="E304" s="94" t="s">
        <v>173</v>
      </c>
      <c r="F304" s="94" t="s">
        <v>67</v>
      </c>
      <c r="G304" s="94" t="s">
        <v>170</v>
      </c>
      <c r="H304" s="94"/>
      <c r="I304" s="94"/>
      <c r="J304" s="80">
        <v>40</v>
      </c>
      <c r="K304" s="59">
        <f>IF(F304="","",IF(G304="Dubai",HLOOKUP(F304,Inputs!$C$26:$M$28,3,0),HLOOKUP(F304,Inputs!$C$45:$M$46,2,0)))</f>
        <v>0</v>
      </c>
      <c r="L304" s="94"/>
      <c r="M304" s="105">
        <f t="shared" si="159"/>
        <v>-2</v>
      </c>
      <c r="N304" s="654" t="b">
        <f t="shared" si="171"/>
        <v>1</v>
      </c>
      <c r="O304" s="655" t="str">
        <f t="shared" si="172"/>
        <v>x</v>
      </c>
      <c r="P304" s="655" t="str">
        <f t="shared" si="173"/>
        <v/>
      </c>
      <c r="Q304" s="655" t="str">
        <f t="shared" si="174"/>
        <v/>
      </c>
      <c r="R304" s="655" t="str">
        <f t="shared" si="175"/>
        <v/>
      </c>
      <c r="S304" s="655" t="str">
        <f t="shared" si="176"/>
        <v/>
      </c>
      <c r="T304" s="655" t="str">
        <f>IF(ISERROR(MATCH(G304,'Inputs Mapping'!$T$4:$T$5,0)),"x","")</f>
        <v/>
      </c>
      <c r="U304" s="655" t="str">
        <f>IF(ISERROR(MATCH(AA304,'Inputs Mapping'!$U$4:$U$5,0)),"x","")</f>
        <v>x</v>
      </c>
      <c r="V304" s="655" t="str">
        <f>IF(ISERROR(MATCH(AB304,'Inputs Mapping'!$V$4:$V$5,0)),"x","")</f>
        <v/>
      </c>
      <c r="W304" s="655" t="str">
        <f>IF(ISERROR(MATCH(F304,'Inputs Mapping'!$W$4:$W$8,0)),"x","")</f>
        <v/>
      </c>
      <c r="X304" s="655" t="str">
        <f t="shared" si="177"/>
        <v/>
      </c>
      <c r="Y304" s="655" t="str">
        <f t="shared" si="178"/>
        <v/>
      </c>
      <c r="Z304" s="655" t="str">
        <f t="shared" si="160"/>
        <v/>
      </c>
      <c r="AA304" s="655" t="str">
        <f t="shared" si="165"/>
        <v>M/F</v>
      </c>
      <c r="AB304" s="655" t="str">
        <f t="shared" si="161"/>
        <v>S</v>
      </c>
      <c r="AC304" s="655" t="str">
        <f t="shared" si="162"/>
        <v>x</v>
      </c>
      <c r="AD304" s="655" t="str">
        <f>IF(ISBLANK(I304),"x",IF(ISNUMBER(MATCH(I304,'Inputs Mapping'!$AF$5:$AF$199,0)),"","x"))</f>
        <v>x</v>
      </c>
      <c r="AE304" s="655" t="str">
        <f t="shared" si="166"/>
        <v>Dubai</v>
      </c>
      <c r="AF304" s="148"/>
      <c r="AG304" s="148"/>
      <c r="AH304" s="148" t="str">
        <f t="shared" si="167"/>
        <v>EDubai</v>
      </c>
      <c r="AI304" s="654" t="str">
        <f>IF(J304="","",VLOOKUP(J304,'Inputs Mapping'!$T$27:$V$31,3))</f>
        <v>18-40</v>
      </c>
      <c r="AJ304" s="654" t="str">
        <f>IF(J304="","",VLOOKUP(J304,'Inputs Mapping'!$T$17:$V$24,3))</f>
        <v>36 - 45</v>
      </c>
      <c r="AK304" s="654">
        <f t="shared" si="179"/>
        <v>0</v>
      </c>
      <c r="AL304" s="655">
        <f t="shared" si="180"/>
        <v>0</v>
      </c>
      <c r="AM304" s="655">
        <f>IF(F304="","",IF(G304="Dubai",HLOOKUP(F304,Inputs!$C$26:$M$36,5,0),HLOOKUP(F304,Inputs!$C$45:$M$49,5,0)))</f>
        <v>0</v>
      </c>
      <c r="AN304" s="655" t="str">
        <f t="shared" si="181"/>
        <v>Dubai</v>
      </c>
      <c r="AO304" s="654">
        <f>IF(AJ304="","",IF(AN304="Dubai",VLOOKUP(AJ304,'Inputs Mapping'!$V$17:$W$24,2,0),VLOOKUP(AI304,'Inputs Mapping'!$V$27:$W$31,2,0)))</f>
        <v>4</v>
      </c>
      <c r="AP304" s="685">
        <f>IFERROR(IF($AN304="","",HLOOKUP($AN304&amp;RIGHT($AL304,1),'input for formula'!$B$16:$I$20,3,0)),0)</f>
        <v>0</v>
      </c>
      <c r="AQ304" s="686">
        <f>IFERROR(IF($AN304="","",HLOOKUP($AN304&amp;$F304,'input for formula'!$B$22:$M$25,2,0)),0)</f>
        <v>0</v>
      </c>
      <c r="AR304" s="685">
        <f>IFERROR(IF($AN304="","",HLOOKUP($AN304&amp;RIGHT($AL304,1),'input for formula'!$B$16:$I$20,4,0)),0)</f>
        <v>0</v>
      </c>
      <c r="AS304" s="686">
        <f>IFERROR(IF($AN304="","",HLOOKUP($AN304&amp;$F304,'input for formula'!$B$22:$M$25,3,0)),0)</f>
        <v>0</v>
      </c>
      <c r="AT304" s="686">
        <f>IFERROR(IF($AN304="","",HLOOKUP($AN304&amp;RIGHT($AL304,1),'input for formula'!$B$16:$I$20,5,0)),0)</f>
        <v>0</v>
      </c>
      <c r="AU304" s="686">
        <f>IFERROR(IF($AN304="","",HLOOKUP($AN304&amp;$F304,'input for formula'!$B$22:$M$25,4,0)),0)</f>
        <v>0</v>
      </c>
      <c r="AV304" s="666">
        <f>IFERROR(IF($AN304="","",IF('Census Data'!$AN304="Abu Dhabi",VLOOKUP('Census Data'!$AM304,'input for formula'!$A$28:$C$41,3,0),VLOOKUP('Census Data'!$AM304,'input for formula'!$A$28:$C$47,2,0))),0)*IFERROR(1+IF(AN304="Dubai",VLOOKUP(F304,'Quotation for Dubai Plans'!$V$6:$X$12,3,FALSE),VLOOKUP(F304,'Quotation for Abu Dhabi Plans'!$W$6:$Y$12,3,FALSE)),0)</f>
        <v>0</v>
      </c>
      <c r="AW304" s="686">
        <f t="shared" si="182"/>
        <v>0</v>
      </c>
      <c r="AX304" s="687">
        <f>IFERROR(IF(AL304="","",IF(AN304="Dubai",HLOOKUP((AL304&amp;AM304),Deviation!$B$7:$S$8,2,0)*BF304*BH304*BI304*BG304,HLOOKUP((AL304&amp;AM304),Deviation!$B$9:$O$10,2,0)*BF304*BH304*BI304*BG304)),0)</f>
        <v>0</v>
      </c>
      <c r="AY304" s="668">
        <f>IF(AL304="","",IFERROR(IF(AL304="","",IF(AN304="Dubai",HLOOKUP(AZ304,'input for formula'!$B$3:$F$10,AO304,FALSE), IF(AND(H304="Employee",AN304="Abu Dhabi"),HLOOKUP(AZ304,'input for formula'!$I$3:$K$7,AO304,FALSE),HLOOKUP(AZ304,'input for formula'!$M$3:$O$7,AO304,FALSE)))*AX304+AP304*AQ304+AR304*AS304+AT304*AU304),0)*$AZ$3*BK304*BJ304)*IF(AND(Inputs!$C$19&gt;19,Inputs!$C$19&lt;30),(1+$AZ$2),1)</f>
        <v>0</v>
      </c>
      <c r="AZ304" s="148" t="str">
        <f t="shared" si="163"/>
        <v>Dubai0</v>
      </c>
      <c r="BA304" s="688">
        <f>IF(F304="","",IF(G304="Dubai",HLOOKUP(F304,Inputs!$C$26:$M$37,9,0),HLOOKUP(F304,Inputs!$C$45:$M$56,9,0)))</f>
        <v>0</v>
      </c>
      <c r="BB304" s="689">
        <f>IF(F304="","",IF(G304="Dubai",HLOOKUP(F304,Inputs!$C$26:$M$37,10,0),HLOOKUP(F304,Inputs!$C$45:$M$56,10,0)))</f>
        <v>0</v>
      </c>
      <c r="BC304" s="689">
        <f>IF(F304="","",IF(G304="Dubai",HLOOKUP(F304,Inputs!$C$26:$M$37,11,0),HLOOKUP(F304,Inputs!$C$45:$M$56,11,0)))</f>
        <v>0</v>
      </c>
      <c r="BD304" s="688">
        <f>IF(F304="","",IF(G304="Dubai",HLOOKUP(F304,Inputs!$C$26:$M$37,12,0),HLOOKUP(F304,Inputs!$C$45:$M$56,12,0)))</f>
        <v>0</v>
      </c>
      <c r="BE304" s="654"/>
      <c r="BF304" s="688">
        <f>IFERROR(IF(AL304="","",IF(AN304="Dubai",IF(OR(AL304="Plan1",AL304="Plan2"),VLOOKUP(BA304,Deviation!$B$31:$D$33,2,FALSE),VLOOKUP(BA304,Deviation!$B$31:$D$33,3,FALSE)),IF(OR(AL304="Plan1",AL304="Plan2"),VLOOKUP(BA304,Deviation!$E$31:$AE$33,2,FALSE),VLOOKUP(BA304,Deviation!$E$31:$AE$33,3,FALSE)))),0)</f>
        <v>1.125</v>
      </c>
      <c r="BG304" s="690">
        <f>IFERROR(IF(AL304="","",IF(AN304="Dubai",IF(AL304="Plan1",VLOOKUP(BB304,Deviation!$B$39:$C$40,2,FALSE),IF(AL304="Plan2",VLOOKUP(BB304,Deviation!$B$42:$C$43,2,FALSE),IF(AL304="Plan5",VLOOKUP(BB304,Deviation!$B$48:$C$49,2,FALSE),VLOOKUP(BB304,Deviation!$B$45:$C$46,2,FALSE)))),IF(AL304="Plan1",VLOOKUP(BB304,Deviation!$E$39:$F$40,2,FALSE),IF(AL304="Plan2",VLOOKUP(BB304,Deviation!$E$42:$F$43,2,FALSE),VLOOKUP(BB304,Deviation!$E$45:$F$46,2,FALSE))))),0)</f>
        <v>0</v>
      </c>
      <c r="BH304" s="690">
        <f>IFERROR(IF(AL304="","",IF(AN304="Dubai",IF(OR(AL304="Plan1",AL304="Plan2"),VLOOKUP(BC304,Deviation!$B$15:$D$19,2,FALSE),VLOOKUP(BC304,Deviation!$B$15:$D$19,3,FALSE)),IF(OR(AL304="Plan1",AL304="Plan2"),VLOOKUP(BC304,Deviation!$E$15:$AE$19,2,FALSE),VLOOKUP(BC304,Deviation!$E$15:$AE$19,3,FALSE)))),0)</f>
        <v>0</v>
      </c>
      <c r="BI304" s="691">
        <f>IFERROR(IF(AL304="","",IF(AN304="Dubai",VLOOKUP(BD304,Deviation!$B$24:$C$26,2,FALSE),100%)),0)</f>
        <v>1.06</v>
      </c>
      <c r="BJ304" s="672">
        <f>IF(AE304="Abu Dhabi",1,IFERROR(VLOOKUP(AM304,Deviation!$B$67:$E$79,MATCH('Census Data'!AA304,Deviation!$B$66:$E$66,0),0),1))</f>
        <v>1</v>
      </c>
      <c r="BK304" s="659">
        <f>IFERROR(VLOOKUP(I304,Deviation!$B$54:$C$62,2,0),1)</f>
        <v>1</v>
      </c>
      <c r="BL304" s="148"/>
      <c r="BM304" s="148"/>
      <c r="BN304" s="148"/>
      <c r="BO304" s="148"/>
      <c r="BP304" s="148"/>
      <c r="BQ304" s="148"/>
      <c r="BR304" s="148"/>
      <c r="BS304" s="148"/>
      <c r="BT304" s="148">
        <f t="shared" si="168"/>
        <v>0</v>
      </c>
    </row>
    <row r="305" spans="1:72" ht="15" hidden="1" x14ac:dyDescent="0.25">
      <c r="A305" s="94"/>
      <c r="B305" s="470"/>
      <c r="C305" s="94"/>
      <c r="D305" s="94" t="s">
        <v>175</v>
      </c>
      <c r="E305" s="94" t="s">
        <v>173</v>
      </c>
      <c r="F305" s="94" t="s">
        <v>67</v>
      </c>
      <c r="G305" s="94" t="s">
        <v>170</v>
      </c>
      <c r="H305" s="94"/>
      <c r="I305" s="94"/>
      <c r="J305" s="80">
        <v>59</v>
      </c>
      <c r="K305" s="59">
        <f>IF(F305="","",IF(G305="Dubai",HLOOKUP(F305,Inputs!$C$26:$M$28,3,0),HLOOKUP(F305,Inputs!$C$45:$M$46,2,0)))</f>
        <v>0</v>
      </c>
      <c r="L305" s="94"/>
      <c r="M305" s="105">
        <f t="shared" si="159"/>
        <v>-2</v>
      </c>
      <c r="N305" s="654" t="b">
        <f t="shared" si="171"/>
        <v>1</v>
      </c>
      <c r="O305" s="655" t="str">
        <f t="shared" si="172"/>
        <v>x</v>
      </c>
      <c r="P305" s="655" t="str">
        <f t="shared" si="173"/>
        <v/>
      </c>
      <c r="Q305" s="655" t="str">
        <f t="shared" si="174"/>
        <v/>
      </c>
      <c r="R305" s="655" t="str">
        <f t="shared" si="175"/>
        <v/>
      </c>
      <c r="S305" s="655" t="str">
        <f t="shared" si="176"/>
        <v/>
      </c>
      <c r="T305" s="655" t="str">
        <f>IF(ISERROR(MATCH(G305,'Inputs Mapping'!$T$4:$T$5,0)),"x","")</f>
        <v/>
      </c>
      <c r="U305" s="655" t="str">
        <f>IF(ISERROR(MATCH(AA305,'Inputs Mapping'!$U$4:$U$5,0)),"x","")</f>
        <v>x</v>
      </c>
      <c r="V305" s="655" t="str">
        <f>IF(ISERROR(MATCH(AB305,'Inputs Mapping'!$V$4:$V$5,0)),"x","")</f>
        <v/>
      </c>
      <c r="W305" s="655" t="str">
        <f>IF(ISERROR(MATCH(F305,'Inputs Mapping'!$W$4:$W$8,0)),"x","")</f>
        <v/>
      </c>
      <c r="X305" s="655" t="str">
        <f t="shared" si="177"/>
        <v/>
      </c>
      <c r="Y305" s="655" t="str">
        <f t="shared" si="178"/>
        <v/>
      </c>
      <c r="Z305" s="655" t="str">
        <f t="shared" si="160"/>
        <v/>
      </c>
      <c r="AA305" s="655" t="str">
        <f t="shared" si="165"/>
        <v>M/F</v>
      </c>
      <c r="AB305" s="655" t="str">
        <f t="shared" si="161"/>
        <v>S</v>
      </c>
      <c r="AC305" s="655" t="str">
        <f t="shared" si="162"/>
        <v>x</v>
      </c>
      <c r="AD305" s="655" t="str">
        <f>IF(ISBLANK(I305),"x",IF(ISNUMBER(MATCH(I305,'Inputs Mapping'!$AF$5:$AF$199,0)),"","x"))</f>
        <v>x</v>
      </c>
      <c r="AE305" s="655" t="str">
        <f t="shared" si="166"/>
        <v>Dubai</v>
      </c>
      <c r="AF305" s="148"/>
      <c r="AG305" s="148"/>
      <c r="AH305" s="148" t="str">
        <f t="shared" si="167"/>
        <v>EDubai</v>
      </c>
      <c r="AI305" s="654" t="str">
        <f>IF(J305="","",VLOOKUP(J305,'Inputs Mapping'!$T$27:$V$31,3))</f>
        <v>41-59</v>
      </c>
      <c r="AJ305" s="654" t="str">
        <f>IF(J305="","",VLOOKUP(J305,'Inputs Mapping'!$T$17:$V$24,3))</f>
        <v>56 - 60</v>
      </c>
      <c r="AK305" s="654">
        <f t="shared" si="179"/>
        <v>0</v>
      </c>
      <c r="AL305" s="655">
        <f t="shared" si="180"/>
        <v>0</v>
      </c>
      <c r="AM305" s="655">
        <f>IF(F305="","",IF(G305="Dubai",HLOOKUP(F305,Inputs!$C$26:$M$36,5,0),HLOOKUP(F305,Inputs!$C$45:$M$49,5,0)))</f>
        <v>0</v>
      </c>
      <c r="AN305" s="655" t="str">
        <f t="shared" si="181"/>
        <v>Dubai</v>
      </c>
      <c r="AO305" s="654">
        <f>IF(AJ305="","",IF(AN305="Dubai",VLOOKUP(AJ305,'Inputs Mapping'!$V$17:$W$24,2,0),VLOOKUP(AI305,'Inputs Mapping'!$V$27:$W$31,2,0)))</f>
        <v>6</v>
      </c>
      <c r="AP305" s="685">
        <f>IFERROR(IF($AN305="","",HLOOKUP($AN305&amp;RIGHT($AL305,1),'input for formula'!$B$16:$I$20,3,0)),0)</f>
        <v>0</v>
      </c>
      <c r="AQ305" s="686">
        <f>IFERROR(IF($AN305="","",HLOOKUP($AN305&amp;$F305,'input for formula'!$B$22:$M$25,2,0)),0)</f>
        <v>0</v>
      </c>
      <c r="AR305" s="685">
        <f>IFERROR(IF($AN305="","",HLOOKUP($AN305&amp;RIGHT($AL305,1),'input for formula'!$B$16:$I$20,4,0)),0)</f>
        <v>0</v>
      </c>
      <c r="AS305" s="686">
        <f>IFERROR(IF($AN305="","",HLOOKUP($AN305&amp;$F305,'input for formula'!$B$22:$M$25,3,0)),0)</f>
        <v>0</v>
      </c>
      <c r="AT305" s="686">
        <f>IFERROR(IF($AN305="","",HLOOKUP($AN305&amp;RIGHT($AL305,1),'input for formula'!$B$16:$I$20,5,0)),0)</f>
        <v>0</v>
      </c>
      <c r="AU305" s="686">
        <f>IFERROR(IF($AN305="","",HLOOKUP($AN305&amp;$F305,'input for formula'!$B$22:$M$25,4,0)),0)</f>
        <v>0</v>
      </c>
      <c r="AV305" s="666">
        <f>IFERROR(IF($AN305="","",IF('Census Data'!$AN305="Abu Dhabi",VLOOKUP('Census Data'!$AM305,'input for formula'!$A$28:$C$41,3,0),VLOOKUP('Census Data'!$AM305,'input for formula'!$A$28:$C$47,2,0))),0)*IFERROR(1+IF(AN305="Dubai",VLOOKUP(F305,'Quotation for Dubai Plans'!$V$6:$X$12,3,FALSE),VLOOKUP(F305,'Quotation for Abu Dhabi Plans'!$W$6:$Y$12,3,FALSE)),0)</f>
        <v>0</v>
      </c>
      <c r="AW305" s="686">
        <f t="shared" si="182"/>
        <v>0</v>
      </c>
      <c r="AX305" s="687">
        <f>IFERROR(IF(AL305="","",IF(AN305="Dubai",HLOOKUP((AL305&amp;AM305),Deviation!$B$7:$S$8,2,0)*BF305*BH305*BI305*BG305,HLOOKUP((AL305&amp;AM305),Deviation!$B$9:$O$10,2,0)*BF305*BH305*BI305*BG305)),0)</f>
        <v>0</v>
      </c>
      <c r="AY305" s="668">
        <f>IF(AL305="","",IFERROR(IF(AL305="","",IF(AN305="Dubai",HLOOKUP(AZ305,'input for formula'!$B$3:$F$10,AO305,FALSE), IF(AND(H305="Employee",AN305="Abu Dhabi"),HLOOKUP(AZ305,'input for formula'!$I$3:$K$7,AO305,FALSE),HLOOKUP(AZ305,'input for formula'!$M$3:$O$7,AO305,FALSE)))*AX305+AP305*AQ305+AR305*AS305+AT305*AU305),0)*$AZ$3*BK305*BJ305)*IF(AND(Inputs!$C$19&gt;19,Inputs!$C$19&lt;30),(1+$AZ$2),1)</f>
        <v>0</v>
      </c>
      <c r="AZ305" s="148" t="str">
        <f t="shared" si="163"/>
        <v>Dubai0</v>
      </c>
      <c r="BA305" s="688">
        <f>IF(F305="","",IF(G305="Dubai",HLOOKUP(F305,Inputs!$C$26:$M$37,9,0),HLOOKUP(F305,Inputs!$C$45:$M$56,9,0)))</f>
        <v>0</v>
      </c>
      <c r="BB305" s="689">
        <f>IF(F305="","",IF(G305="Dubai",HLOOKUP(F305,Inputs!$C$26:$M$37,10,0),HLOOKUP(F305,Inputs!$C$45:$M$56,10,0)))</f>
        <v>0</v>
      </c>
      <c r="BC305" s="689">
        <f>IF(F305="","",IF(G305="Dubai",HLOOKUP(F305,Inputs!$C$26:$M$37,11,0),HLOOKUP(F305,Inputs!$C$45:$M$56,11,0)))</f>
        <v>0</v>
      </c>
      <c r="BD305" s="688">
        <f>IF(F305="","",IF(G305="Dubai",HLOOKUP(F305,Inputs!$C$26:$M$37,12,0),HLOOKUP(F305,Inputs!$C$45:$M$56,12,0)))</f>
        <v>0</v>
      </c>
      <c r="BE305" s="654"/>
      <c r="BF305" s="688">
        <f>IFERROR(IF(AL305="","",IF(AN305="Dubai",IF(OR(AL305="Plan1",AL305="Plan2"),VLOOKUP(BA305,Deviation!$B$31:$D$33,2,FALSE),VLOOKUP(BA305,Deviation!$B$31:$D$33,3,FALSE)),IF(OR(AL305="Plan1",AL305="Plan2"),VLOOKUP(BA305,Deviation!$E$31:$AE$33,2,FALSE),VLOOKUP(BA305,Deviation!$E$31:$AE$33,3,FALSE)))),0)</f>
        <v>1.125</v>
      </c>
      <c r="BG305" s="690">
        <f>IFERROR(IF(AL305="","",IF(AN305="Dubai",IF(AL305="Plan1",VLOOKUP(BB305,Deviation!$B$39:$C$40,2,FALSE),IF(AL305="Plan2",VLOOKUP(BB305,Deviation!$B$42:$C$43,2,FALSE),IF(AL305="Plan5",VLOOKUP(BB305,Deviation!$B$48:$C$49,2,FALSE),VLOOKUP(BB305,Deviation!$B$45:$C$46,2,FALSE)))),IF(AL305="Plan1",VLOOKUP(BB305,Deviation!$E$39:$F$40,2,FALSE),IF(AL305="Plan2",VLOOKUP(BB305,Deviation!$E$42:$F$43,2,FALSE),VLOOKUP(BB305,Deviation!$E$45:$F$46,2,FALSE))))),0)</f>
        <v>0</v>
      </c>
      <c r="BH305" s="690">
        <f>IFERROR(IF(AL305="","",IF(AN305="Dubai",IF(OR(AL305="Plan1",AL305="Plan2"),VLOOKUP(BC305,Deviation!$B$15:$D$19,2,FALSE),VLOOKUP(BC305,Deviation!$B$15:$D$19,3,FALSE)),IF(OR(AL305="Plan1",AL305="Plan2"),VLOOKUP(BC305,Deviation!$E$15:$AE$19,2,FALSE),VLOOKUP(BC305,Deviation!$E$15:$AE$19,3,FALSE)))),0)</f>
        <v>0</v>
      </c>
      <c r="BI305" s="691">
        <f>IFERROR(IF(AL305="","",IF(AN305="Dubai",VLOOKUP(BD305,Deviation!$B$24:$C$26,2,FALSE),100%)),0)</f>
        <v>1.06</v>
      </c>
      <c r="BJ305" s="672">
        <f>IF(AE305="Abu Dhabi",1,IFERROR(VLOOKUP(AM305,Deviation!$B$67:$E$79,MATCH('Census Data'!AA305,Deviation!$B$66:$E$66,0),0),1))</f>
        <v>1</v>
      </c>
      <c r="BK305" s="659">
        <f>IFERROR(VLOOKUP(I305,Deviation!$B$54:$C$62,2,0),1)</f>
        <v>1</v>
      </c>
      <c r="BL305" s="148"/>
      <c r="BM305" s="148"/>
      <c r="BN305" s="148"/>
      <c r="BO305" s="148"/>
      <c r="BP305" s="148"/>
      <c r="BQ305" s="148"/>
      <c r="BR305" s="148"/>
      <c r="BS305" s="148"/>
      <c r="BT305" s="148">
        <f t="shared" si="168"/>
        <v>0</v>
      </c>
    </row>
    <row r="306" spans="1:72" ht="15" hidden="1" x14ac:dyDescent="0.25">
      <c r="A306" s="94"/>
      <c r="B306" s="470"/>
      <c r="C306" s="94"/>
      <c r="D306" s="94" t="s">
        <v>175</v>
      </c>
      <c r="E306" s="94" t="s">
        <v>173</v>
      </c>
      <c r="F306" s="94" t="s">
        <v>67</v>
      </c>
      <c r="G306" s="94" t="s">
        <v>170</v>
      </c>
      <c r="H306" s="94"/>
      <c r="I306" s="94"/>
      <c r="J306" s="80">
        <v>67</v>
      </c>
      <c r="K306" s="59">
        <f>IF(F306="","",IF(G306="Dubai",HLOOKUP(F306,Inputs!$C$26:$M$28,3,0),HLOOKUP(F306,Inputs!$C$45:$M$46,2,0)))</f>
        <v>0</v>
      </c>
      <c r="L306" s="94"/>
      <c r="M306" s="105">
        <f t="shared" si="159"/>
        <v>-2</v>
      </c>
      <c r="N306" s="654" t="b">
        <f t="shared" si="171"/>
        <v>1</v>
      </c>
      <c r="O306" s="655" t="str">
        <f t="shared" si="172"/>
        <v>x</v>
      </c>
      <c r="P306" s="655" t="str">
        <f t="shared" si="173"/>
        <v/>
      </c>
      <c r="Q306" s="655" t="str">
        <f t="shared" si="174"/>
        <v/>
      </c>
      <c r="R306" s="655" t="str">
        <f t="shared" si="175"/>
        <v/>
      </c>
      <c r="S306" s="655" t="str">
        <f t="shared" si="176"/>
        <v/>
      </c>
      <c r="T306" s="655" t="str">
        <f>IF(ISERROR(MATCH(G306,'Inputs Mapping'!$T$4:$T$5,0)),"x","")</f>
        <v/>
      </c>
      <c r="U306" s="655" t="str">
        <f>IF(ISERROR(MATCH(AA306,'Inputs Mapping'!$U$4:$U$5,0)),"x","")</f>
        <v>x</v>
      </c>
      <c r="V306" s="655" t="str">
        <f>IF(ISERROR(MATCH(AB306,'Inputs Mapping'!$V$4:$V$5,0)),"x","")</f>
        <v/>
      </c>
      <c r="W306" s="655" t="str">
        <f>IF(ISERROR(MATCH(F306,'Inputs Mapping'!$W$4:$W$8,0)),"x","")</f>
        <v/>
      </c>
      <c r="X306" s="655" t="str">
        <f t="shared" si="177"/>
        <v/>
      </c>
      <c r="Y306" s="655" t="str">
        <f t="shared" si="178"/>
        <v/>
      </c>
      <c r="Z306" s="655" t="str">
        <f t="shared" si="160"/>
        <v/>
      </c>
      <c r="AA306" s="655" t="str">
        <f t="shared" si="165"/>
        <v>M/F</v>
      </c>
      <c r="AB306" s="655" t="str">
        <f t="shared" si="161"/>
        <v>S</v>
      </c>
      <c r="AC306" s="655" t="str">
        <f t="shared" si="162"/>
        <v>x</v>
      </c>
      <c r="AD306" s="655" t="str">
        <f>IF(ISBLANK(I306),"x",IF(ISNUMBER(MATCH(I306,'Inputs Mapping'!$AF$5:$AF$199,0)),"","x"))</f>
        <v>x</v>
      </c>
      <c r="AE306" s="655" t="str">
        <f t="shared" si="166"/>
        <v>Dubai</v>
      </c>
      <c r="AF306" s="148"/>
      <c r="AG306" s="148"/>
      <c r="AH306" s="148" t="str">
        <f t="shared" si="167"/>
        <v>EDubai</v>
      </c>
      <c r="AI306" s="654" t="str">
        <f>IF(J306="","",VLOOKUP(J306,'Inputs Mapping'!$T$27:$V$31,3))</f>
        <v>60-69</v>
      </c>
      <c r="AJ306" s="654" t="str">
        <f>IF(J306="","",VLOOKUP(J306,'Inputs Mapping'!$T$17:$V$24,3))</f>
        <v>66 - 69</v>
      </c>
      <c r="AK306" s="654">
        <f t="shared" si="179"/>
        <v>0</v>
      </c>
      <c r="AL306" s="655">
        <f t="shared" si="180"/>
        <v>0</v>
      </c>
      <c r="AM306" s="655">
        <f>IF(F306="","",IF(G306="Dubai",HLOOKUP(F306,Inputs!$C$26:$M$36,5,0),HLOOKUP(F306,Inputs!$C$45:$M$49,5,0)))</f>
        <v>0</v>
      </c>
      <c r="AN306" s="655" t="str">
        <f t="shared" si="181"/>
        <v>Dubai</v>
      </c>
      <c r="AO306" s="654">
        <f>IF(AJ306="","",IF(AN306="Dubai",VLOOKUP(AJ306,'Inputs Mapping'!$V$17:$W$24,2,0),VLOOKUP(AI306,'Inputs Mapping'!$V$27:$W$31,2,0)))</f>
        <v>8</v>
      </c>
      <c r="AP306" s="685">
        <f>IFERROR(IF($AN306="","",HLOOKUP($AN306&amp;RIGHT($AL306,1),'input for formula'!$B$16:$I$20,3,0)),0)</f>
        <v>0</v>
      </c>
      <c r="AQ306" s="686">
        <f>IFERROR(IF($AN306="","",HLOOKUP($AN306&amp;$F306,'input for formula'!$B$22:$M$25,2,0)),0)</f>
        <v>0</v>
      </c>
      <c r="AR306" s="685">
        <f>IFERROR(IF($AN306="","",HLOOKUP($AN306&amp;RIGHT($AL306,1),'input for formula'!$B$16:$I$20,4,0)),0)</f>
        <v>0</v>
      </c>
      <c r="AS306" s="686">
        <f>IFERROR(IF($AN306="","",HLOOKUP($AN306&amp;$F306,'input for formula'!$B$22:$M$25,3,0)),0)</f>
        <v>0</v>
      </c>
      <c r="AT306" s="686">
        <f>IFERROR(IF($AN306="","",HLOOKUP($AN306&amp;RIGHT($AL306,1),'input for formula'!$B$16:$I$20,5,0)),0)</f>
        <v>0</v>
      </c>
      <c r="AU306" s="686">
        <f>IFERROR(IF($AN306="","",HLOOKUP($AN306&amp;$F306,'input for formula'!$B$22:$M$25,4,0)),0)</f>
        <v>0</v>
      </c>
      <c r="AV306" s="666">
        <f>IFERROR(IF($AN306="","",IF('Census Data'!$AN306="Abu Dhabi",VLOOKUP('Census Data'!$AM306,'input for formula'!$A$28:$C$41,3,0),VLOOKUP('Census Data'!$AM306,'input for formula'!$A$28:$C$47,2,0))),0)*IFERROR(1+IF(AN306="Dubai",VLOOKUP(F306,'Quotation for Dubai Plans'!$V$6:$X$12,3,FALSE),VLOOKUP(F306,'Quotation for Abu Dhabi Plans'!$W$6:$Y$12,3,FALSE)),0)</f>
        <v>0</v>
      </c>
      <c r="AW306" s="686">
        <f t="shared" si="182"/>
        <v>0</v>
      </c>
      <c r="AX306" s="687">
        <f>IFERROR(IF(AL306="","",IF(AN306="Dubai",HLOOKUP((AL306&amp;AM306),Deviation!$B$7:$S$8,2,0)*BF306*BH306*BI306*BG306,HLOOKUP((AL306&amp;AM306),Deviation!$B$9:$O$10,2,0)*BF306*BH306*BI306*BG306)),0)</f>
        <v>0</v>
      </c>
      <c r="AY306" s="668">
        <f>IF(AL306="","",IFERROR(IF(AL306="","",IF(AN306="Dubai",HLOOKUP(AZ306,'input for formula'!$B$3:$F$10,AO306,FALSE), IF(AND(H306="Employee",AN306="Abu Dhabi"),HLOOKUP(AZ306,'input for formula'!$I$3:$K$7,AO306,FALSE),HLOOKUP(AZ306,'input for formula'!$M$3:$O$7,AO306,FALSE)))*AX306+AP306*AQ306+AR306*AS306+AT306*AU306),0)*$AZ$3*BK306*BJ306)*IF(AND(Inputs!$C$19&gt;19,Inputs!$C$19&lt;30),(1+$AZ$2),1)</f>
        <v>0</v>
      </c>
      <c r="AZ306" s="148" t="str">
        <f>IF(AL306="","",IF(AN306="","",AN306&amp;RIGHT(AL306,1)))</f>
        <v>Dubai0</v>
      </c>
      <c r="BA306" s="688">
        <f>IF(F306="","",IF(G306="Dubai",HLOOKUP(F306,Inputs!$C$26:$M$37,9,0),HLOOKUP(F306,Inputs!$C$45:$M$56,9,0)))</f>
        <v>0</v>
      </c>
      <c r="BB306" s="689">
        <f>IF(F306="","",IF(G306="Dubai",HLOOKUP(F306,Inputs!$C$26:$M$37,10,0),HLOOKUP(F306,Inputs!$C$45:$M$56,10,0)))</f>
        <v>0</v>
      </c>
      <c r="BC306" s="689">
        <f>IF(F306="","",IF(G306="Dubai",HLOOKUP(F306,Inputs!$C$26:$M$37,11,0),HLOOKUP(F306,Inputs!$C$45:$M$56,11,0)))</f>
        <v>0</v>
      </c>
      <c r="BD306" s="688">
        <f>IF(F306="","",IF(G306="Dubai",HLOOKUP(F306,Inputs!$C$26:$M$37,12,0),HLOOKUP(F306,Inputs!$C$45:$M$56,12,0)))</f>
        <v>0</v>
      </c>
      <c r="BE306" s="654"/>
      <c r="BF306" s="688">
        <f>IFERROR(IF(AL306="","",IF(AN306="Dubai",IF(OR(AL306="Plan1",AL306="Plan2"),VLOOKUP(BA306,Deviation!$B$31:$D$33,2,FALSE),VLOOKUP(BA306,Deviation!$B$31:$D$33,3,FALSE)),IF(OR(AL306="Plan1",AL306="Plan2"),VLOOKUP(BA306,Deviation!$E$31:$AE$33,2,FALSE),VLOOKUP(BA306,Deviation!$E$31:$AE$33,3,FALSE)))),0)</f>
        <v>1.125</v>
      </c>
      <c r="BG306" s="690">
        <f>IFERROR(IF(AL306="","",IF(AN306="Dubai",IF(AL306="Plan1",VLOOKUP(BB306,Deviation!$B$39:$C$40,2,FALSE),IF(AL306="Plan2",VLOOKUP(BB306,Deviation!$B$42:$C$43,2,FALSE),IF(AL306="Plan5",VLOOKUP(BB306,Deviation!$B$48:$C$49,2,FALSE),VLOOKUP(BB306,Deviation!$B$45:$C$46,2,FALSE)))),IF(AL306="Plan1",VLOOKUP(BB306,Deviation!$E$39:$F$40,2,FALSE),IF(AL306="Plan2",VLOOKUP(BB306,Deviation!$E$42:$F$43,2,FALSE),VLOOKUP(BB306,Deviation!$E$45:$F$46,2,FALSE))))),0)</f>
        <v>0</v>
      </c>
      <c r="BH306" s="690">
        <f>IFERROR(IF(AL306="","",IF(AN306="Dubai",IF(OR(AL306="Plan1",AL306="Plan2"),VLOOKUP(BC306,Deviation!$B$15:$D$19,2,FALSE),VLOOKUP(BC306,Deviation!$B$15:$D$19,3,FALSE)),IF(OR(AL306="Plan1",AL306="Plan2"),VLOOKUP(BC306,Deviation!$E$15:$AE$19,2,FALSE),VLOOKUP(BC306,Deviation!$E$15:$AE$19,3,FALSE)))),0)</f>
        <v>0</v>
      </c>
      <c r="BI306" s="691">
        <f>IFERROR(IF(AL306="","",IF(AN306="Dubai",VLOOKUP(BD306,Deviation!$B$24:$C$26,2,FALSE),100%)),0)</f>
        <v>1.06</v>
      </c>
      <c r="BJ306" s="672">
        <f>IF(AE306="Abu Dhabi",1,IFERROR(VLOOKUP(AM306,Deviation!$B$67:$E$79,MATCH('Census Data'!AA306,Deviation!$B$66:$E$66,0),0),1))</f>
        <v>1</v>
      </c>
      <c r="BK306" s="659">
        <f>IFERROR(VLOOKUP(I306,Deviation!$B$54:$C$62,2,0),1)</f>
        <v>1</v>
      </c>
      <c r="BL306" s="148"/>
      <c r="BM306" s="148"/>
      <c r="BN306" s="148"/>
      <c r="BO306" s="148"/>
      <c r="BP306" s="148"/>
      <c r="BQ306" s="148"/>
      <c r="BR306" s="148"/>
      <c r="BS306" s="148"/>
      <c r="BT306" s="148">
        <f t="shared" si="168"/>
        <v>0</v>
      </c>
    </row>
    <row r="307" spans="1:72" ht="15" hidden="1" x14ac:dyDescent="0.25">
      <c r="A307" s="94"/>
      <c r="B307" s="470"/>
      <c r="C307" s="94"/>
      <c r="D307" s="94" t="s">
        <v>175</v>
      </c>
      <c r="E307" s="94" t="s">
        <v>173</v>
      </c>
      <c r="F307" s="94" t="s">
        <v>68</v>
      </c>
      <c r="G307" s="94" t="s">
        <v>170</v>
      </c>
      <c r="H307" s="94"/>
      <c r="I307" s="94"/>
      <c r="J307" s="80">
        <v>15</v>
      </c>
      <c r="K307" s="59">
        <f>IF(F307="","",IF(G307="Dubai",HLOOKUP(F307,Inputs!$C$26:$M$28,3,0),HLOOKUP(F307,Inputs!$C$45:$M$46,2,0)))</f>
        <v>0</v>
      </c>
      <c r="L307" s="94"/>
      <c r="M307" s="105">
        <f t="shared" si="159"/>
        <v>-2</v>
      </c>
      <c r="N307" s="654" t="b">
        <f t="shared" si="171"/>
        <v>1</v>
      </c>
      <c r="O307" s="655" t="str">
        <f t="shared" si="172"/>
        <v>x</v>
      </c>
      <c r="P307" s="655" t="str">
        <f t="shared" si="173"/>
        <v/>
      </c>
      <c r="Q307" s="655" t="str">
        <f t="shared" si="174"/>
        <v/>
      </c>
      <c r="R307" s="655" t="str">
        <f t="shared" si="175"/>
        <v/>
      </c>
      <c r="S307" s="655" t="str">
        <f t="shared" si="176"/>
        <v/>
      </c>
      <c r="T307" s="655" t="str">
        <f>IF(ISERROR(MATCH(G307,'Inputs Mapping'!$T$4:$T$5,0)),"x","")</f>
        <v/>
      </c>
      <c r="U307" s="655" t="str">
        <f>IF(ISERROR(MATCH(AA307,'Inputs Mapping'!$U$4:$U$5,0)),"x","")</f>
        <v>x</v>
      </c>
      <c r="V307" s="655" t="str">
        <f>IF(ISERROR(MATCH(AB307,'Inputs Mapping'!$V$4:$V$5,0)),"x","")</f>
        <v/>
      </c>
      <c r="W307" s="655" t="str">
        <f>IF(ISERROR(MATCH(F307,'Inputs Mapping'!$W$4:$W$8,0)),"x","")</f>
        <v>x</v>
      </c>
      <c r="X307" s="655" t="str">
        <f t="shared" si="177"/>
        <v/>
      </c>
      <c r="Y307" s="655" t="str">
        <f t="shared" si="178"/>
        <v/>
      </c>
      <c r="Z307" s="655" t="str">
        <f t="shared" si="160"/>
        <v/>
      </c>
      <c r="AA307" s="655" t="str">
        <f t="shared" si="165"/>
        <v>M/F</v>
      </c>
      <c r="AB307" s="655" t="str">
        <f t="shared" si="161"/>
        <v>S</v>
      </c>
      <c r="AC307" s="655" t="str">
        <f t="shared" si="162"/>
        <v>x</v>
      </c>
      <c r="AD307" s="655" t="str">
        <f>IF(ISBLANK(I307),"x",IF(ISNUMBER(MATCH(I307,'Inputs Mapping'!$AF$5:$AF$199,0)),"","x"))</f>
        <v>x</v>
      </c>
      <c r="AE307" s="655" t="str">
        <f t="shared" si="166"/>
        <v>Dubai</v>
      </c>
      <c r="AF307" s="148"/>
      <c r="AG307" s="148"/>
      <c r="AH307" s="148" t="str">
        <f t="shared" si="167"/>
        <v>FDubai</v>
      </c>
      <c r="AI307" s="654" t="str">
        <f>IF(J307="","",VLOOKUP(J307,'Inputs Mapping'!$T$27:$V$31,3))</f>
        <v>0-17</v>
      </c>
      <c r="AJ307" s="654" t="str">
        <f>IF(J307="","",VLOOKUP(J307,'Inputs Mapping'!$T$17:$V$24,3))</f>
        <v>0 - 17</v>
      </c>
      <c r="AK307" s="654">
        <f t="shared" si="179"/>
        <v>0</v>
      </c>
      <c r="AL307" s="655">
        <f t="shared" si="180"/>
        <v>0</v>
      </c>
      <c r="AM307" s="655">
        <f>IF(F307="","",IF(G307="Dubai",HLOOKUP(F307,Inputs!$C$26:$M$36,5,0),HLOOKUP(F307,Inputs!$C$45:$M$49,5,0)))</f>
        <v>0</v>
      </c>
      <c r="AN307" s="655" t="str">
        <f t="shared" si="181"/>
        <v>Dubai</v>
      </c>
      <c r="AO307" s="654">
        <f>IF(AJ307="","",IF(AN307="Dubai",VLOOKUP(AJ307,'Inputs Mapping'!$V$17:$W$24,2,0),VLOOKUP(AI307,'Inputs Mapping'!$V$27:$W$31,2,0)))</f>
        <v>2</v>
      </c>
      <c r="AP307" s="685">
        <f>IFERROR(IF($AN307="","",HLOOKUP($AN307&amp;RIGHT($AL307,1),'input for formula'!$B$16:$I$20,3,0)),0)</f>
        <v>0</v>
      </c>
      <c r="AQ307" s="686">
        <f>IFERROR(IF($AN307="","",HLOOKUP($AN307&amp;$F307,'input for formula'!$B$22:$M$25,2,0)),0)</f>
        <v>0</v>
      </c>
      <c r="AR307" s="685">
        <f>IFERROR(IF($AN307="","",HLOOKUP($AN307&amp;RIGHT($AL307,1),'input for formula'!$B$16:$I$20,4,0)),0)</f>
        <v>0</v>
      </c>
      <c r="AS307" s="686">
        <f>IFERROR(IF($AN307="","",HLOOKUP($AN307&amp;$F307,'input for formula'!$B$22:$M$25,3,0)),0)</f>
        <v>0</v>
      </c>
      <c r="AT307" s="686">
        <f>IFERROR(IF($AN307="","",HLOOKUP($AN307&amp;RIGHT($AL307,1),'input for formula'!$B$16:$I$20,5,0)),0)</f>
        <v>0</v>
      </c>
      <c r="AU307" s="686">
        <f>IFERROR(IF($AN307="","",HLOOKUP($AN307&amp;$F307,'input for formula'!$B$22:$M$25,4,0)),0)</f>
        <v>0</v>
      </c>
      <c r="AV307" s="666">
        <f>IFERROR(IF($AN307="","",IF('Census Data'!$AN307="Abu Dhabi",VLOOKUP('Census Data'!$AM307,'input for formula'!$A$28:$C$41,3,0),VLOOKUP('Census Data'!$AM307,'input for formula'!$A$28:$C$47,2,0))),0)*IFERROR(1+IF(AN307="Dubai",VLOOKUP(F307,'Quotation for Dubai Plans'!$V$6:$X$12,3,FALSE),VLOOKUP(F307,'Quotation for Abu Dhabi Plans'!$W$6:$Y$12,3,FALSE)),0)</f>
        <v>0</v>
      </c>
      <c r="AW307" s="686">
        <f t="shared" si="182"/>
        <v>0</v>
      </c>
      <c r="AX307" s="687">
        <f>IFERROR(IF(AL307="","",IF(AN307="Dubai",HLOOKUP((AL307&amp;AM307),Deviation!$B$7:$S$8,2,0)*BF307*BH307*BI307*BG307,HLOOKUP((AL307&amp;AM307),Deviation!$B$9:$O$10,2,0)*BF307*BH307*BI307*BG307)),0)</f>
        <v>0</v>
      </c>
      <c r="AY307" s="668">
        <f>IF(AL307="","",IFERROR(IF(AL307="","",IF(AN307="Dubai",HLOOKUP(AZ307,'input for formula'!$B$3:$F$10,AO307,FALSE), IF(AND(H307="Employee",AN307="Abu Dhabi"),HLOOKUP(AZ307,'input for formula'!$I$3:$K$7,AO307,FALSE),HLOOKUP(AZ307,'input for formula'!$M$3:$O$7,AO307,FALSE)))*AX307+AP307*AQ307+AR307*AS307+AT307*AU307),0)*$AZ$3*BK307*BJ307)*IF(AND(Inputs!$C$19&gt;19,Inputs!$C$19&lt;30),(1+$AZ$2),1)</f>
        <v>0</v>
      </c>
      <c r="AZ307" s="148" t="str">
        <f>IF(AL307="","",IF(AN307="","",AN307&amp;RIGHT(AL307,1)))</f>
        <v>Dubai0</v>
      </c>
      <c r="BA307" s="688">
        <f>IF(F307="","",IF(G307="Dubai",HLOOKUP(F307,Inputs!$C$26:$M$37,9,0),HLOOKUP(F307,Inputs!$C$45:$M$56,9,0)))</f>
        <v>0</v>
      </c>
      <c r="BB307" s="689">
        <f>IF(F307="","",IF(G307="Dubai",HLOOKUP(F307,Inputs!$C$26:$M$37,10,0),HLOOKUP(F307,Inputs!$C$45:$M$56,10,0)))</f>
        <v>0</v>
      </c>
      <c r="BC307" s="689">
        <f>IF(F307="","",IF(G307="Dubai",HLOOKUP(F307,Inputs!$C$26:$M$37,11,0),HLOOKUP(F307,Inputs!$C$45:$M$56,11,0)))</f>
        <v>0</v>
      </c>
      <c r="BD307" s="688">
        <f>IF(F307="","",IF(G307="Dubai",HLOOKUP(F307,Inputs!$C$26:$M$37,12,0),HLOOKUP(F307,Inputs!$C$45:$M$56,12,0)))</f>
        <v>0</v>
      </c>
      <c r="BE307" s="654"/>
      <c r="BF307" s="688">
        <f>IFERROR(IF(AL307="","",IF(AN307="Dubai",IF(OR(AL307="Plan1",AL307="Plan2"),VLOOKUP(BA307,Deviation!$B$31:$D$33,2,FALSE),VLOOKUP(BA307,Deviation!$B$31:$D$33,3,FALSE)),IF(OR(AL307="Plan1",AL307="Plan2"),VLOOKUP(BA307,Deviation!$E$31:$AE$33,2,FALSE),VLOOKUP(BA307,Deviation!$E$31:$AE$33,3,FALSE)))),0)</f>
        <v>1.125</v>
      </c>
      <c r="BG307" s="690">
        <f>IFERROR(IF(AL307="","",IF(AN307="Dubai",IF(AL307="Plan1",VLOOKUP(BB307,Deviation!$B$39:$C$40,2,FALSE),IF(AL307="Plan2",VLOOKUP(BB307,Deviation!$B$42:$C$43,2,FALSE),IF(AL307="Plan5",VLOOKUP(BB307,Deviation!$B$48:$C$49,2,FALSE),VLOOKUP(BB307,Deviation!$B$45:$C$46,2,FALSE)))),IF(AL307="Plan1",VLOOKUP(BB307,Deviation!$E$39:$F$40,2,FALSE),IF(AL307="Plan2",VLOOKUP(BB307,Deviation!$E$42:$F$43,2,FALSE),VLOOKUP(BB307,Deviation!$E$45:$F$46,2,FALSE))))),0)</f>
        <v>0</v>
      </c>
      <c r="BH307" s="690">
        <f>IFERROR(IF(AL307="","",IF(AN307="Dubai",IF(OR(AL307="Plan1",AL307="Plan2"),VLOOKUP(BC307,Deviation!$B$15:$D$19,2,FALSE),VLOOKUP(BC307,Deviation!$B$15:$D$19,3,FALSE)),IF(OR(AL307="Plan1",AL307="Plan2"),VLOOKUP(BC307,Deviation!$E$15:$AE$19,2,FALSE),VLOOKUP(BC307,Deviation!$E$15:$AE$19,3,FALSE)))),0)</f>
        <v>0</v>
      </c>
      <c r="BI307" s="691">
        <f>IFERROR(IF(AL307="","",IF(AN307="Dubai",VLOOKUP(BD307,Deviation!$B$24:$C$26,2,FALSE),100%)),0)</f>
        <v>1.06</v>
      </c>
      <c r="BJ307" s="672">
        <f>IF(AE307="Abu Dhabi",1,IFERROR(VLOOKUP(AM307,Deviation!$B$67:$E$79,MATCH('Census Data'!AA307,Deviation!$B$66:$E$66,0),0),1))</f>
        <v>1</v>
      </c>
      <c r="BK307" s="659">
        <f>IFERROR(VLOOKUP(I307,Deviation!$B$54:$C$62,2,0),1)</f>
        <v>1</v>
      </c>
      <c r="BL307" s="148"/>
      <c r="BM307" s="148"/>
      <c r="BN307" s="148"/>
      <c r="BO307" s="148"/>
      <c r="BP307" s="148"/>
      <c r="BQ307" s="148"/>
      <c r="BR307" s="148"/>
      <c r="BS307" s="148"/>
      <c r="BT307" s="148">
        <f t="shared" si="168"/>
        <v>0</v>
      </c>
    </row>
    <row r="308" spans="1:72" ht="15" hidden="1" x14ac:dyDescent="0.25">
      <c r="A308" s="94"/>
      <c r="B308" s="470"/>
      <c r="C308" s="94"/>
      <c r="D308" s="94" t="s">
        <v>175</v>
      </c>
      <c r="E308" s="94" t="s">
        <v>173</v>
      </c>
      <c r="F308" s="94" t="s">
        <v>68</v>
      </c>
      <c r="G308" s="94" t="s">
        <v>170</v>
      </c>
      <c r="H308" s="94"/>
      <c r="I308" s="94"/>
      <c r="J308" s="80">
        <v>40</v>
      </c>
      <c r="K308" s="59">
        <f>IF(F308="","",IF(G308="Dubai",HLOOKUP(F308,Inputs!$C$26:$M$28,3,0),HLOOKUP(F308,Inputs!$C$45:$M$46,2,0)))</f>
        <v>0</v>
      </c>
      <c r="L308" s="94"/>
      <c r="M308" s="105">
        <f t="shared" si="159"/>
        <v>-2</v>
      </c>
      <c r="N308" s="654" t="b">
        <f t="shared" si="171"/>
        <v>1</v>
      </c>
      <c r="O308" s="655" t="str">
        <f t="shared" si="172"/>
        <v>x</v>
      </c>
      <c r="P308" s="655" t="str">
        <f t="shared" si="173"/>
        <v/>
      </c>
      <c r="Q308" s="655" t="str">
        <f t="shared" si="174"/>
        <v/>
      </c>
      <c r="R308" s="655" t="str">
        <f t="shared" si="175"/>
        <v/>
      </c>
      <c r="S308" s="655" t="str">
        <f t="shared" si="176"/>
        <v/>
      </c>
      <c r="T308" s="655" t="str">
        <f>IF(ISERROR(MATCH(G308,'Inputs Mapping'!$T$4:$T$5,0)),"x","")</f>
        <v/>
      </c>
      <c r="U308" s="655" t="str">
        <f>IF(ISERROR(MATCH(AA308,'Inputs Mapping'!$U$4:$U$5,0)),"x","")</f>
        <v>x</v>
      </c>
      <c r="V308" s="655" t="str">
        <f>IF(ISERROR(MATCH(AB308,'Inputs Mapping'!$V$4:$V$5,0)),"x","")</f>
        <v/>
      </c>
      <c r="W308" s="655" t="str">
        <f>IF(ISERROR(MATCH(F308,'Inputs Mapping'!$W$4:$W$8,0)),"x","")</f>
        <v>x</v>
      </c>
      <c r="X308" s="655" t="str">
        <f t="shared" si="177"/>
        <v/>
      </c>
      <c r="Y308" s="655" t="str">
        <f t="shared" si="178"/>
        <v/>
      </c>
      <c r="Z308" s="655" t="str">
        <f t="shared" si="160"/>
        <v/>
      </c>
      <c r="AA308" s="655" t="str">
        <f t="shared" si="165"/>
        <v>M/F</v>
      </c>
      <c r="AB308" s="655" t="str">
        <f t="shared" si="161"/>
        <v>S</v>
      </c>
      <c r="AC308" s="655" t="str">
        <f t="shared" si="162"/>
        <v>x</v>
      </c>
      <c r="AD308" s="655" t="str">
        <f>IF(ISBLANK(I308),"x",IF(ISNUMBER(MATCH(I308,'Inputs Mapping'!$AF$5:$AF$199,0)),"","x"))</f>
        <v>x</v>
      </c>
      <c r="AE308" s="655" t="str">
        <f t="shared" si="166"/>
        <v>Dubai</v>
      </c>
      <c r="AF308" s="148"/>
      <c r="AG308" s="148"/>
      <c r="AH308" s="148" t="str">
        <f t="shared" si="167"/>
        <v>FDubai</v>
      </c>
      <c r="AI308" s="654" t="str">
        <f>IF(J308="","",VLOOKUP(J308,'Inputs Mapping'!$T$27:$V$31,3))</f>
        <v>18-40</v>
      </c>
      <c r="AJ308" s="654" t="str">
        <f>IF(J308="","",VLOOKUP(J308,'Inputs Mapping'!$T$17:$V$24,3))</f>
        <v>36 - 45</v>
      </c>
      <c r="AK308" s="654">
        <f t="shared" si="179"/>
        <v>0</v>
      </c>
      <c r="AL308" s="655">
        <f t="shared" si="180"/>
        <v>0</v>
      </c>
      <c r="AM308" s="655">
        <f>IF(F308="","",IF(G308="Dubai",HLOOKUP(F308,Inputs!$C$26:$M$36,5,0),HLOOKUP(F308,Inputs!$C$45:$M$49,5,0)))</f>
        <v>0</v>
      </c>
      <c r="AN308" s="655" t="str">
        <f t="shared" si="181"/>
        <v>Dubai</v>
      </c>
      <c r="AO308" s="654">
        <f>IF(AJ308="","",IF(AN308="Dubai",VLOOKUP(AJ308,'Inputs Mapping'!$V$17:$W$24,2,0),VLOOKUP(AI308,'Inputs Mapping'!$V$27:$W$31,2,0)))</f>
        <v>4</v>
      </c>
      <c r="AP308" s="685">
        <f>IFERROR(IF($AN308="","",HLOOKUP($AN308&amp;RIGHT($AL308,1),'input for formula'!$B$16:$I$20,3,0)),0)</f>
        <v>0</v>
      </c>
      <c r="AQ308" s="686">
        <f>IFERROR(IF($AN308="","",HLOOKUP($AN308&amp;$F308,'input for formula'!$B$22:$M$25,2,0)),0)</f>
        <v>0</v>
      </c>
      <c r="AR308" s="685">
        <f>IFERROR(IF($AN308="","",HLOOKUP($AN308&amp;RIGHT($AL308,1),'input for formula'!$B$16:$I$20,4,0)),0)</f>
        <v>0</v>
      </c>
      <c r="AS308" s="686">
        <f>IFERROR(IF($AN308="","",HLOOKUP($AN308&amp;$F308,'input for formula'!$B$22:$M$25,3,0)),0)</f>
        <v>0</v>
      </c>
      <c r="AT308" s="686">
        <f>IFERROR(IF($AN308="","",HLOOKUP($AN308&amp;RIGHT($AL308,1),'input for formula'!$B$16:$I$20,5,0)),0)</f>
        <v>0</v>
      </c>
      <c r="AU308" s="686">
        <f>IFERROR(IF($AN308="","",HLOOKUP($AN308&amp;$F308,'input for formula'!$B$22:$M$25,4,0)),0)</f>
        <v>0</v>
      </c>
      <c r="AV308" s="666">
        <f>IFERROR(IF($AN308="","",IF('Census Data'!$AN308="Abu Dhabi",VLOOKUP('Census Data'!$AM308,'input for formula'!$A$28:$C$41,3,0),VLOOKUP('Census Data'!$AM308,'input for formula'!$A$28:$C$47,2,0))),0)*IFERROR(1+IF(AN308="Dubai",VLOOKUP(F308,'Quotation for Dubai Plans'!$V$6:$X$12,3,FALSE),VLOOKUP(F308,'Quotation for Abu Dhabi Plans'!$W$6:$Y$12,3,FALSE)),0)</f>
        <v>0</v>
      </c>
      <c r="AW308" s="686">
        <f t="shared" si="182"/>
        <v>0</v>
      </c>
      <c r="AX308" s="687">
        <f>IFERROR(IF(AL308="","",IF(AN308="Dubai",HLOOKUP((AL308&amp;AM308),Deviation!$B$7:$S$8,2,0)*BF308*BH308*BI308*BG308,HLOOKUP((AL308&amp;AM308),Deviation!$B$9:$O$10,2,0)*BF308*BH308*BI308*BG308)),0)</f>
        <v>0</v>
      </c>
      <c r="AY308" s="668">
        <f>IF(AL308="","",IFERROR(IF(AL308="","",IF(AN308="Dubai",HLOOKUP(AZ308,'input for formula'!$B$3:$F$10,AO308,FALSE), IF(AND(H308="Employee",AN308="Abu Dhabi"),HLOOKUP(AZ308,'input for formula'!$I$3:$K$7,AO308,FALSE),HLOOKUP(AZ308,'input for formula'!$M$3:$O$7,AO308,FALSE)))*AX308+AP308*AQ308+AR308*AS308+AT308*AU308),0)*$AZ$3*BK308*BJ308)*IF(AND(Inputs!$C$19&gt;19,Inputs!$C$19&lt;30),(1+$AZ$2),1)</f>
        <v>0</v>
      </c>
      <c r="AZ308" s="148" t="str">
        <f>IF(AL308="","",IF(AN308="","",AN308&amp;RIGHT(AL308,1)))</f>
        <v>Dubai0</v>
      </c>
      <c r="BA308" s="688">
        <f>IF(F308="","",IF(G308="Dubai",HLOOKUP(F308,Inputs!$C$26:$M$37,9,0),HLOOKUP(F308,Inputs!$C$45:$M$56,9,0)))</f>
        <v>0</v>
      </c>
      <c r="BB308" s="689">
        <f>IF(F308="","",IF(G308="Dubai",HLOOKUP(F308,Inputs!$C$26:$M$37,10,0),HLOOKUP(F308,Inputs!$C$45:$M$56,10,0)))</f>
        <v>0</v>
      </c>
      <c r="BC308" s="689">
        <f>IF(F308="","",IF(G308="Dubai",HLOOKUP(F308,Inputs!$C$26:$M$37,11,0),HLOOKUP(F308,Inputs!$C$45:$M$56,11,0)))</f>
        <v>0</v>
      </c>
      <c r="BD308" s="688">
        <f>IF(F308="","",IF(G308="Dubai",HLOOKUP(F308,Inputs!$C$26:$M$37,12,0),HLOOKUP(F308,Inputs!$C$45:$M$56,12,0)))</f>
        <v>0</v>
      </c>
      <c r="BE308" s="654"/>
      <c r="BF308" s="688">
        <f>IFERROR(IF(AL308="","",IF(AN308="Dubai",IF(OR(AL308="Plan1",AL308="Plan2"),VLOOKUP(BA308,Deviation!$B$31:$D$33,2,FALSE),VLOOKUP(BA308,Deviation!$B$31:$D$33,3,FALSE)),IF(OR(AL308="Plan1",AL308="Plan2"),VLOOKUP(BA308,Deviation!$E$31:$AE$33,2,FALSE),VLOOKUP(BA308,Deviation!$E$31:$AE$33,3,FALSE)))),0)</f>
        <v>1.125</v>
      </c>
      <c r="BG308" s="690">
        <f>IFERROR(IF(AL308="","",IF(AN308="Dubai",IF(AL308="Plan1",VLOOKUP(BB308,Deviation!$B$39:$C$40,2,FALSE),IF(AL308="Plan2",VLOOKUP(BB308,Deviation!$B$42:$C$43,2,FALSE),IF(AL308="Plan5",VLOOKUP(BB308,Deviation!$B$48:$C$49,2,FALSE),VLOOKUP(BB308,Deviation!$B$45:$C$46,2,FALSE)))),IF(AL308="Plan1",VLOOKUP(BB308,Deviation!$E$39:$F$40,2,FALSE),IF(AL308="Plan2",VLOOKUP(BB308,Deviation!$E$42:$F$43,2,FALSE),VLOOKUP(BB308,Deviation!$E$45:$F$46,2,FALSE))))),0)</f>
        <v>0</v>
      </c>
      <c r="BH308" s="690">
        <f>IFERROR(IF(AL308="","",IF(AN308="Dubai",IF(OR(AL308="Plan1",AL308="Plan2"),VLOOKUP(BC308,Deviation!$B$15:$D$19,2,FALSE),VLOOKUP(BC308,Deviation!$B$15:$D$19,3,FALSE)),IF(OR(AL308="Plan1",AL308="Plan2"),VLOOKUP(BC308,Deviation!$E$15:$AE$19,2,FALSE),VLOOKUP(BC308,Deviation!$E$15:$AE$19,3,FALSE)))),0)</f>
        <v>0</v>
      </c>
      <c r="BI308" s="691">
        <f>IFERROR(IF(AL308="","",IF(AN308="Dubai",VLOOKUP(BD308,Deviation!$B$24:$C$26,2,FALSE),100%)),0)</f>
        <v>1.06</v>
      </c>
      <c r="BJ308" s="672">
        <f>IF(AE308="Abu Dhabi",1,IFERROR(VLOOKUP(AM308,Deviation!$B$67:$E$79,MATCH('Census Data'!AA308,Deviation!$B$66:$E$66,0),0),1))</f>
        <v>1</v>
      </c>
      <c r="BK308" s="659">
        <f>IFERROR(VLOOKUP(I308,Deviation!$B$54:$C$62,2,0),1)</f>
        <v>1</v>
      </c>
      <c r="BL308" s="148"/>
      <c r="BM308" s="148"/>
      <c r="BN308" s="148"/>
      <c r="BO308" s="148"/>
      <c r="BP308" s="148"/>
      <c r="BQ308" s="148"/>
      <c r="BR308" s="148"/>
      <c r="BS308" s="148"/>
      <c r="BT308" s="148">
        <f t="shared" si="168"/>
        <v>0</v>
      </c>
    </row>
    <row r="309" spans="1:72" ht="15" hidden="1" x14ac:dyDescent="0.25">
      <c r="A309" s="94"/>
      <c r="B309" s="470"/>
      <c r="C309" s="94"/>
      <c r="D309" s="94" t="s">
        <v>175</v>
      </c>
      <c r="E309" s="94" t="s">
        <v>173</v>
      </c>
      <c r="F309" s="94" t="s">
        <v>68</v>
      </c>
      <c r="G309" s="94" t="s">
        <v>170</v>
      </c>
      <c r="H309" s="94"/>
      <c r="I309" s="94"/>
      <c r="J309" s="80">
        <v>59</v>
      </c>
      <c r="K309" s="59">
        <f>IF(F309="","",IF(G309="Dubai",HLOOKUP(F309,Inputs!$C$26:$M$28,3,0),HLOOKUP(F309,Inputs!$C$45:$M$46,2,0)))</f>
        <v>0</v>
      </c>
      <c r="L309" s="94"/>
      <c r="M309" s="105">
        <f t="shared" si="159"/>
        <v>-2</v>
      </c>
      <c r="N309" s="654" t="b">
        <f t="shared" si="171"/>
        <v>1</v>
      </c>
      <c r="O309" s="655" t="str">
        <f t="shared" si="172"/>
        <v>x</v>
      </c>
      <c r="P309" s="655" t="str">
        <f t="shared" si="173"/>
        <v/>
      </c>
      <c r="Q309" s="655" t="str">
        <f t="shared" si="174"/>
        <v/>
      </c>
      <c r="R309" s="655" t="str">
        <f t="shared" si="175"/>
        <v/>
      </c>
      <c r="S309" s="655" t="str">
        <f t="shared" si="176"/>
        <v/>
      </c>
      <c r="T309" s="655" t="str">
        <f>IF(ISERROR(MATCH(G309,'Inputs Mapping'!$T$4:$T$5,0)),"x","")</f>
        <v/>
      </c>
      <c r="U309" s="655" t="str">
        <f>IF(ISERROR(MATCH(AA309,'Inputs Mapping'!$U$4:$U$5,0)),"x","")</f>
        <v>x</v>
      </c>
      <c r="V309" s="655" t="str">
        <f>IF(ISERROR(MATCH(AB309,'Inputs Mapping'!$V$4:$V$5,0)),"x","")</f>
        <v/>
      </c>
      <c r="W309" s="655" t="str">
        <f>IF(ISERROR(MATCH(F309,'Inputs Mapping'!$W$4:$W$8,0)),"x","")</f>
        <v>x</v>
      </c>
      <c r="X309" s="655" t="str">
        <f t="shared" si="177"/>
        <v/>
      </c>
      <c r="Y309" s="655" t="str">
        <f t="shared" si="178"/>
        <v/>
      </c>
      <c r="Z309" s="655" t="str">
        <f t="shared" si="160"/>
        <v/>
      </c>
      <c r="AA309" s="655" t="str">
        <f t="shared" si="165"/>
        <v>M/F</v>
      </c>
      <c r="AB309" s="655" t="str">
        <f t="shared" si="161"/>
        <v>S</v>
      </c>
      <c r="AC309" s="655" t="str">
        <f t="shared" si="162"/>
        <v>x</v>
      </c>
      <c r="AD309" s="655" t="str">
        <f>IF(ISBLANK(I309),"x",IF(ISNUMBER(MATCH(I309,'Inputs Mapping'!$AF$5:$AF$199,0)),"","x"))</f>
        <v>x</v>
      </c>
      <c r="AE309" s="655" t="str">
        <f t="shared" si="166"/>
        <v>Dubai</v>
      </c>
      <c r="AF309" s="148"/>
      <c r="AG309" s="148"/>
      <c r="AH309" s="148" t="str">
        <f t="shared" si="167"/>
        <v>FDubai</v>
      </c>
      <c r="AI309" s="654" t="str">
        <f>IF(J309="","",VLOOKUP(J309,'Inputs Mapping'!$T$27:$V$31,3))</f>
        <v>41-59</v>
      </c>
      <c r="AJ309" s="654" t="str">
        <f>IF(J309="","",VLOOKUP(J309,'Inputs Mapping'!$T$17:$V$24,3))</f>
        <v>56 - 60</v>
      </c>
      <c r="AK309" s="654">
        <f t="shared" si="179"/>
        <v>0</v>
      </c>
      <c r="AL309" s="655">
        <f t="shared" si="180"/>
        <v>0</v>
      </c>
      <c r="AM309" s="655">
        <f>IF(F309="","",IF(G309="Dubai",HLOOKUP(F309,Inputs!$C$26:$M$36,5,0),HLOOKUP(F309,Inputs!$C$45:$M$49,5,0)))</f>
        <v>0</v>
      </c>
      <c r="AN309" s="655" t="str">
        <f t="shared" si="181"/>
        <v>Dubai</v>
      </c>
      <c r="AO309" s="654">
        <f>IF(AJ309="","",IF(AN309="Dubai",VLOOKUP(AJ309,'Inputs Mapping'!$V$17:$W$24,2,0),VLOOKUP(AI309,'Inputs Mapping'!$V$27:$W$31,2,0)))</f>
        <v>6</v>
      </c>
      <c r="AP309" s="685">
        <f>IFERROR(IF($AN309="","",HLOOKUP($AN309&amp;RIGHT($AL309,1),'input for formula'!$B$16:$I$20,3,0)),0)</f>
        <v>0</v>
      </c>
      <c r="AQ309" s="686">
        <f>IFERROR(IF($AN309="","",HLOOKUP($AN309&amp;$F309,'input for formula'!$B$22:$M$25,2,0)),0)</f>
        <v>0</v>
      </c>
      <c r="AR309" s="685">
        <f>IFERROR(IF($AN309="","",HLOOKUP($AN309&amp;RIGHT($AL309,1),'input for formula'!$B$16:$I$20,4,0)),0)</f>
        <v>0</v>
      </c>
      <c r="AS309" s="686">
        <f>IFERROR(IF($AN309="","",HLOOKUP($AN309&amp;$F309,'input for formula'!$B$22:$M$25,3,0)),0)</f>
        <v>0</v>
      </c>
      <c r="AT309" s="686">
        <f>IFERROR(IF($AN309="","",HLOOKUP($AN309&amp;RIGHT($AL309,1),'input for formula'!$B$16:$I$20,5,0)),0)</f>
        <v>0</v>
      </c>
      <c r="AU309" s="686">
        <f>IFERROR(IF($AN309="","",HLOOKUP($AN309&amp;$F309,'input for formula'!$B$22:$M$25,4,0)),0)</f>
        <v>0</v>
      </c>
      <c r="AV309" s="666">
        <f>IFERROR(IF($AN309="","",IF('Census Data'!$AN309="Abu Dhabi",VLOOKUP('Census Data'!$AM309,'input for formula'!$A$28:$C$41,3,0),VLOOKUP('Census Data'!$AM309,'input for formula'!$A$28:$C$47,2,0))),0)*IFERROR(1+IF(AN309="Dubai",VLOOKUP(F309,'Quotation for Dubai Plans'!$V$6:$X$12,3,FALSE),VLOOKUP(F309,'Quotation for Abu Dhabi Plans'!$W$6:$Y$12,3,FALSE)),0)</f>
        <v>0</v>
      </c>
      <c r="AW309" s="686">
        <f t="shared" si="182"/>
        <v>0</v>
      </c>
      <c r="AX309" s="687">
        <f>IFERROR(IF(AL309="","",IF(AN309="Dubai",HLOOKUP((AL309&amp;AM309),Deviation!$B$7:$S$8,2,0)*BF309*BH309*BI309*BG309,HLOOKUP((AL309&amp;AM309),Deviation!$B$9:$O$10,2,0)*BF309*BH309*BI309*BG309)),0)</f>
        <v>0</v>
      </c>
      <c r="AY309" s="668">
        <f>IF(AL309="","",IFERROR(IF(AL309="","",IF(AN309="Dubai",HLOOKUP(AZ309,'input for formula'!$B$3:$F$10,AO309,FALSE), IF(AND(H309="Employee",AN309="Abu Dhabi"),HLOOKUP(AZ309,'input for formula'!$I$3:$K$7,AO309,FALSE),HLOOKUP(AZ309,'input for formula'!$M$3:$O$7,AO309,FALSE)))*AX309+AP309*AQ309+AR309*AS309+AT309*AU309),0)*$AZ$3*BK309*BJ309)*IF(AND(Inputs!$C$19&gt;19,Inputs!$C$19&lt;30),(1+$AZ$2),1)</f>
        <v>0</v>
      </c>
      <c r="AZ309" s="148" t="str">
        <f>IF(AL309="","",IF(AN309="","",AN309&amp;RIGHT(AL309,1)))</f>
        <v>Dubai0</v>
      </c>
      <c r="BA309" s="688">
        <f>IF(F309="","",IF(G309="Dubai",HLOOKUP(F309,Inputs!$C$26:$M$37,9,0),HLOOKUP(F309,Inputs!$C$45:$M$56,9,0)))</f>
        <v>0</v>
      </c>
      <c r="BB309" s="689">
        <f>IF(F309="","",IF(G309="Dubai",HLOOKUP(F309,Inputs!$C$26:$M$37,10,0),HLOOKUP(F309,Inputs!$C$45:$M$56,10,0)))</f>
        <v>0</v>
      </c>
      <c r="BC309" s="689">
        <f>IF(F309="","",IF(G309="Dubai",HLOOKUP(F309,Inputs!$C$26:$M$37,11,0),HLOOKUP(F309,Inputs!$C$45:$M$56,11,0)))</f>
        <v>0</v>
      </c>
      <c r="BD309" s="688">
        <f>IF(F309="","",IF(G309="Dubai",HLOOKUP(F309,Inputs!$C$26:$M$37,12,0),HLOOKUP(F309,Inputs!$C$45:$M$56,12,0)))</f>
        <v>0</v>
      </c>
      <c r="BE309" s="654"/>
      <c r="BF309" s="688">
        <f>IFERROR(IF(AL309="","",IF(AN309="Dubai",IF(OR(AL309="Plan1",AL309="Plan2"),VLOOKUP(BA309,Deviation!$B$31:$D$33,2,FALSE),VLOOKUP(BA309,Deviation!$B$31:$D$33,3,FALSE)),IF(OR(AL309="Plan1",AL309="Plan2"),VLOOKUP(BA309,Deviation!$E$31:$AE$33,2,FALSE),VLOOKUP(BA309,Deviation!$E$31:$AE$33,3,FALSE)))),0)</f>
        <v>1.125</v>
      </c>
      <c r="BG309" s="690">
        <f>IFERROR(IF(AL309="","",IF(AN309="Dubai",IF(AL309="Plan1",VLOOKUP(BB309,Deviation!$B$39:$C$40,2,FALSE),IF(AL309="Plan2",VLOOKUP(BB309,Deviation!$B$42:$C$43,2,FALSE),IF(AL309="Plan5",VLOOKUP(BB309,Deviation!$B$48:$C$49,2,FALSE),VLOOKUP(BB309,Deviation!$B$45:$C$46,2,FALSE)))),IF(AL309="Plan1",VLOOKUP(BB309,Deviation!$E$39:$F$40,2,FALSE),IF(AL309="Plan2",VLOOKUP(BB309,Deviation!$E$42:$F$43,2,FALSE),VLOOKUP(BB309,Deviation!$E$45:$F$46,2,FALSE))))),0)</f>
        <v>0</v>
      </c>
      <c r="BH309" s="690">
        <f>IFERROR(IF(AL309="","",IF(AN309="Dubai",IF(OR(AL309="Plan1",AL309="Plan2"),VLOOKUP(BC309,Deviation!$B$15:$D$19,2,FALSE),VLOOKUP(BC309,Deviation!$B$15:$D$19,3,FALSE)),IF(OR(AL309="Plan1",AL309="Plan2"),VLOOKUP(BC309,Deviation!$E$15:$AE$19,2,FALSE),VLOOKUP(BC309,Deviation!$E$15:$AE$19,3,FALSE)))),0)</f>
        <v>0</v>
      </c>
      <c r="BI309" s="691">
        <f>IFERROR(IF(AL309="","",IF(AN309="Dubai",VLOOKUP(BD309,Deviation!$B$24:$C$26,2,FALSE),100%)),0)</f>
        <v>1.06</v>
      </c>
      <c r="BJ309" s="672">
        <f>IF(AE309="Abu Dhabi",1,IFERROR(VLOOKUP(AM309,Deviation!$B$67:$E$79,MATCH('Census Data'!AA309,Deviation!$B$66:$E$66,0),0),1))</f>
        <v>1</v>
      </c>
      <c r="BK309" s="659">
        <f>IFERROR(VLOOKUP(I309,Deviation!$B$54:$C$62,2,0),1)</f>
        <v>1</v>
      </c>
      <c r="BL309" s="148"/>
      <c r="BM309" s="148"/>
      <c r="BN309" s="148"/>
      <c r="BO309" s="148"/>
      <c r="BP309" s="148"/>
      <c r="BQ309" s="148"/>
      <c r="BR309" s="148"/>
      <c r="BS309" s="148"/>
      <c r="BT309" s="148">
        <f t="shared" si="168"/>
        <v>0</v>
      </c>
    </row>
    <row r="310" spans="1:72" ht="15.75" hidden="1" thickBot="1" x14ac:dyDescent="0.3">
      <c r="A310" s="94"/>
      <c r="B310" s="470"/>
      <c r="C310" s="94"/>
      <c r="D310" s="499" t="s">
        <v>175</v>
      </c>
      <c r="E310" s="499" t="s">
        <v>173</v>
      </c>
      <c r="F310" s="499" t="s">
        <v>68</v>
      </c>
      <c r="G310" s="499" t="s">
        <v>170</v>
      </c>
      <c r="H310" s="499"/>
      <c r="I310" s="94"/>
      <c r="J310" s="80">
        <v>67</v>
      </c>
      <c r="K310" s="501">
        <f>IF(F310="","",IF(G310="Dubai",HLOOKUP(F310,Inputs!$C$26:$M$28,3,0),HLOOKUP(F310,Inputs!$C$45:$M$46,2,0)))</f>
        <v>0</v>
      </c>
      <c r="L310" s="499"/>
      <c r="M310" s="502">
        <f t="shared" si="159"/>
        <v>-2</v>
      </c>
      <c r="N310" s="692" t="b">
        <f t="shared" si="171"/>
        <v>1</v>
      </c>
      <c r="O310" s="693" t="str">
        <f t="shared" si="172"/>
        <v>x</v>
      </c>
      <c r="P310" s="693" t="str">
        <f t="shared" si="173"/>
        <v/>
      </c>
      <c r="Q310" s="693" t="str">
        <f t="shared" si="174"/>
        <v/>
      </c>
      <c r="R310" s="693" t="str">
        <f t="shared" si="175"/>
        <v/>
      </c>
      <c r="S310" s="693" t="str">
        <f t="shared" si="176"/>
        <v/>
      </c>
      <c r="T310" s="693" t="str">
        <f>IF(ISERROR(MATCH(G310,'Inputs Mapping'!$T$4:$T$5,0)),"x","")</f>
        <v/>
      </c>
      <c r="U310" s="693" t="str">
        <f>IF(ISERROR(MATCH(AA310,'Inputs Mapping'!$U$4:$U$5,0)),"x","")</f>
        <v>x</v>
      </c>
      <c r="V310" s="693" t="str">
        <f>IF(ISERROR(MATCH(AB310,'Inputs Mapping'!$V$4:$V$5,0)),"x","")</f>
        <v/>
      </c>
      <c r="W310" s="693" t="str">
        <f>IF(ISERROR(MATCH(F310,'Inputs Mapping'!$W$4:$W$8,0)),"x","")</f>
        <v>x</v>
      </c>
      <c r="X310" s="693" t="str">
        <f t="shared" si="177"/>
        <v/>
      </c>
      <c r="Y310" s="693" t="str">
        <f t="shared" si="178"/>
        <v/>
      </c>
      <c r="Z310" s="655" t="str">
        <f t="shared" si="160"/>
        <v/>
      </c>
      <c r="AA310" s="655" t="str">
        <f t="shared" si="165"/>
        <v>M/F</v>
      </c>
      <c r="AB310" s="655" t="str">
        <f t="shared" si="161"/>
        <v>S</v>
      </c>
      <c r="AC310" s="655" t="str">
        <f t="shared" si="162"/>
        <v>x</v>
      </c>
      <c r="AD310" s="655" t="str">
        <f>IF(ISBLANK(I310),"x",IF(ISNUMBER(MATCH(I310,'Inputs Mapping'!$AF$5:$AF$199,0)),"","x"))</f>
        <v>x</v>
      </c>
      <c r="AE310" s="655" t="str">
        <f t="shared" si="166"/>
        <v>Dubai</v>
      </c>
      <c r="AF310" s="694"/>
      <c r="AG310" s="694"/>
      <c r="AH310" s="148" t="str">
        <f t="shared" si="167"/>
        <v>FDubai</v>
      </c>
      <c r="AI310" s="654" t="str">
        <f>IF(J310="","",VLOOKUP(J310,'Inputs Mapping'!$T$27:$V$31,3))</f>
        <v>60-69</v>
      </c>
      <c r="AJ310" s="692" t="str">
        <f>IF(J310="","",VLOOKUP(J310,'Inputs Mapping'!$T$17:$V$24,3))</f>
        <v>66 - 69</v>
      </c>
      <c r="AK310" s="692">
        <f t="shared" si="179"/>
        <v>0</v>
      </c>
      <c r="AL310" s="693">
        <f t="shared" si="180"/>
        <v>0</v>
      </c>
      <c r="AM310" s="693">
        <f>IF(F310="","",IF(G310="Dubai",HLOOKUP(F310,Inputs!$C$26:$M$36,5,0),HLOOKUP(F310,Inputs!$C$45:$M$49,5,0)))</f>
        <v>0</v>
      </c>
      <c r="AN310" s="693" t="str">
        <f t="shared" si="181"/>
        <v>Dubai</v>
      </c>
      <c r="AO310" s="654">
        <f>IF(AJ310="","",IF(AN310="Dubai",VLOOKUP(AJ310,'Inputs Mapping'!$V$17:$W$24,2,0),VLOOKUP(AI310,'Inputs Mapping'!$V$27:$W$31,2,0)))</f>
        <v>8</v>
      </c>
      <c r="AP310" s="695">
        <f>IFERROR(IF($AN310="","",HLOOKUP($AN310&amp;RIGHT($AL310,1),'input for formula'!$B$16:$I$20,3,0)),0)</f>
        <v>0</v>
      </c>
      <c r="AQ310" s="696">
        <f>IFERROR(IF($AN310="","",HLOOKUP($AN310&amp;$F310,'input for formula'!$B$22:$M$25,2,0)),0)</f>
        <v>0</v>
      </c>
      <c r="AR310" s="695">
        <f>IFERROR(IF($AN310="","",HLOOKUP($AN310&amp;RIGHT($AL310,1),'input for formula'!$B$16:$I$20,4,0)),0)</f>
        <v>0</v>
      </c>
      <c r="AS310" s="696">
        <f>IFERROR(IF($AN310="","",HLOOKUP($AN310&amp;$F310,'input for formula'!$B$22:$M$25,3,0)),0)</f>
        <v>0</v>
      </c>
      <c r="AT310" s="696">
        <f>IFERROR(IF($AN310="","",HLOOKUP($AN310&amp;RIGHT($AL310,1),'input for formula'!$B$16:$I$20,5,0)),0)</f>
        <v>0</v>
      </c>
      <c r="AU310" s="696">
        <f>IFERROR(IF($AN310="","",HLOOKUP($AN310&amp;$F310,'input for formula'!$B$22:$M$25,4,0)),0)</f>
        <v>0</v>
      </c>
      <c r="AV310" s="666">
        <f>IFERROR(IF($AN310="","",IF('Census Data'!$AN310="Abu Dhabi",VLOOKUP('Census Data'!$AM310,'input for formula'!$A$28:$C$41,3,0),VLOOKUP('Census Data'!$AM310,'input for formula'!$A$28:$C$47,2,0))),0)*IFERROR(1+IF(AN310="Dubai",VLOOKUP(F310,'Quotation for Dubai Plans'!$V$6:$X$12,3,FALSE),VLOOKUP(F310,'Quotation for Abu Dhabi Plans'!$W$6:$Y$12,3,FALSE)),0)</f>
        <v>0</v>
      </c>
      <c r="AW310" s="696">
        <f t="shared" si="182"/>
        <v>0</v>
      </c>
      <c r="AX310" s="697">
        <f>IFERROR(IF(AL310="","",IF(AN310="Dubai",HLOOKUP((AL310&amp;AM310),Deviation!$B$7:$S$8,2,0)*BF310*BH310*BI310*BG310,HLOOKUP((AL310&amp;AM310),Deviation!$B$9:$O$10,2,0)*BF310*BH310*BI310*BG310)),0)</f>
        <v>0</v>
      </c>
      <c r="AY310" s="668">
        <f>IF(AL310="","",IFERROR(IF(AL310="","",IF(AN310="Dubai",HLOOKUP(AZ310,'input for formula'!$B$3:$F$10,AO310,FALSE), IF(AND(H310="Employee",AN310="Abu Dhabi"),HLOOKUP(AZ310,'input for formula'!$I$3:$K$7,AO310,FALSE),HLOOKUP(AZ310,'input for formula'!$M$3:$O$7,AO310,FALSE)))*AX310+AP310*AQ310+AR310*AS310+AT310*AU310),0)*$AZ$3*BK310*BJ310)*IF(AND(Inputs!$C$19&gt;19,Inputs!$C$19&lt;30),(1+$AZ$2),1)</f>
        <v>0</v>
      </c>
      <c r="AZ310" s="694" t="str">
        <f>IF(AL310="","",IF(AN310="","",AN310&amp;RIGHT(AL310,1)))</f>
        <v>Dubai0</v>
      </c>
      <c r="BA310" s="698">
        <f>IF(F310="","",IF(G310="Dubai",HLOOKUP(F310,Inputs!$C$26:$M$37,9,0),HLOOKUP(F310,Inputs!$C$45:$M$56,9,0)))</f>
        <v>0</v>
      </c>
      <c r="BB310" s="699">
        <f>IF(F310="","",IF(G310="Dubai",HLOOKUP(F310,Inputs!$C$26:$M$37,10,0),HLOOKUP(F310,Inputs!$C$45:$M$56,10,0)))</f>
        <v>0</v>
      </c>
      <c r="BC310" s="699">
        <f>IF(F310="","",IF(G310="Dubai",HLOOKUP(F310,Inputs!$C$26:$M$37,11,0),HLOOKUP(F310,Inputs!$C$45:$M$56,11,0)))</f>
        <v>0</v>
      </c>
      <c r="BD310" s="698">
        <f>IF(F310="","",IF(G310="Dubai",HLOOKUP(F310,Inputs!$C$26:$M$37,12,0),HLOOKUP(F310,Inputs!$C$45:$M$56,12,0)))</f>
        <v>0</v>
      </c>
      <c r="BE310" s="692"/>
      <c r="BF310" s="698">
        <f>IFERROR(IF(AL310="","",IF(AN310="Dubai",IF(OR(AL310="Plan1",AL310="Plan2"),VLOOKUP(BA310,Deviation!$B$31:$D$33,2,FALSE),VLOOKUP(BA310,Deviation!$B$31:$D$33,3,FALSE)),IF(OR(AL310="Plan1",AL310="Plan2"),VLOOKUP(BA310,Deviation!$E$31:$AE$33,2,FALSE),VLOOKUP(BA310,Deviation!$E$31:$AE$33,3,FALSE)))),0)</f>
        <v>1.125</v>
      </c>
      <c r="BG310" s="700">
        <f>IFERROR(IF(AL310="","",IF(AN310="Dubai",IF(AL310="Plan1",VLOOKUP(BB310,Deviation!$B$39:$C$40,2,FALSE),IF(AL310="Plan2",VLOOKUP(BB310,Deviation!$B$42:$C$43,2,FALSE),IF(AL310="Plan5",VLOOKUP(BB310,Deviation!$B$48:$C$49,2,FALSE),VLOOKUP(BB310,Deviation!$B$45:$C$46,2,FALSE)))),IF(AL310="Plan1",VLOOKUP(BB310,Deviation!$E$39:$F$40,2,FALSE),IF(AL310="Plan2",VLOOKUP(BB310,Deviation!$E$42:$F$43,2,FALSE),VLOOKUP(BB310,Deviation!$E$45:$F$46,2,FALSE))))),0)</f>
        <v>0</v>
      </c>
      <c r="BH310" s="700">
        <f>IFERROR(IF(AL310="","",IF(AN310="Dubai",IF(OR(AL310="Plan1",AL310="Plan2"),VLOOKUP(BC310,Deviation!$B$15:$D$19,2,FALSE),VLOOKUP(BC310,Deviation!$B$15:$D$19,3,FALSE)),IF(OR(AL310="Plan1",AL310="Plan2"),VLOOKUP(BC310,Deviation!$E$15:$AE$19,2,FALSE),VLOOKUP(BC310,Deviation!$E$15:$AE$19,3,FALSE)))),0)</f>
        <v>0</v>
      </c>
      <c r="BI310" s="701">
        <f>IFERROR(IF(AL310="","",IF(AN310="Dubai",VLOOKUP(BD310,Deviation!$B$24:$C$26,2,FALSE),100%)),0)</f>
        <v>1.06</v>
      </c>
      <c r="BJ310" s="672">
        <f>IF(AE310="Abu Dhabi",1,IFERROR(VLOOKUP(AM310,Deviation!$B$67:$E$79,MATCH('Census Data'!AA310,Deviation!$B$66:$E$66,0),0),1))</f>
        <v>1</v>
      </c>
      <c r="BK310" s="659">
        <f>IFERROR(VLOOKUP(I310,Deviation!$B$54:$C$62,2,0),1)</f>
        <v>1</v>
      </c>
      <c r="BL310" s="148"/>
      <c r="BM310" s="148"/>
      <c r="BN310" s="148"/>
      <c r="BO310" s="148"/>
      <c r="BP310" s="148"/>
      <c r="BQ310" s="148"/>
      <c r="BR310" s="148"/>
      <c r="BS310" s="148"/>
      <c r="BT310" s="148">
        <f t="shared" si="168"/>
        <v>0</v>
      </c>
    </row>
  </sheetData>
  <sheetProtection algorithmName="SHA-512" hashValue="McSF06F6CySER0OfST47XFY+RrbMZHAHrHNLPn3iqatUizEbe4KN8+8jZCCC6WfqlKpYkGJ+Mtt2A2apjfoOAQ==" saltValue="O8HNxfsD1L0hJlLABt2cIg==" spinCount="100000" sheet="1" objects="1" scenarios="1"/>
  <autoFilter ref="A5:BS310" xr:uid="{00000000-0009-0000-0000-000004000000}">
    <filterColumn colId="11" showButton="0"/>
  </autoFilter>
  <mergeCells count="6">
    <mergeCell ref="BP4:BR4"/>
    <mergeCell ref="AL4:AY4"/>
    <mergeCell ref="L5:M5"/>
    <mergeCell ref="D1:E1"/>
    <mergeCell ref="BA4:BD4"/>
    <mergeCell ref="BF4:BI4"/>
  </mergeCells>
  <conditionalFormatting sqref="J6:J7 J206:J310 J9:J204">
    <cfRule type="cellIs" dxfId="7" priority="67" operator="greaterThanOrEqual">
      <formula>60</formula>
    </cfRule>
  </conditionalFormatting>
  <conditionalFormatting sqref="F1">
    <cfRule type="cellIs" dxfId="6" priority="62" operator="greaterThan">
      <formula>0</formula>
    </cfRule>
    <cfRule type="expression" dxfId="5" priority="66">
      <formula>$G$1&gt;0</formula>
    </cfRule>
  </conditionalFormatting>
  <conditionalFormatting sqref="M206:M229">
    <cfRule type="iconSet" priority="130">
      <iconSet iconSet="3Symbols">
        <cfvo type="percent" val="0"/>
        <cfvo type="percent" val="33"/>
        <cfvo type="percent" val="67"/>
      </iconSet>
    </cfRule>
  </conditionalFormatting>
  <conditionalFormatting sqref="M206:M229">
    <cfRule type="iconSet" priority="132">
      <iconSet iconSet="3Symbols2">
        <cfvo type="percent" val="0"/>
        <cfvo type="percent" val="33"/>
        <cfvo type="percent" val="67"/>
      </iconSet>
    </cfRule>
  </conditionalFormatting>
  <conditionalFormatting sqref="M230:M253">
    <cfRule type="iconSet" priority="48">
      <iconSet iconSet="3Symbols">
        <cfvo type="percent" val="0"/>
        <cfvo type="percent" val="33"/>
        <cfvo type="percent" val="67"/>
      </iconSet>
    </cfRule>
  </conditionalFormatting>
  <conditionalFormatting sqref="M230:M253">
    <cfRule type="iconSet" priority="49">
      <iconSet iconSet="3Symbols2">
        <cfvo type="percent" val="0"/>
        <cfvo type="percent" val="33"/>
        <cfvo type="percent" val="67"/>
      </iconSet>
    </cfRule>
  </conditionalFormatting>
  <conditionalFormatting sqref="M6:M205">
    <cfRule type="iconSet" priority="41">
      <iconSet iconSet="3Symbols2">
        <cfvo type="percent" val="0"/>
        <cfvo type="num" val="0"/>
        <cfvo type="num" val="1"/>
      </iconSet>
    </cfRule>
  </conditionalFormatting>
  <conditionalFormatting sqref="M254:M256 M260:M286">
    <cfRule type="iconSet" priority="13">
      <iconSet iconSet="3Symbols">
        <cfvo type="percent" val="0"/>
        <cfvo type="percent" val="33"/>
        <cfvo type="percent" val="67"/>
      </iconSet>
    </cfRule>
  </conditionalFormatting>
  <conditionalFormatting sqref="M254:M256 M260:M286">
    <cfRule type="iconSet" priority="14">
      <iconSet iconSet="3Symbols2">
        <cfvo type="percent" val="0"/>
        <cfvo type="percent" val="33"/>
        <cfvo type="percent" val="67"/>
      </iconSet>
    </cfRule>
  </conditionalFormatting>
  <conditionalFormatting sqref="M287:M310">
    <cfRule type="iconSet" priority="10">
      <iconSet iconSet="3Symbols">
        <cfvo type="percent" val="0"/>
        <cfvo type="percent" val="33"/>
        <cfvo type="percent" val="67"/>
      </iconSet>
    </cfRule>
  </conditionalFormatting>
  <conditionalFormatting sqref="M287:M310">
    <cfRule type="iconSet" priority="11">
      <iconSet iconSet="3Symbols2">
        <cfvo type="percent" val="0"/>
        <cfvo type="percent" val="33"/>
        <cfvo type="percent" val="67"/>
      </iconSet>
    </cfRule>
  </conditionalFormatting>
  <conditionalFormatting sqref="M257">
    <cfRule type="iconSet" priority="7">
      <iconSet iconSet="3Symbols">
        <cfvo type="percent" val="0"/>
        <cfvo type="percent" val="33"/>
        <cfvo type="percent" val="67"/>
      </iconSet>
    </cfRule>
  </conditionalFormatting>
  <conditionalFormatting sqref="M257">
    <cfRule type="iconSet" priority="8">
      <iconSet iconSet="3Symbols2">
        <cfvo type="percent" val="0"/>
        <cfvo type="percent" val="33"/>
        <cfvo type="percent" val="67"/>
      </iconSet>
    </cfRule>
  </conditionalFormatting>
  <conditionalFormatting sqref="M258">
    <cfRule type="iconSet" priority="5">
      <iconSet iconSet="3Symbols">
        <cfvo type="percent" val="0"/>
        <cfvo type="percent" val="33"/>
        <cfvo type="percent" val="67"/>
      </iconSet>
    </cfRule>
  </conditionalFormatting>
  <conditionalFormatting sqref="M258">
    <cfRule type="iconSet" priority="6">
      <iconSet iconSet="3Symbols2">
        <cfvo type="percent" val="0"/>
        <cfvo type="percent" val="33"/>
        <cfvo type="percent" val="67"/>
      </iconSet>
    </cfRule>
  </conditionalFormatting>
  <conditionalFormatting sqref="M259">
    <cfRule type="iconSet" priority="3">
      <iconSet iconSet="3Symbols">
        <cfvo type="percent" val="0"/>
        <cfvo type="percent" val="33"/>
        <cfvo type="percent" val="67"/>
      </iconSet>
    </cfRule>
  </conditionalFormatting>
  <conditionalFormatting sqref="M259">
    <cfRule type="iconSet" priority="4">
      <iconSet iconSet="3Symbols2">
        <cfvo type="percent" val="0"/>
        <cfvo type="percent" val="33"/>
        <cfvo type="percent" val="67"/>
      </iconSet>
    </cfRule>
  </conditionalFormatting>
  <conditionalFormatting sqref="J205">
    <cfRule type="cellIs" dxfId="4" priority="2" operator="greaterThanOrEqual">
      <formula>60</formula>
    </cfRule>
  </conditionalFormatting>
  <conditionalFormatting sqref="J8">
    <cfRule type="cellIs" dxfId="3" priority="1" operator="greaterThanOrEqual">
      <formula>60</formula>
    </cfRule>
  </conditionalFormatting>
  <dataValidations xWindow="488" yWindow="254" count="3">
    <dataValidation operator="greaterThan" showInputMessage="1" showErrorMessage="1" sqref="J6:J310" xr:uid="{00000000-0002-0000-0400-000000000000}"/>
    <dataValidation type="list" allowBlank="1" showInputMessage="1" showErrorMessage="1" sqref="I6:I205" xr:uid="{00000000-0002-0000-0400-000001000000}">
      <formula1>Nationality</formula1>
    </dataValidation>
    <dataValidation type="list" allowBlank="1" showInputMessage="1" showErrorMessage="1" sqref="G6:G205" xr:uid="{00000000-0002-0000-0400-000002000000}">
      <formula1>Visa_Emirate</formula1>
    </dataValidation>
  </dataValidations>
  <pageMargins left="0.7" right="0.7" top="0.75" bottom="0.75" header="0.3" footer="0.3"/>
  <pageSetup scale="30" orientation="portrait" horizontalDpi="4294967295" verticalDpi="4294967295" r:id="rId1"/>
  <headerFooter>
    <oddHeader>&amp;C&amp;"Calibri"&amp;10&amp;K000000 Internal&amp;1#_x000D_</oddHeader>
    <oddFooter>&amp;L_x000D_&amp;1#&amp;"Calibri"&amp;10&amp;K737373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0" r:id="rId4" name="Button 22">
              <controlPr defaultSize="0" print="0" autoFill="0" autoPict="0" macro="[0]!Generate_Quote">
                <anchor moveWithCells="1" sizeWithCells="1">
                  <from>
                    <xdr:col>2</xdr:col>
                    <xdr:colOff>523875</xdr:colOff>
                    <xdr:row>2</xdr:row>
                    <xdr:rowOff>171450</xdr:rowOff>
                  </from>
                  <to>
                    <xdr:col>4</xdr:col>
                    <xdr:colOff>295275</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AL203"/>
  <sheetViews>
    <sheetView workbookViewId="0"/>
  </sheetViews>
  <sheetFormatPr defaultColWidth="9.140625" defaultRowHeight="12.75" x14ac:dyDescent="0.2"/>
  <cols>
    <col min="1" max="1" width="24" style="309" customWidth="1"/>
    <col min="2" max="2" width="58.140625" style="309" customWidth="1"/>
    <col min="3" max="3" width="42.85546875" style="309" bestFit="1" customWidth="1"/>
    <col min="4" max="4" width="24.42578125" style="309" bestFit="1" customWidth="1"/>
    <col min="5" max="5" width="21.42578125" style="309" customWidth="1"/>
    <col min="6" max="6" width="22" style="309" customWidth="1"/>
    <col min="7" max="8" width="4" style="309" customWidth="1"/>
    <col min="9" max="13" width="10" style="309" customWidth="1"/>
    <col min="14" max="17" width="9" style="309" customWidth="1"/>
    <col min="18" max="19" width="2.5703125" style="309" customWidth="1"/>
    <col min="20" max="23" width="13.42578125" style="309" customWidth="1"/>
    <col min="24" max="26" width="9.140625" style="309"/>
    <col min="27" max="27" width="45.7109375" style="309" bestFit="1" customWidth="1"/>
    <col min="28" max="28" width="11.85546875" style="309" bestFit="1" customWidth="1"/>
    <col min="29" max="29" width="12.85546875" style="309" bestFit="1" customWidth="1"/>
    <col min="30" max="16384" width="9.140625" style="309"/>
  </cols>
  <sheetData>
    <row r="1" spans="1:37" x14ac:dyDescent="0.2">
      <c r="A1" s="308" t="s">
        <v>176</v>
      </c>
      <c r="I1" s="308" t="s">
        <v>177</v>
      </c>
      <c r="T1" s="308" t="s">
        <v>178</v>
      </c>
    </row>
    <row r="2" spans="1:37" ht="9.75" customHeight="1" x14ac:dyDescent="0.2">
      <c r="B2" s="310"/>
      <c r="C2" s="310"/>
      <c r="D2" s="310"/>
      <c r="E2" s="310"/>
      <c r="F2" s="310"/>
      <c r="AA2" s="612" t="s">
        <v>179</v>
      </c>
      <c r="AB2" s="612" t="s">
        <v>180</v>
      </c>
      <c r="AC2" s="612" t="s">
        <v>181</v>
      </c>
    </row>
    <row r="3" spans="1:37" ht="15" x14ac:dyDescent="0.25">
      <c r="A3" s="311" t="s">
        <v>60</v>
      </c>
      <c r="B3" s="312" t="str">
        <f>$A$4</f>
        <v>Plan1</v>
      </c>
      <c r="C3" s="311" t="str">
        <f>$A$5</f>
        <v>Plan2</v>
      </c>
      <c r="D3" s="311" t="str">
        <f>$A$6</f>
        <v>Plan3</v>
      </c>
      <c r="E3" s="311" t="str">
        <f>$A$7</f>
        <v>Plan4</v>
      </c>
      <c r="F3" s="311" t="str">
        <f>$A$8</f>
        <v>Plan5</v>
      </c>
      <c r="I3" s="313"/>
      <c r="J3" s="313"/>
      <c r="K3" s="313"/>
      <c r="L3" s="313"/>
      <c r="M3" s="313"/>
      <c r="N3" s="313"/>
      <c r="O3" s="313"/>
      <c r="P3" s="313"/>
      <c r="Q3" s="313"/>
      <c r="T3" s="312" t="s">
        <v>147</v>
      </c>
      <c r="U3" s="312" t="s">
        <v>182</v>
      </c>
      <c r="V3" s="312" t="s">
        <v>183</v>
      </c>
      <c r="W3" s="312" t="s">
        <v>184</v>
      </c>
      <c r="AA3" s="310" t="s">
        <v>76</v>
      </c>
      <c r="AB3" s="309" t="s">
        <v>185</v>
      </c>
      <c r="AC3" s="310" t="s">
        <v>186</v>
      </c>
      <c r="AD3" s="310"/>
      <c r="AE3" s="310"/>
      <c r="AI3" s="615" t="s">
        <v>187</v>
      </c>
    </row>
    <row r="4" spans="1:37" ht="12.75" customHeight="1" x14ac:dyDescent="0.2">
      <c r="A4" s="310" t="s">
        <v>71</v>
      </c>
      <c r="B4" s="314" t="s">
        <v>76</v>
      </c>
      <c r="C4" s="314" t="s">
        <v>77</v>
      </c>
      <c r="D4" s="310"/>
      <c r="E4" s="310"/>
      <c r="F4" s="310"/>
      <c r="I4" s="312" t="s">
        <v>188</v>
      </c>
      <c r="J4" s="312" t="s">
        <v>189</v>
      </c>
      <c r="K4" s="312" t="s">
        <v>190</v>
      </c>
      <c r="L4" s="312" t="s">
        <v>191</v>
      </c>
      <c r="M4" s="312" t="s">
        <v>192</v>
      </c>
      <c r="N4" s="312" t="s">
        <v>193</v>
      </c>
      <c r="O4" s="312" t="s">
        <v>194</v>
      </c>
      <c r="P4" s="312" t="s">
        <v>195</v>
      </c>
      <c r="T4" s="309" t="s">
        <v>174</v>
      </c>
      <c r="U4" s="320" t="s">
        <v>169</v>
      </c>
      <c r="V4" s="320" t="s">
        <v>173</v>
      </c>
      <c r="W4" s="320" t="s">
        <v>63</v>
      </c>
      <c r="AA4" s="310" t="s">
        <v>77</v>
      </c>
      <c r="AB4" s="309" t="s">
        <v>185</v>
      </c>
      <c r="AC4" s="310" t="s">
        <v>196</v>
      </c>
      <c r="AD4" s="310"/>
      <c r="AE4" s="310"/>
      <c r="AF4" s="612" t="s">
        <v>141</v>
      </c>
      <c r="AG4" s="612" t="s">
        <v>197</v>
      </c>
      <c r="AH4" s="612" t="s">
        <v>198</v>
      </c>
    </row>
    <row r="5" spans="1:37" ht="12.75" customHeight="1" x14ac:dyDescent="0.2">
      <c r="A5" s="310" t="s">
        <v>72</v>
      </c>
      <c r="B5" s="310" t="s">
        <v>77</v>
      </c>
      <c r="C5" s="310" t="s">
        <v>199</v>
      </c>
      <c r="D5" s="310"/>
      <c r="E5" s="310"/>
      <c r="F5" s="310"/>
      <c r="I5" s="323">
        <v>50</v>
      </c>
      <c r="J5" s="617">
        <v>50</v>
      </c>
      <c r="K5" s="617">
        <v>50</v>
      </c>
      <c r="L5" s="617">
        <v>50</v>
      </c>
      <c r="M5" s="617">
        <v>50</v>
      </c>
      <c r="N5" s="617">
        <v>50</v>
      </c>
      <c r="O5" s="617">
        <v>50</v>
      </c>
      <c r="P5" s="617">
        <v>50</v>
      </c>
      <c r="T5" s="309" t="s">
        <v>170</v>
      </c>
      <c r="U5" s="320" t="s">
        <v>68</v>
      </c>
      <c r="V5" s="320" t="s">
        <v>169</v>
      </c>
      <c r="W5" s="320" t="s">
        <v>64</v>
      </c>
      <c r="AA5" s="310" t="s">
        <v>200</v>
      </c>
      <c r="AB5" s="309" t="s">
        <v>201</v>
      </c>
      <c r="AC5" s="310" t="s">
        <v>202</v>
      </c>
      <c r="AD5" s="310"/>
      <c r="AF5" s="309" t="s">
        <v>203</v>
      </c>
      <c r="AG5" s="309" t="s">
        <v>174</v>
      </c>
      <c r="AH5" s="309" t="s">
        <v>204</v>
      </c>
    </row>
    <row r="6" spans="1:37" ht="12.75" customHeight="1" x14ac:dyDescent="0.2">
      <c r="A6" s="309" t="s">
        <v>73</v>
      </c>
      <c r="B6" s="310" t="s">
        <v>200</v>
      </c>
      <c r="C6" s="310" t="s">
        <v>200</v>
      </c>
      <c r="D6" s="314" t="s">
        <v>78</v>
      </c>
      <c r="E6" s="310"/>
      <c r="F6" s="309" t="s">
        <v>78</v>
      </c>
      <c r="I6" s="323">
        <v>75</v>
      </c>
      <c r="J6" s="617">
        <v>75</v>
      </c>
      <c r="K6" s="617">
        <v>25</v>
      </c>
      <c r="L6" s="617">
        <v>25</v>
      </c>
      <c r="M6" s="617">
        <v>25</v>
      </c>
      <c r="N6" s="617">
        <v>25</v>
      </c>
      <c r="O6" s="617">
        <v>25</v>
      </c>
      <c r="P6" s="617">
        <v>25</v>
      </c>
      <c r="T6" s="309" t="s">
        <v>205</v>
      </c>
      <c r="U6" s="320"/>
      <c r="V6" s="320"/>
      <c r="W6" s="320" t="s">
        <v>65</v>
      </c>
      <c r="AA6" s="603" t="s">
        <v>206</v>
      </c>
      <c r="AB6" s="309" t="s">
        <v>201</v>
      </c>
      <c r="AC6" s="310" t="s">
        <v>202</v>
      </c>
      <c r="AF6" s="309" t="s">
        <v>207</v>
      </c>
      <c r="AG6" s="309" t="s">
        <v>170</v>
      </c>
      <c r="AH6" s="309" t="s">
        <v>42</v>
      </c>
    </row>
    <row r="7" spans="1:37" ht="12.75" customHeight="1" x14ac:dyDescent="0.2">
      <c r="A7" s="315" t="s">
        <v>208</v>
      </c>
      <c r="B7" s="603" t="s">
        <v>209</v>
      </c>
      <c r="C7" s="603" t="s">
        <v>210</v>
      </c>
      <c r="D7" s="603" t="s">
        <v>211</v>
      </c>
      <c r="E7" s="316" t="s">
        <v>212</v>
      </c>
      <c r="F7" s="605" t="s">
        <v>212</v>
      </c>
      <c r="I7" s="323">
        <v>100</v>
      </c>
      <c r="J7" s="617">
        <v>100</v>
      </c>
      <c r="K7" s="617"/>
      <c r="L7" s="617"/>
      <c r="M7" s="617"/>
      <c r="N7" s="617" t="s">
        <v>213</v>
      </c>
      <c r="O7" s="617" t="s">
        <v>213</v>
      </c>
      <c r="P7" s="617"/>
      <c r="T7" s="309" t="s">
        <v>214</v>
      </c>
      <c r="U7" s="320"/>
      <c r="V7" s="320"/>
      <c r="W7" s="320" t="s">
        <v>66</v>
      </c>
      <c r="AA7" s="603" t="s">
        <v>215</v>
      </c>
      <c r="AB7" s="309" t="s">
        <v>201</v>
      </c>
      <c r="AC7" s="310" t="s">
        <v>202</v>
      </c>
      <c r="AD7" s="310"/>
      <c r="AF7" s="309" t="s">
        <v>216</v>
      </c>
      <c r="AG7" s="309" t="s">
        <v>205</v>
      </c>
    </row>
    <row r="8" spans="1:37" ht="12.75" customHeight="1" x14ac:dyDescent="0.2">
      <c r="A8" s="309" t="s">
        <v>217</v>
      </c>
      <c r="B8" s="603" t="s">
        <v>218</v>
      </c>
      <c r="C8" s="603" t="s">
        <v>219</v>
      </c>
      <c r="D8" s="310"/>
      <c r="E8" s="310"/>
      <c r="F8" s="605" t="s">
        <v>220</v>
      </c>
      <c r="I8" s="323" t="s">
        <v>213</v>
      </c>
      <c r="J8" s="323" t="s">
        <v>213</v>
      </c>
      <c r="K8" s="617"/>
      <c r="L8" s="617"/>
      <c r="M8" s="617"/>
      <c r="N8" s="323"/>
      <c r="O8" s="323"/>
      <c r="P8" s="617"/>
      <c r="T8" s="309" t="s">
        <v>221</v>
      </c>
      <c r="U8" s="320"/>
      <c r="V8" s="320"/>
      <c r="W8" s="320" t="s">
        <v>67</v>
      </c>
      <c r="AA8" s="310" t="s">
        <v>199</v>
      </c>
      <c r="AB8" s="309" t="s">
        <v>201</v>
      </c>
      <c r="AC8" s="310" t="s">
        <v>202</v>
      </c>
      <c r="AF8" s="309" t="s">
        <v>222</v>
      </c>
      <c r="AG8" s="309" t="s">
        <v>214</v>
      </c>
    </row>
    <row r="9" spans="1:37" x14ac:dyDescent="0.2">
      <c r="T9" s="309" t="s">
        <v>223</v>
      </c>
      <c r="Z9" s="309" t="b">
        <f>AA9=C7</f>
        <v>1</v>
      </c>
      <c r="AA9" s="310" t="s">
        <v>210</v>
      </c>
      <c r="AB9" s="309" t="s">
        <v>201</v>
      </c>
      <c r="AC9" s="310" t="s">
        <v>202</v>
      </c>
      <c r="AF9" s="309" t="s">
        <v>224</v>
      </c>
      <c r="AG9" s="309" t="s">
        <v>221</v>
      </c>
    </row>
    <row r="10" spans="1:37" ht="25.5" x14ac:dyDescent="0.2">
      <c r="B10" s="317"/>
      <c r="C10" s="317"/>
      <c r="I10" s="308" t="s">
        <v>225</v>
      </c>
      <c r="L10" s="308" t="s">
        <v>226</v>
      </c>
      <c r="T10" s="309" t="s">
        <v>227</v>
      </c>
      <c r="AA10" s="603" t="s">
        <v>219</v>
      </c>
      <c r="AB10" s="309" t="s">
        <v>201</v>
      </c>
      <c r="AC10" s="310" t="s">
        <v>202</v>
      </c>
      <c r="AF10" s="309" t="s">
        <v>228</v>
      </c>
      <c r="AG10" s="309" t="s">
        <v>223</v>
      </c>
      <c r="AJ10" s="613"/>
      <c r="AK10" s="613"/>
    </row>
    <row r="11" spans="1:37" x14ac:dyDescent="0.2">
      <c r="A11" s="311" t="s">
        <v>61</v>
      </c>
      <c r="B11" s="312" t="s">
        <v>71</v>
      </c>
      <c r="C11" s="311" t="s">
        <v>72</v>
      </c>
      <c r="D11" s="311" t="s">
        <v>73</v>
      </c>
      <c r="E11" s="318"/>
      <c r="F11" s="318"/>
      <c r="G11" s="318"/>
      <c r="I11" s="326" t="s">
        <v>60</v>
      </c>
      <c r="J11" s="326" t="s">
        <v>61</v>
      </c>
      <c r="L11" s="326" t="s">
        <v>60</v>
      </c>
      <c r="M11" s="326" t="s">
        <v>61</v>
      </c>
      <c r="AA11" s="310" t="s">
        <v>78</v>
      </c>
      <c r="AB11" s="309" t="s">
        <v>201</v>
      </c>
      <c r="AC11" s="310" t="s">
        <v>229</v>
      </c>
      <c r="AF11" s="309" t="s">
        <v>230</v>
      </c>
      <c r="AG11" s="309" t="s">
        <v>227</v>
      </c>
      <c r="AJ11" s="613"/>
      <c r="AK11" s="613"/>
    </row>
    <row r="12" spans="1:37" x14ac:dyDescent="0.2">
      <c r="A12" s="310" t="s">
        <v>71</v>
      </c>
      <c r="B12" s="314" t="s">
        <v>76</v>
      </c>
      <c r="C12" s="314" t="s">
        <v>77</v>
      </c>
      <c r="D12" s="314" t="s">
        <v>78</v>
      </c>
      <c r="E12" s="310"/>
      <c r="F12" s="310"/>
      <c r="G12" s="310"/>
      <c r="I12" s="328">
        <v>0</v>
      </c>
      <c r="J12" s="328">
        <v>0</v>
      </c>
      <c r="L12" s="328">
        <v>0</v>
      </c>
      <c r="M12" s="329">
        <v>0</v>
      </c>
      <c r="Z12" s="309" t="b">
        <f>AA12=D7</f>
        <v>1</v>
      </c>
      <c r="AA12" s="310" t="s">
        <v>211</v>
      </c>
      <c r="AB12" s="309" t="s">
        <v>201</v>
      </c>
      <c r="AC12" s="310" t="s">
        <v>229</v>
      </c>
      <c r="AF12" s="309" t="s">
        <v>231</v>
      </c>
      <c r="AJ12" s="613"/>
      <c r="AK12" s="613"/>
    </row>
    <row r="13" spans="1:37" x14ac:dyDescent="0.2">
      <c r="A13" s="310" t="s">
        <v>72</v>
      </c>
      <c r="B13" s="310" t="s">
        <v>77</v>
      </c>
      <c r="C13" s="310" t="s">
        <v>199</v>
      </c>
      <c r="D13" s="310" t="s">
        <v>232</v>
      </c>
      <c r="E13" s="310"/>
      <c r="F13" s="310"/>
      <c r="G13" s="310"/>
      <c r="I13" s="328">
        <v>0.1</v>
      </c>
      <c r="J13" s="328">
        <v>0.1</v>
      </c>
      <c r="L13" s="328">
        <v>0.1</v>
      </c>
      <c r="M13" s="328"/>
      <c r="AA13" s="310" t="s">
        <v>212</v>
      </c>
      <c r="AB13" s="309" t="s">
        <v>233</v>
      </c>
      <c r="AC13" s="310" t="s">
        <v>229</v>
      </c>
      <c r="AF13" s="309" t="s">
        <v>234</v>
      </c>
      <c r="AJ13" s="613"/>
    </row>
    <row r="14" spans="1:37" x14ac:dyDescent="0.2">
      <c r="A14" s="310" t="s">
        <v>73</v>
      </c>
      <c r="B14" s="310"/>
      <c r="C14" s="603" t="s">
        <v>210</v>
      </c>
      <c r="D14" s="603" t="s">
        <v>211</v>
      </c>
      <c r="E14" s="310"/>
      <c r="F14" s="310"/>
      <c r="G14" s="310"/>
      <c r="I14" s="329">
        <v>0.2</v>
      </c>
      <c r="J14" s="329">
        <v>0.2</v>
      </c>
      <c r="K14" s="310"/>
      <c r="L14" s="329">
        <v>0.2</v>
      </c>
      <c r="M14" s="329"/>
      <c r="T14" s="308" t="s">
        <v>235</v>
      </c>
      <c r="Z14" s="309" t="b">
        <f>AA14=F8</f>
        <v>1</v>
      </c>
      <c r="AA14" s="310" t="s">
        <v>220</v>
      </c>
      <c r="AB14" s="309" t="s">
        <v>233</v>
      </c>
      <c r="AC14" s="310" t="s">
        <v>229</v>
      </c>
      <c r="AF14" s="309" t="s">
        <v>236</v>
      </c>
      <c r="AJ14" s="613"/>
      <c r="AK14" s="613"/>
    </row>
    <row r="15" spans="1:37" ht="14.25" customHeight="1" x14ac:dyDescent="0.2">
      <c r="A15" s="310" t="s">
        <v>208</v>
      </c>
      <c r="B15" s="603"/>
      <c r="C15" s="603"/>
      <c r="D15" s="604" t="s">
        <v>237</v>
      </c>
      <c r="E15" s="310"/>
      <c r="I15" s="324"/>
      <c r="J15" s="310"/>
      <c r="K15" s="318"/>
      <c r="L15" s="318"/>
      <c r="M15" s="310"/>
      <c r="AA15" s="309" t="s">
        <v>232</v>
      </c>
      <c r="AB15" s="309" t="s">
        <v>233</v>
      </c>
      <c r="AC15" s="310" t="s">
        <v>229</v>
      </c>
      <c r="AF15" s="309" t="s">
        <v>238</v>
      </c>
      <c r="AJ15" s="613"/>
    </row>
    <row r="16" spans="1:37" ht="15" customHeight="1" x14ac:dyDescent="0.2">
      <c r="A16" s="310" t="s">
        <v>217</v>
      </c>
      <c r="B16" s="604"/>
      <c r="C16" s="604"/>
      <c r="D16" s="604"/>
      <c r="T16" s="312" t="s">
        <v>239</v>
      </c>
      <c r="U16" s="312" t="s">
        <v>240</v>
      </c>
      <c r="V16" s="312" t="s">
        <v>241</v>
      </c>
      <c r="W16" s="326" t="s">
        <v>242</v>
      </c>
      <c r="Z16" s="309" t="b">
        <f>AA16=D15</f>
        <v>1</v>
      </c>
      <c r="AA16" s="309" t="s">
        <v>237</v>
      </c>
      <c r="AB16" s="309" t="s">
        <v>233</v>
      </c>
      <c r="AC16" s="310" t="s">
        <v>229</v>
      </c>
      <c r="AF16" s="309" t="s">
        <v>243</v>
      </c>
      <c r="AJ16" s="613"/>
      <c r="AK16" s="613"/>
    </row>
    <row r="17" spans="1:38" ht="15" x14ac:dyDescent="0.25">
      <c r="A17" s="308" t="s">
        <v>244</v>
      </c>
      <c r="I17" s="308" t="s">
        <v>245</v>
      </c>
      <c r="M17" s="310"/>
      <c r="T17" s="28">
        <v>0</v>
      </c>
      <c r="U17" s="28">
        <v>17</v>
      </c>
      <c r="V17" s="28" t="s">
        <v>246</v>
      </c>
      <c r="W17">
        <v>2</v>
      </c>
      <c r="AA17"/>
      <c r="AF17" s="310" t="s">
        <v>247</v>
      </c>
      <c r="AG17" s="310"/>
      <c r="AH17" s="310"/>
      <c r="AJ17" s="613"/>
      <c r="AK17" s="613"/>
    </row>
    <row r="18" spans="1:38" ht="15" x14ac:dyDescent="0.25">
      <c r="A18" s="312" t="s">
        <v>248</v>
      </c>
      <c r="B18" s="312" t="s">
        <v>71</v>
      </c>
      <c r="C18" s="312" t="s">
        <v>72</v>
      </c>
      <c r="D18" s="312" t="s">
        <v>73</v>
      </c>
      <c r="E18" s="312" t="s">
        <v>208</v>
      </c>
      <c r="F18" s="312" t="s">
        <v>217</v>
      </c>
      <c r="I18" s="311" t="s">
        <v>60</v>
      </c>
      <c r="J18" s="312" t="s">
        <v>249</v>
      </c>
      <c r="K18" s="312" t="s">
        <v>250</v>
      </c>
      <c r="L18" s="312" t="s">
        <v>251</v>
      </c>
      <c r="M18" s="312" t="s">
        <v>252</v>
      </c>
      <c r="N18" s="312" t="s">
        <v>253</v>
      </c>
      <c r="O18" s="312" t="s">
        <v>254</v>
      </c>
      <c r="P18" s="312" t="s">
        <v>255</v>
      </c>
      <c r="Q18" s="312" t="s">
        <v>256</v>
      </c>
      <c r="T18" s="28">
        <f t="shared" ref="T18:T23" si="0">U17+1</f>
        <v>18</v>
      </c>
      <c r="U18" s="28">
        <v>35</v>
      </c>
      <c r="V18" s="28" t="s">
        <v>257</v>
      </c>
      <c r="W18">
        <v>3</v>
      </c>
      <c r="AA18"/>
      <c r="AF18" s="309" t="s">
        <v>258</v>
      </c>
      <c r="AJ18" s="613"/>
      <c r="AK18" s="613"/>
    </row>
    <row r="19" spans="1:38" ht="25.5" customHeight="1" x14ac:dyDescent="0.25">
      <c r="A19" s="319" t="s">
        <v>79</v>
      </c>
      <c r="B19" s="320" t="str">
        <f>'Plans -Dubai &amp; Other Emirates'!$C$4</f>
        <v xml:space="preserve">Worldwide </v>
      </c>
      <c r="C19" s="320" t="str">
        <f>'Plans -Dubai &amp; Other Emirates'!$D$4</f>
        <v xml:space="preserve">Worldwide </v>
      </c>
      <c r="D19" s="320" t="str">
        <f>'Plans -Dubai &amp; Other Emirates'!$E$4</f>
        <v xml:space="preserve">Worldwide </v>
      </c>
      <c r="E19" s="320" t="str">
        <f>'Plans -Dubai &amp; Other Emirates'!$F$4</f>
        <v xml:space="preserve">Worldwide </v>
      </c>
      <c r="F19" s="320" t="str">
        <f>'Plans -Dubai &amp; Other Emirates'!$G$4</f>
        <v xml:space="preserve">Worldwide </v>
      </c>
      <c r="J19" s="320">
        <v>10000</v>
      </c>
      <c r="K19" s="320">
        <v>7500</v>
      </c>
      <c r="L19" s="320">
        <v>5000</v>
      </c>
      <c r="M19" s="320">
        <v>5000</v>
      </c>
      <c r="N19" s="320">
        <v>3000</v>
      </c>
      <c r="O19" s="320">
        <v>10000</v>
      </c>
      <c r="P19" s="320">
        <v>7500</v>
      </c>
      <c r="Q19" s="320">
        <v>5000</v>
      </c>
      <c r="T19" s="28">
        <f t="shared" si="0"/>
        <v>36</v>
      </c>
      <c r="U19" s="28">
        <v>45</v>
      </c>
      <c r="V19" s="28" t="s">
        <v>259</v>
      </c>
      <c r="W19">
        <v>4</v>
      </c>
      <c r="AA19"/>
      <c r="AF19" s="309" t="s">
        <v>260</v>
      </c>
      <c r="AJ19" s="613"/>
      <c r="AK19" s="613"/>
    </row>
    <row r="20" spans="1:38" ht="25.5" customHeight="1" x14ac:dyDescent="0.25">
      <c r="A20" s="319" t="s">
        <v>81</v>
      </c>
      <c r="B20" s="320" t="str">
        <f>'Plans -Dubai &amp; Other Emirates'!$C$5</f>
        <v>AED 2 Million</v>
      </c>
      <c r="C20" s="320" t="str">
        <f>'Plans -Dubai &amp; Other Emirates'!$D$5</f>
        <v>AED 1 Million</v>
      </c>
      <c r="D20" s="320" t="str">
        <f>'Plans -Dubai &amp; Other Emirates'!$E$5</f>
        <v>AED 1 Million</v>
      </c>
      <c r="E20" s="320" t="str">
        <f>'Plans -Dubai &amp; Other Emirates'!$F$5</f>
        <v>AED 500,000</v>
      </c>
      <c r="F20" s="320" t="str">
        <f>'Plans -Dubai &amp; Other Emirates'!$G$5</f>
        <v>AED 250,000</v>
      </c>
      <c r="J20" s="320" t="s">
        <v>261</v>
      </c>
      <c r="K20" s="320" t="s">
        <v>261</v>
      </c>
      <c r="L20" s="320" t="s">
        <v>261</v>
      </c>
      <c r="M20" s="320" t="s">
        <v>261</v>
      </c>
      <c r="N20" s="320" t="s">
        <v>261</v>
      </c>
      <c r="O20" s="320" t="s">
        <v>261</v>
      </c>
      <c r="P20" s="320" t="s">
        <v>261</v>
      </c>
      <c r="Q20" s="320" t="s">
        <v>261</v>
      </c>
      <c r="T20" s="28">
        <f t="shared" si="0"/>
        <v>46</v>
      </c>
      <c r="U20" s="28">
        <v>55</v>
      </c>
      <c r="V20" s="28" t="s">
        <v>262</v>
      </c>
      <c r="W20">
        <v>5</v>
      </c>
      <c r="AA20"/>
      <c r="AF20" s="309" t="s">
        <v>263</v>
      </c>
      <c r="AJ20" s="613"/>
      <c r="AK20" s="613"/>
    </row>
    <row r="21" spans="1:38" ht="40.5" customHeight="1" x14ac:dyDescent="0.25">
      <c r="A21" s="319" t="s">
        <v>75</v>
      </c>
      <c r="B21" s="320" t="s">
        <v>264</v>
      </c>
      <c r="C21" s="320" t="s">
        <v>265</v>
      </c>
      <c r="D21" s="320" t="s">
        <v>266</v>
      </c>
      <c r="E21" s="321" t="s">
        <v>212</v>
      </c>
      <c r="F21" s="321" t="s">
        <v>212</v>
      </c>
      <c r="T21" s="28">
        <f t="shared" si="0"/>
        <v>56</v>
      </c>
      <c r="U21" s="28">
        <v>60</v>
      </c>
      <c r="V21" s="28" t="s">
        <v>267</v>
      </c>
      <c r="W21">
        <v>6</v>
      </c>
      <c r="AA21"/>
      <c r="AF21" s="309" t="s">
        <v>268</v>
      </c>
      <c r="AJ21" s="613"/>
      <c r="AK21" s="613"/>
    </row>
    <row r="22" spans="1:38" s="310" customFormat="1" ht="25.5" customHeight="1" x14ac:dyDescent="0.25">
      <c r="A22" s="322"/>
      <c r="M22" s="309"/>
      <c r="T22" s="28">
        <f t="shared" si="0"/>
        <v>61</v>
      </c>
      <c r="U22" s="28">
        <v>65</v>
      </c>
      <c r="V22" s="28" t="s">
        <v>269</v>
      </c>
      <c r="W22">
        <v>7</v>
      </c>
      <c r="AA22"/>
      <c r="AF22" s="309" t="s">
        <v>270</v>
      </c>
      <c r="AG22" s="309"/>
      <c r="AH22" s="309"/>
      <c r="AI22" s="309"/>
      <c r="AJ22" s="614"/>
      <c r="AL22" s="614"/>
    </row>
    <row r="23" spans="1:38" ht="15" x14ac:dyDescent="0.25">
      <c r="A23" s="312" t="s">
        <v>271</v>
      </c>
      <c r="B23" s="312" t="s">
        <v>71</v>
      </c>
      <c r="C23" s="312" t="s">
        <v>72</v>
      </c>
      <c r="D23" s="312" t="s">
        <v>73</v>
      </c>
      <c r="E23" s="310"/>
      <c r="H23" s="310"/>
      <c r="T23" s="28">
        <f t="shared" si="0"/>
        <v>66</v>
      </c>
      <c r="U23" s="28">
        <v>69</v>
      </c>
      <c r="V23" s="28" t="s">
        <v>272</v>
      </c>
      <c r="W23">
        <v>8</v>
      </c>
      <c r="AA23"/>
      <c r="AF23" s="309" t="s">
        <v>273</v>
      </c>
      <c r="AJ23" s="613"/>
      <c r="AK23" s="613"/>
      <c r="AL23" s="613"/>
    </row>
    <row r="24" spans="1:38" ht="24.75" customHeight="1" x14ac:dyDescent="0.25">
      <c r="A24" s="319" t="s">
        <v>79</v>
      </c>
      <c r="B24" s="320" t="str">
        <f>'Plans-Abudhabi &amp; Al Ain Emirate'!$C$4</f>
        <v xml:space="preserve">Worldwide </v>
      </c>
      <c r="C24" s="320" t="str">
        <f>'Plans-Abudhabi &amp; Al Ain Emirate'!$D$4</f>
        <v xml:space="preserve">Worldwide </v>
      </c>
      <c r="D24" s="320" t="str">
        <f>'Plans-Abudhabi &amp; Al Ain Emirate'!$E$4</f>
        <v xml:space="preserve">Worldwide </v>
      </c>
      <c r="E24" s="310"/>
      <c r="H24" s="310"/>
      <c r="T24" s="28">
        <v>70</v>
      </c>
      <c r="U24" s="28"/>
      <c r="V24" s="28" t="str">
        <f>T24&amp;" - "&amp;U24</f>
        <v xml:space="preserve">70 - </v>
      </c>
      <c r="W24"/>
      <c r="AA24"/>
      <c r="AF24" s="309" t="s">
        <v>274</v>
      </c>
      <c r="AJ24" s="613"/>
    </row>
    <row r="25" spans="1:38" ht="24.75" customHeight="1" x14ac:dyDescent="0.25">
      <c r="A25" s="319" t="s">
        <v>81</v>
      </c>
      <c r="B25" s="320" t="str">
        <f>'Plans-Abudhabi &amp; Al Ain Emirate'!$C$5</f>
        <v>AED 2 Million</v>
      </c>
      <c r="C25" s="320" t="str">
        <f>'Plans-Abudhabi &amp; Al Ain Emirate'!$D$5</f>
        <v>AED 1 Million</v>
      </c>
      <c r="D25" s="320" t="str">
        <f>'Plans-Abudhabi &amp; Al Ain Emirate'!E5</f>
        <v>AED 250,000</v>
      </c>
      <c r="E25" s="310"/>
      <c r="H25" s="310"/>
      <c r="T25" s="308" t="s">
        <v>275</v>
      </c>
      <c r="U25" s="55"/>
      <c r="V25" s="28"/>
      <c r="W25"/>
      <c r="AA25"/>
      <c r="AF25" s="309" t="s">
        <v>276</v>
      </c>
      <c r="AJ25" s="613"/>
      <c r="AK25" s="613"/>
    </row>
    <row r="26" spans="1:38" ht="24.75" customHeight="1" x14ac:dyDescent="0.25">
      <c r="A26" s="319" t="s">
        <v>75</v>
      </c>
      <c r="B26" s="320" t="s">
        <v>264</v>
      </c>
      <c r="C26" s="320" t="s">
        <v>265</v>
      </c>
      <c r="D26" s="320" t="s">
        <v>266</v>
      </c>
      <c r="E26" s="310"/>
      <c r="H26" s="310"/>
      <c r="I26" s="310"/>
      <c r="J26" s="310"/>
      <c r="K26" s="310"/>
      <c r="L26" s="310"/>
      <c r="T26" s="330" t="s">
        <v>239</v>
      </c>
      <c r="U26" s="330" t="s">
        <v>240</v>
      </c>
      <c r="V26" s="330" t="s">
        <v>241</v>
      </c>
      <c r="W26" s="331" t="s">
        <v>242</v>
      </c>
      <c r="AA26"/>
      <c r="AF26" s="309" t="s">
        <v>277</v>
      </c>
      <c r="AJ26" s="613"/>
      <c r="AK26" s="613"/>
    </row>
    <row r="27" spans="1:38" ht="15" x14ac:dyDescent="0.25">
      <c r="E27" s="310"/>
      <c r="H27" s="310"/>
      <c r="I27" s="310"/>
      <c r="J27" s="310"/>
      <c r="K27" s="310"/>
      <c r="L27" s="310"/>
      <c r="T27" s="307">
        <v>0</v>
      </c>
      <c r="U27" s="307">
        <v>17</v>
      </c>
      <c r="V27" s="332" t="s">
        <v>278</v>
      </c>
      <c r="W27" s="307">
        <v>2</v>
      </c>
      <c r="AA27"/>
      <c r="AF27" s="309" t="s">
        <v>279</v>
      </c>
      <c r="AJ27" s="613"/>
      <c r="AK27" s="613"/>
    </row>
    <row r="28" spans="1:38" ht="15" x14ac:dyDescent="0.25">
      <c r="H28" s="310"/>
      <c r="I28" s="310"/>
      <c r="J28" s="310"/>
      <c r="K28" s="310"/>
      <c r="L28" s="310"/>
      <c r="T28" s="307">
        <f>U27+1</f>
        <v>18</v>
      </c>
      <c r="U28" s="307">
        <v>40</v>
      </c>
      <c r="V28" s="332" t="s">
        <v>280</v>
      </c>
      <c r="W28" s="307">
        <v>3</v>
      </c>
      <c r="AA28"/>
      <c r="AF28" s="309" t="s">
        <v>281</v>
      </c>
      <c r="AJ28" s="613"/>
      <c r="AK28" s="613"/>
    </row>
    <row r="29" spans="1:38" ht="15" x14ac:dyDescent="0.2">
      <c r="H29" s="310"/>
      <c r="I29" s="310"/>
      <c r="J29" s="310"/>
      <c r="K29" s="310"/>
      <c r="L29" s="310"/>
      <c r="T29" s="307">
        <f>U28+1</f>
        <v>41</v>
      </c>
      <c r="U29" s="307">
        <v>59</v>
      </c>
      <c r="V29" s="332" t="s">
        <v>282</v>
      </c>
      <c r="W29" s="307">
        <v>4</v>
      </c>
      <c r="AF29" s="309" t="s">
        <v>283</v>
      </c>
      <c r="AJ29" s="613"/>
      <c r="AK29" s="613"/>
    </row>
    <row r="30" spans="1:38" ht="15" x14ac:dyDescent="0.2">
      <c r="H30" s="310"/>
      <c r="I30" s="310"/>
      <c r="J30" s="310"/>
      <c r="K30" s="310"/>
      <c r="L30" s="310"/>
      <c r="T30" s="307">
        <f>U29+1</f>
        <v>60</v>
      </c>
      <c r="U30" s="307">
        <v>69</v>
      </c>
      <c r="V30" s="332" t="s">
        <v>284</v>
      </c>
      <c r="W30" s="307">
        <v>5</v>
      </c>
      <c r="AF30" s="309" t="s">
        <v>285</v>
      </c>
      <c r="AJ30" s="613"/>
      <c r="AK30" s="613"/>
    </row>
    <row r="31" spans="1:38" ht="15" x14ac:dyDescent="0.2">
      <c r="H31" s="310"/>
      <c r="I31" s="310"/>
      <c r="J31" s="310"/>
      <c r="K31" s="310"/>
      <c r="L31" s="310"/>
      <c r="T31" s="307">
        <v>70</v>
      </c>
      <c r="W31" s="307">
        <v>6</v>
      </c>
      <c r="AF31" s="309" t="s">
        <v>286</v>
      </c>
      <c r="AJ31" s="613"/>
      <c r="AK31" s="613"/>
    </row>
    <row r="32" spans="1:38" x14ac:dyDescent="0.2">
      <c r="H32" s="310"/>
      <c r="I32" s="310"/>
      <c r="J32" s="310"/>
      <c r="K32" s="310"/>
      <c r="L32" s="310"/>
      <c r="AF32" s="309" t="s">
        <v>287</v>
      </c>
      <c r="AJ32" s="613"/>
      <c r="AK32" s="613"/>
    </row>
    <row r="33" spans="32:37" x14ac:dyDescent="0.2">
      <c r="AF33" s="309" t="s">
        <v>288</v>
      </c>
      <c r="AJ33" s="613"/>
      <c r="AK33" s="613"/>
    </row>
    <row r="34" spans="32:37" x14ac:dyDescent="0.2">
      <c r="AF34" s="309" t="s">
        <v>289</v>
      </c>
      <c r="AJ34" s="613"/>
      <c r="AK34" s="613"/>
    </row>
    <row r="35" spans="32:37" x14ac:dyDescent="0.2">
      <c r="AF35" s="309" t="s">
        <v>290</v>
      </c>
      <c r="AJ35" s="613"/>
      <c r="AK35" s="613"/>
    </row>
    <row r="36" spans="32:37" x14ac:dyDescent="0.2">
      <c r="AF36" s="309" t="s">
        <v>291</v>
      </c>
      <c r="AJ36" s="613"/>
      <c r="AK36" s="613"/>
    </row>
    <row r="37" spans="32:37" x14ac:dyDescent="0.2">
      <c r="AF37" s="309" t="s">
        <v>292</v>
      </c>
      <c r="AJ37" s="613"/>
      <c r="AK37" s="613"/>
    </row>
    <row r="38" spans="32:37" x14ac:dyDescent="0.2">
      <c r="AF38" s="309" t="s">
        <v>293</v>
      </c>
      <c r="AJ38" s="613"/>
      <c r="AK38" s="613"/>
    </row>
    <row r="39" spans="32:37" x14ac:dyDescent="0.2">
      <c r="AF39" s="309" t="s">
        <v>294</v>
      </c>
      <c r="AJ39" s="613"/>
      <c r="AK39" s="613"/>
    </row>
    <row r="40" spans="32:37" x14ac:dyDescent="0.2">
      <c r="AF40" s="309" t="s">
        <v>295</v>
      </c>
      <c r="AJ40" s="613"/>
      <c r="AK40" s="613"/>
    </row>
    <row r="41" spans="32:37" x14ac:dyDescent="0.2">
      <c r="AF41" s="309" t="s">
        <v>296</v>
      </c>
      <c r="AJ41" s="613"/>
      <c r="AK41" s="613"/>
    </row>
    <row r="42" spans="32:37" x14ac:dyDescent="0.2">
      <c r="AF42" s="309" t="s">
        <v>297</v>
      </c>
      <c r="AJ42" s="613"/>
      <c r="AK42" s="613"/>
    </row>
    <row r="43" spans="32:37" x14ac:dyDescent="0.2">
      <c r="AF43" s="309" t="s">
        <v>298</v>
      </c>
      <c r="AJ43" s="613"/>
      <c r="AK43" s="613"/>
    </row>
    <row r="44" spans="32:37" x14ac:dyDescent="0.2">
      <c r="AF44" s="309" t="s">
        <v>299</v>
      </c>
      <c r="AJ44" s="613"/>
      <c r="AK44" s="613"/>
    </row>
    <row r="45" spans="32:37" x14ac:dyDescent="0.2">
      <c r="AF45" s="309" t="s">
        <v>300</v>
      </c>
      <c r="AJ45" s="613"/>
      <c r="AK45" s="613"/>
    </row>
    <row r="46" spans="32:37" x14ac:dyDescent="0.2">
      <c r="AF46" s="309" t="s">
        <v>301</v>
      </c>
      <c r="AJ46" s="613"/>
      <c r="AK46" s="613"/>
    </row>
    <row r="47" spans="32:37" x14ac:dyDescent="0.2">
      <c r="AF47" s="309" t="s">
        <v>302</v>
      </c>
      <c r="AJ47" s="613"/>
      <c r="AK47" s="613"/>
    </row>
    <row r="48" spans="32:37" x14ac:dyDescent="0.2">
      <c r="AF48" s="309" t="s">
        <v>303</v>
      </c>
      <c r="AJ48" s="613"/>
      <c r="AK48" s="613"/>
    </row>
    <row r="49" spans="32:37" x14ac:dyDescent="0.2">
      <c r="AF49" s="309" t="s">
        <v>304</v>
      </c>
      <c r="AJ49" s="613"/>
      <c r="AK49" s="613"/>
    </row>
    <row r="50" spans="32:37" x14ac:dyDescent="0.2">
      <c r="AF50" s="309" t="s">
        <v>305</v>
      </c>
      <c r="AJ50" s="613"/>
      <c r="AK50" s="613"/>
    </row>
    <row r="51" spans="32:37" x14ac:dyDescent="0.2">
      <c r="AF51" s="309" t="s">
        <v>306</v>
      </c>
      <c r="AJ51" s="613"/>
      <c r="AK51" s="613"/>
    </row>
    <row r="52" spans="32:37" x14ac:dyDescent="0.2">
      <c r="AF52" s="309" t="s">
        <v>307</v>
      </c>
      <c r="AJ52" s="613"/>
      <c r="AK52" s="613"/>
    </row>
    <row r="53" spans="32:37" x14ac:dyDescent="0.2">
      <c r="AF53" s="309" t="s">
        <v>308</v>
      </c>
      <c r="AJ53" s="613"/>
      <c r="AK53" s="613"/>
    </row>
    <row r="54" spans="32:37" x14ac:dyDescent="0.2">
      <c r="AF54" s="309" t="s">
        <v>309</v>
      </c>
      <c r="AJ54" s="613"/>
      <c r="AK54" s="613"/>
    </row>
    <row r="55" spans="32:37" x14ac:dyDescent="0.2">
      <c r="AF55" s="309" t="s">
        <v>310</v>
      </c>
      <c r="AJ55" s="613"/>
      <c r="AK55" s="613"/>
    </row>
    <row r="56" spans="32:37" x14ac:dyDescent="0.2">
      <c r="AF56" s="309" t="s">
        <v>311</v>
      </c>
      <c r="AJ56" s="613"/>
      <c r="AK56" s="613"/>
    </row>
    <row r="57" spans="32:37" x14ac:dyDescent="0.2">
      <c r="AF57" s="309" t="s">
        <v>312</v>
      </c>
      <c r="AJ57" s="613"/>
      <c r="AK57" s="613"/>
    </row>
    <row r="58" spans="32:37" x14ac:dyDescent="0.2">
      <c r="AF58" s="309" t="s">
        <v>313</v>
      </c>
      <c r="AJ58" s="613"/>
    </row>
    <row r="59" spans="32:37" x14ac:dyDescent="0.2">
      <c r="AF59" s="309" t="s">
        <v>314</v>
      </c>
      <c r="AJ59" s="613"/>
      <c r="AK59" s="613"/>
    </row>
    <row r="60" spans="32:37" x14ac:dyDescent="0.2">
      <c r="AF60" s="309" t="s">
        <v>315</v>
      </c>
      <c r="AJ60" s="613"/>
      <c r="AK60" s="613"/>
    </row>
    <row r="61" spans="32:37" x14ac:dyDescent="0.2">
      <c r="AF61" s="309" t="s">
        <v>316</v>
      </c>
      <c r="AJ61" s="613"/>
      <c r="AK61" s="613"/>
    </row>
    <row r="62" spans="32:37" x14ac:dyDescent="0.2">
      <c r="AF62" s="309" t="s">
        <v>317</v>
      </c>
      <c r="AJ62" s="613"/>
      <c r="AK62" s="613"/>
    </row>
    <row r="63" spans="32:37" x14ac:dyDescent="0.2">
      <c r="AF63" s="309" t="s">
        <v>318</v>
      </c>
      <c r="AJ63" s="613"/>
      <c r="AK63" s="613"/>
    </row>
    <row r="64" spans="32:37" x14ac:dyDescent="0.2">
      <c r="AF64" s="309" t="s">
        <v>319</v>
      </c>
      <c r="AJ64" s="613"/>
      <c r="AK64" s="613"/>
    </row>
    <row r="65" spans="32:37" x14ac:dyDescent="0.2">
      <c r="AF65" s="309" t="s">
        <v>320</v>
      </c>
      <c r="AJ65" s="613"/>
      <c r="AK65" s="613"/>
    </row>
    <row r="66" spans="32:37" x14ac:dyDescent="0.2">
      <c r="AF66" s="309" t="s">
        <v>321</v>
      </c>
      <c r="AJ66" s="613"/>
      <c r="AK66" s="613"/>
    </row>
    <row r="67" spans="32:37" x14ac:dyDescent="0.2">
      <c r="AF67" s="309" t="s">
        <v>322</v>
      </c>
      <c r="AJ67" s="613"/>
      <c r="AK67" s="613"/>
    </row>
    <row r="68" spans="32:37" x14ac:dyDescent="0.2">
      <c r="AF68" s="309" t="s">
        <v>323</v>
      </c>
      <c r="AJ68" s="613"/>
      <c r="AK68" s="613"/>
    </row>
    <row r="69" spans="32:37" x14ac:dyDescent="0.2">
      <c r="AF69" s="309" t="s">
        <v>324</v>
      </c>
      <c r="AJ69" s="613"/>
      <c r="AK69" s="613"/>
    </row>
    <row r="70" spans="32:37" x14ac:dyDescent="0.2">
      <c r="AF70" s="309" t="s">
        <v>325</v>
      </c>
      <c r="AJ70" s="613"/>
      <c r="AK70" s="613"/>
    </row>
    <row r="71" spans="32:37" x14ac:dyDescent="0.2">
      <c r="AF71" s="309" t="s">
        <v>326</v>
      </c>
      <c r="AJ71" s="613"/>
      <c r="AK71" s="613"/>
    </row>
    <row r="72" spans="32:37" x14ac:dyDescent="0.2">
      <c r="AF72" s="309" t="s">
        <v>327</v>
      </c>
      <c r="AJ72" s="613"/>
      <c r="AK72" s="613"/>
    </row>
    <row r="73" spans="32:37" x14ac:dyDescent="0.2">
      <c r="AF73" s="309" t="s">
        <v>328</v>
      </c>
      <c r="AJ73" s="613"/>
      <c r="AK73" s="613"/>
    </row>
    <row r="74" spans="32:37" x14ac:dyDescent="0.2">
      <c r="AF74" s="309" t="s">
        <v>329</v>
      </c>
      <c r="AJ74" s="613"/>
      <c r="AK74" s="613"/>
    </row>
    <row r="75" spans="32:37" x14ac:dyDescent="0.2">
      <c r="AF75" s="309" t="s">
        <v>330</v>
      </c>
      <c r="AJ75" s="613"/>
      <c r="AK75" s="613"/>
    </row>
    <row r="76" spans="32:37" x14ac:dyDescent="0.2">
      <c r="AF76" s="309" t="s">
        <v>331</v>
      </c>
      <c r="AJ76" s="613"/>
      <c r="AK76" s="613"/>
    </row>
    <row r="77" spans="32:37" x14ac:dyDescent="0.2">
      <c r="AF77" s="309" t="s">
        <v>332</v>
      </c>
      <c r="AJ77" s="613"/>
    </row>
    <row r="78" spans="32:37" x14ac:dyDescent="0.2">
      <c r="AF78" s="309" t="s">
        <v>333</v>
      </c>
      <c r="AJ78" s="613"/>
      <c r="AK78" s="613"/>
    </row>
    <row r="79" spans="32:37" x14ac:dyDescent="0.2">
      <c r="AF79" s="309" t="s">
        <v>334</v>
      </c>
      <c r="AJ79" s="613"/>
      <c r="AK79" s="613"/>
    </row>
    <row r="80" spans="32:37" x14ac:dyDescent="0.2">
      <c r="AF80" s="309" t="s">
        <v>335</v>
      </c>
      <c r="AJ80" s="613"/>
      <c r="AK80" s="613"/>
    </row>
    <row r="81" spans="32:38" x14ac:dyDescent="0.2">
      <c r="AF81" s="309" t="s">
        <v>336</v>
      </c>
      <c r="AJ81" s="613"/>
      <c r="AK81" s="613"/>
    </row>
    <row r="82" spans="32:38" x14ac:dyDescent="0.2">
      <c r="AF82" s="309" t="s">
        <v>171</v>
      </c>
      <c r="AJ82" s="613"/>
      <c r="AK82" s="613"/>
    </row>
    <row r="83" spans="32:38" x14ac:dyDescent="0.2">
      <c r="AF83" s="309" t="s">
        <v>337</v>
      </c>
      <c r="AL83" s="613"/>
    </row>
    <row r="84" spans="32:38" x14ac:dyDescent="0.2">
      <c r="AF84" s="309" t="s">
        <v>338</v>
      </c>
      <c r="AJ84" s="613"/>
      <c r="AK84" s="613"/>
    </row>
    <row r="85" spans="32:38" x14ac:dyDescent="0.2">
      <c r="AF85" s="309" t="s">
        <v>339</v>
      </c>
      <c r="AJ85" s="613"/>
      <c r="AK85" s="613"/>
    </row>
    <row r="86" spans="32:38" x14ac:dyDescent="0.2">
      <c r="AF86" s="309" t="s">
        <v>340</v>
      </c>
      <c r="AJ86" s="613"/>
      <c r="AK86" s="613"/>
    </row>
    <row r="87" spans="32:38" x14ac:dyDescent="0.2">
      <c r="AF87" s="309" t="s">
        <v>341</v>
      </c>
      <c r="AJ87" s="613"/>
      <c r="AK87" s="613"/>
    </row>
    <row r="88" spans="32:38" x14ac:dyDescent="0.2">
      <c r="AF88" s="309" t="s">
        <v>342</v>
      </c>
      <c r="AJ88" s="613"/>
      <c r="AK88" s="613"/>
    </row>
    <row r="89" spans="32:38" x14ac:dyDescent="0.2">
      <c r="AF89" s="309" t="s">
        <v>343</v>
      </c>
      <c r="AJ89" s="613"/>
      <c r="AK89" s="613"/>
    </row>
    <row r="90" spans="32:38" x14ac:dyDescent="0.2">
      <c r="AF90" s="309" t="s">
        <v>344</v>
      </c>
      <c r="AJ90" s="613"/>
      <c r="AK90" s="613"/>
    </row>
    <row r="91" spans="32:38" x14ac:dyDescent="0.2">
      <c r="AF91" s="309" t="s">
        <v>345</v>
      </c>
      <c r="AJ91" s="613"/>
      <c r="AK91" s="613"/>
    </row>
    <row r="92" spans="32:38" x14ac:dyDescent="0.2">
      <c r="AF92" s="309" t="s">
        <v>346</v>
      </c>
      <c r="AJ92" s="613"/>
      <c r="AK92" s="613"/>
    </row>
    <row r="93" spans="32:38" x14ac:dyDescent="0.2">
      <c r="AF93" s="309" t="s">
        <v>347</v>
      </c>
      <c r="AJ93" s="613"/>
      <c r="AK93" s="613"/>
    </row>
    <row r="94" spans="32:38" x14ac:dyDescent="0.2">
      <c r="AF94" s="309" t="s">
        <v>348</v>
      </c>
      <c r="AJ94" s="613"/>
      <c r="AK94" s="613"/>
    </row>
    <row r="95" spans="32:38" x14ac:dyDescent="0.2">
      <c r="AF95" s="309" t="s">
        <v>349</v>
      </c>
      <c r="AJ95" s="613"/>
      <c r="AK95" s="613"/>
    </row>
    <row r="96" spans="32:38" x14ac:dyDescent="0.2">
      <c r="AF96" s="309" t="s">
        <v>350</v>
      </c>
      <c r="AJ96" s="613"/>
      <c r="AK96" s="613"/>
    </row>
    <row r="97" spans="32:37" x14ac:dyDescent="0.2">
      <c r="AF97" s="309" t="s">
        <v>351</v>
      </c>
      <c r="AJ97" s="613"/>
      <c r="AK97" s="613"/>
    </row>
    <row r="98" spans="32:37" x14ac:dyDescent="0.2">
      <c r="AF98" s="309" t="s">
        <v>352</v>
      </c>
      <c r="AJ98" s="613"/>
      <c r="AK98" s="613"/>
    </row>
    <row r="99" spans="32:37" x14ac:dyDescent="0.2">
      <c r="AF99" s="309" t="s">
        <v>353</v>
      </c>
      <c r="AJ99" s="613"/>
    </row>
    <row r="100" spans="32:37" x14ac:dyDescent="0.2">
      <c r="AF100" s="309" t="s">
        <v>354</v>
      </c>
      <c r="AJ100" s="613"/>
      <c r="AK100" s="613"/>
    </row>
    <row r="101" spans="32:37" x14ac:dyDescent="0.2">
      <c r="AF101" s="309" t="s">
        <v>355</v>
      </c>
      <c r="AJ101" s="613"/>
      <c r="AK101" s="613"/>
    </row>
    <row r="102" spans="32:37" x14ac:dyDescent="0.2">
      <c r="AF102" s="309" t="s">
        <v>356</v>
      </c>
      <c r="AJ102" s="613"/>
      <c r="AK102" s="613"/>
    </row>
    <row r="103" spans="32:37" x14ac:dyDescent="0.2">
      <c r="AF103" s="309" t="s">
        <v>357</v>
      </c>
      <c r="AJ103" s="613"/>
      <c r="AK103" s="613"/>
    </row>
    <row r="104" spans="32:37" x14ac:dyDescent="0.2">
      <c r="AF104" s="309" t="s">
        <v>358</v>
      </c>
      <c r="AJ104" s="613"/>
      <c r="AK104" s="613"/>
    </row>
    <row r="105" spans="32:37" x14ac:dyDescent="0.2">
      <c r="AF105" s="309" t="s">
        <v>359</v>
      </c>
      <c r="AJ105" s="613"/>
      <c r="AK105" s="613"/>
    </row>
    <row r="106" spans="32:37" x14ac:dyDescent="0.2">
      <c r="AF106" s="309" t="s">
        <v>360</v>
      </c>
      <c r="AJ106" s="613"/>
      <c r="AK106" s="613"/>
    </row>
    <row r="107" spans="32:37" x14ac:dyDescent="0.2">
      <c r="AF107" s="309" t="s">
        <v>361</v>
      </c>
      <c r="AJ107" s="613"/>
      <c r="AK107" s="613"/>
    </row>
    <row r="108" spans="32:37" x14ac:dyDescent="0.2">
      <c r="AF108" s="309" t="s">
        <v>362</v>
      </c>
      <c r="AJ108" s="613"/>
    </row>
    <row r="109" spans="32:37" x14ac:dyDescent="0.2">
      <c r="AF109" s="309" t="s">
        <v>363</v>
      </c>
      <c r="AJ109" s="613"/>
      <c r="AK109" s="613"/>
    </row>
    <row r="110" spans="32:37" x14ac:dyDescent="0.2">
      <c r="AF110" s="309" t="s">
        <v>364</v>
      </c>
      <c r="AJ110" s="613"/>
      <c r="AK110" s="613"/>
    </row>
    <row r="111" spans="32:37" x14ac:dyDescent="0.2">
      <c r="AF111" s="309" t="s">
        <v>365</v>
      </c>
      <c r="AJ111" s="613"/>
      <c r="AK111" s="613"/>
    </row>
    <row r="112" spans="32:37" x14ac:dyDescent="0.2">
      <c r="AF112" s="309" t="s">
        <v>366</v>
      </c>
      <c r="AJ112" s="613"/>
      <c r="AK112" s="613"/>
    </row>
    <row r="113" spans="32:38" x14ac:dyDescent="0.2">
      <c r="AF113" s="309" t="s">
        <v>367</v>
      </c>
      <c r="AJ113" s="613"/>
      <c r="AK113" s="613"/>
    </row>
    <row r="114" spans="32:38" x14ac:dyDescent="0.2">
      <c r="AF114" s="309" t="s">
        <v>368</v>
      </c>
      <c r="AJ114" s="613"/>
      <c r="AL114" s="613"/>
    </row>
    <row r="115" spans="32:38" x14ac:dyDescent="0.2">
      <c r="AF115" s="309" t="s">
        <v>369</v>
      </c>
      <c r="AJ115" s="613"/>
      <c r="AK115" s="613"/>
    </row>
    <row r="116" spans="32:38" x14ac:dyDescent="0.2">
      <c r="AF116" s="309" t="s">
        <v>370</v>
      </c>
      <c r="AJ116" s="613"/>
      <c r="AL116" s="613"/>
    </row>
    <row r="117" spans="32:38" x14ac:dyDescent="0.2">
      <c r="AF117" s="309" t="s">
        <v>371</v>
      </c>
      <c r="AJ117" s="613"/>
    </row>
    <row r="118" spans="32:38" x14ac:dyDescent="0.2">
      <c r="AF118" s="309" t="s">
        <v>372</v>
      </c>
      <c r="AJ118" s="613"/>
      <c r="AK118" s="613"/>
    </row>
    <row r="119" spans="32:38" x14ac:dyDescent="0.2">
      <c r="AF119" s="309" t="s">
        <v>373</v>
      </c>
      <c r="AJ119" s="613"/>
      <c r="AK119" s="613"/>
    </row>
    <row r="120" spans="32:38" x14ac:dyDescent="0.2">
      <c r="AF120" s="309" t="s">
        <v>374</v>
      </c>
      <c r="AJ120" s="613"/>
      <c r="AK120" s="613"/>
    </row>
    <row r="121" spans="32:38" x14ac:dyDescent="0.2">
      <c r="AF121" s="309" t="s">
        <v>375</v>
      </c>
      <c r="AJ121" s="613"/>
    </row>
    <row r="122" spans="32:38" x14ac:dyDescent="0.2">
      <c r="AF122" s="309" t="s">
        <v>376</v>
      </c>
      <c r="AJ122" s="613"/>
      <c r="AK122" s="613"/>
    </row>
    <row r="123" spans="32:38" x14ac:dyDescent="0.2">
      <c r="AF123" s="309" t="s">
        <v>377</v>
      </c>
      <c r="AJ123" s="613"/>
      <c r="AL123" s="613"/>
    </row>
    <row r="124" spans="32:38" x14ac:dyDescent="0.2">
      <c r="AF124" s="309" t="s">
        <v>378</v>
      </c>
      <c r="AJ124" s="613"/>
      <c r="AK124" s="613"/>
    </row>
    <row r="125" spans="32:38" x14ac:dyDescent="0.2">
      <c r="AF125" s="309" t="s">
        <v>379</v>
      </c>
      <c r="AJ125" s="613"/>
      <c r="AK125" s="613"/>
    </row>
    <row r="126" spans="32:38" x14ac:dyDescent="0.2">
      <c r="AF126" s="309" t="s">
        <v>380</v>
      </c>
      <c r="AJ126" s="613"/>
      <c r="AK126" s="613"/>
    </row>
    <row r="127" spans="32:38" x14ac:dyDescent="0.2">
      <c r="AF127" s="309" t="s">
        <v>381</v>
      </c>
      <c r="AJ127" s="613"/>
      <c r="AK127" s="613"/>
    </row>
    <row r="128" spans="32:38" x14ac:dyDescent="0.2">
      <c r="AF128" s="309" t="s">
        <v>382</v>
      </c>
      <c r="AJ128" s="613"/>
      <c r="AK128" s="613"/>
    </row>
    <row r="129" spans="32:37" x14ac:dyDescent="0.2">
      <c r="AF129" s="309" t="s">
        <v>383</v>
      </c>
      <c r="AJ129" s="613"/>
      <c r="AK129" s="613"/>
    </row>
    <row r="130" spans="32:37" x14ac:dyDescent="0.2">
      <c r="AF130" s="309" t="s">
        <v>384</v>
      </c>
      <c r="AJ130" s="613"/>
    </row>
    <row r="131" spans="32:37" x14ac:dyDescent="0.2">
      <c r="AF131" s="309" t="s">
        <v>385</v>
      </c>
      <c r="AJ131" s="613"/>
      <c r="AK131" s="613"/>
    </row>
    <row r="132" spans="32:37" x14ac:dyDescent="0.2">
      <c r="AF132" s="309" t="s">
        <v>386</v>
      </c>
      <c r="AJ132" s="613"/>
      <c r="AK132" s="613"/>
    </row>
    <row r="133" spans="32:37" x14ac:dyDescent="0.2">
      <c r="AF133" s="309" t="s">
        <v>387</v>
      </c>
      <c r="AJ133" s="613"/>
      <c r="AK133" s="613"/>
    </row>
    <row r="134" spans="32:37" x14ac:dyDescent="0.2">
      <c r="AF134" s="309" t="s">
        <v>388</v>
      </c>
      <c r="AJ134" s="613"/>
      <c r="AK134" s="613"/>
    </row>
    <row r="135" spans="32:37" x14ac:dyDescent="0.2">
      <c r="AF135" s="309" t="s">
        <v>389</v>
      </c>
      <c r="AJ135" s="613"/>
      <c r="AK135" s="613"/>
    </row>
    <row r="136" spans="32:37" x14ac:dyDescent="0.2">
      <c r="AF136" s="309" t="s">
        <v>390</v>
      </c>
      <c r="AJ136" s="613"/>
      <c r="AK136" s="613"/>
    </row>
    <row r="137" spans="32:37" x14ac:dyDescent="0.2">
      <c r="AF137" s="309" t="s">
        <v>391</v>
      </c>
      <c r="AJ137" s="613"/>
      <c r="AK137" s="613"/>
    </row>
    <row r="138" spans="32:37" x14ac:dyDescent="0.2">
      <c r="AF138" s="616" t="s">
        <v>392</v>
      </c>
      <c r="AG138" s="616"/>
      <c r="AH138" s="616"/>
      <c r="AJ138" s="613"/>
      <c r="AK138" s="613"/>
    </row>
    <row r="139" spans="32:37" x14ac:dyDescent="0.2">
      <c r="AF139" s="309" t="s">
        <v>393</v>
      </c>
      <c r="AJ139" s="613"/>
      <c r="AK139" s="613"/>
    </row>
    <row r="140" spans="32:37" x14ac:dyDescent="0.2">
      <c r="AF140" s="309" t="s">
        <v>394</v>
      </c>
      <c r="AJ140" s="613"/>
      <c r="AK140" s="613"/>
    </row>
    <row r="141" spans="32:37" x14ac:dyDescent="0.2">
      <c r="AF141" s="309" t="s">
        <v>395</v>
      </c>
      <c r="AJ141" s="613"/>
      <c r="AK141" s="613"/>
    </row>
    <row r="142" spans="32:37" x14ac:dyDescent="0.2">
      <c r="AF142" s="309" t="s">
        <v>396</v>
      </c>
      <c r="AJ142" s="613"/>
    </row>
    <row r="143" spans="32:37" x14ac:dyDescent="0.2">
      <c r="AF143" s="309" t="s">
        <v>397</v>
      </c>
      <c r="AJ143" s="613"/>
      <c r="AK143" s="613"/>
    </row>
    <row r="144" spans="32:37" x14ac:dyDescent="0.2">
      <c r="AF144" s="309" t="s">
        <v>398</v>
      </c>
      <c r="AJ144" s="613"/>
      <c r="AK144" s="613"/>
    </row>
    <row r="145" spans="32:37" x14ac:dyDescent="0.2">
      <c r="AF145" s="309" t="s">
        <v>399</v>
      </c>
      <c r="AJ145" s="613"/>
      <c r="AK145" s="613"/>
    </row>
    <row r="146" spans="32:37" x14ac:dyDescent="0.2">
      <c r="AF146" s="309" t="s">
        <v>400</v>
      </c>
      <c r="AJ146" s="613"/>
      <c r="AK146" s="613"/>
    </row>
    <row r="147" spans="32:37" x14ac:dyDescent="0.2">
      <c r="AF147" s="309" t="s">
        <v>401</v>
      </c>
      <c r="AJ147" s="613"/>
      <c r="AK147" s="613"/>
    </row>
    <row r="148" spans="32:37" x14ac:dyDescent="0.2">
      <c r="AF148" s="309" t="s">
        <v>402</v>
      </c>
      <c r="AJ148" s="613"/>
      <c r="AK148" s="613"/>
    </row>
    <row r="149" spans="32:37" x14ac:dyDescent="0.2">
      <c r="AF149" s="309" t="s">
        <v>403</v>
      </c>
      <c r="AJ149" s="613"/>
      <c r="AK149" s="613"/>
    </row>
    <row r="150" spans="32:37" x14ac:dyDescent="0.2">
      <c r="AF150" s="309" t="s">
        <v>404</v>
      </c>
      <c r="AJ150" s="613"/>
      <c r="AK150" s="613"/>
    </row>
    <row r="151" spans="32:37" x14ac:dyDescent="0.2">
      <c r="AF151" s="309" t="s">
        <v>405</v>
      </c>
      <c r="AJ151" s="613"/>
      <c r="AK151" s="613"/>
    </row>
    <row r="152" spans="32:37" x14ac:dyDescent="0.2">
      <c r="AF152" s="309" t="s">
        <v>406</v>
      </c>
      <c r="AJ152" s="613"/>
      <c r="AK152" s="613"/>
    </row>
    <row r="153" spans="32:37" x14ac:dyDescent="0.2">
      <c r="AF153" s="309" t="s">
        <v>407</v>
      </c>
      <c r="AJ153" s="613"/>
      <c r="AK153" s="613"/>
    </row>
    <row r="154" spans="32:37" x14ac:dyDescent="0.2">
      <c r="AF154" s="309" t="s">
        <v>408</v>
      </c>
      <c r="AJ154" s="613"/>
      <c r="AK154" s="613"/>
    </row>
    <row r="155" spans="32:37" x14ac:dyDescent="0.2">
      <c r="AF155" s="309" t="s">
        <v>409</v>
      </c>
      <c r="AJ155" s="613"/>
    </row>
    <row r="156" spans="32:37" x14ac:dyDescent="0.2">
      <c r="AF156" s="309" t="s">
        <v>410</v>
      </c>
      <c r="AJ156" s="613"/>
    </row>
    <row r="157" spans="32:37" x14ac:dyDescent="0.2">
      <c r="AF157" s="309" t="s">
        <v>411</v>
      </c>
      <c r="AJ157" s="613"/>
    </row>
    <row r="158" spans="32:37" x14ac:dyDescent="0.2">
      <c r="AF158" s="309" t="s">
        <v>412</v>
      </c>
      <c r="AJ158" s="613"/>
      <c r="AK158" s="613"/>
    </row>
    <row r="159" spans="32:37" x14ac:dyDescent="0.2">
      <c r="AF159" s="309" t="s">
        <v>413</v>
      </c>
      <c r="AJ159" s="613"/>
    </row>
    <row r="160" spans="32:37" x14ac:dyDescent="0.2">
      <c r="AF160" s="309" t="s">
        <v>414</v>
      </c>
      <c r="AJ160" s="613"/>
    </row>
    <row r="161" spans="32:38" x14ac:dyDescent="0.2">
      <c r="AF161" s="309" t="s">
        <v>415</v>
      </c>
      <c r="AJ161" s="613"/>
      <c r="AK161" s="613"/>
    </row>
    <row r="162" spans="32:38" x14ac:dyDescent="0.2">
      <c r="AF162" s="309" t="s">
        <v>416</v>
      </c>
      <c r="AJ162" s="613"/>
      <c r="AK162" s="613"/>
    </row>
    <row r="163" spans="32:38" x14ac:dyDescent="0.2">
      <c r="AF163" s="309" t="s">
        <v>417</v>
      </c>
      <c r="AJ163" s="613"/>
      <c r="AK163" s="613"/>
    </row>
    <row r="164" spans="32:38" x14ac:dyDescent="0.2">
      <c r="AF164" s="309" t="s">
        <v>418</v>
      </c>
      <c r="AJ164" s="613"/>
    </row>
    <row r="165" spans="32:38" x14ac:dyDescent="0.2">
      <c r="AF165" s="309" t="s">
        <v>419</v>
      </c>
      <c r="AJ165" s="613"/>
      <c r="AK165" s="613"/>
    </row>
    <row r="166" spans="32:38" x14ac:dyDescent="0.2">
      <c r="AF166" s="309" t="s">
        <v>420</v>
      </c>
      <c r="AJ166" s="613"/>
      <c r="AL166" s="613"/>
    </row>
    <row r="167" spans="32:38" x14ac:dyDescent="0.2">
      <c r="AF167" s="309" t="s">
        <v>421</v>
      </c>
      <c r="AJ167" s="613"/>
      <c r="AK167" s="613"/>
    </row>
    <row r="168" spans="32:38" x14ac:dyDescent="0.2">
      <c r="AF168" s="309" t="s">
        <v>422</v>
      </c>
      <c r="AJ168" s="613"/>
      <c r="AK168" s="613"/>
    </row>
    <row r="169" spans="32:38" x14ac:dyDescent="0.2">
      <c r="AF169" s="309" t="s">
        <v>423</v>
      </c>
      <c r="AJ169" s="613"/>
      <c r="AK169" s="613"/>
    </row>
    <row r="170" spans="32:38" x14ac:dyDescent="0.2">
      <c r="AF170" s="309" t="s">
        <v>424</v>
      </c>
      <c r="AJ170" s="613"/>
      <c r="AK170" s="613"/>
    </row>
    <row r="171" spans="32:38" x14ac:dyDescent="0.2">
      <c r="AF171" s="309" t="s">
        <v>425</v>
      </c>
      <c r="AJ171" s="613"/>
      <c r="AK171" s="613"/>
    </row>
    <row r="172" spans="32:38" x14ac:dyDescent="0.2">
      <c r="AF172" s="309" t="s">
        <v>426</v>
      </c>
      <c r="AJ172" s="613"/>
      <c r="AK172" s="613"/>
    </row>
    <row r="173" spans="32:38" x14ac:dyDescent="0.2">
      <c r="AF173" s="309" t="s">
        <v>427</v>
      </c>
      <c r="AJ173" s="613"/>
      <c r="AK173" s="613"/>
    </row>
    <row r="174" spans="32:38" x14ac:dyDescent="0.2">
      <c r="AF174" s="309" t="s">
        <v>428</v>
      </c>
      <c r="AJ174" s="613"/>
      <c r="AK174" s="613"/>
    </row>
    <row r="175" spans="32:38" x14ac:dyDescent="0.2">
      <c r="AF175" s="309" t="s">
        <v>429</v>
      </c>
      <c r="AJ175" s="613"/>
      <c r="AK175" s="613"/>
    </row>
    <row r="176" spans="32:38" x14ac:dyDescent="0.2">
      <c r="AF176" s="309" t="s">
        <v>430</v>
      </c>
      <c r="AJ176" s="613"/>
      <c r="AK176" s="613"/>
    </row>
    <row r="177" spans="32:37" x14ac:dyDescent="0.2">
      <c r="AF177" s="309" t="s">
        <v>431</v>
      </c>
      <c r="AJ177" s="613"/>
      <c r="AK177" s="613"/>
    </row>
    <row r="178" spans="32:37" x14ac:dyDescent="0.2">
      <c r="AF178" s="309" t="s">
        <v>432</v>
      </c>
      <c r="AJ178" s="613"/>
      <c r="AK178" s="613"/>
    </row>
    <row r="179" spans="32:37" x14ac:dyDescent="0.2">
      <c r="AF179" s="309" t="s">
        <v>433</v>
      </c>
      <c r="AJ179" s="613"/>
      <c r="AK179" s="613"/>
    </row>
    <row r="180" spans="32:37" x14ac:dyDescent="0.2">
      <c r="AF180" s="309" t="s">
        <v>434</v>
      </c>
      <c r="AJ180" s="613"/>
      <c r="AK180" s="613"/>
    </row>
    <row r="181" spans="32:37" x14ac:dyDescent="0.2">
      <c r="AF181" s="309" t="s">
        <v>435</v>
      </c>
      <c r="AJ181" s="613"/>
      <c r="AK181" s="613"/>
    </row>
    <row r="182" spans="32:37" x14ac:dyDescent="0.2">
      <c r="AF182" s="309" t="s">
        <v>436</v>
      </c>
      <c r="AJ182" s="613"/>
      <c r="AK182" s="613"/>
    </row>
    <row r="183" spans="32:37" x14ac:dyDescent="0.2">
      <c r="AF183" s="309" t="s">
        <v>437</v>
      </c>
      <c r="AJ183" s="613"/>
      <c r="AK183" s="613"/>
    </row>
    <row r="184" spans="32:37" x14ac:dyDescent="0.2">
      <c r="AF184" s="309" t="s">
        <v>438</v>
      </c>
      <c r="AJ184" s="613"/>
      <c r="AK184" s="613"/>
    </row>
    <row r="185" spans="32:37" x14ac:dyDescent="0.2">
      <c r="AF185" s="309" t="s">
        <v>439</v>
      </c>
      <c r="AJ185" s="613"/>
      <c r="AK185" s="613"/>
    </row>
    <row r="186" spans="32:37" x14ac:dyDescent="0.2">
      <c r="AF186" s="309" t="s">
        <v>440</v>
      </c>
      <c r="AJ186" s="613"/>
    </row>
    <row r="187" spans="32:37" x14ac:dyDescent="0.2">
      <c r="AF187" s="309" t="s">
        <v>441</v>
      </c>
      <c r="AJ187" s="613"/>
      <c r="AK187" s="613"/>
    </row>
    <row r="188" spans="32:37" x14ac:dyDescent="0.2">
      <c r="AF188" s="309" t="s">
        <v>442</v>
      </c>
      <c r="AJ188" s="613"/>
      <c r="AK188" s="613"/>
    </row>
    <row r="189" spans="32:37" x14ac:dyDescent="0.2">
      <c r="AF189" s="309" t="s">
        <v>443</v>
      </c>
      <c r="AJ189" s="613"/>
      <c r="AK189" s="613"/>
    </row>
    <row r="190" spans="32:37" x14ac:dyDescent="0.2">
      <c r="AF190" s="309" t="s">
        <v>444</v>
      </c>
      <c r="AJ190" s="613"/>
      <c r="AK190" s="613"/>
    </row>
    <row r="191" spans="32:37" x14ac:dyDescent="0.2">
      <c r="AF191" s="309" t="s">
        <v>445</v>
      </c>
      <c r="AJ191" s="613"/>
    </row>
    <row r="192" spans="32:37" x14ac:dyDescent="0.2">
      <c r="AF192" s="309" t="s">
        <v>446</v>
      </c>
      <c r="AJ192" s="613"/>
      <c r="AK192" s="613"/>
    </row>
    <row r="193" spans="32:37" x14ac:dyDescent="0.2">
      <c r="AF193" s="309" t="s">
        <v>447</v>
      </c>
      <c r="AJ193" s="613"/>
      <c r="AK193" s="613"/>
    </row>
    <row r="194" spans="32:37" x14ac:dyDescent="0.2">
      <c r="AF194" s="309" t="s">
        <v>448</v>
      </c>
      <c r="AJ194" s="613"/>
      <c r="AK194" s="613"/>
    </row>
    <row r="195" spans="32:37" x14ac:dyDescent="0.2">
      <c r="AF195" s="309" t="s">
        <v>449</v>
      </c>
      <c r="AJ195" s="613"/>
      <c r="AK195" s="613"/>
    </row>
    <row r="196" spans="32:37" x14ac:dyDescent="0.2">
      <c r="AF196" s="309" t="s">
        <v>450</v>
      </c>
      <c r="AJ196" s="613"/>
      <c r="AK196" s="613"/>
    </row>
    <row r="197" spans="32:37" x14ac:dyDescent="0.2">
      <c r="AF197" s="309" t="s">
        <v>451</v>
      </c>
      <c r="AJ197" s="613"/>
      <c r="AK197" s="613"/>
    </row>
    <row r="198" spans="32:37" x14ac:dyDescent="0.2">
      <c r="AF198" s="309" t="s">
        <v>452</v>
      </c>
      <c r="AJ198" s="613"/>
      <c r="AK198" s="613"/>
    </row>
    <row r="199" spans="32:37" x14ac:dyDescent="0.2">
      <c r="AF199" s="309" t="s">
        <v>453</v>
      </c>
      <c r="AJ199" s="613"/>
      <c r="AK199" s="613"/>
    </row>
    <row r="200" spans="32:37" x14ac:dyDescent="0.2">
      <c r="AJ200" s="613"/>
      <c r="AK200" s="613"/>
    </row>
    <row r="201" spans="32:37" x14ac:dyDescent="0.2">
      <c r="AJ201" s="613"/>
      <c r="AK201" s="613"/>
    </row>
    <row r="202" spans="32:37" x14ac:dyDescent="0.2">
      <c r="AJ202" s="613"/>
      <c r="AK202" s="613"/>
    </row>
    <row r="203" spans="32:37" x14ac:dyDescent="0.2">
      <c r="AJ203" s="613"/>
      <c r="AK203" s="613"/>
    </row>
  </sheetData>
  <hyperlinks>
    <hyperlink ref="AI3" r:id="rId1" xr:uid="{00000000-0004-0000-0500-000000000000}"/>
  </hyperlinks>
  <pageMargins left="0.7" right="0.7" top="0.75" bottom="0.75" header="0.3" footer="0.3"/>
  <headerFooter>
    <oddHeader>&amp;C&amp;"Calibri"&amp;10&amp;K000000 Internal&amp;1#_x000D_</oddHeader>
    <oddFooter>&amp;L_x000D_&amp;1#&amp;"Calibri"&amp;10&amp;K737373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2"/>
  <sheetViews>
    <sheetView workbookViewId="0">
      <selection activeCell="J25" sqref="J25"/>
    </sheetView>
  </sheetViews>
  <sheetFormatPr defaultRowHeight="15" x14ac:dyDescent="0.25"/>
  <cols>
    <col min="1" max="1" width="54.140625" bestFit="1" customWidth="1"/>
    <col min="2" max="7" width="10.42578125" customWidth="1"/>
    <col min="8" max="8" width="15.85546875" customWidth="1"/>
    <col min="9" max="11" width="11.42578125" customWidth="1"/>
    <col min="12" max="12" width="14.28515625" customWidth="1"/>
    <col min="13" max="15" width="11.42578125" customWidth="1"/>
  </cols>
  <sheetData>
    <row r="1" spans="1:20" s="306" customFormat="1" ht="30.75" customHeight="1" thickBot="1" x14ac:dyDescent="0.3">
      <c r="A1" s="340" t="s">
        <v>454</v>
      </c>
      <c r="H1" s="340" t="s">
        <v>455</v>
      </c>
      <c r="L1" s="340" t="s">
        <v>456</v>
      </c>
    </row>
    <row r="2" spans="1:20" x14ac:dyDescent="0.25">
      <c r="B2" s="341">
        <v>7.0000000000000007E-2</v>
      </c>
      <c r="C2" s="341">
        <v>0.2</v>
      </c>
      <c r="D2" s="341">
        <v>0.45</v>
      </c>
      <c r="E2" s="339">
        <v>0.27</v>
      </c>
      <c r="F2" s="339">
        <v>0.1</v>
      </c>
      <c r="I2" s="341">
        <v>0.13</v>
      </c>
      <c r="J2" s="341">
        <v>0.2</v>
      </c>
      <c r="K2" s="341">
        <v>0.45</v>
      </c>
      <c r="M2" s="341">
        <v>0.13</v>
      </c>
      <c r="N2" s="341">
        <v>0.2</v>
      </c>
      <c r="O2" s="341">
        <v>0.45</v>
      </c>
      <c r="R2" s="513" t="s">
        <v>457</v>
      </c>
      <c r="S2" s="485" t="s">
        <v>165</v>
      </c>
      <c r="T2" s="486" t="s">
        <v>458</v>
      </c>
    </row>
    <row r="3" spans="1:20" ht="19.5" customHeight="1" x14ac:dyDescent="0.25">
      <c r="B3" s="26" t="s">
        <v>459</v>
      </c>
      <c r="C3" s="26" t="s">
        <v>460</v>
      </c>
      <c r="D3" s="26" t="s">
        <v>461</v>
      </c>
      <c r="E3" s="26" t="s">
        <v>462</v>
      </c>
      <c r="F3" s="26" t="s">
        <v>463</v>
      </c>
      <c r="G3" s="26"/>
      <c r="H3" s="325"/>
      <c r="I3" s="325" t="s">
        <v>464</v>
      </c>
      <c r="J3" s="325" t="s">
        <v>465</v>
      </c>
      <c r="K3" s="325" t="s">
        <v>466</v>
      </c>
      <c r="L3" s="325" t="s">
        <v>467</v>
      </c>
      <c r="M3" s="325" t="s">
        <v>464</v>
      </c>
      <c r="N3" s="325" t="s">
        <v>465</v>
      </c>
      <c r="O3" s="325" t="s">
        <v>466</v>
      </c>
      <c r="R3" s="514" t="s">
        <v>468</v>
      </c>
      <c r="S3" s="743"/>
      <c r="T3" s="744">
        <v>1754.5</v>
      </c>
    </row>
    <row r="4" spans="1:20" x14ac:dyDescent="0.25">
      <c r="A4" s="31" t="s">
        <v>468</v>
      </c>
      <c r="B4" s="479">
        <f>ROUND(Rates!B8/(1-RI_Margin),0)</f>
        <v>4749</v>
      </c>
      <c r="C4" s="479">
        <f>ROUND(Rates!C8/(1-RI_Margin),0)</f>
        <v>3612</v>
      </c>
      <c r="D4" s="479">
        <f>ROUND(Rates!D8/(1-RI_Margin),0)</f>
        <v>1872</v>
      </c>
      <c r="E4" s="479">
        <f>ROUND(Rates!E8/(1-RI_Margin),0)</f>
        <v>1004</v>
      </c>
      <c r="F4" s="479">
        <f>ROUND(Rates!F8/(1-RI_Margin),0)</f>
        <v>914</v>
      </c>
      <c r="H4" s="31" t="s">
        <v>468</v>
      </c>
      <c r="I4" s="29">
        <f>ROUND(Rates!R8/(1-RI_Margin),0)</f>
        <v>4056</v>
      </c>
      <c r="J4" s="29">
        <f>ROUND(Rates!S8/(1-RI_Margin),0)</f>
        <v>3278</v>
      </c>
      <c r="K4" s="29">
        <f>ROUND(Rates!T8/(1-RI_Margin),0)</f>
        <v>1801</v>
      </c>
      <c r="L4" s="31" t="s">
        <v>468</v>
      </c>
      <c r="M4" s="29">
        <f t="shared" ref="M4:O7" si="0">I4</f>
        <v>4056</v>
      </c>
      <c r="N4" s="29">
        <f t="shared" si="0"/>
        <v>3278</v>
      </c>
      <c r="O4" s="29">
        <f t="shared" si="0"/>
        <v>1801</v>
      </c>
      <c r="R4" s="514" t="s">
        <v>469</v>
      </c>
      <c r="S4" s="743">
        <v>998.5</v>
      </c>
      <c r="T4" s="744">
        <v>2101</v>
      </c>
    </row>
    <row r="5" spans="1:20" x14ac:dyDescent="0.25">
      <c r="A5" s="31" t="s">
        <v>470</v>
      </c>
      <c r="B5" s="480">
        <f>ROUND(Rates!B9/(1-RI_Margin),0)</f>
        <v>6086</v>
      </c>
      <c r="C5" s="480">
        <f>ROUND(Rates!C9/(1-RI_Margin),0)</f>
        <v>4625</v>
      </c>
      <c r="D5" s="480">
        <f>ROUND(Rates!D9/(1-RI_Margin),0)</f>
        <v>2385</v>
      </c>
      <c r="E5" s="480">
        <f>ROUND(Rates!E9/(1-RI_Margin),0)</f>
        <v>1271</v>
      </c>
      <c r="F5" s="480">
        <f>ROUND(Rates!F9/(1-RI_Margin),0)</f>
        <v>1156</v>
      </c>
      <c r="H5" s="31" t="s">
        <v>469</v>
      </c>
      <c r="I5" s="29">
        <f>ROUND(Rates!R9/(1-RI_Margin),0)</f>
        <v>5821</v>
      </c>
      <c r="J5" s="29">
        <f>ROUND(Rates!S9/(1-RI_Margin),0)</f>
        <v>4701</v>
      </c>
      <c r="K5" s="29">
        <f>ROUND(Rates!T9/(1-RI_Margin),0)</f>
        <v>2576</v>
      </c>
      <c r="L5" s="31" t="s">
        <v>469</v>
      </c>
      <c r="M5" s="29">
        <f t="shared" si="0"/>
        <v>5821</v>
      </c>
      <c r="N5" s="29">
        <f t="shared" si="0"/>
        <v>4701</v>
      </c>
      <c r="O5" s="29">
        <f t="shared" si="0"/>
        <v>2576</v>
      </c>
      <c r="R5" s="514" t="s">
        <v>471</v>
      </c>
      <c r="S5" s="743">
        <v>1523.5</v>
      </c>
      <c r="T5" s="744">
        <v>4988.5</v>
      </c>
    </row>
    <row r="6" spans="1:20" ht="15.75" thickBot="1" x14ac:dyDescent="0.3">
      <c r="A6" s="31" t="s">
        <v>472</v>
      </c>
      <c r="B6" s="480">
        <f>ROUND(Rates!B10/(1-RI_Margin),0)</f>
        <v>8703</v>
      </c>
      <c r="C6" s="480">
        <f>ROUND(Rates!C10/(1-RI_Margin),0)</f>
        <v>6607</v>
      </c>
      <c r="D6" s="480">
        <f>ROUND(Rates!D10/(1-RI_Margin),0)</f>
        <v>3389</v>
      </c>
      <c r="E6" s="480">
        <f>ROUND(Rates!E10/(1-RI_Margin),0)</f>
        <v>1793</v>
      </c>
      <c r="F6" s="480">
        <f>ROUND(Rates!F10/(1-RI_Margin),0)</f>
        <v>1627</v>
      </c>
      <c r="H6" s="31" t="s">
        <v>471</v>
      </c>
      <c r="I6" s="29">
        <f>ROUND(Rates!R10/(1-RI_Margin),0)</f>
        <v>10328</v>
      </c>
      <c r="J6" s="29">
        <f>ROUND(Rates!S10/(1-RI_Margin),0)</f>
        <v>8333</v>
      </c>
      <c r="K6" s="29">
        <f>ROUND(Rates!T10/(1-RI_Margin),0)</f>
        <v>4558</v>
      </c>
      <c r="L6" s="31" t="s">
        <v>471</v>
      </c>
      <c r="M6" s="29">
        <f t="shared" si="0"/>
        <v>10328</v>
      </c>
      <c r="N6" s="29">
        <f t="shared" si="0"/>
        <v>8333</v>
      </c>
      <c r="O6" s="29">
        <f t="shared" si="0"/>
        <v>4558</v>
      </c>
      <c r="R6" s="515" t="s">
        <v>473</v>
      </c>
      <c r="S6" s="745">
        <v>8674</v>
      </c>
      <c r="T6" s="746">
        <v>18073</v>
      </c>
    </row>
    <row r="7" spans="1:20" ht="15.75" thickBot="1" x14ac:dyDescent="0.3">
      <c r="A7" s="31" t="s">
        <v>474</v>
      </c>
      <c r="B7" s="606">
        <f>ROUND(Rates!B11/(1-RI_Margin),0)</f>
        <v>12984</v>
      </c>
      <c r="C7" s="606">
        <f>ROUND(Rates!C11/(1-RI_Margin),0)</f>
        <v>9851</v>
      </c>
      <c r="D7" s="606">
        <f>ROUND(Rates!D11/(1-RI_Margin),0)</f>
        <v>5030</v>
      </c>
      <c r="E7" s="606">
        <f>ROUND(Rates!E11/(1-RI_Margin),0)</f>
        <v>2647</v>
      </c>
      <c r="F7" s="606">
        <f>ROUND(Rates!F11/(1-RI_Margin),0)</f>
        <v>2396</v>
      </c>
      <c r="H7" s="31" t="s">
        <v>473</v>
      </c>
      <c r="I7" s="29">
        <f>ROUND(Rates!R11/(1-RI_Margin),0)</f>
        <v>23183</v>
      </c>
      <c r="J7" s="29">
        <f>ROUND(Rates!S11/(1-RI_Margin),0)</f>
        <v>18702</v>
      </c>
      <c r="K7" s="29">
        <f>ROUND(Rates!T11/(1-RI_Margin),0)</f>
        <v>10208</v>
      </c>
      <c r="L7" s="31" t="s">
        <v>473</v>
      </c>
      <c r="M7" s="29">
        <f t="shared" si="0"/>
        <v>23183</v>
      </c>
      <c r="N7" s="29">
        <f t="shared" si="0"/>
        <v>18702</v>
      </c>
      <c r="O7" s="29">
        <f t="shared" si="0"/>
        <v>10208</v>
      </c>
      <c r="R7" s="515" t="s">
        <v>153</v>
      </c>
      <c r="S7" s="487">
        <v>751</v>
      </c>
      <c r="T7" s="516">
        <v>751</v>
      </c>
    </row>
    <row r="8" spans="1:20" x14ac:dyDescent="0.25">
      <c r="A8" s="31" t="s">
        <v>475</v>
      </c>
      <c r="B8" s="606">
        <f>ROUND(Rates!B12/(1-RI_Margin),0)</f>
        <v>18121</v>
      </c>
      <c r="C8" s="606">
        <f>ROUND(Rates!C12/(1-RI_Margin),0)</f>
        <v>13742</v>
      </c>
      <c r="D8" s="606">
        <f>ROUND(Rates!D12/(1-RI_Margin),0)</f>
        <v>7001</v>
      </c>
      <c r="E8" s="606">
        <f>ROUND(Rates!E12/(1-RI_Margin),0)</f>
        <v>3676</v>
      </c>
      <c r="F8" s="606">
        <f>ROUND(Rates!F12/(1-RI_Margin),0)</f>
        <v>3320</v>
      </c>
      <c r="H8" s="30"/>
      <c r="I8" s="30"/>
      <c r="J8" s="30"/>
      <c r="K8" s="30"/>
      <c r="L8" s="30"/>
    </row>
    <row r="9" spans="1:20" ht="15" customHeight="1" x14ac:dyDescent="0.25">
      <c r="A9" s="31" t="s">
        <v>476</v>
      </c>
      <c r="B9" s="607">
        <f>ROUND(Rates!B13/(1-RI_Margin),0)</f>
        <v>25314</v>
      </c>
      <c r="C9" s="607">
        <f>ROUND(Rates!C13/(1-RI_Margin),0)</f>
        <v>19191</v>
      </c>
      <c r="D9" s="607">
        <f>ROUND(Rates!D13/(1-RI_Margin),0)</f>
        <v>9760</v>
      </c>
      <c r="E9" s="607">
        <f>ROUND(Rates!E13/(1-RI_Margin),0)</f>
        <v>5113</v>
      </c>
      <c r="F9" s="607">
        <f>ROUND(Rates!F13/(1-RI_Margin),0)</f>
        <v>4614</v>
      </c>
      <c r="H9" s="22"/>
      <c r="I9" s="22"/>
      <c r="J9" s="30"/>
      <c r="K9" s="30"/>
      <c r="L9" s="30"/>
    </row>
    <row r="10" spans="1:20" x14ac:dyDescent="0.25">
      <c r="A10" s="31" t="s">
        <v>477</v>
      </c>
      <c r="B10" s="607">
        <f>ROUND(Rates!B14/(1-RI_Margin),0)</f>
        <v>35385</v>
      </c>
      <c r="C10" s="607">
        <f>ROUND(Rates!C14/(1-RI_Margin),0)</f>
        <v>26820</v>
      </c>
      <c r="D10" s="607">
        <f>ROUND(Rates!D14/(1-RI_Margin),0)</f>
        <v>13621</v>
      </c>
      <c r="E10" s="607">
        <f>ROUND(Rates!E14/(1-RI_Margin),0)</f>
        <v>7123</v>
      </c>
      <c r="F10" s="607">
        <f>ROUND(Rates!F14/(1-RI_Margin),0)</f>
        <v>6425</v>
      </c>
      <c r="H10" s="22"/>
      <c r="I10" s="30"/>
      <c r="J10" s="30"/>
      <c r="K10" s="30"/>
      <c r="L10" s="22"/>
    </row>
    <row r="11" spans="1:20" x14ac:dyDescent="0.25">
      <c r="B11" s="26" t="s">
        <v>478</v>
      </c>
      <c r="C11" s="26" t="s">
        <v>479</v>
      </c>
      <c r="D11" s="26" t="s">
        <v>480</v>
      </c>
      <c r="E11" s="26" t="s">
        <v>481</v>
      </c>
      <c r="F11" s="26" t="s">
        <v>481</v>
      </c>
      <c r="I11" s="624"/>
      <c r="K11" s="30"/>
      <c r="L11" s="22"/>
    </row>
    <row r="12" spans="1:20" x14ac:dyDescent="0.25">
      <c r="A12" s="27"/>
      <c r="B12" s="27"/>
      <c r="C12" s="27"/>
      <c r="D12" s="27"/>
      <c r="E12" s="27"/>
      <c r="F12" s="27"/>
      <c r="I12" s="27"/>
    </row>
    <row r="13" spans="1:20" x14ac:dyDescent="0.25">
      <c r="L13" s="27"/>
    </row>
    <row r="14" spans="1:20" ht="18.75" x14ac:dyDescent="0.25">
      <c r="A14" s="340" t="s">
        <v>482</v>
      </c>
      <c r="J14" s="27"/>
    </row>
    <row r="16" spans="1:20" x14ac:dyDescent="0.25">
      <c r="B16" s="625" t="s">
        <v>459</v>
      </c>
      <c r="C16" s="625" t="s">
        <v>460</v>
      </c>
      <c r="D16" s="625" t="s">
        <v>461</v>
      </c>
      <c r="E16" s="625" t="s">
        <v>462</v>
      </c>
      <c r="F16" s="625" t="s">
        <v>463</v>
      </c>
      <c r="G16" s="626" t="s">
        <v>464</v>
      </c>
      <c r="H16" s="626" t="s">
        <v>465</v>
      </c>
      <c r="I16" s="626" t="s">
        <v>466</v>
      </c>
    </row>
    <row r="17" spans="1:13" x14ac:dyDescent="0.25">
      <c r="A17" s="31"/>
      <c r="B17" s="27"/>
      <c r="C17" s="27"/>
      <c r="D17" s="27"/>
      <c r="E17" s="27"/>
      <c r="F17" s="27"/>
      <c r="G17" s="27"/>
      <c r="H17" s="27"/>
      <c r="I17" s="27"/>
    </row>
    <row r="18" spans="1:13" x14ac:dyDescent="0.25">
      <c r="A18" s="31" t="s">
        <v>149</v>
      </c>
      <c r="B18" s="27">
        <f>ROUND(Rates!B29/(1-RI_Margin),0)</f>
        <v>472</v>
      </c>
      <c r="C18" s="27">
        <f>ROUND(Rates!C29/(1-RI_Margin),0)</f>
        <v>390</v>
      </c>
      <c r="D18" s="27">
        <f>ROUND(Rates!D29/(1-RI_Margin),0)</f>
        <v>280</v>
      </c>
      <c r="E18" s="27">
        <f>ROUND(Rates!E29/(1-RI_Margin),0)</f>
        <v>299</v>
      </c>
      <c r="F18" s="27">
        <f>ROUND(Rates!F29/(1-RI_Margin),0)</f>
        <v>222</v>
      </c>
      <c r="G18" s="27">
        <f>ROUND(Rates!R29/(1-RI_Margin),0)</f>
        <v>559</v>
      </c>
      <c r="H18" s="27">
        <f>ROUND(Rates!S29/(1-RI_Margin),0)</f>
        <v>458</v>
      </c>
      <c r="I18" s="27">
        <f>ROUND(Rates!T29/(1-RI_Margin),0)</f>
        <v>345</v>
      </c>
    </row>
    <row r="19" spans="1:13" x14ac:dyDescent="0.25">
      <c r="A19" s="31" t="s">
        <v>151</v>
      </c>
      <c r="B19" s="27">
        <f>ROUND(Rates!B30/(1-RI_Margin),0)</f>
        <v>170</v>
      </c>
      <c r="C19" s="27">
        <f>ROUND(Rates!C30/(1-RI_Margin),0)</f>
        <v>170</v>
      </c>
      <c r="D19" s="27">
        <f>ROUND(Rates!D30/(1-RI_Margin),0)</f>
        <v>113</v>
      </c>
      <c r="E19" s="27">
        <f>ROUND(Rates!E30/(1-RI_Margin),0)</f>
        <v>113</v>
      </c>
      <c r="F19" s="27">
        <f>ROUND(Rates!F30/(1-RI_Margin),0)</f>
        <v>85</v>
      </c>
      <c r="G19" s="27">
        <f>ROUND(Rates!R30/(1-RI_Margin),0)</f>
        <v>180</v>
      </c>
      <c r="H19" s="27">
        <f>ROUND(Rates!S30/(1-RI_Margin),0)</f>
        <v>127</v>
      </c>
      <c r="I19" s="27">
        <f>ROUND(Rates!T30/(1-RI_Margin),0)</f>
        <v>95</v>
      </c>
    </row>
    <row r="20" spans="1:13" x14ac:dyDescent="0.25">
      <c r="A20" s="31" t="s">
        <v>483</v>
      </c>
      <c r="B20" s="27">
        <f>ROUND(Rates!B31/(1-RI_Margin),0)</f>
        <v>0</v>
      </c>
      <c r="C20" s="27">
        <f>ROUND(Rates!C31/(1-RI_Margin),0)</f>
        <v>0</v>
      </c>
      <c r="D20" s="27">
        <f>ROUND(Rates!D31/(1-RI_Margin),0)</f>
        <v>0</v>
      </c>
      <c r="E20" s="27">
        <f>ROUND(Rates!E31/(1-RI_Margin),0)</f>
        <v>0</v>
      </c>
      <c r="F20" s="27">
        <f>ROUND(Rates!F31/(1-RI_Margin),0)</f>
        <v>0</v>
      </c>
      <c r="G20" s="27">
        <f>ROUND(Rates!R31/(1-RI_Margin),0)</f>
        <v>0</v>
      </c>
      <c r="H20" s="27">
        <f>ROUND(Rates!S31/(1-RI_Margin),0)</f>
        <v>0</v>
      </c>
      <c r="I20" s="27">
        <f>ROUND(Rates!T31/(1-RI_Margin),0)</f>
        <v>0</v>
      </c>
    </row>
    <row r="22" spans="1:13" x14ac:dyDescent="0.25">
      <c r="A22" s="31" t="s">
        <v>484</v>
      </c>
      <c r="B22" s="28" t="s">
        <v>485</v>
      </c>
      <c r="C22" s="28" t="s">
        <v>486</v>
      </c>
      <c r="D22" s="28" t="s">
        <v>487</v>
      </c>
      <c r="E22" s="28" t="s">
        <v>488</v>
      </c>
      <c r="F22" s="28" t="s">
        <v>489</v>
      </c>
      <c r="G22" s="28" t="s">
        <v>490</v>
      </c>
      <c r="H22" s="304" t="s">
        <v>491</v>
      </c>
      <c r="I22" s="304" t="s">
        <v>492</v>
      </c>
      <c r="J22" s="304" t="s">
        <v>493</v>
      </c>
      <c r="K22" s="304" t="s">
        <v>494</v>
      </c>
      <c r="L22" s="304" t="s">
        <v>495</v>
      </c>
      <c r="M22" s="304" t="s">
        <v>496</v>
      </c>
    </row>
    <row r="23" spans="1:13" x14ac:dyDescent="0.25">
      <c r="A23" s="31" t="s">
        <v>149</v>
      </c>
      <c r="B23" s="27">
        <f>IF(Inputs!C39="Enhanced",1,0)</f>
        <v>0</v>
      </c>
      <c r="C23" s="27">
        <f>IF(Inputs!E39="Enhanced",1,0)</f>
        <v>0</v>
      </c>
      <c r="D23" s="27">
        <f>IF(Inputs!G39="Enhanced",1,0)</f>
        <v>0</v>
      </c>
      <c r="E23" s="27">
        <f>IF(Inputs!F39="Enhanced",1,0)</f>
        <v>0</v>
      </c>
      <c r="F23" s="27">
        <f>IF(Inputs!H39="Enhanced",1,0)</f>
        <v>0</v>
      </c>
      <c r="G23" s="27">
        <f>IF(Inputs!J39="Enhanced",1,0)</f>
        <v>0</v>
      </c>
      <c r="H23" s="27">
        <f>IF(Inputs!C58="covered",1,0)</f>
        <v>0</v>
      </c>
      <c r="I23" s="27">
        <f>IF(Inputs!E58="covered",1,0)</f>
        <v>0</v>
      </c>
      <c r="J23" s="27">
        <f>IF(Inputs!G58="covered",1,0)</f>
        <v>0</v>
      </c>
      <c r="K23" s="27">
        <f>IF(Inputs!F58="covered",1,0)</f>
        <v>0</v>
      </c>
      <c r="L23" s="27">
        <f>IF(Inputs!H58="covered",1,0)</f>
        <v>0</v>
      </c>
      <c r="M23" s="27">
        <f>IF(Inputs!J58="covered",1,0)</f>
        <v>0</v>
      </c>
    </row>
    <row r="24" spans="1:13" x14ac:dyDescent="0.25">
      <c r="A24" s="31" t="s">
        <v>151</v>
      </c>
      <c r="B24" s="27">
        <f>IF(Inputs!C40="covered",1,0)</f>
        <v>0</v>
      </c>
      <c r="C24" s="27">
        <f>IF(Inputs!E40="covered",1,0)</f>
        <v>0</v>
      </c>
      <c r="D24" s="27">
        <f>IF(Inputs!G40="covered",1,0)</f>
        <v>0</v>
      </c>
      <c r="E24" s="27">
        <f>IF(Inputs!F40="covered",1,0)</f>
        <v>0</v>
      </c>
      <c r="F24" s="27">
        <f>IF(Inputs!H40="covered",1,0)</f>
        <v>0</v>
      </c>
      <c r="G24" s="27">
        <f>IF(Inputs!J40="covered",1,0)</f>
        <v>0</v>
      </c>
      <c r="H24" s="27">
        <f>IF(Inputs!C59="covered",1,0)</f>
        <v>0</v>
      </c>
      <c r="I24" s="27">
        <f>IF(Inputs!E59="covered",1,0)</f>
        <v>0</v>
      </c>
      <c r="J24" s="27">
        <f>IF(Inputs!G59="covered",1,0)</f>
        <v>0</v>
      </c>
      <c r="K24" s="27">
        <f>IF(Inputs!F59="covered",1,0)</f>
        <v>0</v>
      </c>
      <c r="L24" s="27">
        <f>IF(Inputs!H59="covered",1,0)</f>
        <v>0</v>
      </c>
      <c r="M24" s="27">
        <f>IF(Inputs!J59="covered",1,0)</f>
        <v>0</v>
      </c>
    </row>
    <row r="25" spans="1:13" x14ac:dyDescent="0.25">
      <c r="A25" s="31" t="s">
        <v>483</v>
      </c>
      <c r="B25" s="27">
        <f>IF(Inputs!C41="covered",1,0)</f>
        <v>0</v>
      </c>
      <c r="C25" s="27">
        <f>IF(Inputs!E41="covered",1,0)</f>
        <v>0</v>
      </c>
      <c r="D25" s="27">
        <f>IF(Inputs!G41="covered",1,0)</f>
        <v>0</v>
      </c>
      <c r="E25" s="27">
        <f>IF(Inputs!F41="covered",1,0)</f>
        <v>0</v>
      </c>
      <c r="F25" s="27">
        <f>IF(Inputs!H41="covered",1,0)</f>
        <v>0</v>
      </c>
      <c r="G25" s="27">
        <f>IF(Inputs!J41="covered",1,0)</f>
        <v>0</v>
      </c>
      <c r="H25" s="27">
        <f>IF(Inputs!C60="covered",1,0)</f>
        <v>0</v>
      </c>
      <c r="I25" s="27">
        <f>IF(Inputs!E60="covered",1,0)</f>
        <v>0</v>
      </c>
      <c r="J25" s="27">
        <f>IF(Inputs!G60="covered",1,0)</f>
        <v>0</v>
      </c>
      <c r="K25" s="27">
        <f>IF(Inputs!F60="covered",1,0)</f>
        <v>0</v>
      </c>
      <c r="L25" s="27">
        <f>IF(Inputs!H60="covered",1,0)</f>
        <v>0</v>
      </c>
      <c r="M25" s="27">
        <f>IF(Inputs!J60="covered",1,0)</f>
        <v>0</v>
      </c>
    </row>
    <row r="27" spans="1:13" x14ac:dyDescent="0.25">
      <c r="A27" s="305" t="s">
        <v>153</v>
      </c>
      <c r="B27" s="641" t="s">
        <v>170</v>
      </c>
      <c r="C27" s="641" t="s">
        <v>174</v>
      </c>
    </row>
    <row r="28" spans="1:13" x14ac:dyDescent="0.25">
      <c r="A28" s="53" t="s">
        <v>76</v>
      </c>
      <c r="B28" s="27">
        <f>ROUND(HLOOKUP(A28,Rates!$B$33:$N$34,2,FALSE)/(1-RI_Margin),0)</f>
        <v>3649</v>
      </c>
      <c r="C28" s="27">
        <f>ROUND(HLOOKUP(A28,Rates!$R$33:$Z$34,2,FALSE)/(1-RI_Margin),0)</f>
        <v>5448</v>
      </c>
      <c r="D28" t="s">
        <v>497</v>
      </c>
    </row>
    <row r="29" spans="1:13" x14ac:dyDescent="0.25">
      <c r="A29" s="23" t="s">
        <v>77</v>
      </c>
      <c r="B29" s="27">
        <f>ROUND(HLOOKUP(A29,Rates!$B$33:$N$34,2,FALSE)/(1-RI_Margin),0)</f>
        <v>3066</v>
      </c>
      <c r="C29" s="27">
        <f>ROUND(HLOOKUP(A29,Rates!$R$33:$Z$34,2,FALSE)/(1-RI_Margin),0)</f>
        <v>4129</v>
      </c>
      <c r="D29" t="s">
        <v>498</v>
      </c>
    </row>
    <row r="30" spans="1:13" x14ac:dyDescent="0.25">
      <c r="A30" s="53" t="s">
        <v>200</v>
      </c>
      <c r="B30" s="27">
        <f>ROUND(HLOOKUP(A30,Rates!$B$33:$N$34,2,FALSE)/(1-RI_Margin),0)</f>
        <v>2333</v>
      </c>
      <c r="C30" s="27" t="e">
        <f>ROUND(HLOOKUP(A30,Rates!$R$33:$Z$34,2,FALSE)/(1-RI_Margin),0)</f>
        <v>#N/A</v>
      </c>
      <c r="D30" t="s">
        <v>499</v>
      </c>
    </row>
    <row r="31" spans="1:13" x14ac:dyDescent="0.25">
      <c r="A31" s="23" t="s">
        <v>199</v>
      </c>
      <c r="B31" s="27">
        <f>ROUND(HLOOKUP(A31,Rates!$B$33:$N$34,2,FALSE)/(1-RI_Margin),0)</f>
        <v>2122</v>
      </c>
      <c r="C31" s="27">
        <f>ROUND(HLOOKUP(A31,Rates!$R$33:$Z$34,2,FALSE)/(1-RI_Margin),0)</f>
        <v>3574</v>
      </c>
      <c r="D31" t="s">
        <v>500</v>
      </c>
    </row>
    <row r="32" spans="1:13" x14ac:dyDescent="0.25">
      <c r="A32" s="23" t="s">
        <v>78</v>
      </c>
      <c r="B32" s="27">
        <f>ROUND(HLOOKUP(A32,Rates!$B$33:$N$34,2,FALSE)/(1-RI_Margin),0)</f>
        <v>2059</v>
      </c>
      <c r="C32" s="27">
        <f>ROUND(HLOOKUP(A32,Rates!$R$33:$Z$34,2,FALSE)/(1-RI_Margin),0)</f>
        <v>2554</v>
      </c>
      <c r="D32" t="s">
        <v>501</v>
      </c>
      <c r="K32" s="20"/>
    </row>
    <row r="33" spans="1:9" x14ac:dyDescent="0.25">
      <c r="A33" s="53" t="s">
        <v>212</v>
      </c>
      <c r="B33" s="27">
        <f>ROUND(HLOOKUP(A33,Rates!$B$33:$N$34,2,FALSE)/(1-RI_Margin),0)</f>
        <v>1174</v>
      </c>
      <c r="C33" s="27">
        <f>ROUND(HLOOKUP(A33,Rates!$R$33:$Z$34,2,FALSE)/(1-RI_Margin),0)</f>
        <v>1716</v>
      </c>
      <c r="D33" t="s">
        <v>501</v>
      </c>
      <c r="E33" s="226"/>
    </row>
    <row r="34" spans="1:9" x14ac:dyDescent="0.25">
      <c r="A34" s="53" t="s">
        <v>232</v>
      </c>
      <c r="B34" s="27">
        <f>ROUND(HLOOKUP(A34,Rates!$B$33:$N$34,2,FALSE)/(1-RI_Margin),0)</f>
        <v>1174</v>
      </c>
      <c r="C34" s="27">
        <f>ROUND(HLOOKUP(A34,Rates!$R$33:$Z$34,2,FALSE)/(1-RI_Margin),0)</f>
        <v>1716</v>
      </c>
      <c r="D34" t="s">
        <v>501</v>
      </c>
    </row>
    <row r="35" spans="1:9" x14ac:dyDescent="0.25">
      <c r="A35" s="601" t="s">
        <v>209</v>
      </c>
      <c r="B35" s="27">
        <f>ROUND(HLOOKUP(A35,Rates!$B$33:$N$34,2,FALSE)/(1-RI_Margin),0)</f>
        <v>3123</v>
      </c>
      <c r="C35" s="27" t="e">
        <f>ROUND(HLOOKUP(A35,Rates!$R$33:$Z$34,2,FALSE)/(1-RI_Margin),0)</f>
        <v>#N/A</v>
      </c>
      <c r="D35" t="s">
        <v>497</v>
      </c>
    </row>
    <row r="36" spans="1:9" x14ac:dyDescent="0.25">
      <c r="A36" s="601" t="s">
        <v>218</v>
      </c>
      <c r="B36" s="27">
        <f>ROUND(HLOOKUP(A36,Rates!$B$33:$N$34,2,FALSE)/(1-RI_Margin),0)</f>
        <v>2773</v>
      </c>
      <c r="C36" s="27" t="e">
        <f>ROUND(HLOOKUP(A36,Rates!$R$33:$Z$34,2,FALSE)/(1-RI_Margin),0)</f>
        <v>#N/A</v>
      </c>
      <c r="D36" t="s">
        <v>498</v>
      </c>
      <c r="F36" t="b">
        <f>A36=G36</f>
        <v>0</v>
      </c>
      <c r="G36" t="s">
        <v>215</v>
      </c>
    </row>
    <row r="37" spans="1:9" x14ac:dyDescent="0.25">
      <c r="A37" s="601" t="s">
        <v>210</v>
      </c>
      <c r="B37" s="27">
        <f>ROUND(HLOOKUP(A37,Rates!$B$33:$N$34,2,FALSE)/(1-RI_Margin),0)</f>
        <v>2688</v>
      </c>
      <c r="C37" s="27">
        <f>ROUND(HLOOKUP(A37,Rates!$R$33:$Z$34,2,FALSE)/(1-RI_Margin),0)</f>
        <v>3908</v>
      </c>
      <c r="D37" t="s">
        <v>498</v>
      </c>
    </row>
    <row r="38" spans="1:9" x14ac:dyDescent="0.25">
      <c r="A38" s="601" t="s">
        <v>219</v>
      </c>
      <c r="B38" s="27">
        <f>ROUND(HLOOKUP(A38,Rates!$B$33:$N$34,2,FALSE)/(1-RI_Margin),0)</f>
        <v>2248</v>
      </c>
      <c r="C38" s="27" t="e">
        <f>ROUND(HLOOKUP(A38,Rates!$R$33:$Z$34,2,FALSE)/(1-RI_Margin),0)</f>
        <v>#N/A</v>
      </c>
      <c r="D38" t="s">
        <v>499</v>
      </c>
    </row>
    <row r="39" spans="1:9" x14ac:dyDescent="0.25">
      <c r="A39" s="601" t="s">
        <v>211</v>
      </c>
      <c r="B39" s="27">
        <f>ROUND(HLOOKUP(A39,Rates!$B$33:$N$34,2,FALSE)/(1-RI_Margin),0)</f>
        <v>2096</v>
      </c>
      <c r="C39" s="27">
        <f>ROUND(HLOOKUP(A39,Rates!$R$33:$Z$34,2,FALSE)/(1-RI_Margin),0)</f>
        <v>3194</v>
      </c>
      <c r="D39" t="s">
        <v>500</v>
      </c>
      <c r="G39" s="20"/>
      <c r="H39" s="227"/>
      <c r="I39" s="227"/>
    </row>
    <row r="40" spans="1:9" x14ac:dyDescent="0.25">
      <c r="A40" s="601" t="s">
        <v>220</v>
      </c>
      <c r="B40" s="27">
        <f>ROUND(HLOOKUP(A40,Rates!$B$33:$N$34,2,FALSE)/(1-RI_Margin),0)</f>
        <v>1705</v>
      </c>
      <c r="C40" s="27" t="e">
        <f>ROUND(HLOOKUP(A40,Rates!$R$33:$Z$34,2,FALSE)/(1-RI_Margin),0)</f>
        <v>#N/A</v>
      </c>
      <c r="D40" t="s">
        <v>501</v>
      </c>
    </row>
    <row r="41" spans="1:9" x14ac:dyDescent="0.25">
      <c r="A41" s="601" t="s">
        <v>237</v>
      </c>
      <c r="B41" s="27" t="e">
        <f>ROUND(HLOOKUP(A41,Rates!$B$33:$N$34,2,FALSE)/(1-RI_Margin),0)</f>
        <v>#N/A</v>
      </c>
      <c r="C41" s="27">
        <f>ROUND(HLOOKUP(A41,Rates!$R$33:$Z$34,2,FALSE)/(1-RI_Margin),0)</f>
        <v>2226</v>
      </c>
      <c r="D41" t="s">
        <v>501</v>
      </c>
    </row>
    <row r="44" spans="1:9" x14ac:dyDescent="0.25">
      <c r="A44" s="601" t="s">
        <v>502</v>
      </c>
      <c r="B44" s="643">
        <f>(18+19)*(1+VAT)</f>
        <v>38.85</v>
      </c>
    </row>
    <row r="45" spans="1:9" ht="22.5" customHeight="1" x14ac:dyDescent="0.25">
      <c r="A45" s="601" t="s">
        <v>503</v>
      </c>
      <c r="B45" s="643">
        <f>24*(1+VAT)</f>
        <v>25.200000000000003</v>
      </c>
    </row>
    <row r="47" spans="1:9" x14ac:dyDescent="0.25">
      <c r="A47" s="305"/>
      <c r="B47" s="26"/>
      <c r="C47" s="26"/>
    </row>
    <row r="48" spans="1:9" x14ac:dyDescent="0.25">
      <c r="A48" s="305"/>
      <c r="B48" s="27"/>
      <c r="C48" s="27"/>
    </row>
    <row r="49" spans="1:3" x14ac:dyDescent="0.25">
      <c r="A49" s="305"/>
      <c r="B49" s="27"/>
      <c r="C49" s="27"/>
    </row>
    <row r="50" spans="1:3" x14ac:dyDescent="0.25">
      <c r="A50" s="305"/>
      <c r="B50" s="27"/>
      <c r="C50" s="27"/>
    </row>
    <row r="51" spans="1:3" x14ac:dyDescent="0.25">
      <c r="A51" s="305"/>
      <c r="B51" s="27"/>
      <c r="C51" s="27"/>
    </row>
    <row r="52" spans="1:3" x14ac:dyDescent="0.25">
      <c r="A52" s="305"/>
      <c r="B52" s="27"/>
      <c r="C52" s="27"/>
    </row>
  </sheetData>
  <conditionalFormatting sqref="B23:M25">
    <cfRule type="colorScale" priority="79">
      <colorScale>
        <cfvo type="min"/>
        <cfvo type="percentile" val="50"/>
        <cfvo type="max"/>
        <color rgb="FFF8696B"/>
        <color rgb="FFFFEB84"/>
        <color rgb="FF63BE7B"/>
      </colorScale>
    </cfRule>
  </conditionalFormatting>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7" tint="-0.249977111117893"/>
  </sheetPr>
  <dimension ref="A3:AS47"/>
  <sheetViews>
    <sheetView workbookViewId="0"/>
  </sheetViews>
  <sheetFormatPr defaultColWidth="9.140625" defaultRowHeight="15" x14ac:dyDescent="0.25"/>
  <cols>
    <col min="1" max="1" width="12.7109375" style="20" customWidth="1"/>
    <col min="2" max="2" width="16" style="20" customWidth="1"/>
    <col min="3" max="3" width="9.140625" style="20"/>
    <col min="4" max="4" width="10.42578125" style="20" customWidth="1"/>
    <col min="5" max="5" width="10.28515625" style="20" customWidth="1"/>
    <col min="6" max="6" width="9.5703125" style="20" customWidth="1"/>
    <col min="7" max="7" width="9.7109375" style="20" customWidth="1"/>
    <col min="8" max="8" width="9.140625" style="20" customWidth="1"/>
    <col min="9" max="9" width="9.140625" style="20"/>
    <col min="10" max="10" width="10.140625" style="20" bestFit="1" customWidth="1"/>
    <col min="11" max="11" width="9.140625" style="20" customWidth="1"/>
    <col min="12" max="13" width="10.140625" style="20" bestFit="1" customWidth="1"/>
    <col min="14" max="14" width="9.140625" style="20" customWidth="1"/>
    <col min="15" max="22" width="9.140625" style="20"/>
    <col min="23" max="23" width="10.5703125" style="20" bestFit="1" customWidth="1"/>
    <col min="24" max="41" width="9.140625" style="20"/>
    <col min="42" max="42" width="9.140625" style="20" customWidth="1"/>
    <col min="43" max="16384" width="9.140625" style="20"/>
  </cols>
  <sheetData>
    <row r="3" spans="1:45" x14ac:dyDescent="0.25">
      <c r="A3" s="32"/>
      <c r="B3" s="32"/>
      <c r="C3" s="787" t="s">
        <v>504</v>
      </c>
      <c r="D3" s="788"/>
      <c r="E3" s="788"/>
      <c r="F3" s="788"/>
      <c r="G3" s="788"/>
      <c r="H3" s="789"/>
      <c r="I3" s="787" t="s">
        <v>505</v>
      </c>
      <c r="J3" s="788"/>
      <c r="K3" s="788"/>
      <c r="L3" s="788"/>
      <c r="M3" s="788"/>
      <c r="N3" s="789"/>
      <c r="R3" s="786" t="s">
        <v>506</v>
      </c>
      <c r="S3" s="786"/>
      <c r="T3" s="786"/>
      <c r="U3" s="786"/>
      <c r="V3" s="787" t="s">
        <v>505</v>
      </c>
      <c r="W3" s="788"/>
      <c r="X3" s="789"/>
      <c r="Y3" s="32"/>
      <c r="Z3" s="32"/>
      <c r="AA3" s="786" t="s">
        <v>506</v>
      </c>
      <c r="AB3" s="786"/>
      <c r="AC3" s="786"/>
      <c r="AD3" s="786"/>
      <c r="AE3" s="787" t="s">
        <v>505</v>
      </c>
      <c r="AF3" s="788"/>
      <c r="AG3" s="789"/>
      <c r="AK3" s="786" t="s">
        <v>507</v>
      </c>
      <c r="AL3" s="786"/>
      <c r="AM3" s="786"/>
      <c r="AN3" s="786"/>
      <c r="AO3" s="787" t="s">
        <v>505</v>
      </c>
      <c r="AP3" s="788"/>
      <c r="AQ3" s="789"/>
      <c r="AR3" s="32"/>
      <c r="AS3" s="32"/>
    </row>
    <row r="4" spans="1:45" x14ac:dyDescent="0.25">
      <c r="A4" s="33"/>
      <c r="B4" s="34" t="s">
        <v>508</v>
      </c>
      <c r="C4" s="790" t="s">
        <v>170</v>
      </c>
      <c r="D4" s="791"/>
      <c r="E4" s="792"/>
      <c r="F4" s="796" t="s">
        <v>174</v>
      </c>
      <c r="G4" s="791"/>
      <c r="H4" s="792"/>
      <c r="I4" s="790" t="s">
        <v>170</v>
      </c>
      <c r="J4" s="791"/>
      <c r="K4" s="792"/>
      <c r="L4" s="796" t="s">
        <v>174</v>
      </c>
      <c r="M4" s="791"/>
      <c r="N4" s="792"/>
      <c r="R4" s="20" t="s">
        <v>165</v>
      </c>
      <c r="S4" s="796" t="s">
        <v>174</v>
      </c>
      <c r="T4" s="791"/>
      <c r="U4" s="792"/>
      <c r="V4" s="796" t="s">
        <v>174</v>
      </c>
      <c r="W4" s="791"/>
      <c r="X4" s="792"/>
      <c r="AA4" s="20" t="s">
        <v>166</v>
      </c>
      <c r="AB4" s="796" t="s">
        <v>174</v>
      </c>
      <c r="AC4" s="791"/>
      <c r="AD4" s="792"/>
      <c r="AE4" s="796" t="s">
        <v>174</v>
      </c>
      <c r="AF4" s="791"/>
      <c r="AG4" s="792"/>
      <c r="AK4" s="20" t="s">
        <v>509</v>
      </c>
      <c r="AL4" s="790" t="s">
        <v>170</v>
      </c>
      <c r="AM4" s="791"/>
      <c r="AN4" s="792"/>
      <c r="AO4" s="790" t="s">
        <v>170</v>
      </c>
      <c r="AP4" s="791"/>
      <c r="AQ4" s="792"/>
    </row>
    <row r="5" spans="1:45" x14ac:dyDescent="0.25">
      <c r="A5" s="35" t="s">
        <v>184</v>
      </c>
      <c r="B5" s="36" t="s">
        <v>510</v>
      </c>
      <c r="C5" s="37" t="s">
        <v>169</v>
      </c>
      <c r="D5" s="38" t="s">
        <v>68</v>
      </c>
      <c r="E5" s="39" t="s">
        <v>153</v>
      </c>
      <c r="F5" s="40" t="s">
        <v>169</v>
      </c>
      <c r="G5" s="38" t="s">
        <v>68</v>
      </c>
      <c r="H5" s="39" t="s">
        <v>153</v>
      </c>
      <c r="I5" s="37" t="s">
        <v>169</v>
      </c>
      <c r="J5" s="38" t="s">
        <v>68</v>
      </c>
      <c r="K5" s="39" t="s">
        <v>153</v>
      </c>
      <c r="L5" s="40" t="s">
        <v>169</v>
      </c>
      <c r="M5" s="38" t="s">
        <v>68</v>
      </c>
      <c r="N5" s="39" t="s">
        <v>153</v>
      </c>
      <c r="R5" s="36" t="s">
        <v>510</v>
      </c>
      <c r="S5" s="40" t="s">
        <v>169</v>
      </c>
      <c r="T5" s="38" t="s">
        <v>68</v>
      </c>
      <c r="U5" s="39" t="s">
        <v>153</v>
      </c>
      <c r="V5" s="40" t="s">
        <v>169</v>
      </c>
      <c r="W5" s="38" t="s">
        <v>68</v>
      </c>
      <c r="X5" s="39" t="s">
        <v>153</v>
      </c>
      <c r="AA5" s="36" t="s">
        <v>510</v>
      </c>
      <c r="AB5" s="40" t="s">
        <v>169</v>
      </c>
      <c r="AC5" s="38" t="s">
        <v>68</v>
      </c>
      <c r="AD5" s="39"/>
      <c r="AE5" s="40" t="s">
        <v>169</v>
      </c>
      <c r="AF5" s="38" t="s">
        <v>68</v>
      </c>
      <c r="AG5" s="39"/>
      <c r="AK5" s="36" t="s">
        <v>510</v>
      </c>
      <c r="AL5" s="40" t="s">
        <v>169</v>
      </c>
      <c r="AM5" s="38" t="s">
        <v>68</v>
      </c>
      <c r="AN5" s="39" t="s">
        <v>153</v>
      </c>
      <c r="AO5" s="40" t="s">
        <v>169</v>
      </c>
      <c r="AP5" s="38" t="s">
        <v>68</v>
      </c>
      <c r="AQ5" s="39" t="s">
        <v>153</v>
      </c>
    </row>
    <row r="6" spans="1:45" x14ac:dyDescent="0.25">
      <c r="A6" s="793" t="s">
        <v>63</v>
      </c>
      <c r="B6" s="41" t="str">
        <f>'Inputs Mapping'!V17</f>
        <v>0 - 17</v>
      </c>
      <c r="C6" s="42">
        <f>COUNTIFS('Census Data'!$AJ$6:$AJ$205,Computation!$B6,'Census Data'!$F$6:$F$205,Computation!$A$6,'Census Data'!$AE$6:$AE$205,Computation!$C$4,'Census Data'!$AA$6:$AA$205,Computation!C$5)</f>
        <v>0</v>
      </c>
      <c r="D6" s="43">
        <f>COUNTIFS('Census Data'!$AJ$6:$AJ$205,Computation!$B6,'Census Data'!$F$6:$F$205,Computation!$A$6,'Census Data'!$AE$6:$AE$205,Computation!$C$4,'Census Data'!$AA$6:$AA$205,Computation!D$5)</f>
        <v>0</v>
      </c>
      <c r="E6" s="43">
        <f>COUNTIFS('Census Data'!$AJ:$AJ,Computation!$B6,'Census Data'!$F:$F,Computation!$A$6,'Census Data'!$AE:$AE,Computation!C$4,'Census Data'!$AK:$AK,1)</f>
        <v>0</v>
      </c>
      <c r="F6" s="42">
        <f>COUNTIFS('Census Data'!$AJ$6:$AJ$205,Computation!$B6,'Census Data'!$F$6:$F$205,Computation!$A$6,'Census Data'!$AE$6:$AE$205,Computation!$F$4,'Census Data'!$AA$6:$AA$205,Computation!F$5)</f>
        <v>0</v>
      </c>
      <c r="G6" s="43">
        <f>COUNTIFS('Census Data'!$AJ$6:$AJ$205,Computation!$B6,'Census Data'!$F$6:$F$205,Computation!$A$6,'Census Data'!$AE$6:$AE$205,Computation!$F$4,'Census Data'!$AA$6:$AA$205,Computation!G$5)</f>
        <v>0</v>
      </c>
      <c r="H6" s="44">
        <f>COUNTIFS('Census Data'!$AJ:$AJ,Computation!$B6,'Census Data'!$F:$F,Computation!$A$6,'Census Data'!$AE:$AE,Computation!F$4,'Census Data'!$AK:$AK,1)</f>
        <v>0</v>
      </c>
      <c r="I6" s="42">
        <f>SUMIFS('Census Data'!$AY$6:$AY$205,'Census Data'!$AJ$6:$AJ$205,Computation!$B6,'Census Data'!$F$6:$F$205,Computation!$A$6,'Census Data'!$AE$6:$AE$205,Computation!$I$4,'Census Data'!$AA$6:$AA$205,Computation!I$5)</f>
        <v>0</v>
      </c>
      <c r="J6" s="43">
        <f>SUMIFS('Census Data'!$AY$6:$AY$205,'Census Data'!$AJ$6:$AJ$205,Computation!$B6,'Census Data'!$F$6:$F$205,Computation!$A$6,'Census Data'!$AE$6:$AE$205,Computation!$I$4,'Census Data'!$AA$6:$AA$205,Computation!J$5)</f>
        <v>0</v>
      </c>
      <c r="K6" s="44">
        <f>SUMIFS('Census Data'!$AV:$AV,'Census Data'!$AJ:$AJ,Computation!$B6,'Census Data'!$F:$F,Computation!$A$6,'Census Data'!$AE:$AE,Computation!I$4,'Census Data'!$AK:$AK,1)</f>
        <v>0</v>
      </c>
      <c r="L6" s="42">
        <f>SUMIFS('Census Data'!$AY$6:$AY$205,'Census Data'!$AJ$6:$AJ$205,Computation!$B6,'Census Data'!$F$6:$F$205,Computation!$A$6,'Census Data'!$AE$6:$AE$205,Computation!$L$4,'Census Data'!$AA$6:$AA$205,Computation!L$5)</f>
        <v>0</v>
      </c>
      <c r="M6" s="43">
        <f>SUMIFS('Census Data'!$AY$6:$AY$205,'Census Data'!$AJ$6:$AJ$205,Computation!$B6,'Census Data'!$F$6:$F$205,Computation!$A$6,'Census Data'!$AE$6:$AE$205,Computation!$L$4,'Census Data'!$AA$6:$AA$205,Computation!M$5)</f>
        <v>0</v>
      </c>
      <c r="N6" s="44">
        <f>SUMIFS('Census Data'!$AV:$AV,'Census Data'!$AJ:$AJ,Computation!$B6,'Census Data'!$F:$F,Computation!$A$6,'Census Data'!$AE:$AE,Computation!L$4,'Census Data'!$AK:$AK,1)</f>
        <v>0</v>
      </c>
      <c r="Q6" s="30"/>
      <c r="R6" s="20" t="s">
        <v>278</v>
      </c>
      <c r="S6" s="20">
        <f>COUNTIFS('Census Data'!$AI$6:$AI$205,Computation!$R6,'Census Data'!$F$6:$F$205,Computation!$A$6,'Census Data'!$AE$6:$AE$205,Computation!S$4,'Census Data'!$AA$6:$AA$205,Computation!S$5,'Census Data'!$H$6:$H$205,$R$4)</f>
        <v>0</v>
      </c>
      <c r="T6" s="20">
        <f>COUNTIFS('Census Data'!$AI:$AI,Computation!$R6,'Census Data'!$F:$F,Computation!$A$6,'Census Data'!$AE:$AE,Computation!S$4,'Census Data'!$AA:$AA,Computation!T$5,'Census Data'!$H:$H,Computation!R$4)</f>
        <v>0</v>
      </c>
      <c r="U6" s="20">
        <f>COUNTIFS('Census Data'!$AI:$AI,Computation!$R6,'Census Data'!$F:$F,Computation!$A$6,'Census Data'!$AE:$AE,Computation!S$4,'Census Data'!$AK:$AK,1)</f>
        <v>0</v>
      </c>
      <c r="V6" s="20">
        <f>SUMIFS('Census Data'!$AY$6:$AY$205,'Census Data'!$AI$6:$AI$205,Computation!$R6,'Census Data'!$F$6:$F$205,Computation!$A$6,'Census Data'!$AE$6:$AE$205,Computation!$V$4,'Census Data'!$AA$6:$AA$205,Computation!V$5,'Census Data'!$H$6:$H$205,$R$4)</f>
        <v>0</v>
      </c>
      <c r="W6" s="20">
        <f>SUMIFS('Census Data'!$AY$6:$AY$205,'Census Data'!$AI$6:$AI$205,Computation!$R6,'Census Data'!$F$6:$F$205,Computation!$A$6,'Census Data'!$AE$6:$AE$205,Computation!$V$4,'Census Data'!$AA$6:$AA$205,Computation!W$5,'Census Data'!$H$6:$H$205,Computation!R$4)</f>
        <v>0</v>
      </c>
      <c r="X6" s="20">
        <f>SUMIFS('Census Data'!$AV:$AV,'Census Data'!$AI:$AI,Computation!$R6,'Census Data'!$F:$F,Computation!$A$6,'Census Data'!$AE:$AE,Computation!L$4,'Census Data'!$AK:$AK,1)</f>
        <v>0</v>
      </c>
      <c r="AA6" s="20" t="s">
        <v>278</v>
      </c>
      <c r="AB6" s="20">
        <f>COUNTIFS('Census Data'!$AI$6:$AI$205,Computation!$R6,'Census Data'!$F$6:$F$205,Computation!$A$6,'Census Data'!$AE$6:$AE$205,Computation!AB$4,'Census Data'!$AA$6:$AA$205,Computation!AB$5,'Census Data'!$H$6:$H$205,$AA$4)</f>
        <v>0</v>
      </c>
      <c r="AC6" s="20">
        <f>COUNTIFS('Census Data'!$AI:$AI,Computation!$R6,'Census Data'!$F:$F,Computation!$A$6,'Census Data'!$AE:$AE,Computation!AB$4,'Census Data'!$AA:$AA,Computation!AC$5,'Census Data'!$H:$H,Computation!AA$4)</f>
        <v>0</v>
      </c>
      <c r="AE6" s="20">
        <f>SUMIFS('Census Data'!$AY$6:$AY$205,'Census Data'!$AI$6:$AI$205,Computation!$R6,'Census Data'!$F$6:$F$205,Computation!$A$6,'Census Data'!$AE$6:$AE$205,Computation!$V$4,'Census Data'!$AA$6:$AA$205,Computation!AE$5,'Census Data'!$H$6:$H$205,$AA$4)</f>
        <v>0</v>
      </c>
      <c r="AF6" s="20">
        <f>SUMIFS('Census Data'!$AY$6:$AY$205,'Census Data'!$AI$6:$AI$205,Computation!$R6,'Census Data'!$F$6:$F$205,Computation!$A$6,'Census Data'!$AE$6:$AE$205,Computation!$V$4,'Census Data'!$AA$6:$AA$205,Computation!AF$5,'Census Data'!$H$6:$H$205,Computation!AA$4)</f>
        <v>0</v>
      </c>
      <c r="AK6" s="20" t="s">
        <v>278</v>
      </c>
      <c r="AL6" s="20">
        <f>COUNTIFS('Census Data'!$AI$6:$AI$205,Computation!$AK6,'Census Data'!$F$6:$F$205,Computation!$A$6,'Census Data'!$AE$6:$AE$205,Computation!$C$4,'Census Data'!$AA$6:$AA$205,Computation!C$5)</f>
        <v>0</v>
      </c>
      <c r="AM6" s="20">
        <f>COUNTIFS('Census Data'!$AI$6:$AI$205,Computation!$AK6,'Census Data'!$F$6:$F$205,Computation!$A$6,'Census Data'!$AE$6:$AE$205,Computation!$C$4,'Census Data'!$AA$6:$AA$205,Computation!D$5)</f>
        <v>0</v>
      </c>
      <c r="AN6" s="20">
        <f>COUNTIFS('Census Data'!$AI:$AI,Computation!$AK6,'Census Data'!$F:$F,Computation!$A$6,'Census Data'!$AE:$AE,Computation!C$4,'Census Data'!$AK:$AK,1)</f>
        <v>0</v>
      </c>
      <c r="AO6" s="20">
        <f>SUMIFS('Census Data'!$AY$6:$AY$205,'Census Data'!$AI$6:$AI$205,Computation!$AK6,'Census Data'!$F$6:$F$205,Computation!$A$6,'Census Data'!$AE$6:$AE$205,Computation!$I$4,'Census Data'!$AA$6:$AA$205,Computation!I$5)</f>
        <v>0</v>
      </c>
      <c r="AP6" s="20">
        <f>SUMIFS('Census Data'!$AY$6:$AY$205,'Census Data'!$AI$6:$AI$205,Computation!$AK6,'Census Data'!$F$6:$F$205,Computation!$A$6,'Census Data'!$AE$6:$AE$205,Computation!$I$4,'Census Data'!$AA$6:$AA$205,Computation!J$5)</f>
        <v>0</v>
      </c>
      <c r="AQ6" s="20">
        <f>SUMIFS('Census Data'!$AV:$AV,'Census Data'!$AI:$AI,Computation!$AK6,'Census Data'!$F:$F,Computation!$A$6,'Census Data'!$AE:$AE,Computation!I$4,'Census Data'!$AK:$AK,1)</f>
        <v>0</v>
      </c>
    </row>
    <row r="7" spans="1:45" x14ac:dyDescent="0.25">
      <c r="A7" s="794"/>
      <c r="B7" s="45" t="str">
        <f>'Inputs Mapping'!V18</f>
        <v>18 - 35</v>
      </c>
      <c r="C7" s="46">
        <f>COUNTIFS('Census Data'!$AJ$6:$AJ$205,Computation!$B7,'Census Data'!$F$6:$F$205,Computation!$A$6,'Census Data'!$AE$6:$AE$205,Computation!$C$4,'Census Data'!$AA$6:$AA$205,Computation!C$5)</f>
        <v>0</v>
      </c>
      <c r="D7" s="47">
        <f>COUNTIFS('Census Data'!$AJ$6:$AJ$205,Computation!$B7,'Census Data'!$F$6:$F$205,Computation!$A$6,'Census Data'!$AE$6:$AE$205,Computation!$C$4,'Census Data'!$AA$6:$AA$205,Computation!D$5)</f>
        <v>0</v>
      </c>
      <c r="E7" s="48">
        <f>COUNTIFS('Census Data'!$AJ:$AJ,Computation!$B7,'Census Data'!$F:$F,Computation!$A$6,'Census Data'!$AE:$AE,Computation!C$4,'Census Data'!$AK:$AK,1)</f>
        <v>0</v>
      </c>
      <c r="F7" s="46">
        <f>COUNTIFS('Census Data'!$AJ$6:$AJ$205,Computation!$B7,'Census Data'!$F$6:$F$205,Computation!$A$6,'Census Data'!$AE$6:$AE$205,Computation!$F$4,'Census Data'!$AA$6:$AA$205,Computation!F$5)</f>
        <v>0</v>
      </c>
      <c r="G7" s="47">
        <f>COUNTIFS('Census Data'!$AJ$6:$AJ$205,Computation!$B7,'Census Data'!$F$6:$F$205,Computation!$A$6,'Census Data'!$AE$6:$AE$205,Computation!$F$4,'Census Data'!$AA$6:$AA$205,Computation!G$5)</f>
        <v>0</v>
      </c>
      <c r="H7" s="48">
        <f>COUNTIFS('Census Data'!$AJ:$AJ,Computation!$B7,'Census Data'!$F:$F,Computation!$A$6,'Census Data'!$AE:$AE,Computation!F$4,'Census Data'!$AK:$AK,1)</f>
        <v>0</v>
      </c>
      <c r="I7" s="46">
        <f>SUMIFS('Census Data'!$AY$6:$AY$205,'Census Data'!$AJ$6:$AJ$205,Computation!$B7,'Census Data'!$F$6:$F$205,Computation!$A$6,'Census Data'!$AE$6:$AE$205,Computation!$I$4,'Census Data'!$AA$6:$AA$205,Computation!I$5)</f>
        <v>0</v>
      </c>
      <c r="J7" s="47">
        <f>SUMIFS('Census Data'!$AY$6:$AY$205,'Census Data'!$AJ$6:$AJ$205,Computation!$B7,'Census Data'!$F$6:$F$205,Computation!$A$6,'Census Data'!$AE$6:$AE$205,Computation!$I$4,'Census Data'!$AA$6:$AA$205,Computation!J$5)</f>
        <v>0</v>
      </c>
      <c r="K7" s="48">
        <f>SUMIFS('Census Data'!$AV:$AV,'Census Data'!$AJ:$AJ,Computation!$B7,'Census Data'!$F:$F,Computation!$A$6,'Census Data'!$AE:$AE,Computation!I$4,'Census Data'!$AK:$AK,1)</f>
        <v>0</v>
      </c>
      <c r="L7" s="46">
        <f>SUMIFS('Census Data'!$AY$6:$AY$205,'Census Data'!$AJ$6:$AJ$205,Computation!$B7,'Census Data'!$F$6:$F$205,Computation!$A$6,'Census Data'!$AE$6:$AE$205,Computation!$L$4,'Census Data'!$AA$6:$AA$205,Computation!L$5)</f>
        <v>0</v>
      </c>
      <c r="M7" s="47">
        <f>SUMIFS('Census Data'!$AY$6:$AY$205,'Census Data'!$AJ$6:$AJ$205,Computation!$B7,'Census Data'!$F$6:$F$205,Computation!$A$6,'Census Data'!$AE$6:$AE$205,Computation!$L$4,'Census Data'!$AA$6:$AA$205,Computation!M$5)</f>
        <v>0</v>
      </c>
      <c r="N7" s="48">
        <f>SUMIFS('Census Data'!$AV:$AV,'Census Data'!$AJ:$AJ,Computation!$B7,'Census Data'!$F:$F,Computation!$A$6,'Census Data'!$AE:$AE,Computation!L$4,'Census Data'!$AK:$AK,1)</f>
        <v>0</v>
      </c>
      <c r="R7" s="20" t="s">
        <v>280</v>
      </c>
      <c r="S7" s="20">
        <f>COUNTIFS('Census Data'!$AI$6:$AI$205,Computation!$R7,'Census Data'!$F$6:$F$205,Computation!$A$6,'Census Data'!$AE$6:$AE$205,Computation!S$4,'Census Data'!$AA$6:$AA$205,Computation!S$5,'Census Data'!$H$6:$H$205,$R$4)</f>
        <v>0</v>
      </c>
      <c r="T7" s="20">
        <f>COUNTIFS('Census Data'!$AI:$AI,Computation!$R7,'Census Data'!$F:$F,Computation!$A$6,'Census Data'!$AE:$AE,Computation!S$4,'Census Data'!$AA:$AA,Computation!T$5,'Census Data'!$H:$H,Computation!R$4)</f>
        <v>0</v>
      </c>
      <c r="U7" s="20">
        <f>COUNTIFS('Census Data'!$AI:$AI,Computation!$R7,'Census Data'!$F:$F,Computation!$A$6,'Census Data'!$AE:$AE,Computation!F$4,'Census Data'!$AK:$AK,1)</f>
        <v>0</v>
      </c>
      <c r="V7" s="20">
        <f>SUMIFS('Census Data'!$AY$6:$AY$205,'Census Data'!$AI$6:$AI$205,Computation!$R7,'Census Data'!$F$6:$F$205,Computation!$A$6,'Census Data'!$AE$6:$AE$205,Computation!$V$4,'Census Data'!$AA$6:$AA$205,Computation!V$5,'Census Data'!$H$6:$H$205,$R$4)</f>
        <v>0</v>
      </c>
      <c r="W7" s="20">
        <f>SUMIFS('Census Data'!$AY$6:$AY$205,'Census Data'!$AI$6:$AI$205,Computation!$R7,'Census Data'!$F$6:$F$205,Computation!$A$6,'Census Data'!$AE$6:$AE$205,Computation!$V$4,'Census Data'!$AA$6:$AA$205,Computation!W$5,'Census Data'!$H$6:$H$205,Computation!R$4)</f>
        <v>0</v>
      </c>
      <c r="X7" s="20">
        <f>SUMIFS('Census Data'!$AV:$AV,'Census Data'!$AI:$AI,Computation!$R7,'Census Data'!$F:$F,Computation!$A$6,'Census Data'!$AE:$AE,Computation!L$4,'Census Data'!$AK:$AK,1)</f>
        <v>0</v>
      </c>
      <c r="AA7" s="20" t="s">
        <v>280</v>
      </c>
      <c r="AB7" s="20">
        <f>COUNTIFS('Census Data'!$AI$6:$AI$205,Computation!$R7,'Census Data'!$F$6:$F$205,Computation!$A$6,'Census Data'!$AE$6:$AE$205,Computation!AB$4,'Census Data'!$AA$6:$AA$205,Computation!AB$5,'Census Data'!$H$6:$H$205,$AA$4)</f>
        <v>0</v>
      </c>
      <c r="AC7" s="20">
        <f>COUNTIFS('Census Data'!$AI:$AI,Computation!$R7,'Census Data'!$F:$F,Computation!$A$6,'Census Data'!$AE:$AE,Computation!AB$4,'Census Data'!$AA:$AA,Computation!AC$5,'Census Data'!$H:$H,Computation!AA$4)</f>
        <v>0</v>
      </c>
      <c r="AE7" s="20">
        <f>SUMIFS('Census Data'!$AY$6:$AY$205,'Census Data'!$AI$6:$AI$205,Computation!$R7,'Census Data'!$F$6:$F$205,Computation!$A$6,'Census Data'!$AE$6:$AE$205,Computation!$V$4,'Census Data'!$AA$6:$AA$205,Computation!AE$5,'Census Data'!$H$6:$H$205,$AA$4)</f>
        <v>0</v>
      </c>
      <c r="AF7" s="20">
        <f>SUMIFS('Census Data'!$AY$6:$AY$205,'Census Data'!$AI$6:$AI$205,Computation!$R7,'Census Data'!$F$6:$F$205,Computation!$A$6,'Census Data'!$AE$6:$AE$205,Computation!$V$4,'Census Data'!$AA$6:$AA$205,Computation!AF$5,'Census Data'!$H$6:$H$205,Computation!AA$4)</f>
        <v>0</v>
      </c>
      <c r="AK7" s="20" t="s">
        <v>280</v>
      </c>
      <c r="AL7" s="20">
        <f>COUNTIFS('Census Data'!$AI$6:$AI$205,Computation!$AK7,'Census Data'!$F$6:$F$205,Computation!$A$6,'Census Data'!$AE$6:$AE$205,Computation!$C$4,'Census Data'!$AA$6:$AA$205,Computation!C$5)</f>
        <v>0</v>
      </c>
      <c r="AM7" s="20">
        <f>COUNTIFS('Census Data'!$AI$6:$AI$205,Computation!$AK7,'Census Data'!$F$6:$F$205,Computation!$A$6,'Census Data'!$AE$6:$AE$205,Computation!$C$4,'Census Data'!$AA$6:$AA$205,Computation!D$5)</f>
        <v>0</v>
      </c>
      <c r="AN7" s="20">
        <f>COUNTIFS('Census Data'!$AI:$AI,Computation!$AK7,'Census Data'!$F:$F,Computation!$A$6,'Census Data'!$AE:$AE,Computation!C$4,'Census Data'!$AK:$AK,1)</f>
        <v>0</v>
      </c>
      <c r="AO7" s="20">
        <f>SUMIFS('Census Data'!$AY$6:$AY$205,'Census Data'!$AI$6:$AI$205,Computation!$AK7,'Census Data'!$F$6:$F$205,Computation!$A$6,'Census Data'!$AE$6:$AE$205,Computation!$I$4,'Census Data'!$AA$6:$AA$205,Computation!I$5)</f>
        <v>0</v>
      </c>
      <c r="AP7" s="20">
        <f>SUMIFS('Census Data'!$AY$6:$AY$205,'Census Data'!$AI$6:$AI$205,Computation!$AK7,'Census Data'!$F$6:$F$205,Computation!$A$6,'Census Data'!$AE$6:$AE$205,Computation!$I$4,'Census Data'!$AA$6:$AA$205,Computation!J$5)</f>
        <v>0</v>
      </c>
      <c r="AQ7" s="20">
        <f>SUMIFS('Census Data'!$AV:$AV,'Census Data'!$AI:$AI,Computation!$AK7,'Census Data'!$F:$F,Computation!$A$6,'Census Data'!$AE:$AE,Computation!I$4,'Census Data'!$AK:$AK,1)</f>
        <v>0</v>
      </c>
    </row>
    <row r="8" spans="1:45" x14ac:dyDescent="0.25">
      <c r="A8" s="794"/>
      <c r="B8" s="45" t="str">
        <f>'Inputs Mapping'!V19</f>
        <v>36 - 45</v>
      </c>
      <c r="C8" s="46">
        <f>COUNTIFS('Census Data'!$AJ$6:$AJ$205,Computation!$B8,'Census Data'!$F$6:$F$205,Computation!$A$6,'Census Data'!$AE$6:$AE$205,Computation!$C$4,'Census Data'!$AA$6:$AA$205,Computation!C$5)</f>
        <v>0</v>
      </c>
      <c r="D8" s="47">
        <f>COUNTIFS('Census Data'!$AJ$6:$AJ$205,Computation!$B8,'Census Data'!$F$6:$F$205,Computation!$A$6,'Census Data'!$AE$6:$AE$205,Computation!$C$4,'Census Data'!$AA$6:$AA$205,Computation!D$5)</f>
        <v>0</v>
      </c>
      <c r="E8" s="48">
        <f>COUNTIFS('Census Data'!$AJ:$AJ,Computation!$B8,'Census Data'!$F:$F,Computation!$A$6,'Census Data'!$AE:$AE,Computation!C$4,'Census Data'!$AK:$AK,1)</f>
        <v>0</v>
      </c>
      <c r="F8" s="46">
        <f>COUNTIFS('Census Data'!$AJ$6:$AJ$205,Computation!$B8,'Census Data'!$F$6:$F$205,Computation!$A$6,'Census Data'!$AE$6:$AE$205,Computation!$F$4,'Census Data'!$AA$6:$AA$205,Computation!F$5)</f>
        <v>0</v>
      </c>
      <c r="G8" s="47">
        <f>COUNTIFS('Census Data'!$AJ$6:$AJ$205,Computation!$B8,'Census Data'!$F$6:$F$205,Computation!$A$6,'Census Data'!$AE$6:$AE$205,Computation!$F$4,'Census Data'!$AA$6:$AA$205,Computation!G$5)</f>
        <v>0</v>
      </c>
      <c r="H8" s="48">
        <f>COUNTIFS('Census Data'!$AJ:$AJ,Computation!$B8,'Census Data'!$F:$F,Computation!$A$6,'Census Data'!$AE:$AE,Computation!F$4,'Census Data'!$AK:$AK,1)</f>
        <v>0</v>
      </c>
      <c r="I8" s="46">
        <f>SUMIFS('Census Data'!$AY$6:$AY$205,'Census Data'!$AJ$6:$AJ$205,Computation!$B8,'Census Data'!$F$6:$F$205,Computation!$A$6,'Census Data'!$AE$6:$AE$205,Computation!$I$4,'Census Data'!$AA$6:$AA$205,Computation!I$5)</f>
        <v>0</v>
      </c>
      <c r="J8" s="47">
        <f>SUMIFS('Census Data'!$AY$6:$AY$205,'Census Data'!$AJ$6:$AJ$205,Computation!$B8,'Census Data'!$F$6:$F$205,Computation!$A$6,'Census Data'!$AE$6:$AE$205,Computation!$I$4,'Census Data'!$AA$6:$AA$205,Computation!J$5)</f>
        <v>0</v>
      </c>
      <c r="K8" s="48">
        <f>SUMIFS('Census Data'!$AV:$AV,'Census Data'!$AJ:$AJ,Computation!$B8,'Census Data'!$F:$F,Computation!$A$6,'Census Data'!$AE:$AE,Computation!I$4,'Census Data'!$AK:$AK,1)</f>
        <v>0</v>
      </c>
      <c r="L8" s="46">
        <f>SUMIFS('Census Data'!$AY$6:$AY$205,'Census Data'!$AJ$6:$AJ$205,Computation!$B8,'Census Data'!$F$6:$F$205,Computation!$A$6,'Census Data'!$AE$6:$AE$205,Computation!$L$4,'Census Data'!$AA$6:$AA$205,Computation!L$5)</f>
        <v>0</v>
      </c>
      <c r="M8" s="47">
        <f>SUMIFS('Census Data'!$AY$6:$AY$205,'Census Data'!$AJ$6:$AJ$205,Computation!$B8,'Census Data'!$F$6:$F$205,Computation!$A$6,'Census Data'!$AE$6:$AE$205,Computation!$L$4,'Census Data'!$AA$6:$AA$205,Computation!M$5)</f>
        <v>0</v>
      </c>
      <c r="N8" s="48">
        <f>SUMIFS('Census Data'!$AV:$AV,'Census Data'!$AJ:$AJ,Computation!$B8,'Census Data'!$F:$F,Computation!$A$6,'Census Data'!$AE:$AE,Computation!L$4,'Census Data'!$AK:$AK,1)</f>
        <v>0</v>
      </c>
      <c r="R8" s="20" t="s">
        <v>282</v>
      </c>
      <c r="S8" s="20">
        <f>COUNTIFS('Census Data'!$AI$6:$AI$205,Computation!$R8,'Census Data'!$F$6:$F$205,Computation!$A$6,'Census Data'!$AE$6:$AE$205,Computation!S$4,'Census Data'!$AA$6:$AA$205,Computation!S$5,'Census Data'!$H$6:$H$205,$R$4)</f>
        <v>0</v>
      </c>
      <c r="T8" s="20">
        <f>COUNTIFS('Census Data'!$AI:$AI,Computation!$R8,'Census Data'!$F:$F,Computation!$A$6,'Census Data'!$AE:$AE,Computation!S$4,'Census Data'!$AA:$AA,Computation!T$5,'Census Data'!$H:$H,Computation!R$4)</f>
        <v>0</v>
      </c>
      <c r="U8" s="20">
        <f>COUNTIFS('Census Data'!$AI:$AI,Computation!$R8,'Census Data'!$F:$F,Computation!$A$6,'Census Data'!$AE:$AE,Computation!S$4,'Census Data'!$AK:$AK,1)</f>
        <v>0</v>
      </c>
      <c r="V8" s="20">
        <f>SUMIFS('Census Data'!$AY$6:$AY$205,'Census Data'!$AI$6:$AI$205,Computation!$R8,'Census Data'!$F$6:$F$205,Computation!$A$6,'Census Data'!$AE$6:$AE$205,Computation!$V$4,'Census Data'!$AA$6:$AA$205,Computation!V$5,'Census Data'!$H$6:$H$205,$R$4)</f>
        <v>0</v>
      </c>
      <c r="W8" s="20">
        <f>SUMIFS('Census Data'!$AY$6:$AY$205,'Census Data'!$AI$6:$AI$205,Computation!$R8,'Census Data'!$F$6:$F$205,Computation!$A$6,'Census Data'!$AE$6:$AE$205,Computation!$V$4,'Census Data'!$AA$6:$AA$205,Computation!W$5,'Census Data'!$H$6:$H$205,Computation!R$4)</f>
        <v>0</v>
      </c>
      <c r="X8" s="20">
        <f>SUMIFS('Census Data'!$AV:$AV,'Census Data'!$AI:$AI,Computation!$R8,'Census Data'!$F:$F,Computation!$A$6,'Census Data'!$AE:$AE,Computation!L$4,'Census Data'!$AK:$AK,1)</f>
        <v>0</v>
      </c>
      <c r="AA8" s="20" t="s">
        <v>282</v>
      </c>
      <c r="AB8" s="20">
        <f>COUNTIFS('Census Data'!$AI$6:$AI$205,Computation!$R8,'Census Data'!$F$6:$F$205,Computation!$A$6,'Census Data'!$AE$6:$AE$205,Computation!AB$4,'Census Data'!$AA$6:$AA$205,Computation!AB$5,'Census Data'!$H$6:$H$205,$AA$4)</f>
        <v>0</v>
      </c>
      <c r="AC8" s="20">
        <f>COUNTIFS('Census Data'!$AI:$AI,Computation!$R8,'Census Data'!$F:$F,Computation!$A$6,'Census Data'!$AE:$AE,Computation!AB$4,'Census Data'!$AA:$AA,Computation!AC$5,'Census Data'!$H:$H,Computation!AA$4)</f>
        <v>0</v>
      </c>
      <c r="AE8" s="20">
        <f>SUMIFS('Census Data'!$AY$6:$AY$205,'Census Data'!$AI$6:$AI$205,Computation!$R8,'Census Data'!$F$6:$F$205,Computation!$A$6,'Census Data'!$AE$6:$AE$205,Computation!$V$4,'Census Data'!$AA$6:$AA$205,Computation!AE$5,'Census Data'!$H$6:$H$205,$AA$4)</f>
        <v>0</v>
      </c>
      <c r="AF8" s="20">
        <f>SUMIFS('Census Data'!$AY$6:$AY$205,'Census Data'!$AI$6:$AI$205,Computation!$R8,'Census Data'!$F$6:$F$205,Computation!$A$6,'Census Data'!$AE$6:$AE$205,Computation!$V$4,'Census Data'!$AA$6:$AA$205,Computation!AF$5,'Census Data'!$H$6:$H$205,Computation!AA$4)</f>
        <v>0</v>
      </c>
      <c r="AK8" s="20" t="s">
        <v>282</v>
      </c>
      <c r="AL8" s="20">
        <f>COUNTIFS('Census Data'!$AI$6:$AI$205,Computation!$AK8,'Census Data'!$F$6:$F$205,Computation!$A$6,'Census Data'!$AE$6:$AE$205,Computation!$C$4,'Census Data'!$AA$6:$AA$205,Computation!C$5)</f>
        <v>0</v>
      </c>
      <c r="AM8" s="20">
        <f>COUNTIFS('Census Data'!$AI$6:$AI$205,Computation!$AK8,'Census Data'!$F$6:$F$205,Computation!$A$6,'Census Data'!$AE$6:$AE$205,Computation!$C$4,'Census Data'!$AA$6:$AA$205,Computation!D$5)</f>
        <v>0</v>
      </c>
      <c r="AN8" s="20">
        <f>COUNTIFS('Census Data'!$AI:$AI,Computation!$AK8,'Census Data'!$F:$F,Computation!$A$6,'Census Data'!$AE:$AE,Computation!C$4,'Census Data'!$AK:$AK,1)</f>
        <v>0</v>
      </c>
      <c r="AO8" s="20">
        <f>SUMIFS('Census Data'!$AY$6:$AY$205,'Census Data'!$AI$6:$AI$205,Computation!$AK8,'Census Data'!$F$6:$F$205,Computation!$A$6,'Census Data'!$AE$6:$AE$205,Computation!$I$4,'Census Data'!$AA$6:$AA$205,Computation!I$5)</f>
        <v>0</v>
      </c>
      <c r="AP8" s="20">
        <f>SUMIFS('Census Data'!$AY$6:$AY$205,'Census Data'!$AI$6:$AI$205,Computation!$AK8,'Census Data'!$F$6:$F$205,Computation!$A$6,'Census Data'!$AE$6:$AE$205,Computation!$I$4,'Census Data'!$AA$6:$AA$205,Computation!J$5)</f>
        <v>0</v>
      </c>
      <c r="AQ8" s="20">
        <f>SUMIFS('Census Data'!$AV:$AV,'Census Data'!$AI:$AI,Computation!$AK8,'Census Data'!$F:$F,Computation!$A$6,'Census Data'!$AE:$AE,Computation!I$4,'Census Data'!$AK:$AK,1)</f>
        <v>0</v>
      </c>
    </row>
    <row r="9" spans="1:45" x14ac:dyDescent="0.25">
      <c r="A9" s="794"/>
      <c r="B9" s="45" t="str">
        <f>'Inputs Mapping'!V20</f>
        <v>46 - 55</v>
      </c>
      <c r="C9" s="46">
        <f>COUNTIFS('Census Data'!$AJ$6:$AJ$205,Computation!$B9,'Census Data'!$F$6:$F$205,Computation!$A$6,'Census Data'!$AE$6:$AE$205,Computation!$C$4,'Census Data'!$AA$6:$AA$205,Computation!C$5)</f>
        <v>0</v>
      </c>
      <c r="D9" s="47">
        <f>COUNTIFS('Census Data'!$AJ$6:$AJ$205,Computation!$B9,'Census Data'!$F$6:$F$205,Computation!$A$6,'Census Data'!$AE$6:$AE$205,Computation!$C$4,'Census Data'!$AA$6:$AA$205,Computation!D$5)</f>
        <v>0</v>
      </c>
      <c r="E9" s="48">
        <f>COUNTIFS('Census Data'!$AJ:$AJ,Computation!$B9,'Census Data'!$F:$F,Computation!$A$6,'Census Data'!$AE:$AE,Computation!C$4,'Census Data'!$AK:$AK,1)</f>
        <v>0</v>
      </c>
      <c r="F9" s="46">
        <f>COUNTIFS('Census Data'!$AJ$6:$AJ$205,Computation!$B9,'Census Data'!$F$6:$F$205,Computation!$A$6,'Census Data'!$AE$6:$AE$205,Computation!$F$4,'Census Data'!$AA$6:$AA$205,Computation!F$5)</f>
        <v>0</v>
      </c>
      <c r="G9" s="47">
        <f>COUNTIFS('Census Data'!$AJ$6:$AJ$205,Computation!$B9,'Census Data'!$F$6:$F$205,Computation!$A$6,'Census Data'!$AE$6:$AE$205,Computation!$F$4,'Census Data'!$AA$6:$AA$205,Computation!G$5)</f>
        <v>0</v>
      </c>
      <c r="H9" s="48">
        <f>COUNTIFS('Census Data'!$AJ:$AJ,Computation!$B9,'Census Data'!$F:$F,Computation!$A$6,'Census Data'!$AE:$AE,Computation!F$4,'Census Data'!$AK:$AK,1)</f>
        <v>0</v>
      </c>
      <c r="I9" s="46">
        <f>SUMIFS('Census Data'!$AY$6:$AY$205,'Census Data'!$AJ$6:$AJ$205,Computation!$B9,'Census Data'!$F$6:$F$205,Computation!$A$6,'Census Data'!$AE$6:$AE$205,Computation!$I$4,'Census Data'!$AA$6:$AA$205,Computation!I$5)</f>
        <v>0</v>
      </c>
      <c r="J9" s="47">
        <f>SUMIFS('Census Data'!$AY$6:$AY$205,'Census Data'!$AJ$6:$AJ$205,Computation!$B9,'Census Data'!$F$6:$F$205,Computation!$A$6,'Census Data'!$AE$6:$AE$205,Computation!$I$4,'Census Data'!$AA$6:$AA$205,Computation!J$5)</f>
        <v>0</v>
      </c>
      <c r="K9" s="48">
        <f>SUMIFS('Census Data'!$AV:$AV,'Census Data'!$AJ:$AJ,Computation!$B9,'Census Data'!$F:$F,Computation!$A$6,'Census Data'!$AE:$AE,Computation!I$4,'Census Data'!$AK:$AK,1)</f>
        <v>0</v>
      </c>
      <c r="L9" s="46">
        <f>SUMIFS('Census Data'!$AY$6:$AY$205,'Census Data'!$AJ$6:$AJ$205,Computation!$B9,'Census Data'!$F$6:$F$205,Computation!$A$6,'Census Data'!$AE$6:$AE$205,Computation!$L$4,'Census Data'!$AA$6:$AA$205,Computation!L$5)</f>
        <v>0</v>
      </c>
      <c r="M9" s="47">
        <f>SUMIFS('Census Data'!$AY$6:$AY$205,'Census Data'!$AJ$6:$AJ$205,Computation!$B9,'Census Data'!$F$6:$F$205,Computation!$A$6,'Census Data'!$AE$6:$AE$205,Computation!$L$4,'Census Data'!$AA$6:$AA$205,Computation!M$5)</f>
        <v>0</v>
      </c>
      <c r="N9" s="48">
        <f>SUMIFS('Census Data'!$AV:$AV,'Census Data'!$AJ:$AJ,Computation!$B9,'Census Data'!$F:$F,Computation!$A$6,'Census Data'!$AE:$AE,Computation!L$4,'Census Data'!$AK:$AK,1)</f>
        <v>0</v>
      </c>
      <c r="R9" s="20" t="s">
        <v>284</v>
      </c>
      <c r="S9" s="20">
        <f>COUNTIFS('Census Data'!$AI$6:$AI$205,Computation!$R9,'Census Data'!$F$6:$F$205,Computation!$A$6,'Census Data'!$AE$6:$AE$205,Computation!S$4,'Census Data'!$AA$6:$AA$205,Computation!S$5,'Census Data'!$H$6:$H$205,$R$4)</f>
        <v>0</v>
      </c>
      <c r="T9" s="20">
        <f>COUNTIFS('Census Data'!$AI:$AI,Computation!$R9,'Census Data'!$F:$F,Computation!$A$6,'Census Data'!$AE:$AE,Computation!S$4,'Census Data'!$AA:$AA,Computation!T$5,'Census Data'!$H:$H,Computation!R$4)</f>
        <v>0</v>
      </c>
      <c r="U9" s="20">
        <f>COUNTIFS('Census Data'!$AI:$AI,Computation!$R9,'Census Data'!$F:$F,Computation!$A$6,'Census Data'!$AE:$AE,Computation!S$4,'Census Data'!$AK:$AK,1)</f>
        <v>0</v>
      </c>
      <c r="V9" s="20">
        <f>SUMIFS('Census Data'!$AY$6:$AY$205,'Census Data'!$AI$6:$AI$205,Computation!$R9,'Census Data'!$F$6:$F$205,Computation!$A$6,'Census Data'!$AE$6:$AE$205,Computation!$V$4,'Census Data'!$AA$6:$AA$205,Computation!V$5,'Census Data'!$H$6:$H$205,$R$4)</f>
        <v>0</v>
      </c>
      <c r="W9" s="20">
        <f>SUMIFS('Census Data'!$AY$6:$AY$205,'Census Data'!$AI$6:$AI$205,Computation!$R9,'Census Data'!$F$6:$F$205,Computation!$A$6,'Census Data'!$AE$6:$AE$205,Computation!$V$4,'Census Data'!$AA$6:$AA$205,Computation!W$5,'Census Data'!$H$6:$H$205,Computation!R$4)</f>
        <v>0</v>
      </c>
      <c r="X9" s="20">
        <f>SUMIFS('Census Data'!$AV:$AV,'Census Data'!$AI:$AI,Computation!$R9,'Census Data'!$F:$F,Computation!$A$6,'Census Data'!$AE:$AE,Computation!L$4,'Census Data'!$AK:$AK,1)</f>
        <v>0</v>
      </c>
      <c r="AA9" s="20" t="s">
        <v>284</v>
      </c>
      <c r="AB9" s="20">
        <f>COUNTIFS('Census Data'!$AI$6:$AI$205,Computation!$R9,'Census Data'!$F$6:$F$205,Computation!$A$6,'Census Data'!$AE$6:$AE$205,Computation!AB$4,'Census Data'!$AA$6:$AA$205,Computation!AB$5,'Census Data'!$H$6:$H$205,$AA$4)</f>
        <v>0</v>
      </c>
      <c r="AC9" s="20">
        <f>COUNTIFS('Census Data'!$AI:$AI,Computation!$R9,'Census Data'!$F:$F,Computation!$A$6,'Census Data'!$AE:$AE,Computation!AB$4,'Census Data'!$AA:$AA,Computation!AC$5,'Census Data'!$H:$H,Computation!AA$4)</f>
        <v>0</v>
      </c>
      <c r="AE9" s="20">
        <f>SUMIFS('Census Data'!$AY$6:$AY$205,'Census Data'!$AI$6:$AI$205,Computation!$R9,'Census Data'!$F$6:$F$205,Computation!$A$6,'Census Data'!$AE$6:$AE$205,Computation!$V$4,'Census Data'!$AA$6:$AA$205,Computation!AE$5,'Census Data'!$H$6:$H$205,$AA$4)</f>
        <v>0</v>
      </c>
      <c r="AF9" s="20">
        <f>SUMIFS('Census Data'!$AY$6:$AY$205,'Census Data'!$AI$6:$AI$205,Computation!$R9,'Census Data'!$F$6:$F$205,Computation!$A$6,'Census Data'!$AE$6:$AE$205,Computation!$V$4,'Census Data'!$AA$6:$AA$205,Computation!AF$5,'Census Data'!$H$6:$H$205,Computation!AA$4)</f>
        <v>0</v>
      </c>
      <c r="AK9" s="20" t="s">
        <v>284</v>
      </c>
      <c r="AL9" s="20">
        <f>COUNTIFS('Census Data'!$AI$6:$AI$205,Computation!$AK9,'Census Data'!$F$6:$F$205,Computation!$A$6,'Census Data'!$AE$6:$AE$205,Computation!$C$4,'Census Data'!$AA$6:$AA$205,Computation!C$5)</f>
        <v>0</v>
      </c>
      <c r="AM9" s="20">
        <f>COUNTIFS('Census Data'!$AI$6:$AI$205,Computation!$AK9,'Census Data'!$F$6:$F$205,Computation!$A$6,'Census Data'!$AE$6:$AE$205,Computation!$C$4,'Census Data'!$AA$6:$AA$205,Computation!D$5)</f>
        <v>0</v>
      </c>
      <c r="AN9" s="20">
        <f>COUNTIFS('Census Data'!$AI:$AI,Computation!$AK9,'Census Data'!$F:$F,Computation!$A$6,'Census Data'!$AE:$AE,Computation!C$4,'Census Data'!$AK:$AK,1)</f>
        <v>0</v>
      </c>
      <c r="AO9" s="20">
        <f>SUMIFS('Census Data'!$AY$6:$AY$205,'Census Data'!$AI$6:$AI$205,Computation!$AK9,'Census Data'!$F$6:$F$205,Computation!$A$6,'Census Data'!$AE$6:$AE$205,Computation!$I$4,'Census Data'!$AA$6:$AA$205,Computation!I$5)</f>
        <v>0</v>
      </c>
      <c r="AP9" s="20">
        <f>SUMIFS('Census Data'!$AY$6:$AY$205,'Census Data'!$AI$6:$AI$205,Computation!$AK9,'Census Data'!$F$6:$F$205,Computation!$A$6,'Census Data'!$AE$6:$AE$205,Computation!$I$4,'Census Data'!$AA$6:$AA$205,Computation!J$5)</f>
        <v>0</v>
      </c>
      <c r="AQ9" s="20">
        <f>SUMIFS('Census Data'!$AV:$AV,'Census Data'!$AI:$AI,Computation!$AK9,'Census Data'!$F:$F,Computation!$A$6,'Census Data'!$AE:$AE,Computation!I$4,'Census Data'!$AK:$AK,1)</f>
        <v>0</v>
      </c>
    </row>
    <row r="10" spans="1:45" x14ac:dyDescent="0.25">
      <c r="A10" s="794"/>
      <c r="B10" s="45" t="str">
        <f>'Inputs Mapping'!V21</f>
        <v>56 - 60</v>
      </c>
      <c r="C10" s="46">
        <f>COUNTIFS('Census Data'!$AJ$6:$AJ$205,Computation!$B10,'Census Data'!$F$6:$F$205,Computation!$A$6,'Census Data'!$AE$6:$AE$205,Computation!$C$4,'Census Data'!$AA$6:$AA$205,Computation!C$5)</f>
        <v>0</v>
      </c>
      <c r="D10" s="47">
        <f>COUNTIFS('Census Data'!$AJ$6:$AJ$205,Computation!$B10,'Census Data'!$F$6:$F$205,Computation!$A$6,'Census Data'!$AE$6:$AE$205,Computation!$C$4,'Census Data'!$AA$6:$AA$205,Computation!D$5)</f>
        <v>0</v>
      </c>
      <c r="E10" s="48">
        <f>COUNTIFS('Census Data'!$AJ:$AJ,Computation!$B10,'Census Data'!$F:$F,Computation!$A$6,'Census Data'!$AE:$AE,Computation!C$4,'Census Data'!$AK:$AK,1)</f>
        <v>0</v>
      </c>
      <c r="F10" s="46">
        <f>COUNTIFS('Census Data'!$AJ$6:$AJ$205,Computation!$B10,'Census Data'!$F$6:$F$205,Computation!$A$6,'Census Data'!$AE$6:$AE$205,Computation!$F$4,'Census Data'!$AA$6:$AA$205,Computation!F$5)</f>
        <v>0</v>
      </c>
      <c r="G10" s="47">
        <f>COUNTIFS('Census Data'!$AJ$6:$AJ$205,Computation!$B10,'Census Data'!$F$6:$F$205,Computation!$A$6,'Census Data'!$AE$6:$AE$205,Computation!$F$4,'Census Data'!$AA$6:$AA$205,Computation!G$5)</f>
        <v>0</v>
      </c>
      <c r="H10" s="48">
        <f>COUNTIFS('Census Data'!$AJ:$AJ,Computation!$B10,'Census Data'!$F:$F,Computation!$A$6,'Census Data'!$AE:$AE,Computation!F$4,'Census Data'!$AK:$AK,1)</f>
        <v>0</v>
      </c>
      <c r="I10" s="46">
        <f>SUMIFS('Census Data'!$AY$6:$AY$205,'Census Data'!$AJ$6:$AJ$205,Computation!$B10,'Census Data'!$F$6:$F$205,Computation!$A$6,'Census Data'!$AE$6:$AE$205,Computation!$I$4,'Census Data'!$AA$6:$AA$205,Computation!I$5)</f>
        <v>0</v>
      </c>
      <c r="J10" s="47">
        <f>SUMIFS('Census Data'!$AY$6:$AY$205,'Census Data'!$AJ$6:$AJ$205,Computation!$B10,'Census Data'!$F$6:$F$205,Computation!$A$6,'Census Data'!$AE$6:$AE$205,Computation!$I$4,'Census Data'!$AA$6:$AA$205,Computation!J$5)</f>
        <v>0</v>
      </c>
      <c r="K10" s="48">
        <f>SUMIFS('Census Data'!$AV:$AV,'Census Data'!$AJ:$AJ,Computation!$B10,'Census Data'!$F:$F,Computation!$A$6,'Census Data'!$AE:$AE,Computation!I$4,'Census Data'!$AK:$AK,1)</f>
        <v>0</v>
      </c>
      <c r="L10" s="46">
        <f>SUMIFS('Census Data'!$AY$6:$AY$205,'Census Data'!$AJ$6:$AJ$205,Computation!$B10,'Census Data'!$F$6:$F$205,Computation!$A$6,'Census Data'!$AE$6:$AE$205,Computation!$L$4,'Census Data'!$AA$6:$AA$205,Computation!L$5)</f>
        <v>0</v>
      </c>
      <c r="M10" s="47">
        <f>SUMIFS('Census Data'!$AY$6:$AY$205,'Census Data'!$AJ$6:$AJ$205,Computation!$B10,'Census Data'!$F$6:$F$205,Computation!$A$6,'Census Data'!$AE$6:$AE$205,Computation!$L$4,'Census Data'!$AA$6:$AA$205,Computation!M$5)</f>
        <v>0</v>
      </c>
      <c r="N10" s="48">
        <f>SUMIFS('Census Data'!$AV:$AV,'Census Data'!$AJ:$AJ,Computation!$B10,'Census Data'!$F:$F,Computation!$A$6,'Census Data'!$AE:$AE,Computation!L$4,'Census Data'!$AK:$AK,1)</f>
        <v>0</v>
      </c>
    </row>
    <row r="11" spans="1:45" x14ac:dyDescent="0.25">
      <c r="A11" s="794"/>
      <c r="B11" s="45" t="str">
        <f>'Inputs Mapping'!V22</f>
        <v>61 - 65</v>
      </c>
      <c r="C11" s="46">
        <f>COUNTIFS('Census Data'!$AJ$6:$AJ$205,Computation!$B11,'Census Data'!$F$6:$F$205,Computation!$A$6,'Census Data'!$AE$6:$AE$205,Computation!$C$4,'Census Data'!$AA$6:$AA$205,Computation!C$5)</f>
        <v>0</v>
      </c>
      <c r="D11" s="47">
        <f>COUNTIFS('Census Data'!$AJ$6:$AJ$205,Computation!$B11,'Census Data'!$F$6:$F$205,Computation!$A$6,'Census Data'!$AE$6:$AE$205,Computation!$C$4,'Census Data'!$AA$6:$AA$205,Computation!D$5)</f>
        <v>0</v>
      </c>
      <c r="E11" s="48">
        <f>COUNTIFS('Census Data'!$AJ:$AJ,Computation!$B11,'Census Data'!$F:$F,Computation!$A$6,'Census Data'!$AE:$AE,Computation!C$4,'Census Data'!$AK:$AK,1)</f>
        <v>0</v>
      </c>
      <c r="F11" s="46">
        <f>COUNTIFS('Census Data'!$AJ$6:$AJ$205,Computation!$B11,'Census Data'!$F$6:$F$205,Computation!$A$6,'Census Data'!$AE$6:$AE$205,Computation!$F$4,'Census Data'!$AA$6:$AA$205,Computation!F$5)</f>
        <v>0</v>
      </c>
      <c r="G11" s="47">
        <f>COUNTIFS('Census Data'!$AJ$6:$AJ$205,Computation!$B11,'Census Data'!$F$6:$F$205,Computation!$A$6,'Census Data'!$AE$6:$AE$205,Computation!$F$4,'Census Data'!$AA$6:$AA$205,Computation!G$5)</f>
        <v>0</v>
      </c>
      <c r="H11" s="48">
        <f>COUNTIFS('Census Data'!$AJ:$AJ,Computation!$B11,'Census Data'!$F:$F,Computation!$A$6,'Census Data'!$AE:$AE,Computation!F$4,'Census Data'!$AK:$AK,1)</f>
        <v>0</v>
      </c>
      <c r="I11" s="46">
        <f>SUMIFS('Census Data'!$AY$6:$AY$205,'Census Data'!$AJ$6:$AJ$205,Computation!$B11,'Census Data'!$F$6:$F$205,Computation!$A$6,'Census Data'!$AE$6:$AE$205,Computation!$I$4,'Census Data'!$AA$6:$AA$205,Computation!I$5)</f>
        <v>0</v>
      </c>
      <c r="J11" s="47">
        <f>SUMIFS('Census Data'!$AY$6:$AY$205,'Census Data'!$AJ$6:$AJ$205,Computation!$B11,'Census Data'!$F$6:$F$205,Computation!$A$6,'Census Data'!$AE$6:$AE$205,Computation!$I$4,'Census Data'!$AA$6:$AA$205,Computation!J$5)</f>
        <v>0</v>
      </c>
      <c r="K11" s="48">
        <f>SUMIFS('Census Data'!$AV:$AV,'Census Data'!$AJ:$AJ,Computation!$B11,'Census Data'!$F:$F,Computation!$A$6,'Census Data'!$AE:$AE,Computation!I$4,'Census Data'!$AK:$AK,1)</f>
        <v>0</v>
      </c>
      <c r="L11" s="46">
        <f>SUMIFS('Census Data'!$AY$6:$AY$205,'Census Data'!$AJ$6:$AJ$205,Computation!$B11,'Census Data'!$F$6:$F$205,Computation!$A$6,'Census Data'!$AE$6:$AE$205,Computation!$L$4,'Census Data'!$AA$6:$AA$205,Computation!L$5)</f>
        <v>0</v>
      </c>
      <c r="M11" s="47">
        <f>SUMIFS('Census Data'!$AY$6:$AY$205,'Census Data'!$AJ$6:$AJ$205,Computation!$B11,'Census Data'!$F$6:$F$205,Computation!$A$6,'Census Data'!$AE$6:$AE$205,Computation!$L$4,'Census Data'!$AA$6:$AA$205,Computation!M$5)</f>
        <v>0</v>
      </c>
      <c r="N11" s="48">
        <f>SUMIFS('Census Data'!$AV:$AV,'Census Data'!$AJ:$AJ,Computation!$B11,'Census Data'!$F:$F,Computation!$A$6,'Census Data'!$AE:$AE,Computation!L$4,'Census Data'!$AK:$AK,1)</f>
        <v>0</v>
      </c>
    </row>
    <row r="12" spans="1:45" x14ac:dyDescent="0.25">
      <c r="A12" s="794"/>
      <c r="B12" s="45" t="str">
        <f>'Inputs Mapping'!V23</f>
        <v>66 - 69</v>
      </c>
      <c r="C12" s="46">
        <f>COUNTIFS('Census Data'!$AJ$6:$AJ$205,Computation!$B12,'Census Data'!$F$6:$F$205,Computation!$A$6,'Census Data'!$AE$6:$AE$205,Computation!$C$4,'Census Data'!$AA$6:$AA$205,Computation!C$5)</f>
        <v>0</v>
      </c>
      <c r="D12" s="47">
        <f>COUNTIFS('Census Data'!$AJ$6:$AJ$205,Computation!$B12,'Census Data'!$F$6:$F$205,Computation!$A$6,'Census Data'!$AE$6:$AE$205,Computation!$C$4,'Census Data'!$AA$6:$AA$205,Computation!D$5)</f>
        <v>0</v>
      </c>
      <c r="E12" s="48">
        <f>COUNTIFS('Census Data'!$AJ:$AJ,Computation!$B12,'Census Data'!$F:$F,Computation!$A$6,'Census Data'!$AE:$AE,Computation!C$4,'Census Data'!$AK:$AK,1)</f>
        <v>0</v>
      </c>
      <c r="F12" s="46">
        <f>COUNTIFS('Census Data'!$AJ$6:$AJ$205,Computation!$B12,'Census Data'!$F$6:$F$205,Computation!$A$6,'Census Data'!$AE$6:$AE$205,Computation!$F$4,'Census Data'!$AA$6:$AA$205,Computation!F$5)</f>
        <v>0</v>
      </c>
      <c r="G12" s="47">
        <f>COUNTIFS('Census Data'!$AJ$6:$AJ$205,Computation!$B12,'Census Data'!$F$6:$F$205,Computation!$A$6,'Census Data'!$AE$6:$AE$205,Computation!$F$4,'Census Data'!$AA$6:$AA$205,Computation!G$5)</f>
        <v>0</v>
      </c>
      <c r="H12" s="48">
        <f>COUNTIFS('Census Data'!$AJ:$AJ,Computation!$B12,'Census Data'!$F:$F,Computation!$A$6,'Census Data'!$AE:$AE,Computation!F$4,'Census Data'!$AK:$AK,1)</f>
        <v>0</v>
      </c>
      <c r="I12" s="46">
        <f>SUMIFS('Census Data'!$AY$6:$AY$205,'Census Data'!$AJ$6:$AJ$205,Computation!$B12,'Census Data'!$F$6:$F$205,Computation!$A$6,'Census Data'!$AE$6:$AE$205,Computation!$I$4,'Census Data'!$AA$6:$AA$205,Computation!I$5)</f>
        <v>0</v>
      </c>
      <c r="J12" s="47">
        <f>SUMIFS('Census Data'!$AY$6:$AY$205,'Census Data'!$AJ$6:$AJ$205,Computation!$B12,'Census Data'!$F$6:$F$205,Computation!$A$6,'Census Data'!$AE$6:$AE$205,Computation!$I$4,'Census Data'!$AA$6:$AA$205,Computation!J$5)</f>
        <v>0</v>
      </c>
      <c r="K12" s="48">
        <f>SUMIFS('Census Data'!$AV:$AV,'Census Data'!$AJ:$AJ,Computation!$B12,'Census Data'!$F:$F,Computation!$A$6,'Census Data'!$AE:$AE,Computation!I$4,'Census Data'!$AK:$AK,1)</f>
        <v>0</v>
      </c>
      <c r="L12" s="46">
        <f>SUMIFS('Census Data'!$AY$6:$AY$205,'Census Data'!$AJ$6:$AJ$205,Computation!$B12,'Census Data'!$F$6:$F$205,Computation!$A$6,'Census Data'!$AE$6:$AE$205,Computation!$L$4,'Census Data'!$AA$6:$AA$205,Computation!L$5)</f>
        <v>0</v>
      </c>
      <c r="M12" s="47">
        <f>SUMIFS('Census Data'!$AY$6:$AY$205,'Census Data'!$AJ$6:$AJ$205,Computation!$B12,'Census Data'!$F$6:$F$205,Computation!$A$6,'Census Data'!$AE$6:$AE$205,Computation!$L$4,'Census Data'!$AA$6:$AA$205,Computation!M$5)</f>
        <v>0</v>
      </c>
      <c r="N12" s="48">
        <f>SUMIFS('Census Data'!$AV:$AV,'Census Data'!$AJ:$AJ,Computation!$B12,'Census Data'!$F:$F,Computation!$A$6,'Census Data'!$AE:$AE,Computation!L$4,'Census Data'!$AK:$AK,1)</f>
        <v>0</v>
      </c>
    </row>
    <row r="13" spans="1:45" x14ac:dyDescent="0.25">
      <c r="A13" s="793" t="s">
        <v>64</v>
      </c>
      <c r="B13" s="41" t="str">
        <f t="shared" ref="B13:B47" si="0">B6</f>
        <v>0 - 17</v>
      </c>
      <c r="C13" s="46">
        <f>COUNTIFS('Census Data'!$AJ$6:$AJ$205,Computation!$B13,'Census Data'!$F$6:$F$205,Computation!$A$13,'Census Data'!$AE$6:$AE$205,Computation!$C$4,'Census Data'!$AA$6:$AA$205,Computation!C$5)</f>
        <v>0</v>
      </c>
      <c r="D13" s="43">
        <f>COUNTIFS('Census Data'!$AJ$6:$AJ$205,Computation!$B13,'Census Data'!$F$6:$F$205,Computation!$A$13,'Census Data'!$AE$6:$AE$205,Computation!$C$4,'Census Data'!$AA$6:$AA$205,Computation!D$5)</f>
        <v>0</v>
      </c>
      <c r="E13" s="43">
        <f>COUNTIFS('Census Data'!$AJ:$AJ,Computation!$B13,'Census Data'!$F:$F,Computation!$A$13,'Census Data'!$AE:$AE,Computation!C$4,'Census Data'!$AK:$AK,1)</f>
        <v>0</v>
      </c>
      <c r="F13" s="46">
        <f>COUNTIFS('Census Data'!$AJ$6:$AJ$205,Computation!$B13,'Census Data'!$F$6:$F$205,Computation!$A$13,'Census Data'!$AE$6:$AE$205,Computation!$F$4,'Census Data'!$AA$6:$AA$205,Computation!F$5)</f>
        <v>0</v>
      </c>
      <c r="G13" s="43">
        <f>COUNTIFS('Census Data'!$AJ$6:$AJ$205,Computation!$B13,'Census Data'!$F$6:$F$205,Computation!$A$13,'Census Data'!$AE$6:$AE$205,Computation!$F$4,'Census Data'!$AA$6:$AA$205,Computation!G$5)</f>
        <v>0</v>
      </c>
      <c r="H13" s="43">
        <f>COUNTIFS('Census Data'!$AJ:$AJ,Computation!$B13,'Census Data'!$F:$F,Computation!$A$13,'Census Data'!$AE:$AE,Computation!F$4,'Census Data'!$AK:$AK,1)</f>
        <v>0</v>
      </c>
      <c r="I13" s="42">
        <f>SUMIFS('Census Data'!$AY$6:$AY$205,'Census Data'!$AJ$6:$AJ$205,Computation!$B13,'Census Data'!$F$6:$F$205,Computation!$A$13,'Census Data'!$AE$6:$AE$205,Computation!$I$4,'Census Data'!$AA$6:$AA$205,Computation!I$5)</f>
        <v>0</v>
      </c>
      <c r="J13" s="43">
        <f>SUMIFS('Census Data'!$AY$6:$AY$205,'Census Data'!$AJ$6:$AJ$205,Computation!$B13,'Census Data'!$F$6:$F$205,Computation!$A$13,'Census Data'!$AE$6:$AE$205,Computation!$I$4,'Census Data'!$AA$6:$AA$205,Computation!J$5)</f>
        <v>0</v>
      </c>
      <c r="K13" s="43">
        <f>SUMIFS('Census Data'!$AV:$AV,'Census Data'!$AJ:$AJ,Computation!$B13,'Census Data'!$F:$F,Computation!$A$13,'Census Data'!$AE:$AE,Computation!I$4,'Census Data'!$AK:$AK,1)</f>
        <v>0</v>
      </c>
      <c r="L13" s="42">
        <f>SUMIFS('Census Data'!$AY$6:$AY$205,'Census Data'!$AJ$6:$AJ$205,Computation!$B13,'Census Data'!$F$6:$F$205,Computation!$A$13,'Census Data'!$AE$6:$AE$205,Computation!$L$4,'Census Data'!$AA$6:$AA$205,Computation!L$5)</f>
        <v>0</v>
      </c>
      <c r="M13" s="43">
        <f>SUMIFS('Census Data'!$AY$6:$AY$205,'Census Data'!$AJ$6:$AJ$205,Computation!$B13,'Census Data'!$F$6:$F$205,Computation!$A$13,'Census Data'!$AE$6:$AE$205,Computation!$L$4,'Census Data'!$AA$6:$AA$205,Computation!M$5)</f>
        <v>0</v>
      </c>
      <c r="N13" s="44">
        <f>SUMIFS('Census Data'!$AV:$AV,'Census Data'!$AJ:$AJ,Computation!$B13,'Census Data'!$F:$F,Computation!$A$13,'Census Data'!$AE:$AE,Computation!L$4,'Census Data'!$AK:$AK,1)</f>
        <v>0</v>
      </c>
      <c r="R13" s="20" t="s">
        <v>278</v>
      </c>
      <c r="S13" s="20">
        <f>COUNTIFS('Census Data'!$AI$6:$AI$205,Computation!$R13,'Census Data'!$F$6:$F$205,Computation!$A$13,'Census Data'!$AE$6:$AE$205,Computation!S$4,'Census Data'!$AA$6:$AA$205,Computation!S$5,'Census Data'!$H$6:$H$205,$R$4)</f>
        <v>0</v>
      </c>
      <c r="T13" s="20">
        <f>COUNTIFS('Census Data'!$AI:$AI,Computation!$R13,'Census Data'!$F:$F,Computation!$A$13,'Census Data'!$AE:$AE,Computation!S$4,'Census Data'!$AA:$AA,Computation!T$5,'Census Data'!$H:$H,Computation!R$4)</f>
        <v>0</v>
      </c>
      <c r="U13" s="20">
        <f>COUNTIFS('Census Data'!$AI:$AI,Computation!$R13,'Census Data'!$F:$F,Computation!$A$13,'Census Data'!$AE:$AE,Computation!S$4,'Census Data'!$AK:$AK,1)</f>
        <v>0</v>
      </c>
      <c r="V13" s="20">
        <f>SUMIFS('Census Data'!$AY$6:$AY$205,'Census Data'!$AI$6:$AI$205,Computation!$R13,'Census Data'!$F$6:$F$205,Computation!$A$13,'Census Data'!$AE$6:$AE$205,Computation!$V$4,'Census Data'!$AA$6:$AA$205,Computation!V$5,'Census Data'!$H$6:$H$205,$R$4)</f>
        <v>0</v>
      </c>
      <c r="W13" s="20">
        <f>SUMIFS('Census Data'!$AY$6:$AY$205,'Census Data'!$AI$6:$AI$205,Computation!$R13,'Census Data'!$F$6:$F$205,Computation!$A$13,'Census Data'!$AE$6:$AE$205,Computation!$V$4,'Census Data'!$AA$6:$AA$205,Computation!W$5,'Census Data'!$H$6:$H$205,Computation!R$4)</f>
        <v>0</v>
      </c>
      <c r="X13" s="20">
        <f>SUMIFS('Census Data'!$AV:$AV,'Census Data'!$AI:$AI,Computation!$R13,'Census Data'!$F:$F,Computation!$A$13,'Census Data'!$AE:$AE,Computation!L$4,'Census Data'!$AK:$AK,1)</f>
        <v>0</v>
      </c>
      <c r="AA13" s="20" t="s">
        <v>278</v>
      </c>
      <c r="AB13" s="20">
        <f>COUNTIFS('Census Data'!$AI$6:$AI$205,Computation!$R13,'Census Data'!$F$6:$F$205,Computation!$A$13,'Census Data'!$AE$6:$AE$205,Computation!AB$4,'Census Data'!$AA$6:$AA$205,Computation!AB$5,'Census Data'!$H$6:$H$205,$AA$4)</f>
        <v>0</v>
      </c>
      <c r="AC13" s="20">
        <f>COUNTIFS('Census Data'!$AI:$AI,Computation!$R13,'Census Data'!$F:$F,Computation!$A$13,'Census Data'!$AE:$AE,Computation!AB$4,'Census Data'!$AA:$AA,Computation!AC$5,'Census Data'!$H:$H,Computation!AA$4)</f>
        <v>0</v>
      </c>
      <c r="AE13" s="20">
        <f>SUMIFS('Census Data'!$AY$6:$AY$205,'Census Data'!$AI$6:$AI$205,Computation!$R13,'Census Data'!$F$6:$F$205,Computation!$A$13,'Census Data'!$AE$6:$AE$205,Computation!$V$4,'Census Data'!$AA$6:$AA$205,Computation!AE$5,'Census Data'!$H$6:$H$205,$AA$4)</f>
        <v>0</v>
      </c>
      <c r="AF13" s="20">
        <f>SUMIFS('Census Data'!$AY$6:$AY$205,'Census Data'!$AI$6:$AI$205,Computation!$R13,'Census Data'!$F$6:$F$205,Computation!$A$13,'Census Data'!$AE$6:$AE$205,Computation!$V$4,'Census Data'!$AA$6:$AA$205,Computation!AF$5,'Census Data'!$H$6:$H$205,Computation!AA$4)</f>
        <v>0</v>
      </c>
      <c r="AK13" s="20" t="s">
        <v>278</v>
      </c>
      <c r="AL13" s="20">
        <f>COUNTIFS('Census Data'!$AI$6:$AI$205,Computation!$AK13,'Census Data'!$F$6:$F$205,Computation!$A$13,'Census Data'!$AE$6:$AE$205,Computation!$C$4,'Census Data'!$AA$6:$AA$205,Computation!C$5)</f>
        <v>0</v>
      </c>
      <c r="AM13" s="20">
        <f>COUNTIFS('Census Data'!$AI$6:$AI$205,Computation!$AK13,'Census Data'!$F$6:$F$205,Computation!$A$13,'Census Data'!$AE$6:$AE$205,Computation!$C$4,'Census Data'!$AA$6:$AA$205,Computation!D$5)</f>
        <v>0</v>
      </c>
      <c r="AN13" s="20">
        <f>COUNTIFS('Census Data'!$AI:$AI,Computation!$AK13,'Census Data'!$F:$F,Computation!$A$13,'Census Data'!$AE:$AE,Computation!C$4,'Census Data'!$AK:$AK,1)</f>
        <v>0</v>
      </c>
      <c r="AO13" s="20">
        <f>SUMIFS('Census Data'!$AY$6:$AY$205,'Census Data'!$AI$6:$AI$205,Computation!$AK13,'Census Data'!$F$6:$F$205,Computation!$A$13,'Census Data'!$AE$6:$AE$205,Computation!$I$4,'Census Data'!$AA$6:$AA$205,Computation!I$5)</f>
        <v>0</v>
      </c>
      <c r="AP13" s="20">
        <f>SUMIFS('Census Data'!$AY$6:$AY$205,'Census Data'!$AI$6:$AI$205,Computation!$AK13,'Census Data'!$F$6:$F$205,Computation!$A$13,'Census Data'!$AE$6:$AE$205,Computation!$I$4,'Census Data'!$AA$6:$AA$205,Computation!J$5)</f>
        <v>0</v>
      </c>
      <c r="AQ13" s="20">
        <f>SUMIFS('Census Data'!$AV:$AV,'Census Data'!$AI:$AI,Computation!$AK13,'Census Data'!$F:$F,Computation!$A$13,'Census Data'!$AE:$AE,Computation!I$4,'Census Data'!$AK:$AK,1)</f>
        <v>0</v>
      </c>
    </row>
    <row r="14" spans="1:45" x14ac:dyDescent="0.25">
      <c r="A14" s="794"/>
      <c r="B14" s="45" t="str">
        <f t="shared" si="0"/>
        <v>18 - 35</v>
      </c>
      <c r="C14" s="46">
        <f>COUNTIFS('Census Data'!$AJ$6:$AJ$205,Computation!$B14,'Census Data'!$F$6:$F$205,Computation!$A$13,'Census Data'!$AE$6:$AE$205,Computation!$C$4,'Census Data'!$AA$6:$AA$205,Computation!C$5)</f>
        <v>0</v>
      </c>
      <c r="D14" s="47">
        <f>COUNTIFS('Census Data'!$AJ$6:$AJ$205,Computation!$B14,'Census Data'!$F$6:$F$205,Computation!$A$13,'Census Data'!$AE$6:$AE$205,Computation!$C$4,'Census Data'!$AA$6:$AA$205,Computation!D$5)</f>
        <v>0</v>
      </c>
      <c r="E14" s="48">
        <f>COUNTIFS('Census Data'!$AJ:$AJ,Computation!$B14,'Census Data'!$F:$F,Computation!$A$13,'Census Data'!$AE:$AE,Computation!C$4,'Census Data'!$AK:$AK,1)</f>
        <v>0</v>
      </c>
      <c r="F14" s="46">
        <f>COUNTIFS('Census Data'!$AJ$6:$AJ$205,Computation!$B14,'Census Data'!$F$6:$F$205,Computation!$A$13,'Census Data'!$AE$6:$AE$205,Computation!$F$4,'Census Data'!$AA$6:$AA$205,Computation!F$5)</f>
        <v>0</v>
      </c>
      <c r="G14" s="47">
        <f>COUNTIFS('Census Data'!$AJ$6:$AJ$205,Computation!$B14,'Census Data'!$F$6:$F$205,Computation!$A$13,'Census Data'!$AE$6:$AE$205,Computation!$F$4,'Census Data'!$AA$6:$AA$205,Computation!G$5)</f>
        <v>0</v>
      </c>
      <c r="H14" s="47">
        <f>COUNTIFS('Census Data'!$AJ:$AJ,Computation!$B14,'Census Data'!$F:$F,Computation!$A$13,'Census Data'!$AE:$AE,Computation!F$4,'Census Data'!$AK:$AK,1)</f>
        <v>0</v>
      </c>
      <c r="I14" s="46">
        <f>SUMIFS('Census Data'!$AY$6:$AY$205,'Census Data'!$AJ$6:$AJ$205,Computation!$B14,'Census Data'!$F$6:$F$205,Computation!$A$13,'Census Data'!$AE$6:$AE$205,Computation!$I$4,'Census Data'!$AA$6:$AA$205,Computation!I$5)</f>
        <v>0</v>
      </c>
      <c r="J14" s="47">
        <f>SUMIFS('Census Data'!$AY$6:$AY$205,'Census Data'!$AJ$6:$AJ$205,Computation!$B14,'Census Data'!$F$6:$F$205,Computation!$A$13,'Census Data'!$AE$6:$AE$205,Computation!$I$4,'Census Data'!$AA$6:$AA$205,Computation!J$5)</f>
        <v>0</v>
      </c>
      <c r="K14" s="47">
        <f>SUMIFS('Census Data'!$AV:$AV,'Census Data'!$AJ:$AJ,Computation!$B14,'Census Data'!$F:$F,Computation!$A$13,'Census Data'!$AE:$AE,Computation!I$4,'Census Data'!$AK:$AK,1)</f>
        <v>0</v>
      </c>
      <c r="L14" s="46">
        <f>SUMIFS('Census Data'!$AY$6:$AY$205,'Census Data'!$AJ$6:$AJ$205,Computation!$B14,'Census Data'!$F$6:$F$205,Computation!$A$13,'Census Data'!$AE$6:$AE$205,Computation!$L$4,'Census Data'!$AA$6:$AA$205,Computation!L$5)</f>
        <v>0</v>
      </c>
      <c r="M14" s="47">
        <f>SUMIFS('Census Data'!$AY$6:$AY$205,'Census Data'!$AJ$6:$AJ$205,Computation!$B14,'Census Data'!$F$6:$F$205,Computation!$A$13,'Census Data'!$AE$6:$AE$205,Computation!$L$4,'Census Data'!$AA$6:$AA$205,Computation!M$5)</f>
        <v>0</v>
      </c>
      <c r="N14" s="48">
        <f>SUMIFS('Census Data'!$AV:$AV,'Census Data'!$AJ:$AJ,Computation!$B14,'Census Data'!$F:$F,Computation!$A$13,'Census Data'!$AE:$AE,Computation!L$4,'Census Data'!$AK:$AK,1)</f>
        <v>0</v>
      </c>
      <c r="R14" s="20" t="s">
        <v>280</v>
      </c>
      <c r="S14" s="20">
        <f>COUNTIFS('Census Data'!$AI$6:$AI$205,Computation!$R14,'Census Data'!$F$6:$F$205,Computation!$A$13,'Census Data'!$AE$6:$AE$205,Computation!S$4,'Census Data'!$AA$6:$AA$205,Computation!S$5,'Census Data'!$H$6:$H$205,$R$4)</f>
        <v>0</v>
      </c>
      <c r="T14" s="20">
        <f>COUNTIFS('Census Data'!$AI:$AI,Computation!$R14,'Census Data'!$F:$F,Computation!$A$13,'Census Data'!$AE:$AE,Computation!S$4,'Census Data'!$AA:$AA,Computation!T$5,'Census Data'!$H:$H,Computation!R$4)</f>
        <v>0</v>
      </c>
      <c r="U14" s="20">
        <f>COUNTIFS('Census Data'!$AI:$AI,Computation!$R14,'Census Data'!$F:$F,Computation!$A$13,'Census Data'!$AE:$AE,Computation!S$4,'Census Data'!$AK:$AK,1)</f>
        <v>0</v>
      </c>
      <c r="V14" s="20">
        <f>SUMIFS('Census Data'!$AY$6:$AY$205,'Census Data'!$AI$6:$AI$205,Computation!$R14,'Census Data'!$F$6:$F$205,Computation!$A$13,'Census Data'!$AE$6:$AE$205,Computation!$V$4,'Census Data'!$AA$6:$AA$205,Computation!V$5,'Census Data'!$H$6:$H$205,$R$4)</f>
        <v>0</v>
      </c>
      <c r="W14" s="20">
        <f>SUMIFS('Census Data'!$AY$6:$AY$205,'Census Data'!$AI$6:$AI$205,Computation!$R14,'Census Data'!$F$6:$F$205,Computation!$A$13,'Census Data'!$AE$6:$AE$205,Computation!$V$4,'Census Data'!$AA$6:$AA$205,Computation!W$5,'Census Data'!$H$6:$H$205,Computation!R$4)</f>
        <v>0</v>
      </c>
      <c r="X14" s="20">
        <f>SUMIFS('Census Data'!$AV:$AV,'Census Data'!$AI:$AI,Computation!$R14,'Census Data'!$F:$F,Computation!$A$13,'Census Data'!$AE:$AE,Computation!L$4,'Census Data'!$AK:$AK,1)</f>
        <v>0</v>
      </c>
      <c r="AA14" s="20" t="s">
        <v>280</v>
      </c>
      <c r="AB14" s="20">
        <f>COUNTIFS('Census Data'!$AI$6:$AI$205,Computation!$R14,'Census Data'!$F$6:$F$205,Computation!$A$13,'Census Data'!$AE$6:$AE$205,Computation!AB$4,'Census Data'!$AA$6:$AA$205,Computation!AB$5,'Census Data'!$H$6:$H$205,$AA$4)</f>
        <v>0</v>
      </c>
      <c r="AC14" s="20">
        <f>COUNTIFS('Census Data'!$AI:$AI,Computation!$R14,'Census Data'!$F:$F,Computation!$A$13,'Census Data'!$AE:$AE,Computation!AB$4,'Census Data'!$AA:$AA,Computation!AC$5,'Census Data'!$H:$H,Computation!AA$4)</f>
        <v>0</v>
      </c>
      <c r="AE14" s="20">
        <f>SUMIFS('Census Data'!$AY$6:$AY$205,'Census Data'!$AI$6:$AI$205,Computation!$R14,'Census Data'!$F$6:$F$205,Computation!$A$13,'Census Data'!$AE$6:$AE$205,Computation!$V$4,'Census Data'!$AA$6:$AA$205,Computation!AE$5,'Census Data'!$H$6:$H$205,$AA$4)</f>
        <v>0</v>
      </c>
      <c r="AF14" s="20">
        <f>SUMIFS('Census Data'!$AY$6:$AY$205,'Census Data'!$AI$6:$AI$205,Computation!$R14,'Census Data'!$F$6:$F$205,Computation!$A$13,'Census Data'!$AE$6:$AE$205,Computation!$V$4,'Census Data'!$AA$6:$AA$205,Computation!AF$5,'Census Data'!$H$6:$H$205,Computation!AA$4)</f>
        <v>0</v>
      </c>
      <c r="AK14" s="20" t="s">
        <v>280</v>
      </c>
      <c r="AL14" s="20">
        <f>COUNTIFS('Census Data'!$AI$6:$AI$205,Computation!$AK14,'Census Data'!$F$6:$F$205,Computation!$A$13,'Census Data'!$AE$6:$AE$205,Computation!$C$4,'Census Data'!$AA$6:$AA$205,Computation!C$5)</f>
        <v>0</v>
      </c>
      <c r="AM14" s="20">
        <f>COUNTIFS('Census Data'!$AI$6:$AI$205,Computation!$AK14,'Census Data'!$F$6:$F$205,Computation!$A$13,'Census Data'!$AE$6:$AE$205,Computation!$C$4,'Census Data'!$AA$6:$AA$205,Computation!D$5)</f>
        <v>0</v>
      </c>
      <c r="AN14" s="20">
        <f>COUNTIFS('Census Data'!$AI:$AI,Computation!$AK14,'Census Data'!$F:$F,Computation!$A$13,'Census Data'!$AE:$AE,Computation!C$4,'Census Data'!$AK:$AK,1)</f>
        <v>0</v>
      </c>
      <c r="AO14" s="20">
        <f>SUMIFS('Census Data'!$AY$6:$AY$205,'Census Data'!$AI$6:$AI$205,Computation!$AK14,'Census Data'!$F$6:$F$205,Computation!$A$13,'Census Data'!$AE$6:$AE$205,Computation!$I$4,'Census Data'!$AA$6:$AA$205,Computation!I$5)</f>
        <v>0</v>
      </c>
      <c r="AP14" s="20">
        <f>SUMIFS('Census Data'!$AY$6:$AY$205,'Census Data'!$AI$6:$AI$205,Computation!$AK14,'Census Data'!$F$6:$F$205,Computation!$A$13,'Census Data'!$AE$6:$AE$205,Computation!$I$4,'Census Data'!$AA$6:$AA$205,Computation!J$5)</f>
        <v>0</v>
      </c>
      <c r="AQ14" s="20">
        <f>SUMIFS('Census Data'!$AV:$AV,'Census Data'!$AI:$AI,Computation!$AK14,'Census Data'!$F:$F,Computation!$A$13,'Census Data'!$AE:$AE,Computation!I$4,'Census Data'!$AK:$AK,1)</f>
        <v>0</v>
      </c>
    </row>
    <row r="15" spans="1:45" x14ac:dyDescent="0.25">
      <c r="A15" s="794"/>
      <c r="B15" s="45" t="str">
        <f t="shared" si="0"/>
        <v>36 - 45</v>
      </c>
      <c r="C15" s="46">
        <f>COUNTIFS('Census Data'!$AJ$6:$AJ$205,Computation!$B15,'Census Data'!$F$6:$F$205,Computation!$A$13,'Census Data'!$AE$6:$AE$205,Computation!$C$4,'Census Data'!$AA$6:$AA$205,Computation!C$5)</f>
        <v>0</v>
      </c>
      <c r="D15" s="47">
        <f>COUNTIFS('Census Data'!$AJ$6:$AJ$205,Computation!$B15,'Census Data'!$F$6:$F$205,Computation!$A$13,'Census Data'!$AE$6:$AE$205,Computation!$C$4,'Census Data'!$AA$6:$AA$205,Computation!D$5)</f>
        <v>0</v>
      </c>
      <c r="E15" s="48">
        <f>COUNTIFS('Census Data'!$AJ:$AJ,Computation!$B15,'Census Data'!$F:$F,Computation!$A$13,'Census Data'!$AE:$AE,Computation!C$4,'Census Data'!$AK:$AK,1)</f>
        <v>0</v>
      </c>
      <c r="F15" s="46">
        <f>COUNTIFS('Census Data'!$AJ$6:$AJ$205,Computation!$B15,'Census Data'!$F$6:$F$205,Computation!$A$13,'Census Data'!$AE$6:$AE$205,Computation!$F$4,'Census Data'!$AA$6:$AA$205,Computation!F$5)</f>
        <v>0</v>
      </c>
      <c r="G15" s="47">
        <f>COUNTIFS('Census Data'!$AJ$6:$AJ$205,Computation!$B15,'Census Data'!$F$6:$F$205,Computation!$A$13,'Census Data'!$AE$6:$AE$205,Computation!$F$4,'Census Data'!$AA$6:$AA$205,Computation!G$5)</f>
        <v>0</v>
      </c>
      <c r="H15" s="47">
        <f>COUNTIFS('Census Data'!$AJ:$AJ,Computation!$B15,'Census Data'!$F:$F,Computation!$A$13,'Census Data'!$AE:$AE,Computation!F$4,'Census Data'!$AK:$AK,1)</f>
        <v>0</v>
      </c>
      <c r="I15" s="46">
        <f>SUMIFS('Census Data'!$AY$6:$AY$205,'Census Data'!$AJ$6:$AJ$205,Computation!$B15,'Census Data'!$F$6:$F$205,Computation!$A$13,'Census Data'!$AE$6:$AE$205,Computation!$I$4,'Census Data'!$AA$6:$AA$205,Computation!I$5)</f>
        <v>0</v>
      </c>
      <c r="J15" s="47">
        <f>SUMIFS('Census Data'!$AY$6:$AY$205,'Census Data'!$AJ$6:$AJ$205,Computation!$B15,'Census Data'!$F$6:$F$205,Computation!$A$13,'Census Data'!$AE$6:$AE$205,Computation!$I$4,'Census Data'!$AA$6:$AA$205,Computation!J$5)</f>
        <v>0</v>
      </c>
      <c r="K15" s="48">
        <f>SUMIFS('Census Data'!$AV:$AV,'Census Data'!$AJ:$AJ,Computation!$B15,'Census Data'!$F:$F,Computation!$A$13,'Census Data'!$AE:$AE,Computation!I$4,'Census Data'!$AK:$AK,1)</f>
        <v>0</v>
      </c>
      <c r="L15" s="46">
        <f>SUMIFS('Census Data'!$AY$6:$AY$205,'Census Data'!$AJ$6:$AJ$205,Computation!$B15,'Census Data'!$F$6:$F$205,Computation!$A$13,'Census Data'!$AE$6:$AE$205,Computation!$L$4,'Census Data'!$AA$6:$AA$205,Computation!L$5)</f>
        <v>0</v>
      </c>
      <c r="M15" s="47">
        <f>SUMIFS('Census Data'!$AY$6:$AY$205,'Census Data'!$AJ$6:$AJ$205,Computation!$B15,'Census Data'!$F$6:$F$205,Computation!$A$13,'Census Data'!$AE$6:$AE$205,Computation!$L$4,'Census Data'!$AA$6:$AA$205,Computation!M$5)</f>
        <v>0</v>
      </c>
      <c r="N15" s="48">
        <f>SUMIFS('Census Data'!$AV:$AV,'Census Data'!$AJ:$AJ,Computation!$B15,'Census Data'!$F:$F,Computation!$A$13,'Census Data'!$AE:$AE,Computation!L$4,'Census Data'!$AK:$AK,1)</f>
        <v>0</v>
      </c>
      <c r="R15" s="20" t="s">
        <v>282</v>
      </c>
      <c r="S15" s="20">
        <f>COUNTIFS('Census Data'!$AI$6:$AI$205,Computation!$R15,'Census Data'!$F$6:$F$205,Computation!$A$13,'Census Data'!$AE$6:$AE$205,Computation!S$4,'Census Data'!$AA$6:$AA$205,Computation!S$5,'Census Data'!$H$6:$H$205,$R$4)</f>
        <v>0</v>
      </c>
      <c r="T15" s="20">
        <f>COUNTIFS('Census Data'!$AI:$AI,Computation!$R15,'Census Data'!$F:$F,Computation!$A$13,'Census Data'!$AE:$AE,Computation!S$4,'Census Data'!$AA:$AA,Computation!T$5,'Census Data'!$H:$H,Computation!R$4)</f>
        <v>0</v>
      </c>
      <c r="U15" s="20">
        <f>COUNTIFS('Census Data'!$AI:$AI,Computation!$R15,'Census Data'!$F:$F,Computation!$A$13,'Census Data'!$AE:$AE,Computation!S$4,'Census Data'!$AK:$AK,1)</f>
        <v>0</v>
      </c>
      <c r="V15" s="20">
        <f>SUMIFS('Census Data'!$AY$6:$AY$205,'Census Data'!$AI$6:$AI$205,Computation!$R15,'Census Data'!$F$6:$F$205,Computation!$A$13,'Census Data'!$AE$6:$AE$205,Computation!$V$4,'Census Data'!$AA$6:$AA$205,Computation!V$5,'Census Data'!$H$6:$H$205,$R$4)</f>
        <v>0</v>
      </c>
      <c r="W15" s="20">
        <f>SUMIFS('Census Data'!$AY$6:$AY$205,'Census Data'!$AI$6:$AI$205,Computation!$R15,'Census Data'!$F$6:$F$205,Computation!$A$13,'Census Data'!$AE$6:$AE$205,Computation!$V$4,'Census Data'!$AA$6:$AA$205,Computation!W$5,'Census Data'!$H$6:$H$205,Computation!R$4)</f>
        <v>0</v>
      </c>
      <c r="X15" s="20">
        <f>SUMIFS('Census Data'!$AV:$AV,'Census Data'!$AI:$AI,Computation!$R15,'Census Data'!$F:$F,Computation!$A$13,'Census Data'!$AE:$AE,Computation!L$4,'Census Data'!$AK:$AK,1)</f>
        <v>0</v>
      </c>
      <c r="AA15" s="20" t="s">
        <v>282</v>
      </c>
      <c r="AB15" s="20">
        <f>COUNTIFS('Census Data'!$AI$6:$AI$205,Computation!$R15,'Census Data'!$F$6:$F$205,Computation!$A$13,'Census Data'!$AE$6:$AE$205,Computation!AB$4,'Census Data'!$AA$6:$AA$205,Computation!AB$5,'Census Data'!$H$6:$H$205,$AA$4)</f>
        <v>0</v>
      </c>
      <c r="AC15" s="20">
        <f>COUNTIFS('Census Data'!$AI:$AI,Computation!$R15,'Census Data'!$F:$F,Computation!$A$13,'Census Data'!$AE:$AE,Computation!AB$4,'Census Data'!$AA:$AA,Computation!AC$5,'Census Data'!$H:$H,Computation!AA$4)</f>
        <v>0</v>
      </c>
      <c r="AE15" s="20">
        <f>SUMIFS('Census Data'!$AY$6:$AY$205,'Census Data'!$AI$6:$AI$205,Computation!$R15,'Census Data'!$F$6:$F$205,Computation!$A$13,'Census Data'!$AE$6:$AE$205,Computation!$V$4,'Census Data'!$AA$6:$AA$205,Computation!AE$5,'Census Data'!$H$6:$H$205,$AA$4)</f>
        <v>0</v>
      </c>
      <c r="AF15" s="20">
        <f>SUMIFS('Census Data'!$AY$6:$AY$205,'Census Data'!$AI$6:$AI$205,Computation!$R15,'Census Data'!$F$6:$F$205,Computation!$A$13,'Census Data'!$AE$6:$AE$205,Computation!$V$4,'Census Data'!$AA$6:$AA$205,Computation!AF$5,'Census Data'!$H$6:$H$205,Computation!AA$4)</f>
        <v>0</v>
      </c>
      <c r="AK15" s="20" t="s">
        <v>282</v>
      </c>
      <c r="AL15" s="20">
        <f>COUNTIFS('Census Data'!$AI$6:$AI$205,Computation!$AK15,'Census Data'!$F$6:$F$205,Computation!$A$13,'Census Data'!$AE$6:$AE$205,Computation!$C$4,'Census Data'!$AA$6:$AA$205,Computation!C$5)</f>
        <v>0</v>
      </c>
      <c r="AM15" s="20">
        <f>COUNTIFS('Census Data'!$AI$6:$AI$205,Computation!$AK15,'Census Data'!$F$6:$F$205,Computation!$A$13,'Census Data'!$AE$6:$AE$205,Computation!$C$4,'Census Data'!$AA$6:$AA$205,Computation!D$5)</f>
        <v>0</v>
      </c>
      <c r="AN15" s="20">
        <f>COUNTIFS('Census Data'!$AI:$AI,Computation!$AK15,'Census Data'!$F:$F,Computation!$A$13,'Census Data'!$AE:$AE,Computation!C$4,'Census Data'!$AK:$AK,1)</f>
        <v>0</v>
      </c>
      <c r="AO15" s="20">
        <f>SUMIFS('Census Data'!$AY$6:$AY$205,'Census Data'!$AI$6:$AI$205,Computation!$AK15,'Census Data'!$F$6:$F$205,Computation!$A$13,'Census Data'!$AE$6:$AE$205,Computation!$I$4,'Census Data'!$AA$6:$AA$205,Computation!I$5)</f>
        <v>0</v>
      </c>
      <c r="AP15" s="20">
        <f>SUMIFS('Census Data'!$AY$6:$AY$205,'Census Data'!$AI$6:$AI$205,Computation!$AK15,'Census Data'!$F$6:$F$205,Computation!$A$13,'Census Data'!$AE$6:$AE$205,Computation!$I$4,'Census Data'!$AA$6:$AA$205,Computation!J$5)</f>
        <v>0</v>
      </c>
      <c r="AQ15" s="20">
        <f>SUMIFS('Census Data'!$AV:$AV,'Census Data'!$AI:$AI,Computation!$AK15,'Census Data'!$F:$F,Computation!$A$13,'Census Data'!$AE:$AE,Computation!I$4,'Census Data'!$AK:$AK,1)</f>
        <v>0</v>
      </c>
    </row>
    <row r="16" spans="1:45" x14ac:dyDescent="0.25">
      <c r="A16" s="794"/>
      <c r="B16" s="45" t="str">
        <f t="shared" si="0"/>
        <v>46 - 55</v>
      </c>
      <c r="C16" s="46">
        <f>COUNTIFS('Census Data'!$AJ$6:$AJ$205,Computation!$B16,'Census Data'!$F$6:$F$205,Computation!$A$13,'Census Data'!$AE$6:$AE$205,Computation!$C$4,'Census Data'!$AA$6:$AA$205,Computation!C$5)</f>
        <v>0</v>
      </c>
      <c r="D16" s="47">
        <f>COUNTIFS('Census Data'!$AJ$6:$AJ$205,Computation!$B16,'Census Data'!$F$6:$F$205,Computation!$A$13,'Census Data'!$AE$6:$AE$205,Computation!$C$4,'Census Data'!$AA$6:$AA$205,Computation!D$5)</f>
        <v>0</v>
      </c>
      <c r="E16" s="48">
        <f>COUNTIFS('Census Data'!$AJ:$AJ,Computation!$B16,'Census Data'!$F:$F,Computation!$A$13,'Census Data'!$AE:$AE,Computation!C$4,'Census Data'!$AK:$AK,1)</f>
        <v>0</v>
      </c>
      <c r="F16" s="46">
        <f>COUNTIFS('Census Data'!$AJ$6:$AJ$205,Computation!$B16,'Census Data'!$F$6:$F$205,Computation!$A$13,'Census Data'!$AE$6:$AE$205,Computation!$F$4,'Census Data'!$AA$6:$AA$205,Computation!F$5)</f>
        <v>0</v>
      </c>
      <c r="G16" s="47">
        <f>COUNTIFS('Census Data'!$AJ$6:$AJ$205,Computation!$B16,'Census Data'!$F$6:$F$205,Computation!$A$13,'Census Data'!$AE$6:$AE$205,Computation!$F$4,'Census Data'!$AA$6:$AA$205,Computation!G$5)</f>
        <v>0</v>
      </c>
      <c r="H16" s="47">
        <f>COUNTIFS('Census Data'!$AJ:$AJ,Computation!$B16,'Census Data'!$F:$F,Computation!$A$13,'Census Data'!$AE:$AE,Computation!F$4,'Census Data'!$AK:$AK,1)</f>
        <v>0</v>
      </c>
      <c r="I16" s="46">
        <f>SUMIFS('Census Data'!$AY$6:$AY$205,'Census Data'!$AJ$6:$AJ$205,Computation!$B16,'Census Data'!$F$6:$F$205,Computation!$A$13,'Census Data'!$AE$6:$AE$205,Computation!$I$4,'Census Data'!$AA$6:$AA$205,Computation!I$5)</f>
        <v>0</v>
      </c>
      <c r="J16" s="47">
        <f>SUMIFS('Census Data'!$AY$6:$AY$205,'Census Data'!$AJ$6:$AJ$205,Computation!$B16,'Census Data'!$F$6:$F$205,Computation!$A$13,'Census Data'!$AE$6:$AE$205,Computation!$I$4,'Census Data'!$AA$6:$AA$205,Computation!J$5)</f>
        <v>0</v>
      </c>
      <c r="K16" s="47">
        <f>SUMIFS('Census Data'!$AV:$AV,'Census Data'!$AJ:$AJ,Computation!$B16,'Census Data'!$F:$F,Computation!$A$13,'Census Data'!$AE:$AE,Computation!I$4,'Census Data'!$AK:$AK,1)</f>
        <v>0</v>
      </c>
      <c r="L16" s="46">
        <f>SUMIFS('Census Data'!$AY$6:$AY$205,'Census Data'!$AJ$6:$AJ$205,Computation!$B16,'Census Data'!$F$6:$F$205,Computation!$A$13,'Census Data'!$AE$6:$AE$205,Computation!$L$4,'Census Data'!$AA$6:$AA$205,Computation!L$5)</f>
        <v>0</v>
      </c>
      <c r="M16" s="47">
        <f>SUMIFS('Census Data'!$AY$6:$AY$205,'Census Data'!$AJ$6:$AJ$205,Computation!$B16,'Census Data'!$F$6:$F$205,Computation!$A$13,'Census Data'!$AE$6:$AE$205,Computation!$L$4,'Census Data'!$AA$6:$AA$205,Computation!M$5)</f>
        <v>0</v>
      </c>
      <c r="N16" s="48">
        <f>SUMIFS('Census Data'!$AV:$AV,'Census Data'!$AJ:$AJ,Computation!$B16,'Census Data'!$F:$F,Computation!$A$13,'Census Data'!$AE:$AE,Computation!L$4,'Census Data'!$AK:$AK,1)</f>
        <v>0</v>
      </c>
      <c r="R16" s="20" t="s">
        <v>284</v>
      </c>
      <c r="S16" s="20">
        <f>COUNTIFS('Census Data'!$AI$6:$AI$205,Computation!$R16,'Census Data'!$F$6:$F$205,Computation!$A$13,'Census Data'!$AE$6:$AE$205,Computation!S$4,'Census Data'!$AA$6:$AA$205,Computation!S$5,'Census Data'!$H$6:$H$205,$R$4)</f>
        <v>0</v>
      </c>
      <c r="T16" s="20">
        <f>COUNTIFS('Census Data'!$AI:$AI,Computation!$R16,'Census Data'!$F:$F,Computation!$A$13,'Census Data'!$AE:$AE,Computation!S$4,'Census Data'!$AA:$AA,Computation!T$5,'Census Data'!$H:$H,Computation!R$4)</f>
        <v>0</v>
      </c>
      <c r="U16" s="20">
        <f>COUNTIFS('Census Data'!$AI:$AI,Computation!$R16,'Census Data'!$F:$F,Computation!$A$13,'Census Data'!$AE:$AE,Computation!S$4,'Census Data'!$AK:$AK,1)</f>
        <v>0</v>
      </c>
      <c r="V16" s="20">
        <f>SUMIFS('Census Data'!$AY$6:$AY$205,'Census Data'!$AI$6:$AI$205,Computation!$R16,'Census Data'!$F$6:$F$205,Computation!$A$13,'Census Data'!$AE$6:$AE$205,Computation!$V$4,'Census Data'!$AA$6:$AA$205,Computation!V$5,'Census Data'!$H$6:$H$205,$R$4)</f>
        <v>0</v>
      </c>
      <c r="W16" s="20">
        <f>SUMIFS('Census Data'!$AY$6:$AY$205,'Census Data'!$AI$6:$AI$205,Computation!$R16,'Census Data'!$F$6:$F$205,Computation!$A$13,'Census Data'!$AE$6:$AE$205,Computation!$V$4,'Census Data'!$AA$6:$AA$205,Computation!W$5,'Census Data'!$H$6:$H$205,Computation!R$4)</f>
        <v>0</v>
      </c>
      <c r="X16" s="20">
        <f>SUMIFS('Census Data'!$AV:$AV,'Census Data'!$AI:$AI,Computation!$R16,'Census Data'!$F:$F,Computation!$A$13,'Census Data'!$AE:$AE,Computation!L$4,'Census Data'!$AK:$AK,1)</f>
        <v>0</v>
      </c>
      <c r="AA16" s="20" t="s">
        <v>284</v>
      </c>
      <c r="AB16" s="20">
        <f>COUNTIFS('Census Data'!$AI$6:$AI$205,Computation!$R16,'Census Data'!$F$6:$F$205,Computation!$A$13,'Census Data'!$AE$6:$AE$205,Computation!AB$4,'Census Data'!$AA$6:$AA$205,Computation!AB$5,'Census Data'!$H$6:$H$205,$AA$4)</f>
        <v>0</v>
      </c>
      <c r="AC16" s="20">
        <f>COUNTIFS('Census Data'!$AI:$AI,Computation!$R16,'Census Data'!$F:$F,Computation!$A$13,'Census Data'!$AE:$AE,Computation!AB$4,'Census Data'!$AA:$AA,Computation!AC$5,'Census Data'!$H:$H,Computation!AA$4)</f>
        <v>0</v>
      </c>
      <c r="AE16" s="20">
        <f>SUMIFS('Census Data'!$AY$6:$AY$205,'Census Data'!$AI$6:$AI$205,Computation!$R16,'Census Data'!$F$6:$F$205,Computation!$A$13,'Census Data'!$AE$6:$AE$205,Computation!$V$4,'Census Data'!$AA$6:$AA$205,Computation!AE$5,'Census Data'!$H$6:$H$205,$AA$4)</f>
        <v>0</v>
      </c>
      <c r="AF16" s="20">
        <f>SUMIFS('Census Data'!$AY$6:$AY$205,'Census Data'!$AI$6:$AI$205,Computation!$R16,'Census Data'!$F$6:$F$205,Computation!$A$13,'Census Data'!$AE$6:$AE$205,Computation!$V$4,'Census Data'!$AA$6:$AA$205,Computation!AF$5,'Census Data'!$H$6:$H$205,Computation!AA$4)</f>
        <v>0</v>
      </c>
      <c r="AK16" s="20" t="s">
        <v>284</v>
      </c>
      <c r="AL16" s="20">
        <f>COUNTIFS('Census Data'!$AI$6:$AI$205,Computation!$AK16,'Census Data'!$F$6:$F$205,Computation!$A$13,'Census Data'!$AE$6:$AE$205,Computation!$C$4,'Census Data'!$AA$6:$AA$205,Computation!C$5)</f>
        <v>0</v>
      </c>
      <c r="AM16" s="20">
        <f>COUNTIFS('Census Data'!$AI$6:$AI$205,Computation!$AK16,'Census Data'!$F$6:$F$205,Computation!$A$13,'Census Data'!$AE$6:$AE$205,Computation!$C$4,'Census Data'!$AA$6:$AA$205,Computation!D$5)</f>
        <v>0</v>
      </c>
      <c r="AN16" s="20">
        <f>COUNTIFS('Census Data'!$AI:$AI,Computation!$AK16,'Census Data'!$F:$F,Computation!$A$13,'Census Data'!$AE:$AE,Computation!C$4,'Census Data'!$AK:$AK,1)</f>
        <v>0</v>
      </c>
      <c r="AO16" s="20">
        <f>SUMIFS('Census Data'!$AY$6:$AY$205,'Census Data'!$AI$6:$AI$205,Computation!$AK16,'Census Data'!$F$6:$F$205,Computation!$A$13,'Census Data'!$AE$6:$AE$205,Computation!$I$4,'Census Data'!$AA$6:$AA$205,Computation!I$5)</f>
        <v>0</v>
      </c>
      <c r="AP16" s="20">
        <f>SUMIFS('Census Data'!$AY$6:$AY$205,'Census Data'!$AI$6:$AI$205,Computation!$AK16,'Census Data'!$F$6:$F$205,Computation!$A$13,'Census Data'!$AE$6:$AE$205,Computation!$I$4,'Census Data'!$AA$6:$AA$205,Computation!J$5)</f>
        <v>0</v>
      </c>
      <c r="AQ16" s="20">
        <f>SUMIFS('Census Data'!$AV:$AV,'Census Data'!$AI:$AI,Computation!$AK16,'Census Data'!$F:$F,Computation!$A$13,'Census Data'!$AE:$AE,Computation!I$4,'Census Data'!$AK:$AK,1)</f>
        <v>0</v>
      </c>
    </row>
    <row r="17" spans="1:43" x14ac:dyDescent="0.25">
      <c r="A17" s="794"/>
      <c r="B17" s="45" t="str">
        <f t="shared" si="0"/>
        <v>56 - 60</v>
      </c>
      <c r="C17" s="46">
        <f>COUNTIFS('Census Data'!$AJ$6:$AJ$205,Computation!$B17,'Census Data'!$F$6:$F$205,Computation!$A$13,'Census Data'!$AE$6:$AE$205,Computation!$C$4,'Census Data'!$AA$6:$AA$205,Computation!C$5)</f>
        <v>0</v>
      </c>
      <c r="D17" s="47">
        <f>COUNTIFS('Census Data'!$AJ$6:$AJ$205,Computation!$B17,'Census Data'!$F$6:$F$205,Computation!$A$13,'Census Data'!$AE$6:$AE$205,Computation!$C$4,'Census Data'!$AA$6:$AA$205,Computation!D$5)</f>
        <v>0</v>
      </c>
      <c r="E17" s="48">
        <f>COUNTIFS('Census Data'!$AJ:$AJ,Computation!$B17,'Census Data'!$F:$F,Computation!$A$13,'Census Data'!$AE:$AE,Computation!C$4,'Census Data'!$AK:$AK,1)</f>
        <v>0</v>
      </c>
      <c r="F17" s="46">
        <f>COUNTIFS('Census Data'!$AJ$6:$AJ$205,Computation!$B17,'Census Data'!$F$6:$F$205,Computation!$A$13,'Census Data'!$AE$6:$AE$205,Computation!$F$4,'Census Data'!$AA$6:$AA$205,Computation!F$5)</f>
        <v>0</v>
      </c>
      <c r="G17" s="47">
        <f>COUNTIFS('Census Data'!$AJ$6:$AJ$205,Computation!$B17,'Census Data'!$F$6:$F$205,Computation!$A$13,'Census Data'!$AE$6:$AE$205,Computation!$F$4,'Census Data'!$AA$6:$AA$205,Computation!G$5)</f>
        <v>0</v>
      </c>
      <c r="H17" s="47">
        <f>COUNTIFS('Census Data'!$AJ:$AJ,Computation!$B17,'Census Data'!$F:$F,Computation!$A$13,'Census Data'!$AE:$AE,Computation!F$4,'Census Data'!$AK:$AK,1)</f>
        <v>0</v>
      </c>
      <c r="I17" s="46">
        <f>SUMIFS('Census Data'!$AY$6:$AY$205,'Census Data'!$AJ$6:$AJ$205,Computation!$B17,'Census Data'!$F$6:$F$205,Computation!$A$13,'Census Data'!$AE$6:$AE$205,Computation!$I$4,'Census Data'!$AA$6:$AA$205,Computation!I$5)</f>
        <v>0</v>
      </c>
      <c r="J17" s="47">
        <f>SUMIFS('Census Data'!$AY$6:$AY$205,'Census Data'!$AJ$6:$AJ$205,Computation!$B17,'Census Data'!$F$6:$F$205,Computation!$A$13,'Census Data'!$AE$6:$AE$205,Computation!$I$4,'Census Data'!$AA$6:$AA$205,Computation!J$5)</f>
        <v>0</v>
      </c>
      <c r="K17" s="48">
        <f>SUMIFS('Census Data'!$AV:$AV,'Census Data'!$AJ:$AJ,Computation!$B17,'Census Data'!$F:$F,Computation!$A$13,'Census Data'!$AE:$AE,Computation!I$4,'Census Data'!$AK:$AK,1)</f>
        <v>0</v>
      </c>
      <c r="L17" s="46">
        <f>SUMIFS('Census Data'!$AY$6:$AY$205,'Census Data'!$AJ$6:$AJ$205,Computation!$B17,'Census Data'!$F$6:$F$205,Computation!$A$13,'Census Data'!$AE$6:$AE$205,Computation!$L$4,'Census Data'!$AA$6:$AA$205,Computation!L$5)</f>
        <v>0</v>
      </c>
      <c r="M17" s="47">
        <f>SUMIFS('Census Data'!$AY$6:$AY$205,'Census Data'!$AJ$6:$AJ$205,Computation!$B17,'Census Data'!$F$6:$F$205,Computation!$A$13,'Census Data'!$AE$6:$AE$205,Computation!$L$4,'Census Data'!$AA$6:$AA$205,Computation!M$5)</f>
        <v>0</v>
      </c>
      <c r="N17" s="48">
        <f>SUMIFS('Census Data'!$AV:$AV,'Census Data'!$AJ:$AJ,Computation!$B17,'Census Data'!$F:$F,Computation!$A$13,'Census Data'!$AE:$AE,Computation!L$4,'Census Data'!$AK:$AK,1)</f>
        <v>0</v>
      </c>
    </row>
    <row r="18" spans="1:43" x14ac:dyDescent="0.25">
      <c r="A18" s="794"/>
      <c r="B18" s="45" t="str">
        <f t="shared" si="0"/>
        <v>61 - 65</v>
      </c>
      <c r="C18" s="46">
        <f>COUNTIFS('Census Data'!$AJ$6:$AJ$205,Computation!$B18,'Census Data'!$F$6:$F$205,Computation!$A$13,'Census Data'!$AE$6:$AE$205,Computation!$C$4,'Census Data'!$AA$6:$AA$205,Computation!C$5)</f>
        <v>0</v>
      </c>
      <c r="D18" s="47">
        <f>COUNTIFS('Census Data'!$AJ$6:$AJ$205,Computation!$B18,'Census Data'!$F$6:$F$205,Computation!$A$13,'Census Data'!$AE$6:$AE$205,Computation!$C$4,'Census Data'!$AA$6:$AA$205,Computation!D$5)</f>
        <v>0</v>
      </c>
      <c r="E18" s="48">
        <f>COUNTIFS('Census Data'!$AJ:$AJ,Computation!$B18,'Census Data'!$F:$F,Computation!$A$13,'Census Data'!$AE:$AE,Computation!C$4,'Census Data'!$AK:$AK,1)</f>
        <v>0</v>
      </c>
      <c r="F18" s="46">
        <f>COUNTIFS('Census Data'!$AJ$6:$AJ$205,Computation!$B18,'Census Data'!$F$6:$F$205,Computation!$A$13,'Census Data'!$AE$6:$AE$205,Computation!$F$4,'Census Data'!$AA$6:$AA$205,Computation!F$5)</f>
        <v>0</v>
      </c>
      <c r="G18" s="47">
        <f>COUNTIFS('Census Data'!$AJ$6:$AJ$205,Computation!$B18,'Census Data'!$F$6:$F$205,Computation!$A$13,'Census Data'!$AE$6:$AE$205,Computation!$F$4,'Census Data'!$AA$6:$AA$205,Computation!G$5)</f>
        <v>0</v>
      </c>
      <c r="H18" s="47">
        <f>COUNTIFS('Census Data'!$AJ:$AJ,Computation!$B18,'Census Data'!$F:$F,Computation!$A$13,'Census Data'!$AE:$AE,Computation!F$4,'Census Data'!$AK:$AK,1)</f>
        <v>0</v>
      </c>
      <c r="I18" s="46">
        <f>SUMIFS('Census Data'!$AY$6:$AY$205,'Census Data'!$AJ$6:$AJ$205,Computation!$B18,'Census Data'!$F$6:$F$205,Computation!$A$13,'Census Data'!$AE$6:$AE$205,Computation!$I$4,'Census Data'!$AA$6:$AA$205,Computation!I$5)</f>
        <v>0</v>
      </c>
      <c r="J18" s="47">
        <f>SUMIFS('Census Data'!$AY$6:$AY$205,'Census Data'!$AJ$6:$AJ$205,Computation!$B18,'Census Data'!$F$6:$F$205,Computation!$A$13,'Census Data'!$AE$6:$AE$205,Computation!$I$4,'Census Data'!$AA$6:$AA$205,Computation!J$5)</f>
        <v>0</v>
      </c>
      <c r="K18" s="47">
        <f>SUMIFS('Census Data'!$AV:$AV,'Census Data'!$AJ:$AJ,Computation!$B18,'Census Data'!$F:$F,Computation!$A$13,'Census Data'!$AE:$AE,Computation!I$4,'Census Data'!$AK:$AK,1)</f>
        <v>0</v>
      </c>
      <c r="L18" s="46">
        <f>SUMIFS('Census Data'!$AY$6:$AY$205,'Census Data'!$AJ$6:$AJ$205,Computation!$B18,'Census Data'!$F$6:$F$205,Computation!$A$13,'Census Data'!$AE$6:$AE$205,Computation!$L$4,'Census Data'!$AA$6:$AA$205,Computation!L$5)</f>
        <v>0</v>
      </c>
      <c r="M18" s="47">
        <f>SUMIFS('Census Data'!$AY$6:$AY$205,'Census Data'!$AJ$6:$AJ$205,Computation!$B18,'Census Data'!$F$6:$F$205,Computation!$A$13,'Census Data'!$AE$6:$AE$205,Computation!$L$4,'Census Data'!$AA$6:$AA$205,Computation!M$5)</f>
        <v>0</v>
      </c>
      <c r="N18" s="48">
        <f>SUMIFS('Census Data'!$AV:$AV,'Census Data'!$AJ:$AJ,Computation!$B18,'Census Data'!$F:$F,Computation!$A$13,'Census Data'!$AE:$AE,Computation!L$4,'Census Data'!$AK:$AK,1)</f>
        <v>0</v>
      </c>
    </row>
    <row r="19" spans="1:43" x14ac:dyDescent="0.25">
      <c r="A19" s="794"/>
      <c r="B19" s="45" t="str">
        <f t="shared" si="0"/>
        <v>66 - 69</v>
      </c>
      <c r="C19" s="46">
        <f>COUNTIFS('Census Data'!$AJ$6:$AJ$205,Computation!$B19,'Census Data'!$F$6:$F$205,Computation!$A$13,'Census Data'!$AE$6:$AE$205,Computation!$C$4,'Census Data'!$AA$6:$AA$205,Computation!C$5)</f>
        <v>0</v>
      </c>
      <c r="D19" s="47">
        <f>COUNTIFS('Census Data'!$AJ$6:$AJ$205,Computation!$B19,'Census Data'!$F$6:$F$205,Computation!$A$13,'Census Data'!$AE$6:$AE$205,Computation!$C$4,'Census Data'!$AA$6:$AA$205,Computation!D$5)</f>
        <v>0</v>
      </c>
      <c r="E19" s="48">
        <f>COUNTIFS('Census Data'!$AJ:$AJ,Computation!$B19,'Census Data'!$F:$F,Computation!$A$13,'Census Data'!$AE:$AE,Computation!C$4,'Census Data'!$AK:$AK,1)</f>
        <v>0</v>
      </c>
      <c r="F19" s="46">
        <f>COUNTIFS('Census Data'!$AJ$6:$AJ$205,Computation!$B19,'Census Data'!$F$6:$F$205,Computation!$A$13,'Census Data'!$AE$6:$AE$205,Computation!$F$4,'Census Data'!$AA$6:$AA$205,Computation!F$5)</f>
        <v>0</v>
      </c>
      <c r="G19" s="47">
        <f>COUNTIFS('Census Data'!$AJ$6:$AJ$205,Computation!$B19,'Census Data'!$F$6:$F$205,Computation!$A$13,'Census Data'!$AE$6:$AE$205,Computation!$F$4,'Census Data'!$AA$6:$AA$205,Computation!G$5)</f>
        <v>0</v>
      </c>
      <c r="H19" s="47">
        <f>COUNTIFS('Census Data'!$AJ:$AJ,Computation!$B19,'Census Data'!$F:$F,Computation!$A$13,'Census Data'!$AE:$AE,Computation!F$4,'Census Data'!$AK:$AK,1)</f>
        <v>0</v>
      </c>
      <c r="I19" s="46">
        <f>SUMIFS('Census Data'!$AY$6:$AY$205,'Census Data'!$AJ$6:$AJ$205,Computation!$B19,'Census Data'!$F$6:$F$205,Computation!$A$13,'Census Data'!$AE$6:$AE$205,Computation!$I$4,'Census Data'!$AA$6:$AA$205,Computation!I$5)</f>
        <v>0</v>
      </c>
      <c r="J19" s="47">
        <f>SUMIFS('Census Data'!$AY$6:$AY$205,'Census Data'!$AJ$6:$AJ$205,Computation!$B19,'Census Data'!$F$6:$F$205,Computation!$A$13,'Census Data'!$AE$6:$AE$205,Computation!$I$4,'Census Data'!$AA$6:$AA$205,Computation!J$5)</f>
        <v>0</v>
      </c>
      <c r="K19" s="52">
        <f>SUMIFS('Census Data'!$AV:$AV,'Census Data'!$AJ:$AJ,Computation!$B19,'Census Data'!$F:$F,Computation!$A$13,'Census Data'!$AE:$AE,Computation!I$4,'Census Data'!$AK:$AK,1)</f>
        <v>0</v>
      </c>
      <c r="L19" s="46">
        <f>SUMIFS('Census Data'!$AY$6:$AY$205,'Census Data'!$AJ$6:$AJ$205,Computation!$B19,'Census Data'!$F$6:$F$205,Computation!$A$13,'Census Data'!$AE$6:$AE$205,Computation!$L$4,'Census Data'!$AA$6:$AA$205,Computation!L$5)</f>
        <v>0</v>
      </c>
      <c r="M19" s="47">
        <f>SUMIFS('Census Data'!$AY$6:$AY$205,'Census Data'!$AJ$6:$AJ$205,Computation!$B19,'Census Data'!$F$6:$F$205,Computation!$A$13,'Census Data'!$AE$6:$AE$205,Computation!$L$4,'Census Data'!$AA$6:$AA$205,Computation!M$5)</f>
        <v>0</v>
      </c>
      <c r="N19" s="52">
        <f>SUMIFS('Census Data'!$AV:$AV,'Census Data'!$AJ:$AJ,Computation!$B19,'Census Data'!$F:$F,Computation!$A$13,'Census Data'!$AE:$AE,Computation!L$4,'Census Data'!$AK:$AK,1)</f>
        <v>0</v>
      </c>
    </row>
    <row r="20" spans="1:43" x14ac:dyDescent="0.25">
      <c r="A20" s="793" t="s">
        <v>65</v>
      </c>
      <c r="B20" s="41" t="str">
        <f t="shared" si="0"/>
        <v>0 - 17</v>
      </c>
      <c r="C20" s="46">
        <f>COUNTIFS('Census Data'!$AJ$6:$AJ$205,Computation!$B20,'Census Data'!$F$6:$F$205,Computation!$A$20,'Census Data'!$AE$6:$AE$205,Computation!$C$4,'Census Data'!$AA$6:$AA$205,Computation!C$5)</f>
        <v>0</v>
      </c>
      <c r="D20" s="46">
        <f>COUNTIFS('Census Data'!$AJ$6:$AJ$205,Computation!$B20,'Census Data'!$F$6:$F$205,Computation!$A$20,'Census Data'!$AE$6:$AE$205,Computation!$C$4,'Census Data'!$AA$6:$AA$205,Computation!D$5)</f>
        <v>0</v>
      </c>
      <c r="E20" s="43">
        <f>COUNTIFS('Census Data'!$AJ:$AJ,Computation!$B20,'Census Data'!$F:$F,Computation!$A$20,'Census Data'!$AE:$AE,Computation!C$4,'Census Data'!$AK:$AK,1)</f>
        <v>0</v>
      </c>
      <c r="F20" s="46">
        <f>COUNTIFS('Census Data'!$AJ$6:$AJ$205,Computation!$B20,'Census Data'!$F$6:$F$205,Computation!$A$20,'Census Data'!$AE$6:$AE$205,Computation!$F$4,'Census Data'!$AA$6:$AA$205,Computation!F$5)</f>
        <v>0</v>
      </c>
      <c r="G20" s="46">
        <f>COUNTIFS('Census Data'!$AJ$6:$AJ$205,Computation!$B20,'Census Data'!$F$6:$F$205,Computation!$A$20,'Census Data'!$AE$6:$AE$205,Computation!$F$4,'Census Data'!$AA$6:$AA$205,Computation!G$5)</f>
        <v>0</v>
      </c>
      <c r="H20" s="43">
        <f>COUNTIFS('Census Data'!$AJ:$AJ,Computation!$B20,'Census Data'!$F:$F,Computation!$A$20,'Census Data'!$AE:$AE,Computation!F$4,'Census Data'!$AK:$AK,1)</f>
        <v>0</v>
      </c>
      <c r="I20" s="46">
        <f>SUMIFS('Census Data'!$AY$6:$AY$205,'Census Data'!$AJ$6:$AJ$205,Computation!$B20,'Census Data'!$F$6:$F$205,Computation!$A$20,'Census Data'!$AE$6:$AE$205,Computation!$I$4,'Census Data'!$AA$6:$AA$205,Computation!I$5)</f>
        <v>0</v>
      </c>
      <c r="J20" s="43">
        <f>SUMIFS('Census Data'!$AY$6:$AY$205,'Census Data'!$AJ$6:$AJ$205,Computation!$B20,'Census Data'!$F$6:$F$205,Computation!$A$20,'Census Data'!$AE$6:$AE$205,Computation!$I$4,'Census Data'!$AA$6:$AA$205,Computation!J$5)</f>
        <v>0</v>
      </c>
      <c r="K20" s="43">
        <f>SUMIFS('Census Data'!$AV:$AV,'Census Data'!$AJ:$AJ,Computation!$B20,'Census Data'!$F:$F,Computation!$A$20,'Census Data'!$AE:$AE,Computation!I$4,'Census Data'!$AK:$AK,1)</f>
        <v>0</v>
      </c>
      <c r="L20" s="42">
        <f>SUMIFS('Census Data'!$AY$6:$AY$205,'Census Data'!$AJ$6:$AJ$205,Computation!$B20,'Census Data'!$F$6:$F$205,Computation!$A$20,'Census Data'!$AE$6:$AE$205,Computation!$L$4,'Census Data'!$AA$6:$AA$205,Computation!L$5)</f>
        <v>0</v>
      </c>
      <c r="M20" s="43">
        <f>SUMIFS('Census Data'!$AY$6:$AY$205,'Census Data'!$AJ$6:$AJ$205,Computation!$B20,'Census Data'!$F$6:$F$205,Computation!$A$20,'Census Data'!$AE$6:$AE$205,Computation!$L$4,'Census Data'!$AA$6:$AA$205,Computation!M$5)</f>
        <v>0</v>
      </c>
      <c r="N20" s="44">
        <f>SUMIFS('Census Data'!$AV:$AV,'Census Data'!$AJ:$AJ,Computation!$B20,'Census Data'!$F:$F,Computation!$A$20,'Census Data'!$AE:$AE,Computation!L$4,'Census Data'!$AK:$AK,1)</f>
        <v>0</v>
      </c>
      <c r="R20" s="20" t="s">
        <v>278</v>
      </c>
      <c r="S20" s="20">
        <f>COUNTIFS('Census Data'!$AI$6:$AI$205,Computation!$R20,'Census Data'!$F$6:$F$205,Computation!$A$20,'Census Data'!$AE$6:$AE$205,Computation!S$4,'Census Data'!$AA$6:$AA$205,Computation!S$5,'Census Data'!$H$6:$H$205,$R$4)</f>
        <v>0</v>
      </c>
      <c r="T20" s="20">
        <f>COUNTIFS('Census Data'!$AI:$AI,Computation!$R20,'Census Data'!$F:$F,Computation!$A$20,'Census Data'!$AE:$AE,Computation!S$4,'Census Data'!$AA:$AA,Computation!T$5,'Census Data'!$H:$H,Computation!R$4)</f>
        <v>0</v>
      </c>
      <c r="U20" s="20">
        <f>COUNTIFS('Census Data'!$AI:$AI,Computation!$R20,'Census Data'!$F:$F,Computation!$A$20,'Census Data'!$AE:$AE,Computation!S$4,'Census Data'!$AK:$AK,1)</f>
        <v>0</v>
      </c>
      <c r="V20" s="20">
        <f>SUMIFS('Census Data'!$AY$6:$AY$205,'Census Data'!$AI$6:$AI$205,Computation!$R20,'Census Data'!$F$6:$F$205,Computation!$A$20,'Census Data'!$AE$6:$AE$205,Computation!$V$4,'Census Data'!$AA$6:$AA$205,Computation!V$5,'Census Data'!$H$6:$H$205,$R$4)</f>
        <v>0</v>
      </c>
      <c r="W20" s="20">
        <f>SUMIFS('Census Data'!$AY$6:$AY$205,'Census Data'!$AI$6:$AI$205,Computation!$R20,'Census Data'!$F$6:$F$205,Computation!$A$20,'Census Data'!$AE$6:$AE$205,Computation!$V$4,'Census Data'!$AA$6:$AA$205,Computation!W$5,'Census Data'!$H$6:$H$205,Computation!R$4)</f>
        <v>0</v>
      </c>
      <c r="X20" s="20">
        <f>SUMIFS('Census Data'!$AV:$AV,'Census Data'!$AI:$AI,Computation!$R20,'Census Data'!$F:$F,Computation!$A$20,'Census Data'!$AE:$AE,Computation!L$4,'Census Data'!$AK:$AK,1)</f>
        <v>0</v>
      </c>
      <c r="AA20" s="20" t="s">
        <v>278</v>
      </c>
      <c r="AB20" s="20">
        <f>COUNTIFS('Census Data'!$AI$6:$AI$205,Computation!$R20,'Census Data'!$F$6:$F$205,Computation!$A$20,'Census Data'!$AE$6:$AE$205,Computation!AB$4,'Census Data'!$AA$6:$AA$205,Computation!AB$5,'Census Data'!$H$6:$H$205,$AA$4)</f>
        <v>0</v>
      </c>
      <c r="AC20" s="20">
        <f>COUNTIFS('Census Data'!$AI:$AI,Computation!$R20,'Census Data'!$F:$F,Computation!$A$20,'Census Data'!$AE:$AE,Computation!AB$4,'Census Data'!$AA:$AA,Computation!AC$5,'Census Data'!$H:$H,Computation!AA$4)</f>
        <v>0</v>
      </c>
      <c r="AE20" s="20">
        <f>SUMIFS('Census Data'!$AY$6:$AY$205,'Census Data'!$AI$6:$AI$205,Computation!$R20,'Census Data'!$F$6:$F$205,Computation!$A$20,'Census Data'!$AE$6:$AE$205,Computation!$V$4,'Census Data'!$AA$6:$AA$205,Computation!AE$5,'Census Data'!$H$6:$H$205,$AA$4)</f>
        <v>0</v>
      </c>
      <c r="AF20" s="20">
        <f>SUMIFS('Census Data'!$AY$6:$AY$205,'Census Data'!$AI$6:$AI$205,Computation!$R20,'Census Data'!$F$6:$F$205,Computation!$A$20,'Census Data'!$AE$6:$AE$205,Computation!$V$4,'Census Data'!$AA$6:$AA$205,Computation!AF$5,'Census Data'!$H$6:$H$205,Computation!AA$4)</f>
        <v>0</v>
      </c>
      <c r="AK20" s="20" t="s">
        <v>278</v>
      </c>
      <c r="AL20" s="20">
        <f>COUNTIFS('Census Data'!$AI$6:$AI$205,Computation!$AK20,'Census Data'!$F$6:$F$205,Computation!$A$20,'Census Data'!$AE$6:$AE$205,Computation!$C$4,'Census Data'!$AA$6:$AA$205,Computation!C$5)</f>
        <v>0</v>
      </c>
      <c r="AM20" s="20">
        <f>COUNTIFS('Census Data'!$AI$6:$AI$205,Computation!$AK20,'Census Data'!$F$6:$F$205,Computation!$A$20,'Census Data'!$AE$6:$AE$205,Computation!$C$4,'Census Data'!$AA$6:$AA$205,Computation!D$5)</f>
        <v>0</v>
      </c>
      <c r="AN20" s="20">
        <f>COUNTIFS('Census Data'!$AI:$AI,Computation!$AK20,'Census Data'!$F:$F,Computation!$A$20,'Census Data'!$AE:$AE,Computation!C$4,'Census Data'!$AK:$AK,1)</f>
        <v>0</v>
      </c>
      <c r="AO20" s="20">
        <f>SUMIFS('Census Data'!$AY$6:$AY$205,'Census Data'!$AI$6:$AI$205,Computation!$AK20,'Census Data'!$F$6:$F$205,Computation!$A$20,'Census Data'!$AE$6:$AE$205,Computation!$I$4,'Census Data'!$AA$6:$AA$205,Computation!I$5)</f>
        <v>0</v>
      </c>
      <c r="AP20" s="20">
        <f>SUMIFS('Census Data'!$AY$6:$AY$205,'Census Data'!$AI$6:$AI$205,Computation!$AK20,'Census Data'!$F$6:$F$205,Computation!$A$20,'Census Data'!$AE$6:$AE$205,Computation!$I$4,'Census Data'!$AA$6:$AA$205,Computation!J$5)</f>
        <v>0</v>
      </c>
      <c r="AQ20" s="20">
        <f>SUMIFS('Census Data'!$AV:$AV,'Census Data'!$AI:$AI,Computation!$AK20,'Census Data'!$F:$F,Computation!$A$20,'Census Data'!$AE:$AE,Computation!I$4,'Census Data'!$AK:$AK,1)</f>
        <v>0</v>
      </c>
    </row>
    <row r="21" spans="1:43" x14ac:dyDescent="0.25">
      <c r="A21" s="794"/>
      <c r="B21" s="45" t="str">
        <f t="shared" si="0"/>
        <v>18 - 35</v>
      </c>
      <c r="C21" s="46">
        <f>COUNTIFS('Census Data'!$AJ$6:$AJ$205,Computation!$B21,'Census Data'!$F$6:$F$205,Computation!$A$20,'Census Data'!$AE$6:$AE$205,Computation!$C$4,'Census Data'!$AA$6:$AA$205,Computation!C$5)</f>
        <v>0</v>
      </c>
      <c r="D21" s="46">
        <f>COUNTIFS('Census Data'!$AJ$6:$AJ$205,Computation!$B21,'Census Data'!$F$6:$F$205,Computation!$A$20,'Census Data'!$AE$6:$AE$205,Computation!$C$4,'Census Data'!$AA$6:$AA$205,Computation!D$5)</f>
        <v>0</v>
      </c>
      <c r="E21" s="48">
        <f>COUNTIFS('Census Data'!$AJ:$AJ,Computation!$B21,'Census Data'!$F:$F,Computation!$A$20,'Census Data'!$AE:$AE,Computation!C$4,'Census Data'!$AK:$AK,1)</f>
        <v>0</v>
      </c>
      <c r="F21" s="46">
        <f>COUNTIFS('Census Data'!$AJ$6:$AJ$205,Computation!$B21,'Census Data'!$F$6:$F$205,Computation!$A$20,'Census Data'!$AE$6:$AE$205,Computation!$F$4,'Census Data'!$AA$6:$AA$205,Computation!F$5)</f>
        <v>0</v>
      </c>
      <c r="G21" s="46">
        <f>COUNTIFS('Census Data'!$AJ$6:$AJ$205,Computation!$B21,'Census Data'!$F$6:$F$205,Computation!$A$20,'Census Data'!$AE$6:$AE$205,Computation!$F$4,'Census Data'!$AA$6:$AA$205,Computation!G$5)</f>
        <v>0</v>
      </c>
      <c r="H21" s="47">
        <f>COUNTIFS('Census Data'!$AJ:$AJ,Computation!$B21,'Census Data'!$F:$F,Computation!$A$20,'Census Data'!$AE:$AE,Computation!F$4,'Census Data'!$AK:$AK,1)</f>
        <v>0</v>
      </c>
      <c r="I21" s="46">
        <f>SUMIFS('Census Data'!$AY$6:$AY$205,'Census Data'!$AJ$6:$AJ$205,Computation!$B21,'Census Data'!$F$6:$F$205,Computation!$A$20,'Census Data'!$AE$6:$AE$205,Computation!$I$4,'Census Data'!$AA$6:$AA$205,Computation!I$5)</f>
        <v>0</v>
      </c>
      <c r="J21" s="47">
        <f>SUMIFS('Census Data'!$AY$6:$AY$205,'Census Data'!$AJ$6:$AJ$205,Computation!$B21,'Census Data'!$F$6:$F$205,Computation!$A$20,'Census Data'!$AE$6:$AE$205,Computation!$I$4,'Census Data'!$AA$6:$AA$205,Computation!J$5)</f>
        <v>0</v>
      </c>
      <c r="K21" s="47">
        <f>SUMIFS('Census Data'!$AV:$AV,'Census Data'!$AJ:$AJ,Computation!$B21,'Census Data'!$F:$F,Computation!$A$20,'Census Data'!$AE:$AE,Computation!I$4,'Census Data'!$AK:$AK,1)</f>
        <v>0</v>
      </c>
      <c r="L21" s="46">
        <f>SUMIFS('Census Data'!$AY$6:$AY$205,'Census Data'!$AJ$6:$AJ$205,Computation!$B21,'Census Data'!$F$6:$F$205,Computation!$A$20,'Census Data'!$AE$6:$AE$205,Computation!$L$4,'Census Data'!$AA$6:$AA$205,Computation!L$5)</f>
        <v>0</v>
      </c>
      <c r="M21" s="47">
        <f>SUMIFS('Census Data'!$AY$6:$AY$205,'Census Data'!$AJ$6:$AJ$205,Computation!$B21,'Census Data'!$F$6:$F$205,Computation!$A$20,'Census Data'!$AE$6:$AE$205,Computation!$L$4,'Census Data'!$AA$6:$AA$205,Computation!M$5)</f>
        <v>0</v>
      </c>
      <c r="N21" s="48">
        <f>SUMIFS('Census Data'!$AV:$AV,'Census Data'!$AJ:$AJ,Computation!$B21,'Census Data'!$F:$F,Computation!$A$20,'Census Data'!$AE:$AE,Computation!L$4,'Census Data'!$AK:$AK,1)</f>
        <v>0</v>
      </c>
      <c r="R21" s="20" t="s">
        <v>280</v>
      </c>
      <c r="S21" s="20">
        <f>COUNTIFS('Census Data'!$AI$6:$AI$205,Computation!$R21,'Census Data'!$F$6:$F$205,Computation!$A$20,'Census Data'!$AE$6:$AE$205,Computation!S$4,'Census Data'!$AA$6:$AA$205,Computation!S$5,'Census Data'!$H$6:$H$205,$R$4)</f>
        <v>0</v>
      </c>
      <c r="T21" s="20">
        <f>COUNTIFS('Census Data'!$AI:$AI,Computation!$R21,'Census Data'!$F:$F,Computation!$A$20,'Census Data'!$AE:$AE,Computation!S$4,'Census Data'!$AA:$AA,Computation!T$5,'Census Data'!$H:$H,Computation!R$4)</f>
        <v>0</v>
      </c>
      <c r="U21" s="20">
        <f>COUNTIFS('Census Data'!$AI:$AI,Computation!$R21,'Census Data'!$F:$F,Computation!$A$20,'Census Data'!$AE:$AE,Computation!S$4,'Census Data'!$AK:$AK,1)</f>
        <v>0</v>
      </c>
      <c r="V21" s="20">
        <f>SUMIFS('Census Data'!$AY$6:$AY$205,'Census Data'!$AI$6:$AI$205,Computation!$R21,'Census Data'!$F$6:$F$205,Computation!$A$20,'Census Data'!$AE$6:$AE$205,Computation!$V$4,'Census Data'!$AA$6:$AA$205,Computation!V$5,'Census Data'!$H$6:$H$205,$R$4)</f>
        <v>0</v>
      </c>
      <c r="W21" s="20">
        <f>SUMIFS('Census Data'!$AY$6:$AY$205,'Census Data'!$AI$6:$AI$205,Computation!$R21,'Census Data'!$F$6:$F$205,Computation!$A$20,'Census Data'!$AE$6:$AE$205,Computation!$V$4,'Census Data'!$AA$6:$AA$205,Computation!W$5,'Census Data'!$H$6:$H$205,Computation!R$4)</f>
        <v>0</v>
      </c>
      <c r="X21" s="20">
        <f>SUMIFS('Census Data'!$AV:$AV,'Census Data'!$AI:$AI,Computation!$R21,'Census Data'!$F:$F,Computation!$A$20,'Census Data'!$AE:$AE,Computation!L$4,'Census Data'!$AK:$AK,1)</f>
        <v>0</v>
      </c>
      <c r="AA21" s="20" t="s">
        <v>280</v>
      </c>
      <c r="AB21" s="20">
        <f>COUNTIFS('Census Data'!$AI$6:$AI$205,Computation!$R21,'Census Data'!$F$6:$F$205,Computation!$A$20,'Census Data'!$AE$6:$AE$205,Computation!AB$4,'Census Data'!$AA$6:$AA$205,Computation!AB$5,'Census Data'!$H$6:$H$205,$AA$4)</f>
        <v>0</v>
      </c>
      <c r="AC21" s="20">
        <f>COUNTIFS('Census Data'!$AI:$AI,Computation!$R21,'Census Data'!$F:$F,Computation!$A$20,'Census Data'!$AE:$AE,Computation!AB$4,'Census Data'!$AA:$AA,Computation!AC$5,'Census Data'!$H:$H,Computation!AA$4)</f>
        <v>0</v>
      </c>
      <c r="AE21" s="20">
        <f>SUMIFS('Census Data'!$AY$6:$AY$205,'Census Data'!$AI$6:$AI$205,Computation!$R21,'Census Data'!$F$6:$F$205,Computation!$A$20,'Census Data'!$AE$6:$AE$205,Computation!$V$4,'Census Data'!$AA$6:$AA$205,Computation!AE$5,'Census Data'!$H$6:$H$205,$AA$4)</f>
        <v>0</v>
      </c>
      <c r="AF21" s="20">
        <f>SUMIFS('Census Data'!$AY$6:$AY$205,'Census Data'!$AI$6:$AI$205,Computation!$R21,'Census Data'!$F$6:$F$205,Computation!$A$20,'Census Data'!$AE$6:$AE$205,Computation!$V$4,'Census Data'!$AA$6:$AA$205,Computation!AF$5,'Census Data'!$H$6:$H$205,Computation!AA$4)</f>
        <v>0</v>
      </c>
      <c r="AK21" s="20" t="s">
        <v>280</v>
      </c>
      <c r="AL21" s="20">
        <f>COUNTIFS('Census Data'!$AI$6:$AI$205,Computation!$AK21,'Census Data'!$F$6:$F$205,Computation!$A$20,'Census Data'!$AE$6:$AE$205,Computation!$C$4,'Census Data'!$AA$6:$AA$205,Computation!C$5)</f>
        <v>0</v>
      </c>
      <c r="AM21" s="20">
        <f>COUNTIFS('Census Data'!$AI$6:$AI$205,Computation!$AK21,'Census Data'!$F$6:$F$205,Computation!$A$20,'Census Data'!$AE$6:$AE$205,Computation!$C$4,'Census Data'!$AA$6:$AA$205,Computation!D$5)</f>
        <v>0</v>
      </c>
      <c r="AN21" s="20">
        <f>COUNTIFS('Census Data'!$AI:$AI,Computation!$AK21,'Census Data'!$F:$F,Computation!$A$20,'Census Data'!$AE:$AE,Computation!C$4,'Census Data'!$AK:$AK,1)</f>
        <v>0</v>
      </c>
      <c r="AO21" s="20">
        <f>SUMIFS('Census Data'!$AY$6:$AY$205,'Census Data'!$AI$6:$AI$205,Computation!$AK21,'Census Data'!$F$6:$F$205,Computation!$A$20,'Census Data'!$AE$6:$AE$205,Computation!$I$4,'Census Data'!$AA$6:$AA$205,Computation!I$5)</f>
        <v>0</v>
      </c>
      <c r="AP21" s="20">
        <f>SUMIFS('Census Data'!$AY$6:$AY$205,'Census Data'!$AI$6:$AI$205,Computation!$AK21,'Census Data'!$F$6:$F$205,Computation!$A$20,'Census Data'!$AE$6:$AE$205,Computation!$I$4,'Census Data'!$AA$6:$AA$205,Computation!J$5)</f>
        <v>0</v>
      </c>
      <c r="AQ21" s="20">
        <f>SUMIFS('Census Data'!$AV:$AV,'Census Data'!$AI:$AI,Computation!$AK21,'Census Data'!$F:$F,Computation!$A$20,'Census Data'!$AE:$AE,Computation!I$4,'Census Data'!$AK:$AK,1)</f>
        <v>0</v>
      </c>
    </row>
    <row r="22" spans="1:43" x14ac:dyDescent="0.25">
      <c r="A22" s="794"/>
      <c r="B22" s="45" t="str">
        <f t="shared" si="0"/>
        <v>36 - 45</v>
      </c>
      <c r="C22" s="46">
        <f>COUNTIFS('Census Data'!$AJ$6:$AJ$205,Computation!$B22,'Census Data'!$F$6:$F$205,Computation!$A$20,'Census Data'!$AE$6:$AE$205,Computation!$C$4,'Census Data'!$AA$6:$AA$205,Computation!C$5)</f>
        <v>0</v>
      </c>
      <c r="D22" s="46">
        <f>COUNTIFS('Census Data'!$AJ$6:$AJ$205,Computation!$B22,'Census Data'!$F$6:$F$205,Computation!$A$20,'Census Data'!$AE$6:$AE$205,Computation!$C$4,'Census Data'!$AA$6:$AA$205,Computation!D$5)</f>
        <v>0</v>
      </c>
      <c r="E22" s="48">
        <f>COUNTIFS('Census Data'!$AJ:$AJ,Computation!$B22,'Census Data'!$F:$F,Computation!$A$20,'Census Data'!$AE:$AE,Computation!C$4,'Census Data'!$AK:$AK,1)</f>
        <v>0</v>
      </c>
      <c r="F22" s="46">
        <f>COUNTIFS('Census Data'!$AJ$6:$AJ$205,Computation!$B22,'Census Data'!$F$6:$F$205,Computation!$A$20,'Census Data'!$AE$6:$AE$205,Computation!$F$4,'Census Data'!$AA$6:$AA$205,Computation!F$5)</f>
        <v>0</v>
      </c>
      <c r="G22" s="46">
        <f>COUNTIFS('Census Data'!$AJ$6:$AJ$205,Computation!$B22,'Census Data'!$F$6:$F$205,Computation!$A$20,'Census Data'!$AE$6:$AE$205,Computation!$F$4,'Census Data'!$AA$6:$AA$205,Computation!G$5)</f>
        <v>0</v>
      </c>
      <c r="H22" s="47">
        <f>COUNTIFS('Census Data'!$AJ:$AJ,Computation!$B22,'Census Data'!$F:$F,Computation!$A$20,'Census Data'!$AE:$AE,Computation!F$4,'Census Data'!$AK:$AK,1)</f>
        <v>0</v>
      </c>
      <c r="I22" s="46">
        <f>SUMIFS('Census Data'!$AY$6:$AY$205,'Census Data'!$AJ$6:$AJ$205,Computation!$B22,'Census Data'!$F$6:$F$205,Computation!$A$20,'Census Data'!$AE$6:$AE$205,Computation!$I$4,'Census Data'!$AA$6:$AA$205,Computation!I$5)</f>
        <v>0</v>
      </c>
      <c r="J22" s="47">
        <f>SUMIFS('Census Data'!$AY$6:$AY$205,'Census Data'!$AJ$6:$AJ$205,Computation!$B22,'Census Data'!$F$6:$F$205,Computation!$A$20,'Census Data'!$AE$6:$AE$205,Computation!$I$4,'Census Data'!$AA$6:$AA$205,Computation!J$5)</f>
        <v>0</v>
      </c>
      <c r="K22" s="47">
        <f>SUMIFS('Census Data'!$AV:$AV,'Census Data'!$AJ:$AJ,Computation!$B22,'Census Data'!$F:$F,Computation!$A$20,'Census Data'!$AE:$AE,Computation!I$4,'Census Data'!$AK:$AK,1)</f>
        <v>0</v>
      </c>
      <c r="L22" s="46">
        <f>SUMIFS('Census Data'!$AY$6:$AY$205,'Census Data'!$AJ$6:$AJ$205,Computation!$B22,'Census Data'!$F$6:$F$205,Computation!$A$20,'Census Data'!$AE$6:$AE$205,Computation!$L$4,'Census Data'!$AA$6:$AA$205,Computation!L$5)</f>
        <v>0</v>
      </c>
      <c r="M22" s="47">
        <f>SUMIFS('Census Data'!$AY$6:$AY$205,'Census Data'!$AJ$6:$AJ$205,Computation!$B22,'Census Data'!$F$6:$F$205,Computation!$A$20,'Census Data'!$AE$6:$AE$205,Computation!$L$4,'Census Data'!$AA$6:$AA$205,Computation!M$5)</f>
        <v>0</v>
      </c>
      <c r="N22" s="48">
        <f>SUMIFS('Census Data'!$AV:$AV,'Census Data'!$AJ:$AJ,Computation!$B22,'Census Data'!$F:$F,Computation!$A$20,'Census Data'!$AE:$AE,Computation!L$4,'Census Data'!$AK:$AK,1)</f>
        <v>0</v>
      </c>
      <c r="R22" s="20" t="s">
        <v>282</v>
      </c>
      <c r="S22" s="20">
        <f>COUNTIFS('Census Data'!$AI$6:$AI$205,Computation!$R22,'Census Data'!$F$6:$F$205,Computation!$A$20,'Census Data'!$AE$6:$AE$205,Computation!S$4,'Census Data'!$AA$6:$AA$205,Computation!S$5,'Census Data'!$H$6:$H$205,$R$4)</f>
        <v>0</v>
      </c>
      <c r="T22" s="20">
        <f>COUNTIFS('Census Data'!$AI:$AI,Computation!$R22,'Census Data'!$F:$F,Computation!$A$20,'Census Data'!$AE:$AE,Computation!S$4,'Census Data'!$AA:$AA,Computation!T$5,'Census Data'!$H:$H,Computation!R$4)</f>
        <v>0</v>
      </c>
      <c r="U22" s="20">
        <f>COUNTIFS('Census Data'!$AI:$AI,Computation!$R22,'Census Data'!$F:$F,Computation!$A$20,'Census Data'!$AE:$AE,Computation!S$4,'Census Data'!$AK:$AK,1)</f>
        <v>0</v>
      </c>
      <c r="V22" s="20">
        <f>SUMIFS('Census Data'!$AY$6:$AY$205,'Census Data'!$AI$6:$AI$205,Computation!$R22,'Census Data'!$F$6:$F$205,Computation!$A$20,'Census Data'!$AE$6:$AE$205,Computation!$V$4,'Census Data'!$AA$6:$AA$205,Computation!V$5,'Census Data'!$H$6:$H$205,$R$4)</f>
        <v>0</v>
      </c>
      <c r="W22" s="20">
        <f>SUMIFS('Census Data'!$AY$6:$AY$205,'Census Data'!$AI$6:$AI$205,Computation!$R22,'Census Data'!$F$6:$F$205,Computation!$A$20,'Census Data'!$AE$6:$AE$205,Computation!$V$4,'Census Data'!$AA$6:$AA$205,Computation!W$5,'Census Data'!$H$6:$H$205,Computation!R$4)</f>
        <v>0</v>
      </c>
      <c r="X22" s="20">
        <f>SUMIFS('Census Data'!$AV:$AV,'Census Data'!$AI:$AI,Computation!$R22,'Census Data'!$F:$F,Computation!$A$20,'Census Data'!$AE:$AE,Computation!L$4,'Census Data'!$AK:$AK,1)</f>
        <v>0</v>
      </c>
      <c r="AA22" s="20" t="s">
        <v>282</v>
      </c>
      <c r="AB22" s="20">
        <f>COUNTIFS('Census Data'!$AI$6:$AI$205,Computation!$R22,'Census Data'!$F$6:$F$205,Computation!$A$20,'Census Data'!$AE$6:$AE$205,Computation!AB$4,'Census Data'!$AA$6:$AA$205,Computation!AB$5,'Census Data'!$H$6:$H$205,$AA$4)</f>
        <v>0</v>
      </c>
      <c r="AC22" s="20">
        <f>COUNTIFS('Census Data'!$AI:$AI,Computation!$R22,'Census Data'!$F:$F,Computation!$A$20,'Census Data'!$AE:$AE,Computation!AB$4,'Census Data'!$AA:$AA,Computation!AC$5,'Census Data'!$H:$H,Computation!AA$4)</f>
        <v>0</v>
      </c>
      <c r="AE22" s="20">
        <f>SUMIFS('Census Data'!$AY$6:$AY$205,'Census Data'!$AI$6:$AI$205,Computation!$R22,'Census Data'!$F$6:$F$205,Computation!$A$20,'Census Data'!$AE$6:$AE$205,Computation!$V$4,'Census Data'!$AA$6:$AA$205,Computation!AE$5,'Census Data'!$H$6:$H$205,$AA$4)</f>
        <v>0</v>
      </c>
      <c r="AF22" s="20">
        <f>SUMIFS('Census Data'!$AY$6:$AY$205,'Census Data'!$AI$6:$AI$205,Computation!$R22,'Census Data'!$F$6:$F$205,Computation!$A$20,'Census Data'!$AE$6:$AE$205,Computation!$V$4,'Census Data'!$AA$6:$AA$205,Computation!AF$5,'Census Data'!$H$6:$H$205,Computation!AA$4)</f>
        <v>0</v>
      </c>
      <c r="AK22" s="20" t="s">
        <v>282</v>
      </c>
      <c r="AL22" s="20">
        <f>COUNTIFS('Census Data'!$AI$6:$AI$205,Computation!$AK22,'Census Data'!$F$6:$F$205,Computation!$A$20,'Census Data'!$AE$6:$AE$205,Computation!$C$4,'Census Data'!$AA$6:$AA$205,Computation!C$5)</f>
        <v>0</v>
      </c>
      <c r="AM22" s="20">
        <f>COUNTIFS('Census Data'!$AI$6:$AI$205,Computation!$AK22,'Census Data'!$F$6:$F$205,Computation!$A$20,'Census Data'!$AE$6:$AE$205,Computation!$C$4,'Census Data'!$AA$6:$AA$205,Computation!D$5)</f>
        <v>0</v>
      </c>
      <c r="AN22" s="20">
        <f>COUNTIFS('Census Data'!$AI:$AI,Computation!$AK22,'Census Data'!$F:$F,Computation!$A$20,'Census Data'!$AE:$AE,Computation!C$4,'Census Data'!$AK:$AK,1)</f>
        <v>0</v>
      </c>
      <c r="AO22" s="20">
        <f>SUMIFS('Census Data'!$AY$6:$AY$205,'Census Data'!$AI$6:$AI$205,Computation!$AK22,'Census Data'!$F$6:$F$205,Computation!$A$20,'Census Data'!$AE$6:$AE$205,Computation!$I$4,'Census Data'!$AA$6:$AA$205,Computation!I$5)</f>
        <v>0</v>
      </c>
      <c r="AP22" s="20">
        <f>SUMIFS('Census Data'!$AY$6:$AY$205,'Census Data'!$AI$6:$AI$205,Computation!$AK22,'Census Data'!$F$6:$F$205,Computation!$A$20,'Census Data'!$AE$6:$AE$205,Computation!$I$4,'Census Data'!$AA$6:$AA$205,Computation!J$5)</f>
        <v>0</v>
      </c>
      <c r="AQ22" s="20">
        <f>SUMIFS('Census Data'!$AV:$AV,'Census Data'!$AI:$AI,Computation!$AK22,'Census Data'!$F:$F,Computation!$A$20,'Census Data'!$AE:$AE,Computation!I$4,'Census Data'!$AK:$AK,1)</f>
        <v>0</v>
      </c>
    </row>
    <row r="23" spans="1:43" x14ac:dyDescent="0.25">
      <c r="A23" s="794"/>
      <c r="B23" s="45" t="str">
        <f t="shared" si="0"/>
        <v>46 - 55</v>
      </c>
      <c r="C23" s="46">
        <f>COUNTIFS('Census Data'!$AJ$6:$AJ$205,Computation!$B23,'Census Data'!$F$6:$F$205,Computation!$A$20,'Census Data'!$AE$6:$AE$205,Computation!$C$4,'Census Data'!$AA$6:$AA$205,Computation!C$5)</f>
        <v>0</v>
      </c>
      <c r="D23" s="46">
        <f>COUNTIFS('Census Data'!$AJ$6:$AJ$205,Computation!$B23,'Census Data'!$F$6:$F$205,Computation!$A$20,'Census Data'!$AE$6:$AE$205,Computation!$C$4,'Census Data'!$AA$6:$AA$205,Computation!D$5)</f>
        <v>0</v>
      </c>
      <c r="E23" s="48">
        <f>COUNTIFS('Census Data'!$AJ:$AJ,Computation!$B23,'Census Data'!$F:$F,Computation!$A$20,'Census Data'!$AE:$AE,Computation!C$4,'Census Data'!$AK:$AK,1)</f>
        <v>0</v>
      </c>
      <c r="F23" s="46">
        <f>COUNTIFS('Census Data'!$AJ$6:$AJ$205,Computation!$B23,'Census Data'!$F$6:$F$205,Computation!$A$20,'Census Data'!$AE$6:$AE$205,Computation!$F$4,'Census Data'!$AA$6:$AA$205,Computation!F$5)</f>
        <v>0</v>
      </c>
      <c r="G23" s="46">
        <f>COUNTIFS('Census Data'!$AJ$6:$AJ$205,Computation!$B23,'Census Data'!$F$6:$F$205,Computation!$A$20,'Census Data'!$AE$6:$AE$205,Computation!$F$4,'Census Data'!$AA$6:$AA$205,Computation!G$5)</f>
        <v>0</v>
      </c>
      <c r="H23" s="47">
        <f>COUNTIFS('Census Data'!$AJ:$AJ,Computation!$B23,'Census Data'!$F:$F,Computation!$A$20,'Census Data'!$AE:$AE,Computation!F$4,'Census Data'!$AK:$AK,1)</f>
        <v>0</v>
      </c>
      <c r="I23" s="46">
        <f>SUMIFS('Census Data'!$AY$6:$AY$205,'Census Data'!$AJ$6:$AJ$205,Computation!$B23,'Census Data'!$F$6:$F$205,Computation!$A$20,'Census Data'!$AE$6:$AE$205,Computation!$I$4,'Census Data'!$AA$6:$AA$205,Computation!I$5)</f>
        <v>0</v>
      </c>
      <c r="J23" s="47">
        <f>SUMIFS('Census Data'!$AY$6:$AY$205,'Census Data'!$AJ$6:$AJ$205,Computation!$B23,'Census Data'!$F$6:$F$205,Computation!$A$20,'Census Data'!$AE$6:$AE$205,Computation!$I$4,'Census Data'!$AA$6:$AA$205,Computation!J$5)</f>
        <v>0</v>
      </c>
      <c r="K23" s="47">
        <f>SUMIFS('Census Data'!$AV:$AV,'Census Data'!$AJ:$AJ,Computation!$B23,'Census Data'!$F:$F,Computation!$A$20,'Census Data'!$AE:$AE,Computation!I$4,'Census Data'!$AK:$AK,1)</f>
        <v>0</v>
      </c>
      <c r="L23" s="46">
        <f>SUMIFS('Census Data'!$AY$6:$AY$205,'Census Data'!$AJ$6:$AJ$205,Computation!$B23,'Census Data'!$F$6:$F$205,Computation!$A$20,'Census Data'!$AE$6:$AE$205,Computation!$L$4,'Census Data'!$AA$6:$AA$205,Computation!L$5)</f>
        <v>0</v>
      </c>
      <c r="M23" s="47">
        <f>SUMIFS('Census Data'!$AY$6:$AY$205,'Census Data'!$AJ$6:$AJ$205,Computation!$B23,'Census Data'!$F$6:$F$205,Computation!$A$20,'Census Data'!$AE$6:$AE$205,Computation!$L$4,'Census Data'!$AA$6:$AA$205,Computation!M$5)</f>
        <v>0</v>
      </c>
      <c r="N23" s="48">
        <f>SUMIFS('Census Data'!$AV:$AV,'Census Data'!$AJ:$AJ,Computation!$B23,'Census Data'!$F:$F,Computation!$A$20,'Census Data'!$AE:$AE,Computation!L$4,'Census Data'!$AK:$AK,1)</f>
        <v>0</v>
      </c>
      <c r="R23" s="20" t="s">
        <v>284</v>
      </c>
      <c r="S23" s="20">
        <f>COUNTIFS('Census Data'!$AI$6:$AI$205,Computation!$R23,'Census Data'!$F$6:$F$205,Computation!$A$20,'Census Data'!$AE$6:$AE$205,Computation!S$4,'Census Data'!$AA$6:$AA$205,Computation!S$5,'Census Data'!$H$6:$H$205,$R$4)</f>
        <v>0</v>
      </c>
      <c r="T23" s="20">
        <f>COUNTIFS('Census Data'!$AI:$AI,Computation!$R23,'Census Data'!$F:$F,Computation!$A$20,'Census Data'!$AE:$AE,Computation!S$4,'Census Data'!$AA:$AA,Computation!T$5,'Census Data'!$H:$H,Computation!R$4)</f>
        <v>0</v>
      </c>
      <c r="U23" s="20">
        <f>COUNTIFS('Census Data'!$AI:$AI,Computation!$R23,'Census Data'!$F:$F,Computation!$A$20,'Census Data'!$AE:$AE,Computation!S$4,'Census Data'!$AK:$AK,1)</f>
        <v>0</v>
      </c>
      <c r="V23" s="20">
        <f>SUMIFS('Census Data'!$AY$6:$AY$205,'Census Data'!$AI$6:$AI$205,Computation!$R23,'Census Data'!$F$6:$F$205,Computation!$A$20,'Census Data'!$AE$6:$AE$205,Computation!$V$4,'Census Data'!$AA$6:$AA$205,Computation!V$5,'Census Data'!$H$6:$H$205,$R$4)</f>
        <v>0</v>
      </c>
      <c r="W23" s="20">
        <f>SUMIFS('Census Data'!$AY$6:$AY$205,'Census Data'!$AI$6:$AI$205,Computation!$R23,'Census Data'!$F$6:$F$205,Computation!$A$20,'Census Data'!$AE$6:$AE$205,Computation!$V$4,'Census Data'!$AA$6:$AA$205,Computation!W$5,'Census Data'!$H$6:$H$205,Computation!R$4)</f>
        <v>0</v>
      </c>
      <c r="X23" s="20">
        <f>SUMIFS('Census Data'!$AV:$AV,'Census Data'!$AI:$AI,Computation!$R23,'Census Data'!$F:$F,Computation!$A$20,'Census Data'!$AE:$AE,Computation!L$4,'Census Data'!$AK:$AK,1)</f>
        <v>0</v>
      </c>
      <c r="AA23" s="20" t="s">
        <v>284</v>
      </c>
      <c r="AB23" s="20">
        <f>COUNTIFS('Census Data'!$AI$6:$AI$205,Computation!$R23,'Census Data'!$F$6:$F$205,Computation!$A$20,'Census Data'!$AE$6:$AE$205,Computation!AB$4,'Census Data'!$AA$6:$AA$205,Computation!AB$5,'Census Data'!$H$6:$H$205,$AA$4)</f>
        <v>0</v>
      </c>
      <c r="AC23" s="20">
        <f>COUNTIFS('Census Data'!$AI:$AI,Computation!$R23,'Census Data'!$F:$F,Computation!$A$20,'Census Data'!$AE:$AE,Computation!AB$4,'Census Data'!$AA:$AA,Computation!AC$5,'Census Data'!$H:$H,Computation!AA$4)</f>
        <v>0</v>
      </c>
      <c r="AE23" s="20">
        <f>SUMIFS('Census Data'!$AY$6:$AY$205,'Census Data'!$AI$6:$AI$205,Computation!$R23,'Census Data'!$F$6:$F$205,Computation!$A$20,'Census Data'!$AE$6:$AE$205,Computation!$V$4,'Census Data'!$AA$6:$AA$205,Computation!AE$5,'Census Data'!$H$6:$H$205,$AA$4)</f>
        <v>0</v>
      </c>
      <c r="AF23" s="20">
        <f>SUMIFS('Census Data'!$AY$6:$AY$205,'Census Data'!$AI$6:$AI$205,Computation!$R23,'Census Data'!$F$6:$F$205,Computation!$A$20,'Census Data'!$AE$6:$AE$205,Computation!$V$4,'Census Data'!$AA$6:$AA$205,Computation!AF$5,'Census Data'!$H$6:$H$205,Computation!AA$4)</f>
        <v>0</v>
      </c>
      <c r="AK23" s="20" t="s">
        <v>284</v>
      </c>
      <c r="AL23" s="20">
        <f>COUNTIFS('Census Data'!$AI$6:$AI$205,Computation!$AK23,'Census Data'!$F$6:$F$205,Computation!$A$20,'Census Data'!$AE$6:$AE$205,Computation!$C$4,'Census Data'!$AA$6:$AA$205,Computation!C$5)</f>
        <v>0</v>
      </c>
      <c r="AM23" s="20">
        <f>COUNTIFS('Census Data'!$AI$6:$AI$205,Computation!$AK23,'Census Data'!$F$6:$F$205,Computation!$A$20,'Census Data'!$AE$6:$AE$205,Computation!$C$4,'Census Data'!$AA$6:$AA$205,Computation!D$5)</f>
        <v>0</v>
      </c>
      <c r="AN23" s="20">
        <f>COUNTIFS('Census Data'!$AI:$AI,Computation!$AK23,'Census Data'!$F:$F,Computation!$A$20,'Census Data'!$AE:$AE,Computation!C$4,'Census Data'!$AK:$AK,1)</f>
        <v>0</v>
      </c>
      <c r="AO23" s="20">
        <f>SUMIFS('Census Data'!$AY$6:$AY$205,'Census Data'!$AI$6:$AI$205,Computation!$AK23,'Census Data'!$F$6:$F$205,Computation!$A$20,'Census Data'!$AE$6:$AE$205,Computation!$I$4,'Census Data'!$AA$6:$AA$205,Computation!I$5)</f>
        <v>0</v>
      </c>
      <c r="AP23" s="20">
        <f>SUMIFS('Census Data'!$AY$6:$AY$205,'Census Data'!$AI$6:$AI$205,Computation!$AK23,'Census Data'!$F$6:$F$205,Computation!$A$20,'Census Data'!$AE$6:$AE$205,Computation!$I$4,'Census Data'!$AA$6:$AA$205,Computation!J$5)</f>
        <v>0</v>
      </c>
      <c r="AQ23" s="20">
        <f>SUMIFS('Census Data'!$AV:$AV,'Census Data'!$AI:$AI,Computation!$AK23,'Census Data'!$F:$F,Computation!$A$20,'Census Data'!$AE:$AE,Computation!I$4,'Census Data'!$AK:$AK,1)</f>
        <v>0</v>
      </c>
    </row>
    <row r="24" spans="1:43" x14ac:dyDescent="0.25">
      <c r="A24" s="794"/>
      <c r="B24" s="45" t="str">
        <f t="shared" si="0"/>
        <v>56 - 60</v>
      </c>
      <c r="C24" s="46">
        <f>COUNTIFS('Census Data'!$AJ$6:$AJ$205,Computation!$B24,'Census Data'!$F$6:$F$205,Computation!$A$20,'Census Data'!$AE$6:$AE$205,Computation!$C$4,'Census Data'!$AA$6:$AA$205,Computation!C$5)</f>
        <v>0</v>
      </c>
      <c r="D24" s="46">
        <f>COUNTIFS('Census Data'!$AJ$6:$AJ$205,Computation!$B24,'Census Data'!$F$6:$F$205,Computation!$A$20,'Census Data'!$AE$6:$AE$205,Computation!$C$4,'Census Data'!$AA$6:$AA$205,Computation!D$5)</f>
        <v>0</v>
      </c>
      <c r="E24" s="48">
        <f>COUNTIFS('Census Data'!$AJ:$AJ,Computation!$B24,'Census Data'!$F:$F,Computation!$A$20,'Census Data'!$AE:$AE,Computation!C$4,'Census Data'!$AK:$AK,1)</f>
        <v>0</v>
      </c>
      <c r="F24" s="46">
        <f>COUNTIFS('Census Data'!$AJ$6:$AJ$205,Computation!$B24,'Census Data'!$F$6:$F$205,Computation!$A$20,'Census Data'!$AE$6:$AE$205,Computation!$F$4,'Census Data'!$AA$6:$AA$205,Computation!F$5)</f>
        <v>0</v>
      </c>
      <c r="G24" s="46">
        <f>COUNTIFS('Census Data'!$AJ$6:$AJ$205,Computation!$B24,'Census Data'!$F$6:$F$205,Computation!$A$20,'Census Data'!$AE$6:$AE$205,Computation!$F$4,'Census Data'!$AA$6:$AA$205,Computation!G$5)</f>
        <v>0</v>
      </c>
      <c r="H24" s="47">
        <f>COUNTIFS('Census Data'!$AJ:$AJ,Computation!$B24,'Census Data'!$F:$F,Computation!$A$20,'Census Data'!$AE:$AE,Computation!F$4,'Census Data'!$AK:$AK,1)</f>
        <v>0</v>
      </c>
      <c r="I24" s="46">
        <f>SUMIFS('Census Data'!$AY$6:$AY$205,'Census Data'!$AJ$6:$AJ$205,Computation!$B24,'Census Data'!$F$6:$F$205,Computation!$A$20,'Census Data'!$AE$6:$AE$205,Computation!$I$4,'Census Data'!$AA$6:$AA$205,Computation!I$5)</f>
        <v>0</v>
      </c>
      <c r="J24" s="47">
        <f>SUMIFS('Census Data'!$AY$6:$AY$205,'Census Data'!$AJ$6:$AJ$205,Computation!$B24,'Census Data'!$F$6:$F$205,Computation!$A$20,'Census Data'!$AE$6:$AE$205,Computation!$I$4,'Census Data'!$AA$6:$AA$205,Computation!J$5)</f>
        <v>0</v>
      </c>
      <c r="K24" s="47">
        <f>SUMIFS('Census Data'!$AV:$AV,'Census Data'!$AJ:$AJ,Computation!$B24,'Census Data'!$F:$F,Computation!$A$20,'Census Data'!$AE:$AE,Computation!I$4,'Census Data'!$AK:$AK,1)</f>
        <v>0</v>
      </c>
      <c r="L24" s="46">
        <f>SUMIFS('Census Data'!$AY$6:$AY$205,'Census Data'!$AJ$6:$AJ$205,Computation!$B24,'Census Data'!$F$6:$F$205,Computation!$A$20,'Census Data'!$AE$6:$AE$205,Computation!$L$4,'Census Data'!$AA$6:$AA$205,Computation!L$5)</f>
        <v>0</v>
      </c>
      <c r="M24" s="47">
        <f>SUMIFS('Census Data'!$AY$6:$AY$205,'Census Data'!$AJ$6:$AJ$205,Computation!$B24,'Census Data'!$F$6:$F$205,Computation!$A$20,'Census Data'!$AE$6:$AE$205,Computation!$L$4,'Census Data'!$AA$6:$AA$205,Computation!M$5)</f>
        <v>0</v>
      </c>
      <c r="N24" s="48">
        <f>SUMIFS('Census Data'!$AV:$AV,'Census Data'!$AJ:$AJ,Computation!$B24,'Census Data'!$F:$F,Computation!$A$20,'Census Data'!$AE:$AE,Computation!L$4,'Census Data'!$AK:$AK,1)</f>
        <v>0</v>
      </c>
    </row>
    <row r="25" spans="1:43" x14ac:dyDescent="0.25">
      <c r="A25" s="794"/>
      <c r="B25" s="45" t="str">
        <f t="shared" si="0"/>
        <v>61 - 65</v>
      </c>
      <c r="C25" s="46">
        <f>COUNTIFS('Census Data'!$AJ$6:$AJ$205,Computation!$B25,'Census Data'!$F$6:$F$205,Computation!$A$20,'Census Data'!$AE$6:$AE$205,Computation!$C$4,'Census Data'!$AA$6:$AA$205,Computation!C$5)</f>
        <v>0</v>
      </c>
      <c r="D25" s="46">
        <f>COUNTIFS('Census Data'!$AJ$6:$AJ$205,Computation!$B25,'Census Data'!$F$6:$F$205,Computation!$A$20,'Census Data'!$AE$6:$AE$205,Computation!$C$4,'Census Data'!$AA$6:$AA$205,Computation!D$5)</f>
        <v>0</v>
      </c>
      <c r="E25" s="48">
        <f>COUNTIFS('Census Data'!$AJ:$AJ,Computation!$B25,'Census Data'!$F:$F,Computation!$A$20,'Census Data'!$AE:$AE,Computation!C$4,'Census Data'!$AK:$AK,1)</f>
        <v>0</v>
      </c>
      <c r="F25" s="46">
        <f>COUNTIFS('Census Data'!$AJ$6:$AJ$205,Computation!$B25,'Census Data'!$F$6:$F$205,Computation!$A$20,'Census Data'!$AE$6:$AE$205,Computation!$F$4,'Census Data'!$AA$6:$AA$205,Computation!F$5)</f>
        <v>0</v>
      </c>
      <c r="G25" s="46">
        <f>COUNTIFS('Census Data'!$AJ$6:$AJ$205,Computation!$B25,'Census Data'!$F$6:$F$205,Computation!$A$20,'Census Data'!$AE$6:$AE$205,Computation!$F$4,'Census Data'!$AA$6:$AA$205,Computation!G$5)</f>
        <v>0</v>
      </c>
      <c r="H25" s="47">
        <f>COUNTIFS('Census Data'!$AJ:$AJ,Computation!$B25,'Census Data'!$F:$F,Computation!$A$20,'Census Data'!$AE:$AE,Computation!F$4,'Census Data'!$AK:$AK,1)</f>
        <v>0</v>
      </c>
      <c r="I25" s="46">
        <f>SUMIFS('Census Data'!$AY$6:$AY$205,'Census Data'!$AJ$6:$AJ$205,Computation!$B25,'Census Data'!$F$6:$F$205,Computation!$A$20,'Census Data'!$AE$6:$AE$205,Computation!$I$4,'Census Data'!$AA$6:$AA$205,Computation!I$5)</f>
        <v>0</v>
      </c>
      <c r="J25" s="47">
        <f>SUMIFS('Census Data'!$AY$6:$AY$205,'Census Data'!$AJ$6:$AJ$205,Computation!$B25,'Census Data'!$F$6:$F$205,Computation!$A$20,'Census Data'!$AE$6:$AE$205,Computation!$I$4,'Census Data'!$AA$6:$AA$205,Computation!J$5)</f>
        <v>0</v>
      </c>
      <c r="K25" s="47">
        <f>SUMIFS('Census Data'!$AV:$AV,'Census Data'!$AJ:$AJ,Computation!$B25,'Census Data'!$F:$F,Computation!$A$20,'Census Data'!$AE:$AE,Computation!I$4,'Census Data'!$AK:$AK,1)</f>
        <v>0</v>
      </c>
      <c r="L25" s="46">
        <f>SUMIFS('Census Data'!$AY$6:$AY$205,'Census Data'!$AJ$6:$AJ$205,Computation!$B25,'Census Data'!$F$6:$F$205,Computation!$A$20,'Census Data'!$AE$6:$AE$205,Computation!$L$4,'Census Data'!$AA$6:$AA$205,Computation!L$5)</f>
        <v>0</v>
      </c>
      <c r="M25" s="47">
        <f>SUMIFS('Census Data'!$AY$6:$AY$205,'Census Data'!$AJ$6:$AJ$205,Computation!$B25,'Census Data'!$F$6:$F$205,Computation!$A$20,'Census Data'!$AE$6:$AE$205,Computation!$L$4,'Census Data'!$AA$6:$AA$205,Computation!M$5)</f>
        <v>0</v>
      </c>
      <c r="N25" s="48">
        <f>SUMIFS('Census Data'!$AV:$AV,'Census Data'!$AJ:$AJ,Computation!$B25,'Census Data'!$F:$F,Computation!$A$20,'Census Data'!$AE:$AE,Computation!L$4,'Census Data'!$AK:$AK,1)</f>
        <v>0</v>
      </c>
    </row>
    <row r="26" spans="1:43" x14ac:dyDescent="0.25">
      <c r="A26" s="794"/>
      <c r="B26" s="45" t="str">
        <f t="shared" si="0"/>
        <v>66 - 69</v>
      </c>
      <c r="C26" s="46">
        <f>COUNTIFS('Census Data'!$AJ$6:$AJ$205,Computation!$B26,'Census Data'!$F$6:$F$205,Computation!$A$20,'Census Data'!$AE$6:$AE$205,Computation!$C$4,'Census Data'!$AA$6:$AA$205,Computation!C$5)</f>
        <v>0</v>
      </c>
      <c r="D26" s="46">
        <f>COUNTIFS('Census Data'!$AJ$6:$AJ$205,Computation!$B26,'Census Data'!$F$6:$F$205,Computation!$A$20,'Census Data'!$AE$6:$AE$205,Computation!$C$4,'Census Data'!$AA$6:$AA$205,Computation!D$5)</f>
        <v>0</v>
      </c>
      <c r="E26" s="48">
        <f>COUNTIFS('Census Data'!$AJ:$AJ,Computation!$B26,'Census Data'!$F:$F,Computation!$A$20,'Census Data'!$AE:$AE,Computation!C$4,'Census Data'!$AK:$AK,1)</f>
        <v>0</v>
      </c>
      <c r="F26" s="46">
        <f>COUNTIFS('Census Data'!$AJ$6:$AJ$205,Computation!$B26,'Census Data'!$F$6:$F$205,Computation!$A$20,'Census Data'!$AE$6:$AE$205,Computation!$F$4,'Census Data'!$AA$6:$AA$205,Computation!F$5)</f>
        <v>0</v>
      </c>
      <c r="G26" s="46">
        <f>COUNTIFS('Census Data'!$AJ$6:$AJ$205,Computation!$B26,'Census Data'!$F$6:$F$205,Computation!$A$20,'Census Data'!$AE$6:$AE$205,Computation!$F$4,'Census Data'!$AA$6:$AA$205,Computation!G$5)</f>
        <v>0</v>
      </c>
      <c r="H26" s="47">
        <f>COUNTIFS('Census Data'!$AJ:$AJ,Computation!$B26,'Census Data'!$F:$F,Computation!$A$20,'Census Data'!$AE:$AE,Computation!F$4,'Census Data'!$AK:$AK,1)</f>
        <v>0</v>
      </c>
      <c r="I26" s="46">
        <f>SUMIFS('Census Data'!$AY$6:$AY$205,'Census Data'!$AJ$6:$AJ$205,Computation!$B26,'Census Data'!$F$6:$F$205,Computation!$A$20,'Census Data'!$AE$6:$AE$205,Computation!$I$4,'Census Data'!$AA$6:$AA$205,Computation!I$5)</f>
        <v>0</v>
      </c>
      <c r="J26" s="47">
        <f>SUMIFS('Census Data'!$AY$6:$AY$205,'Census Data'!$AJ$6:$AJ$205,Computation!$B26,'Census Data'!$F$6:$F$205,Computation!$A$20,'Census Data'!$AE$6:$AE$205,Computation!$I$4,'Census Data'!$AA$6:$AA$205,Computation!J$5)</f>
        <v>0</v>
      </c>
      <c r="K26" s="47">
        <f>SUMIFS('Census Data'!$AV:$AV,'Census Data'!$AJ:$AJ,Computation!$B26,'Census Data'!$F:$F,Computation!$A$20,'Census Data'!$AE:$AE,Computation!I$4,'Census Data'!$AK:$AK,1)</f>
        <v>0</v>
      </c>
      <c r="L26" s="46">
        <f>SUMIFS('Census Data'!$AY$6:$AY$205,'Census Data'!$AJ$6:$AJ$205,Computation!$B26,'Census Data'!$F$6:$F$205,Computation!$A$20,'Census Data'!$AE$6:$AE$205,Computation!$L$4,'Census Data'!$AA$6:$AA$205,Computation!L$5)</f>
        <v>0</v>
      </c>
      <c r="M26" s="47">
        <f>SUMIFS('Census Data'!$AY$6:$AY$205,'Census Data'!$AJ$6:$AJ$205,Computation!$B26,'Census Data'!$F$6:$F$205,Computation!$A$20,'Census Data'!$AE$6:$AE$205,Computation!$L$4,'Census Data'!$AA$6:$AA$205,Computation!M$5)</f>
        <v>0</v>
      </c>
      <c r="N26" s="48">
        <f>SUMIFS('Census Data'!$AV:$AV,'Census Data'!$AJ:$AJ,Computation!$B26,'Census Data'!$F:$F,Computation!$A$20,'Census Data'!$AE:$AE,Computation!L$4,'Census Data'!$AK:$AK,1)</f>
        <v>0</v>
      </c>
    </row>
    <row r="27" spans="1:43" x14ac:dyDescent="0.25">
      <c r="A27" s="793" t="s">
        <v>66</v>
      </c>
      <c r="B27" s="41" t="str">
        <f t="shared" si="0"/>
        <v>0 - 17</v>
      </c>
      <c r="C27" s="46">
        <f>COUNTIFS('Census Data'!$AJ$6:$AJ$205,Computation!$B27,'Census Data'!$F$6:$F$205,Computation!$A$27,'Census Data'!$AE$6:$AE$205,Computation!$C$4,'Census Data'!$AA$6:$AA$205,Computation!C$5)</f>
        <v>0</v>
      </c>
      <c r="D27" s="43">
        <f>COUNTIFS('Census Data'!$AJ$6:$AJ$205,Computation!$B27,'Census Data'!$F$6:$F$205,Computation!$A$27,'Census Data'!$AE$6:$AE$205,Computation!$C$4,'Census Data'!$AA$6:$AA$205,Computation!D$5)</f>
        <v>0</v>
      </c>
      <c r="E27" s="43">
        <f>COUNTIFS('Census Data'!$AJ:$AJ,Computation!$B27,'Census Data'!$F:$F,Computation!$A$27,'Census Data'!$AE:$AE,Computation!C$4,'Census Data'!$AK:$AK,1)</f>
        <v>0</v>
      </c>
      <c r="F27" s="42">
        <f>COUNTIFS('Census Data'!$AJ$6:$AJ$205,Computation!$B27,'Census Data'!$F$6:$F$205,Computation!$A$27,'Census Data'!$AE$6:$AE$205,Computation!$F$4,'Census Data'!$AA$6:$AA$205,Computation!F$5)</f>
        <v>0</v>
      </c>
      <c r="G27" s="43">
        <f>COUNTIFS('Census Data'!$AJ$6:$AJ$205,Computation!$B27,'Census Data'!$F$6:$F$205,Computation!$A$27,'Census Data'!$AE$6:$AE$205,Computation!$F$4,'Census Data'!$AA$6:$AA$205,Computation!G$5)</f>
        <v>0</v>
      </c>
      <c r="H27" s="43">
        <f>COUNTIFS('Census Data'!$AJ:$AJ,Computation!$B27,'Census Data'!$F:$F,Computation!$A$27,'Census Data'!$AE:$AE,Computation!F$4,'Census Data'!$AK:$AK,1)</f>
        <v>0</v>
      </c>
      <c r="I27" s="46">
        <f>SUMIFS('Census Data'!$AY$6:$AY$205,'Census Data'!$AJ$6:$AJ$205,Computation!$B27,'Census Data'!$F$6:$F$205,Computation!$A$27,'Census Data'!$AE$6:$AE$205,Computation!$I$4,'Census Data'!$AA$6:$AA$205,Computation!I$5)</f>
        <v>0</v>
      </c>
      <c r="J27" s="43">
        <f>SUMIFS('Census Data'!$AY$6:$AY$205,'Census Data'!$AJ$6:$AJ$205,Computation!$B27,'Census Data'!$F$6:$F$205,Computation!$A$27,'Census Data'!$AE$6:$AE$205,Computation!$I$4,'Census Data'!$AA$6:$AA$205,Computation!J$5)</f>
        <v>0</v>
      </c>
      <c r="K27" s="43">
        <f>SUMIFS('Census Data'!$AV:$AV,'Census Data'!$AJ:$AJ,Computation!$B27,'Census Data'!$F:$F,Computation!$A$27,'Census Data'!$AE:$AE,Computation!I$4,'Census Data'!$AK:$AK,1)</f>
        <v>0</v>
      </c>
      <c r="L27" s="46">
        <f>SUMIFS('Census Data'!$AY$6:$AY$205,'Census Data'!$AJ$6:$AJ$205,Computation!$B27,'Census Data'!$F$6:$F$205,Computation!$A$27,'Census Data'!$AE$6:$AE$205,Computation!$L$4,'Census Data'!$AA$6:$AA$205,Computation!L$5)</f>
        <v>0</v>
      </c>
      <c r="M27" s="43">
        <f>SUMIFS('Census Data'!$AY$6:$AY$205,'Census Data'!$AJ$6:$AJ$205,Computation!$B27,'Census Data'!$F$6:$F$205,Computation!$A$27,'Census Data'!$AE$6:$AE$205,Computation!$L$4,'Census Data'!$AA$6:$AA$205,Computation!M$5)</f>
        <v>0</v>
      </c>
      <c r="N27" s="44">
        <f>SUMIFS('Census Data'!$AV:$AV,'Census Data'!$AJ:$AJ,Computation!$B27,'Census Data'!$F:$F,Computation!$A$27,'Census Data'!$AE:$AE,Computation!L$4,'Census Data'!$AK:$AK,1)</f>
        <v>0</v>
      </c>
      <c r="R27" s="20" t="s">
        <v>278</v>
      </c>
      <c r="S27" s="20">
        <f>COUNTIFS('Census Data'!$AI$6:$AI$205,Computation!$R27,'Census Data'!$F$6:$F$205,Computation!$A$27,'Census Data'!$AE$6:$AE$205,Computation!S$4,'Census Data'!$AA$6:$AA$205,Computation!S$5,'Census Data'!$H$6:$H$205,$R$4)</f>
        <v>0</v>
      </c>
      <c r="T27" s="20">
        <f>COUNTIFS('Census Data'!$AI:$AI,Computation!$R27,'Census Data'!$F:$F,Computation!$A$27,'Census Data'!$AE:$AE,Computation!S$4,'Census Data'!$AA:$AA,Computation!T$5,'Census Data'!$H:$H,Computation!R$4)</f>
        <v>0</v>
      </c>
      <c r="U27" s="20">
        <f>COUNTIFS('Census Data'!$AI:$AI,Computation!$R27,'Census Data'!$F:$F,Computation!$A$27,'Census Data'!$AE:$AE,Computation!S$4,'Census Data'!$AK:$AK,1)</f>
        <v>0</v>
      </c>
      <c r="V27" s="20">
        <f>SUMIFS('Census Data'!$AY$6:$AY$205,'Census Data'!$AI$6:$AI$205,Computation!$R27,'Census Data'!$F$6:$F$205,Computation!$A$27,'Census Data'!$AE$6:$AE$205,Computation!$V$4,'Census Data'!$AA$6:$AA$205,Computation!V$5,'Census Data'!$H$6:$H$205,$R$4)</f>
        <v>0</v>
      </c>
      <c r="W27" s="20">
        <f>SUMIFS('Census Data'!$AY$6:$AY$205,'Census Data'!$AI$6:$AI$205,Computation!$R27,'Census Data'!$F$6:$F$205,Computation!$A$27,'Census Data'!$AE$6:$AE$205,Computation!$V$4,'Census Data'!$AA$6:$AA$205,Computation!W$5,'Census Data'!$H$6:$H$205,Computation!R$4)</f>
        <v>0</v>
      </c>
      <c r="X27" s="20">
        <f>SUMIFS('Census Data'!$AV:$AV,'Census Data'!$AI:$AI,Computation!$R27,'Census Data'!$F:$F,Computation!$A$27,'Census Data'!$AE:$AE,Computation!L$4,'Census Data'!$AK:$AK,1)</f>
        <v>0</v>
      </c>
      <c r="AA27" s="20" t="s">
        <v>278</v>
      </c>
      <c r="AB27" s="20">
        <f>COUNTIFS('Census Data'!$AI$6:$AI$205,Computation!$R27,'Census Data'!$F$6:$F$205,Computation!$A$27,'Census Data'!$AE$6:$AE$205,Computation!AB$4,'Census Data'!$AA$6:$AA$205,Computation!AB$5,'Census Data'!$H$6:$H$205,$AA$4)</f>
        <v>0</v>
      </c>
      <c r="AC27" s="20">
        <f>COUNTIFS('Census Data'!$AI:$AI,Computation!$R27,'Census Data'!$F:$F,Computation!$A$27,'Census Data'!$AE:$AE,Computation!AB$4,'Census Data'!$AA:$AA,Computation!AC$5,'Census Data'!$H:$H,Computation!AA$4)</f>
        <v>0</v>
      </c>
      <c r="AE27" s="20">
        <f>SUMIFS('Census Data'!$AY$6:$AY$205,'Census Data'!$AI$6:$AI$205,Computation!$R27,'Census Data'!$F$6:$F$205,Computation!$A$27,'Census Data'!$AE$6:$AE$205,Computation!$V$4,'Census Data'!$AA$6:$AA$205,Computation!AE$5,'Census Data'!$H$6:$H$205,$AA$4)</f>
        <v>0</v>
      </c>
      <c r="AF27" s="20">
        <f>SUMIFS('Census Data'!$AY$6:$AY$205,'Census Data'!$AI$6:$AI$205,Computation!$R27,'Census Data'!$F$6:$F$205,Computation!$A$27,'Census Data'!$AE$6:$AE$205,Computation!$V$4,'Census Data'!$AA$6:$AA$205,Computation!AF$5,'Census Data'!$H$6:$H$205,Computation!AA$4)</f>
        <v>0</v>
      </c>
      <c r="AK27" s="20" t="s">
        <v>278</v>
      </c>
      <c r="AL27" s="20">
        <f>COUNTIFS('Census Data'!$AI$6:$AI$205,Computation!$AK27,'Census Data'!$F$6:$F$205,Computation!$A$27,'Census Data'!$AE$6:$AE$205,Computation!$C$4,'Census Data'!$AA$6:$AA$205,Computation!C$5)</f>
        <v>0</v>
      </c>
      <c r="AM27" s="20">
        <f>COUNTIFS('Census Data'!$AI$6:$AI$205,Computation!$AK27,'Census Data'!$F$6:$F$205,Computation!$A$27,'Census Data'!$AE$6:$AE$205,Computation!$C$4,'Census Data'!$AA$6:$AA$205,Computation!D$5)</f>
        <v>0</v>
      </c>
      <c r="AN27" s="20">
        <f>COUNTIFS('Census Data'!$AI:$AI,Computation!$AK27,'Census Data'!$F:$F,Computation!$A$27,'Census Data'!$AE:$AE,Computation!C$4,'Census Data'!$AK:$AK,1)</f>
        <v>0</v>
      </c>
      <c r="AO27" s="20">
        <f>SUMIFS('Census Data'!$AY$6:$AY$205,'Census Data'!$AI$6:$AI$205,Computation!$AK27,'Census Data'!$F$6:$F$205,Computation!$A$27,'Census Data'!$AE$6:$AE$205,Computation!$I$4,'Census Data'!$AA$6:$AA$205,Computation!I$5)</f>
        <v>0</v>
      </c>
      <c r="AP27" s="20">
        <f>SUMIFS('Census Data'!$AY$6:$AY$205,'Census Data'!$AI$6:$AI$205,Computation!$AK27,'Census Data'!$F$6:$F$205,Computation!$A$27,'Census Data'!$AE$6:$AE$205,Computation!$I$4,'Census Data'!$AA$6:$AA$205,Computation!J$5)</f>
        <v>0</v>
      </c>
      <c r="AQ27" s="20">
        <f>SUMIFS('Census Data'!$AV:$AV,'Census Data'!$AI:$AI,Computation!$AK27,'Census Data'!$F:$F,Computation!$A$27,'Census Data'!$AE:$AE,Computation!I$4,'Census Data'!$AK:$AK,1)</f>
        <v>0</v>
      </c>
    </row>
    <row r="28" spans="1:43" x14ac:dyDescent="0.25">
      <c r="A28" s="794"/>
      <c r="B28" s="45" t="str">
        <f t="shared" si="0"/>
        <v>18 - 35</v>
      </c>
      <c r="C28" s="46">
        <f>COUNTIFS('Census Data'!$AJ$6:$AJ$205,Computation!$B28,'Census Data'!$F$6:$F$205,Computation!$A$27,'Census Data'!$AE$6:$AE$205,Computation!$C$4,'Census Data'!$AA$6:$AA$205,Computation!C$5)</f>
        <v>0</v>
      </c>
      <c r="D28" s="47">
        <f>COUNTIFS('Census Data'!$AJ$6:$AJ$205,Computation!$B28,'Census Data'!$F$6:$F$205,Computation!$A$27,'Census Data'!$AE$6:$AE$205,Computation!$C$4,'Census Data'!$AA$6:$AA$205,Computation!D$5)</f>
        <v>0</v>
      </c>
      <c r="E28" s="48">
        <f>COUNTIFS('Census Data'!$AJ:$AJ,Computation!$B28,'Census Data'!$F:$F,Computation!$A$27,'Census Data'!$AE:$AE,Computation!C$4,'Census Data'!$AK:$AK,1)</f>
        <v>0</v>
      </c>
      <c r="F28" s="46">
        <f>COUNTIFS('Census Data'!$AJ$6:$AJ$205,Computation!$B28,'Census Data'!$F$6:$F$205,Computation!$A$27,'Census Data'!$AE$6:$AE$205,Computation!$F$4,'Census Data'!$AA$6:$AA$205,Computation!F$5)</f>
        <v>0</v>
      </c>
      <c r="G28" s="47">
        <f>COUNTIFS('Census Data'!$AJ$6:$AJ$205,Computation!$B28,'Census Data'!$F$6:$F$205,Computation!$A$27,'Census Data'!$AE$6:$AE$205,Computation!$F$4,'Census Data'!$AA$6:$AA$205,Computation!G$5)</f>
        <v>0</v>
      </c>
      <c r="H28" s="47">
        <f>COUNTIFS('Census Data'!$AJ:$AJ,Computation!$B28,'Census Data'!$F:$F,Computation!$A$27,'Census Data'!$AE:$AE,Computation!F$4,'Census Data'!$AK:$AK,1)</f>
        <v>0</v>
      </c>
      <c r="I28" s="46">
        <f>SUMIFS('Census Data'!$AY$6:$AY$205,'Census Data'!$AJ$6:$AJ$205,Computation!$B28,'Census Data'!$F$6:$F$205,Computation!$A$27,'Census Data'!$AE$6:$AE$205,Computation!$I$4,'Census Data'!$AA$6:$AA$205,Computation!I$5)</f>
        <v>0</v>
      </c>
      <c r="J28" s="47">
        <f>SUMIFS('Census Data'!$AY$6:$AY$205,'Census Data'!$AJ$6:$AJ$205,Computation!$B28,'Census Data'!$F$6:$F$205,Computation!$A$27,'Census Data'!$AE$6:$AE$205,Computation!$I$4,'Census Data'!$AA$6:$AA$205,Computation!J$5)</f>
        <v>0</v>
      </c>
      <c r="K28" s="47">
        <f>SUMIFS('Census Data'!$AV:$AV,'Census Data'!$AJ:$AJ,Computation!$B28,'Census Data'!$F:$F,Computation!$A$27,'Census Data'!$AE:$AE,Computation!I$4,'Census Data'!$AK:$AK,1)</f>
        <v>0</v>
      </c>
      <c r="L28" s="46">
        <f>SUMIFS('Census Data'!$AY$6:$AY$205,'Census Data'!$AJ$6:$AJ$205,Computation!$B28,'Census Data'!$F$6:$F$205,Computation!$A$27,'Census Data'!$AE$6:$AE$205,Computation!$L$4,'Census Data'!$AA$6:$AA$205,Computation!L$5)</f>
        <v>0</v>
      </c>
      <c r="M28" s="47">
        <f>SUMIFS('Census Data'!$AY$6:$AY$205,'Census Data'!$AJ$6:$AJ$205,Computation!$B28,'Census Data'!$F$6:$F$205,Computation!$A$27,'Census Data'!$AE$6:$AE$205,Computation!$L$4,'Census Data'!$AA$6:$AA$205,Computation!M$5)</f>
        <v>0</v>
      </c>
      <c r="N28" s="48">
        <f>SUMIFS('Census Data'!$AV:$AV,'Census Data'!$AJ:$AJ,Computation!$B28,'Census Data'!$F:$F,Computation!$A$27,'Census Data'!$AE:$AE,Computation!L$4,'Census Data'!$AK:$AK,1)</f>
        <v>0</v>
      </c>
      <c r="R28" s="20" t="s">
        <v>280</v>
      </c>
      <c r="S28" s="20">
        <f>COUNTIFS('Census Data'!$AI$6:$AI$205,Computation!$R28,'Census Data'!$F$6:$F$205,Computation!$A$27,'Census Data'!$AE$6:$AE$205,Computation!S$4,'Census Data'!$AA$6:$AA$205,Computation!S$5,'Census Data'!$H$6:$H$205,$R$4)</f>
        <v>0</v>
      </c>
      <c r="T28" s="20">
        <f>COUNTIFS('Census Data'!$AI:$AI,Computation!$R28,'Census Data'!$F:$F,Computation!$A$27,'Census Data'!$AE:$AE,Computation!S$4,'Census Data'!$AA:$AA,Computation!T$5,'Census Data'!$H:$H,Computation!R$4)</f>
        <v>0</v>
      </c>
      <c r="U28" s="20">
        <f>COUNTIFS('Census Data'!$AI:$AI,Computation!$R28,'Census Data'!$F:$F,Computation!$A$27,'Census Data'!$AE:$AE,Computation!S$4,'Census Data'!$AK:$AK,1)</f>
        <v>0</v>
      </c>
      <c r="V28" s="20">
        <f>SUMIFS('Census Data'!$AY$6:$AY$205,'Census Data'!$AI$6:$AI$205,Computation!$R28,'Census Data'!$F$6:$F$205,Computation!$A$27,'Census Data'!$AE$6:$AE$205,Computation!$V$4,'Census Data'!$AA$6:$AA$205,Computation!V$5,'Census Data'!$H$6:$H$205,$R$4)</f>
        <v>0</v>
      </c>
      <c r="W28" s="20">
        <f>SUMIFS('Census Data'!$AY$6:$AY$205,'Census Data'!$AI$6:$AI$205,Computation!$R28,'Census Data'!$F$6:$F$205,Computation!$A$27,'Census Data'!$AE$6:$AE$205,Computation!$V$4,'Census Data'!$AA$6:$AA$205,Computation!W$5,'Census Data'!$H$6:$H$205,Computation!R$4)</f>
        <v>0</v>
      </c>
      <c r="X28" s="20">
        <f>SUMIFS('Census Data'!$AV:$AV,'Census Data'!$AI:$AI,Computation!$R28,'Census Data'!$F:$F,Computation!$A$27,'Census Data'!$AE:$AE,Computation!L$4,'Census Data'!$AK:$AK,1)</f>
        <v>0</v>
      </c>
      <c r="AA28" s="20" t="s">
        <v>280</v>
      </c>
      <c r="AB28" s="20">
        <f>COUNTIFS('Census Data'!$AI$6:$AI$205,Computation!$R28,'Census Data'!$F$6:$F$205,Computation!$A$27,'Census Data'!$AE$6:$AE$205,Computation!AB$4,'Census Data'!$AA$6:$AA$205,Computation!AB$5,'Census Data'!$H$6:$H$205,$AA$4)</f>
        <v>0</v>
      </c>
      <c r="AC28" s="20">
        <f>COUNTIFS('Census Data'!$AI:$AI,Computation!$R28,'Census Data'!$F:$F,Computation!$A$27,'Census Data'!$AE:$AE,Computation!AB$4,'Census Data'!$AA:$AA,Computation!AC$5,'Census Data'!$H:$H,Computation!AA$4)</f>
        <v>0</v>
      </c>
      <c r="AE28" s="20">
        <f>SUMIFS('Census Data'!$AY$6:$AY$205,'Census Data'!$AI$6:$AI$205,Computation!$R28,'Census Data'!$F$6:$F$205,Computation!$A$27,'Census Data'!$AE$6:$AE$205,Computation!$V$4,'Census Data'!$AA$6:$AA$205,Computation!AE$5,'Census Data'!$H$6:$H$205,$AA$4)</f>
        <v>0</v>
      </c>
      <c r="AF28" s="20">
        <f>SUMIFS('Census Data'!$AY$6:$AY$205,'Census Data'!$AI$6:$AI$205,Computation!$R28,'Census Data'!$F$6:$F$205,Computation!$A$27,'Census Data'!$AE$6:$AE$205,Computation!$V$4,'Census Data'!$AA$6:$AA$205,Computation!AF$5,'Census Data'!$H$6:$H$205,Computation!AA$4)</f>
        <v>0</v>
      </c>
      <c r="AK28" s="20" t="s">
        <v>280</v>
      </c>
      <c r="AL28" s="20">
        <f>COUNTIFS('Census Data'!$AI$6:$AI$205,Computation!$AK28,'Census Data'!$F$6:$F$205,Computation!$A$27,'Census Data'!$AE$6:$AE$205,Computation!$C$4,'Census Data'!$AA$6:$AA$205,Computation!C$5)</f>
        <v>0</v>
      </c>
      <c r="AM28" s="20">
        <f>COUNTIFS('Census Data'!$AI$6:$AI$205,Computation!$AK28,'Census Data'!$F$6:$F$205,Computation!$A$27,'Census Data'!$AE$6:$AE$205,Computation!$C$4,'Census Data'!$AA$6:$AA$205,Computation!D$5)</f>
        <v>0</v>
      </c>
      <c r="AN28" s="20">
        <f>COUNTIFS('Census Data'!$AI:$AI,Computation!$AK28,'Census Data'!$F:$F,Computation!$A$27,'Census Data'!$AE:$AE,Computation!C$4,'Census Data'!$AK:$AK,1)</f>
        <v>0</v>
      </c>
      <c r="AO28" s="20">
        <f>SUMIFS('Census Data'!$AY$6:$AY$205,'Census Data'!$AI$6:$AI$205,Computation!$AK28,'Census Data'!$F$6:$F$205,Computation!$A$27,'Census Data'!$AE$6:$AE$205,Computation!$I$4,'Census Data'!$AA$6:$AA$205,Computation!I$5)</f>
        <v>0</v>
      </c>
      <c r="AP28" s="20">
        <f>SUMIFS('Census Data'!$AY$6:$AY$205,'Census Data'!$AI$6:$AI$205,Computation!$AK28,'Census Data'!$F$6:$F$205,Computation!$A$27,'Census Data'!$AE$6:$AE$205,Computation!$I$4,'Census Data'!$AA$6:$AA$205,Computation!J$5)</f>
        <v>0</v>
      </c>
      <c r="AQ28" s="20">
        <f>SUMIFS('Census Data'!$AV:$AV,'Census Data'!$AI:$AI,Computation!$AK28,'Census Data'!$F:$F,Computation!$A$27,'Census Data'!$AE:$AE,Computation!I$4,'Census Data'!$AK:$AK,1)</f>
        <v>0</v>
      </c>
    </row>
    <row r="29" spans="1:43" x14ac:dyDescent="0.25">
      <c r="A29" s="794"/>
      <c r="B29" s="45" t="str">
        <f t="shared" si="0"/>
        <v>36 - 45</v>
      </c>
      <c r="C29" s="46">
        <f>COUNTIFS('Census Data'!$AJ$6:$AJ$205,Computation!$B29,'Census Data'!$F$6:$F$205,Computation!$A$27,'Census Data'!$AE$6:$AE$205,Computation!$C$4,'Census Data'!$AA$6:$AA$205,Computation!C$5)</f>
        <v>0</v>
      </c>
      <c r="D29" s="47">
        <f>COUNTIFS('Census Data'!$AJ$6:$AJ$205,Computation!$B29,'Census Data'!$F$6:$F$205,Computation!$A$27,'Census Data'!$AE$6:$AE$205,Computation!$C$4,'Census Data'!$AA$6:$AA$205,Computation!D$5)</f>
        <v>0</v>
      </c>
      <c r="E29" s="48">
        <f>COUNTIFS('Census Data'!$AJ:$AJ,Computation!$B29,'Census Data'!$F:$F,Computation!$A$27,'Census Data'!$AE:$AE,Computation!C$4,'Census Data'!$AK:$AK,1)</f>
        <v>0</v>
      </c>
      <c r="F29" s="46">
        <f>COUNTIFS('Census Data'!$AJ$6:$AJ$205,Computation!$B29,'Census Data'!$F$6:$F$205,Computation!$A$27,'Census Data'!$AE$6:$AE$205,Computation!$F$4,'Census Data'!$AA$6:$AA$205,Computation!F$5)</f>
        <v>0</v>
      </c>
      <c r="G29" s="47">
        <f>COUNTIFS('Census Data'!$AJ$6:$AJ$205,Computation!$B29,'Census Data'!$F$6:$F$205,Computation!$A$27,'Census Data'!$AE$6:$AE$205,Computation!$F$4,'Census Data'!$AA$6:$AA$205,Computation!G$5)</f>
        <v>0</v>
      </c>
      <c r="H29" s="47">
        <f>COUNTIFS('Census Data'!$AJ:$AJ,Computation!$B29,'Census Data'!$F:$F,Computation!$A$27,'Census Data'!$AE:$AE,Computation!F$4,'Census Data'!$AK:$AK,1)</f>
        <v>0</v>
      </c>
      <c r="I29" s="46">
        <f>SUMIFS('Census Data'!$AY$6:$AY$205,'Census Data'!$AJ$6:$AJ$205,Computation!$B29,'Census Data'!$F$6:$F$205,Computation!$A$27,'Census Data'!$AE$6:$AE$205,Computation!$I$4,'Census Data'!$AA$6:$AA$205,Computation!I$5)</f>
        <v>0</v>
      </c>
      <c r="J29" s="47">
        <f>SUMIFS('Census Data'!$AY$6:$AY$205,'Census Data'!$AJ$6:$AJ$205,Computation!$B29,'Census Data'!$F$6:$F$205,Computation!$A$27,'Census Data'!$AE$6:$AE$205,Computation!$I$4,'Census Data'!$AA$6:$AA$205,Computation!J$5)</f>
        <v>0</v>
      </c>
      <c r="K29" s="47">
        <f>SUMIFS('Census Data'!$AV:$AV,'Census Data'!$AJ:$AJ,Computation!$B29,'Census Data'!$F:$F,Computation!$A$27,'Census Data'!$AE:$AE,Computation!I$4,'Census Data'!$AK:$AK,1)</f>
        <v>0</v>
      </c>
      <c r="L29" s="46">
        <f>SUMIFS('Census Data'!$AY$6:$AY$205,'Census Data'!$AJ$6:$AJ$205,Computation!$B29,'Census Data'!$F$6:$F$205,Computation!$A$27,'Census Data'!$AE$6:$AE$205,Computation!$L$4,'Census Data'!$AA$6:$AA$205,Computation!L$5)</f>
        <v>0</v>
      </c>
      <c r="M29" s="47">
        <f>SUMIFS('Census Data'!$AY$6:$AY$205,'Census Data'!$AJ$6:$AJ$205,Computation!$B29,'Census Data'!$F$6:$F$205,Computation!$A$27,'Census Data'!$AE$6:$AE$205,Computation!$L$4,'Census Data'!$AA$6:$AA$205,Computation!M$5)</f>
        <v>0</v>
      </c>
      <c r="N29" s="48">
        <f>SUMIFS('Census Data'!$AV:$AV,'Census Data'!$AJ:$AJ,Computation!$B29,'Census Data'!$F:$F,Computation!$A$27,'Census Data'!$AE:$AE,Computation!L$4,'Census Data'!$AK:$AK,1)</f>
        <v>0</v>
      </c>
      <c r="R29" s="20" t="s">
        <v>282</v>
      </c>
      <c r="S29" s="20">
        <f>COUNTIFS('Census Data'!$AI$6:$AI$205,Computation!$R29,'Census Data'!$F$6:$F$205,Computation!$A$27,'Census Data'!$AE$6:$AE$205,Computation!S$4,'Census Data'!$AA$6:$AA$205,Computation!S$5,'Census Data'!$H$6:$H$205,$R$4)</f>
        <v>0</v>
      </c>
      <c r="T29" s="20">
        <f>COUNTIFS('Census Data'!$AI:$AI,Computation!$R29,'Census Data'!$F:$F,Computation!$A$27,'Census Data'!$AE:$AE,Computation!S$4,'Census Data'!$AA:$AA,Computation!T$5,'Census Data'!$H:$H,Computation!R$4)</f>
        <v>0</v>
      </c>
      <c r="U29" s="20">
        <f>COUNTIFS('Census Data'!$AI:$AI,Computation!$R29,'Census Data'!$F:$F,Computation!$A$27,'Census Data'!$AE:$AE,Computation!S$4,'Census Data'!$AK:$AK,1)</f>
        <v>0</v>
      </c>
      <c r="V29" s="20">
        <f>SUMIFS('Census Data'!$AY$6:$AY$205,'Census Data'!$AI$6:$AI$205,Computation!$R29,'Census Data'!$F$6:$F$205,Computation!$A$27,'Census Data'!$AE$6:$AE$205,Computation!$V$4,'Census Data'!$AA$6:$AA$205,Computation!V$5,'Census Data'!$H$6:$H$205,$R$4)</f>
        <v>0</v>
      </c>
      <c r="W29" s="20">
        <f>SUMIFS('Census Data'!$AY$6:$AY$205,'Census Data'!$AI$6:$AI$205,Computation!$R29,'Census Data'!$F$6:$F$205,Computation!$A$27,'Census Data'!$AE$6:$AE$205,Computation!$V$4,'Census Data'!$AA$6:$AA$205,Computation!W$5,'Census Data'!$H$6:$H$205,Computation!R$4)</f>
        <v>0</v>
      </c>
      <c r="X29" s="20">
        <f>SUMIFS('Census Data'!$AV:$AV,'Census Data'!$AI:$AI,Computation!$R29,'Census Data'!$F:$F,Computation!$A$27,'Census Data'!$AE:$AE,Computation!L$4,'Census Data'!$AK:$AK,1)</f>
        <v>0</v>
      </c>
      <c r="AA29" s="20" t="s">
        <v>282</v>
      </c>
      <c r="AB29" s="20">
        <f>COUNTIFS('Census Data'!$AI$6:$AI$205,Computation!$R29,'Census Data'!$F$6:$F$205,Computation!$A$27,'Census Data'!$AE$6:$AE$205,Computation!AB$4,'Census Data'!$AA$6:$AA$205,Computation!AB$5,'Census Data'!$H$6:$H$205,$AA$4)</f>
        <v>0</v>
      </c>
      <c r="AC29" s="20">
        <f>COUNTIFS('Census Data'!$AI:$AI,Computation!$R29,'Census Data'!$F:$F,Computation!$A$27,'Census Data'!$AE:$AE,Computation!AB$4,'Census Data'!$AA:$AA,Computation!AC$5,'Census Data'!$H:$H,Computation!AA$4)</f>
        <v>0</v>
      </c>
      <c r="AE29" s="20">
        <f>SUMIFS('Census Data'!$AY$6:$AY$205,'Census Data'!$AI$6:$AI$205,Computation!$R29,'Census Data'!$F$6:$F$205,Computation!$A$27,'Census Data'!$AE$6:$AE$205,Computation!$V$4,'Census Data'!$AA$6:$AA$205,Computation!AE$5,'Census Data'!$H$6:$H$205,$AA$4)</f>
        <v>0</v>
      </c>
      <c r="AF29" s="20">
        <f>SUMIFS('Census Data'!$AY$6:$AY$205,'Census Data'!$AI$6:$AI$205,Computation!$R29,'Census Data'!$F$6:$F$205,Computation!$A$27,'Census Data'!$AE$6:$AE$205,Computation!$V$4,'Census Data'!$AA$6:$AA$205,Computation!AF$5,'Census Data'!$H$6:$H$205,Computation!AA$4)</f>
        <v>0</v>
      </c>
      <c r="AK29" s="20" t="s">
        <v>282</v>
      </c>
      <c r="AL29" s="20">
        <f>COUNTIFS('Census Data'!$AI$6:$AI$205,Computation!$AK29,'Census Data'!$F$6:$F$205,Computation!$A$27,'Census Data'!$AE$6:$AE$205,Computation!$C$4,'Census Data'!$AA$6:$AA$205,Computation!C$5)</f>
        <v>0</v>
      </c>
      <c r="AM29" s="20">
        <f>COUNTIFS('Census Data'!$AI$6:$AI$205,Computation!$AK29,'Census Data'!$F$6:$F$205,Computation!$A$27,'Census Data'!$AE$6:$AE$205,Computation!$C$4,'Census Data'!$AA$6:$AA$205,Computation!D$5)</f>
        <v>0</v>
      </c>
      <c r="AN29" s="20">
        <f>COUNTIFS('Census Data'!$AI:$AI,Computation!$AK29,'Census Data'!$F:$F,Computation!$A$27,'Census Data'!$AE:$AE,Computation!C$4,'Census Data'!$AK:$AK,1)</f>
        <v>0</v>
      </c>
      <c r="AO29" s="20">
        <f>SUMIFS('Census Data'!$AY$6:$AY$205,'Census Data'!$AI$6:$AI$205,Computation!$AK29,'Census Data'!$F$6:$F$205,Computation!$A$27,'Census Data'!$AE$6:$AE$205,Computation!$I$4,'Census Data'!$AA$6:$AA$205,Computation!I$5)</f>
        <v>0</v>
      </c>
      <c r="AP29" s="20">
        <f>SUMIFS('Census Data'!$AY$6:$AY$205,'Census Data'!$AI$6:$AI$205,Computation!$AK29,'Census Data'!$F$6:$F$205,Computation!$A$27,'Census Data'!$AE$6:$AE$205,Computation!$I$4,'Census Data'!$AA$6:$AA$205,Computation!J$5)</f>
        <v>0</v>
      </c>
      <c r="AQ29" s="20">
        <f>SUMIFS('Census Data'!$AV:$AV,'Census Data'!$AI:$AI,Computation!$AK29,'Census Data'!$F:$F,Computation!$A$27,'Census Data'!$AE:$AE,Computation!I$4,'Census Data'!$AK:$AK,1)</f>
        <v>0</v>
      </c>
    </row>
    <row r="30" spans="1:43" x14ac:dyDescent="0.25">
      <c r="A30" s="794"/>
      <c r="B30" s="45" t="str">
        <f t="shared" si="0"/>
        <v>46 - 55</v>
      </c>
      <c r="C30" s="46">
        <f>COUNTIFS('Census Data'!$AJ$6:$AJ$205,Computation!$B30,'Census Data'!$F$6:$F$205,Computation!$A$27,'Census Data'!$AE$6:$AE$205,Computation!$C$4,'Census Data'!$AA$6:$AA$205,Computation!C$5)</f>
        <v>0</v>
      </c>
      <c r="D30" s="47">
        <f>COUNTIFS('Census Data'!$AJ$6:$AJ$205,Computation!$B30,'Census Data'!$F$6:$F$205,Computation!$A$27,'Census Data'!$AE$6:$AE$205,Computation!$C$4,'Census Data'!$AA$6:$AA$205,Computation!D$5)</f>
        <v>0</v>
      </c>
      <c r="E30" s="48">
        <f>COUNTIFS('Census Data'!$AJ:$AJ,Computation!$B30,'Census Data'!$F:$F,Computation!$A$27,'Census Data'!$AE:$AE,Computation!C$4,'Census Data'!$AK:$AK,1)</f>
        <v>0</v>
      </c>
      <c r="F30" s="46">
        <f>COUNTIFS('Census Data'!$AJ$6:$AJ$205,Computation!$B30,'Census Data'!$F$6:$F$205,Computation!$A$27,'Census Data'!$AE$6:$AE$205,Computation!$F$4,'Census Data'!$AA$6:$AA$205,Computation!F$5)</f>
        <v>0</v>
      </c>
      <c r="G30" s="47">
        <f>COUNTIFS('Census Data'!$AJ$6:$AJ$205,Computation!$B30,'Census Data'!$F$6:$F$205,Computation!$A$27,'Census Data'!$AE$6:$AE$205,Computation!$F$4,'Census Data'!$AA$6:$AA$205,Computation!G$5)</f>
        <v>0</v>
      </c>
      <c r="H30" s="47">
        <f>COUNTIFS('Census Data'!$AJ:$AJ,Computation!$B30,'Census Data'!$F:$F,Computation!$A$27,'Census Data'!$AE:$AE,Computation!F$4,'Census Data'!$AK:$AK,1)</f>
        <v>0</v>
      </c>
      <c r="I30" s="46">
        <f>SUMIFS('Census Data'!$AY$6:$AY$205,'Census Data'!$AJ$6:$AJ$205,Computation!$B30,'Census Data'!$F$6:$F$205,Computation!$A$27,'Census Data'!$AE$6:$AE$205,Computation!$I$4,'Census Data'!$AA$6:$AA$205,Computation!I$5)</f>
        <v>0</v>
      </c>
      <c r="J30" s="47">
        <f>SUMIFS('Census Data'!$AY$6:$AY$205,'Census Data'!$AJ$6:$AJ$205,Computation!$B30,'Census Data'!$F$6:$F$205,Computation!$A$27,'Census Data'!$AE$6:$AE$205,Computation!$I$4,'Census Data'!$AA$6:$AA$205,Computation!J$5)</f>
        <v>0</v>
      </c>
      <c r="K30" s="47">
        <f>SUMIFS('Census Data'!$AV:$AV,'Census Data'!$AJ:$AJ,Computation!$B30,'Census Data'!$F:$F,Computation!$A$27,'Census Data'!$AE:$AE,Computation!I$4,'Census Data'!$AK:$AK,1)</f>
        <v>0</v>
      </c>
      <c r="L30" s="46">
        <f>SUMIFS('Census Data'!$AY$6:$AY$205,'Census Data'!$AJ$6:$AJ$205,Computation!$B30,'Census Data'!$F$6:$F$205,Computation!$A$27,'Census Data'!$AE$6:$AE$205,Computation!$L$4,'Census Data'!$AA$6:$AA$205,Computation!L$5)</f>
        <v>0</v>
      </c>
      <c r="M30" s="47">
        <f>SUMIFS('Census Data'!$AY$6:$AY$205,'Census Data'!$AJ$6:$AJ$205,Computation!$B30,'Census Data'!$F$6:$F$205,Computation!$A$27,'Census Data'!$AE$6:$AE$205,Computation!$L$4,'Census Data'!$AA$6:$AA$205,Computation!M$5)</f>
        <v>0</v>
      </c>
      <c r="N30" s="48">
        <f>SUMIFS('Census Data'!$AV:$AV,'Census Data'!$AJ:$AJ,Computation!$B30,'Census Data'!$F:$F,Computation!$A$27,'Census Data'!$AE:$AE,Computation!L$4,'Census Data'!$AK:$AK,1)</f>
        <v>0</v>
      </c>
      <c r="R30" s="20" t="s">
        <v>284</v>
      </c>
      <c r="S30" s="20">
        <f>COUNTIFS('Census Data'!$AI$6:$AI$205,Computation!$R30,'Census Data'!$F$6:$F$205,Computation!$A$27,'Census Data'!$AE$6:$AE$205,Computation!S$4,'Census Data'!$AA$6:$AA$205,Computation!S$5,'Census Data'!$H$6:$H$205,$R$4)</f>
        <v>0</v>
      </c>
      <c r="T30" s="20">
        <f>COUNTIFS('Census Data'!$AI:$AI,Computation!$R30,'Census Data'!$F:$F,Computation!$A$27,'Census Data'!$AE:$AE,Computation!S$4,'Census Data'!$AA:$AA,Computation!T$5,'Census Data'!$H:$H,Computation!R$4)</f>
        <v>0</v>
      </c>
      <c r="U30" s="20">
        <f>COUNTIFS('Census Data'!$AI:$AI,Computation!$R30,'Census Data'!$F:$F,Computation!$A$27,'Census Data'!$AE:$AE,Computation!S$4,'Census Data'!$AK:$AK,1)</f>
        <v>0</v>
      </c>
      <c r="V30" s="20">
        <f>SUMIFS('Census Data'!$AY$6:$AY$205,'Census Data'!$AI$6:$AI$205,Computation!$R30,'Census Data'!$F$6:$F$205,Computation!$A$27,'Census Data'!$AE$6:$AE$205,Computation!$V$4,'Census Data'!$AA$6:$AA$205,Computation!V$5,'Census Data'!$H$6:$H$205,$R$4)</f>
        <v>0</v>
      </c>
      <c r="W30" s="20">
        <f>SUMIFS('Census Data'!$AY$6:$AY$205,'Census Data'!$AI$6:$AI$205,Computation!$R30,'Census Data'!$F$6:$F$205,Computation!$A$27,'Census Data'!$AE$6:$AE$205,Computation!$V$4,'Census Data'!$AA$6:$AA$205,Computation!W$5,'Census Data'!$H$6:$H$205,Computation!R$4)</f>
        <v>0</v>
      </c>
      <c r="X30" s="20">
        <f>SUMIFS('Census Data'!$AV:$AV,'Census Data'!$AI:$AI,Computation!$R30,'Census Data'!$F:$F,Computation!$A$27,'Census Data'!$AE:$AE,Computation!L$4,'Census Data'!$AK:$AK,1)</f>
        <v>0</v>
      </c>
      <c r="AA30" s="20" t="s">
        <v>284</v>
      </c>
      <c r="AB30" s="20">
        <f>COUNTIFS('Census Data'!$AI$6:$AI$205,Computation!$R30,'Census Data'!$F$6:$F$205,Computation!$A$27,'Census Data'!$AE$6:$AE$205,Computation!AB$4,'Census Data'!$AA$6:$AA$205,Computation!AB$5,'Census Data'!$H$6:$H$205,$AA$4)</f>
        <v>0</v>
      </c>
      <c r="AC30" s="20">
        <f>COUNTIFS('Census Data'!$AI:$AI,Computation!$R30,'Census Data'!$F:$F,Computation!$A$27,'Census Data'!$AE:$AE,Computation!AB$4,'Census Data'!$AA:$AA,Computation!AC$5,'Census Data'!$H:$H,Computation!AA$4)</f>
        <v>0</v>
      </c>
      <c r="AE30" s="20">
        <f>SUMIFS('Census Data'!$AY$6:$AY$205,'Census Data'!$AI$6:$AI$205,Computation!$R30,'Census Data'!$F$6:$F$205,Computation!$A$27,'Census Data'!$AE$6:$AE$205,Computation!$V$4,'Census Data'!$AA$6:$AA$205,Computation!AE$5,'Census Data'!$H$6:$H$205,$AA$4)</f>
        <v>0</v>
      </c>
      <c r="AF30" s="20">
        <f>SUMIFS('Census Data'!$AY$6:$AY$205,'Census Data'!$AI$6:$AI$205,Computation!$R30,'Census Data'!$F$6:$F$205,Computation!$A$27,'Census Data'!$AE$6:$AE$205,Computation!$V$4,'Census Data'!$AA$6:$AA$205,Computation!AF$5,'Census Data'!$H$6:$H$205,Computation!AA$4)</f>
        <v>0</v>
      </c>
      <c r="AK30" s="20" t="s">
        <v>284</v>
      </c>
      <c r="AL30" s="20">
        <f>COUNTIFS('Census Data'!$AI$6:$AI$205,Computation!$AK30,'Census Data'!$F$6:$F$205,Computation!$A$27,'Census Data'!$AE$6:$AE$205,Computation!$C$4,'Census Data'!$AA$6:$AA$205,Computation!C$5)</f>
        <v>0</v>
      </c>
      <c r="AM30" s="20">
        <f>COUNTIFS('Census Data'!$AI$6:$AI$205,Computation!$AK30,'Census Data'!$F$6:$F$205,Computation!$A$27,'Census Data'!$AE$6:$AE$205,Computation!$C$4,'Census Data'!$AA$6:$AA$205,Computation!D$5)</f>
        <v>0</v>
      </c>
      <c r="AN30" s="20">
        <f>COUNTIFS('Census Data'!$AI:$AI,Computation!$AK30,'Census Data'!$F:$F,Computation!$A$27,'Census Data'!$AE:$AE,Computation!C$4,'Census Data'!$AK:$AK,1)</f>
        <v>0</v>
      </c>
      <c r="AO30" s="20">
        <f>SUMIFS('Census Data'!$AY$6:$AY$205,'Census Data'!$AI$6:$AI$205,Computation!$AK30,'Census Data'!$F$6:$F$205,Computation!$A$27,'Census Data'!$AE$6:$AE$205,Computation!$I$4,'Census Data'!$AA$6:$AA$205,Computation!I$5)</f>
        <v>0</v>
      </c>
      <c r="AP30" s="20">
        <f>SUMIFS('Census Data'!$AY$6:$AY$205,'Census Data'!$AI$6:$AI$205,Computation!$AK30,'Census Data'!$F$6:$F$205,Computation!$A$27,'Census Data'!$AE$6:$AE$205,Computation!$I$4,'Census Data'!$AA$6:$AA$205,Computation!J$5)</f>
        <v>0</v>
      </c>
      <c r="AQ30" s="20">
        <f>SUMIFS('Census Data'!$AV:$AV,'Census Data'!$AI:$AI,Computation!$AK30,'Census Data'!$F:$F,Computation!$A$27,'Census Data'!$AE:$AE,Computation!I$4,'Census Data'!$AK:$AK,1)</f>
        <v>0</v>
      </c>
    </row>
    <row r="31" spans="1:43" x14ac:dyDescent="0.25">
      <c r="A31" s="794"/>
      <c r="B31" s="45" t="str">
        <f t="shared" si="0"/>
        <v>56 - 60</v>
      </c>
      <c r="C31" s="46">
        <f>COUNTIFS('Census Data'!$AJ$6:$AJ$205,Computation!$B31,'Census Data'!$F$6:$F$205,Computation!$A$27,'Census Data'!$AE$6:$AE$205,Computation!$C$4,'Census Data'!$AA$6:$AA$205,Computation!C$5)</f>
        <v>0</v>
      </c>
      <c r="D31" s="47">
        <f>COUNTIFS('Census Data'!$AJ$6:$AJ$205,Computation!$B31,'Census Data'!$F$6:$F$205,Computation!$A$27,'Census Data'!$AE$6:$AE$205,Computation!$C$4,'Census Data'!$AA$6:$AA$205,Computation!D$5)</f>
        <v>0</v>
      </c>
      <c r="E31" s="48">
        <f>COUNTIFS('Census Data'!$AJ:$AJ,Computation!$B31,'Census Data'!$F:$F,Computation!$A$27,'Census Data'!$AE:$AE,Computation!C$4,'Census Data'!$AK:$AK,1)</f>
        <v>0</v>
      </c>
      <c r="F31" s="46">
        <f>COUNTIFS('Census Data'!$AJ$6:$AJ$205,Computation!$B31,'Census Data'!$F$6:$F$205,Computation!$A$27,'Census Data'!$AE$6:$AE$205,Computation!$F$4,'Census Data'!$AA$6:$AA$205,Computation!F$5)</f>
        <v>0</v>
      </c>
      <c r="G31" s="47">
        <f>COUNTIFS('Census Data'!$AJ$6:$AJ$205,Computation!$B31,'Census Data'!$F$6:$F$205,Computation!$A$27,'Census Data'!$AE$6:$AE$205,Computation!$F$4,'Census Data'!$AA$6:$AA$205,Computation!G$5)</f>
        <v>0</v>
      </c>
      <c r="H31" s="47">
        <f>COUNTIFS('Census Data'!$AJ:$AJ,Computation!$B31,'Census Data'!$F:$F,Computation!$A$27,'Census Data'!$AE:$AE,Computation!F$4,'Census Data'!$AK:$AK,1)</f>
        <v>0</v>
      </c>
      <c r="I31" s="46">
        <f>SUMIFS('Census Data'!$AY$6:$AY$205,'Census Data'!$AJ$6:$AJ$205,Computation!$B31,'Census Data'!$F$6:$F$205,Computation!$A$27,'Census Data'!$AE$6:$AE$205,Computation!$I$4,'Census Data'!$AA$6:$AA$205,Computation!I$5)</f>
        <v>0</v>
      </c>
      <c r="J31" s="47">
        <f>SUMIFS('Census Data'!$AY$6:$AY$205,'Census Data'!$AJ$6:$AJ$205,Computation!$B31,'Census Data'!$F$6:$F$205,Computation!$A$27,'Census Data'!$AE$6:$AE$205,Computation!$I$4,'Census Data'!$AA$6:$AA$205,Computation!J$5)</f>
        <v>0</v>
      </c>
      <c r="K31" s="47">
        <f>SUMIFS('Census Data'!$AV:$AV,'Census Data'!$AJ:$AJ,Computation!$B31,'Census Data'!$F:$F,Computation!$A$27,'Census Data'!$AE:$AE,Computation!I$4,'Census Data'!$AK:$AK,1)</f>
        <v>0</v>
      </c>
      <c r="L31" s="46">
        <f>SUMIFS('Census Data'!$AY$6:$AY$205,'Census Data'!$AJ$6:$AJ$205,Computation!$B31,'Census Data'!$F$6:$F$205,Computation!$A$27,'Census Data'!$AE$6:$AE$205,Computation!$L$4,'Census Data'!$AA$6:$AA$205,Computation!L$5)</f>
        <v>0</v>
      </c>
      <c r="M31" s="47">
        <f>SUMIFS('Census Data'!$AY$6:$AY$205,'Census Data'!$AJ$6:$AJ$205,Computation!$B31,'Census Data'!$F$6:$F$205,Computation!$A$27,'Census Data'!$AE$6:$AE$205,Computation!$L$4,'Census Data'!$AA$6:$AA$205,Computation!M$5)</f>
        <v>0</v>
      </c>
      <c r="N31" s="48">
        <f>SUMIFS('Census Data'!$AV:$AV,'Census Data'!$AJ:$AJ,Computation!$B31,'Census Data'!$F:$F,Computation!$A$27,'Census Data'!$AE:$AE,Computation!L$4,'Census Data'!$AK:$AK,1)</f>
        <v>0</v>
      </c>
    </row>
    <row r="32" spans="1:43" x14ac:dyDescent="0.25">
      <c r="A32" s="794"/>
      <c r="B32" s="45" t="str">
        <f t="shared" si="0"/>
        <v>61 - 65</v>
      </c>
      <c r="C32" s="46">
        <f>COUNTIFS('Census Data'!$AJ$6:$AJ$205,Computation!$B32,'Census Data'!$F$6:$F$205,Computation!$A$27,'Census Data'!$AE$6:$AE$205,Computation!$C$4,'Census Data'!$AA$6:$AA$205,Computation!C$5)</f>
        <v>0</v>
      </c>
      <c r="D32" s="47">
        <f>COUNTIFS('Census Data'!$AJ$6:$AJ$205,Computation!$B32,'Census Data'!$F$6:$F$205,Computation!$A$27,'Census Data'!$AE$6:$AE$205,Computation!$C$4,'Census Data'!$AA$6:$AA$205,Computation!D$5)</f>
        <v>0</v>
      </c>
      <c r="E32" s="48">
        <f>COUNTIFS('Census Data'!$AJ:$AJ,Computation!$B32,'Census Data'!$F:$F,Computation!$A$27,'Census Data'!$AE:$AE,Computation!C$4,'Census Data'!$AK:$AK,1)</f>
        <v>0</v>
      </c>
      <c r="F32" s="46">
        <f>COUNTIFS('Census Data'!$AJ$6:$AJ$205,Computation!$B32,'Census Data'!$F$6:$F$205,Computation!$A$27,'Census Data'!$AE$6:$AE$205,Computation!$F$4,'Census Data'!$AA$6:$AA$205,Computation!F$5)</f>
        <v>0</v>
      </c>
      <c r="G32" s="47">
        <f>COUNTIFS('Census Data'!$AJ$6:$AJ$205,Computation!$B32,'Census Data'!$F$6:$F$205,Computation!$A$27,'Census Data'!$AE$6:$AE$205,Computation!$F$4,'Census Data'!$AA$6:$AA$205,Computation!G$5)</f>
        <v>0</v>
      </c>
      <c r="H32" s="47">
        <f>COUNTIFS('Census Data'!$AJ:$AJ,Computation!$B32,'Census Data'!$F:$F,Computation!$A$27,'Census Data'!$AE:$AE,Computation!F$4,'Census Data'!$AK:$AK,1)</f>
        <v>0</v>
      </c>
      <c r="I32" s="46">
        <f>SUMIFS('Census Data'!$AY$6:$AY$205,'Census Data'!$AJ$6:$AJ$205,Computation!$B32,'Census Data'!$F$6:$F$205,Computation!$A$27,'Census Data'!$AE$6:$AE$205,Computation!$I$4,'Census Data'!$AA$6:$AA$205,Computation!I$5)</f>
        <v>0</v>
      </c>
      <c r="J32" s="47">
        <f>SUMIFS('Census Data'!$AY$6:$AY$205,'Census Data'!$AJ$6:$AJ$205,Computation!$B32,'Census Data'!$F$6:$F$205,Computation!$A$27,'Census Data'!$AE$6:$AE$205,Computation!$I$4,'Census Data'!$AA$6:$AA$205,Computation!J$5)</f>
        <v>0</v>
      </c>
      <c r="K32" s="47">
        <f>SUMIFS('Census Data'!$AV:$AV,'Census Data'!$AJ:$AJ,Computation!$B32,'Census Data'!$F:$F,Computation!$A$27,'Census Data'!$AE:$AE,Computation!I$4,'Census Data'!$AK:$AK,1)</f>
        <v>0</v>
      </c>
      <c r="L32" s="46">
        <f>SUMIFS('Census Data'!$AY$6:$AY$205,'Census Data'!$AJ$6:$AJ$205,Computation!$B32,'Census Data'!$F$6:$F$205,Computation!$A$27,'Census Data'!$AE$6:$AE$205,Computation!$L$4,'Census Data'!$AA$6:$AA$205,Computation!L$5)</f>
        <v>0</v>
      </c>
      <c r="M32" s="47">
        <f>SUMIFS('Census Data'!$AY$6:$AY$205,'Census Data'!$AJ$6:$AJ$205,Computation!$B32,'Census Data'!$F$6:$F$205,Computation!$A$27,'Census Data'!$AE$6:$AE$205,Computation!$L$4,'Census Data'!$AA$6:$AA$205,Computation!M$5)</f>
        <v>0</v>
      </c>
      <c r="N32" s="48">
        <f>SUMIFS('Census Data'!$AV:$AV,'Census Data'!$AJ:$AJ,Computation!$B32,'Census Data'!$F:$F,Computation!$A$27,'Census Data'!$AE:$AE,Computation!L$4,'Census Data'!$AK:$AK,1)</f>
        <v>0</v>
      </c>
    </row>
    <row r="33" spans="1:43" x14ac:dyDescent="0.25">
      <c r="A33" s="795"/>
      <c r="B33" s="49" t="str">
        <f t="shared" si="0"/>
        <v>66 - 69</v>
      </c>
      <c r="C33" s="50">
        <f>COUNTIFS('Census Data'!$AJ$6:$AJ$205,Computation!$B33,'Census Data'!$F$6:$F$205,Computation!$A$27,'Census Data'!$AE$6:$AE$205,Computation!$C$4,'Census Data'!$AA$6:$AA$205,Computation!C$5)</f>
        <v>0</v>
      </c>
      <c r="D33" s="51">
        <f>COUNTIFS('Census Data'!$AJ$6:$AJ$205,Computation!$B33,'Census Data'!$F$6:$F$205,Computation!$A$27,'Census Data'!$AE$6:$AE$205,Computation!$C$4,'Census Data'!$AA$6:$AA$205,Computation!D$5)</f>
        <v>0</v>
      </c>
      <c r="E33" s="52">
        <f>COUNTIFS('Census Data'!$AJ:$AJ,Computation!$B33,'Census Data'!$F:$F,Computation!$A$27,'Census Data'!$AE:$AE,Computation!C$4,'Census Data'!$AK:$AK,1)</f>
        <v>0</v>
      </c>
      <c r="F33" s="50">
        <f>COUNTIFS('Census Data'!$AJ$6:$AJ$205,Computation!$B33,'Census Data'!$F$6:$F$205,Computation!$A$27,'Census Data'!$AE$6:$AE$205,Computation!$F$4,'Census Data'!$AA$6:$AA$205,Computation!F$5)</f>
        <v>0</v>
      </c>
      <c r="G33" s="51">
        <f>COUNTIFS('Census Data'!$AJ$6:$AJ$205,Computation!$B33,'Census Data'!$F$6:$F$205,Computation!$A$27,'Census Data'!$AE$6:$AE$205,Computation!$F$4,'Census Data'!$AA$6:$AA$205,Computation!G$5)</f>
        <v>0</v>
      </c>
      <c r="H33" s="51">
        <f>COUNTIFS('Census Data'!$AJ:$AJ,Computation!$B33,'Census Data'!$F:$F,Computation!$A$27,'Census Data'!$AE:$AE,Computation!F$4,'Census Data'!$AK:$AK,1)</f>
        <v>0</v>
      </c>
      <c r="I33" s="50">
        <f>SUMIFS('Census Data'!$AY$6:$AY$205,'Census Data'!$AJ$6:$AJ$205,Computation!$B33,'Census Data'!$F$6:$F$205,Computation!$A$27,'Census Data'!$AE$6:$AE$205,Computation!$I$4,'Census Data'!$AA$6:$AA$205,Computation!I$5)</f>
        <v>0</v>
      </c>
      <c r="J33" s="51">
        <f>SUMIFS('Census Data'!$AY$6:$AY$205,'Census Data'!$AJ$6:$AJ$205,Computation!$B33,'Census Data'!$F$6:$F$205,Computation!$A$27,'Census Data'!$AE$6:$AE$205,Computation!$I$4,'Census Data'!$AA$6:$AA$205,Computation!J$5)</f>
        <v>0</v>
      </c>
      <c r="K33" s="47">
        <f>SUMIFS('Census Data'!$AV:$AV,'Census Data'!$AJ:$AJ,Computation!$B33,'Census Data'!$F:$F,Computation!$A$27,'Census Data'!$AE:$AE,Computation!I$4,'Census Data'!$AK:$AK,1)</f>
        <v>0</v>
      </c>
      <c r="L33" s="50">
        <f>SUMIFS('Census Data'!$AY$6:$AY$205,'Census Data'!$AJ$6:$AJ$205,Computation!$B33,'Census Data'!$F$6:$F$205,Computation!$A$27,'Census Data'!$AE$6:$AE$205,Computation!$L$4,'Census Data'!$AA$6:$AA$205,Computation!L$5)</f>
        <v>0</v>
      </c>
      <c r="M33" s="51">
        <f>SUMIFS('Census Data'!$AY$6:$AY$205,'Census Data'!$AJ$6:$AJ$205,Computation!$B33,'Census Data'!$F$6:$F$205,Computation!$A$27,'Census Data'!$AE$6:$AE$205,Computation!$L$4,'Census Data'!$AA$6:$AA$205,Computation!M$5)</f>
        <v>0</v>
      </c>
      <c r="N33" s="48">
        <f>SUMIFS('Census Data'!$AV:$AV,'Census Data'!$AJ:$AJ,Computation!$B33,'Census Data'!$F:$F,Computation!$A$27,'Census Data'!$AE:$AE,Computation!L$4,'Census Data'!$AK:$AK,1)</f>
        <v>0</v>
      </c>
    </row>
    <row r="34" spans="1:43" x14ac:dyDescent="0.25">
      <c r="A34" s="793" t="s">
        <v>67</v>
      </c>
      <c r="B34" s="41" t="str">
        <f t="shared" si="0"/>
        <v>0 - 17</v>
      </c>
      <c r="C34" s="50">
        <f>COUNTIFS('Census Data'!$AJ$6:$AJ$205,Computation!$B34,'Census Data'!$F$6:$F$205,Computation!$A$34,'Census Data'!$AE$6:$AE$205,Computation!$C$4,'Census Data'!$AA$6:$AA$205,Computation!C$5)</f>
        <v>0</v>
      </c>
      <c r="D34" s="43">
        <f>COUNTIFS('Census Data'!$AJ$6:$AJ$205,Computation!$B34,'Census Data'!$F$6:$F$205,Computation!$A$34,'Census Data'!$AE$6:$AE$205,Computation!$C$4,'Census Data'!$AA$6:$AA$205,Computation!D$5)</f>
        <v>0</v>
      </c>
      <c r="E34" s="43">
        <f>COUNTIFS('Census Data'!$AJ:$AJ,Computation!$B34,'Census Data'!$F:$F,Computation!$A$34,'Census Data'!$AE:$AE,Computation!C$4,'Census Data'!$AK:$AK,1)</f>
        <v>0</v>
      </c>
      <c r="F34" s="50">
        <f>COUNTIFS('Census Data'!$AJ$6:$AJ$205,Computation!$B34,'Census Data'!$F$6:$F$205,Computation!$A$34,'Census Data'!$AE$6:$AE$205,Computation!$F$4,'Census Data'!$AA$6:$AA$205,Computation!F$5)</f>
        <v>0</v>
      </c>
      <c r="G34" s="43">
        <f>COUNTIFS('Census Data'!$AJ$6:$AJ$205,Computation!$B34,'Census Data'!$F$6:$F$205,Computation!$A$34,'Census Data'!$AE$6:$AE$205,Computation!$F$4,'Census Data'!$AA$6:$AA$205,Computation!G$5)</f>
        <v>0</v>
      </c>
      <c r="H34" s="43">
        <f>COUNTIFS('Census Data'!$AJ:$AJ,Computation!$B34,'Census Data'!$F:$F,Computation!$A$34,'Census Data'!$AE:$AE,Computation!F$4,'Census Data'!$AK:$AK,1)</f>
        <v>0</v>
      </c>
      <c r="I34" s="50">
        <f>SUMIFS('Census Data'!$AY$6:$AY$205,'Census Data'!$AJ$6:$AJ$205,Computation!$B34,'Census Data'!$F$6:$F$205,Computation!$A$34,'Census Data'!$AE$6:$AE$205,Computation!$I$4,'Census Data'!$AA$6:$AA$205,Computation!I$5)</f>
        <v>0</v>
      </c>
      <c r="J34" s="43">
        <f>SUMIFS('Census Data'!$AY$6:$AY$205,'Census Data'!$AJ$6:$AJ$205,Computation!$B34,'Census Data'!$F$6:$F$205,Computation!$A$34,'Census Data'!$AE$6:$AE$205,Computation!$I$4,'Census Data'!$AA$6:$AA$205,Computation!J$5)</f>
        <v>0</v>
      </c>
      <c r="K34" s="43">
        <f>SUMIFS('Census Data'!$AV:$AV,'Census Data'!$AJ:$AJ,Computation!$B34,'Census Data'!$F:$F,Computation!$A$34,'Census Data'!$AE:$AE,Computation!I$4,'Census Data'!$AK:$AK,1)</f>
        <v>0</v>
      </c>
      <c r="L34" s="50">
        <f>SUMIFS('Census Data'!$AY$6:$AY$205,'Census Data'!$AJ$6:$AJ$205,Computation!$B34,'Census Data'!$F$6:$F$205,Computation!$A$34,'Census Data'!$AE$6:$AE$205,Computation!$L$4,'Census Data'!$AA$6:$AA$205,Computation!L$5)</f>
        <v>0</v>
      </c>
      <c r="M34" s="43">
        <f>SUMIFS('Census Data'!$AY$6:$AY$205,'Census Data'!$AJ$6:$AJ$205,Computation!$B34,'Census Data'!$F$6:$F$205,Computation!$A$34,'Census Data'!$AE$6:$AE$205,Computation!$L$4,'Census Data'!$AA$6:$AA$205,Computation!M$5)</f>
        <v>0</v>
      </c>
      <c r="N34" s="44">
        <f>SUMIFS('Census Data'!$AV:$AV,'Census Data'!$AJ:$AJ,Computation!$B34,'Census Data'!$F:$F,Computation!$A$34,'Census Data'!$AE:$AE,Computation!L$4,'Census Data'!$AK:$AK,1)</f>
        <v>0</v>
      </c>
      <c r="R34" s="20" t="s">
        <v>278</v>
      </c>
      <c r="S34" s="20">
        <f>COUNTIFS('Census Data'!$AI$6:$AI$205,Computation!$R34,'Census Data'!$F$6:$F$205,Computation!$A$34,'Census Data'!$AE$6:$AE$205,Computation!S$4,'Census Data'!$AA$6:$AA$205,Computation!S$5,'Census Data'!$H$6:$H$205,$R$4)</f>
        <v>0</v>
      </c>
      <c r="T34" s="20">
        <f>COUNTIFS('Census Data'!$AI:$AI,Computation!$R34,'Census Data'!$F:$F,Computation!$A$34,'Census Data'!$AE:$AE,Computation!S$4,'Census Data'!$AA:$AA,Computation!T$5,'Census Data'!$H:$H,Computation!R$4)</f>
        <v>0</v>
      </c>
      <c r="U34" s="20">
        <f>COUNTIFS('Census Data'!$AI:$AI,Computation!$R34,'Census Data'!$F:$F,Computation!$A$34,'Census Data'!$AE:$AE,Computation!S$4,'Census Data'!$AK:$AK,1)</f>
        <v>0</v>
      </c>
      <c r="V34" s="20">
        <f>SUMIFS('Census Data'!$AY$6:$AY$205,'Census Data'!$AI$6:$AI$205,Computation!$R34,'Census Data'!$F$6:$F$205,Computation!$A$34,'Census Data'!$AE$6:$AE$205,Computation!$V$4,'Census Data'!$AA$6:$AA$205,Computation!V$5,'Census Data'!$H$6:$H$205,$R$4)</f>
        <v>0</v>
      </c>
      <c r="W34" s="20">
        <f>SUMIFS('Census Data'!$AY$6:$AY$205,'Census Data'!$AI$6:$AI$205,Computation!$R34,'Census Data'!$F$6:$F$205,Computation!$A$34,'Census Data'!$AE$6:$AE$205,Computation!$V$4,'Census Data'!$AA$6:$AA$205,Computation!W$5,'Census Data'!$H$6:$H$205,Computation!R$4)</f>
        <v>0</v>
      </c>
      <c r="X34" s="20">
        <f>SUMIFS('Census Data'!$AV:$AV,'Census Data'!$AI:$AI,Computation!$R34,'Census Data'!$F:$F,Computation!$A$34,'Census Data'!$AE:$AE,Computation!L$4,'Census Data'!$AK:$AK,1)</f>
        <v>0</v>
      </c>
      <c r="AA34" s="20" t="s">
        <v>278</v>
      </c>
      <c r="AB34" s="20">
        <f>COUNTIFS('Census Data'!$AI$6:$AI$205,Computation!$R34,'Census Data'!$F$6:$F$205,Computation!$A$34,'Census Data'!$AE$6:$AE$205,Computation!AB$4,'Census Data'!$AA$6:$AA$205,Computation!AB$5,'Census Data'!$H$6:$H$205,$AA$4)</f>
        <v>0</v>
      </c>
      <c r="AC34" s="20">
        <f>COUNTIFS('Census Data'!$AI:$AI,Computation!$R34,'Census Data'!$F:$F,Computation!$A$34,'Census Data'!$AE:$AE,Computation!AB$4,'Census Data'!$AA:$AA,Computation!AC$5,'Census Data'!$H:$H,Computation!AA$4)</f>
        <v>0</v>
      </c>
      <c r="AE34" s="20">
        <f>SUMIFS('Census Data'!$AY$6:$AY$205,'Census Data'!$AI$6:$AI$205,Computation!$R34,'Census Data'!$F$6:$F$205,Computation!$A$34,'Census Data'!$AE$6:$AE$205,Computation!$V$4,'Census Data'!$AA$6:$AA$205,Computation!AE$5,'Census Data'!$H$6:$H$205,$AA$4)</f>
        <v>0</v>
      </c>
      <c r="AF34" s="20">
        <f>SUMIFS('Census Data'!$AY$6:$AY$205,'Census Data'!$AI$6:$AI$205,Computation!$R34,'Census Data'!$F$6:$F$205,Computation!$A$34,'Census Data'!$AE$6:$AE$205,Computation!$V$4,'Census Data'!$AA$6:$AA$205,Computation!AF$5,'Census Data'!$H$6:$H$205,Computation!AA$4)</f>
        <v>0</v>
      </c>
      <c r="AK34" s="20" t="s">
        <v>278</v>
      </c>
      <c r="AL34" s="20">
        <f>COUNTIFS('Census Data'!$AI$6:$AI$205,Computation!$AK34,'Census Data'!$F$6:$F$205,Computation!$A$34,'Census Data'!$AE$6:$AE$205,Computation!$C$4,'Census Data'!$AA$6:$AA$205,Computation!C$5)</f>
        <v>0</v>
      </c>
      <c r="AM34" s="20">
        <f>COUNTIFS('Census Data'!$AI$6:$AI$205,Computation!$AK34,'Census Data'!$F$6:$F$205,Computation!$A$34,'Census Data'!$AE$6:$AE$205,Computation!$C$4,'Census Data'!$AA$6:$AA$205,Computation!D$5)</f>
        <v>0</v>
      </c>
      <c r="AN34" s="20">
        <f>COUNTIFS('Census Data'!$AI:$AI,Computation!$AK34,'Census Data'!$F:$F,Computation!$A$34,'Census Data'!$AE:$AE,Computation!C$4,'Census Data'!$AK:$AK,1)</f>
        <v>0</v>
      </c>
      <c r="AO34" s="20">
        <f>SUMIFS('Census Data'!$AY$6:$AY$205,'Census Data'!$AI$6:$AI$205,Computation!$AK34,'Census Data'!$F$6:$F$205,Computation!$A$34,'Census Data'!$AE$6:$AE$205,Computation!$I$4,'Census Data'!$AA$6:$AA$205,Computation!I$5)</f>
        <v>0</v>
      </c>
      <c r="AP34" s="20">
        <f>SUMIFS('Census Data'!$AY$6:$AY$205,'Census Data'!$AI$6:$AI$205,Computation!$AK34,'Census Data'!$F$6:$F$205,Computation!$A$34,'Census Data'!$AE$6:$AE$205,Computation!$I$4,'Census Data'!$AA$6:$AA$205,Computation!J$5)</f>
        <v>0</v>
      </c>
      <c r="AQ34" s="20">
        <f>SUMIFS('Census Data'!$AV:$AV,'Census Data'!$AI:$AI,Computation!$AK34,'Census Data'!$F:$F,Computation!$A$34,'Census Data'!$AE:$AE,Computation!I$4,'Census Data'!$AK:$AK,1)</f>
        <v>0</v>
      </c>
    </row>
    <row r="35" spans="1:43" x14ac:dyDescent="0.25">
      <c r="A35" s="794"/>
      <c r="B35" s="45" t="str">
        <f t="shared" si="0"/>
        <v>18 - 35</v>
      </c>
      <c r="C35" s="46">
        <f>COUNTIFS('Census Data'!$AJ$6:$AJ$205,Computation!$B35,'Census Data'!$F$6:$F$205,Computation!$A$34,'Census Data'!$AE$6:$AE$205,Computation!$C$4,'Census Data'!$AA$6:$AA$205,Computation!C$5)</f>
        <v>0</v>
      </c>
      <c r="D35" s="47">
        <f>COUNTIFS('Census Data'!$AJ$6:$AJ$205,Computation!$B35,'Census Data'!$F$6:$F$205,Computation!$A$34,'Census Data'!$AE$6:$AE$205,Computation!$C$4,'Census Data'!$AA$6:$AA$205,Computation!D$5)</f>
        <v>0</v>
      </c>
      <c r="E35" s="48">
        <f>COUNTIFS('Census Data'!$AJ:$AJ,Computation!$B35,'Census Data'!$F:$F,Computation!$A$34,'Census Data'!$AE:$AE,Computation!C$4,'Census Data'!$AK:$AK,1)</f>
        <v>0</v>
      </c>
      <c r="F35" s="46">
        <f>COUNTIFS('Census Data'!$AJ$6:$AJ$205,Computation!$B35,'Census Data'!$F$6:$F$205,Computation!$A$34,'Census Data'!$AE$6:$AE$205,Computation!$F$4,'Census Data'!$AA$6:$AA$205,Computation!F$5)</f>
        <v>0</v>
      </c>
      <c r="G35" s="47">
        <f>COUNTIFS('Census Data'!$AJ$6:$AJ$205,Computation!$B35,'Census Data'!$F$6:$F$205,Computation!$A$34,'Census Data'!$AE$6:$AE$205,Computation!$F$4,'Census Data'!$AA$6:$AA$205,Computation!G$5)</f>
        <v>0</v>
      </c>
      <c r="H35" s="47">
        <f>COUNTIFS('Census Data'!$AJ:$AJ,Computation!$B35,'Census Data'!$F:$F,Computation!$A$34,'Census Data'!$AE:$AE,Computation!F$4,'Census Data'!$AK:$AK,1)</f>
        <v>0</v>
      </c>
      <c r="I35" s="46">
        <f>SUMIFS('Census Data'!$AY$6:$AY$205,'Census Data'!$AJ$6:$AJ$205,Computation!$B35,'Census Data'!$F$6:$F$205,Computation!$A$34,'Census Data'!$AE$6:$AE$205,Computation!$I$4,'Census Data'!$AA$6:$AA$205,Computation!I$5)</f>
        <v>0</v>
      </c>
      <c r="J35" s="47">
        <f>SUMIFS('Census Data'!$AY$6:$AY$205,'Census Data'!$AJ$6:$AJ$205,Computation!$B35,'Census Data'!$F$6:$F$205,Computation!$A$34,'Census Data'!$AE$6:$AE$205,Computation!$I$4,'Census Data'!$AA$6:$AA$205,Computation!J$5)</f>
        <v>0</v>
      </c>
      <c r="K35" s="47">
        <f>SUMIFS('Census Data'!$AV:$AV,'Census Data'!$AJ:$AJ,Computation!$B35,'Census Data'!$F:$F,Computation!$A$34,'Census Data'!$AE:$AE,Computation!I$4,'Census Data'!$AK:$AK,1)</f>
        <v>0</v>
      </c>
      <c r="L35" s="46">
        <f>SUMIFS('Census Data'!$AY$6:$AY$205,'Census Data'!$AJ$6:$AJ$205,Computation!$B35,'Census Data'!$F$6:$F$205,Computation!$A$34,'Census Data'!$AE$6:$AE$205,Computation!$L$4,'Census Data'!$AA$6:$AA$205,Computation!L$5)</f>
        <v>0</v>
      </c>
      <c r="M35" s="47">
        <f>SUMIFS('Census Data'!$AY$6:$AY$205,'Census Data'!$AJ$6:$AJ$205,Computation!$B35,'Census Data'!$F$6:$F$205,Computation!$A$34,'Census Data'!$AE$6:$AE$205,Computation!$L$4,'Census Data'!$AA$6:$AA$205,Computation!M$5)</f>
        <v>0</v>
      </c>
      <c r="N35" s="48">
        <f>SUMIFS('Census Data'!$AV:$AV,'Census Data'!$AJ:$AJ,Computation!$B35,'Census Data'!$F:$F,Computation!$A$34,'Census Data'!$AE:$AE,Computation!L$4,'Census Data'!$AK:$AK,1)</f>
        <v>0</v>
      </c>
      <c r="R35" s="20" t="s">
        <v>280</v>
      </c>
      <c r="S35" s="20">
        <f>COUNTIFS('Census Data'!$AI$6:$AI$205,Computation!$R35,'Census Data'!$F$6:$F$205,Computation!$A$34,'Census Data'!$AE$6:$AE$205,Computation!S$4,'Census Data'!$AA$6:$AA$205,Computation!S$5,'Census Data'!$H$6:$H$205,$R$4)</f>
        <v>0</v>
      </c>
      <c r="T35" s="20">
        <f>COUNTIFS('Census Data'!$AI:$AI,Computation!$R35,'Census Data'!$F:$F,Computation!$A$34,'Census Data'!$AE:$AE,Computation!S$4,'Census Data'!$AA:$AA,Computation!T$5,'Census Data'!$H:$H,Computation!R$4)</f>
        <v>0</v>
      </c>
      <c r="U35" s="20">
        <f>COUNTIFS('Census Data'!$AI:$AI,Computation!$R35,'Census Data'!$F:$F,Computation!$A$34,'Census Data'!$AE:$AE,Computation!S$4,'Census Data'!$AK:$AK,1)</f>
        <v>0</v>
      </c>
      <c r="V35" s="20">
        <f>SUMIFS('Census Data'!$AY$6:$AY$205,'Census Data'!$AI$6:$AI$205,Computation!$R35,'Census Data'!$F$6:$F$205,Computation!$A$34,'Census Data'!$AE$6:$AE$205,Computation!$V$4,'Census Data'!$AA$6:$AA$205,Computation!V$5,'Census Data'!$H$6:$H$205,$R$4)</f>
        <v>0</v>
      </c>
      <c r="W35" s="20">
        <f>SUMIFS('Census Data'!$AY$6:$AY$205,'Census Data'!$AI$6:$AI$205,Computation!$R35,'Census Data'!$F$6:$F$205,Computation!$A$34,'Census Data'!$AE$6:$AE$205,Computation!$V$4,'Census Data'!$AA$6:$AA$205,Computation!W$5,'Census Data'!$H$6:$H$205,Computation!R$4)</f>
        <v>0</v>
      </c>
      <c r="X35" s="20">
        <f>SUMIFS('Census Data'!$AV:$AV,'Census Data'!$AI:$AI,Computation!$R35,'Census Data'!$F:$F,Computation!$A$34,'Census Data'!$AE:$AE,Computation!L$4,'Census Data'!$AK:$AK,1)</f>
        <v>0</v>
      </c>
      <c r="AA35" s="20" t="s">
        <v>280</v>
      </c>
      <c r="AB35" s="20">
        <f>COUNTIFS('Census Data'!$AI$6:$AI$205,Computation!$R35,'Census Data'!$F$6:$F$205,Computation!$A$34,'Census Data'!$AE$6:$AE$205,Computation!AB$4,'Census Data'!$AA$6:$AA$205,Computation!AB$5,'Census Data'!$H$6:$H$205,$AA$4)</f>
        <v>0</v>
      </c>
      <c r="AC35" s="20">
        <f>COUNTIFS('Census Data'!$AI:$AI,Computation!$R35,'Census Data'!$F:$F,Computation!$A$34,'Census Data'!$AE:$AE,Computation!AB$4,'Census Data'!$AA:$AA,Computation!AC$5,'Census Data'!$H:$H,Computation!AA$4)</f>
        <v>0</v>
      </c>
      <c r="AE35" s="20">
        <f>SUMIFS('Census Data'!$AY$6:$AY$205,'Census Data'!$AI$6:$AI$205,Computation!$R35,'Census Data'!$F$6:$F$205,Computation!$A$34,'Census Data'!$AE$6:$AE$205,Computation!$V$4,'Census Data'!$AA$6:$AA$205,Computation!AE$5,'Census Data'!$H$6:$H$205,$AA$4)</f>
        <v>0</v>
      </c>
      <c r="AF35" s="20">
        <f>SUMIFS('Census Data'!$AY$6:$AY$205,'Census Data'!$AI$6:$AI$205,Computation!$R35,'Census Data'!$F$6:$F$205,Computation!$A$34,'Census Data'!$AE$6:$AE$205,Computation!$V$4,'Census Data'!$AA$6:$AA$205,Computation!AF$5,'Census Data'!$H$6:$H$205,Computation!AA$4)</f>
        <v>0</v>
      </c>
      <c r="AK35" s="20" t="s">
        <v>280</v>
      </c>
      <c r="AL35" s="20">
        <f>COUNTIFS('Census Data'!$AI$6:$AI$205,Computation!$AK35,'Census Data'!$F$6:$F$205,Computation!$A$34,'Census Data'!$AE$6:$AE$205,Computation!$C$4,'Census Data'!$AA$6:$AA$205,Computation!C$5)</f>
        <v>0</v>
      </c>
      <c r="AM35" s="20">
        <f>COUNTIFS('Census Data'!$AI$6:$AI$205,Computation!$AK35,'Census Data'!$F$6:$F$205,Computation!$A$34,'Census Data'!$AE$6:$AE$205,Computation!$C$4,'Census Data'!$AA$6:$AA$205,Computation!D$5)</f>
        <v>0</v>
      </c>
      <c r="AN35" s="20">
        <f>COUNTIFS('Census Data'!$AI:$AI,Computation!$AK35,'Census Data'!$F:$F,Computation!$A$34,'Census Data'!$AE:$AE,Computation!C$4,'Census Data'!$AK:$AK,1)</f>
        <v>0</v>
      </c>
      <c r="AO35" s="20">
        <f>SUMIFS('Census Data'!$AY$6:$AY$205,'Census Data'!$AI$6:$AI$205,Computation!$AK35,'Census Data'!$F$6:$F$205,Computation!$A$34,'Census Data'!$AE$6:$AE$205,Computation!$I$4,'Census Data'!$AA$6:$AA$205,Computation!I$5)</f>
        <v>0</v>
      </c>
      <c r="AP35" s="20">
        <f>SUMIFS('Census Data'!$AY$6:$AY$205,'Census Data'!$AI$6:$AI$205,Computation!$AK35,'Census Data'!$F$6:$F$205,Computation!$A$34,'Census Data'!$AE$6:$AE$205,Computation!$I$4,'Census Data'!$AA$6:$AA$205,Computation!J$5)</f>
        <v>0</v>
      </c>
      <c r="AQ35" s="20">
        <f>SUMIFS('Census Data'!$AV:$AV,'Census Data'!$AI:$AI,Computation!$AK35,'Census Data'!$F:$F,Computation!$A$34,'Census Data'!$AE:$AE,Computation!I$4,'Census Data'!$AK:$AK,1)</f>
        <v>0</v>
      </c>
    </row>
    <row r="36" spans="1:43" x14ac:dyDescent="0.25">
      <c r="A36" s="794"/>
      <c r="B36" s="45" t="str">
        <f t="shared" si="0"/>
        <v>36 - 45</v>
      </c>
      <c r="C36" s="46">
        <f>COUNTIFS('Census Data'!$AJ$6:$AJ$205,Computation!$B36,'Census Data'!$F$6:$F$205,Computation!$A$34,'Census Data'!$AE$6:$AE$205,Computation!$C$4,'Census Data'!$AA$6:$AA$205,Computation!C$5)</f>
        <v>0</v>
      </c>
      <c r="D36" s="47">
        <f>COUNTIFS('Census Data'!$AJ$6:$AJ$205,Computation!$B36,'Census Data'!$F$6:$F$205,Computation!$A$34,'Census Data'!$AE$6:$AE$205,Computation!$C$4,'Census Data'!$AA$6:$AA$205,Computation!D$5)</f>
        <v>0</v>
      </c>
      <c r="E36" s="48">
        <f>COUNTIFS('Census Data'!$AJ:$AJ,Computation!$B36,'Census Data'!$F:$F,Computation!$A$34,'Census Data'!$AE:$AE,Computation!C$4,'Census Data'!$AK:$AK,1)</f>
        <v>0</v>
      </c>
      <c r="F36" s="46">
        <f>COUNTIFS('Census Data'!$AJ$6:$AJ$205,Computation!$B36,'Census Data'!$F$6:$F$205,Computation!$A$34,'Census Data'!$AE$6:$AE$205,Computation!$F$4,'Census Data'!$AA$6:$AA$205,Computation!F$5)</f>
        <v>0</v>
      </c>
      <c r="G36" s="47">
        <f>COUNTIFS('Census Data'!$AJ$6:$AJ$205,Computation!$B36,'Census Data'!$F$6:$F$205,Computation!$A$34,'Census Data'!$AE$6:$AE$205,Computation!$F$4,'Census Data'!$AA$6:$AA$205,Computation!G$5)</f>
        <v>0</v>
      </c>
      <c r="H36" s="47">
        <f>COUNTIFS('Census Data'!$AJ:$AJ,Computation!$B36,'Census Data'!$F:$F,Computation!$A$34,'Census Data'!$AE:$AE,Computation!F$4,'Census Data'!$AK:$AK,1)</f>
        <v>0</v>
      </c>
      <c r="I36" s="46">
        <f>SUMIFS('Census Data'!$AY$6:$AY$205,'Census Data'!$AJ$6:$AJ$205,Computation!$B36,'Census Data'!$F$6:$F$205,Computation!$A$34,'Census Data'!$AE$6:$AE$205,Computation!$I$4,'Census Data'!$AA$6:$AA$205,Computation!I$5)</f>
        <v>0</v>
      </c>
      <c r="J36" s="47">
        <f>SUMIFS('Census Data'!$AY$6:$AY$205,'Census Data'!$AJ$6:$AJ$205,Computation!$B36,'Census Data'!$F$6:$F$205,Computation!$A$34,'Census Data'!$AE$6:$AE$205,Computation!$I$4,'Census Data'!$AA$6:$AA$205,Computation!J$5)</f>
        <v>0</v>
      </c>
      <c r="K36" s="47">
        <f>SUMIFS('Census Data'!$AV:$AV,'Census Data'!$AJ:$AJ,Computation!$B36,'Census Data'!$F:$F,Computation!$A$34,'Census Data'!$AE:$AE,Computation!I$4,'Census Data'!$AK:$AK,1)</f>
        <v>0</v>
      </c>
      <c r="L36" s="46">
        <f>SUMIFS('Census Data'!$AY$6:$AY$205,'Census Data'!$AJ$6:$AJ$205,Computation!$B36,'Census Data'!$F$6:$F$205,Computation!$A$34,'Census Data'!$AE$6:$AE$205,Computation!$L$4,'Census Data'!$AA$6:$AA$205,Computation!L$5)</f>
        <v>0</v>
      </c>
      <c r="M36" s="47">
        <f>SUMIFS('Census Data'!$AY$6:$AY$205,'Census Data'!$AJ$6:$AJ$205,Computation!$B36,'Census Data'!$F$6:$F$205,Computation!$A$34,'Census Data'!$AE$6:$AE$205,Computation!$L$4,'Census Data'!$AA$6:$AA$205,Computation!M$5)</f>
        <v>0</v>
      </c>
      <c r="N36" s="48">
        <f>SUMIFS('Census Data'!$AV:$AV,'Census Data'!$AJ:$AJ,Computation!$B36,'Census Data'!$F:$F,Computation!$A$34,'Census Data'!$AE:$AE,Computation!L$4,'Census Data'!$AK:$AK,1)</f>
        <v>0</v>
      </c>
      <c r="R36" s="20" t="s">
        <v>282</v>
      </c>
      <c r="S36" s="20">
        <f>COUNTIFS('Census Data'!$AI$6:$AI$205,Computation!$R36,'Census Data'!$F$6:$F$205,Computation!$A$34,'Census Data'!$AE$6:$AE$205,Computation!S$4,'Census Data'!$AA$6:$AA$205,Computation!S$5,'Census Data'!$H$6:$H$205,$R$4)</f>
        <v>0</v>
      </c>
      <c r="T36" s="20">
        <f>COUNTIFS('Census Data'!$AI:$AI,Computation!$R36,'Census Data'!$F:$F,Computation!$A$34,'Census Data'!$AE:$AE,Computation!S$4,'Census Data'!$AA:$AA,Computation!T$5,'Census Data'!$H:$H,Computation!R$4)</f>
        <v>0</v>
      </c>
      <c r="U36" s="20">
        <f>COUNTIFS('Census Data'!$AI:$AI,Computation!$R36,'Census Data'!$F:$F,Computation!$A$34,'Census Data'!$AE:$AE,Computation!S$4,'Census Data'!$AK:$AK,1)</f>
        <v>0</v>
      </c>
      <c r="V36" s="20">
        <f>SUMIFS('Census Data'!$AY$6:$AY$205,'Census Data'!$AI$6:$AI$205,Computation!$R36,'Census Data'!$F$6:$F$205,Computation!$A$34,'Census Data'!$AE$6:$AE$205,Computation!$V$4,'Census Data'!$AA$6:$AA$205,Computation!V$5,'Census Data'!$H$6:$H$205,$R$4)</f>
        <v>0</v>
      </c>
      <c r="W36" s="20">
        <f>SUMIFS('Census Data'!$AY$6:$AY$205,'Census Data'!$AI$6:$AI$205,Computation!$R36,'Census Data'!$F$6:$F$205,Computation!$A$34,'Census Data'!$AE$6:$AE$205,Computation!$V$4,'Census Data'!$AA$6:$AA$205,Computation!W$5,'Census Data'!$H$6:$H$205,Computation!R$4)</f>
        <v>0</v>
      </c>
      <c r="X36" s="20">
        <f>SUMIFS('Census Data'!$AV:$AV,'Census Data'!$AI:$AI,Computation!$R36,'Census Data'!$F:$F,Computation!$A$34,'Census Data'!$AE:$AE,Computation!L$4,'Census Data'!$AK:$AK,1)</f>
        <v>0</v>
      </c>
      <c r="AA36" s="20" t="s">
        <v>282</v>
      </c>
      <c r="AB36" s="20">
        <f>COUNTIFS('Census Data'!$AI$6:$AI$205,Computation!$R36,'Census Data'!$F$6:$F$205,Computation!$A$34,'Census Data'!$AE$6:$AE$205,Computation!AB$4,'Census Data'!$AA$6:$AA$205,Computation!AB$5,'Census Data'!$H$6:$H$205,$AA$4)</f>
        <v>0</v>
      </c>
      <c r="AC36" s="20">
        <f>COUNTIFS('Census Data'!$AI:$AI,Computation!$R36,'Census Data'!$F:$F,Computation!$A$34,'Census Data'!$AE:$AE,Computation!AB$4,'Census Data'!$AA:$AA,Computation!AC$5,'Census Data'!$H:$H,Computation!AA$4)</f>
        <v>0</v>
      </c>
      <c r="AE36" s="20">
        <f>SUMIFS('Census Data'!$AY$6:$AY$205,'Census Data'!$AI$6:$AI$205,Computation!$R36,'Census Data'!$F$6:$F$205,Computation!$A$34,'Census Data'!$AE$6:$AE$205,Computation!$V$4,'Census Data'!$AA$6:$AA$205,Computation!AE$5,'Census Data'!$H$6:$H$205,$AA$4)</f>
        <v>0</v>
      </c>
      <c r="AF36" s="20">
        <f>SUMIFS('Census Data'!$AY$6:$AY$205,'Census Data'!$AI$6:$AI$205,Computation!$R36,'Census Data'!$F$6:$F$205,Computation!$A$34,'Census Data'!$AE$6:$AE$205,Computation!$V$4,'Census Data'!$AA$6:$AA$205,Computation!AF$5,'Census Data'!$H$6:$H$205,Computation!AA$4)</f>
        <v>0</v>
      </c>
      <c r="AK36" s="20" t="s">
        <v>282</v>
      </c>
      <c r="AL36" s="20">
        <f>COUNTIFS('Census Data'!$AI$6:$AI$205,Computation!$AK36,'Census Data'!$F$6:$F$205,Computation!$A$34,'Census Data'!$AE$6:$AE$205,Computation!$C$4,'Census Data'!$AA$6:$AA$205,Computation!C$5)</f>
        <v>0</v>
      </c>
      <c r="AM36" s="20">
        <f>COUNTIFS('Census Data'!$AI$6:$AI$205,Computation!$AK36,'Census Data'!$F$6:$F$205,Computation!$A$34,'Census Data'!$AE$6:$AE$205,Computation!$C$4,'Census Data'!$AA$6:$AA$205,Computation!D$5)</f>
        <v>0</v>
      </c>
      <c r="AN36" s="20">
        <f>COUNTIFS('Census Data'!$AI:$AI,Computation!$AK36,'Census Data'!$F:$F,Computation!$A$34,'Census Data'!$AE:$AE,Computation!C$4,'Census Data'!$AK:$AK,1)</f>
        <v>0</v>
      </c>
      <c r="AO36" s="20">
        <f>SUMIFS('Census Data'!$AY$6:$AY$205,'Census Data'!$AI$6:$AI$205,Computation!$AK36,'Census Data'!$F$6:$F$205,Computation!$A$34,'Census Data'!$AE$6:$AE$205,Computation!$I$4,'Census Data'!$AA$6:$AA$205,Computation!I$5)</f>
        <v>0</v>
      </c>
      <c r="AP36" s="20">
        <f>SUMIFS('Census Data'!$AY$6:$AY$205,'Census Data'!$AI$6:$AI$205,Computation!$AK36,'Census Data'!$F$6:$F$205,Computation!$A$34,'Census Data'!$AE$6:$AE$205,Computation!$I$4,'Census Data'!$AA$6:$AA$205,Computation!J$5)</f>
        <v>0</v>
      </c>
      <c r="AQ36" s="20">
        <f>SUMIFS('Census Data'!$AV:$AV,'Census Data'!$AI:$AI,Computation!$AK36,'Census Data'!$F:$F,Computation!$A$34,'Census Data'!$AE:$AE,Computation!I$4,'Census Data'!$AK:$AK,1)</f>
        <v>0</v>
      </c>
    </row>
    <row r="37" spans="1:43" x14ac:dyDescent="0.25">
      <c r="A37" s="794"/>
      <c r="B37" s="45" t="str">
        <f t="shared" si="0"/>
        <v>46 - 55</v>
      </c>
      <c r="C37" s="46">
        <f>COUNTIFS('Census Data'!$AJ$6:$AJ$205,Computation!$B37,'Census Data'!$F$6:$F$205,Computation!$A$34,'Census Data'!$AE$6:$AE$205,Computation!$C$4,'Census Data'!$AA$6:$AA$205,Computation!C$5)</f>
        <v>0</v>
      </c>
      <c r="D37" s="47">
        <f>COUNTIFS('Census Data'!$AJ$6:$AJ$205,Computation!$B37,'Census Data'!$F$6:$F$205,Computation!$A$34,'Census Data'!$AE$6:$AE$205,Computation!$C$4,'Census Data'!$AA$6:$AA$205,Computation!D$5)</f>
        <v>0</v>
      </c>
      <c r="E37" s="48">
        <f>COUNTIFS('Census Data'!$AJ:$AJ,Computation!$B37,'Census Data'!$F:$F,Computation!$A$34,'Census Data'!$AE:$AE,Computation!C$4,'Census Data'!$AK:$AK,1)</f>
        <v>0</v>
      </c>
      <c r="F37" s="46">
        <f>COUNTIFS('Census Data'!$AJ$6:$AJ$205,Computation!$B37,'Census Data'!$F$6:$F$205,Computation!$A$34,'Census Data'!$AE$6:$AE$205,Computation!$F$4,'Census Data'!$AA$6:$AA$205,Computation!F$5)</f>
        <v>0</v>
      </c>
      <c r="G37" s="47">
        <f>COUNTIFS('Census Data'!$AJ$6:$AJ$205,Computation!$B37,'Census Data'!$F$6:$F$205,Computation!$A$34,'Census Data'!$AE$6:$AE$205,Computation!$F$4,'Census Data'!$AA$6:$AA$205,Computation!G$5)</f>
        <v>0</v>
      </c>
      <c r="H37" s="47">
        <f>COUNTIFS('Census Data'!$AJ:$AJ,Computation!$B37,'Census Data'!$F:$F,Computation!$A$34,'Census Data'!$AE:$AE,Computation!F$4,'Census Data'!$AK:$AK,1)</f>
        <v>0</v>
      </c>
      <c r="I37" s="46">
        <f>SUMIFS('Census Data'!$AY$6:$AY$205,'Census Data'!$AJ$6:$AJ$205,Computation!$B37,'Census Data'!$F$6:$F$205,Computation!$A$34,'Census Data'!$AE$6:$AE$205,Computation!$I$4,'Census Data'!$AA$6:$AA$205,Computation!I$5)</f>
        <v>0</v>
      </c>
      <c r="J37" s="47">
        <f>SUMIFS('Census Data'!$AY$6:$AY$205,'Census Data'!$AJ$6:$AJ$205,Computation!$B37,'Census Data'!$F$6:$F$205,Computation!$A$34,'Census Data'!$AE$6:$AE$205,Computation!$I$4,'Census Data'!$AA$6:$AA$205,Computation!J$5)</f>
        <v>0</v>
      </c>
      <c r="K37" s="47">
        <f>SUMIFS('Census Data'!$AV:$AV,'Census Data'!$AJ:$AJ,Computation!$B37,'Census Data'!$F:$F,Computation!$A$34,'Census Data'!$AE:$AE,Computation!I$4,'Census Data'!$AK:$AK,1)</f>
        <v>0</v>
      </c>
      <c r="L37" s="46">
        <f>SUMIFS('Census Data'!$AY$6:$AY$205,'Census Data'!$AJ$6:$AJ$205,Computation!$B37,'Census Data'!$F$6:$F$205,Computation!$A$34,'Census Data'!$AE$6:$AE$205,Computation!$L$4,'Census Data'!$AA$6:$AA$205,Computation!L$5)</f>
        <v>0</v>
      </c>
      <c r="M37" s="47">
        <f>SUMIFS('Census Data'!$AY$6:$AY$205,'Census Data'!$AJ$6:$AJ$205,Computation!$B37,'Census Data'!$F$6:$F$205,Computation!$A$34,'Census Data'!$AE$6:$AE$205,Computation!$L$4,'Census Data'!$AA$6:$AA$205,Computation!M$5)</f>
        <v>0</v>
      </c>
      <c r="N37" s="48">
        <f>SUMIFS('Census Data'!$AV:$AV,'Census Data'!$AJ:$AJ,Computation!$B37,'Census Data'!$F:$F,Computation!$A$34,'Census Data'!$AE:$AE,Computation!L$4,'Census Data'!$AK:$AK,1)</f>
        <v>0</v>
      </c>
      <c r="R37" s="20" t="s">
        <v>284</v>
      </c>
      <c r="S37" s="20">
        <f>COUNTIFS('Census Data'!$AI$6:$AI$205,Computation!$R37,'Census Data'!$F$6:$F$205,Computation!$A$34,'Census Data'!$AE$6:$AE$205,Computation!S$4,'Census Data'!$AA$6:$AA$205,Computation!S$5,'Census Data'!$H$6:$H$205,$R$4)</f>
        <v>0</v>
      </c>
      <c r="T37" s="20">
        <f>COUNTIFS('Census Data'!$AI:$AI,Computation!$R37,'Census Data'!$F:$F,Computation!$A$34,'Census Data'!$AE:$AE,Computation!S$4,'Census Data'!$AA:$AA,Computation!T$5,'Census Data'!$H:$H,Computation!R$4)</f>
        <v>0</v>
      </c>
      <c r="U37" s="20">
        <f>COUNTIFS('Census Data'!$AI:$AI,Computation!$R37,'Census Data'!$F:$F,Computation!$A$34,'Census Data'!$AE:$AE,Computation!S$4,'Census Data'!$AK:$AK,1)</f>
        <v>0</v>
      </c>
      <c r="V37" s="20">
        <f>SUMIFS('Census Data'!$AY$6:$AY$205,'Census Data'!$AI$6:$AI$205,Computation!$R37,'Census Data'!$F$6:$F$205,Computation!$A$34,'Census Data'!$AE$6:$AE$205,Computation!$V$4,'Census Data'!$AA$6:$AA$205,Computation!V$5,'Census Data'!$H$6:$H$205,$R$4)</f>
        <v>0</v>
      </c>
      <c r="W37" s="20">
        <f>SUMIFS('Census Data'!$AY$6:$AY$205,'Census Data'!$AI$6:$AI$205,Computation!$R37,'Census Data'!$F$6:$F$205,Computation!$A$34,'Census Data'!$AE$6:$AE$205,Computation!$V$4,'Census Data'!$AA$6:$AA$205,Computation!W$5,'Census Data'!$H$6:$H$205,Computation!R$4)</f>
        <v>0</v>
      </c>
      <c r="X37" s="20">
        <f>SUMIFS('Census Data'!$AV:$AV,'Census Data'!$AI:$AI,Computation!$R37,'Census Data'!$F:$F,Computation!$A$34,'Census Data'!$AE:$AE,Computation!L$4,'Census Data'!$AK:$AK,1)</f>
        <v>0</v>
      </c>
      <c r="AA37" s="20" t="s">
        <v>284</v>
      </c>
      <c r="AB37" s="20">
        <f>COUNTIFS('Census Data'!$AI$6:$AI$205,Computation!$R37,'Census Data'!$F$6:$F$205,Computation!$A$34,'Census Data'!$AE$6:$AE$205,Computation!AB$4,'Census Data'!$AA$6:$AA$205,Computation!AB$5,'Census Data'!$H$6:$H$205,$AA$4)</f>
        <v>0</v>
      </c>
      <c r="AC37" s="20">
        <f>COUNTIFS('Census Data'!$AI:$AI,Computation!$R37,'Census Data'!$F:$F,Computation!$A$34,'Census Data'!$AE:$AE,Computation!AB$4,'Census Data'!$AA:$AA,Computation!AC$5,'Census Data'!$H:$H,Computation!AA$4)</f>
        <v>0</v>
      </c>
      <c r="AE37" s="20">
        <f>SUMIFS('Census Data'!$AY$6:$AY$205,'Census Data'!$AI$6:$AI$205,Computation!$R37,'Census Data'!$F$6:$F$205,Computation!$A$34,'Census Data'!$AE$6:$AE$205,Computation!$V$4,'Census Data'!$AA$6:$AA$205,Computation!AE$5,'Census Data'!$H$6:$H$205,$AA$4)</f>
        <v>0</v>
      </c>
      <c r="AF37" s="20">
        <f>SUMIFS('Census Data'!$AY$6:$AY$205,'Census Data'!$AI$6:$AI$205,Computation!$R37,'Census Data'!$F$6:$F$205,Computation!$A$34,'Census Data'!$AE$6:$AE$205,Computation!$V$4,'Census Data'!$AA$6:$AA$205,Computation!AF$5,'Census Data'!$H$6:$H$205,Computation!AA$4)</f>
        <v>0</v>
      </c>
      <c r="AK37" s="20" t="s">
        <v>284</v>
      </c>
      <c r="AL37" s="20">
        <f>COUNTIFS('Census Data'!$AI$6:$AI$205,Computation!$AK37,'Census Data'!$F$6:$F$205,Computation!$A$34,'Census Data'!$AE$6:$AE$205,Computation!$C$4,'Census Data'!$AA$6:$AA$205,Computation!C$5)</f>
        <v>0</v>
      </c>
      <c r="AM37" s="20">
        <f>COUNTIFS('Census Data'!$AI$6:$AI$205,Computation!$AK37,'Census Data'!$F$6:$F$205,Computation!$A$34,'Census Data'!$AE$6:$AE$205,Computation!$C$4,'Census Data'!$AA$6:$AA$205,Computation!D$5)</f>
        <v>0</v>
      </c>
      <c r="AN37" s="20">
        <f>COUNTIFS('Census Data'!$AI:$AI,Computation!$AK37,'Census Data'!$F:$F,Computation!$A$34,'Census Data'!$AE:$AE,Computation!C$4,'Census Data'!$AK:$AK,1)</f>
        <v>0</v>
      </c>
      <c r="AO37" s="20">
        <f>SUMIFS('Census Data'!$AY$6:$AY$205,'Census Data'!$AI$6:$AI$205,Computation!$AK37,'Census Data'!$F$6:$F$205,Computation!$A$34,'Census Data'!$AE$6:$AE$205,Computation!$I$4,'Census Data'!$AA$6:$AA$205,Computation!I$5)</f>
        <v>0</v>
      </c>
      <c r="AP37" s="20">
        <f>SUMIFS('Census Data'!$AY$6:$AY$205,'Census Data'!$AI$6:$AI$205,Computation!$AK37,'Census Data'!$F$6:$F$205,Computation!$A$34,'Census Data'!$AE$6:$AE$205,Computation!$I$4,'Census Data'!$AA$6:$AA$205,Computation!J$5)</f>
        <v>0</v>
      </c>
      <c r="AQ37" s="20">
        <f>SUMIFS('Census Data'!$AV:$AV,'Census Data'!$AI:$AI,Computation!$AK37,'Census Data'!$F:$F,Computation!$A$34,'Census Data'!$AE:$AE,Computation!I$4,'Census Data'!$AK:$AK,1)</f>
        <v>0</v>
      </c>
    </row>
    <row r="38" spans="1:43" x14ac:dyDescent="0.25">
      <c r="A38" s="794"/>
      <c r="B38" s="45" t="str">
        <f t="shared" si="0"/>
        <v>56 - 60</v>
      </c>
      <c r="C38" s="46">
        <f>COUNTIFS('Census Data'!$AJ$6:$AJ$205,Computation!$B38,'Census Data'!$F$6:$F$205,Computation!$A$34,'Census Data'!$AE$6:$AE$205,Computation!$C$4,'Census Data'!$AA$6:$AA$205,Computation!C$5)</f>
        <v>0</v>
      </c>
      <c r="D38" s="47">
        <f>COUNTIFS('Census Data'!$AJ$6:$AJ$205,Computation!$B38,'Census Data'!$F$6:$F$205,Computation!$A$34,'Census Data'!$AE$6:$AE$205,Computation!$C$4,'Census Data'!$AA$6:$AA$205,Computation!D$5)</f>
        <v>0</v>
      </c>
      <c r="E38" s="48">
        <f>COUNTIFS('Census Data'!$AJ:$AJ,Computation!$B38,'Census Data'!$F:$F,Computation!$A$34,'Census Data'!$AE:$AE,Computation!C$4,'Census Data'!$AK:$AK,1)</f>
        <v>0</v>
      </c>
      <c r="F38" s="46">
        <f>COUNTIFS('Census Data'!$AJ$6:$AJ$205,Computation!$B38,'Census Data'!$F$6:$F$205,Computation!$A$34,'Census Data'!$AE$6:$AE$205,Computation!$F$4,'Census Data'!$AA$6:$AA$205,Computation!F$5)</f>
        <v>0</v>
      </c>
      <c r="G38" s="47">
        <f>COUNTIFS('Census Data'!$AJ$6:$AJ$205,Computation!$B38,'Census Data'!$F$6:$F$205,Computation!$A$34,'Census Data'!$AE$6:$AE$205,Computation!$F$4,'Census Data'!$AA$6:$AA$205,Computation!G$5)</f>
        <v>0</v>
      </c>
      <c r="H38" s="47">
        <f>COUNTIFS('Census Data'!$AJ:$AJ,Computation!$B38,'Census Data'!$F:$F,Computation!$A$34,'Census Data'!$AE:$AE,Computation!F$4,'Census Data'!$AK:$AK,1)</f>
        <v>0</v>
      </c>
      <c r="I38" s="46">
        <f>SUMIFS('Census Data'!$AY$6:$AY$205,'Census Data'!$AJ$6:$AJ$205,Computation!$B38,'Census Data'!$F$6:$F$205,Computation!$A$34,'Census Data'!$AE$6:$AE$205,Computation!$I$4,'Census Data'!$AA$6:$AA$205,Computation!I$5)</f>
        <v>0</v>
      </c>
      <c r="J38" s="47">
        <f>SUMIFS('Census Data'!$AY$6:$AY$205,'Census Data'!$AJ$6:$AJ$205,Computation!$B38,'Census Data'!$F$6:$F$205,Computation!$A$34,'Census Data'!$AE$6:$AE$205,Computation!$I$4,'Census Data'!$AA$6:$AA$205,Computation!J$5)</f>
        <v>0</v>
      </c>
      <c r="K38" s="47">
        <f>SUMIFS('Census Data'!$AV:$AV,'Census Data'!$AJ:$AJ,Computation!$B38,'Census Data'!$F:$F,Computation!$A$34,'Census Data'!$AE:$AE,Computation!I$4,'Census Data'!$AK:$AK,1)</f>
        <v>0</v>
      </c>
      <c r="L38" s="46">
        <f>SUMIFS('Census Data'!$AY$6:$AY$205,'Census Data'!$AJ$6:$AJ$205,Computation!$B38,'Census Data'!$F$6:$F$205,Computation!$A$34,'Census Data'!$AE$6:$AE$205,Computation!$L$4,'Census Data'!$AA$6:$AA$205,Computation!L$5)</f>
        <v>0</v>
      </c>
      <c r="M38" s="47">
        <f>SUMIFS('Census Data'!$AY$6:$AY$205,'Census Data'!$AJ$6:$AJ$205,Computation!$B38,'Census Data'!$F$6:$F$205,Computation!$A$34,'Census Data'!$AE$6:$AE$205,Computation!$L$4,'Census Data'!$AA$6:$AA$205,Computation!M$5)</f>
        <v>0</v>
      </c>
      <c r="N38" s="48">
        <f>SUMIFS('Census Data'!$AV:$AV,'Census Data'!$AJ:$AJ,Computation!$B38,'Census Data'!$F:$F,Computation!$A$34,'Census Data'!$AE:$AE,Computation!L$4,'Census Data'!$AK:$AK,1)</f>
        <v>0</v>
      </c>
    </row>
    <row r="39" spans="1:43" x14ac:dyDescent="0.25">
      <c r="A39" s="794"/>
      <c r="B39" s="45" t="str">
        <f t="shared" si="0"/>
        <v>61 - 65</v>
      </c>
      <c r="C39" s="46">
        <f>COUNTIFS('Census Data'!$AJ$6:$AJ$205,Computation!$B39,'Census Data'!$F$6:$F$205,Computation!$A$34,'Census Data'!$AE$6:$AE$205,Computation!$C$4,'Census Data'!$AA$6:$AA$205,Computation!C$5)</f>
        <v>0</v>
      </c>
      <c r="D39" s="47">
        <f>COUNTIFS('Census Data'!$AJ$6:$AJ$205,Computation!$B39,'Census Data'!$F$6:$F$205,Computation!$A$34,'Census Data'!$AE$6:$AE$205,Computation!$C$4,'Census Data'!$AA$6:$AA$205,Computation!D$5)</f>
        <v>0</v>
      </c>
      <c r="E39" s="48">
        <f>COUNTIFS('Census Data'!$AJ:$AJ,Computation!$B39,'Census Data'!$F:$F,Computation!$A$34,'Census Data'!$AE:$AE,Computation!C$4,'Census Data'!$AK:$AK,1)</f>
        <v>0</v>
      </c>
      <c r="F39" s="46">
        <f>COUNTIFS('Census Data'!$AJ$6:$AJ$205,Computation!$B39,'Census Data'!$F$6:$F$205,Computation!$A$34,'Census Data'!$AE$6:$AE$205,Computation!$F$4,'Census Data'!$AA$6:$AA$205,Computation!F$5)</f>
        <v>0</v>
      </c>
      <c r="G39" s="47">
        <f>COUNTIFS('Census Data'!$AJ$6:$AJ$205,Computation!$B39,'Census Data'!$F$6:$F$205,Computation!$A$34,'Census Data'!$AE$6:$AE$205,Computation!$F$4,'Census Data'!$AA$6:$AA$205,Computation!G$5)</f>
        <v>0</v>
      </c>
      <c r="H39" s="47">
        <f>COUNTIFS('Census Data'!$AJ:$AJ,Computation!$B39,'Census Data'!$F:$F,Computation!$A$34,'Census Data'!$AE:$AE,Computation!F$4,'Census Data'!$AK:$AK,1)</f>
        <v>0</v>
      </c>
      <c r="I39" s="46">
        <f>SUMIFS('Census Data'!$AY$6:$AY$205,'Census Data'!$AJ$6:$AJ$205,Computation!$B39,'Census Data'!$F$6:$F$205,Computation!$A$34,'Census Data'!$AE$6:$AE$205,Computation!$I$4,'Census Data'!$AA$6:$AA$205,Computation!I$5)</f>
        <v>0</v>
      </c>
      <c r="J39" s="47">
        <f>SUMIFS('Census Data'!$AY$6:$AY$205,'Census Data'!$AJ$6:$AJ$205,Computation!$B39,'Census Data'!$F$6:$F$205,Computation!$A$34,'Census Data'!$AE$6:$AE$205,Computation!$I$4,'Census Data'!$AA$6:$AA$205,Computation!J$5)</f>
        <v>0</v>
      </c>
      <c r="K39" s="47">
        <f>SUMIFS('Census Data'!$AV:$AV,'Census Data'!$AJ:$AJ,Computation!$B39,'Census Data'!$F:$F,Computation!$A$34,'Census Data'!$AE:$AE,Computation!I$4,'Census Data'!$AK:$AK,1)</f>
        <v>0</v>
      </c>
      <c r="L39" s="46">
        <f>SUMIFS('Census Data'!$AY$6:$AY$205,'Census Data'!$AJ$6:$AJ$205,Computation!$B39,'Census Data'!$F$6:$F$205,Computation!$A$34,'Census Data'!$AE$6:$AE$205,Computation!$L$4,'Census Data'!$AA$6:$AA$205,Computation!L$5)</f>
        <v>0</v>
      </c>
      <c r="M39" s="47">
        <f>SUMIFS('Census Data'!$AY$6:$AY$205,'Census Data'!$AJ$6:$AJ$205,Computation!$B39,'Census Data'!$F$6:$F$205,Computation!$A$34,'Census Data'!$AE$6:$AE$205,Computation!$L$4,'Census Data'!$AA$6:$AA$205,Computation!M$5)</f>
        <v>0</v>
      </c>
      <c r="N39" s="48">
        <f>SUMIFS('Census Data'!$AV:$AV,'Census Data'!$AJ:$AJ,Computation!$B39,'Census Data'!$F:$F,Computation!$A$34,'Census Data'!$AE:$AE,Computation!L$4,'Census Data'!$AK:$AK,1)</f>
        <v>0</v>
      </c>
    </row>
    <row r="40" spans="1:43" x14ac:dyDescent="0.25">
      <c r="A40" s="795"/>
      <c r="B40" s="49" t="str">
        <f t="shared" si="0"/>
        <v>66 - 69</v>
      </c>
      <c r="C40" s="50">
        <f>COUNTIFS('Census Data'!$AJ$6:$AJ$205,Computation!$B40,'Census Data'!$F$6:$F$205,Computation!$A$34,'Census Data'!$AE$6:$AE$205,Computation!$C$4,'Census Data'!$AA$6:$AA$205,Computation!C$5)</f>
        <v>0</v>
      </c>
      <c r="D40" s="51">
        <f>COUNTIFS('Census Data'!$AJ$6:$AJ$205,Computation!$B40,'Census Data'!$F$6:$F$205,Computation!$A$34,'Census Data'!$AE$6:$AE$205,Computation!$C$4,'Census Data'!$AA$6:$AA$205,Computation!D$5)</f>
        <v>0</v>
      </c>
      <c r="E40" s="52">
        <f>COUNTIFS('Census Data'!$AJ:$AJ,Computation!$B40,'Census Data'!$F:$F,Computation!$A$34,'Census Data'!$AE:$AE,Computation!C$4,'Census Data'!$AK:$AK,1)</f>
        <v>0</v>
      </c>
      <c r="F40" s="50">
        <f>COUNTIFS('Census Data'!$AJ$6:$AJ$205,Computation!$B40,'Census Data'!$F$6:$F$205,Computation!$A$34,'Census Data'!$AE$6:$AE$205,Computation!$F$4,'Census Data'!$AA$6:$AA$205,Computation!F$5)</f>
        <v>0</v>
      </c>
      <c r="G40" s="51">
        <f>COUNTIFS('Census Data'!$AJ$6:$AJ$205,Computation!$B40,'Census Data'!$F$6:$F$205,Computation!$A$34,'Census Data'!$AE$6:$AE$205,Computation!$F$4,'Census Data'!$AA$6:$AA$205,Computation!G$5)</f>
        <v>0</v>
      </c>
      <c r="H40" s="51">
        <f>COUNTIFS('Census Data'!$AJ:$AJ,Computation!$B40,'Census Data'!$F:$F,Computation!$A$34,'Census Data'!$AE:$AE,Computation!F$4,'Census Data'!$AK:$AK,1)</f>
        <v>0</v>
      </c>
      <c r="I40" s="50">
        <f>SUMIFS('Census Data'!$AY$6:$AY$205,'Census Data'!$AJ$6:$AJ$205,Computation!$B40,'Census Data'!$F$6:$F$205,Computation!$A$34,'Census Data'!$AE$6:$AE$205,Computation!$I$4,'Census Data'!$AA$6:$AA$205,Computation!I$5)</f>
        <v>0</v>
      </c>
      <c r="J40" s="51">
        <f>SUMIFS('Census Data'!$AY$6:$AY$205,'Census Data'!$AJ$6:$AJ$205,Computation!$B40,'Census Data'!$F$6:$F$205,Computation!$A$34,'Census Data'!$AE$6:$AE$205,Computation!$I$4,'Census Data'!$AA$6:$AA$205,Computation!J$5)</f>
        <v>0</v>
      </c>
      <c r="K40" s="47">
        <f>SUMIFS('Census Data'!$AV:$AV,'Census Data'!$AJ:$AJ,Computation!$B40,'Census Data'!$F:$F,Computation!$A$34,'Census Data'!$AE:$AE,Computation!I$4,'Census Data'!$AK:$AK,1)</f>
        <v>0</v>
      </c>
      <c r="L40" s="50">
        <f>SUMIFS('Census Data'!$AY$6:$AY$205,'Census Data'!$AJ$6:$AJ$205,Computation!$B40,'Census Data'!$F$6:$F$205,Computation!$A$34,'Census Data'!$AE$6:$AE$205,Computation!$L$4,'Census Data'!$AA$6:$AA$205,Computation!L$5)</f>
        <v>0</v>
      </c>
      <c r="M40" s="51">
        <f>SUMIFS('Census Data'!$AY$6:$AY$205,'Census Data'!$AJ$6:$AJ$205,Computation!$B40,'Census Data'!$F$6:$F$205,Computation!$A$34,'Census Data'!$AE$6:$AE$205,Computation!$L$4,'Census Data'!$AA$6:$AA$205,Computation!M$5)</f>
        <v>0</v>
      </c>
      <c r="N40" s="48">
        <f>SUMIFS('Census Data'!$AV:$AV,'Census Data'!$AJ:$AJ,Computation!$B40,'Census Data'!$F:$F,Computation!$A$34,'Census Data'!$AE:$AE,Computation!L$4,'Census Data'!$AK:$AK,1)</f>
        <v>0</v>
      </c>
    </row>
    <row r="41" spans="1:43" x14ac:dyDescent="0.25">
      <c r="A41" s="793" t="s">
        <v>68</v>
      </c>
      <c r="B41" s="41" t="str">
        <f t="shared" si="0"/>
        <v>0 - 17</v>
      </c>
      <c r="C41" s="50">
        <f>COUNTIFS('Census Data'!$AJ$6:$AJ$205,Computation!$B41,'Census Data'!$F$6:$F$205,Computation!$A$41,'Census Data'!$AE$6:$AE$205,Computation!$C$4,'Census Data'!$AA$6:$AA$205,Computation!C$5)</f>
        <v>0</v>
      </c>
      <c r="D41" s="43">
        <f>COUNTIFS('Census Data'!$AJ$6:$AJ$205,Computation!$B41,'Census Data'!$F$6:$F$205,Computation!$A$41,'Census Data'!$AE$6:$AE$205,Computation!$C$4,'Census Data'!$AA$6:$AA$205,Computation!D$5)</f>
        <v>0</v>
      </c>
      <c r="E41" s="43">
        <f>COUNTIFS('Census Data'!$AJ:$AJ,Computation!$B41,'Census Data'!$F:$F,Computation!$A$41,'Census Data'!$AE:$AE,Computation!C$4,'Census Data'!$AK:$AK,1)</f>
        <v>0</v>
      </c>
      <c r="F41" s="50">
        <f>COUNTIFS('Census Data'!$AJ$6:$AJ$205,Computation!$B41,'Census Data'!$F$6:$F$205,Computation!$A$41,'Census Data'!$AE$6:$AE$205,Computation!$F$4,'Census Data'!$AA$6:$AA$205,Computation!F$5)</f>
        <v>0</v>
      </c>
      <c r="G41" s="43">
        <f>COUNTIFS('Census Data'!$AJ$6:$AJ$205,Computation!$B41,'Census Data'!$F$6:$F$205,Computation!$A$41,'Census Data'!$AE$6:$AE$205,Computation!$F$4,'Census Data'!$AA$6:$AA$205,Computation!G$5)</f>
        <v>0</v>
      </c>
      <c r="H41" s="43">
        <f>COUNTIFS('Census Data'!$AJ:$AJ,Computation!$B41,'Census Data'!$F:$F,Computation!$A$41,'Census Data'!$AE:$AE,Computation!F$4,'Census Data'!$AK:$AK,1)</f>
        <v>0</v>
      </c>
      <c r="I41" s="50">
        <f>SUMIFS('Census Data'!$AY$6:$AY$205,'Census Data'!$AJ$6:$AJ$205,Computation!$B41,'Census Data'!$F$6:$F$205,Computation!$A$41,'Census Data'!$AE$6:$AE$205,Computation!$I$4,'Census Data'!$AA$6:$AA$205,Computation!I$5)</f>
        <v>0</v>
      </c>
      <c r="J41" s="43">
        <f>SUMIFS('Census Data'!$AY$6:$AY$205,'Census Data'!$AJ$6:$AJ$205,Computation!$B41,'Census Data'!$F$6:$F$205,Computation!$A$41,'Census Data'!$AE$6:$AE$205,Computation!$I$4,'Census Data'!$AA$6:$AA$205,Computation!J$5)</f>
        <v>0</v>
      </c>
      <c r="K41" s="43">
        <f>SUMIFS('Census Data'!$AV:$AV,'Census Data'!$AJ:$AJ,Computation!$B41,'Census Data'!$F:$F,Computation!$A$41,'Census Data'!$AE:$AE,Computation!I$4,'Census Data'!$AK:$AK,1)</f>
        <v>0</v>
      </c>
      <c r="L41" s="50">
        <f>SUMIFS('Census Data'!$AY$6:$AY$205,'Census Data'!$AJ$6:$AJ$205,Computation!$B41,'Census Data'!$F$6:$F$205,Computation!$A$41,'Census Data'!$AE$6:$AE$205,Computation!$L$4,'Census Data'!$AA$6:$AA$205,Computation!L$5)</f>
        <v>0</v>
      </c>
      <c r="M41" s="43">
        <f>SUMIFS('Census Data'!$AY$6:$AY$205,'Census Data'!$AJ$6:$AJ$205,Computation!$B41,'Census Data'!$F$6:$F$205,Computation!$A$41,'Census Data'!$AE$6:$AE$205,Computation!$L$4,'Census Data'!$AA$6:$AA$205,Computation!M$5)</f>
        <v>0</v>
      </c>
      <c r="N41" s="44">
        <f>SUMIFS('Census Data'!$AV:$AV,'Census Data'!$AJ:$AJ,Computation!$B41,'Census Data'!$F:$F,Computation!$A$41,'Census Data'!$AE:$AE,Computation!L$4,'Census Data'!$AK:$AK,1)</f>
        <v>0</v>
      </c>
      <c r="R41" s="20" t="s">
        <v>278</v>
      </c>
      <c r="S41" s="20">
        <f>COUNTIFS('Census Data'!$AI$6:$AI$205,Computation!$R41,'Census Data'!$F$6:$F$205,Computation!$A$41,'Census Data'!$AE$6:$AE$205,Computation!S$4,'Census Data'!$AA$6:$AA$205,Computation!S$5,'Census Data'!$H$6:$H$205,$R$4)</f>
        <v>0</v>
      </c>
      <c r="T41" s="20">
        <f>COUNTIFS('Census Data'!$AI:$AI,Computation!$R41,'Census Data'!$F:$F,Computation!$A$41,'Census Data'!$AE:$AE,Computation!S$4,'Census Data'!$AA:$AA,Computation!T$5,'Census Data'!$H:$H,Computation!R$4)</f>
        <v>0</v>
      </c>
      <c r="U41" s="20">
        <f>COUNTIFS('Census Data'!$AI:$AI,Computation!$R41,'Census Data'!$F:$F,Computation!$A$41,'Census Data'!$AE:$AE,Computation!S$4,'Census Data'!$AK:$AK,1)</f>
        <v>0</v>
      </c>
      <c r="V41" s="20">
        <f>SUMIFS('Census Data'!$AY$6:$AY$205,'Census Data'!$AI$6:$AI$205,Computation!$R41,'Census Data'!$F$6:$F$205,Computation!$A$41,'Census Data'!$AE$6:$AE$205,Computation!$V$4,'Census Data'!$AA$6:$AA$205,Computation!V$5,'Census Data'!$H$6:$H$205,$R$4)</f>
        <v>0</v>
      </c>
      <c r="W41" s="20">
        <f>SUMIFS('Census Data'!$AY$6:$AY$205,'Census Data'!$AI$6:$AI$205,Computation!$R41,'Census Data'!$F$6:$F$205,Computation!$A$41,'Census Data'!$AE$6:$AE$205,Computation!$V$4,'Census Data'!$AA$6:$AA$205,Computation!W$5,'Census Data'!$H$6:$H$205,Computation!R$4)</f>
        <v>0</v>
      </c>
      <c r="X41" s="20">
        <f>SUMIFS('Census Data'!$AV:$AV,'Census Data'!$AI:$AI,Computation!$R41,'Census Data'!$F:$F,Computation!$A$41,'Census Data'!$AE:$AE,Computation!L$4,'Census Data'!$AK:$AK,1)</f>
        <v>0</v>
      </c>
      <c r="AA41" s="20" t="s">
        <v>278</v>
      </c>
      <c r="AB41" s="20">
        <f>COUNTIFS('Census Data'!$AI$6:$AI$205,Computation!$R41,'Census Data'!$F$6:$F$205,Computation!$A$41,'Census Data'!$AE$6:$AE$205,Computation!AB$4,'Census Data'!$AA$6:$AA$205,Computation!AB$5,'Census Data'!$H$6:$H$205,$AA$4)</f>
        <v>0</v>
      </c>
      <c r="AC41" s="20">
        <f>COUNTIFS('Census Data'!$AI:$AI,Computation!$R41,'Census Data'!$F:$F,Computation!$A$41,'Census Data'!$AE:$AE,Computation!AB$4,'Census Data'!$AA:$AA,Computation!AC$5,'Census Data'!$H:$H,Computation!AA$4)</f>
        <v>0</v>
      </c>
      <c r="AE41" s="20">
        <f>SUMIFS('Census Data'!$AY$6:$AY$205,'Census Data'!$AI$6:$AI$205,Computation!$R41,'Census Data'!$F$6:$F$205,Computation!$A$41,'Census Data'!$AE$6:$AE$205,Computation!$V$4,'Census Data'!$AA$6:$AA$205,Computation!AE$5,'Census Data'!$H$6:$H$205,$AA$4)</f>
        <v>0</v>
      </c>
      <c r="AF41" s="20">
        <f>SUMIFS('Census Data'!$AY$6:$AY$205,'Census Data'!$AI$6:$AI$205,Computation!$R41,'Census Data'!$F$6:$F$205,Computation!$A$41,'Census Data'!$AE$6:$AE$205,Computation!$V$4,'Census Data'!$AA$6:$AA$205,Computation!AF$5,'Census Data'!$H$6:$H$205,Computation!AA$4)</f>
        <v>0</v>
      </c>
      <c r="AK41" s="20" t="s">
        <v>278</v>
      </c>
      <c r="AL41" s="20">
        <f>COUNTIFS('Census Data'!$AI$6:$AI$205,Computation!$AK41,'Census Data'!$F$6:$F$205,Computation!$A$41,'Census Data'!$AE$6:$AE$205,Computation!$C$4,'Census Data'!$AA$6:$AA$205,Computation!C$5)</f>
        <v>0</v>
      </c>
      <c r="AM41" s="20">
        <f>COUNTIFS('Census Data'!$AI$6:$AI$205,Computation!$AK41,'Census Data'!$F$6:$F$205,Computation!$A$41,'Census Data'!$AE$6:$AE$205,Computation!$C$4,'Census Data'!$AA$6:$AA$205,Computation!D$5)</f>
        <v>0</v>
      </c>
      <c r="AN41" s="20">
        <f>COUNTIFS('Census Data'!$AI:$AI,Computation!$AK41,'Census Data'!$F:$F,Computation!$A$41,'Census Data'!$AE:$AE,Computation!C$4,'Census Data'!$AK:$AK,1)</f>
        <v>0</v>
      </c>
      <c r="AO41" s="20">
        <f>SUMIFS('Census Data'!$AY$6:$AY$205,'Census Data'!$AI$6:$AI$205,Computation!$AK41,'Census Data'!$F$6:$F$205,Computation!$A$41,'Census Data'!$AE$6:$AE$205,Computation!$I$4,'Census Data'!$AA$6:$AA$205,Computation!I$5)</f>
        <v>0</v>
      </c>
      <c r="AP41" s="20">
        <f>SUMIFS('Census Data'!$AY$6:$AY$205,'Census Data'!$AI$6:$AI$205,Computation!$AK41,'Census Data'!$F$6:$F$205,Computation!$A$41,'Census Data'!$AE$6:$AE$205,Computation!$I$4,'Census Data'!$AA$6:$AA$205,Computation!J$5)</f>
        <v>0</v>
      </c>
      <c r="AQ41" s="20">
        <f>SUMIFS('Census Data'!$AV:$AV,'Census Data'!$AI:$AI,Computation!$AK41,'Census Data'!$F:$F,Computation!$A$41,'Census Data'!$AE:$AE,Computation!I$4,'Census Data'!$AK:$AK,1)</f>
        <v>0</v>
      </c>
    </row>
    <row r="42" spans="1:43" x14ac:dyDescent="0.25">
      <c r="A42" s="794"/>
      <c r="B42" s="45" t="str">
        <f t="shared" si="0"/>
        <v>18 - 35</v>
      </c>
      <c r="C42" s="46">
        <f>COUNTIFS('Census Data'!$AJ$6:$AJ$205,Computation!$B42,'Census Data'!$F$6:$F$205,Computation!$A$41,'Census Data'!$AE$6:$AE$205,Computation!$C$4,'Census Data'!$AA$6:$AA$205,Computation!C$5)</f>
        <v>0</v>
      </c>
      <c r="D42" s="47">
        <f>COUNTIFS('Census Data'!$AJ$6:$AJ$205,Computation!$B42,'Census Data'!$F$6:$F$205,Computation!$A$41,'Census Data'!$AE$6:$AE$205,Computation!$C$4,'Census Data'!$AA$6:$AA$205,Computation!D$5)</f>
        <v>0</v>
      </c>
      <c r="E42" s="48">
        <f>COUNTIFS('Census Data'!$AJ:$AJ,Computation!$B42,'Census Data'!$F:$F,Computation!$A$41,'Census Data'!$AE:$AE,Computation!C$4,'Census Data'!$AK:$AK,1)</f>
        <v>0</v>
      </c>
      <c r="F42" s="46">
        <f>COUNTIFS('Census Data'!$AJ$6:$AJ$205,Computation!$B42,'Census Data'!$F$6:$F$205,Computation!$A$41,'Census Data'!$AE$6:$AE$205,Computation!$F$4,'Census Data'!$AA$6:$AA$205,Computation!F$5)</f>
        <v>0</v>
      </c>
      <c r="G42" s="47">
        <f>COUNTIFS('Census Data'!$AJ$6:$AJ$205,Computation!$B42,'Census Data'!$F$6:$F$205,Computation!$A$41,'Census Data'!$AE$6:$AE$205,Computation!$F$4,'Census Data'!$AA$6:$AA$205,Computation!G$5)</f>
        <v>0</v>
      </c>
      <c r="H42" s="47">
        <f>COUNTIFS('Census Data'!$AJ:$AJ,Computation!$B42,'Census Data'!$F:$F,Computation!$A$41,'Census Data'!$AE:$AE,Computation!F$4,'Census Data'!$AK:$AK,1)</f>
        <v>0</v>
      </c>
      <c r="I42" s="46">
        <f>SUMIFS('Census Data'!$AY$6:$AY$205,'Census Data'!$AJ$6:$AJ$205,Computation!$B42,'Census Data'!$F$6:$F$205,Computation!$A$41,'Census Data'!$AE$6:$AE$205,Computation!$I$4,'Census Data'!$AA$6:$AA$205,Computation!I$5)</f>
        <v>0</v>
      </c>
      <c r="J42" s="47">
        <f>SUMIFS('Census Data'!$AY$6:$AY$205,'Census Data'!$AJ$6:$AJ$205,Computation!$B42,'Census Data'!$F$6:$F$205,Computation!$A$41,'Census Data'!$AE$6:$AE$205,Computation!$I$4,'Census Data'!$AA$6:$AA$205,Computation!J$5)</f>
        <v>0</v>
      </c>
      <c r="K42" s="47">
        <f>SUMIFS('Census Data'!$AV:$AV,'Census Data'!$AJ:$AJ,Computation!$B42,'Census Data'!$F:$F,Computation!$A$41,'Census Data'!$AE:$AE,Computation!I$4,'Census Data'!$AK:$AK,1)</f>
        <v>0</v>
      </c>
      <c r="L42" s="46">
        <f>SUMIFS('Census Data'!$AY$6:$AY$205,'Census Data'!$AJ$6:$AJ$205,Computation!$B42,'Census Data'!$F$6:$F$205,Computation!$A$41,'Census Data'!$AE$6:$AE$205,Computation!$L$4,'Census Data'!$AA$6:$AA$205,Computation!L$5)</f>
        <v>0</v>
      </c>
      <c r="M42" s="47">
        <f>SUMIFS('Census Data'!$AY$6:$AY$205,'Census Data'!$AJ$6:$AJ$205,Computation!$B42,'Census Data'!$F$6:$F$205,Computation!$A$41,'Census Data'!$AE$6:$AE$205,Computation!$L$4,'Census Data'!$AA$6:$AA$205,Computation!M$5)</f>
        <v>0</v>
      </c>
      <c r="N42" s="48">
        <f>SUMIFS('Census Data'!$AV:$AV,'Census Data'!$AJ:$AJ,Computation!$B42,'Census Data'!$F:$F,Computation!$A$41,'Census Data'!$AE:$AE,Computation!L$4,'Census Data'!$AK:$AK,1)</f>
        <v>0</v>
      </c>
      <c r="R42" s="20" t="s">
        <v>280</v>
      </c>
      <c r="S42" s="20">
        <f>COUNTIFS('Census Data'!$AI$6:$AI$205,Computation!$R42,'Census Data'!$F$6:$F$205,Computation!$A$41,'Census Data'!$AE$6:$AE$205,Computation!S$4,'Census Data'!$AA$6:$AA$205,Computation!S$5,'Census Data'!$H$6:$H$205,$R$4)</f>
        <v>0</v>
      </c>
      <c r="T42" s="20">
        <f>COUNTIFS('Census Data'!$AI:$AI,Computation!$R42,'Census Data'!$F:$F,Computation!$A$41,'Census Data'!$AE:$AE,Computation!S$4,'Census Data'!$AA:$AA,Computation!T$5,'Census Data'!$H:$H,Computation!R$4)</f>
        <v>0</v>
      </c>
      <c r="U42" s="20">
        <f>COUNTIFS('Census Data'!$AI:$AI,Computation!$R42,'Census Data'!$F:$F,Computation!$A$41,'Census Data'!$AE:$AE,Computation!S$4,'Census Data'!$AK:$AK,1)</f>
        <v>0</v>
      </c>
      <c r="V42" s="20">
        <f>SUMIFS('Census Data'!$AY$6:$AY$205,'Census Data'!$AI$6:$AI$205,Computation!$R42,'Census Data'!$F$6:$F$205,Computation!$A$41,'Census Data'!$AE$6:$AE$205,Computation!$V$4,'Census Data'!$AA$6:$AA$205,Computation!V$5,'Census Data'!$H$6:$H$205,$R$4)</f>
        <v>0</v>
      </c>
      <c r="W42" s="20">
        <f>SUMIFS('Census Data'!$AY$6:$AY$205,'Census Data'!$AI$6:$AI$205,Computation!$R42,'Census Data'!$F$6:$F$205,Computation!$A$41,'Census Data'!$AE$6:$AE$205,Computation!$V$4,'Census Data'!$AA$6:$AA$205,Computation!W$5,'Census Data'!$H$6:$H$205,Computation!R$4)</f>
        <v>0</v>
      </c>
      <c r="X42" s="20">
        <f>SUMIFS('Census Data'!$AV:$AV,'Census Data'!$AI:$AI,Computation!$R42,'Census Data'!$F:$F,Computation!$A$41,'Census Data'!$AE:$AE,Computation!L$4,'Census Data'!$AK:$AK,1)</f>
        <v>0</v>
      </c>
      <c r="AA42" s="20" t="s">
        <v>280</v>
      </c>
      <c r="AB42" s="20">
        <f>COUNTIFS('Census Data'!$AI$6:$AI$205,Computation!$R42,'Census Data'!$F$6:$F$205,Computation!$A$41,'Census Data'!$AE$6:$AE$205,Computation!AB$4,'Census Data'!$AA$6:$AA$205,Computation!AB$5,'Census Data'!$H$6:$H$205,$AA$4)</f>
        <v>0</v>
      </c>
      <c r="AC42" s="20">
        <f>COUNTIFS('Census Data'!$AI:$AI,Computation!$R42,'Census Data'!$F:$F,Computation!$A$41,'Census Data'!$AE:$AE,Computation!AB$4,'Census Data'!$AA:$AA,Computation!AC$5,'Census Data'!$H:$H,Computation!AA$4)</f>
        <v>0</v>
      </c>
      <c r="AE42" s="20">
        <f>SUMIFS('Census Data'!$AY$6:$AY$205,'Census Data'!$AI$6:$AI$205,Computation!$R42,'Census Data'!$F$6:$F$205,Computation!$A$41,'Census Data'!$AE$6:$AE$205,Computation!$V$4,'Census Data'!$AA$6:$AA$205,Computation!AE$5,'Census Data'!$H$6:$H$205,$AA$4)</f>
        <v>0</v>
      </c>
      <c r="AF42" s="20">
        <f>SUMIFS('Census Data'!$AY$6:$AY$205,'Census Data'!$AI$6:$AI$205,Computation!$R42,'Census Data'!$F$6:$F$205,Computation!$A$41,'Census Data'!$AE$6:$AE$205,Computation!$V$4,'Census Data'!$AA$6:$AA$205,Computation!AF$5,'Census Data'!$H$6:$H$205,Computation!AA$4)</f>
        <v>0</v>
      </c>
      <c r="AK42" s="20" t="s">
        <v>280</v>
      </c>
      <c r="AL42" s="20">
        <f>COUNTIFS('Census Data'!$AI$6:$AI$205,Computation!$AK42,'Census Data'!$F$6:$F$205,Computation!$A$41,'Census Data'!$AE$6:$AE$205,Computation!$C$4,'Census Data'!$AA$6:$AA$205,Computation!C$5)</f>
        <v>0</v>
      </c>
      <c r="AM42" s="20">
        <f>COUNTIFS('Census Data'!$AI$6:$AI$205,Computation!$AK42,'Census Data'!$F$6:$F$205,Computation!$A$41,'Census Data'!$AE$6:$AE$205,Computation!$C$4,'Census Data'!$AA$6:$AA$205,Computation!D$5)</f>
        <v>0</v>
      </c>
      <c r="AN42" s="20">
        <f>COUNTIFS('Census Data'!$AI:$AI,Computation!$AK42,'Census Data'!$F:$F,Computation!$A$41,'Census Data'!$AE:$AE,Computation!C$4,'Census Data'!$AK:$AK,1)</f>
        <v>0</v>
      </c>
      <c r="AO42" s="20">
        <f>SUMIFS('Census Data'!$AY$6:$AY$205,'Census Data'!$AI$6:$AI$205,Computation!$AK42,'Census Data'!$F$6:$F$205,Computation!$A$41,'Census Data'!$AE$6:$AE$205,Computation!$I$4,'Census Data'!$AA$6:$AA$205,Computation!I$5)</f>
        <v>0</v>
      </c>
      <c r="AP42" s="20">
        <f>SUMIFS('Census Data'!$AY$6:$AY$205,'Census Data'!$AI$6:$AI$205,Computation!$AK42,'Census Data'!$F$6:$F$205,Computation!$A$41,'Census Data'!$AE$6:$AE$205,Computation!$I$4,'Census Data'!$AA$6:$AA$205,Computation!J$5)</f>
        <v>0</v>
      </c>
      <c r="AQ42" s="20">
        <f>SUMIFS('Census Data'!$AV:$AV,'Census Data'!$AI:$AI,Computation!$AK42,'Census Data'!$F:$F,Computation!$A$41,'Census Data'!$AE:$AE,Computation!I$4,'Census Data'!$AK:$AK,1)</f>
        <v>0</v>
      </c>
    </row>
    <row r="43" spans="1:43" x14ac:dyDescent="0.25">
      <c r="A43" s="794"/>
      <c r="B43" s="45" t="str">
        <f t="shared" si="0"/>
        <v>36 - 45</v>
      </c>
      <c r="C43" s="46">
        <f>COUNTIFS('Census Data'!$AJ$6:$AJ$205,Computation!$B43,'Census Data'!$F$6:$F$205,Computation!$A$41,'Census Data'!$AE$6:$AE$205,Computation!$C$4,'Census Data'!$AA$6:$AA$205,Computation!C$5)</f>
        <v>0</v>
      </c>
      <c r="D43" s="47">
        <f>COUNTIFS('Census Data'!$AJ$6:$AJ$205,Computation!$B43,'Census Data'!$F$6:$F$205,Computation!$A$41,'Census Data'!$AE$6:$AE$205,Computation!$C$4,'Census Data'!$AA$6:$AA$205,Computation!D$5)</f>
        <v>0</v>
      </c>
      <c r="E43" s="48">
        <f>COUNTIFS('Census Data'!$AJ:$AJ,Computation!$B43,'Census Data'!$F:$F,Computation!$A$41,'Census Data'!$AE:$AE,Computation!C$4,'Census Data'!$AK:$AK,1)</f>
        <v>0</v>
      </c>
      <c r="F43" s="46">
        <f>COUNTIFS('Census Data'!$AJ$6:$AJ$205,Computation!$B43,'Census Data'!$F$6:$F$205,Computation!$A$41,'Census Data'!$AE$6:$AE$205,Computation!$F$4,'Census Data'!$AA$6:$AA$205,Computation!F$5)</f>
        <v>0</v>
      </c>
      <c r="G43" s="47">
        <f>COUNTIFS('Census Data'!$AJ$6:$AJ$205,Computation!$B43,'Census Data'!$F$6:$F$205,Computation!$A$41,'Census Data'!$AE$6:$AE$205,Computation!$F$4,'Census Data'!$AA$6:$AA$205,Computation!G$5)</f>
        <v>0</v>
      </c>
      <c r="H43" s="47">
        <f>COUNTIFS('Census Data'!$AJ:$AJ,Computation!$B43,'Census Data'!$F:$F,Computation!$A$41,'Census Data'!$AE:$AE,Computation!F$4,'Census Data'!$AK:$AK,1)</f>
        <v>0</v>
      </c>
      <c r="I43" s="46">
        <f>SUMIFS('Census Data'!$AY$6:$AY$205,'Census Data'!$AJ$6:$AJ$205,Computation!$B43,'Census Data'!$F$6:$F$205,Computation!$A$41,'Census Data'!$AE$6:$AE$205,Computation!$I$4,'Census Data'!$AA$6:$AA$205,Computation!I$5)</f>
        <v>0</v>
      </c>
      <c r="J43" s="47">
        <f>SUMIFS('Census Data'!$AY$6:$AY$205,'Census Data'!$AJ$6:$AJ$205,Computation!$B43,'Census Data'!$F$6:$F$205,Computation!$A$41,'Census Data'!$AE$6:$AE$205,Computation!$I$4,'Census Data'!$AA$6:$AA$205,Computation!J$5)</f>
        <v>0</v>
      </c>
      <c r="K43" s="47">
        <f>SUMIFS('Census Data'!$AV:$AV,'Census Data'!$AJ:$AJ,Computation!$B43,'Census Data'!$F:$F,Computation!$A$41,'Census Data'!$AE:$AE,Computation!I$4,'Census Data'!$AK:$AK,1)</f>
        <v>0</v>
      </c>
      <c r="L43" s="46">
        <f>SUMIFS('Census Data'!$AY$6:$AY$205,'Census Data'!$AJ$6:$AJ$205,Computation!$B43,'Census Data'!$F$6:$F$205,Computation!$A$41,'Census Data'!$AE$6:$AE$205,Computation!$L$4,'Census Data'!$AA$6:$AA$205,Computation!L$5)</f>
        <v>0</v>
      </c>
      <c r="M43" s="47">
        <f>SUMIFS('Census Data'!$AY$6:$AY$205,'Census Data'!$AJ$6:$AJ$205,Computation!$B43,'Census Data'!$F$6:$F$205,Computation!$A$41,'Census Data'!$AE$6:$AE$205,Computation!$L$4,'Census Data'!$AA$6:$AA$205,Computation!M$5)</f>
        <v>0</v>
      </c>
      <c r="N43" s="48">
        <f>SUMIFS('Census Data'!$AV:$AV,'Census Data'!$AJ:$AJ,Computation!$B43,'Census Data'!$F:$F,Computation!$A$41,'Census Data'!$AE:$AE,Computation!L$4,'Census Data'!$AK:$AK,1)</f>
        <v>0</v>
      </c>
      <c r="R43" s="20" t="s">
        <v>282</v>
      </c>
      <c r="S43" s="20">
        <f>COUNTIFS('Census Data'!$AI$6:$AI$205,Computation!$R43,'Census Data'!$F$6:$F$205,Computation!$A$41,'Census Data'!$AE$6:$AE$205,Computation!S$4,'Census Data'!$AA$6:$AA$205,Computation!S$5,'Census Data'!$H$6:$H$205,$R$4)</f>
        <v>0</v>
      </c>
      <c r="T43" s="20">
        <f>COUNTIFS('Census Data'!$AI:$AI,Computation!$R43,'Census Data'!$F:$F,Computation!$A$41,'Census Data'!$AE:$AE,Computation!S$4,'Census Data'!$AA:$AA,Computation!T$5,'Census Data'!$H:$H,Computation!R$4)</f>
        <v>0</v>
      </c>
      <c r="U43" s="20">
        <f>COUNTIFS('Census Data'!$AI:$AI,Computation!$R43,'Census Data'!$F:$F,Computation!$A$41,'Census Data'!$AE:$AE,Computation!S$4,'Census Data'!$AK:$AK,1)</f>
        <v>0</v>
      </c>
      <c r="V43" s="20">
        <f>SUMIFS('Census Data'!$AY$6:$AY$205,'Census Data'!$AI$6:$AI$205,Computation!$R43,'Census Data'!$F$6:$F$205,Computation!$A$41,'Census Data'!$AE$6:$AE$205,Computation!$V$4,'Census Data'!$AA$6:$AA$205,Computation!V$5,'Census Data'!$H$6:$H$205,$R$4)</f>
        <v>0</v>
      </c>
      <c r="W43" s="20">
        <f>SUMIFS('Census Data'!$AY$6:$AY$205,'Census Data'!$AI$6:$AI$205,Computation!$R43,'Census Data'!$F$6:$F$205,Computation!$A$41,'Census Data'!$AE$6:$AE$205,Computation!$V$4,'Census Data'!$AA$6:$AA$205,Computation!W$5,'Census Data'!$H$6:$H$205,Computation!R$4)</f>
        <v>0</v>
      </c>
      <c r="X43" s="20">
        <f>SUMIFS('Census Data'!$AV:$AV,'Census Data'!$AI:$AI,Computation!$R43,'Census Data'!$F:$F,Computation!$A$41,'Census Data'!$AE:$AE,Computation!L$4,'Census Data'!$AK:$AK,1)</f>
        <v>0</v>
      </c>
      <c r="AA43" s="20" t="s">
        <v>282</v>
      </c>
      <c r="AB43" s="20">
        <f>COUNTIFS('Census Data'!$AI$6:$AI$205,Computation!$R43,'Census Data'!$F$6:$F$205,Computation!$A$41,'Census Data'!$AE$6:$AE$205,Computation!AB$4,'Census Data'!$AA$6:$AA$205,Computation!AB$5,'Census Data'!$H$6:$H$205,$AA$4)</f>
        <v>0</v>
      </c>
      <c r="AC43" s="20">
        <f>COUNTIFS('Census Data'!$AI:$AI,Computation!$R43,'Census Data'!$F:$F,Computation!$A$41,'Census Data'!$AE:$AE,Computation!AB$4,'Census Data'!$AA:$AA,Computation!AC$5,'Census Data'!$H:$H,Computation!AA$4)</f>
        <v>0</v>
      </c>
      <c r="AE43" s="20">
        <f>SUMIFS('Census Data'!$AY$6:$AY$205,'Census Data'!$AI$6:$AI$205,Computation!$R43,'Census Data'!$F$6:$F$205,Computation!$A$41,'Census Data'!$AE$6:$AE$205,Computation!$V$4,'Census Data'!$AA$6:$AA$205,Computation!AE$5,'Census Data'!$H$6:$H$205,$AA$4)</f>
        <v>0</v>
      </c>
      <c r="AF43" s="20">
        <f>SUMIFS('Census Data'!$AY$6:$AY$205,'Census Data'!$AI$6:$AI$205,Computation!$R43,'Census Data'!$F$6:$F$205,Computation!$A$41,'Census Data'!$AE$6:$AE$205,Computation!$V$4,'Census Data'!$AA$6:$AA$205,Computation!AF$5,'Census Data'!$H$6:$H$205,Computation!AA$4)</f>
        <v>0</v>
      </c>
      <c r="AK43" s="20" t="s">
        <v>282</v>
      </c>
      <c r="AL43" s="20">
        <f>COUNTIFS('Census Data'!$AI$6:$AI$205,Computation!$AK43,'Census Data'!$F$6:$F$205,Computation!$A$41,'Census Data'!$AE$6:$AE$205,Computation!$C$4,'Census Data'!$AA$6:$AA$205,Computation!C$5)</f>
        <v>0</v>
      </c>
      <c r="AM43" s="20">
        <f>COUNTIFS('Census Data'!$AI$6:$AI$205,Computation!$AK43,'Census Data'!$F$6:$F$205,Computation!$A$41,'Census Data'!$AE$6:$AE$205,Computation!$C$4,'Census Data'!$AA$6:$AA$205,Computation!D$5)</f>
        <v>0</v>
      </c>
      <c r="AN43" s="20">
        <f>COUNTIFS('Census Data'!$AI:$AI,Computation!$AK43,'Census Data'!$F:$F,Computation!$A$41,'Census Data'!$AE:$AE,Computation!C$4,'Census Data'!$AK:$AK,1)</f>
        <v>0</v>
      </c>
      <c r="AO43" s="20">
        <f>SUMIFS('Census Data'!$AY$6:$AY$205,'Census Data'!$AI$6:$AI$205,Computation!$AK43,'Census Data'!$F$6:$F$205,Computation!$A$41,'Census Data'!$AE$6:$AE$205,Computation!$I$4,'Census Data'!$AA$6:$AA$205,Computation!I$5)</f>
        <v>0</v>
      </c>
      <c r="AP43" s="20">
        <f>SUMIFS('Census Data'!$AY$6:$AY$205,'Census Data'!$AI$6:$AI$205,Computation!$AK43,'Census Data'!$F$6:$F$205,Computation!$A$41,'Census Data'!$AE$6:$AE$205,Computation!$I$4,'Census Data'!$AA$6:$AA$205,Computation!J$5)</f>
        <v>0</v>
      </c>
      <c r="AQ43" s="20">
        <f>SUMIFS('Census Data'!$AV:$AV,'Census Data'!$AI:$AI,Computation!$AK43,'Census Data'!$F:$F,Computation!$A$41,'Census Data'!$AE:$AE,Computation!I$4,'Census Data'!$AK:$AK,1)</f>
        <v>0</v>
      </c>
    </row>
    <row r="44" spans="1:43" x14ac:dyDescent="0.25">
      <c r="A44" s="794"/>
      <c r="B44" s="45" t="str">
        <f t="shared" si="0"/>
        <v>46 - 55</v>
      </c>
      <c r="C44" s="46">
        <f>COUNTIFS('Census Data'!$AJ$6:$AJ$205,Computation!$B44,'Census Data'!$F$6:$F$205,Computation!$A$41,'Census Data'!$AE$6:$AE$205,Computation!$C$4,'Census Data'!$AA$6:$AA$205,Computation!C$5)</f>
        <v>0</v>
      </c>
      <c r="D44" s="47">
        <f>COUNTIFS('Census Data'!$AJ$6:$AJ$205,Computation!$B44,'Census Data'!$F$6:$F$205,Computation!$A$41,'Census Data'!$AE$6:$AE$205,Computation!$C$4,'Census Data'!$AA$6:$AA$205,Computation!D$5)</f>
        <v>0</v>
      </c>
      <c r="E44" s="48">
        <f>COUNTIFS('Census Data'!$AJ:$AJ,Computation!$B44,'Census Data'!$F:$F,Computation!$A$41,'Census Data'!$AE:$AE,Computation!C$4,'Census Data'!$AK:$AK,1)</f>
        <v>0</v>
      </c>
      <c r="F44" s="46">
        <f>COUNTIFS('Census Data'!$AJ$6:$AJ$205,Computation!$B44,'Census Data'!$F$6:$F$205,Computation!$A$41,'Census Data'!$AE$6:$AE$205,Computation!$F$4,'Census Data'!$AA$6:$AA$205,Computation!F$5)</f>
        <v>0</v>
      </c>
      <c r="G44" s="47">
        <f>COUNTIFS('Census Data'!$AJ$6:$AJ$205,Computation!$B44,'Census Data'!$F$6:$F$205,Computation!$A$41,'Census Data'!$AE$6:$AE$205,Computation!$F$4,'Census Data'!$AA$6:$AA$205,Computation!G$5)</f>
        <v>0</v>
      </c>
      <c r="H44" s="47">
        <f>COUNTIFS('Census Data'!$AJ:$AJ,Computation!$B44,'Census Data'!$F:$F,Computation!$A$41,'Census Data'!$AE:$AE,Computation!F$4,'Census Data'!$AK:$AK,1)</f>
        <v>0</v>
      </c>
      <c r="I44" s="46">
        <f>SUMIFS('Census Data'!$AY$6:$AY$205,'Census Data'!$AJ$6:$AJ$205,Computation!$B44,'Census Data'!$F$6:$F$205,Computation!$A$41,'Census Data'!$AE$6:$AE$205,Computation!$I$4,'Census Data'!$AA$6:$AA$205,Computation!I$5)</f>
        <v>0</v>
      </c>
      <c r="J44" s="47">
        <f>SUMIFS('Census Data'!$AY$6:$AY$205,'Census Data'!$AJ$6:$AJ$205,Computation!$B44,'Census Data'!$F$6:$F$205,Computation!$A$41,'Census Data'!$AE$6:$AE$205,Computation!$I$4,'Census Data'!$AA$6:$AA$205,Computation!J$5)</f>
        <v>0</v>
      </c>
      <c r="K44" s="47">
        <f>SUMIFS('Census Data'!$AV:$AV,'Census Data'!$AJ:$AJ,Computation!$B44,'Census Data'!$F:$F,Computation!$A$41,'Census Data'!$AE:$AE,Computation!I$4,'Census Data'!$AK:$AK,1)</f>
        <v>0</v>
      </c>
      <c r="L44" s="46">
        <f>SUMIFS('Census Data'!$AY$6:$AY$205,'Census Data'!$AJ$6:$AJ$205,Computation!$B44,'Census Data'!$F$6:$F$205,Computation!$A$41,'Census Data'!$AE$6:$AE$205,Computation!$L$4,'Census Data'!$AA$6:$AA$205,Computation!L$5)</f>
        <v>0</v>
      </c>
      <c r="M44" s="47">
        <f>SUMIFS('Census Data'!$AY$6:$AY$205,'Census Data'!$AJ$6:$AJ$205,Computation!$B44,'Census Data'!$F$6:$F$205,Computation!$A$41,'Census Data'!$AE$6:$AE$205,Computation!$L$4,'Census Data'!$AA$6:$AA$205,Computation!M$5)</f>
        <v>0</v>
      </c>
      <c r="N44" s="48">
        <f>SUMIFS('Census Data'!$AV:$AV,'Census Data'!$AJ:$AJ,Computation!$B44,'Census Data'!$F:$F,Computation!$A$41,'Census Data'!$AE:$AE,Computation!L$4,'Census Data'!$AK:$AK,1)</f>
        <v>0</v>
      </c>
      <c r="R44" s="20" t="s">
        <v>284</v>
      </c>
      <c r="S44" s="20">
        <f>COUNTIFS('Census Data'!$AI$6:$AI$205,Computation!$R44,'Census Data'!$F$6:$F$205,Computation!$A$41,'Census Data'!$AE$6:$AE$205,Computation!S$4,'Census Data'!$AA$6:$AA$205,Computation!S$5,'Census Data'!$H$6:$H$205,$R$4)</f>
        <v>0</v>
      </c>
      <c r="T44" s="20">
        <f>COUNTIFS('Census Data'!$AI:$AI,Computation!$R44,'Census Data'!$F:$F,Computation!$A$41,'Census Data'!$AE:$AE,Computation!S$4,'Census Data'!$AA:$AA,Computation!T$5,'Census Data'!$H:$H,Computation!R$4)</f>
        <v>0</v>
      </c>
      <c r="U44" s="20">
        <f>COUNTIFS('Census Data'!$AI:$AI,Computation!$R44,'Census Data'!$F:$F,Computation!$A$41,'Census Data'!$AE:$AE,Computation!S$4,'Census Data'!$AK:$AK,1)</f>
        <v>0</v>
      </c>
      <c r="V44" s="20">
        <f>SUMIFS('Census Data'!$AY$6:$AY$205,'Census Data'!$AI$6:$AI$205,Computation!$R44,'Census Data'!$F$6:$F$205,Computation!$A$41,'Census Data'!$AE$6:$AE$205,Computation!$V$4,'Census Data'!$AA$6:$AA$205,Computation!V$5,'Census Data'!$H$6:$H$205,$R$4)</f>
        <v>0</v>
      </c>
      <c r="W44" s="20">
        <f>SUMIFS('Census Data'!$AY$6:$AY$205,'Census Data'!$AI$6:$AI$205,Computation!$R44,'Census Data'!$F$6:$F$205,Computation!$A$41,'Census Data'!$AE$6:$AE$205,Computation!$V$4,'Census Data'!$AA$6:$AA$205,Computation!W$5,'Census Data'!$H$6:$H$205,Computation!R$4)</f>
        <v>0</v>
      </c>
      <c r="X44" s="20">
        <f>SUMIFS('Census Data'!$AV:$AV,'Census Data'!$AI:$AI,Computation!$R44,'Census Data'!$F:$F,Computation!$A$41,'Census Data'!$AE:$AE,Computation!L$4,'Census Data'!$AK:$AK,1)</f>
        <v>0</v>
      </c>
      <c r="AA44" s="20" t="s">
        <v>284</v>
      </c>
      <c r="AB44" s="20">
        <f>COUNTIFS('Census Data'!$AI$6:$AI$205,Computation!$R44,'Census Data'!$F$6:$F$205,Computation!$A$41,'Census Data'!$AE$6:$AE$205,Computation!AB$4,'Census Data'!$AA$6:$AA$205,Computation!AB$5,'Census Data'!$H$6:$H$205,$AA$4)</f>
        <v>0</v>
      </c>
      <c r="AC44" s="20">
        <f>COUNTIFS('Census Data'!$AI:$AI,Computation!$R44,'Census Data'!$F:$F,Computation!$A$41,'Census Data'!$AE:$AE,Computation!AB$4,'Census Data'!$AA:$AA,Computation!AC$5,'Census Data'!$H:$H,Computation!AA$4)</f>
        <v>0</v>
      </c>
      <c r="AE44" s="20">
        <f>SUMIFS('Census Data'!$AY$6:$AY$205,'Census Data'!$AI$6:$AI$205,Computation!$R44,'Census Data'!$F$6:$F$205,Computation!$A$41,'Census Data'!$AE$6:$AE$205,Computation!$V$4,'Census Data'!$AA$6:$AA$205,Computation!AE$5,'Census Data'!$H$6:$H$205,$AA$4)</f>
        <v>0</v>
      </c>
      <c r="AF44" s="20">
        <f>SUMIFS('Census Data'!$AY$6:$AY$205,'Census Data'!$AI$6:$AI$205,Computation!$R44,'Census Data'!$F$6:$F$205,Computation!$A$41,'Census Data'!$AE$6:$AE$205,Computation!$V$4,'Census Data'!$AA$6:$AA$205,Computation!AF$5,'Census Data'!$H$6:$H$205,Computation!AA$4)</f>
        <v>0</v>
      </c>
      <c r="AK44" s="20" t="s">
        <v>284</v>
      </c>
      <c r="AL44" s="20">
        <f>COUNTIFS('Census Data'!$AI$6:$AI$205,Computation!$AK44,'Census Data'!$F$6:$F$205,Computation!$A$41,'Census Data'!$AE$6:$AE$205,Computation!$C$4,'Census Data'!$AA$6:$AA$205,Computation!C$5)</f>
        <v>0</v>
      </c>
      <c r="AM44" s="20">
        <f>COUNTIFS('Census Data'!$AI$6:$AI$205,Computation!$AK44,'Census Data'!$F$6:$F$205,Computation!$A$41,'Census Data'!$AE$6:$AE$205,Computation!$C$4,'Census Data'!$AA$6:$AA$205,Computation!D$5)</f>
        <v>0</v>
      </c>
      <c r="AN44" s="20">
        <f>COUNTIFS('Census Data'!$AI:$AI,Computation!$AK44,'Census Data'!$F:$F,Computation!$A$41,'Census Data'!$AE:$AE,Computation!C$4,'Census Data'!$AK:$AK,1)</f>
        <v>0</v>
      </c>
      <c r="AO44" s="20">
        <f>SUMIFS('Census Data'!$AY$6:$AY$205,'Census Data'!$AI$6:$AI$205,Computation!$AK44,'Census Data'!$F$6:$F$205,Computation!$A$41,'Census Data'!$AE$6:$AE$205,Computation!$I$4,'Census Data'!$AA$6:$AA$205,Computation!I$5)</f>
        <v>0</v>
      </c>
      <c r="AP44" s="20">
        <f>SUMIFS('Census Data'!$AY$6:$AY$205,'Census Data'!$AI$6:$AI$205,Computation!$AK44,'Census Data'!$F$6:$F$205,Computation!$A$41,'Census Data'!$AE$6:$AE$205,Computation!$I$4,'Census Data'!$AA$6:$AA$205,Computation!J$5)</f>
        <v>0</v>
      </c>
      <c r="AQ44" s="20">
        <f>SUMIFS('Census Data'!$AV:$AV,'Census Data'!$AI:$AI,Computation!$AK44,'Census Data'!$F:$F,Computation!$A$41,'Census Data'!$AE:$AE,Computation!I$4,'Census Data'!$AK:$AK,1)</f>
        <v>0</v>
      </c>
    </row>
    <row r="45" spans="1:43" x14ac:dyDescent="0.25">
      <c r="A45" s="794"/>
      <c r="B45" s="45" t="str">
        <f t="shared" si="0"/>
        <v>56 - 60</v>
      </c>
      <c r="C45" s="46">
        <f>COUNTIFS('Census Data'!$AJ$6:$AJ$205,Computation!$B45,'Census Data'!$F$6:$F$205,Computation!$A$41,'Census Data'!$AE$6:$AE$205,Computation!$C$4,'Census Data'!$AA$6:$AA$205,Computation!C$5)</f>
        <v>0</v>
      </c>
      <c r="D45" s="47">
        <f>COUNTIFS('Census Data'!$AJ$6:$AJ$205,Computation!$B45,'Census Data'!$F$6:$F$205,Computation!$A$41,'Census Data'!$AE$6:$AE$205,Computation!$C$4,'Census Data'!$AA$6:$AA$205,Computation!D$5)</f>
        <v>0</v>
      </c>
      <c r="E45" s="48">
        <f>COUNTIFS('Census Data'!$AJ:$AJ,Computation!$B45,'Census Data'!$F:$F,Computation!$A$41,'Census Data'!$AE:$AE,Computation!C$4,'Census Data'!$AK:$AK,1)</f>
        <v>0</v>
      </c>
      <c r="F45" s="46">
        <f>COUNTIFS('Census Data'!$AJ$6:$AJ$205,Computation!$B45,'Census Data'!$F$6:$F$205,Computation!$A$41,'Census Data'!$AE$6:$AE$205,Computation!$F$4,'Census Data'!$AA$6:$AA$205,Computation!F$5)</f>
        <v>0</v>
      </c>
      <c r="G45" s="47">
        <f>COUNTIFS('Census Data'!$AJ$6:$AJ$205,Computation!$B45,'Census Data'!$F$6:$F$205,Computation!$A$41,'Census Data'!$AE$6:$AE$205,Computation!$F$4,'Census Data'!$AA$6:$AA$205,Computation!G$5)</f>
        <v>0</v>
      </c>
      <c r="H45" s="47">
        <f>COUNTIFS('Census Data'!$AJ:$AJ,Computation!$B45,'Census Data'!$F:$F,Computation!$A$41,'Census Data'!$AE:$AE,Computation!F$4,'Census Data'!$AK:$AK,1)</f>
        <v>0</v>
      </c>
      <c r="I45" s="46">
        <f>SUMIFS('Census Data'!$AY$6:$AY$205,'Census Data'!$AJ$6:$AJ$205,Computation!$B45,'Census Data'!$F$6:$F$205,Computation!$A$41,'Census Data'!$AE$6:$AE$205,Computation!$I$4,'Census Data'!$AA$6:$AA$205,Computation!I$5)</f>
        <v>0</v>
      </c>
      <c r="J45" s="47">
        <f>SUMIFS('Census Data'!$AY$6:$AY$205,'Census Data'!$AJ$6:$AJ$205,Computation!$B45,'Census Data'!$F$6:$F$205,Computation!$A$41,'Census Data'!$AE$6:$AE$205,Computation!$I$4,'Census Data'!$AA$6:$AA$205,Computation!J$5)</f>
        <v>0</v>
      </c>
      <c r="K45" s="47">
        <f>SUMIFS('Census Data'!$AV:$AV,'Census Data'!$AJ:$AJ,Computation!$B45,'Census Data'!$F:$F,Computation!$A$41,'Census Data'!$AE:$AE,Computation!I$4,'Census Data'!$AK:$AK,1)</f>
        <v>0</v>
      </c>
      <c r="L45" s="46">
        <f>SUMIFS('Census Data'!$AY$6:$AY$205,'Census Data'!$AJ$6:$AJ$205,Computation!$B45,'Census Data'!$F$6:$F$205,Computation!$A$41,'Census Data'!$AE$6:$AE$205,Computation!$L$4,'Census Data'!$AA$6:$AA$205,Computation!L$5)</f>
        <v>0</v>
      </c>
      <c r="M45" s="47">
        <f>SUMIFS('Census Data'!$AY$6:$AY$205,'Census Data'!$AJ$6:$AJ$205,Computation!$B45,'Census Data'!$F$6:$F$205,Computation!$A$41,'Census Data'!$AE$6:$AE$205,Computation!$L$4,'Census Data'!$AA$6:$AA$205,Computation!M$5)</f>
        <v>0</v>
      </c>
      <c r="N45" s="48">
        <f>SUMIFS('Census Data'!$AV:$AV,'Census Data'!$AJ:$AJ,Computation!$B45,'Census Data'!$F:$F,Computation!$A$41,'Census Data'!$AE:$AE,Computation!L$4,'Census Data'!$AK:$AK,1)</f>
        <v>0</v>
      </c>
    </row>
    <row r="46" spans="1:43" x14ac:dyDescent="0.25">
      <c r="A46" s="794"/>
      <c r="B46" s="45" t="str">
        <f t="shared" si="0"/>
        <v>61 - 65</v>
      </c>
      <c r="C46" s="46">
        <f>COUNTIFS('Census Data'!$AJ$6:$AJ$205,Computation!$B46,'Census Data'!$F$6:$F$205,Computation!$A$41,'Census Data'!$AE$6:$AE$205,Computation!$C$4,'Census Data'!$AA$6:$AA$205,Computation!C$5)</f>
        <v>0</v>
      </c>
      <c r="D46" s="47">
        <f>COUNTIFS('Census Data'!$AJ$6:$AJ$205,Computation!$B46,'Census Data'!$F$6:$F$205,Computation!$A$41,'Census Data'!$AE$6:$AE$205,Computation!$C$4,'Census Data'!$AA$6:$AA$205,Computation!D$5)</f>
        <v>0</v>
      </c>
      <c r="E46" s="48">
        <f>COUNTIFS('Census Data'!$AJ:$AJ,Computation!$B46,'Census Data'!$F:$F,Computation!$A$41,'Census Data'!$AE:$AE,Computation!C$4,'Census Data'!$AK:$AK,1)</f>
        <v>0</v>
      </c>
      <c r="F46" s="46">
        <f>COUNTIFS('Census Data'!$AJ$6:$AJ$205,Computation!$B46,'Census Data'!$F$6:$F$205,Computation!$A$41,'Census Data'!$AE$6:$AE$205,Computation!$F$4,'Census Data'!$AA$6:$AA$205,Computation!F$5)</f>
        <v>0</v>
      </c>
      <c r="G46" s="47">
        <f>COUNTIFS('Census Data'!$AJ$6:$AJ$205,Computation!$B46,'Census Data'!$F$6:$F$205,Computation!$A$41,'Census Data'!$AE$6:$AE$205,Computation!$F$4,'Census Data'!$AA$6:$AA$205,Computation!G$5)</f>
        <v>0</v>
      </c>
      <c r="H46" s="47">
        <f>COUNTIFS('Census Data'!$AJ:$AJ,Computation!$B46,'Census Data'!$F:$F,Computation!$A$41,'Census Data'!$AE:$AE,Computation!F$4,'Census Data'!$AK:$AK,1)</f>
        <v>0</v>
      </c>
      <c r="I46" s="46">
        <f>SUMIFS('Census Data'!$AY$6:$AY$205,'Census Data'!$AJ$6:$AJ$205,Computation!$B46,'Census Data'!$F$6:$F$205,Computation!$A$41,'Census Data'!$AE$6:$AE$205,Computation!$I$4,'Census Data'!$AA$6:$AA$205,Computation!I$5)</f>
        <v>0</v>
      </c>
      <c r="J46" s="47">
        <f>SUMIFS('Census Data'!$AY$6:$AY$205,'Census Data'!$AJ$6:$AJ$205,Computation!$B46,'Census Data'!$F$6:$F$205,Computation!$A$41,'Census Data'!$AE$6:$AE$205,Computation!$I$4,'Census Data'!$AA$6:$AA$205,Computation!J$5)</f>
        <v>0</v>
      </c>
      <c r="K46" s="47">
        <f>SUMIFS('Census Data'!$AV:$AV,'Census Data'!$AJ:$AJ,Computation!$B46,'Census Data'!$F:$F,Computation!$A$41,'Census Data'!$AE:$AE,Computation!I$4,'Census Data'!$AK:$AK,1)</f>
        <v>0</v>
      </c>
      <c r="L46" s="46">
        <f>SUMIFS('Census Data'!$AY$6:$AY$205,'Census Data'!$AJ$6:$AJ$205,Computation!$B46,'Census Data'!$F$6:$F$205,Computation!$A$41,'Census Data'!$AE$6:$AE$205,Computation!$L$4,'Census Data'!$AA$6:$AA$205,Computation!L$5)</f>
        <v>0</v>
      </c>
      <c r="M46" s="47">
        <f>SUMIFS('Census Data'!$AY$6:$AY$205,'Census Data'!$AJ$6:$AJ$205,Computation!$B46,'Census Data'!$F$6:$F$205,Computation!$A$41,'Census Data'!$AE$6:$AE$205,Computation!$L$4,'Census Data'!$AA$6:$AA$205,Computation!M$5)</f>
        <v>0</v>
      </c>
      <c r="N46" s="48">
        <f>SUMIFS('Census Data'!$AV:$AV,'Census Data'!$AJ:$AJ,Computation!$B46,'Census Data'!$F:$F,Computation!$A$41,'Census Data'!$AE:$AE,Computation!L$4,'Census Data'!$AK:$AK,1)</f>
        <v>0</v>
      </c>
    </row>
    <row r="47" spans="1:43" x14ac:dyDescent="0.25">
      <c r="A47" s="795"/>
      <c r="B47" s="49" t="str">
        <f t="shared" si="0"/>
        <v>66 - 69</v>
      </c>
      <c r="C47" s="50">
        <f>COUNTIFS('Census Data'!$AJ$6:$AJ$205,Computation!$B47,'Census Data'!$F$6:$F$205,Computation!$A$41,'Census Data'!$AE$6:$AE$205,Computation!$C$4,'Census Data'!$AA$6:$AA$205,Computation!C$5)</f>
        <v>0</v>
      </c>
      <c r="D47" s="51">
        <f>COUNTIFS('Census Data'!$AJ$6:$AJ$205,Computation!$B47,'Census Data'!$F$6:$F$205,Computation!$A$41,'Census Data'!$AE$6:$AE$205,Computation!$C$4,'Census Data'!$AA$6:$AA$205,Computation!D$5)</f>
        <v>0</v>
      </c>
      <c r="E47" s="52">
        <f>COUNTIFS('Census Data'!$AJ:$AJ,Computation!$B47,'Census Data'!$F:$F,Computation!$A$41,'Census Data'!$AE:$AE,Computation!C$4,'Census Data'!$AK:$AK,1)</f>
        <v>0</v>
      </c>
      <c r="F47" s="50">
        <f>COUNTIFS('Census Data'!$AJ$6:$AJ$205,Computation!$B47,'Census Data'!$F$6:$F$205,Computation!$A$41,'Census Data'!$AE$6:$AE$205,Computation!$F$4,'Census Data'!$AA$6:$AA$205,Computation!F$5)</f>
        <v>0</v>
      </c>
      <c r="G47" s="51">
        <f>COUNTIFS('Census Data'!$AJ$6:$AJ$205,Computation!$B47,'Census Data'!$F$6:$F$205,Computation!$A$41,'Census Data'!$AE$6:$AE$205,Computation!$F$4,'Census Data'!$AA$6:$AA$205,Computation!G$5)</f>
        <v>0</v>
      </c>
      <c r="H47" s="51">
        <f>COUNTIFS('Census Data'!$AJ:$AJ,Computation!$B47,'Census Data'!$F:$F,Computation!$A$41,'Census Data'!$AE:$AE,Computation!F$4,'Census Data'!$AK:$AK,1)</f>
        <v>0</v>
      </c>
      <c r="I47" s="50">
        <f>SUMIFS('Census Data'!$AY$6:$AY$205,'Census Data'!$AJ$6:$AJ$205,Computation!$B47,'Census Data'!$F$6:$F$205,Computation!$A$41,'Census Data'!$AE$6:$AE$205,Computation!$I$4,'Census Data'!$AA$6:$AA$205,Computation!I$5)</f>
        <v>0</v>
      </c>
      <c r="J47" s="51">
        <f>SUMIFS('Census Data'!$AY$6:$AY$205,'Census Data'!$AJ$6:$AJ$205,Computation!$B47,'Census Data'!$F$6:$F$205,Computation!$A$41,'Census Data'!$AE$6:$AE$205,Computation!$I$4,'Census Data'!$AA$6:$AA$205,Computation!J$5)</f>
        <v>0</v>
      </c>
      <c r="K47" s="52">
        <f>SUMIFS('Census Data'!$AV:$AV,'Census Data'!$AJ:$AJ,Computation!$B47,'Census Data'!$F:$F,Computation!$A$41,'Census Data'!$AE:$AE,Computation!I$4,'Census Data'!$AK:$AK,1)</f>
        <v>0</v>
      </c>
      <c r="L47" s="50">
        <f>SUMIFS('Census Data'!$AY$6:$AY$205,'Census Data'!$AJ$6:$AJ$205,Computation!$B47,'Census Data'!$F$6:$F$205,Computation!$A$41,'Census Data'!$AE$6:$AE$205,Computation!$L$4,'Census Data'!$AA$6:$AA$205,Computation!L$5)</f>
        <v>0</v>
      </c>
      <c r="M47" s="51">
        <f>SUMIFS('Census Data'!$AY$6:$AY$205,'Census Data'!$AJ$6:$AJ$205,Computation!$B47,'Census Data'!$F$6:$F$205,Computation!$A$41,'Census Data'!$AE$6:$AE$205,Computation!$L$4,'Census Data'!$AA$6:$AA$205,Computation!M$5)</f>
        <v>0</v>
      </c>
      <c r="N47" s="52">
        <f>SUMIFS('Census Data'!$AV:$AV,'Census Data'!$AJ:$AJ,Computation!$B47,'Census Data'!$F:$F,Computation!$A$41,'Census Data'!$AE:$AE,Computation!L$4,'Census Data'!$AK:$AK,1)</f>
        <v>0</v>
      </c>
    </row>
  </sheetData>
  <mergeCells count="24">
    <mergeCell ref="A41:A47"/>
    <mergeCell ref="A20:A26"/>
    <mergeCell ref="A27:A33"/>
    <mergeCell ref="I3:N3"/>
    <mergeCell ref="I4:K4"/>
    <mergeCell ref="L4:N4"/>
    <mergeCell ref="C3:H3"/>
    <mergeCell ref="C4:E4"/>
    <mergeCell ref="F4:H4"/>
    <mergeCell ref="A6:A12"/>
    <mergeCell ref="A13:A19"/>
    <mergeCell ref="AK3:AN3"/>
    <mergeCell ref="AO3:AQ3"/>
    <mergeCell ref="AL4:AN4"/>
    <mergeCell ref="AO4:AQ4"/>
    <mergeCell ref="A34:A40"/>
    <mergeCell ref="V3:X3"/>
    <mergeCell ref="AA3:AD3"/>
    <mergeCell ref="AE3:AG3"/>
    <mergeCell ref="AB4:AD4"/>
    <mergeCell ref="AE4:AG4"/>
    <mergeCell ref="V4:X4"/>
    <mergeCell ref="R3:U3"/>
    <mergeCell ref="S4:U4"/>
  </mergeCells>
  <pageMargins left="0.7" right="0.7" top="0.75" bottom="0.75" header="0.3" footer="0.3"/>
  <headerFooter>
    <oddHeader>&amp;C&amp;"Calibri"&amp;10&amp;K000000 Internal&amp;1#_x000D_</oddHeader>
    <oddFooter>&amp;L_x000D_&amp;1#&amp;"Calibri"&amp;10&amp;K737373 Confidential</oddFooter>
  </headerFooter>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U79"/>
  <sheetViews>
    <sheetView workbookViewId="0"/>
  </sheetViews>
  <sheetFormatPr defaultColWidth="25.7109375" defaultRowHeight="15" x14ac:dyDescent="0.25"/>
  <cols>
    <col min="1" max="1" width="6.42578125" style="20" customWidth="1"/>
    <col min="2" max="2" width="67" style="20" bestFit="1" customWidth="1"/>
    <col min="3" max="19" width="23.7109375" style="20" customWidth="1"/>
    <col min="20" max="16384" width="25.7109375" style="20"/>
  </cols>
  <sheetData>
    <row r="1" spans="1:21" x14ac:dyDescent="0.25">
      <c r="F1" s="261"/>
      <c r="G1" s="262"/>
    </row>
    <row r="2" spans="1:21" ht="15.75" x14ac:dyDescent="0.25">
      <c r="B2" s="524" t="s">
        <v>511</v>
      </c>
      <c r="F2" s="261"/>
      <c r="G2" s="262"/>
    </row>
    <row r="3" spans="1:21" x14ac:dyDescent="0.25">
      <c r="F3" s="261"/>
      <c r="G3" s="262"/>
    </row>
    <row r="4" spans="1:21" ht="18.75" x14ac:dyDescent="0.3">
      <c r="B4" s="337" t="s">
        <v>512</v>
      </c>
      <c r="E4" s="261"/>
      <c r="F4" s="261"/>
      <c r="G4" s="261"/>
      <c r="H4" s="261"/>
    </row>
    <row r="5" spans="1:21" x14ac:dyDescent="0.25">
      <c r="E5" s="21"/>
    </row>
    <row r="6" spans="1:21" x14ac:dyDescent="0.25">
      <c r="A6" s="512"/>
      <c r="B6" s="803" t="s">
        <v>513</v>
      </c>
      <c r="C6" s="803"/>
      <c r="D6" s="803"/>
      <c r="E6" s="803"/>
      <c r="F6" s="803"/>
      <c r="G6" s="804" t="s">
        <v>514</v>
      </c>
      <c r="H6" s="805"/>
      <c r="I6" s="805"/>
      <c r="J6" s="805"/>
      <c r="K6" s="806"/>
      <c r="L6" s="807" t="s">
        <v>515</v>
      </c>
      <c r="M6" s="808"/>
      <c r="N6" s="808"/>
      <c r="O6" s="808"/>
      <c r="P6" s="525" t="s">
        <v>516</v>
      </c>
      <c r="Q6" s="797" t="s">
        <v>517</v>
      </c>
      <c r="R6" s="798"/>
      <c r="S6" s="799"/>
    </row>
    <row r="7" spans="1:21" ht="45" customHeight="1" x14ac:dyDescent="0.25">
      <c r="A7" s="512"/>
      <c r="B7" s="526" t="s">
        <v>518</v>
      </c>
      <c r="C7" s="527" t="s">
        <v>519</v>
      </c>
      <c r="D7" s="528" t="s">
        <v>520</v>
      </c>
      <c r="E7" s="647" t="s">
        <v>521</v>
      </c>
      <c r="F7" s="648" t="s">
        <v>522</v>
      </c>
      <c r="G7" s="526" t="s">
        <v>523</v>
      </c>
      <c r="H7" s="527" t="s">
        <v>524</v>
      </c>
      <c r="I7" s="528" t="s">
        <v>525</v>
      </c>
      <c r="J7" s="529" t="s">
        <v>526</v>
      </c>
      <c r="K7" s="530" t="s">
        <v>527</v>
      </c>
      <c r="L7" s="526" t="s">
        <v>528</v>
      </c>
      <c r="M7" s="531"/>
      <c r="N7" s="529" t="s">
        <v>529</v>
      </c>
      <c r="O7" s="532"/>
      <c r="P7" s="533" t="s">
        <v>530</v>
      </c>
      <c r="Q7" s="534" t="s">
        <v>531</v>
      </c>
      <c r="R7" s="533" t="s">
        <v>532</v>
      </c>
      <c r="S7" s="535" t="s">
        <v>533</v>
      </c>
      <c r="U7" s="300"/>
    </row>
    <row r="8" spans="1:21" ht="18.75" x14ac:dyDescent="0.3">
      <c r="A8" s="536" t="s">
        <v>60</v>
      </c>
      <c r="B8" s="537">
        <v>1</v>
      </c>
      <c r="C8" s="538">
        <v>0.81</v>
      </c>
      <c r="D8" s="539">
        <f>C8*0.9</f>
        <v>0.72900000000000009</v>
      </c>
      <c r="E8" s="649">
        <v>0.83740000000000014</v>
      </c>
      <c r="F8" s="650">
        <v>0.76140000000000008</v>
      </c>
      <c r="G8" s="537">
        <v>1</v>
      </c>
      <c r="H8" s="538">
        <v>0.59750000000000003</v>
      </c>
      <c r="I8" s="539">
        <v>0.9</v>
      </c>
      <c r="J8" s="540">
        <v>0.75849999999999995</v>
      </c>
      <c r="K8" s="651">
        <v>0.72</v>
      </c>
      <c r="L8" s="537">
        <v>1</v>
      </c>
      <c r="M8" s="542"/>
      <c r="N8" s="540">
        <v>1.0920000000000001</v>
      </c>
      <c r="O8" s="543"/>
      <c r="P8" s="544">
        <v>1</v>
      </c>
      <c r="Q8" s="545">
        <v>2.0306999999999999</v>
      </c>
      <c r="R8" s="544">
        <v>1</v>
      </c>
      <c r="S8" s="546">
        <v>1.41228</v>
      </c>
      <c r="U8" s="54"/>
    </row>
    <row r="9" spans="1:21" ht="45" customHeight="1" x14ac:dyDescent="0.25">
      <c r="A9" s="512"/>
      <c r="B9" s="547" t="s">
        <v>518</v>
      </c>
      <c r="C9" s="548" t="s">
        <v>534</v>
      </c>
      <c r="D9" s="549"/>
      <c r="E9" s="550"/>
      <c r="F9" s="551"/>
      <c r="G9" s="552" t="s">
        <v>535</v>
      </c>
      <c r="H9" s="548" t="s">
        <v>536</v>
      </c>
      <c r="I9" s="549"/>
      <c r="J9" s="550" t="s">
        <v>526</v>
      </c>
      <c r="K9" s="551"/>
      <c r="L9" s="547" t="s">
        <v>537</v>
      </c>
      <c r="M9" s="548" t="s">
        <v>538</v>
      </c>
      <c r="N9" s="550" t="s">
        <v>539</v>
      </c>
      <c r="O9" s="553" t="s">
        <v>540</v>
      </c>
      <c r="P9" s="512"/>
      <c r="Q9" s="512"/>
      <c r="R9" s="512"/>
      <c r="S9" s="512"/>
      <c r="T9" s="300"/>
      <c r="U9" s="300"/>
    </row>
    <row r="10" spans="1:21" ht="18.75" x14ac:dyDescent="0.3">
      <c r="A10" s="536" t="s">
        <v>61</v>
      </c>
      <c r="B10" s="537">
        <v>1</v>
      </c>
      <c r="C10" s="538">
        <v>0.86</v>
      </c>
      <c r="D10" s="539"/>
      <c r="E10" s="540"/>
      <c r="F10" s="541"/>
      <c r="G10" s="544">
        <v>1</v>
      </c>
      <c r="H10" s="538">
        <v>0.62</v>
      </c>
      <c r="I10" s="539"/>
      <c r="J10" s="540">
        <v>0.77200000000000002</v>
      </c>
      <c r="K10" s="541">
        <v>0.68</v>
      </c>
      <c r="L10" s="537">
        <v>1</v>
      </c>
      <c r="M10" s="538">
        <v>0.67</v>
      </c>
      <c r="N10" s="540">
        <v>1.0920000000000001</v>
      </c>
      <c r="O10" s="554">
        <v>0.80200000000000005</v>
      </c>
      <c r="P10" s="512"/>
      <c r="Q10" s="512"/>
      <c r="R10" s="512"/>
      <c r="S10" s="512"/>
      <c r="T10" s="54"/>
      <c r="U10" s="54"/>
    </row>
    <row r="11" spans="1:21" ht="18.75" x14ac:dyDescent="0.3">
      <c r="A11" s="337"/>
      <c r="B11" s="338"/>
      <c r="C11" s="54"/>
      <c r="D11" s="54"/>
      <c r="E11" s="54"/>
      <c r="F11" s="338"/>
      <c r="G11" s="54"/>
      <c r="H11" s="338"/>
      <c r="I11" s="54"/>
      <c r="K11" s="54"/>
      <c r="L11" s="54"/>
      <c r="M11" s="54"/>
      <c r="N11" s="54"/>
      <c r="O11" s="54"/>
    </row>
    <row r="12" spans="1:21" ht="18.75" x14ac:dyDescent="0.3">
      <c r="A12" s="337"/>
      <c r="B12" s="800" t="s">
        <v>541</v>
      </c>
      <c r="C12" s="801"/>
      <c r="D12" s="801"/>
      <c r="E12" s="801"/>
      <c r="F12" s="801"/>
      <c r="G12" s="802"/>
      <c r="H12" s="338"/>
      <c r="I12" s="54"/>
      <c r="K12" s="54"/>
      <c r="L12" s="54"/>
      <c r="M12" s="54"/>
      <c r="N12" s="54"/>
      <c r="O12" s="54"/>
    </row>
    <row r="13" spans="1:21" ht="18.75" x14ac:dyDescent="0.3">
      <c r="A13" s="337"/>
      <c r="B13" s="555"/>
      <c r="C13" s="512"/>
      <c r="D13" s="556"/>
      <c r="E13" s="512"/>
      <c r="F13" s="512"/>
      <c r="G13" s="557"/>
      <c r="H13" s="338"/>
      <c r="I13" s="54"/>
      <c r="K13" s="54"/>
      <c r="L13" s="54"/>
      <c r="M13" s="54"/>
      <c r="N13" s="54"/>
      <c r="O13" s="54"/>
    </row>
    <row r="14" spans="1:21" ht="18.75" x14ac:dyDescent="0.3">
      <c r="A14" s="337"/>
      <c r="B14" s="558" t="s">
        <v>60</v>
      </c>
      <c r="C14" s="559" t="s">
        <v>542</v>
      </c>
      <c r="D14" s="560" t="s">
        <v>543</v>
      </c>
      <c r="E14" s="561" t="s">
        <v>61</v>
      </c>
      <c r="F14" s="559" t="s">
        <v>542</v>
      </c>
      <c r="G14" s="560" t="s">
        <v>515</v>
      </c>
      <c r="H14" s="338"/>
      <c r="I14" s="54"/>
      <c r="K14" s="54"/>
      <c r="L14" s="54"/>
      <c r="M14" s="54"/>
      <c r="N14" s="54"/>
      <c r="O14" s="54"/>
    </row>
    <row r="15" spans="1:21" ht="18.75" x14ac:dyDescent="0.3">
      <c r="A15" s="337"/>
      <c r="B15" s="562">
        <v>50</v>
      </c>
      <c r="C15" s="563">
        <v>1</v>
      </c>
      <c r="D15" s="564">
        <v>1</v>
      </c>
      <c r="E15" s="562">
        <v>50</v>
      </c>
      <c r="F15" s="564">
        <v>1</v>
      </c>
      <c r="G15" s="565">
        <v>1</v>
      </c>
      <c r="H15" s="338"/>
      <c r="I15" s="54"/>
      <c r="K15" s="54"/>
      <c r="L15" s="54"/>
      <c r="M15" s="54"/>
      <c r="N15" s="54"/>
      <c r="O15" s="54"/>
    </row>
    <row r="16" spans="1:21" ht="18.75" x14ac:dyDescent="0.3">
      <c r="A16" s="337"/>
      <c r="B16" s="566">
        <v>25</v>
      </c>
      <c r="C16" s="567"/>
      <c r="D16" s="568">
        <v>1.02</v>
      </c>
      <c r="E16" s="569">
        <v>25</v>
      </c>
      <c r="F16" s="567">
        <v>1.03</v>
      </c>
      <c r="G16" s="568">
        <v>1.04</v>
      </c>
      <c r="H16" s="338"/>
      <c r="I16" s="54"/>
      <c r="K16" s="54"/>
      <c r="L16" s="54"/>
      <c r="M16" s="54"/>
      <c r="N16" s="54"/>
      <c r="O16" s="54"/>
    </row>
    <row r="17" spans="1:15" ht="18.75" x14ac:dyDescent="0.3">
      <c r="A17" s="337"/>
      <c r="B17" s="566">
        <v>75</v>
      </c>
      <c r="C17" s="570">
        <v>0.98</v>
      </c>
      <c r="D17" s="571"/>
      <c r="E17" s="569" t="s">
        <v>213</v>
      </c>
      <c r="F17" s="572">
        <v>1.07</v>
      </c>
      <c r="G17" s="573"/>
      <c r="H17" s="338"/>
      <c r="I17" s="54"/>
      <c r="K17" s="54"/>
      <c r="L17" s="54"/>
      <c r="M17" s="54"/>
      <c r="N17" s="54"/>
      <c r="O17" s="54"/>
    </row>
    <row r="18" spans="1:15" ht="18.75" x14ac:dyDescent="0.3">
      <c r="A18" s="337"/>
      <c r="B18" s="566">
        <v>100</v>
      </c>
      <c r="C18" s="570">
        <v>0.96499999999999997</v>
      </c>
      <c r="D18" s="571"/>
      <c r="E18" s="569"/>
      <c r="F18" s="574"/>
      <c r="G18" s="571"/>
      <c r="H18" s="338"/>
      <c r="I18" s="54"/>
      <c r="K18" s="54"/>
      <c r="L18" s="54"/>
      <c r="M18" s="54"/>
      <c r="N18" s="54"/>
      <c r="O18" s="54"/>
    </row>
    <row r="19" spans="1:15" ht="18.75" x14ac:dyDescent="0.3">
      <c r="A19" s="337"/>
      <c r="B19" s="575" t="s">
        <v>213</v>
      </c>
      <c r="C19" s="576">
        <v>1.07</v>
      </c>
      <c r="D19" s="577"/>
      <c r="E19" s="578"/>
      <c r="F19" s="579"/>
      <c r="G19" s="580"/>
      <c r="H19" s="338"/>
      <c r="I19" s="54"/>
      <c r="K19" s="54"/>
      <c r="L19" s="54"/>
      <c r="M19" s="54"/>
      <c r="N19" s="54"/>
      <c r="O19" s="54"/>
    </row>
    <row r="20" spans="1:15" ht="18.75" x14ac:dyDescent="0.3">
      <c r="A20" s="337"/>
      <c r="B20" s="338"/>
      <c r="C20" s="54"/>
      <c r="D20" s="54"/>
      <c r="E20" s="54"/>
      <c r="F20" s="338"/>
      <c r="G20" s="54"/>
      <c r="H20" s="338"/>
      <c r="I20" s="54"/>
      <c r="K20" s="54"/>
      <c r="L20" s="54"/>
      <c r="M20" s="54"/>
      <c r="N20" s="54"/>
      <c r="O20" s="54"/>
    </row>
    <row r="21" spans="1:15" ht="18.75" x14ac:dyDescent="0.3">
      <c r="A21" s="337"/>
      <c r="B21" s="800" t="s">
        <v>544</v>
      </c>
      <c r="C21" s="802"/>
      <c r="D21" s="54"/>
      <c r="E21" s="54"/>
      <c r="F21" s="338"/>
      <c r="G21" s="54"/>
      <c r="H21" s="338"/>
      <c r="I21" s="54"/>
      <c r="K21" s="54"/>
      <c r="L21" s="54"/>
      <c r="M21" s="54"/>
      <c r="N21" s="54"/>
      <c r="O21" s="54"/>
    </row>
    <row r="22" spans="1:15" ht="18.75" x14ac:dyDescent="0.3">
      <c r="A22" s="337"/>
      <c r="B22" s="555"/>
      <c r="C22" s="557"/>
      <c r="D22" s="54"/>
      <c r="E22" s="54"/>
      <c r="F22" s="338"/>
      <c r="G22" s="54"/>
      <c r="H22" s="338"/>
      <c r="I22" s="54"/>
      <c r="K22" s="54"/>
      <c r="L22" s="54"/>
      <c r="M22" s="54"/>
      <c r="N22" s="54"/>
      <c r="O22" s="54"/>
    </row>
    <row r="23" spans="1:15" ht="18.75" x14ac:dyDescent="0.3">
      <c r="A23" s="337"/>
      <c r="B23" s="558" t="s">
        <v>60</v>
      </c>
      <c r="C23" s="560" t="s">
        <v>545</v>
      </c>
      <c r="D23" s="54"/>
      <c r="E23" s="54"/>
      <c r="F23" s="338"/>
      <c r="G23" s="54"/>
      <c r="H23" s="338"/>
      <c r="I23" s="54"/>
      <c r="K23" s="54"/>
      <c r="L23" s="54"/>
      <c r="M23" s="54"/>
      <c r="N23" s="54"/>
      <c r="O23" s="54"/>
    </row>
    <row r="24" spans="1:15" ht="18.75" x14ac:dyDescent="0.3">
      <c r="A24" s="337"/>
      <c r="B24" s="581">
        <v>0</v>
      </c>
      <c r="C24" s="582">
        <v>1.06</v>
      </c>
      <c r="D24" s="54"/>
      <c r="E24" s="54"/>
      <c r="F24" s="338"/>
      <c r="G24" s="54"/>
      <c r="H24" s="338"/>
      <c r="I24" s="54"/>
      <c r="K24" s="54"/>
      <c r="L24" s="54"/>
      <c r="M24" s="54"/>
      <c r="N24" s="54"/>
      <c r="O24" s="54"/>
    </row>
    <row r="25" spans="1:15" ht="18.75" x14ac:dyDescent="0.3">
      <c r="A25" s="337"/>
      <c r="B25" s="583">
        <v>0.1</v>
      </c>
      <c r="C25" s="582">
        <v>1.03</v>
      </c>
      <c r="D25" s="54"/>
      <c r="E25" s="54"/>
      <c r="F25" s="338"/>
      <c r="G25" s="54"/>
      <c r="H25" s="338"/>
      <c r="I25" s="54"/>
      <c r="K25" s="54"/>
      <c r="L25" s="54"/>
      <c r="M25" s="54"/>
      <c r="N25" s="54"/>
      <c r="O25" s="54"/>
    </row>
    <row r="26" spans="1:15" ht="18.75" x14ac:dyDescent="0.3">
      <c r="A26" s="337"/>
      <c r="B26" s="584">
        <v>0.2</v>
      </c>
      <c r="C26" s="585">
        <v>1</v>
      </c>
      <c r="D26" s="54"/>
      <c r="E26" s="54"/>
      <c r="F26" s="338"/>
      <c r="G26" s="54"/>
      <c r="H26" s="338"/>
      <c r="I26" s="54"/>
      <c r="K26" s="54"/>
      <c r="L26" s="54"/>
      <c r="M26" s="54"/>
      <c r="N26" s="54"/>
      <c r="O26" s="54"/>
    </row>
    <row r="27" spans="1:15" ht="18.75" x14ac:dyDescent="0.3">
      <c r="A27" s="337"/>
      <c r="B27" s="338"/>
      <c r="C27" s="54"/>
      <c r="D27" s="54"/>
      <c r="E27" s="54"/>
      <c r="F27" s="338"/>
      <c r="G27" s="54"/>
      <c r="H27" s="338"/>
      <c r="I27" s="54"/>
      <c r="K27" s="54"/>
      <c r="L27" s="54"/>
      <c r="M27" s="54"/>
      <c r="N27" s="54"/>
      <c r="O27" s="54"/>
    </row>
    <row r="28" spans="1:15" ht="18.75" x14ac:dyDescent="0.3">
      <c r="A28" s="337"/>
      <c r="B28" s="800" t="s">
        <v>546</v>
      </c>
      <c r="C28" s="801"/>
      <c r="D28" s="801"/>
      <c r="E28" s="801"/>
      <c r="F28" s="801"/>
      <c r="G28" s="802"/>
      <c r="K28" s="54"/>
      <c r="L28" s="54"/>
      <c r="M28" s="54"/>
      <c r="N28" s="54"/>
      <c r="O28" s="54"/>
    </row>
    <row r="29" spans="1:15" x14ac:dyDescent="0.25">
      <c r="B29" s="555"/>
      <c r="C29" s="512"/>
      <c r="D29" s="512"/>
      <c r="E29" s="586"/>
      <c r="F29" s="512"/>
      <c r="G29" s="557"/>
      <c r="J29" s="228"/>
      <c r="K29" s="228"/>
    </row>
    <row r="30" spans="1:15" ht="21.75" customHeight="1" x14ac:dyDescent="0.25">
      <c r="B30" s="558" t="s">
        <v>60</v>
      </c>
      <c r="C30" s="559" t="s">
        <v>542</v>
      </c>
      <c r="D30" s="559" t="s">
        <v>543</v>
      </c>
      <c r="E30" s="587" t="s">
        <v>61</v>
      </c>
      <c r="F30" s="559" t="s">
        <v>542</v>
      </c>
      <c r="G30" s="560" t="s">
        <v>515</v>
      </c>
    </row>
    <row r="31" spans="1:15" x14ac:dyDescent="0.25">
      <c r="B31" s="588">
        <v>0</v>
      </c>
      <c r="C31" s="589">
        <v>1.125</v>
      </c>
      <c r="D31" s="570">
        <v>1.125</v>
      </c>
      <c r="E31" s="590">
        <v>0</v>
      </c>
      <c r="F31" s="570">
        <v>1.125</v>
      </c>
      <c r="G31" s="582">
        <v>1.125</v>
      </c>
      <c r="J31" s="304"/>
      <c r="K31" s="332"/>
    </row>
    <row r="32" spans="1:15" x14ac:dyDescent="0.25">
      <c r="B32" s="590">
        <v>0.1</v>
      </c>
      <c r="C32" s="589">
        <v>1.0625</v>
      </c>
      <c r="D32" s="570">
        <v>1.0625</v>
      </c>
      <c r="E32" s="590">
        <v>0.1</v>
      </c>
      <c r="F32" s="570">
        <v>1.0625</v>
      </c>
      <c r="G32" s="582">
        <v>1.0625</v>
      </c>
      <c r="J32" s="304"/>
      <c r="K32" s="332"/>
    </row>
    <row r="33" spans="2:11" x14ac:dyDescent="0.25">
      <c r="B33" s="591">
        <v>0.2</v>
      </c>
      <c r="C33" s="592">
        <v>1</v>
      </c>
      <c r="D33" s="593">
        <v>1</v>
      </c>
      <c r="E33" s="591">
        <v>0.2</v>
      </c>
      <c r="F33" s="593">
        <v>1</v>
      </c>
      <c r="G33" s="594">
        <v>1</v>
      </c>
      <c r="J33" s="304"/>
      <c r="K33" s="332"/>
    </row>
    <row r="36" spans="2:11" x14ac:dyDescent="0.25">
      <c r="B36" s="586" t="s">
        <v>547</v>
      </c>
      <c r="C36" s="556"/>
      <c r="D36" s="512"/>
      <c r="E36" s="586" t="s">
        <v>548</v>
      </c>
      <c r="F36" s="556"/>
    </row>
    <row r="37" spans="2:11" x14ac:dyDescent="0.25">
      <c r="B37" s="595" t="s">
        <v>245</v>
      </c>
      <c r="C37" s="557"/>
      <c r="D37" s="512"/>
      <c r="E37" s="595" t="s">
        <v>245</v>
      </c>
      <c r="F37" s="557"/>
    </row>
    <row r="38" spans="2:11" x14ac:dyDescent="0.25">
      <c r="B38" s="555" t="s">
        <v>513</v>
      </c>
      <c r="C38" s="557"/>
      <c r="D38" s="512"/>
      <c r="E38" s="555" t="s">
        <v>513</v>
      </c>
      <c r="F38" s="557"/>
    </row>
    <row r="39" spans="2:11" x14ac:dyDescent="0.25">
      <c r="B39" s="596" t="s">
        <v>261</v>
      </c>
      <c r="C39" s="571">
        <v>1.02</v>
      </c>
      <c r="D39" s="512"/>
      <c r="E39" s="596" t="s">
        <v>261</v>
      </c>
      <c r="F39" s="571">
        <v>1.02</v>
      </c>
    </row>
    <row r="40" spans="2:11" x14ac:dyDescent="0.25">
      <c r="B40" s="597">
        <v>10000</v>
      </c>
      <c r="C40" s="598">
        <v>1</v>
      </c>
      <c r="D40" s="512"/>
      <c r="E40" s="597">
        <v>10000</v>
      </c>
      <c r="F40" s="598">
        <v>1</v>
      </c>
    </row>
    <row r="41" spans="2:11" x14ac:dyDescent="0.25">
      <c r="B41" s="555" t="s">
        <v>514</v>
      </c>
      <c r="C41" s="571"/>
      <c r="D41" s="512"/>
      <c r="E41" s="555" t="s">
        <v>514</v>
      </c>
      <c r="F41" s="571"/>
    </row>
    <row r="42" spans="2:11" x14ac:dyDescent="0.25">
      <c r="B42" s="596" t="s">
        <v>261</v>
      </c>
      <c r="C42" s="571">
        <v>1.0349999999999999</v>
      </c>
      <c r="D42" s="512"/>
      <c r="E42" s="596" t="s">
        <v>261</v>
      </c>
      <c r="F42" s="571">
        <v>1.0349999999999999</v>
      </c>
    </row>
    <row r="43" spans="2:11" x14ac:dyDescent="0.25">
      <c r="B43" s="597">
        <v>7500</v>
      </c>
      <c r="C43" s="598">
        <v>1</v>
      </c>
      <c r="D43" s="512"/>
      <c r="E43" s="597">
        <v>7500</v>
      </c>
      <c r="F43" s="598">
        <v>1</v>
      </c>
    </row>
    <row r="44" spans="2:11" x14ac:dyDescent="0.25">
      <c r="B44" s="555" t="s">
        <v>549</v>
      </c>
      <c r="C44" s="571"/>
      <c r="D44" s="512"/>
      <c r="E44" s="555" t="s">
        <v>515</v>
      </c>
      <c r="F44" s="571"/>
    </row>
    <row r="45" spans="2:11" x14ac:dyDescent="0.25">
      <c r="B45" s="596" t="s">
        <v>261</v>
      </c>
      <c r="C45" s="571">
        <v>1.0449999999999999</v>
      </c>
      <c r="D45" s="512"/>
      <c r="E45" s="596" t="s">
        <v>261</v>
      </c>
      <c r="F45" s="571">
        <v>1.0449999999999999</v>
      </c>
    </row>
    <row r="46" spans="2:11" x14ac:dyDescent="0.25">
      <c r="B46" s="597">
        <v>5000</v>
      </c>
      <c r="C46" s="598">
        <v>1</v>
      </c>
      <c r="D46" s="512"/>
      <c r="E46" s="599">
        <v>5000</v>
      </c>
      <c r="F46" s="600">
        <v>1</v>
      </c>
    </row>
    <row r="47" spans="2:11" x14ac:dyDescent="0.25">
      <c r="B47" s="555" t="s">
        <v>517</v>
      </c>
      <c r="C47" s="571"/>
      <c r="D47" s="512"/>
      <c r="E47" s="512"/>
      <c r="F47" s="512"/>
    </row>
    <row r="48" spans="2:11" x14ac:dyDescent="0.25">
      <c r="B48" s="596" t="s">
        <v>261</v>
      </c>
      <c r="C48" s="571">
        <v>1.05</v>
      </c>
      <c r="D48" s="512"/>
      <c r="E48" s="512"/>
      <c r="F48" s="512"/>
    </row>
    <row r="49" spans="2:6" x14ac:dyDescent="0.25">
      <c r="B49" s="599">
        <v>3000</v>
      </c>
      <c r="C49" s="600">
        <v>1</v>
      </c>
      <c r="D49" s="512"/>
      <c r="E49" s="512"/>
      <c r="F49" s="512"/>
    </row>
    <row r="52" spans="2:6" ht="18.75" x14ac:dyDescent="0.3">
      <c r="B52" s="800" t="s">
        <v>550</v>
      </c>
      <c r="C52" s="802"/>
    </row>
    <row r="53" spans="2:6" x14ac:dyDescent="0.25">
      <c r="B53" s="555"/>
      <c r="C53" s="557"/>
    </row>
    <row r="54" spans="2:6" x14ac:dyDescent="0.25">
      <c r="B54" s="558" t="s">
        <v>60</v>
      </c>
      <c r="C54" s="560" t="s">
        <v>545</v>
      </c>
    </row>
    <row r="55" spans="2:6" x14ac:dyDescent="0.25">
      <c r="B55" s="581" t="s">
        <v>171</v>
      </c>
      <c r="C55" s="582">
        <v>0.9</v>
      </c>
    </row>
    <row r="56" spans="2:6" x14ac:dyDescent="0.25">
      <c r="B56" s="583" t="s">
        <v>397</v>
      </c>
      <c r="C56" s="582">
        <v>0.92500000000000004</v>
      </c>
    </row>
    <row r="57" spans="2:6" x14ac:dyDescent="0.25">
      <c r="B57" s="583" t="s">
        <v>311</v>
      </c>
      <c r="C57" s="582">
        <v>1.2</v>
      </c>
    </row>
    <row r="58" spans="2:6" x14ac:dyDescent="0.25">
      <c r="B58" s="583" t="s">
        <v>345</v>
      </c>
      <c r="C58" s="582">
        <v>1.2</v>
      </c>
    </row>
    <row r="59" spans="2:6" x14ac:dyDescent="0.25">
      <c r="B59" s="583" t="s">
        <v>429</v>
      </c>
      <c r="C59" s="582">
        <v>1.2</v>
      </c>
    </row>
    <row r="60" spans="2:6" x14ac:dyDescent="0.25">
      <c r="B60" s="583" t="s">
        <v>392</v>
      </c>
      <c r="C60" s="582">
        <v>1.2</v>
      </c>
    </row>
    <row r="61" spans="2:6" x14ac:dyDescent="0.25">
      <c r="B61" s="583" t="s">
        <v>353</v>
      </c>
      <c r="C61" s="582">
        <v>1.2</v>
      </c>
    </row>
    <row r="62" spans="2:6" x14ac:dyDescent="0.25">
      <c r="B62" s="584" t="s">
        <v>551</v>
      </c>
      <c r="C62" s="585">
        <v>1</v>
      </c>
    </row>
    <row r="64" spans="2:6" x14ac:dyDescent="0.25">
      <c r="C64" s="20" t="s">
        <v>552</v>
      </c>
      <c r="D64" s="228">
        <v>0.4</v>
      </c>
    </row>
    <row r="65" spans="2:7" x14ac:dyDescent="0.25">
      <c r="B65" s="638" t="s">
        <v>170</v>
      </c>
      <c r="C65" s="20" t="s">
        <v>553</v>
      </c>
      <c r="D65" s="228">
        <v>0.6</v>
      </c>
    </row>
    <row r="66" spans="2:7" x14ac:dyDescent="0.25">
      <c r="B66" s="637" t="s">
        <v>179</v>
      </c>
      <c r="C66" s="636" t="s">
        <v>169</v>
      </c>
      <c r="D66" s="636" t="s">
        <v>68</v>
      </c>
      <c r="E66" s="636" t="s">
        <v>175</v>
      </c>
    </row>
    <row r="67" spans="2:7" x14ac:dyDescent="0.25">
      <c r="B67" s="639" t="s">
        <v>76</v>
      </c>
      <c r="C67" s="642">
        <v>1.07</v>
      </c>
      <c r="D67" s="642">
        <v>1.1200000000000001</v>
      </c>
      <c r="E67" s="642">
        <v>1.0940000000000001</v>
      </c>
      <c r="F67" s="640"/>
    </row>
    <row r="68" spans="2:7" x14ac:dyDescent="0.25">
      <c r="B68" s="639" t="s">
        <v>77</v>
      </c>
      <c r="C68" s="642">
        <v>1.1000000000000001</v>
      </c>
      <c r="D68" s="642">
        <v>1.175</v>
      </c>
      <c r="E68" s="642">
        <v>1.1339999999999999</v>
      </c>
      <c r="F68" s="640"/>
      <c r="G68" s="262"/>
    </row>
    <row r="69" spans="2:7" x14ac:dyDescent="0.25">
      <c r="B69" s="639" t="s">
        <v>200</v>
      </c>
      <c r="C69" s="653">
        <v>1.1000000000000001</v>
      </c>
      <c r="D69" s="653">
        <v>1.175</v>
      </c>
      <c r="E69" s="653">
        <v>1.1339999999999999</v>
      </c>
      <c r="F69" s="640"/>
    </row>
    <row r="70" spans="2:7" x14ac:dyDescent="0.25">
      <c r="B70" s="639" t="s">
        <v>199</v>
      </c>
      <c r="C70" s="642">
        <v>1.07</v>
      </c>
      <c r="D70" s="642">
        <v>1.145</v>
      </c>
      <c r="E70" s="642">
        <v>1.0980000000000001</v>
      </c>
      <c r="F70" s="640"/>
    </row>
    <row r="71" spans="2:7" x14ac:dyDescent="0.25">
      <c r="B71" s="639" t="s">
        <v>78</v>
      </c>
      <c r="C71" s="642">
        <v>1.075</v>
      </c>
      <c r="D71" s="642">
        <v>1.155</v>
      </c>
      <c r="E71" s="642">
        <v>1.1000000000000001</v>
      </c>
      <c r="F71" s="640"/>
    </row>
    <row r="72" spans="2:7" x14ac:dyDescent="0.25">
      <c r="B72" s="639" t="s">
        <v>212</v>
      </c>
      <c r="C72" s="642">
        <v>1.06</v>
      </c>
      <c r="D72" s="642">
        <v>1.115</v>
      </c>
      <c r="E72" s="642">
        <v>1.0760000000000001</v>
      </c>
      <c r="F72" s="640"/>
    </row>
    <row r="73" spans="2:7" x14ac:dyDescent="0.25">
      <c r="B73" s="639" t="s">
        <v>209</v>
      </c>
      <c r="C73" s="652">
        <f>C67*$D$64+C69*$D$65</f>
        <v>1.0880000000000001</v>
      </c>
      <c r="D73" s="652">
        <f>D67*$D$64+D69*$D$65</f>
        <v>1.153</v>
      </c>
      <c r="E73" s="652">
        <f>E67*$D$64+E69*$D$65</f>
        <v>1.1179999999999999</v>
      </c>
      <c r="F73" s="640"/>
    </row>
    <row r="74" spans="2:7" x14ac:dyDescent="0.25">
      <c r="B74" s="639" t="s">
        <v>218</v>
      </c>
      <c r="C74" s="652">
        <f>C68*$D$64+C69*$D$65</f>
        <v>1.1000000000000001</v>
      </c>
      <c r="D74" s="652">
        <f>D68*$D$64+D69*$D$65</f>
        <v>1.175</v>
      </c>
      <c r="E74" s="652">
        <f>E68*$D$64+E69*$D$65</f>
        <v>1.1339999999999999</v>
      </c>
      <c r="F74" s="640"/>
    </row>
    <row r="75" spans="2:7" x14ac:dyDescent="0.25">
      <c r="B75" s="639" t="s">
        <v>210</v>
      </c>
      <c r="C75" s="652">
        <f>C68*$D$64+C70*$D$65</f>
        <v>1.0820000000000001</v>
      </c>
      <c r="D75" s="652">
        <f>D68*$D$64+D70*$D$65</f>
        <v>1.157</v>
      </c>
      <c r="E75" s="652">
        <f>E68*$D$64+E70*$D$65</f>
        <v>1.1124000000000001</v>
      </c>
      <c r="F75" s="640"/>
    </row>
    <row r="76" spans="2:7" x14ac:dyDescent="0.25">
      <c r="B76" s="639" t="s">
        <v>554</v>
      </c>
      <c r="C76" s="652">
        <f t="shared" ref="C76:E78" si="0">C69*$D$64+C70*$D$65</f>
        <v>1.0820000000000001</v>
      </c>
      <c r="D76" s="652">
        <f t="shared" si="0"/>
        <v>1.157</v>
      </c>
      <c r="E76" s="652">
        <f t="shared" si="0"/>
        <v>1.1124000000000001</v>
      </c>
      <c r="F76" s="640"/>
    </row>
    <row r="77" spans="2:7" x14ac:dyDescent="0.25">
      <c r="B77" s="639" t="s">
        <v>211</v>
      </c>
      <c r="C77" s="652">
        <f t="shared" si="0"/>
        <v>1.073</v>
      </c>
      <c r="D77" s="652">
        <f t="shared" si="0"/>
        <v>1.151</v>
      </c>
      <c r="E77" s="652">
        <f t="shared" si="0"/>
        <v>1.0992000000000002</v>
      </c>
      <c r="F77" s="640"/>
    </row>
    <row r="78" spans="2:7" x14ac:dyDescent="0.25">
      <c r="B78" s="639" t="s">
        <v>220</v>
      </c>
      <c r="C78" s="652">
        <f t="shared" si="0"/>
        <v>1.0660000000000001</v>
      </c>
      <c r="D78" s="652">
        <f t="shared" si="0"/>
        <v>1.131</v>
      </c>
      <c r="E78" s="652">
        <f t="shared" si="0"/>
        <v>1.0856000000000001</v>
      </c>
      <c r="F78" s="640"/>
    </row>
    <row r="79" spans="2:7" x14ac:dyDescent="0.25">
      <c r="B79" s="639" t="s">
        <v>237</v>
      </c>
      <c r="C79" s="652">
        <f>C71*$D$64+C72*$D$65</f>
        <v>1.0660000000000001</v>
      </c>
      <c r="D79" s="652">
        <f>D71*$D$64+D72*$D$65</f>
        <v>1.131</v>
      </c>
      <c r="E79" s="652">
        <f>E71*$D$64+E72*$D$65</f>
        <v>1.0856000000000001</v>
      </c>
    </row>
  </sheetData>
  <mergeCells count="8">
    <mergeCell ref="Q6:S6"/>
    <mergeCell ref="B12:G12"/>
    <mergeCell ref="B21:C21"/>
    <mergeCell ref="B28:G28"/>
    <mergeCell ref="B52:C52"/>
    <mergeCell ref="B6:F6"/>
    <mergeCell ref="G6:K6"/>
    <mergeCell ref="L6:O6"/>
  </mergeCells>
  <pageMargins left="0.7" right="0.7" top="0.75" bottom="0.75" header="0.3" footer="0.3"/>
  <pageSetup paperSize="9" orientation="portrait" r:id="rId1"/>
  <headerFooter>
    <oddHeader>&amp;C&amp;"Calibri"&amp;10&amp;K000000 Internal&amp;1#_x000D_</oddHeader>
    <oddFooter>&amp;L_x000D_&amp;1#&amp;"Calibri"&amp;10&amp;K737373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rgb="FFC00000"/>
  </sheetPr>
  <dimension ref="A1:Z97"/>
  <sheetViews>
    <sheetView showGridLines="0" zoomScale="70" zoomScaleNormal="70" workbookViewId="0">
      <selection activeCell="A2" sqref="A2"/>
    </sheetView>
  </sheetViews>
  <sheetFormatPr defaultColWidth="13.85546875" defaultRowHeight="15" x14ac:dyDescent="0.25"/>
  <cols>
    <col min="1" max="1" width="43.5703125" customWidth="1"/>
    <col min="14" max="14" width="26.28515625" bestFit="1" customWidth="1"/>
    <col min="17" max="17" width="56.42578125" bestFit="1" customWidth="1"/>
    <col min="22" max="22" width="14.140625" customWidth="1"/>
    <col min="24" max="24" width="14.42578125" bestFit="1" customWidth="1"/>
    <col min="25" max="25" width="15.28515625" bestFit="1" customWidth="1"/>
    <col min="26" max="26" width="16.28515625" bestFit="1" customWidth="1"/>
  </cols>
  <sheetData>
    <row r="1" spans="1:23" ht="21" x14ac:dyDescent="0.35">
      <c r="A1" s="376" t="s">
        <v>555</v>
      </c>
      <c r="B1" s="377"/>
      <c r="C1" s="377"/>
      <c r="D1" s="377"/>
      <c r="E1" s="377"/>
      <c r="F1" s="377"/>
      <c r="G1" s="377"/>
      <c r="H1" s="377"/>
      <c r="I1" s="377"/>
      <c r="J1" s="377"/>
      <c r="K1" s="377"/>
      <c r="L1" s="377"/>
      <c r="M1" s="377"/>
      <c r="N1" s="377"/>
      <c r="O1" s="377"/>
      <c r="P1" s="377"/>
      <c r="Q1" s="377"/>
      <c r="R1" s="377"/>
      <c r="S1" s="377"/>
      <c r="T1" s="377"/>
      <c r="U1" s="377"/>
      <c r="V1" s="377"/>
      <c r="W1" s="377"/>
    </row>
    <row r="2" spans="1:23" ht="10.5" customHeight="1" x14ac:dyDescent="0.35">
      <c r="A2" s="376"/>
      <c r="B2" s="377"/>
      <c r="C2" s="377"/>
      <c r="D2" s="377"/>
      <c r="E2" s="377"/>
      <c r="F2" s="377"/>
      <c r="G2" s="377"/>
      <c r="H2" s="377"/>
      <c r="I2" s="377"/>
      <c r="J2" s="377"/>
      <c r="K2" s="377"/>
      <c r="L2" s="377"/>
      <c r="M2" s="377"/>
      <c r="N2" s="377"/>
      <c r="O2" s="377"/>
      <c r="P2" s="377"/>
      <c r="Q2" s="377"/>
      <c r="R2" s="377"/>
      <c r="S2" s="377"/>
      <c r="T2" s="377"/>
      <c r="U2" s="377"/>
      <c r="V2" s="377"/>
      <c r="W2" s="377"/>
    </row>
    <row r="3" spans="1:23" s="306" customFormat="1" ht="23.25" customHeight="1" x14ac:dyDescent="0.25">
      <c r="A3" s="378" t="s">
        <v>556</v>
      </c>
      <c r="B3" s="379"/>
      <c r="C3" s="379"/>
      <c r="D3" s="379"/>
      <c r="E3" s="379"/>
      <c r="F3" s="379"/>
      <c r="G3" s="379"/>
      <c r="H3" s="379"/>
      <c r="I3" s="379"/>
      <c r="J3" s="379"/>
      <c r="K3" s="379"/>
      <c r="L3" s="379"/>
      <c r="M3" s="379"/>
      <c r="N3" s="379"/>
      <c r="O3" s="379"/>
      <c r="P3" s="379"/>
      <c r="Q3" s="378" t="s">
        <v>93</v>
      </c>
      <c r="R3" s="379"/>
      <c r="S3" s="379"/>
      <c r="T3" s="379"/>
      <c r="U3" s="379"/>
      <c r="V3" s="380"/>
      <c r="W3" s="380"/>
    </row>
    <row r="4" spans="1:23" s="306" customFormat="1" ht="7.5" customHeight="1" x14ac:dyDescent="0.25">
      <c r="A4" s="380"/>
      <c r="B4" s="379"/>
      <c r="C4" s="379"/>
      <c r="D4" s="379"/>
      <c r="E4" s="379"/>
      <c r="F4" s="379"/>
      <c r="G4" s="379"/>
      <c r="H4" s="379"/>
      <c r="I4" s="379"/>
      <c r="J4" s="379"/>
      <c r="K4" s="379"/>
      <c r="L4" s="379"/>
      <c r="M4" s="379"/>
      <c r="N4" s="379"/>
      <c r="O4" s="379"/>
      <c r="P4" s="379"/>
      <c r="Q4" s="380"/>
      <c r="R4" s="379"/>
      <c r="S4" s="379"/>
      <c r="T4" s="379"/>
      <c r="U4" s="379"/>
      <c r="V4" s="380"/>
      <c r="W4" s="380"/>
    </row>
    <row r="5" spans="1:23" ht="13.5" customHeight="1" x14ac:dyDescent="0.25">
      <c r="A5" s="381" t="s">
        <v>557</v>
      </c>
      <c r="B5" s="377"/>
      <c r="C5" s="377"/>
      <c r="D5" s="377"/>
      <c r="E5" s="377"/>
      <c r="F5" s="377"/>
      <c r="G5" s="382"/>
      <c r="H5" s="382"/>
      <c r="I5" s="382"/>
      <c r="J5" s="382"/>
      <c r="K5" s="382"/>
      <c r="L5" s="382"/>
      <c r="M5" s="382"/>
      <c r="N5" s="382"/>
      <c r="O5" s="382"/>
      <c r="P5" s="382"/>
      <c r="Q5" s="381" t="s">
        <v>557</v>
      </c>
      <c r="R5" s="377"/>
      <c r="S5" s="377"/>
      <c r="T5" s="377"/>
      <c r="U5" s="377"/>
      <c r="V5" s="377"/>
      <c r="W5" s="377"/>
    </row>
    <row r="6" spans="1:23" x14ac:dyDescent="0.25">
      <c r="A6" s="377"/>
      <c r="B6" s="377"/>
      <c r="C6" s="377"/>
      <c r="D6" s="377"/>
      <c r="E6" s="377"/>
      <c r="F6" s="377"/>
      <c r="G6" s="377"/>
      <c r="H6" s="377"/>
      <c r="I6" s="377"/>
      <c r="J6" s="377"/>
      <c r="K6" s="377"/>
      <c r="L6" s="377"/>
      <c r="M6" s="377"/>
      <c r="N6" s="377"/>
      <c r="O6" s="377"/>
      <c r="P6" s="377"/>
      <c r="Q6" s="377"/>
      <c r="R6" s="377"/>
      <c r="S6" s="377"/>
      <c r="T6" s="377"/>
      <c r="U6" s="377"/>
      <c r="V6" s="377"/>
      <c r="W6" s="377"/>
    </row>
    <row r="7" spans="1:23" x14ac:dyDescent="0.25">
      <c r="A7" s="383" t="s">
        <v>144</v>
      </c>
      <c r="B7" s="384" t="s">
        <v>513</v>
      </c>
      <c r="C7" s="384" t="s">
        <v>514</v>
      </c>
      <c r="D7" s="384" t="s">
        <v>515</v>
      </c>
      <c r="E7" s="384" t="s">
        <v>516</v>
      </c>
      <c r="F7" s="384" t="s">
        <v>517</v>
      </c>
      <c r="G7" s="385"/>
      <c r="H7" s="385"/>
      <c r="I7" s="385"/>
      <c r="J7" s="385"/>
      <c r="K7" s="385"/>
      <c r="L7" s="385"/>
      <c r="M7" s="385"/>
      <c r="N7" s="385"/>
      <c r="O7" s="385"/>
      <c r="P7" s="385"/>
      <c r="Q7" s="386" t="s">
        <v>144</v>
      </c>
      <c r="R7" s="384" t="s">
        <v>513</v>
      </c>
      <c r="S7" s="384" t="s">
        <v>514</v>
      </c>
      <c r="T7" s="384" t="s">
        <v>515</v>
      </c>
      <c r="U7" s="387"/>
      <c r="V7" s="385"/>
      <c r="W7" s="385"/>
    </row>
    <row r="8" spans="1:23" s="306" customFormat="1" ht="16.5" customHeight="1" x14ac:dyDescent="0.2">
      <c r="A8" s="388" t="s">
        <v>468</v>
      </c>
      <c r="B8" s="733">
        <f>B71*(1+$D$65)</f>
        <v>4702</v>
      </c>
      <c r="C8" s="733">
        <f t="shared" ref="C8:F8" si="0">C71*(1+$D$65)</f>
        <v>3576</v>
      </c>
      <c r="D8" s="733">
        <f t="shared" si="0"/>
        <v>1853</v>
      </c>
      <c r="E8" s="733">
        <f t="shared" si="0"/>
        <v>994</v>
      </c>
      <c r="F8" s="733">
        <f t="shared" si="0"/>
        <v>905</v>
      </c>
      <c r="G8" s="390"/>
      <c r="H8" s="390"/>
      <c r="I8" s="390"/>
      <c r="J8" s="390"/>
      <c r="K8" s="390"/>
      <c r="L8" s="390"/>
      <c r="M8" s="390"/>
      <c r="N8" s="390"/>
      <c r="O8" s="390"/>
      <c r="P8" s="390"/>
      <c r="Q8" s="388" t="s">
        <v>468</v>
      </c>
      <c r="R8" s="733">
        <f t="shared" ref="R8:T11" si="1">R71*(1+$D$65)</f>
        <v>4015</v>
      </c>
      <c r="S8" s="733">
        <f t="shared" si="1"/>
        <v>3245</v>
      </c>
      <c r="T8" s="733">
        <f t="shared" si="1"/>
        <v>1783</v>
      </c>
      <c r="U8" s="387"/>
      <c r="V8" s="390"/>
      <c r="W8" s="390"/>
    </row>
    <row r="9" spans="1:23" s="306" customFormat="1" ht="16.5" customHeight="1" x14ac:dyDescent="0.2">
      <c r="A9" s="391" t="s">
        <v>470</v>
      </c>
      <c r="B9" s="734">
        <f t="shared" ref="B9:F14" si="2">B72*(1+$D$65)</f>
        <v>6025</v>
      </c>
      <c r="C9" s="734">
        <f t="shared" si="2"/>
        <v>4579</v>
      </c>
      <c r="D9" s="734">
        <f t="shared" si="2"/>
        <v>2361</v>
      </c>
      <c r="E9" s="734">
        <f t="shared" si="2"/>
        <v>1258</v>
      </c>
      <c r="F9" s="734">
        <f t="shared" si="2"/>
        <v>1144</v>
      </c>
      <c r="G9" s="390"/>
      <c r="H9" s="390"/>
      <c r="I9" s="390"/>
      <c r="J9" s="390"/>
      <c r="K9" s="390"/>
      <c r="L9" s="390"/>
      <c r="M9" s="390"/>
      <c r="N9" s="390"/>
      <c r="O9" s="390"/>
      <c r="P9" s="390"/>
      <c r="Q9" s="391" t="s">
        <v>469</v>
      </c>
      <c r="R9" s="734">
        <f t="shared" si="1"/>
        <v>5763</v>
      </c>
      <c r="S9" s="734">
        <f t="shared" si="1"/>
        <v>4654</v>
      </c>
      <c r="T9" s="734">
        <f t="shared" si="1"/>
        <v>2550</v>
      </c>
      <c r="U9" s="387"/>
      <c r="V9" s="390"/>
      <c r="W9" s="390"/>
    </row>
    <row r="10" spans="1:23" s="306" customFormat="1" ht="16.5" customHeight="1" x14ac:dyDescent="0.2">
      <c r="A10" s="388" t="s">
        <v>472</v>
      </c>
      <c r="B10" s="735">
        <f t="shared" si="2"/>
        <v>8616</v>
      </c>
      <c r="C10" s="735">
        <f t="shared" si="2"/>
        <v>6541</v>
      </c>
      <c r="D10" s="735">
        <f t="shared" si="2"/>
        <v>3355</v>
      </c>
      <c r="E10" s="735">
        <f t="shared" si="2"/>
        <v>1775</v>
      </c>
      <c r="F10" s="735">
        <f t="shared" si="2"/>
        <v>1611</v>
      </c>
      <c r="G10" s="390"/>
      <c r="H10" s="390"/>
      <c r="I10" s="390"/>
      <c r="J10" s="390"/>
      <c r="K10" s="390"/>
      <c r="L10" s="390"/>
      <c r="M10" s="390"/>
      <c r="N10" s="390"/>
      <c r="O10" s="390"/>
      <c r="P10" s="390"/>
      <c r="Q10" s="388" t="s">
        <v>471</v>
      </c>
      <c r="R10" s="735">
        <f t="shared" si="1"/>
        <v>10225</v>
      </c>
      <c r="S10" s="735">
        <f t="shared" si="1"/>
        <v>8250</v>
      </c>
      <c r="T10" s="735">
        <f t="shared" si="1"/>
        <v>4512</v>
      </c>
      <c r="U10" s="387"/>
      <c r="V10" s="392"/>
      <c r="W10" s="392"/>
    </row>
    <row r="11" spans="1:23" s="306" customFormat="1" ht="16.5" customHeight="1" x14ac:dyDescent="0.2">
      <c r="A11" s="391" t="s">
        <v>474</v>
      </c>
      <c r="B11" s="734">
        <f t="shared" si="2"/>
        <v>12854</v>
      </c>
      <c r="C11" s="734">
        <f t="shared" si="2"/>
        <v>9752</v>
      </c>
      <c r="D11" s="734">
        <f t="shared" si="2"/>
        <v>4980</v>
      </c>
      <c r="E11" s="734">
        <f t="shared" si="2"/>
        <v>2621</v>
      </c>
      <c r="F11" s="734">
        <f t="shared" si="2"/>
        <v>2372</v>
      </c>
      <c r="G11" s="390"/>
      <c r="H11" s="730"/>
      <c r="I11" s="730"/>
      <c r="J11" s="390"/>
      <c r="K11" s="390"/>
      <c r="L11" s="390"/>
      <c r="M11" s="390"/>
      <c r="N11" s="390"/>
      <c r="O11" s="390"/>
      <c r="P11" s="390"/>
      <c r="Q11" s="391" t="s">
        <v>473</v>
      </c>
      <c r="R11" s="734">
        <f t="shared" si="1"/>
        <v>22951</v>
      </c>
      <c r="S11" s="734">
        <f t="shared" si="1"/>
        <v>18515</v>
      </c>
      <c r="T11" s="734">
        <f t="shared" si="1"/>
        <v>10106</v>
      </c>
      <c r="U11" s="387"/>
      <c r="V11" s="392"/>
      <c r="W11" s="392"/>
    </row>
    <row r="12" spans="1:23" s="306" customFormat="1" ht="16.5" customHeight="1" x14ac:dyDescent="0.2">
      <c r="A12" s="388" t="s">
        <v>475</v>
      </c>
      <c r="B12" s="735">
        <f t="shared" si="2"/>
        <v>17940</v>
      </c>
      <c r="C12" s="735">
        <f t="shared" si="2"/>
        <v>13605</v>
      </c>
      <c r="D12" s="735">
        <f t="shared" si="2"/>
        <v>6931</v>
      </c>
      <c r="E12" s="735">
        <f t="shared" si="2"/>
        <v>3639</v>
      </c>
      <c r="F12" s="735">
        <f t="shared" si="2"/>
        <v>3287</v>
      </c>
      <c r="G12" s="390"/>
      <c r="H12" s="390"/>
      <c r="I12" s="390"/>
      <c r="J12" s="390"/>
      <c r="K12" s="390"/>
      <c r="L12" s="390"/>
      <c r="M12" s="390"/>
      <c r="N12" s="390"/>
      <c r="O12" s="390"/>
      <c r="P12" s="390"/>
      <c r="Q12" s="393"/>
      <c r="R12" s="389"/>
      <c r="S12" s="389"/>
      <c r="T12" s="389"/>
      <c r="U12" s="389"/>
      <c r="V12" s="392"/>
      <c r="W12" s="392"/>
    </row>
    <row r="13" spans="1:23" s="306" customFormat="1" ht="16.5" customHeight="1" x14ac:dyDescent="0.2">
      <c r="A13" s="391" t="s">
        <v>476</v>
      </c>
      <c r="B13" s="734">
        <f t="shared" si="2"/>
        <v>25061</v>
      </c>
      <c r="C13" s="734">
        <f t="shared" si="2"/>
        <v>18999</v>
      </c>
      <c r="D13" s="734">
        <f t="shared" si="2"/>
        <v>9662</v>
      </c>
      <c r="E13" s="734">
        <f t="shared" si="2"/>
        <v>5062</v>
      </c>
      <c r="F13" s="734">
        <f t="shared" si="2"/>
        <v>4568</v>
      </c>
      <c r="G13" s="390"/>
      <c r="H13" s="390"/>
      <c r="I13" s="390"/>
      <c r="J13" s="390"/>
      <c r="K13" s="390"/>
      <c r="L13" s="390"/>
      <c r="M13" s="390"/>
      <c r="N13" s="390"/>
      <c r="O13" s="390"/>
      <c r="P13" s="390"/>
      <c r="Q13" s="393"/>
      <c r="R13" s="634"/>
      <c r="S13" s="389"/>
      <c r="T13" s="389"/>
      <c r="U13" s="389"/>
      <c r="V13" s="392"/>
      <c r="W13" s="392"/>
    </row>
    <row r="14" spans="1:23" s="306" customFormat="1" ht="16.5" customHeight="1" x14ac:dyDescent="0.2">
      <c r="A14" s="388" t="s">
        <v>477</v>
      </c>
      <c r="B14" s="735">
        <f t="shared" si="2"/>
        <v>35031</v>
      </c>
      <c r="C14" s="735">
        <f t="shared" si="2"/>
        <v>26552</v>
      </c>
      <c r="D14" s="735">
        <f t="shared" si="2"/>
        <v>13485</v>
      </c>
      <c r="E14" s="735">
        <f t="shared" si="2"/>
        <v>7052</v>
      </c>
      <c r="F14" s="735">
        <f t="shared" si="2"/>
        <v>6361</v>
      </c>
      <c r="G14" s="390"/>
      <c r="H14" s="390"/>
      <c r="I14" s="390"/>
      <c r="J14" s="390"/>
      <c r="K14" s="390"/>
      <c r="L14" s="390"/>
      <c r="M14" s="390"/>
      <c r="N14" s="390"/>
      <c r="O14" s="390"/>
      <c r="P14" s="390"/>
      <c r="Q14" s="393"/>
      <c r="R14" s="389"/>
      <c r="S14" s="389"/>
      <c r="T14" s="389"/>
      <c r="U14" s="389"/>
      <c r="V14" s="392"/>
      <c r="W14" s="392"/>
    </row>
    <row r="15" spans="1:23" s="306" customFormat="1" ht="16.5" customHeight="1" x14ac:dyDescent="0.25">
      <c r="A15" s="393"/>
      <c r="B15" s="389"/>
      <c r="C15" s="389"/>
      <c r="D15" s="389"/>
      <c r="E15" s="389"/>
      <c r="F15" s="393"/>
      <c r="G15" s="390"/>
      <c r="H15" s="390"/>
      <c r="I15" s="390"/>
      <c r="J15" s="390"/>
      <c r="K15" s="390"/>
      <c r="L15" s="390"/>
      <c r="M15" s="390"/>
      <c r="N15" s="390"/>
      <c r="O15" s="390"/>
      <c r="P15" s="390"/>
      <c r="Q15" s="393"/>
      <c r="R15" s="389"/>
      <c r="S15" s="389"/>
      <c r="T15" s="389"/>
      <c r="U15" s="389"/>
      <c r="V15" s="392"/>
      <c r="W15" s="392"/>
    </row>
    <row r="16" spans="1:23" s="306" customFormat="1" ht="16.5" customHeight="1" x14ac:dyDescent="0.25">
      <c r="A16" s="401" t="s">
        <v>558</v>
      </c>
      <c r="B16" s="389"/>
      <c r="C16" s="389"/>
      <c r="D16" s="389"/>
      <c r="E16" s="389"/>
      <c r="F16" s="389"/>
      <c r="G16" s="390"/>
      <c r="H16" s="390"/>
      <c r="I16" s="390"/>
      <c r="J16" s="390"/>
      <c r="K16" s="390"/>
      <c r="L16" s="390"/>
      <c r="M16" s="390"/>
      <c r="N16" s="390"/>
      <c r="O16" s="390"/>
      <c r="P16" s="390"/>
      <c r="Q16" s="393"/>
      <c r="R16" s="389"/>
      <c r="S16" s="389"/>
      <c r="T16" s="389"/>
      <c r="U16" s="389"/>
      <c r="V16" s="392"/>
      <c r="W16" s="392"/>
    </row>
    <row r="17" spans="1:26" s="306" customFormat="1" ht="16.5" customHeight="1" x14ac:dyDescent="0.25">
      <c r="A17" s="401"/>
      <c r="B17" s="389"/>
      <c r="C17" s="389"/>
      <c r="D17" s="389"/>
      <c r="E17" s="389"/>
      <c r="F17" s="389"/>
      <c r="G17" s="390"/>
      <c r="H17" s="390"/>
      <c r="I17" s="390"/>
      <c r="J17" s="390"/>
      <c r="K17" s="390"/>
      <c r="L17" s="390"/>
      <c r="M17" s="390"/>
      <c r="N17" s="390"/>
      <c r="O17" s="390"/>
      <c r="P17" s="390"/>
      <c r="Q17" s="393"/>
      <c r="R17" s="389"/>
      <c r="S17" s="389"/>
      <c r="T17" s="389"/>
      <c r="U17" s="389"/>
      <c r="V17" s="392"/>
      <c r="W17" s="392"/>
    </row>
    <row r="18" spans="1:26" ht="20.25" customHeight="1" x14ac:dyDescent="0.25">
      <c r="A18" s="394" t="s">
        <v>559</v>
      </c>
      <c r="B18" s="377"/>
      <c r="C18" s="377"/>
      <c r="D18" s="377"/>
      <c r="E18" s="377"/>
      <c r="F18" s="377"/>
      <c r="G18" s="377"/>
      <c r="H18" s="377"/>
      <c r="I18" s="377"/>
      <c r="J18" s="377"/>
      <c r="K18" s="377"/>
      <c r="L18" s="377"/>
      <c r="M18" s="377"/>
      <c r="N18" s="377"/>
      <c r="O18" s="377"/>
      <c r="P18" s="377"/>
      <c r="Q18" s="394" t="s">
        <v>559</v>
      </c>
      <c r="R18" s="395"/>
      <c r="S18" s="395"/>
      <c r="T18" s="395"/>
      <c r="U18" s="395"/>
      <c r="V18" s="396"/>
      <c r="W18" s="396"/>
    </row>
    <row r="19" spans="1:26" x14ac:dyDescent="0.25">
      <c r="A19" s="391" t="s">
        <v>179</v>
      </c>
      <c r="B19" s="397" t="s">
        <v>478</v>
      </c>
      <c r="C19" s="397" t="s">
        <v>479</v>
      </c>
      <c r="D19" s="397" t="s">
        <v>480</v>
      </c>
      <c r="E19" s="397" t="s">
        <v>481</v>
      </c>
      <c r="F19" s="397" t="s">
        <v>481</v>
      </c>
      <c r="G19" s="385"/>
      <c r="H19" s="385"/>
      <c r="I19" s="385"/>
      <c r="J19" s="385"/>
      <c r="K19" s="385"/>
      <c r="L19" s="385"/>
      <c r="M19" s="385"/>
      <c r="N19" s="385"/>
      <c r="O19" s="385"/>
      <c r="P19" s="385"/>
      <c r="Q19" s="391" t="s">
        <v>179</v>
      </c>
      <c r="R19" s="397" t="s">
        <v>478</v>
      </c>
      <c r="S19" s="397" t="s">
        <v>479</v>
      </c>
      <c r="T19" s="397" t="s">
        <v>480</v>
      </c>
      <c r="U19" s="395"/>
      <c r="V19" s="398"/>
      <c r="W19" s="398"/>
    </row>
    <row r="20" spans="1:26" x14ac:dyDescent="0.25">
      <c r="A20" s="388" t="s">
        <v>560</v>
      </c>
      <c r="B20" s="399">
        <v>50</v>
      </c>
      <c r="C20" s="399">
        <v>50</v>
      </c>
      <c r="D20" s="399">
        <v>50</v>
      </c>
      <c r="E20" s="399">
        <v>50</v>
      </c>
      <c r="F20" s="399">
        <v>50</v>
      </c>
      <c r="G20" s="385"/>
      <c r="H20" s="385"/>
      <c r="I20" s="385"/>
      <c r="J20" s="385"/>
      <c r="K20" s="385"/>
      <c r="L20" s="385"/>
      <c r="M20" s="385"/>
      <c r="N20" s="385"/>
      <c r="O20" s="385"/>
      <c r="P20" s="385"/>
      <c r="Q20" s="388" t="s">
        <v>561</v>
      </c>
      <c r="R20" s="399">
        <v>50</v>
      </c>
      <c r="S20" s="399">
        <v>50</v>
      </c>
      <c r="T20" s="399">
        <v>50</v>
      </c>
      <c r="U20" s="399"/>
      <c r="V20" s="398"/>
      <c r="W20" s="398"/>
    </row>
    <row r="21" spans="1:26" x14ac:dyDescent="0.25">
      <c r="A21" s="391" t="s">
        <v>562</v>
      </c>
      <c r="B21" s="400">
        <v>0.2</v>
      </c>
      <c r="C21" s="400">
        <v>0.2</v>
      </c>
      <c r="D21" s="400">
        <v>0.2</v>
      </c>
      <c r="E21" s="400">
        <v>0.2</v>
      </c>
      <c r="F21" s="400">
        <v>0.2</v>
      </c>
      <c r="G21" s="385"/>
      <c r="H21" s="385"/>
      <c r="I21" s="385"/>
      <c r="J21" s="385"/>
      <c r="K21" s="385"/>
      <c r="L21" s="385"/>
      <c r="M21" s="385"/>
      <c r="N21" s="385"/>
      <c r="O21" s="385"/>
      <c r="P21" s="385"/>
      <c r="Q21" s="391" t="s">
        <v>562</v>
      </c>
      <c r="R21" s="400">
        <v>0.2</v>
      </c>
      <c r="S21" s="400">
        <v>0.2</v>
      </c>
      <c r="T21" s="400">
        <v>0.2</v>
      </c>
      <c r="U21" s="395"/>
      <c r="V21" s="398"/>
      <c r="W21" s="398"/>
    </row>
    <row r="22" spans="1:26" x14ac:dyDescent="0.25">
      <c r="A22" s="388" t="s">
        <v>563</v>
      </c>
      <c r="B22" s="399">
        <v>10000</v>
      </c>
      <c r="C22" s="399">
        <v>7500</v>
      </c>
      <c r="D22" s="399">
        <v>5000</v>
      </c>
      <c r="E22" s="399">
        <v>5000</v>
      </c>
      <c r="F22" s="399">
        <v>3000</v>
      </c>
      <c r="G22" s="385"/>
      <c r="H22" s="385"/>
      <c r="I22" s="385"/>
      <c r="J22" s="385"/>
      <c r="K22" s="385"/>
      <c r="L22" s="385"/>
      <c r="M22" s="385"/>
      <c r="N22" s="385"/>
      <c r="O22" s="385"/>
      <c r="P22" s="385"/>
      <c r="Q22" s="388" t="s">
        <v>563</v>
      </c>
      <c r="R22" s="399">
        <v>10000</v>
      </c>
      <c r="S22" s="399">
        <v>7500</v>
      </c>
      <c r="T22" s="399">
        <v>5000</v>
      </c>
      <c r="U22" s="399"/>
      <c r="V22" s="398"/>
      <c r="W22" s="398"/>
    </row>
    <row r="23" spans="1:26" x14ac:dyDescent="0.25">
      <c r="A23" s="391" t="s">
        <v>564</v>
      </c>
      <c r="B23" s="400">
        <v>0.2</v>
      </c>
      <c r="C23" s="400">
        <v>0.2</v>
      </c>
      <c r="D23" s="400">
        <v>0.2</v>
      </c>
      <c r="E23" s="400">
        <v>0.2</v>
      </c>
      <c r="F23" s="400">
        <v>0.2</v>
      </c>
      <c r="G23" s="385"/>
      <c r="H23" s="385"/>
      <c r="I23" s="385"/>
      <c r="J23" s="385"/>
      <c r="K23" s="385"/>
      <c r="L23" s="385"/>
      <c r="M23" s="385"/>
      <c r="N23" s="385"/>
      <c r="O23" s="385"/>
      <c r="P23" s="385"/>
      <c r="Q23" s="391" t="s">
        <v>564</v>
      </c>
      <c r="R23" s="400">
        <v>0</v>
      </c>
      <c r="S23" s="400">
        <v>0</v>
      </c>
      <c r="T23" s="400">
        <v>0</v>
      </c>
      <c r="U23" s="395"/>
      <c r="V23" s="385"/>
      <c r="W23" s="385"/>
    </row>
    <row r="24" spans="1:26" s="20" customFormat="1" x14ac:dyDescent="0.25">
      <c r="A24" s="401" t="s">
        <v>565</v>
      </c>
      <c r="B24" s="402"/>
      <c r="C24" s="402"/>
      <c r="D24" s="402"/>
      <c r="E24" s="402"/>
      <c r="F24" s="402"/>
      <c r="G24" s="32"/>
      <c r="H24" s="32"/>
      <c r="I24" s="32"/>
      <c r="J24" s="32"/>
      <c r="K24" s="32"/>
      <c r="L24" s="32"/>
      <c r="M24" s="32"/>
      <c r="N24" s="32"/>
      <c r="O24" s="32"/>
      <c r="P24" s="32"/>
      <c r="Q24" s="32"/>
      <c r="R24" s="32"/>
      <c r="S24" s="32"/>
      <c r="T24" s="32"/>
      <c r="U24" s="32"/>
      <c r="V24" s="32"/>
      <c r="W24" s="32"/>
    </row>
    <row r="25" spans="1:26" s="20" customFormat="1" ht="4.5" customHeight="1" x14ac:dyDescent="0.25">
      <c r="A25" s="401"/>
      <c r="B25" s="402"/>
      <c r="C25" s="402"/>
      <c r="D25" s="402"/>
      <c r="E25" s="402"/>
      <c r="F25" s="402"/>
      <c r="G25" s="32"/>
      <c r="H25" s="32"/>
      <c r="I25" s="32"/>
      <c r="J25" s="32"/>
      <c r="K25" s="32"/>
      <c r="L25" s="32"/>
      <c r="M25" s="32"/>
      <c r="N25" s="32"/>
      <c r="O25" s="32"/>
      <c r="P25" s="32"/>
      <c r="Q25" s="32"/>
      <c r="R25" s="32"/>
      <c r="S25" s="32"/>
      <c r="T25" s="32"/>
      <c r="U25" s="32"/>
      <c r="V25" s="32"/>
      <c r="W25" s="32"/>
    </row>
    <row r="26" spans="1:26" ht="16.5" customHeight="1" x14ac:dyDescent="0.25">
      <c r="A26" s="403" t="s">
        <v>566</v>
      </c>
      <c r="B26" s="377"/>
      <c r="C26" s="377"/>
      <c r="D26" s="377"/>
      <c r="E26" s="377"/>
      <c r="F26" s="377"/>
      <c r="G26" s="377"/>
      <c r="H26" s="377"/>
      <c r="I26" s="377"/>
      <c r="J26" s="377"/>
      <c r="K26" s="377"/>
      <c r="L26" s="377"/>
      <c r="M26" s="377"/>
      <c r="N26" s="377"/>
      <c r="O26" s="377"/>
      <c r="P26" s="377"/>
      <c r="Q26" s="377"/>
      <c r="R26" s="377"/>
      <c r="S26" s="377"/>
      <c r="T26" s="377"/>
      <c r="U26" s="32"/>
      <c r="V26" s="377"/>
      <c r="W26" s="377"/>
      <c r="Y26" s="646" t="s">
        <v>567</v>
      </c>
      <c r="Z26" s="226">
        <v>0.67</v>
      </c>
    </row>
    <row r="27" spans="1:26" ht="4.5" customHeight="1" x14ac:dyDescent="0.25">
      <c r="A27" s="377"/>
      <c r="B27" s="377"/>
      <c r="C27" s="377"/>
      <c r="D27" s="377"/>
      <c r="E27" s="377"/>
      <c r="F27" s="377"/>
      <c r="G27" s="377"/>
      <c r="H27" s="377"/>
      <c r="I27" s="377"/>
      <c r="J27" s="377"/>
      <c r="K27" s="377"/>
      <c r="L27" s="377"/>
      <c r="M27" s="377"/>
      <c r="N27" s="377"/>
      <c r="O27" s="377"/>
      <c r="P27" s="377"/>
      <c r="Q27" s="377"/>
      <c r="R27" s="377"/>
      <c r="S27" s="377"/>
      <c r="T27" s="377"/>
      <c r="U27" s="32"/>
      <c r="V27" s="377"/>
      <c r="W27" s="377"/>
    </row>
    <row r="28" spans="1:26" x14ac:dyDescent="0.25">
      <c r="A28" s="383" t="s">
        <v>568</v>
      </c>
      <c r="B28" s="384" t="s">
        <v>513</v>
      </c>
      <c r="C28" s="384" t="s">
        <v>514</v>
      </c>
      <c r="D28" s="384" t="s">
        <v>515</v>
      </c>
      <c r="E28" s="384" t="s">
        <v>516</v>
      </c>
      <c r="F28" s="384" t="s">
        <v>517</v>
      </c>
      <c r="G28" s="385"/>
      <c r="H28" s="385"/>
      <c r="I28" s="385"/>
      <c r="J28" s="385"/>
      <c r="K28" s="385"/>
      <c r="L28" s="385"/>
      <c r="M28" s="385"/>
      <c r="N28" s="385"/>
      <c r="O28" s="377"/>
      <c r="P28" s="385"/>
      <c r="Q28" s="383" t="s">
        <v>569</v>
      </c>
      <c r="R28" s="384" t="s">
        <v>513</v>
      </c>
      <c r="S28" s="384" t="s">
        <v>514</v>
      </c>
      <c r="T28" s="384" t="s">
        <v>515</v>
      </c>
      <c r="U28" s="404"/>
      <c r="V28" s="385"/>
      <c r="W28" s="385"/>
    </row>
    <row r="29" spans="1:26" x14ac:dyDescent="0.25">
      <c r="A29" s="388" t="s">
        <v>570</v>
      </c>
      <c r="B29" s="405">
        <f t="shared" ref="B29:F30" si="3">B92*(1+$D$65)</f>
        <v>467</v>
      </c>
      <c r="C29" s="405">
        <f t="shared" si="3"/>
        <v>386</v>
      </c>
      <c r="D29" s="405">
        <f t="shared" si="3"/>
        <v>277</v>
      </c>
      <c r="E29" s="405">
        <f t="shared" si="3"/>
        <v>296</v>
      </c>
      <c r="F29" s="405">
        <f t="shared" si="3"/>
        <v>220</v>
      </c>
      <c r="G29" s="385"/>
      <c r="H29" s="385"/>
      <c r="I29" s="385"/>
      <c r="J29" s="385"/>
      <c r="K29" s="385"/>
      <c r="L29" s="385"/>
      <c r="M29" s="385"/>
      <c r="N29" s="385"/>
      <c r="O29" s="377"/>
      <c r="P29" s="385"/>
      <c r="Q29" s="388" t="s">
        <v>149</v>
      </c>
      <c r="R29" s="405">
        <f t="shared" ref="R29:T30" si="4">R92*(1+$D$65)</f>
        <v>553</v>
      </c>
      <c r="S29" s="405">
        <f t="shared" si="4"/>
        <v>453</v>
      </c>
      <c r="T29" s="405">
        <f t="shared" si="4"/>
        <v>342</v>
      </c>
      <c r="U29" s="398"/>
      <c r="V29" s="385"/>
      <c r="W29" s="385"/>
    </row>
    <row r="30" spans="1:26" x14ac:dyDescent="0.25">
      <c r="A30" s="391" t="s">
        <v>151</v>
      </c>
      <c r="B30" s="406">
        <f t="shared" si="3"/>
        <v>168</v>
      </c>
      <c r="C30" s="406">
        <f t="shared" si="3"/>
        <v>168</v>
      </c>
      <c r="D30" s="406">
        <f t="shared" si="3"/>
        <v>112</v>
      </c>
      <c r="E30" s="406">
        <f t="shared" si="3"/>
        <v>112</v>
      </c>
      <c r="F30" s="406">
        <f t="shared" si="3"/>
        <v>84</v>
      </c>
      <c r="G30" s="385"/>
      <c r="H30" s="385"/>
      <c r="I30" s="385"/>
      <c r="J30" s="385"/>
      <c r="K30" s="385"/>
      <c r="L30" s="385"/>
      <c r="M30" s="385"/>
      <c r="N30" s="385"/>
      <c r="O30" s="377"/>
      <c r="P30" s="385"/>
      <c r="Q30" s="391" t="s">
        <v>151</v>
      </c>
      <c r="R30" s="406">
        <f t="shared" si="4"/>
        <v>178</v>
      </c>
      <c r="S30" s="406">
        <f t="shared" si="4"/>
        <v>126</v>
      </c>
      <c r="T30" s="406">
        <f t="shared" si="4"/>
        <v>94</v>
      </c>
      <c r="U30" s="398"/>
      <c r="V30" s="385"/>
      <c r="W30" s="385"/>
      <c r="Y30" s="645"/>
      <c r="Z30" s="645"/>
    </row>
    <row r="31" spans="1:26" hidden="1" x14ac:dyDescent="0.25">
      <c r="A31" s="388" t="s">
        <v>483</v>
      </c>
      <c r="B31" s="405">
        <v>0</v>
      </c>
      <c r="C31" s="405">
        <v>0</v>
      </c>
      <c r="D31" s="405">
        <v>0</v>
      </c>
      <c r="E31" s="405">
        <v>0</v>
      </c>
      <c r="F31" s="405">
        <v>0</v>
      </c>
      <c r="G31" s="385"/>
      <c r="H31" s="385"/>
      <c r="I31" s="385"/>
      <c r="J31" s="385"/>
      <c r="K31" s="385"/>
      <c r="L31" s="385"/>
      <c r="M31" s="385"/>
      <c r="N31" s="385"/>
      <c r="O31" s="377"/>
      <c r="P31" s="385"/>
      <c r="Q31" s="388" t="s">
        <v>483</v>
      </c>
      <c r="R31" s="405">
        <v>0</v>
      </c>
      <c r="S31" s="405">
        <v>0</v>
      </c>
      <c r="T31" s="405">
        <v>0</v>
      </c>
      <c r="U31" s="398"/>
      <c r="V31" s="385"/>
      <c r="W31" s="385"/>
    </row>
    <row r="32" spans="1:26" x14ac:dyDescent="0.25">
      <c r="A32" s="385"/>
      <c r="B32" s="385"/>
      <c r="C32" s="385"/>
      <c r="D32" s="385"/>
      <c r="E32" s="385"/>
      <c r="F32" s="385"/>
      <c r="G32" s="385"/>
      <c r="H32" s="385"/>
      <c r="I32" s="385"/>
      <c r="J32" s="385"/>
      <c r="K32" s="385"/>
      <c r="L32" s="385"/>
      <c r="M32" s="385"/>
      <c r="N32" s="385"/>
      <c r="O32" s="377"/>
      <c r="P32" s="385"/>
      <c r="Q32" s="385"/>
      <c r="R32" s="415"/>
      <c r="S32" s="415"/>
      <c r="T32" s="415"/>
      <c r="U32" s="415"/>
      <c r="V32" s="415"/>
      <c r="W32" s="415"/>
    </row>
    <row r="33" spans="1:26" x14ac:dyDescent="0.25">
      <c r="A33" s="383" t="s">
        <v>571</v>
      </c>
      <c r="B33" s="53" t="s">
        <v>76</v>
      </c>
      <c r="C33" s="23" t="s">
        <v>77</v>
      </c>
      <c r="D33" s="384" t="s">
        <v>200</v>
      </c>
      <c r="E33" s="23" t="s">
        <v>199</v>
      </c>
      <c r="F33" s="23" t="s">
        <v>78</v>
      </c>
      <c r="G33" s="53" t="s">
        <v>212</v>
      </c>
      <c r="H33" s="53" t="s">
        <v>232</v>
      </c>
      <c r="I33" s="601" t="s">
        <v>209</v>
      </c>
      <c r="J33" s="601" t="s">
        <v>218</v>
      </c>
      <c r="K33" s="601" t="s">
        <v>210</v>
      </c>
      <c r="L33" s="601" t="s">
        <v>219</v>
      </c>
      <c r="M33" s="601" t="s">
        <v>211</v>
      </c>
      <c r="N33" s="601" t="s">
        <v>220</v>
      </c>
      <c r="O33" s="377"/>
      <c r="P33" s="385"/>
      <c r="Q33" s="383" t="s">
        <v>571</v>
      </c>
      <c r="R33" s="53" t="s">
        <v>76</v>
      </c>
      <c r="S33" s="23" t="s">
        <v>77</v>
      </c>
      <c r="T33" s="23" t="s">
        <v>199</v>
      </c>
      <c r="U33" s="23" t="s">
        <v>78</v>
      </c>
      <c r="V33" s="53" t="s">
        <v>212</v>
      </c>
      <c r="W33" s="53" t="s">
        <v>232</v>
      </c>
      <c r="X33" s="601" t="s">
        <v>210</v>
      </c>
      <c r="Y33" s="601" t="s">
        <v>211</v>
      </c>
      <c r="Z33" s="601" t="s">
        <v>237</v>
      </c>
    </row>
    <row r="34" spans="1:26" x14ac:dyDescent="0.25">
      <c r="A34" s="407" t="s">
        <v>170</v>
      </c>
      <c r="B34" s="736">
        <f t="shared" ref="B34:N34" si="5">B97*(1+$D$65)</f>
        <v>3612.96</v>
      </c>
      <c r="C34" s="736">
        <f t="shared" si="5"/>
        <v>3035.76</v>
      </c>
      <c r="D34" s="737">
        <f t="shared" si="5"/>
        <v>2309.84</v>
      </c>
      <c r="E34" s="737">
        <f t="shared" si="5"/>
        <v>2100.8000000000002</v>
      </c>
      <c r="F34" s="737">
        <f t="shared" si="5"/>
        <v>2038.4</v>
      </c>
      <c r="G34" s="737">
        <f t="shared" si="5"/>
        <v>1162.72</v>
      </c>
      <c r="H34" s="737">
        <f t="shared" si="5"/>
        <v>1162.72</v>
      </c>
      <c r="I34" s="737">
        <f t="shared" si="5"/>
        <v>3091.92</v>
      </c>
      <c r="J34" s="737">
        <f t="shared" si="5"/>
        <v>2745.6</v>
      </c>
      <c r="K34" s="737">
        <f t="shared" si="5"/>
        <v>2661.36</v>
      </c>
      <c r="L34" s="737">
        <f t="shared" si="5"/>
        <v>2225.6</v>
      </c>
      <c r="M34" s="737">
        <f t="shared" si="5"/>
        <v>2074.8000000000002</v>
      </c>
      <c r="N34" s="737">
        <f t="shared" si="5"/>
        <v>1687.92</v>
      </c>
      <c r="O34" s="377"/>
      <c r="P34" s="385"/>
      <c r="Q34" s="407" t="s">
        <v>174</v>
      </c>
      <c r="R34" s="736">
        <f t="shared" ref="R34:Z34" si="6">R97*(1+$D$65)</f>
        <v>5394</v>
      </c>
      <c r="S34" s="737">
        <f t="shared" si="6"/>
        <v>4088</v>
      </c>
      <c r="T34" s="737">
        <f t="shared" si="6"/>
        <v>3538</v>
      </c>
      <c r="U34" s="737">
        <f t="shared" si="6"/>
        <v>2528</v>
      </c>
      <c r="V34" s="737">
        <f t="shared" si="6"/>
        <v>1699</v>
      </c>
      <c r="W34" s="737">
        <f t="shared" si="6"/>
        <v>1699</v>
      </c>
      <c r="X34" s="737">
        <f t="shared" si="6"/>
        <v>3869</v>
      </c>
      <c r="Y34" s="737">
        <f t="shared" si="6"/>
        <v>3162</v>
      </c>
      <c r="Z34" s="737">
        <f t="shared" si="6"/>
        <v>2204</v>
      </c>
    </row>
    <row r="35" spans="1:26" x14ac:dyDescent="0.25">
      <c r="A35" s="377"/>
      <c r="B35" s="377"/>
      <c r="C35" s="377"/>
      <c r="D35" s="377"/>
      <c r="E35" s="377"/>
      <c r="G35" s="377"/>
      <c r="H35" s="377"/>
      <c r="I35" s="377"/>
      <c r="J35" s="377"/>
      <c r="K35" s="377"/>
      <c r="L35" s="377"/>
      <c r="M35" s="377"/>
      <c r="N35" s="377"/>
      <c r="O35" s="377"/>
      <c r="P35" s="377"/>
      <c r="Q35" s="377"/>
      <c r="R35" s="377"/>
      <c r="S35" s="644"/>
      <c r="T35" s="644"/>
      <c r="U35" s="377"/>
      <c r="W35" s="377"/>
    </row>
    <row r="36" spans="1:26" ht="15.75" x14ac:dyDescent="0.25">
      <c r="A36" s="403" t="s">
        <v>572</v>
      </c>
      <c r="B36" s="408"/>
      <c r="C36" s="408"/>
      <c r="D36" s="408"/>
      <c r="E36" s="377"/>
      <c r="G36" s="377"/>
      <c r="H36" s="377"/>
      <c r="I36" s="377"/>
      <c r="J36" s="377"/>
      <c r="K36" s="377"/>
      <c r="L36" s="377"/>
      <c r="M36" s="377"/>
      <c r="N36" s="377"/>
      <c r="O36" s="377"/>
      <c r="P36" s="377"/>
      <c r="Q36" s="377"/>
      <c r="R36" s="377"/>
      <c r="S36" s="377"/>
      <c r="T36" s="377"/>
      <c r="U36" s="377"/>
      <c r="W36" s="377"/>
    </row>
    <row r="37" spans="1:26" ht="17.25" hidden="1" customHeight="1" x14ac:dyDescent="0.25">
      <c r="A37" s="429" t="s">
        <v>573</v>
      </c>
      <c r="B37" s="408"/>
      <c r="C37" s="408"/>
      <c r="D37" s="408"/>
      <c r="E37" s="377"/>
      <c r="F37" s="377"/>
      <c r="G37" s="377"/>
      <c r="H37" s="377"/>
      <c r="I37" s="377"/>
      <c r="J37" s="377"/>
      <c r="K37" s="377"/>
      <c r="L37" s="377"/>
      <c r="M37" s="377"/>
      <c r="N37" s="377"/>
      <c r="O37" s="377"/>
      <c r="P37" s="377"/>
      <c r="Q37" s="377"/>
      <c r="R37" s="377"/>
      <c r="S37" s="377"/>
      <c r="T37" s="377"/>
      <c r="U37" s="377"/>
      <c r="V37" s="377"/>
      <c r="W37" s="377"/>
    </row>
    <row r="38" spans="1:26" hidden="1" x14ac:dyDescent="0.25">
      <c r="A38" s="383" t="s">
        <v>146</v>
      </c>
      <c r="B38" s="384" t="s">
        <v>478</v>
      </c>
      <c r="C38" s="384" t="s">
        <v>479</v>
      </c>
      <c r="D38" s="384" t="s">
        <v>574</v>
      </c>
      <c r="E38" s="384" t="s">
        <v>480</v>
      </c>
      <c r="F38" s="384" t="s">
        <v>481</v>
      </c>
      <c r="G38" s="385"/>
      <c r="H38" s="385"/>
      <c r="I38" s="385"/>
      <c r="J38" s="385"/>
      <c r="K38" s="385"/>
      <c r="L38" s="385"/>
      <c r="M38" s="385"/>
      <c r="N38" s="385"/>
      <c r="O38" s="377"/>
      <c r="P38" s="385"/>
      <c r="Q38" s="383" t="s">
        <v>146</v>
      </c>
      <c r="R38" s="384" t="s">
        <v>478</v>
      </c>
      <c r="S38" s="384" t="s">
        <v>479</v>
      </c>
      <c r="T38" s="384" t="s">
        <v>574</v>
      </c>
      <c r="U38" s="384" t="s">
        <v>480</v>
      </c>
      <c r="V38" s="384" t="s">
        <v>481</v>
      </c>
      <c r="W38" s="384"/>
    </row>
    <row r="39" spans="1:26" s="306" customFormat="1" ht="14.45" hidden="1" customHeight="1" x14ac:dyDescent="0.25">
      <c r="A39" s="390" t="s">
        <v>575</v>
      </c>
      <c r="B39" s="409">
        <v>1</v>
      </c>
      <c r="C39" s="409">
        <f>[6]Deviation!C8</f>
        <v>0.81</v>
      </c>
      <c r="D39" s="410" t="s">
        <v>576</v>
      </c>
      <c r="E39" s="410" t="s">
        <v>576</v>
      </c>
      <c r="F39" s="410" t="s">
        <v>576</v>
      </c>
      <c r="G39" s="390"/>
      <c r="H39" s="390"/>
      <c r="I39" s="390"/>
      <c r="J39" s="390"/>
      <c r="K39" s="390"/>
      <c r="L39" s="390"/>
      <c r="M39" s="390"/>
      <c r="N39" s="390"/>
      <c r="O39" s="377"/>
      <c r="P39" s="390"/>
      <c r="Q39" s="390" t="s">
        <v>575</v>
      </c>
      <c r="R39" s="409">
        <v>1</v>
      </c>
      <c r="S39" s="409">
        <f>[6]Deviation!C10</f>
        <v>0.86</v>
      </c>
      <c r="T39" s="410" t="s">
        <v>576</v>
      </c>
      <c r="U39" s="410" t="s">
        <v>576</v>
      </c>
      <c r="V39" s="410" t="s">
        <v>576</v>
      </c>
      <c r="W39" s="410"/>
    </row>
    <row r="40" spans="1:26" s="306" customFormat="1" ht="14.45" hidden="1" customHeight="1" x14ac:dyDescent="0.25">
      <c r="A40" s="411" t="s">
        <v>577</v>
      </c>
      <c r="B40" s="412" t="s">
        <v>576</v>
      </c>
      <c r="C40" s="413">
        <v>1</v>
      </c>
      <c r="D40" s="413">
        <f>[6]Deviation!H10</f>
        <v>0.62</v>
      </c>
      <c r="E40" s="412" t="s">
        <v>576</v>
      </c>
      <c r="F40" s="412" t="s">
        <v>576</v>
      </c>
      <c r="G40" s="390"/>
      <c r="H40" s="390"/>
      <c r="I40" s="390"/>
      <c r="J40" s="390"/>
      <c r="K40" s="390"/>
      <c r="L40" s="390"/>
      <c r="M40" s="390"/>
      <c r="N40" s="390"/>
      <c r="O40" s="377"/>
      <c r="P40" s="390"/>
      <c r="Q40" s="411" t="s">
        <v>577</v>
      </c>
      <c r="R40" s="412" t="s">
        <v>576</v>
      </c>
      <c r="S40" s="413">
        <v>1</v>
      </c>
      <c r="T40" s="413">
        <f>[6]Deviation!H10</f>
        <v>0.62</v>
      </c>
      <c r="U40" s="412" t="s">
        <v>576</v>
      </c>
      <c r="V40" s="412" t="s">
        <v>576</v>
      </c>
      <c r="W40" s="412"/>
    </row>
    <row r="41" spans="1:26" s="306" customFormat="1" ht="14.45" hidden="1" customHeight="1" x14ac:dyDescent="0.25">
      <c r="A41" s="390" t="s">
        <v>578</v>
      </c>
      <c r="B41" s="410" t="s">
        <v>576</v>
      </c>
      <c r="C41" s="410" t="s">
        <v>576</v>
      </c>
      <c r="D41" s="410" t="s">
        <v>576</v>
      </c>
      <c r="E41" s="409">
        <f>[6]Deviation!L8</f>
        <v>1</v>
      </c>
      <c r="F41" s="409">
        <v>1</v>
      </c>
      <c r="G41" s="390"/>
      <c r="H41" s="390"/>
      <c r="I41" s="390"/>
      <c r="J41" s="390"/>
      <c r="K41" s="390"/>
      <c r="L41" s="390"/>
      <c r="M41" s="390"/>
      <c r="N41" s="390"/>
      <c r="O41" s="377"/>
      <c r="P41" s="390"/>
      <c r="Q41" s="390" t="s">
        <v>579</v>
      </c>
      <c r="R41" s="410" t="s">
        <v>576</v>
      </c>
      <c r="S41" s="410" t="s">
        <v>576</v>
      </c>
      <c r="T41" s="410" t="s">
        <v>576</v>
      </c>
      <c r="U41" s="409">
        <v>1</v>
      </c>
      <c r="V41" s="409">
        <f>[6]Deviation!K10</f>
        <v>0.68</v>
      </c>
      <c r="W41" s="409"/>
    </row>
    <row r="42" spans="1:26" hidden="1" x14ac:dyDescent="0.25">
      <c r="A42" s="385"/>
      <c r="B42" s="414"/>
      <c r="C42" s="414"/>
      <c r="D42" s="414"/>
      <c r="E42" s="415"/>
      <c r="F42" s="415"/>
      <c r="G42" s="385"/>
      <c r="H42" s="385"/>
      <c r="I42" s="385"/>
      <c r="J42" s="385"/>
      <c r="K42" s="385"/>
      <c r="L42" s="385"/>
      <c r="M42" s="385"/>
      <c r="N42" s="385"/>
      <c r="O42" s="377"/>
      <c r="P42" s="385"/>
      <c r="Q42" s="385"/>
      <c r="R42" s="414"/>
      <c r="S42" s="414"/>
      <c r="T42" s="414"/>
      <c r="U42" s="415"/>
      <c r="V42" s="415"/>
      <c r="W42" s="415"/>
    </row>
    <row r="43" spans="1:26" hidden="1" x14ac:dyDescent="0.25">
      <c r="A43" s="383" t="s">
        <v>580</v>
      </c>
      <c r="B43" s="416">
        <v>0.2</v>
      </c>
      <c r="C43" s="416">
        <v>0.1</v>
      </c>
      <c r="D43" s="416">
        <v>0</v>
      </c>
      <c r="E43" s="415"/>
      <c r="F43" s="385"/>
      <c r="G43" s="385"/>
      <c r="H43" s="385"/>
      <c r="I43" s="385"/>
      <c r="J43" s="385"/>
      <c r="K43" s="385"/>
      <c r="L43" s="385"/>
      <c r="M43" s="385"/>
      <c r="N43" s="385"/>
      <c r="O43" s="377"/>
      <c r="P43" s="385"/>
      <c r="Q43" s="383" t="s">
        <v>580</v>
      </c>
      <c r="R43" s="416">
        <v>0.2</v>
      </c>
      <c r="S43" s="416">
        <v>0.1</v>
      </c>
      <c r="T43" s="416">
        <v>0</v>
      </c>
      <c r="U43" s="417"/>
      <c r="V43" s="385"/>
      <c r="W43" s="385"/>
    </row>
    <row r="44" spans="1:26" s="306" customFormat="1" ht="14.45" hidden="1" customHeight="1" x14ac:dyDescent="0.25">
      <c r="A44" s="390" t="s">
        <v>581</v>
      </c>
      <c r="B44" s="409">
        <v>1</v>
      </c>
      <c r="C44" s="418">
        <f>[6]Deviation!C32</f>
        <v>1.0625</v>
      </c>
      <c r="D44" s="418">
        <f>[6]Deviation!C31</f>
        <v>1.125</v>
      </c>
      <c r="E44" s="390"/>
      <c r="F44" s="390"/>
      <c r="G44" s="390"/>
      <c r="H44" s="390"/>
      <c r="I44" s="390"/>
      <c r="J44" s="390"/>
      <c r="K44" s="390"/>
      <c r="L44" s="390"/>
      <c r="M44" s="390"/>
      <c r="N44" s="390"/>
      <c r="O44" s="377"/>
      <c r="P44" s="390"/>
      <c r="Q44" s="390" t="s">
        <v>581</v>
      </c>
      <c r="R44" s="409">
        <f t="shared" ref="R44:T45" si="7">B44</f>
        <v>1</v>
      </c>
      <c r="S44" s="409">
        <f t="shared" si="7"/>
        <v>1.0625</v>
      </c>
      <c r="T44" s="409">
        <f t="shared" si="7"/>
        <v>1.125</v>
      </c>
      <c r="U44" s="390"/>
      <c r="V44" s="390"/>
      <c r="W44" s="390"/>
    </row>
    <row r="45" spans="1:26" s="306" customFormat="1" ht="14.45" hidden="1" customHeight="1" x14ac:dyDescent="0.25">
      <c r="A45" s="390" t="s">
        <v>582</v>
      </c>
      <c r="B45" s="409">
        <v>1</v>
      </c>
      <c r="C45" s="418">
        <f>[6]Deviation!C25</f>
        <v>1.03</v>
      </c>
      <c r="D45" s="418">
        <f>[6]Deviation!C24</f>
        <v>1.06</v>
      </c>
      <c r="E45" s="390"/>
      <c r="F45" s="390"/>
      <c r="G45" s="390"/>
      <c r="H45" s="390"/>
      <c r="I45" s="390"/>
      <c r="J45" s="390"/>
      <c r="K45" s="390"/>
      <c r="L45" s="390"/>
      <c r="M45" s="390"/>
      <c r="N45" s="390"/>
      <c r="O45" s="377"/>
      <c r="P45" s="390"/>
      <c r="Q45" s="411" t="s">
        <v>582</v>
      </c>
      <c r="R45" s="413">
        <f t="shared" si="7"/>
        <v>1</v>
      </c>
      <c r="S45" s="413">
        <f t="shared" si="7"/>
        <v>1.03</v>
      </c>
      <c r="T45" s="413">
        <f t="shared" si="7"/>
        <v>1.06</v>
      </c>
      <c r="U45" s="390"/>
      <c r="V45" s="390"/>
      <c r="W45" s="390"/>
    </row>
    <row r="46" spans="1:26" ht="14.45" hidden="1" customHeight="1" x14ac:dyDescent="0.25">
      <c r="A46" s="385"/>
      <c r="B46" s="385"/>
      <c r="C46" s="385"/>
      <c r="D46" s="385"/>
      <c r="E46" s="385"/>
      <c r="F46" s="385"/>
      <c r="G46" s="385"/>
      <c r="H46" s="385"/>
      <c r="I46" s="385"/>
      <c r="J46" s="385"/>
      <c r="K46" s="385"/>
      <c r="L46" s="385"/>
      <c r="M46" s="385"/>
      <c r="N46" s="385"/>
      <c r="O46" s="377"/>
      <c r="P46" s="385"/>
      <c r="Q46" s="385"/>
      <c r="R46" s="385"/>
      <c r="S46" s="385"/>
      <c r="T46" s="385"/>
      <c r="U46" s="385"/>
      <c r="V46" s="385"/>
      <c r="W46" s="385"/>
    </row>
    <row r="47" spans="1:26" hidden="1" x14ac:dyDescent="0.25">
      <c r="A47" s="383" t="s">
        <v>583</v>
      </c>
      <c r="B47" s="419" t="s">
        <v>584</v>
      </c>
      <c r="C47" s="385"/>
      <c r="D47" s="385"/>
      <c r="E47" s="385"/>
      <c r="F47" s="385"/>
      <c r="G47" s="385"/>
      <c r="H47" s="385"/>
      <c r="I47" s="385"/>
      <c r="J47" s="385"/>
      <c r="K47" s="385"/>
      <c r="L47" s="385"/>
      <c r="M47" s="385"/>
      <c r="N47" s="385"/>
      <c r="O47" s="377"/>
      <c r="P47" s="385"/>
      <c r="Q47" s="383" t="s">
        <v>583</v>
      </c>
      <c r="R47" s="419" t="s">
        <v>584</v>
      </c>
      <c r="S47" s="385"/>
      <c r="T47" s="385"/>
      <c r="U47" s="385"/>
      <c r="V47" s="385"/>
      <c r="W47" s="385"/>
    </row>
    <row r="48" spans="1:26" s="306" customFormat="1" ht="14.45" hidden="1" customHeight="1" x14ac:dyDescent="0.25">
      <c r="A48" s="390" t="s">
        <v>585</v>
      </c>
      <c r="B48" s="420">
        <f>[6]Deviation!C39</f>
        <v>1.02</v>
      </c>
      <c r="C48" s="390"/>
      <c r="D48" s="390"/>
      <c r="E48" s="390"/>
      <c r="F48" s="390"/>
      <c r="G48" s="390"/>
      <c r="H48" s="390"/>
      <c r="I48" s="390"/>
      <c r="J48" s="390"/>
      <c r="K48" s="390"/>
      <c r="L48" s="390"/>
      <c r="M48" s="390"/>
      <c r="N48" s="390"/>
      <c r="O48" s="377"/>
      <c r="P48" s="390"/>
      <c r="Q48" s="390" t="s">
        <v>585</v>
      </c>
      <c r="R48" s="418">
        <f>[6]Deviation!F39</f>
        <v>1.02</v>
      </c>
      <c r="S48" s="390"/>
      <c r="T48" s="390"/>
      <c r="U48" s="390"/>
      <c r="V48" s="390"/>
      <c r="W48" s="390"/>
    </row>
    <row r="49" spans="1:23" s="306" customFormat="1" ht="14.45" hidden="1" customHeight="1" x14ac:dyDescent="0.25">
      <c r="A49" s="411" t="s">
        <v>586</v>
      </c>
      <c r="B49" s="421">
        <f>[6]Deviation!C42</f>
        <v>1.0349999999999999</v>
      </c>
      <c r="C49" s="390"/>
      <c r="D49" s="390"/>
      <c r="E49" s="390"/>
      <c r="F49" s="390"/>
      <c r="G49" s="390"/>
      <c r="H49" s="390"/>
      <c r="I49" s="390"/>
      <c r="J49" s="390"/>
      <c r="K49" s="390"/>
      <c r="L49" s="390"/>
      <c r="M49" s="390"/>
      <c r="N49" s="390"/>
      <c r="O49" s="377"/>
      <c r="P49" s="390"/>
      <c r="Q49" s="411" t="s">
        <v>586</v>
      </c>
      <c r="R49" s="422">
        <f>[6]Deviation!F42</f>
        <v>1.0349999999999999</v>
      </c>
      <c r="S49" s="390"/>
      <c r="T49" s="390"/>
      <c r="U49" s="390"/>
      <c r="V49" s="390"/>
      <c r="W49" s="390"/>
    </row>
    <row r="50" spans="1:23" s="306" customFormat="1" ht="14.45" hidden="1" customHeight="1" x14ac:dyDescent="0.25">
      <c r="A50" s="390" t="s">
        <v>587</v>
      </c>
      <c r="B50" s="420">
        <f>[6]Deviation!C45</f>
        <v>1.0449999999999999</v>
      </c>
      <c r="C50" s="390"/>
      <c r="D50" s="390"/>
      <c r="E50" s="390"/>
      <c r="F50" s="390"/>
      <c r="G50" s="390"/>
      <c r="H50" s="390"/>
      <c r="I50" s="390"/>
      <c r="J50" s="390"/>
      <c r="K50" s="390"/>
      <c r="L50" s="390"/>
      <c r="M50" s="390"/>
      <c r="N50" s="390"/>
      <c r="O50" s="377"/>
      <c r="P50" s="390"/>
      <c r="Q50" s="390" t="s">
        <v>587</v>
      </c>
      <c r="R50" s="418">
        <f>[6]Deviation!F45</f>
        <v>1.0449999999999999</v>
      </c>
      <c r="S50" s="390"/>
      <c r="T50" s="390"/>
      <c r="U50" s="390"/>
      <c r="V50" s="390"/>
      <c r="W50" s="390"/>
    </row>
    <row r="51" spans="1:23" s="306" customFormat="1" ht="14.45" hidden="1" customHeight="1" x14ac:dyDescent="0.25">
      <c r="A51" s="411" t="s">
        <v>588</v>
      </c>
      <c r="B51" s="421">
        <f>B50</f>
        <v>1.0449999999999999</v>
      </c>
      <c r="C51" s="390"/>
      <c r="D51" s="390"/>
      <c r="E51" s="390"/>
      <c r="F51" s="390"/>
      <c r="G51" s="390"/>
      <c r="H51" s="390"/>
      <c r="I51" s="390"/>
      <c r="J51" s="390"/>
      <c r="K51" s="390"/>
      <c r="L51" s="390"/>
      <c r="M51" s="390"/>
      <c r="N51" s="390"/>
      <c r="O51" s="377"/>
      <c r="P51" s="390"/>
      <c r="Q51" s="390"/>
      <c r="R51" s="423"/>
      <c r="S51" s="390"/>
      <c r="T51" s="390"/>
      <c r="U51" s="390"/>
      <c r="V51" s="390"/>
      <c r="W51" s="390"/>
    </row>
    <row r="52" spans="1:23" s="306" customFormat="1" ht="14.45" hidden="1" customHeight="1" x14ac:dyDescent="0.25">
      <c r="A52" s="390" t="s">
        <v>589</v>
      </c>
      <c r="B52" s="420">
        <f>[6]Deviation!C48</f>
        <v>1.05</v>
      </c>
      <c r="C52" s="390"/>
      <c r="D52" s="390"/>
      <c r="E52" s="390"/>
      <c r="F52" s="390"/>
      <c r="G52" s="390"/>
      <c r="H52" s="390"/>
      <c r="I52" s="390"/>
      <c r="J52" s="390"/>
      <c r="K52" s="390"/>
      <c r="L52" s="390"/>
      <c r="M52" s="390"/>
      <c r="N52" s="390"/>
      <c r="O52" s="377"/>
      <c r="P52" s="390"/>
      <c r="Q52" s="390"/>
      <c r="R52" s="423"/>
      <c r="S52" s="390"/>
      <c r="T52" s="390"/>
      <c r="U52" s="390"/>
      <c r="V52" s="390"/>
      <c r="W52" s="390"/>
    </row>
    <row r="53" spans="1:23" hidden="1" x14ac:dyDescent="0.25">
      <c r="A53" s="385"/>
      <c r="B53" s="385"/>
      <c r="C53" s="385"/>
      <c r="D53" s="385"/>
      <c r="E53" s="385"/>
      <c r="F53" s="385"/>
      <c r="G53" s="385"/>
      <c r="H53" s="385"/>
      <c r="I53" s="385"/>
      <c r="J53" s="385"/>
      <c r="K53" s="385"/>
      <c r="L53" s="385"/>
      <c r="M53" s="385"/>
      <c r="N53" s="385"/>
      <c r="O53" s="377"/>
      <c r="P53" s="385"/>
      <c r="Q53" s="385"/>
      <c r="R53" s="385"/>
      <c r="S53" s="385"/>
      <c r="T53" s="385"/>
      <c r="U53" s="385"/>
      <c r="V53" s="385"/>
      <c r="W53" s="385"/>
    </row>
    <row r="54" spans="1:23" hidden="1" x14ac:dyDescent="0.25">
      <c r="A54" s="383" t="s">
        <v>590</v>
      </c>
      <c r="B54" s="416" t="s">
        <v>591</v>
      </c>
      <c r="C54" s="416" t="s">
        <v>592</v>
      </c>
      <c r="D54" s="416" t="s">
        <v>593</v>
      </c>
      <c r="E54" s="416" t="s">
        <v>594</v>
      </c>
      <c r="F54" s="385"/>
      <c r="G54" s="385"/>
      <c r="H54" s="385"/>
      <c r="I54" s="385"/>
      <c r="J54" s="385"/>
      <c r="K54" s="385"/>
      <c r="L54" s="385"/>
      <c r="M54" s="385"/>
      <c r="N54" s="385"/>
      <c r="O54" s="377"/>
      <c r="P54" s="385"/>
      <c r="Q54" s="383" t="s">
        <v>159</v>
      </c>
      <c r="R54" s="416" t="s">
        <v>591</v>
      </c>
      <c r="S54" s="416" t="s">
        <v>592</v>
      </c>
      <c r="T54" s="416" t="s">
        <v>593</v>
      </c>
      <c r="U54" s="416" t="s">
        <v>594</v>
      </c>
      <c r="V54" s="385"/>
      <c r="W54" s="385"/>
    </row>
    <row r="55" spans="1:23" s="306" customFormat="1" ht="14.45" hidden="1" customHeight="1" x14ac:dyDescent="0.25">
      <c r="A55" s="390" t="s">
        <v>595</v>
      </c>
      <c r="B55" s="410" t="s">
        <v>576</v>
      </c>
      <c r="C55" s="420">
        <v>1</v>
      </c>
      <c r="D55" s="420">
        <f>[6]Deviation!C17</f>
        <v>0.98</v>
      </c>
      <c r="E55" s="420">
        <f>[6]Deviation!C18</f>
        <v>0.96499999999999997</v>
      </c>
      <c r="F55" s="390"/>
      <c r="G55" s="390"/>
      <c r="H55" s="390"/>
      <c r="I55" s="390"/>
      <c r="J55" s="390"/>
      <c r="K55" s="390"/>
      <c r="L55" s="390"/>
      <c r="M55" s="390"/>
      <c r="N55" s="390"/>
      <c r="O55" s="377"/>
      <c r="P55" s="390"/>
      <c r="Q55" s="390" t="s">
        <v>595</v>
      </c>
      <c r="R55" s="410" t="s">
        <v>576</v>
      </c>
      <c r="S55" s="420">
        <v>1</v>
      </c>
      <c r="T55" s="420">
        <f>[6]Deviation!F17</f>
        <v>1.07</v>
      </c>
      <c r="U55" s="420">
        <f>[6]Deviation!F18</f>
        <v>0</v>
      </c>
      <c r="V55" s="390"/>
      <c r="W55" s="390"/>
    </row>
    <row r="56" spans="1:23" s="306" customFormat="1" ht="14.45" hidden="1" customHeight="1" x14ac:dyDescent="0.25">
      <c r="A56" s="411" t="s">
        <v>596</v>
      </c>
      <c r="B56" s="421">
        <f>[6]Deviation!D16</f>
        <v>1.02</v>
      </c>
      <c r="C56" s="421">
        <v>1</v>
      </c>
      <c r="D56" s="424" t="s">
        <v>576</v>
      </c>
      <c r="E56" s="412" t="s">
        <v>576</v>
      </c>
      <c r="F56" s="390"/>
      <c r="G56" s="390"/>
      <c r="H56" s="390"/>
      <c r="I56" s="390"/>
      <c r="J56" s="390"/>
      <c r="K56" s="390"/>
      <c r="L56" s="390"/>
      <c r="M56" s="390"/>
      <c r="N56" s="390"/>
      <c r="O56" s="377"/>
      <c r="P56" s="390"/>
      <c r="Q56" s="411" t="s">
        <v>597</v>
      </c>
      <c r="R56" s="421">
        <f>[6]Deviation!G16</f>
        <v>1.04</v>
      </c>
      <c r="S56" s="421">
        <v>1</v>
      </c>
      <c r="T56" s="421">
        <f>T55</f>
        <v>1.07</v>
      </c>
      <c r="U56" s="412" t="s">
        <v>576</v>
      </c>
      <c r="V56" s="390"/>
      <c r="W56" s="390"/>
    </row>
    <row r="57" spans="1:23" ht="6" hidden="1" customHeight="1" x14ac:dyDescent="0.25">
      <c r="A57" s="385"/>
      <c r="B57" s="385"/>
      <c r="C57" s="415"/>
      <c r="D57" s="414"/>
      <c r="E57" s="414"/>
      <c r="F57" s="385"/>
      <c r="G57" s="385"/>
      <c r="H57" s="385"/>
      <c r="I57" s="385"/>
      <c r="J57" s="385"/>
      <c r="K57" s="385"/>
      <c r="L57" s="385"/>
      <c r="M57" s="385"/>
      <c r="N57" s="385"/>
      <c r="O57" s="377"/>
      <c r="P57" s="385"/>
      <c r="Q57" s="385"/>
      <c r="R57" s="385"/>
      <c r="S57" s="385"/>
      <c r="T57" s="385"/>
      <c r="U57" s="385"/>
      <c r="V57" s="385"/>
      <c r="W57" s="385"/>
    </row>
    <row r="58" spans="1:23" ht="15" hidden="1" customHeight="1" x14ac:dyDescent="0.25">
      <c r="A58" s="385"/>
      <c r="B58" s="385"/>
      <c r="C58" s="415"/>
      <c r="D58" s="414"/>
      <c r="E58" s="414"/>
      <c r="F58" s="385"/>
      <c r="G58" s="385"/>
      <c r="H58" s="385"/>
      <c r="I58" s="385"/>
      <c r="J58" s="385"/>
      <c r="K58" s="385"/>
      <c r="L58" s="385"/>
      <c r="M58" s="385"/>
      <c r="N58" s="385"/>
      <c r="O58" s="377"/>
      <c r="P58" s="385"/>
      <c r="Q58" s="385"/>
      <c r="R58" s="385"/>
      <c r="S58" s="385"/>
      <c r="T58" s="385"/>
      <c r="U58" s="385"/>
      <c r="V58" s="385"/>
      <c r="W58" s="385"/>
    </row>
    <row r="59" spans="1:23" x14ac:dyDescent="0.25">
      <c r="A59" s="425" t="s">
        <v>598</v>
      </c>
      <c r="B59" s="385"/>
      <c r="C59" s="415"/>
      <c r="D59" s="414"/>
      <c r="E59" s="414"/>
      <c r="F59" s="385"/>
      <c r="G59" s="385"/>
      <c r="H59" s="385"/>
      <c r="I59" s="385"/>
      <c r="J59" s="385"/>
      <c r="K59" s="385"/>
      <c r="L59" s="385"/>
      <c r="M59" s="385"/>
      <c r="N59" s="385"/>
      <c r="O59" s="385"/>
      <c r="P59" s="385"/>
      <c r="S59" s="385"/>
      <c r="T59" s="385"/>
      <c r="U59" s="385"/>
      <c r="V59" s="385"/>
      <c r="W59" s="385"/>
    </row>
    <row r="62" spans="1:23" ht="18.75" x14ac:dyDescent="0.3">
      <c r="A62" s="771" t="s">
        <v>599</v>
      </c>
      <c r="C62" s="641" t="s">
        <v>600</v>
      </c>
      <c r="D62" s="772">
        <v>0.08</v>
      </c>
    </row>
    <row r="63" spans="1:23" x14ac:dyDescent="0.25">
      <c r="C63" s="646" t="s">
        <v>601</v>
      </c>
      <c r="D63" s="28">
        <f>Inputs!eff_date</f>
        <v>0</v>
      </c>
      <c r="E63" s="773"/>
    </row>
    <row r="64" spans="1:23" ht="21" x14ac:dyDescent="0.35">
      <c r="A64" s="376" t="s">
        <v>555</v>
      </c>
      <c r="B64" s="377"/>
      <c r="C64" s="774" t="s">
        <v>602</v>
      </c>
      <c r="D64" s="775">
        <f>IF(MONTH(D63)&lt;4,0,IF(MONTH(D63)&lt;7,1,IF(MONTH(D63)&lt;10,2,3)))+(YEAR(D63)-2025)*4</f>
        <v>-500</v>
      </c>
      <c r="E64" s="377"/>
      <c r="F64" s="377"/>
      <c r="G64" s="377"/>
      <c r="H64" s="377"/>
      <c r="I64" s="377"/>
      <c r="J64" s="377"/>
      <c r="K64" s="377"/>
      <c r="L64" s="377"/>
      <c r="M64" s="377"/>
      <c r="N64" s="377"/>
      <c r="O64" s="377"/>
      <c r="P64" s="377"/>
      <c r="Q64" s="377"/>
      <c r="R64" s="377"/>
      <c r="S64" s="377"/>
      <c r="T64" s="377"/>
      <c r="U64" s="377"/>
      <c r="V64" s="377"/>
      <c r="W64" s="377"/>
    </row>
    <row r="65" spans="1:26" ht="21" x14ac:dyDescent="0.35">
      <c r="A65" s="376"/>
      <c r="B65" s="377"/>
      <c r="C65" s="774" t="s">
        <v>603</v>
      </c>
      <c r="D65" s="776">
        <f>MAX(0,(1+D62)^(D64/4)-1)</f>
        <v>0</v>
      </c>
      <c r="E65" s="377"/>
      <c r="F65" s="377"/>
      <c r="G65" s="377"/>
      <c r="H65" s="377"/>
      <c r="I65" s="377"/>
      <c r="J65" s="377"/>
      <c r="K65" s="377"/>
      <c r="L65" s="377"/>
      <c r="M65" s="377"/>
      <c r="N65" s="377"/>
      <c r="O65" s="377"/>
      <c r="P65" s="377"/>
      <c r="Q65" s="377"/>
      <c r="R65" s="377"/>
      <c r="S65" s="377"/>
      <c r="T65" s="377"/>
      <c r="U65" s="377"/>
      <c r="V65" s="377"/>
      <c r="W65" s="377"/>
    </row>
    <row r="66" spans="1:26" ht="18.75" x14ac:dyDescent="0.25">
      <c r="A66" s="378" t="s">
        <v>556</v>
      </c>
      <c r="B66" s="379"/>
      <c r="C66" s="379"/>
      <c r="D66" s="379"/>
      <c r="E66" s="379"/>
      <c r="F66" s="379"/>
      <c r="G66" s="379"/>
      <c r="H66" s="379"/>
      <c r="I66" s="379"/>
      <c r="J66" s="379"/>
      <c r="K66" s="379"/>
      <c r="L66" s="379"/>
      <c r="M66" s="379"/>
      <c r="N66" s="379"/>
      <c r="O66" s="379"/>
      <c r="P66" s="379"/>
      <c r="Q66" s="378" t="s">
        <v>93</v>
      </c>
      <c r="R66" s="379"/>
      <c r="S66" s="379"/>
      <c r="T66" s="379"/>
      <c r="U66" s="379"/>
      <c r="V66" s="380"/>
      <c r="W66" s="380"/>
      <c r="X66" s="306"/>
      <c r="Y66" s="306"/>
      <c r="Z66" s="306"/>
    </row>
    <row r="67" spans="1:26" ht="18.75" x14ac:dyDescent="0.25">
      <c r="A67" s="380"/>
      <c r="B67" s="379"/>
      <c r="C67" s="379"/>
      <c r="D67" s="379"/>
      <c r="E67" s="379"/>
      <c r="F67" s="379"/>
      <c r="G67" s="379"/>
      <c r="H67" s="379"/>
      <c r="I67" s="379"/>
      <c r="J67" s="379"/>
      <c r="K67" s="379"/>
      <c r="L67" s="379"/>
      <c r="M67" s="379"/>
      <c r="N67" s="379"/>
      <c r="O67" s="379"/>
      <c r="P67" s="379"/>
      <c r="Q67" s="380"/>
      <c r="R67" s="379"/>
      <c r="S67" s="379"/>
      <c r="T67" s="379"/>
      <c r="U67" s="379"/>
      <c r="V67" s="380"/>
      <c r="W67" s="380"/>
      <c r="X67" s="306"/>
      <c r="Y67" s="306"/>
      <c r="Z67" s="306"/>
    </row>
    <row r="68" spans="1:26" ht="15.75" x14ac:dyDescent="0.25">
      <c r="A68" s="381" t="s">
        <v>557</v>
      </c>
      <c r="B68" s="377"/>
      <c r="C68" s="377"/>
      <c r="D68" s="377"/>
      <c r="E68" s="377"/>
      <c r="F68" s="377"/>
      <c r="G68" s="382"/>
      <c r="H68" s="382"/>
      <c r="I68" s="382"/>
      <c r="J68" s="382"/>
      <c r="K68" s="382"/>
      <c r="L68" s="382"/>
      <c r="M68" s="382"/>
      <c r="N68" s="382"/>
      <c r="O68" s="382"/>
      <c r="P68" s="382"/>
      <c r="Q68" s="381" t="s">
        <v>557</v>
      </c>
      <c r="R68" s="377"/>
      <c r="S68" s="377"/>
      <c r="T68" s="377"/>
      <c r="U68" s="377"/>
      <c r="V68" s="377"/>
      <c r="W68" s="377"/>
    </row>
    <row r="69" spans="1:26" x14ac:dyDescent="0.25">
      <c r="A69" s="377"/>
      <c r="B69" s="377"/>
      <c r="C69" s="377"/>
      <c r="D69" s="377"/>
      <c r="E69" s="377"/>
      <c r="F69" s="377"/>
      <c r="G69" s="377"/>
      <c r="H69" s="377"/>
      <c r="I69" s="377"/>
      <c r="J69" s="377"/>
      <c r="K69" s="377"/>
      <c r="L69" s="377"/>
      <c r="M69" s="377"/>
      <c r="N69" s="377"/>
      <c r="O69" s="377"/>
      <c r="P69" s="377"/>
      <c r="Q69" s="377"/>
      <c r="R69" s="377"/>
      <c r="S69" s="377"/>
      <c r="T69" s="377"/>
      <c r="U69" s="377"/>
      <c r="V69" s="377"/>
      <c r="W69" s="377"/>
    </row>
    <row r="70" spans="1:26" x14ac:dyDescent="0.25">
      <c r="A70" s="383" t="s">
        <v>144</v>
      </c>
      <c r="B70" s="384" t="s">
        <v>513</v>
      </c>
      <c r="C70" s="384" t="s">
        <v>514</v>
      </c>
      <c r="D70" s="384" t="s">
        <v>515</v>
      </c>
      <c r="E70" s="384" t="s">
        <v>516</v>
      </c>
      <c r="F70" s="384" t="s">
        <v>517</v>
      </c>
      <c r="G70" s="385"/>
      <c r="H70" s="385"/>
      <c r="I70" s="385"/>
      <c r="J70" s="385"/>
      <c r="K70" s="385"/>
      <c r="L70" s="385"/>
      <c r="M70" s="385"/>
      <c r="N70" s="385"/>
      <c r="O70" s="385"/>
      <c r="P70" s="385"/>
      <c r="Q70" s="386" t="s">
        <v>144</v>
      </c>
      <c r="R70" s="384" t="s">
        <v>513</v>
      </c>
      <c r="S70" s="384" t="s">
        <v>514</v>
      </c>
      <c r="T70" s="384" t="s">
        <v>515</v>
      </c>
      <c r="U70" s="387"/>
      <c r="V70" s="385"/>
      <c r="W70" s="385"/>
    </row>
    <row r="71" spans="1:26" x14ac:dyDescent="0.25">
      <c r="A71" s="388" t="s">
        <v>468</v>
      </c>
      <c r="B71" s="733">
        <v>4702</v>
      </c>
      <c r="C71" s="733">
        <v>3576</v>
      </c>
      <c r="D71" s="733">
        <v>1853</v>
      </c>
      <c r="E71" s="733">
        <v>994</v>
      </c>
      <c r="F71" s="733">
        <v>905</v>
      </c>
      <c r="G71" s="390"/>
      <c r="H71" s="390"/>
      <c r="I71" s="390"/>
      <c r="J71" s="390"/>
      <c r="K71" s="390"/>
      <c r="L71" s="390"/>
      <c r="M71" s="390"/>
      <c r="N71" s="390"/>
      <c r="O71" s="390"/>
      <c r="P71" s="390"/>
      <c r="Q71" s="388" t="s">
        <v>468</v>
      </c>
      <c r="R71" s="733">
        <v>4015</v>
      </c>
      <c r="S71" s="733">
        <v>3245</v>
      </c>
      <c r="T71" s="733">
        <v>1783</v>
      </c>
      <c r="U71" s="387"/>
      <c r="V71" s="390"/>
      <c r="W71" s="390"/>
      <c r="X71" s="306"/>
      <c r="Y71" s="306"/>
      <c r="Z71" s="306"/>
    </row>
    <row r="72" spans="1:26" x14ac:dyDescent="0.25">
      <c r="A72" s="391" t="s">
        <v>470</v>
      </c>
      <c r="B72" s="734">
        <v>6025</v>
      </c>
      <c r="C72" s="734">
        <v>4579</v>
      </c>
      <c r="D72" s="734">
        <v>2361</v>
      </c>
      <c r="E72" s="734">
        <v>1258</v>
      </c>
      <c r="F72" s="734">
        <v>1144</v>
      </c>
      <c r="G72" s="390"/>
      <c r="H72" s="390"/>
      <c r="I72" s="390"/>
      <c r="J72" s="390"/>
      <c r="K72" s="390"/>
      <c r="L72" s="390"/>
      <c r="M72" s="390"/>
      <c r="N72" s="390"/>
      <c r="O72" s="390"/>
      <c r="P72" s="390"/>
      <c r="Q72" s="391" t="s">
        <v>469</v>
      </c>
      <c r="R72" s="734">
        <v>5763</v>
      </c>
      <c r="S72" s="734">
        <v>4654</v>
      </c>
      <c r="T72" s="734">
        <v>2550</v>
      </c>
      <c r="U72" s="387"/>
      <c r="V72" s="390"/>
      <c r="W72" s="390"/>
      <c r="X72" s="306"/>
      <c r="Y72" s="306"/>
      <c r="Z72" s="306"/>
    </row>
    <row r="73" spans="1:26" x14ac:dyDescent="0.25">
      <c r="A73" s="388" t="s">
        <v>472</v>
      </c>
      <c r="B73" s="735">
        <v>8616</v>
      </c>
      <c r="C73" s="735">
        <v>6541</v>
      </c>
      <c r="D73" s="735">
        <v>3355</v>
      </c>
      <c r="E73" s="735">
        <v>1775</v>
      </c>
      <c r="F73" s="735">
        <v>1611</v>
      </c>
      <c r="G73" s="390"/>
      <c r="H73" s="390"/>
      <c r="I73" s="390"/>
      <c r="J73" s="390"/>
      <c r="K73" s="390"/>
      <c r="L73" s="390"/>
      <c r="M73" s="390"/>
      <c r="N73" s="390"/>
      <c r="O73" s="390"/>
      <c r="P73" s="390"/>
      <c r="Q73" s="388" t="s">
        <v>471</v>
      </c>
      <c r="R73" s="735">
        <v>10225</v>
      </c>
      <c r="S73" s="735">
        <v>8250</v>
      </c>
      <c r="T73" s="735">
        <v>4512</v>
      </c>
      <c r="U73" s="387"/>
      <c r="V73" s="392"/>
      <c r="W73" s="392"/>
      <c r="X73" s="306"/>
      <c r="Y73" s="306"/>
      <c r="Z73" s="306"/>
    </row>
    <row r="74" spans="1:26" x14ac:dyDescent="0.25">
      <c r="A74" s="391" t="s">
        <v>474</v>
      </c>
      <c r="B74" s="734">
        <v>12854</v>
      </c>
      <c r="C74" s="734">
        <v>9752</v>
      </c>
      <c r="D74" s="734">
        <v>4980</v>
      </c>
      <c r="E74" s="734">
        <v>2621</v>
      </c>
      <c r="F74" s="734">
        <v>2372</v>
      </c>
      <c r="G74" s="390"/>
      <c r="H74" s="730"/>
      <c r="I74" s="730"/>
      <c r="J74" s="390"/>
      <c r="K74" s="390"/>
      <c r="L74" s="390"/>
      <c r="M74" s="390"/>
      <c r="N74" s="390"/>
      <c r="O74" s="390"/>
      <c r="P74" s="390"/>
      <c r="Q74" s="391" t="s">
        <v>473</v>
      </c>
      <c r="R74" s="734">
        <v>22951</v>
      </c>
      <c r="S74" s="734">
        <v>18515</v>
      </c>
      <c r="T74" s="734">
        <v>10106</v>
      </c>
      <c r="U74" s="387"/>
      <c r="V74" s="392"/>
      <c r="W74" s="392"/>
      <c r="X74" s="306"/>
      <c r="Y74" s="306"/>
      <c r="Z74" s="306"/>
    </row>
    <row r="75" spans="1:26" x14ac:dyDescent="0.25">
      <c r="A75" s="388" t="s">
        <v>475</v>
      </c>
      <c r="B75" s="735">
        <v>17940</v>
      </c>
      <c r="C75" s="735">
        <v>13605</v>
      </c>
      <c r="D75" s="735">
        <v>6931</v>
      </c>
      <c r="E75" s="735">
        <v>3639</v>
      </c>
      <c r="F75" s="735">
        <v>3287</v>
      </c>
      <c r="G75" s="390"/>
      <c r="H75" s="390"/>
      <c r="I75" s="390"/>
      <c r="J75" s="390"/>
      <c r="K75" s="390"/>
      <c r="L75" s="390"/>
      <c r="M75" s="390"/>
      <c r="N75" s="390"/>
      <c r="O75" s="390"/>
      <c r="P75" s="390"/>
      <c r="Q75" s="393"/>
      <c r="R75" s="389"/>
      <c r="S75" s="389"/>
      <c r="T75" s="389"/>
      <c r="U75" s="389"/>
      <c r="V75" s="392"/>
      <c r="W75" s="392"/>
      <c r="X75" s="306"/>
      <c r="Y75" s="306"/>
      <c r="Z75" s="306"/>
    </row>
    <row r="76" spans="1:26" x14ac:dyDescent="0.25">
      <c r="A76" s="391" t="s">
        <v>476</v>
      </c>
      <c r="B76" s="734">
        <v>25061</v>
      </c>
      <c r="C76" s="734">
        <v>18999</v>
      </c>
      <c r="D76" s="734">
        <v>9662</v>
      </c>
      <c r="E76" s="734">
        <v>5062</v>
      </c>
      <c r="F76" s="734">
        <v>4568</v>
      </c>
      <c r="G76" s="390"/>
      <c r="H76" s="390"/>
      <c r="I76" s="390"/>
      <c r="J76" s="390"/>
      <c r="K76" s="390"/>
      <c r="L76" s="390"/>
      <c r="M76" s="390"/>
      <c r="N76" s="390"/>
      <c r="O76" s="390"/>
      <c r="P76" s="390"/>
      <c r="Q76" s="393"/>
      <c r="R76" s="634"/>
      <c r="S76" s="389"/>
      <c r="T76" s="389"/>
      <c r="U76" s="389"/>
      <c r="V76" s="392"/>
      <c r="W76" s="392"/>
      <c r="X76" s="306"/>
      <c r="Y76" s="306"/>
      <c r="Z76" s="306"/>
    </row>
    <row r="77" spans="1:26" x14ac:dyDescent="0.25">
      <c r="A77" s="388" t="s">
        <v>477</v>
      </c>
      <c r="B77" s="735">
        <v>35031</v>
      </c>
      <c r="C77" s="735">
        <v>26552</v>
      </c>
      <c r="D77" s="735">
        <v>13485</v>
      </c>
      <c r="E77" s="735">
        <v>7052</v>
      </c>
      <c r="F77" s="735">
        <v>6361</v>
      </c>
      <c r="G77" s="390"/>
      <c r="H77" s="390"/>
      <c r="I77" s="390"/>
      <c r="J77" s="390"/>
      <c r="K77" s="390"/>
      <c r="L77" s="390"/>
      <c r="M77" s="390"/>
      <c r="N77" s="390"/>
      <c r="O77" s="390"/>
      <c r="P77" s="390"/>
      <c r="Q77" s="393"/>
      <c r="R77" s="389"/>
      <c r="S77" s="389"/>
      <c r="T77" s="389"/>
      <c r="U77" s="389"/>
      <c r="V77" s="392"/>
      <c r="W77" s="392"/>
      <c r="X77" s="306"/>
      <c r="Y77" s="306"/>
      <c r="Z77" s="306"/>
    </row>
    <row r="78" spans="1:26" x14ac:dyDescent="0.25">
      <c r="A78" s="393"/>
      <c r="B78" s="389"/>
      <c r="C78" s="389"/>
      <c r="D78" s="389"/>
      <c r="E78" s="389"/>
      <c r="F78" s="393"/>
      <c r="G78" s="390"/>
      <c r="H78" s="390"/>
      <c r="I78" s="390"/>
      <c r="J78" s="390"/>
      <c r="K78" s="390"/>
      <c r="L78" s="390"/>
      <c r="M78" s="390"/>
      <c r="N78" s="390"/>
      <c r="O78" s="390"/>
      <c r="P78" s="390"/>
      <c r="Q78" s="393"/>
      <c r="R78" s="389"/>
      <c r="S78" s="389"/>
      <c r="T78" s="389"/>
      <c r="U78" s="389"/>
      <c r="V78" s="392"/>
      <c r="W78" s="392"/>
      <c r="X78" s="306"/>
      <c r="Y78" s="306"/>
      <c r="Z78" s="306"/>
    </row>
    <row r="79" spans="1:26" x14ac:dyDescent="0.25">
      <c r="A79" s="401" t="s">
        <v>558</v>
      </c>
      <c r="B79" s="389"/>
      <c r="C79" s="389"/>
      <c r="D79" s="389"/>
      <c r="E79" s="389"/>
      <c r="F79" s="389"/>
      <c r="G79" s="390"/>
      <c r="H79" s="390"/>
      <c r="I79" s="390"/>
      <c r="J79" s="390"/>
      <c r="K79" s="390"/>
      <c r="L79" s="390"/>
      <c r="M79" s="390"/>
      <c r="N79" s="390"/>
      <c r="O79" s="390"/>
      <c r="P79" s="390"/>
      <c r="Q79" s="393"/>
      <c r="R79" s="389"/>
      <c r="S79" s="389"/>
      <c r="T79" s="389"/>
      <c r="U79" s="389"/>
      <c r="V79" s="392"/>
      <c r="W79" s="392"/>
      <c r="X79" s="306"/>
      <c r="Y79" s="306"/>
      <c r="Z79" s="306"/>
    </row>
    <row r="80" spans="1:26" x14ac:dyDescent="0.25">
      <c r="A80" s="401"/>
      <c r="B80" s="389"/>
      <c r="C80" s="389"/>
      <c r="D80" s="389"/>
      <c r="E80" s="389"/>
      <c r="F80" s="389"/>
      <c r="G80" s="390"/>
      <c r="H80" s="390"/>
      <c r="I80" s="390"/>
      <c r="J80" s="390"/>
      <c r="K80" s="390"/>
      <c r="L80" s="390"/>
      <c r="M80" s="390"/>
      <c r="N80" s="390"/>
      <c r="O80" s="390"/>
      <c r="P80" s="390"/>
      <c r="Q80" s="393"/>
      <c r="R80" s="389"/>
      <c r="S80" s="389"/>
      <c r="T80" s="389"/>
      <c r="U80" s="389"/>
      <c r="V80" s="392"/>
      <c r="W80" s="392"/>
      <c r="X80" s="306"/>
      <c r="Y80" s="306"/>
      <c r="Z80" s="306"/>
    </row>
    <row r="81" spans="1:26" x14ac:dyDescent="0.25">
      <c r="A81" s="394" t="s">
        <v>559</v>
      </c>
      <c r="B81" s="377"/>
      <c r="C81" s="377"/>
      <c r="D81" s="377"/>
      <c r="E81" s="377"/>
      <c r="F81" s="377"/>
      <c r="G81" s="377"/>
      <c r="H81" s="377"/>
      <c r="I81" s="377"/>
      <c r="J81" s="377"/>
      <c r="K81" s="377"/>
      <c r="L81" s="377"/>
      <c r="M81" s="377"/>
      <c r="N81" s="377"/>
      <c r="O81" s="377"/>
      <c r="P81" s="377"/>
      <c r="Q81" s="394" t="s">
        <v>559</v>
      </c>
      <c r="R81" s="395"/>
      <c r="S81" s="395"/>
      <c r="T81" s="395"/>
      <c r="U81" s="395"/>
      <c r="V81" s="396"/>
      <c r="W81" s="396"/>
    </row>
    <row r="82" spans="1:26" x14ac:dyDescent="0.25">
      <c r="A82" s="391" t="s">
        <v>179</v>
      </c>
      <c r="B82" s="397" t="s">
        <v>478</v>
      </c>
      <c r="C82" s="397" t="s">
        <v>479</v>
      </c>
      <c r="D82" s="397" t="s">
        <v>480</v>
      </c>
      <c r="E82" s="397" t="s">
        <v>481</v>
      </c>
      <c r="F82" s="397" t="s">
        <v>481</v>
      </c>
      <c r="G82" s="385"/>
      <c r="H82" s="385"/>
      <c r="I82" s="385"/>
      <c r="J82" s="385"/>
      <c r="K82" s="385"/>
      <c r="L82" s="385"/>
      <c r="M82" s="385"/>
      <c r="N82" s="385"/>
      <c r="O82" s="385"/>
      <c r="P82" s="385"/>
      <c r="Q82" s="391" t="s">
        <v>179</v>
      </c>
      <c r="R82" s="397" t="s">
        <v>478</v>
      </c>
      <c r="S82" s="397" t="s">
        <v>479</v>
      </c>
      <c r="T82" s="397" t="s">
        <v>480</v>
      </c>
      <c r="U82" s="395"/>
      <c r="V82" s="398"/>
      <c r="W82" s="398"/>
    </row>
    <row r="83" spans="1:26" x14ac:dyDescent="0.25">
      <c r="A83" s="388" t="s">
        <v>560</v>
      </c>
      <c r="B83" s="399">
        <v>50</v>
      </c>
      <c r="C83" s="399">
        <v>50</v>
      </c>
      <c r="D83" s="399">
        <v>50</v>
      </c>
      <c r="E83" s="399">
        <v>50</v>
      </c>
      <c r="F83" s="399">
        <v>50</v>
      </c>
      <c r="G83" s="385"/>
      <c r="H83" s="385"/>
      <c r="I83" s="385"/>
      <c r="J83" s="385"/>
      <c r="K83" s="385"/>
      <c r="L83" s="385"/>
      <c r="M83" s="385"/>
      <c r="N83" s="385"/>
      <c r="O83" s="385"/>
      <c r="P83" s="385"/>
      <c r="Q83" s="388" t="s">
        <v>561</v>
      </c>
      <c r="R83" s="399">
        <v>50</v>
      </c>
      <c r="S83" s="399">
        <v>50</v>
      </c>
      <c r="T83" s="399">
        <v>50</v>
      </c>
      <c r="U83" s="399"/>
      <c r="V83" s="398"/>
      <c r="W83" s="398"/>
    </row>
    <row r="84" spans="1:26" x14ac:dyDescent="0.25">
      <c r="A84" s="391" t="s">
        <v>562</v>
      </c>
      <c r="B84" s="400">
        <v>0.2</v>
      </c>
      <c r="C84" s="400">
        <v>0.2</v>
      </c>
      <c r="D84" s="400">
        <v>0.2</v>
      </c>
      <c r="E84" s="400">
        <v>0.2</v>
      </c>
      <c r="F84" s="400">
        <v>0.2</v>
      </c>
      <c r="G84" s="385"/>
      <c r="H84" s="385"/>
      <c r="I84" s="385"/>
      <c r="J84" s="385"/>
      <c r="K84" s="385"/>
      <c r="L84" s="385"/>
      <c r="M84" s="385"/>
      <c r="N84" s="385"/>
      <c r="O84" s="385"/>
      <c r="P84" s="385"/>
      <c r="Q84" s="391" t="s">
        <v>562</v>
      </c>
      <c r="R84" s="400">
        <v>0.2</v>
      </c>
      <c r="S84" s="400">
        <v>0.2</v>
      </c>
      <c r="T84" s="400">
        <v>0.2</v>
      </c>
      <c r="U84" s="395"/>
      <c r="V84" s="398"/>
      <c r="W84" s="398"/>
    </row>
    <row r="85" spans="1:26" x14ac:dyDescent="0.25">
      <c r="A85" s="388" t="s">
        <v>563</v>
      </c>
      <c r="B85" s="399">
        <v>10000</v>
      </c>
      <c r="C85" s="399">
        <v>7500</v>
      </c>
      <c r="D85" s="399">
        <v>5000</v>
      </c>
      <c r="E85" s="399">
        <v>5000</v>
      </c>
      <c r="F85" s="399">
        <v>3000</v>
      </c>
      <c r="G85" s="385"/>
      <c r="H85" s="385"/>
      <c r="I85" s="385"/>
      <c r="J85" s="385"/>
      <c r="K85" s="385"/>
      <c r="L85" s="385"/>
      <c r="M85" s="385"/>
      <c r="N85" s="385"/>
      <c r="O85" s="385"/>
      <c r="P85" s="385"/>
      <c r="Q85" s="388" t="s">
        <v>563</v>
      </c>
      <c r="R85" s="399">
        <v>10000</v>
      </c>
      <c r="S85" s="399">
        <v>7500</v>
      </c>
      <c r="T85" s="399">
        <v>5000</v>
      </c>
      <c r="U85" s="399"/>
      <c r="V85" s="398"/>
      <c r="W85" s="398"/>
    </row>
    <row r="86" spans="1:26" x14ac:dyDescent="0.25">
      <c r="A86" s="391" t="s">
        <v>564</v>
      </c>
      <c r="B86" s="400">
        <v>0.2</v>
      </c>
      <c r="C86" s="400">
        <v>0.2</v>
      </c>
      <c r="D86" s="400">
        <v>0.2</v>
      </c>
      <c r="E86" s="400">
        <v>0.2</v>
      </c>
      <c r="F86" s="400">
        <v>0.2</v>
      </c>
      <c r="G86" s="385"/>
      <c r="H86" s="385"/>
      <c r="I86" s="385"/>
      <c r="J86" s="385"/>
      <c r="K86" s="385"/>
      <c r="L86" s="385"/>
      <c r="M86" s="385"/>
      <c r="N86" s="385"/>
      <c r="O86" s="385"/>
      <c r="P86" s="385"/>
      <c r="Q86" s="391" t="s">
        <v>564</v>
      </c>
      <c r="R86" s="400">
        <v>0</v>
      </c>
      <c r="S86" s="400">
        <v>0</v>
      </c>
      <c r="T86" s="400">
        <v>0</v>
      </c>
      <c r="U86" s="395"/>
      <c r="V86" s="385"/>
      <c r="W86" s="385"/>
    </row>
    <row r="87" spans="1:26" x14ac:dyDescent="0.25">
      <c r="A87" s="401" t="s">
        <v>565</v>
      </c>
      <c r="B87" s="402"/>
      <c r="C87" s="402"/>
      <c r="D87" s="402"/>
      <c r="E87" s="402"/>
      <c r="F87" s="402"/>
      <c r="G87" s="32"/>
      <c r="H87" s="32"/>
      <c r="I87" s="32"/>
      <c r="J87" s="32"/>
      <c r="K87" s="32"/>
      <c r="L87" s="32"/>
      <c r="M87" s="32"/>
      <c r="N87" s="32"/>
      <c r="O87" s="32"/>
      <c r="P87" s="32"/>
      <c r="Q87" s="32"/>
      <c r="R87" s="32"/>
      <c r="S87" s="32"/>
      <c r="T87" s="32"/>
      <c r="U87" s="32"/>
      <c r="V87" s="32"/>
      <c r="W87" s="32"/>
      <c r="X87" s="20"/>
      <c r="Y87" s="20"/>
      <c r="Z87" s="20"/>
    </row>
    <row r="88" spans="1:26" x14ac:dyDescent="0.25">
      <c r="A88" s="401"/>
      <c r="B88" s="402"/>
      <c r="C88" s="402"/>
      <c r="D88" s="402"/>
      <c r="E88" s="402"/>
      <c r="F88" s="402"/>
      <c r="G88" s="32"/>
      <c r="H88" s="32"/>
      <c r="I88" s="32"/>
      <c r="J88" s="32"/>
      <c r="K88" s="32"/>
      <c r="L88" s="32"/>
      <c r="M88" s="32"/>
      <c r="N88" s="32"/>
      <c r="O88" s="32"/>
      <c r="P88" s="32"/>
      <c r="Q88" s="32"/>
      <c r="R88" s="32"/>
      <c r="S88" s="32"/>
      <c r="T88" s="32"/>
      <c r="U88" s="32"/>
      <c r="V88" s="32"/>
      <c r="W88" s="32"/>
      <c r="X88" s="20"/>
      <c r="Y88" s="20"/>
      <c r="Z88" s="20"/>
    </row>
    <row r="89" spans="1:26" ht="15.75" x14ac:dyDescent="0.25">
      <c r="A89" s="403" t="s">
        <v>566</v>
      </c>
      <c r="B89" s="377"/>
      <c r="C89" s="377"/>
      <c r="D89" s="377"/>
      <c r="E89" s="377"/>
      <c r="F89" s="377"/>
      <c r="G89" s="377"/>
      <c r="H89" s="377"/>
      <c r="I89" s="377"/>
      <c r="J89" s="377"/>
      <c r="K89" s="377"/>
      <c r="L89" s="377"/>
      <c r="M89" s="377"/>
      <c r="N89" s="377"/>
      <c r="O89" s="377"/>
      <c r="P89" s="377"/>
      <c r="Q89" s="377"/>
      <c r="R89" s="377"/>
      <c r="S89" s="377"/>
      <c r="T89" s="377"/>
      <c r="U89" s="32"/>
      <c r="V89" s="377"/>
      <c r="W89" s="377"/>
      <c r="Y89" s="646"/>
      <c r="Z89" s="226"/>
    </row>
    <row r="90" spans="1:26" x14ac:dyDescent="0.25">
      <c r="A90" s="377"/>
      <c r="B90" s="377"/>
      <c r="C90" s="377"/>
      <c r="D90" s="377"/>
      <c r="E90" s="377"/>
      <c r="F90" s="377"/>
      <c r="G90" s="377"/>
      <c r="H90" s="377"/>
      <c r="I90" s="377"/>
      <c r="J90" s="377"/>
      <c r="K90" s="377"/>
      <c r="L90" s="377"/>
      <c r="M90" s="377"/>
      <c r="N90" s="377"/>
      <c r="O90" s="377"/>
      <c r="P90" s="377"/>
      <c r="Q90" s="377"/>
      <c r="R90" s="377"/>
      <c r="S90" s="377"/>
      <c r="T90" s="377"/>
      <c r="U90" s="32"/>
      <c r="V90" s="377"/>
      <c r="W90" s="377"/>
    </row>
    <row r="91" spans="1:26" x14ac:dyDescent="0.25">
      <c r="A91" s="383" t="s">
        <v>568</v>
      </c>
      <c r="B91" s="384" t="s">
        <v>513</v>
      </c>
      <c r="C91" s="384" t="s">
        <v>514</v>
      </c>
      <c r="D91" s="384" t="s">
        <v>515</v>
      </c>
      <c r="E91" s="384" t="s">
        <v>516</v>
      </c>
      <c r="F91" s="384" t="s">
        <v>517</v>
      </c>
      <c r="G91" s="385"/>
      <c r="H91" s="385"/>
      <c r="I91" s="385"/>
      <c r="J91" s="385"/>
      <c r="K91" s="385"/>
      <c r="L91" s="385"/>
      <c r="M91" s="385"/>
      <c r="N91" s="385"/>
      <c r="O91" s="377"/>
      <c r="P91" s="385"/>
      <c r="Q91" s="383" t="s">
        <v>569</v>
      </c>
      <c r="R91" s="384" t="s">
        <v>513</v>
      </c>
      <c r="S91" s="384" t="s">
        <v>514</v>
      </c>
      <c r="T91" s="384" t="s">
        <v>515</v>
      </c>
      <c r="U91" s="404"/>
      <c r="V91" s="385"/>
      <c r="W91" s="385"/>
    </row>
    <row r="92" spans="1:26" x14ac:dyDescent="0.25">
      <c r="A92" s="388" t="s">
        <v>570</v>
      </c>
      <c r="B92" s="405">
        <v>467</v>
      </c>
      <c r="C92" s="405">
        <v>386</v>
      </c>
      <c r="D92" s="405">
        <v>277</v>
      </c>
      <c r="E92" s="405">
        <v>296</v>
      </c>
      <c r="F92" s="405">
        <v>220</v>
      </c>
      <c r="G92" s="385"/>
      <c r="H92" s="385"/>
      <c r="I92" s="385"/>
      <c r="J92" s="385"/>
      <c r="K92" s="385"/>
      <c r="L92" s="385"/>
      <c r="M92" s="385"/>
      <c r="N92" s="385"/>
      <c r="O92" s="377"/>
      <c r="P92" s="385"/>
      <c r="Q92" s="388" t="s">
        <v>149</v>
      </c>
      <c r="R92" s="405">
        <v>553</v>
      </c>
      <c r="S92" s="405">
        <v>453</v>
      </c>
      <c r="T92" s="405">
        <v>342</v>
      </c>
      <c r="U92" s="398"/>
      <c r="V92" s="385"/>
      <c r="W92" s="385"/>
    </row>
    <row r="93" spans="1:26" x14ac:dyDescent="0.25">
      <c r="A93" s="391" t="s">
        <v>151</v>
      </c>
      <c r="B93" s="406">
        <v>168</v>
      </c>
      <c r="C93" s="406">
        <v>168</v>
      </c>
      <c r="D93" s="406">
        <v>112</v>
      </c>
      <c r="E93" s="406">
        <v>112</v>
      </c>
      <c r="F93" s="406">
        <v>84</v>
      </c>
      <c r="G93" s="385"/>
      <c r="H93" s="385"/>
      <c r="I93" s="385"/>
      <c r="J93" s="385"/>
      <c r="K93" s="385"/>
      <c r="L93" s="385"/>
      <c r="M93" s="385"/>
      <c r="N93" s="385"/>
      <c r="O93" s="377"/>
      <c r="P93" s="385"/>
      <c r="Q93" s="391" t="s">
        <v>151</v>
      </c>
      <c r="R93" s="406">
        <v>178</v>
      </c>
      <c r="S93" s="406">
        <v>126</v>
      </c>
      <c r="T93" s="406">
        <v>94</v>
      </c>
      <c r="U93" s="398"/>
      <c r="V93" s="385"/>
      <c r="W93" s="385"/>
      <c r="Y93" s="645"/>
      <c r="Z93" s="645"/>
    </row>
    <row r="94" spans="1:26" x14ac:dyDescent="0.25">
      <c r="A94" s="388" t="s">
        <v>483</v>
      </c>
      <c r="B94" s="405">
        <v>0</v>
      </c>
      <c r="C94" s="405">
        <v>0</v>
      </c>
      <c r="D94" s="405">
        <v>0</v>
      </c>
      <c r="E94" s="405">
        <v>0</v>
      </c>
      <c r="F94" s="405">
        <v>0</v>
      </c>
      <c r="G94" s="385"/>
      <c r="H94" s="385"/>
      <c r="I94" s="385"/>
      <c r="J94" s="385"/>
      <c r="K94" s="385"/>
      <c r="L94" s="385"/>
      <c r="M94" s="385"/>
      <c r="N94" s="385"/>
      <c r="O94" s="377"/>
      <c r="P94" s="385"/>
      <c r="Q94" s="388" t="s">
        <v>483</v>
      </c>
      <c r="R94" s="405">
        <v>0</v>
      </c>
      <c r="S94" s="405">
        <v>0</v>
      </c>
      <c r="T94" s="405">
        <v>0</v>
      </c>
      <c r="U94" s="398"/>
      <c r="V94" s="385"/>
      <c r="W94" s="385"/>
    </row>
    <row r="95" spans="1:26" x14ac:dyDescent="0.25">
      <c r="A95" s="385"/>
      <c r="B95" s="385"/>
      <c r="C95" s="385"/>
      <c r="D95" s="385"/>
      <c r="E95" s="385"/>
      <c r="F95" s="385"/>
      <c r="G95" s="385"/>
      <c r="H95" s="385"/>
      <c r="I95" s="385"/>
      <c r="J95" s="385"/>
      <c r="K95" s="385"/>
      <c r="L95" s="385"/>
      <c r="M95" s="385"/>
      <c r="N95" s="385"/>
      <c r="O95" s="377"/>
      <c r="P95" s="385"/>
      <c r="Q95" s="385"/>
      <c r="R95" s="415"/>
      <c r="S95" s="415"/>
      <c r="T95" s="415"/>
      <c r="U95" s="415"/>
      <c r="V95" s="415"/>
      <c r="W95" s="415"/>
    </row>
    <row r="96" spans="1:26" x14ac:dyDescent="0.25">
      <c r="A96" s="383" t="s">
        <v>571</v>
      </c>
      <c r="B96" s="53" t="s">
        <v>76</v>
      </c>
      <c r="C96" s="23" t="s">
        <v>77</v>
      </c>
      <c r="D96" s="384" t="s">
        <v>200</v>
      </c>
      <c r="E96" s="23" t="s">
        <v>199</v>
      </c>
      <c r="F96" s="23" t="s">
        <v>78</v>
      </c>
      <c r="G96" s="53" t="s">
        <v>212</v>
      </c>
      <c r="H96" s="53" t="s">
        <v>232</v>
      </c>
      <c r="I96" s="601" t="s">
        <v>209</v>
      </c>
      <c r="J96" s="601" t="s">
        <v>218</v>
      </c>
      <c r="K96" s="601" t="s">
        <v>210</v>
      </c>
      <c r="L96" s="601" t="s">
        <v>219</v>
      </c>
      <c r="M96" s="601" t="s">
        <v>211</v>
      </c>
      <c r="N96" s="601" t="s">
        <v>220</v>
      </c>
      <c r="O96" s="377"/>
      <c r="P96" s="385"/>
      <c r="Q96" s="383" t="s">
        <v>571</v>
      </c>
      <c r="R96" s="53" t="s">
        <v>76</v>
      </c>
      <c r="S96" s="23" t="s">
        <v>77</v>
      </c>
      <c r="T96" s="23" t="s">
        <v>199</v>
      </c>
      <c r="U96" s="23" t="s">
        <v>78</v>
      </c>
      <c r="V96" s="53" t="s">
        <v>212</v>
      </c>
      <c r="W96" s="53" t="s">
        <v>232</v>
      </c>
      <c r="X96" s="601" t="s">
        <v>210</v>
      </c>
      <c r="Y96" s="601" t="s">
        <v>211</v>
      </c>
      <c r="Z96" s="601" t="s">
        <v>237</v>
      </c>
    </row>
    <row r="97" spans="1:26" x14ac:dyDescent="0.25">
      <c r="A97" s="407" t="s">
        <v>170</v>
      </c>
      <c r="B97" s="736">
        <v>3612.96</v>
      </c>
      <c r="C97" s="736">
        <v>3035.76</v>
      </c>
      <c r="D97" s="737">
        <v>2309.84</v>
      </c>
      <c r="E97" s="737">
        <v>2100.8000000000002</v>
      </c>
      <c r="F97" s="737">
        <v>2038.4</v>
      </c>
      <c r="G97" s="737">
        <v>1162.72</v>
      </c>
      <c r="H97" s="737">
        <v>1162.72</v>
      </c>
      <c r="I97" s="737">
        <v>3091.92</v>
      </c>
      <c r="J97" s="737">
        <v>2745.6</v>
      </c>
      <c r="K97" s="737">
        <v>2661.36</v>
      </c>
      <c r="L97" s="737">
        <v>2225.6</v>
      </c>
      <c r="M97" s="737">
        <v>2074.8000000000002</v>
      </c>
      <c r="N97" s="737">
        <v>1687.92</v>
      </c>
      <c r="O97" s="377"/>
      <c r="P97" s="385"/>
      <c r="Q97" s="407" t="s">
        <v>174</v>
      </c>
      <c r="R97" s="736">
        <v>5394</v>
      </c>
      <c r="S97" s="737">
        <v>4088</v>
      </c>
      <c r="T97" s="737">
        <v>3538</v>
      </c>
      <c r="U97" s="737">
        <v>2528</v>
      </c>
      <c r="V97" s="737">
        <v>1699</v>
      </c>
      <c r="W97" s="737">
        <v>1699</v>
      </c>
      <c r="X97" s="737">
        <v>3869</v>
      </c>
      <c r="Y97" s="737">
        <v>3162</v>
      </c>
      <c r="Z97" s="737">
        <v>2204</v>
      </c>
    </row>
  </sheetData>
  <sheetProtection algorithmName="SHA-512" hashValue="/j/I75a0Bj1Gf8jc9uE6Gb7p7AFysuailVGgUV+p8DBQ1vxVBtYJDXFjVkjXlDyeJpw1jntK5hyesPUwQ2RvLQ==" saltValue="Fo1xfLp+9d5acVgd6rU25g==" spinCount="100000" sheet="1" objects="1" scenarios="1" selectLockedCells="1"/>
  <pageMargins left="0.15" right="0.1" top="0.75" bottom="0.75" header="0.3" footer="0.3"/>
  <pageSetup scale="72" orientation="landscape" horizontalDpi="4294967295" verticalDpi="4294967295" r:id="rId1"/>
  <headerFooter>
    <oddHeader>&amp;C&amp;"Calibri"&amp;10&amp;K000000 Internal&amp;1#_x000D_</oddHeader>
    <oddFooter>&amp;L_x000D_&amp;1#&amp;"Calibri"&amp;10&amp;K737373 Confidential&amp;R&amp;G</oddFooter>
  </headerFooter>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6" tint="-0.249977111117893"/>
    <pageSetUpPr fitToPage="1"/>
  </sheetPr>
  <dimension ref="A1:AE170"/>
  <sheetViews>
    <sheetView showRowColHeaders="0" zoomScale="55" zoomScaleNormal="55" workbookViewId="0">
      <selection activeCell="M2" sqref="M2"/>
    </sheetView>
  </sheetViews>
  <sheetFormatPr defaultColWidth="21.5703125" defaultRowHeight="12.6" customHeight="1" zeroHeight="1" x14ac:dyDescent="0.25"/>
  <cols>
    <col min="1" max="1" width="57.28515625" style="110" customWidth="1"/>
    <col min="2" max="2" width="29.7109375" style="110" customWidth="1"/>
    <col min="3" max="4" width="30.7109375" style="110" customWidth="1"/>
    <col min="5" max="6" width="21.5703125" style="110" hidden="1" customWidth="1"/>
    <col min="7" max="8" width="55.7109375" style="110" customWidth="1"/>
    <col min="9" max="12" width="21.5703125" style="110" hidden="1" customWidth="1"/>
    <col min="13" max="13" width="46.85546875" style="110" customWidth="1"/>
    <col min="14" max="14" width="40" style="110" customWidth="1"/>
    <col min="15" max="15" width="52.7109375" style="110" customWidth="1"/>
    <col min="16" max="20" width="21.5703125" style="110" hidden="1" customWidth="1"/>
    <col min="21" max="21" width="21.5703125" style="375" hidden="1" customWidth="1"/>
    <col min="22" max="31" width="21.5703125" style="110" hidden="1" customWidth="1"/>
    <col min="32" max="33" width="21.5703125" style="110" customWidth="1"/>
    <col min="34" max="16384" width="21.5703125" style="110"/>
  </cols>
  <sheetData>
    <row r="1" spans="1:31" s="219" customFormat="1" ht="21" customHeight="1" x14ac:dyDescent="0.2">
      <c r="A1" s="110"/>
      <c r="B1" s="110"/>
      <c r="C1" s="110"/>
      <c r="D1" s="110"/>
      <c r="E1" s="110"/>
      <c r="F1" s="110"/>
      <c r="G1" s="110"/>
      <c r="H1" s="110"/>
      <c r="I1" s="110"/>
      <c r="J1" s="110"/>
      <c r="K1" s="110"/>
      <c r="L1" s="110"/>
      <c r="M1" s="110"/>
      <c r="N1" s="110"/>
      <c r="O1" s="110"/>
      <c r="P1" s="110"/>
      <c r="Q1" s="110"/>
      <c r="R1" s="110"/>
      <c r="S1" s="110"/>
      <c r="T1" s="110"/>
      <c r="U1" s="110"/>
      <c r="V1" s="110"/>
      <c r="W1" s="110"/>
      <c r="X1" s="110"/>
    </row>
    <row r="2" spans="1:31" s="219" customFormat="1" ht="21" customHeight="1" x14ac:dyDescent="0.2">
      <c r="A2" s="195" t="s">
        <v>604</v>
      </c>
      <c r="B2" s="110"/>
      <c r="C2" s="110"/>
      <c r="D2" s="110"/>
      <c r="E2" s="110"/>
      <c r="F2" s="110"/>
      <c r="G2" s="110"/>
      <c r="H2" s="110"/>
      <c r="I2" s="110"/>
      <c r="J2" s="110"/>
      <c r="K2" s="110"/>
      <c r="L2" s="110"/>
      <c r="M2" s="110"/>
      <c r="N2" s="110"/>
      <c r="O2" s="110"/>
      <c r="P2" s="110"/>
      <c r="Q2" s="110"/>
      <c r="R2" s="110"/>
      <c r="S2" s="110"/>
      <c r="T2" s="110"/>
      <c r="U2" s="110"/>
      <c r="V2" s="110"/>
      <c r="W2" s="110"/>
      <c r="X2" s="110"/>
    </row>
    <row r="3" spans="1:31" s="219" customFormat="1" ht="103.5" customHeight="1" x14ac:dyDescent="0.2">
      <c r="A3" s="823" t="s">
        <v>605</v>
      </c>
      <c r="B3" s="823"/>
      <c r="C3" s="823"/>
      <c r="D3" s="823"/>
      <c r="E3" s="823"/>
      <c r="F3" s="823"/>
      <c r="G3" s="823"/>
      <c r="H3" s="823"/>
      <c r="I3" s="823"/>
      <c r="J3" s="823"/>
      <c r="K3" s="823"/>
      <c r="L3" s="823"/>
      <c r="M3" s="823"/>
      <c r="N3" s="823"/>
      <c r="O3" s="823"/>
      <c r="P3" s="823"/>
      <c r="Q3" s="110"/>
      <c r="R3" s="110"/>
      <c r="S3" s="110"/>
      <c r="T3" s="110"/>
      <c r="U3" s="110"/>
      <c r="V3" s="110"/>
      <c r="W3" s="193"/>
      <c r="X3" s="110"/>
    </row>
    <row r="4" spans="1:31" s="219" customFormat="1" ht="12.75" customHeight="1" x14ac:dyDescent="0.2">
      <c r="A4" s="110"/>
      <c r="B4" s="110"/>
      <c r="C4" s="110"/>
      <c r="D4" s="110"/>
      <c r="E4" s="110"/>
      <c r="F4" s="110"/>
      <c r="G4" s="110"/>
      <c r="H4" s="110"/>
      <c r="I4" s="110"/>
      <c r="J4" s="110"/>
      <c r="K4" s="110"/>
      <c r="L4" s="110"/>
      <c r="M4" s="110"/>
      <c r="N4" s="110"/>
      <c r="O4" s="110"/>
      <c r="P4" s="110"/>
      <c r="Q4" s="110"/>
      <c r="R4" s="110"/>
      <c r="S4" s="110"/>
      <c r="T4" s="110"/>
      <c r="U4" s="110"/>
      <c r="V4" s="110"/>
      <c r="W4" s="826" t="s">
        <v>606</v>
      </c>
      <c r="X4" s="827"/>
    </row>
    <row r="5" spans="1:31" s="219" customFormat="1" ht="9" customHeight="1" x14ac:dyDescent="0.2">
      <c r="A5" s="110"/>
      <c r="B5" s="110"/>
      <c r="C5" s="110"/>
      <c r="D5" s="110"/>
      <c r="E5" s="110"/>
      <c r="F5" s="110"/>
      <c r="G5" s="110"/>
      <c r="H5" s="110"/>
      <c r="I5" s="110"/>
      <c r="J5" s="110"/>
      <c r="K5" s="110"/>
      <c r="L5" s="110"/>
      <c r="M5" s="110"/>
      <c r="N5" s="110"/>
      <c r="O5" s="110"/>
      <c r="P5" s="110"/>
      <c r="Q5" s="110"/>
      <c r="R5" s="110"/>
      <c r="S5" s="110"/>
      <c r="T5" s="110"/>
      <c r="U5" s="110"/>
      <c r="V5" s="110"/>
      <c r="W5" s="828"/>
      <c r="X5" s="829"/>
    </row>
    <row r="6" spans="1:31" s="219" customFormat="1" ht="24.75" customHeight="1" x14ac:dyDescent="0.35">
      <c r="A6" s="212" t="s">
        <v>34</v>
      </c>
      <c r="B6" s="205"/>
      <c r="C6" s="213"/>
      <c r="D6" s="213"/>
      <c r="E6" s="110"/>
      <c r="F6" s="32"/>
      <c r="G6" s="110"/>
      <c r="H6" s="110"/>
      <c r="I6" s="110"/>
      <c r="J6" s="110"/>
      <c r="K6" s="110"/>
      <c r="L6" s="113"/>
      <c r="M6" s="197" t="s">
        <v>607</v>
      </c>
      <c r="N6" s="110"/>
      <c r="O6" s="110"/>
      <c r="P6" s="110"/>
      <c r="Q6" s="110"/>
      <c r="R6" s="110"/>
      <c r="S6" s="110"/>
      <c r="T6" s="110"/>
      <c r="U6" s="110"/>
      <c r="V6" s="190" t="s">
        <v>608</v>
      </c>
      <c r="W6" s="190" t="s">
        <v>609</v>
      </c>
      <c r="X6" s="190" t="s">
        <v>153</v>
      </c>
      <c r="AA6" s="219" t="s">
        <v>63</v>
      </c>
      <c r="AC6" s="220" t="s">
        <v>46</v>
      </c>
      <c r="AD6" s="112"/>
    </row>
    <row r="7" spans="1:31" s="219" customFormat="1" ht="16.5" customHeight="1" x14ac:dyDescent="0.35">
      <c r="A7" s="213"/>
      <c r="B7" s="213"/>
      <c r="C7" s="213"/>
      <c r="D7" s="213"/>
      <c r="E7" s="110"/>
      <c r="F7" s="32"/>
      <c r="G7" s="110"/>
      <c r="H7" s="110"/>
      <c r="I7" s="110"/>
      <c r="J7" s="110"/>
      <c r="K7" s="110"/>
      <c r="L7" s="110"/>
      <c r="M7" s="110"/>
      <c r="N7" s="110"/>
      <c r="O7" s="110"/>
      <c r="P7" s="110"/>
      <c r="Q7" s="110"/>
      <c r="R7" s="110"/>
      <c r="S7" s="110"/>
      <c r="T7" s="110"/>
      <c r="U7" s="110"/>
      <c r="V7" s="191" t="s">
        <v>63</v>
      </c>
      <c r="W7" s="192">
        <v>0</v>
      </c>
      <c r="X7" s="192">
        <v>0</v>
      </c>
      <c r="Y7" s="219" t="s">
        <v>204</v>
      </c>
      <c r="AA7" s="219" t="s">
        <v>64</v>
      </c>
    </row>
    <row r="8" spans="1:31" s="219" customFormat="1" ht="21" customHeight="1" x14ac:dyDescent="0.25">
      <c r="A8" s="202" t="s">
        <v>45</v>
      </c>
      <c r="B8" s="824">
        <f>Inputs!C14</f>
        <v>0</v>
      </c>
      <c r="C8" s="824"/>
      <c r="D8" s="824"/>
      <c r="E8" s="110"/>
      <c r="F8" s="110"/>
      <c r="G8" s="110"/>
      <c r="H8" s="110"/>
      <c r="I8" s="110"/>
      <c r="J8" s="110"/>
      <c r="K8" s="186"/>
      <c r="L8" s="186"/>
      <c r="M8" s="189"/>
      <c r="N8" s="187"/>
      <c r="O8" s="472" t="s">
        <v>59</v>
      </c>
      <c r="P8" s="110"/>
      <c r="Q8" s="110"/>
      <c r="R8" s="110"/>
      <c r="S8" s="110"/>
      <c r="T8" s="110"/>
      <c r="U8" s="110"/>
      <c r="V8" s="191" t="s">
        <v>64</v>
      </c>
      <c r="W8" s="192">
        <v>0</v>
      </c>
      <c r="X8" s="192">
        <v>0</v>
      </c>
      <c r="AA8" s="219" t="s">
        <v>65</v>
      </c>
      <c r="AC8" s="818" t="s">
        <v>98</v>
      </c>
      <c r="AD8" s="818"/>
      <c r="AE8" s="221" t="e">
        <f>#REF!</f>
        <v>#REF!</v>
      </c>
    </row>
    <row r="9" spans="1:31" s="219" customFormat="1" ht="23.25" customHeight="1" x14ac:dyDescent="0.35">
      <c r="A9" s="202" t="s">
        <v>50</v>
      </c>
      <c r="B9" s="819">
        <f>eff_date</f>
        <v>0</v>
      </c>
      <c r="C9" s="819"/>
      <c r="D9" s="819"/>
      <c r="E9" s="115"/>
      <c r="F9" s="110"/>
      <c r="G9" s="110"/>
      <c r="H9" s="110"/>
      <c r="I9" s="110"/>
      <c r="J9" s="110"/>
      <c r="K9" s="110"/>
      <c r="L9" s="186"/>
      <c r="M9" s="825" t="str">
        <f>IF(Loadings=0,"Net","Gross")&amp;" Premium"</f>
        <v>Gross Premium</v>
      </c>
      <c r="N9" s="825"/>
      <c r="O9" s="203">
        <f>M58</f>
        <v>0</v>
      </c>
      <c r="P9" s="110"/>
      <c r="Q9" s="110"/>
      <c r="R9" s="110"/>
      <c r="S9" s="110"/>
      <c r="T9" s="110"/>
      <c r="U9" s="110"/>
      <c r="V9" s="191" t="s">
        <v>65</v>
      </c>
      <c r="W9" s="192">
        <v>0</v>
      </c>
      <c r="X9" s="192">
        <v>0</v>
      </c>
      <c r="Y9" s="219" t="s">
        <v>204</v>
      </c>
      <c r="AA9" s="219" t="s">
        <v>66</v>
      </c>
      <c r="AC9" s="818" t="s">
        <v>99</v>
      </c>
      <c r="AD9" s="818"/>
      <c r="AE9" s="221" t="e">
        <f>#REF!</f>
        <v>#REF!</v>
      </c>
    </row>
    <row r="10" spans="1:31" s="219" customFormat="1" ht="23.25" x14ac:dyDescent="0.35">
      <c r="A10" s="202" t="s">
        <v>53</v>
      </c>
      <c r="B10" s="824">
        <f>Inputs!C19</f>
        <v>0</v>
      </c>
      <c r="C10" s="824"/>
      <c r="D10" s="824"/>
      <c r="E10" s="115"/>
      <c r="F10" s="110"/>
      <c r="G10" s="110"/>
      <c r="H10" s="110"/>
      <c r="I10" s="110"/>
      <c r="J10" s="110"/>
      <c r="K10" s="186"/>
      <c r="L10" s="186"/>
      <c r="M10" s="825" t="s">
        <v>610</v>
      </c>
      <c r="N10" s="825"/>
      <c r="O10" s="203">
        <f>O11-O9</f>
        <v>0</v>
      </c>
      <c r="P10" s="110"/>
      <c r="Q10" s="110"/>
      <c r="R10" s="110"/>
      <c r="S10" s="110"/>
      <c r="T10" s="110"/>
      <c r="U10" s="110"/>
      <c r="V10" s="191" t="s">
        <v>66</v>
      </c>
      <c r="W10" s="192">
        <v>0</v>
      </c>
      <c r="X10" s="192">
        <v>0</v>
      </c>
      <c r="AA10" s="219" t="s">
        <v>67</v>
      </c>
      <c r="AC10" s="818" t="s">
        <v>51</v>
      </c>
      <c r="AD10" s="818"/>
      <c r="AE10" s="221" t="e">
        <f>#REF!</f>
        <v>#REF!</v>
      </c>
    </row>
    <row r="11" spans="1:31" s="219" customFormat="1" ht="26.25" customHeight="1" x14ac:dyDescent="0.35">
      <c r="A11" s="202" t="s">
        <v>96</v>
      </c>
      <c r="B11" s="819">
        <f>Inputs!C70</f>
        <v>0</v>
      </c>
      <c r="C11" s="819"/>
      <c r="D11" s="819"/>
      <c r="E11" s="115"/>
      <c r="F11" s="110"/>
      <c r="G11" s="110"/>
      <c r="H11" s="110"/>
      <c r="I11" s="110"/>
      <c r="J11" s="110"/>
      <c r="K11" s="129"/>
      <c r="L11" s="129"/>
      <c r="M11" s="830" t="s">
        <v>611</v>
      </c>
      <c r="N11" s="830"/>
      <c r="O11" s="706">
        <f>M58*(1+VAT)</f>
        <v>0</v>
      </c>
      <c r="P11" s="110"/>
      <c r="Q11" s="110"/>
      <c r="R11" s="110"/>
      <c r="S11" s="110"/>
      <c r="T11" s="110"/>
      <c r="U11" s="110"/>
      <c r="V11" s="191" t="s">
        <v>67</v>
      </c>
      <c r="W11" s="192">
        <v>0</v>
      </c>
      <c r="X11" s="192">
        <v>0</v>
      </c>
      <c r="Y11" s="219" t="s">
        <v>204</v>
      </c>
      <c r="AA11" s="219" t="s">
        <v>68</v>
      </c>
      <c r="AC11" s="222"/>
      <c r="AD11" s="222"/>
      <c r="AE11" s="223"/>
    </row>
    <row r="12" spans="1:31" s="219" customFormat="1" ht="23.25" customHeight="1" x14ac:dyDescent="0.35">
      <c r="E12" s="115"/>
      <c r="F12" s="110"/>
      <c r="G12" s="110"/>
      <c r="H12" s="110"/>
      <c r="I12" s="110"/>
      <c r="J12" s="110"/>
      <c r="K12" s="129"/>
      <c r="L12" s="129"/>
      <c r="M12" s="707" t="s">
        <v>612</v>
      </c>
      <c r="N12" s="719" t="s">
        <v>204</v>
      </c>
      <c r="O12" s="706">
        <f>IF(N12="Yes",COUNTIFS('Census Data'!$G$6:$G$205,"&lt;&gt;Abu Dhabi",'Census Data'!$G$6:$G$205,"&lt;&gt;Dubai",'Census Data'!$G$6:$G$205,"&lt;&gt;"&amp;"")*ICP_FEE,0)</f>
        <v>0</v>
      </c>
      <c r="P12" s="110"/>
      <c r="Q12" s="110"/>
      <c r="R12" s="110"/>
      <c r="S12" s="110"/>
      <c r="T12" s="110"/>
      <c r="U12" s="110"/>
      <c r="V12" s="191" t="s">
        <v>68</v>
      </c>
      <c r="W12" s="192">
        <v>0</v>
      </c>
      <c r="X12" s="192">
        <v>0</v>
      </c>
      <c r="AC12" s="222"/>
      <c r="AD12" s="222"/>
      <c r="AE12" s="223"/>
    </row>
    <row r="13" spans="1:31" s="219" customFormat="1" ht="22.5" customHeight="1" x14ac:dyDescent="0.35">
      <c r="A13" s="288"/>
      <c r="B13" s="821"/>
      <c r="C13" s="821"/>
      <c r="D13" s="821"/>
      <c r="E13" s="110"/>
      <c r="F13" s="110"/>
      <c r="G13" s="820" t="s">
        <v>613</v>
      </c>
      <c r="H13" s="820"/>
      <c r="I13" s="116"/>
      <c r="J13" s="110"/>
      <c r="K13" s="110"/>
      <c r="L13" s="110"/>
      <c r="M13" s="707" t="s">
        <v>614</v>
      </c>
      <c r="N13" s="719" t="s">
        <v>204</v>
      </c>
      <c r="O13" s="706">
        <f>IF(N13="Yes",COUNTIF('Census Data'!$G$6:$G$205,"Dubai")*BASMAH_FEE,0)</f>
        <v>0</v>
      </c>
      <c r="P13" s="110"/>
      <c r="Q13" s="110"/>
      <c r="R13" s="110"/>
      <c r="S13" s="110"/>
      <c r="T13" s="110"/>
      <c r="U13" s="110"/>
      <c r="V13" s="110"/>
      <c r="W13" s="110"/>
      <c r="X13" s="110"/>
      <c r="Y13" s="219" t="s">
        <v>80</v>
      </c>
    </row>
    <row r="14" spans="1:31" s="120" customFormat="1" ht="29.25" customHeight="1" x14ac:dyDescent="0.35">
      <c r="A14" s="214" t="s">
        <v>615</v>
      </c>
      <c r="B14" s="215"/>
      <c r="C14" s="216"/>
      <c r="D14" s="216"/>
      <c r="E14" s="119"/>
      <c r="F14" s="119"/>
      <c r="G14" s="119"/>
      <c r="H14" s="119"/>
      <c r="I14" s="119"/>
      <c r="J14" s="119"/>
      <c r="K14" s="119"/>
      <c r="L14" s="119"/>
      <c r="M14" s="830" t="s">
        <v>616</v>
      </c>
      <c r="N14" s="830"/>
      <c r="O14" s="706">
        <f>O11+O13+O12</f>
        <v>0</v>
      </c>
      <c r="P14" s="119"/>
      <c r="Q14" s="119"/>
      <c r="R14" s="119"/>
      <c r="S14" s="119"/>
      <c r="T14" s="119"/>
      <c r="U14" s="119"/>
      <c r="V14" s="119"/>
      <c r="W14" s="119"/>
      <c r="X14" s="119"/>
    </row>
    <row r="15" spans="1:31" s="219" customFormat="1" ht="9" customHeight="1" x14ac:dyDescent="0.25">
      <c r="A15" s="195"/>
      <c r="B15" s="194"/>
      <c r="C15" s="196"/>
      <c r="D15" s="196"/>
      <c r="E15" s="196"/>
      <c r="F15" s="196"/>
      <c r="G15" s="196"/>
      <c r="H15" s="196"/>
      <c r="I15" s="196"/>
      <c r="J15" s="196"/>
      <c r="K15" s="196"/>
      <c r="L15" s="196"/>
      <c r="M15" s="196"/>
      <c r="N15" s="196"/>
      <c r="O15" s="196"/>
      <c r="P15" s="196"/>
      <c r="Q15" s="110"/>
      <c r="R15" s="110"/>
      <c r="S15" s="110"/>
      <c r="T15" s="110"/>
      <c r="U15" s="110"/>
      <c r="V15" s="110"/>
      <c r="W15" s="110"/>
      <c r="X15" s="110"/>
      <c r="Y15" s="219" t="s">
        <v>80</v>
      </c>
    </row>
    <row r="16" spans="1:31" s="219" customFormat="1" ht="42.75" customHeight="1" x14ac:dyDescent="0.35">
      <c r="A16" s="204"/>
      <c r="B16" s="205"/>
      <c r="C16" s="810" t="s">
        <v>504</v>
      </c>
      <c r="D16" s="810"/>
      <c r="E16" s="703"/>
      <c r="F16" s="703"/>
      <c r="G16" s="822" t="str">
        <f>IF(Loadings=0,"Net","Gross")&amp;" Premium per member"</f>
        <v>Gross Premium per member</v>
      </c>
      <c r="H16" s="822"/>
      <c r="I16" s="703"/>
      <c r="J16" s="703"/>
      <c r="K16" s="703"/>
      <c r="L16" s="703"/>
      <c r="M16" s="822" t="str">
        <f>IF(Loadings=0,"Total Net","Total Gross")&amp;" Premium"</f>
        <v>Total Gross Premium</v>
      </c>
      <c r="N16" s="822"/>
      <c r="O16" s="822"/>
      <c r="P16" s="206"/>
      <c r="Q16" s="110"/>
      <c r="R16" s="110"/>
      <c r="S16" s="110"/>
      <c r="T16" s="188"/>
      <c r="U16" s="110"/>
      <c r="V16" s="110"/>
      <c r="W16" s="110"/>
      <c r="X16" s="110"/>
    </row>
    <row r="17" spans="1:25" ht="36" customHeight="1" x14ac:dyDescent="0.35">
      <c r="A17" s="207"/>
      <c r="B17" s="204"/>
      <c r="C17" s="810" t="s">
        <v>59</v>
      </c>
      <c r="D17" s="810"/>
      <c r="E17" s="810"/>
      <c r="F17" s="810"/>
      <c r="G17" s="810" t="s">
        <v>59</v>
      </c>
      <c r="H17" s="810"/>
      <c r="I17" s="810"/>
      <c r="J17" s="810"/>
      <c r="K17" s="703"/>
      <c r="L17" s="703"/>
      <c r="M17" s="810" t="s">
        <v>59</v>
      </c>
      <c r="N17" s="810"/>
      <c r="O17" s="810"/>
      <c r="P17" s="263"/>
      <c r="T17" s="188"/>
      <c r="U17" s="110"/>
      <c r="Y17" s="110" t="s">
        <v>80</v>
      </c>
    </row>
    <row r="18" spans="1:25" s="119" customFormat="1" ht="116.25" x14ac:dyDescent="0.2">
      <c r="A18" s="208"/>
      <c r="B18" s="705" t="s">
        <v>510</v>
      </c>
      <c r="C18" s="704" t="s">
        <v>617</v>
      </c>
      <c r="D18" s="705" t="s">
        <v>618</v>
      </c>
      <c r="E18" s="705"/>
      <c r="F18" s="705"/>
      <c r="G18" s="704" t="s">
        <v>619</v>
      </c>
      <c r="H18" s="704" t="s">
        <v>620</v>
      </c>
      <c r="I18" s="705"/>
      <c r="J18" s="705"/>
      <c r="K18" s="705"/>
      <c r="L18" s="705"/>
      <c r="M18" s="705" t="s">
        <v>100</v>
      </c>
      <c r="N18" s="705" t="s">
        <v>608</v>
      </c>
      <c r="O18" s="705" t="s">
        <v>179</v>
      </c>
      <c r="P18" s="702" t="s">
        <v>621</v>
      </c>
      <c r="Q18" s="110"/>
      <c r="R18" s="110"/>
      <c r="S18" s="110"/>
      <c r="T18" s="184"/>
    </row>
    <row r="19" spans="1:25" s="119" customFormat="1" ht="23.25" x14ac:dyDescent="0.2">
      <c r="A19" s="811" t="s">
        <v>63</v>
      </c>
      <c r="B19" s="705" t="s">
        <v>278</v>
      </c>
      <c r="C19" s="708">
        <f>(Computation!C6+Computation!D6)</f>
        <v>0</v>
      </c>
      <c r="D19" s="209"/>
      <c r="E19" s="210"/>
      <c r="F19" s="209"/>
      <c r="G19" s="210">
        <f>ROUND((IF(C19=0,'Census Data'!AY254,(Computation!I6+Computation!J6)/C19))/(1-Loadings),0)*(1+$W$7)</f>
        <v>0</v>
      </c>
      <c r="H19" s="209"/>
      <c r="I19" s="210"/>
      <c r="J19" s="209"/>
      <c r="K19" s="210"/>
      <c r="L19" s="210"/>
      <c r="M19" s="210">
        <f t="shared" ref="M19:M24" si="0">ROUND(G19*C19+D19*H19,0)</f>
        <v>0</v>
      </c>
      <c r="N19" s="814" t="str">
        <f>'Selected TOB DXB'!C9</f>
        <v/>
      </c>
      <c r="O19" s="815" t="str">
        <f>'Selected TOB DXB'!C12</f>
        <v/>
      </c>
      <c r="P19" s="833">
        <f>IFERROR(IF(O19="","",VLOOKUP(O19,'input for formula'!$A$28:$B$41,2,FALSE)/(1-Loadings))*IFERROR(1+VLOOKUP(A19,$V$7:$X$12,3,FALSE),1),0)</f>
        <v>0</v>
      </c>
      <c r="Q19" s="110"/>
      <c r="R19" s="110"/>
      <c r="S19" s="110"/>
      <c r="T19" s="161"/>
    </row>
    <row r="20" spans="1:25" ht="23.25" x14ac:dyDescent="0.25">
      <c r="A20" s="812"/>
      <c r="B20" s="705" t="s">
        <v>622</v>
      </c>
      <c r="C20" s="708">
        <f>(Computation!C7+Computation!D7)</f>
        <v>0</v>
      </c>
      <c r="D20" s="209">
        <f>Computation!E7</f>
        <v>0</v>
      </c>
      <c r="E20" s="210"/>
      <c r="F20" s="209"/>
      <c r="G20" s="210">
        <f>ROUND((IF(C20=0,'Census Data'!AY255,(Computation!I7+Computation!J7)/C20))/(1-Loadings),0)*(1+$W$7)</f>
        <v>0</v>
      </c>
      <c r="H20" s="209">
        <f>+ROUND((IF(Computation!E7=0,'Census Data'!AV255,(Computation!K7)/D20))/(1-Loadings),0)*(1+$X$7)</f>
        <v>0</v>
      </c>
      <c r="I20" s="210"/>
      <c r="J20" s="209"/>
      <c r="K20" s="210"/>
      <c r="L20" s="210"/>
      <c r="M20" s="210">
        <f t="shared" si="0"/>
        <v>0</v>
      </c>
      <c r="N20" s="814"/>
      <c r="O20" s="815"/>
      <c r="P20" s="832"/>
    </row>
    <row r="21" spans="1:25" ht="23.25" x14ac:dyDescent="0.25">
      <c r="A21" s="812"/>
      <c r="B21" s="705" t="s">
        <v>623</v>
      </c>
      <c r="C21" s="708">
        <f>(Computation!C8+Computation!D8)</f>
        <v>0</v>
      </c>
      <c r="D21" s="209">
        <f>Computation!E8</f>
        <v>0</v>
      </c>
      <c r="E21" s="210"/>
      <c r="F21" s="209"/>
      <c r="G21" s="210">
        <f>ROUND((IF(C21=0,'Census Data'!AY256,(Computation!I8+Computation!J8)/C21))/(1-Loadings),0)*(1+$W$7)</f>
        <v>0</v>
      </c>
      <c r="H21" s="209">
        <f>+ROUND((IF(Computation!E8=0,'Census Data'!AV256,(Computation!K8)/D21))/(1-Loadings),0)*(1+$X$7)</f>
        <v>0</v>
      </c>
      <c r="I21" s="210"/>
      <c r="J21" s="209"/>
      <c r="K21" s="210"/>
      <c r="L21" s="210"/>
      <c r="M21" s="210">
        <f t="shared" si="0"/>
        <v>0</v>
      </c>
      <c r="N21" s="814"/>
      <c r="O21" s="815"/>
      <c r="P21" s="832"/>
    </row>
    <row r="22" spans="1:25" ht="23.25" x14ac:dyDescent="0.25">
      <c r="A22" s="812"/>
      <c r="B22" s="705" t="s">
        <v>624</v>
      </c>
      <c r="C22" s="708">
        <f>(Computation!C9+Computation!D9)</f>
        <v>0</v>
      </c>
      <c r="D22" s="209">
        <f>Computation!E9</f>
        <v>0</v>
      </c>
      <c r="E22" s="210"/>
      <c r="F22" s="209"/>
      <c r="G22" s="210">
        <f>ROUND((IF(C22=0,'Census Data'!AY257,(Computation!I9+Computation!J9)/C22))/(1-Loadings),0)*(1+$W$7)</f>
        <v>0</v>
      </c>
      <c r="H22" s="209">
        <f>+ROUND((IF(Computation!E9=0,'Census Data'!AV257,(Computation!K9)/D22))/(1-Loadings),0)*(1+$X$7)</f>
        <v>0</v>
      </c>
      <c r="I22" s="210"/>
      <c r="J22" s="209"/>
      <c r="K22" s="210"/>
      <c r="L22" s="210"/>
      <c r="M22" s="210">
        <f t="shared" si="0"/>
        <v>0</v>
      </c>
      <c r="N22" s="814"/>
      <c r="O22" s="815"/>
      <c r="P22" s="832"/>
    </row>
    <row r="23" spans="1:25" ht="23.25" x14ac:dyDescent="0.25">
      <c r="A23" s="812"/>
      <c r="B23" s="705" t="s">
        <v>625</v>
      </c>
      <c r="C23" s="708">
        <f>(Computation!C10+Computation!D10)</f>
        <v>0</v>
      </c>
      <c r="D23" s="209"/>
      <c r="E23" s="210"/>
      <c r="F23" s="209"/>
      <c r="G23" s="210">
        <f>ROUND((IF(C23=0,'Census Data'!AY258,(Computation!I10+Computation!J10)/C23))/(1-Loadings),0)*(1+$W$7)</f>
        <v>0</v>
      </c>
      <c r="H23" s="209"/>
      <c r="I23" s="210"/>
      <c r="J23" s="209"/>
      <c r="K23" s="210"/>
      <c r="L23" s="210"/>
      <c r="M23" s="210">
        <f t="shared" si="0"/>
        <v>0</v>
      </c>
      <c r="N23" s="814"/>
      <c r="O23" s="815"/>
      <c r="P23" s="832"/>
    </row>
    <row r="24" spans="1:25" ht="23.25" x14ac:dyDescent="0.25">
      <c r="A24" s="812"/>
      <c r="B24" s="705" t="s">
        <v>626</v>
      </c>
      <c r="C24" s="708">
        <f>(Computation!C11+Computation!D11)</f>
        <v>0</v>
      </c>
      <c r="D24" s="209"/>
      <c r="E24" s="210"/>
      <c r="F24" s="209"/>
      <c r="G24" s="210">
        <f>ROUND((IF(C24=0,'Census Data'!AY259,(Computation!I11+Computation!J11)/C24))/(1-Loadings),0)*(1+$W$7)</f>
        <v>0</v>
      </c>
      <c r="H24" s="209"/>
      <c r="I24" s="210"/>
      <c r="J24" s="209"/>
      <c r="K24" s="210"/>
      <c r="L24" s="210"/>
      <c r="M24" s="210">
        <f t="shared" si="0"/>
        <v>0</v>
      </c>
      <c r="N24" s="814"/>
      <c r="O24" s="815"/>
      <c r="P24" s="832"/>
    </row>
    <row r="25" spans="1:25" ht="23.25" x14ac:dyDescent="0.25">
      <c r="A25" s="812"/>
      <c r="B25" s="705" t="s">
        <v>627</v>
      </c>
      <c r="C25" s="708">
        <f>(Computation!C12+Computation!D12)</f>
        <v>0</v>
      </c>
      <c r="D25" s="209"/>
      <c r="E25" s="210"/>
      <c r="F25" s="209"/>
      <c r="G25" s="210">
        <f>ROUND((IF(C25=0,'Census Data'!AY260,(Computation!I12+Computation!J12)/C25))/(1-Loadings),0)*(1+$W$7)</f>
        <v>0</v>
      </c>
      <c r="H25" s="209"/>
      <c r="I25" s="210"/>
      <c r="J25" s="209"/>
      <c r="K25" s="210"/>
      <c r="L25" s="210"/>
      <c r="M25" s="210">
        <f t="shared" ref="M25:M41" si="1">ROUND(G25*C25+D25*H25,0)</f>
        <v>0</v>
      </c>
      <c r="N25" s="814"/>
      <c r="O25" s="815"/>
      <c r="P25" s="832"/>
    </row>
    <row r="26" spans="1:25" ht="23.25" x14ac:dyDescent="0.25">
      <c r="A26" s="813"/>
      <c r="B26" s="705" t="s">
        <v>628</v>
      </c>
      <c r="C26" s="709">
        <f>SUM(C19:C25)</f>
        <v>0</v>
      </c>
      <c r="D26" s="231">
        <f>SUM(D19:D25)</f>
        <v>0</v>
      </c>
      <c r="E26" s="211"/>
      <c r="F26" s="231"/>
      <c r="G26" s="211">
        <f>IF(C26=0,0,SUMPRODUCT(G19:G25,C19:C25)/C26)</f>
        <v>0</v>
      </c>
      <c r="H26" s="231">
        <f>IF(D26=0,0,SUMPRODUCT(H19:H25,D19:D25)/D26)</f>
        <v>0</v>
      </c>
      <c r="I26" s="211"/>
      <c r="J26" s="231"/>
      <c r="K26" s="211"/>
      <c r="L26" s="211"/>
      <c r="M26" s="211">
        <f>SUM(M19:M25)</f>
        <v>0</v>
      </c>
      <c r="N26" s="814"/>
      <c r="O26" s="815"/>
      <c r="P26" s="832"/>
    </row>
    <row r="27" spans="1:25" s="119" customFormat="1" ht="23.25" x14ac:dyDescent="0.2">
      <c r="A27" s="811" t="s">
        <v>64</v>
      </c>
      <c r="B27" s="705" t="s">
        <v>278</v>
      </c>
      <c r="C27" s="710">
        <f>(Computation!C13+Computation!D13)</f>
        <v>0</v>
      </c>
      <c r="D27" s="218"/>
      <c r="E27" s="217"/>
      <c r="F27" s="218"/>
      <c r="G27" s="217">
        <f>ROUND((IF(C27=0,'Census Data'!AY261,(Computation!I13+Computation!J13)/C27))/(1-Loadings),0)*(1+$W$7)</f>
        <v>0</v>
      </c>
      <c r="H27" s="218"/>
      <c r="I27" s="217"/>
      <c r="J27" s="218"/>
      <c r="K27" s="217"/>
      <c r="L27" s="217"/>
      <c r="M27" s="217">
        <f t="shared" si="1"/>
        <v>0</v>
      </c>
      <c r="N27" s="816" t="str">
        <f>'Selected TOB DXB'!E9</f>
        <v/>
      </c>
      <c r="O27" s="817" t="str">
        <f>'Selected TOB DXB'!E12</f>
        <v/>
      </c>
      <c r="P27" s="831">
        <f>IFERROR(IF(O27="","",VLOOKUP(O27,'input for formula'!$A$28:$B$41,2,FALSE)/(1-Loadings))*IFERROR(1+VLOOKUP(A27,$V$7:$X$12,3,FALSE),1),0)</f>
        <v>0</v>
      </c>
      <c r="Q27" s="110"/>
      <c r="R27" s="110"/>
      <c r="S27" s="110"/>
      <c r="T27" s="163"/>
    </row>
    <row r="28" spans="1:25" ht="23.25" x14ac:dyDescent="0.25">
      <c r="A28" s="812"/>
      <c r="B28" s="705" t="s">
        <v>622</v>
      </c>
      <c r="C28" s="710">
        <f>(Computation!C14+Computation!D14)</f>
        <v>0</v>
      </c>
      <c r="D28" s="218">
        <f>Computation!E14</f>
        <v>0</v>
      </c>
      <c r="E28" s="217"/>
      <c r="F28" s="218"/>
      <c r="G28" s="217">
        <f>ROUND((IF(C28=0,'Census Data'!AY262,(Computation!I14+Computation!J14)/C28))/(1-Loadings),0)*(1+$W$7)</f>
        <v>0</v>
      </c>
      <c r="H28" s="218">
        <f>+ROUND((IF(Computation!E14=0,'Census Data'!AV262,(Computation!K14)/D28))/(1-Loadings),0)*(1+$X$7)</f>
        <v>0</v>
      </c>
      <c r="I28" s="217"/>
      <c r="J28" s="218"/>
      <c r="K28" s="217"/>
      <c r="L28" s="217"/>
      <c r="M28" s="217">
        <f t="shared" si="1"/>
        <v>0</v>
      </c>
      <c r="N28" s="816"/>
      <c r="O28" s="817"/>
      <c r="P28" s="831"/>
    </row>
    <row r="29" spans="1:25" ht="23.25" x14ac:dyDescent="0.25">
      <c r="A29" s="812"/>
      <c r="B29" s="705" t="s">
        <v>623</v>
      </c>
      <c r="C29" s="710">
        <f>(Computation!C15+Computation!D15)</f>
        <v>0</v>
      </c>
      <c r="D29" s="218">
        <f>Computation!E15</f>
        <v>0</v>
      </c>
      <c r="E29" s="217"/>
      <c r="F29" s="218"/>
      <c r="G29" s="217">
        <f>ROUND((IF(C29=0,'Census Data'!AY263,(Computation!I15+Computation!J15)/C29))/(1-Loadings),0)*(1+$W$7)</f>
        <v>0</v>
      </c>
      <c r="H29" s="218">
        <f>+ROUND((IF(Computation!E15=0,'Census Data'!AV263,(Computation!K15)/D29))/(1-Loadings),0)*(1+$X$7)</f>
        <v>0</v>
      </c>
      <c r="I29" s="217"/>
      <c r="J29" s="218"/>
      <c r="K29" s="217"/>
      <c r="L29" s="217"/>
      <c r="M29" s="217">
        <f t="shared" si="1"/>
        <v>0</v>
      </c>
      <c r="N29" s="816"/>
      <c r="O29" s="817"/>
      <c r="P29" s="831"/>
    </row>
    <row r="30" spans="1:25" ht="23.25" x14ac:dyDescent="0.25">
      <c r="A30" s="812"/>
      <c r="B30" s="705" t="s">
        <v>624</v>
      </c>
      <c r="C30" s="710">
        <f>(Computation!C16+Computation!D16)</f>
        <v>0</v>
      </c>
      <c r="D30" s="218">
        <f>Computation!E16</f>
        <v>0</v>
      </c>
      <c r="E30" s="217"/>
      <c r="F30" s="218"/>
      <c r="G30" s="217">
        <f>ROUND((IF(C30=0,'Census Data'!AY264,(Computation!I16+Computation!J16)/C30))/(1-Loadings),0)*(1+$W$7)</f>
        <v>0</v>
      </c>
      <c r="H30" s="218">
        <f>+ROUND((IF(Computation!E16=0,'Census Data'!AV264,(Computation!K16)/D30))/(1-Loadings),0)*(1+$X$7)</f>
        <v>0</v>
      </c>
      <c r="I30" s="217"/>
      <c r="J30" s="218"/>
      <c r="K30" s="217"/>
      <c r="L30" s="217"/>
      <c r="M30" s="217">
        <f t="shared" si="1"/>
        <v>0</v>
      </c>
      <c r="N30" s="816"/>
      <c r="O30" s="817"/>
      <c r="P30" s="831"/>
    </row>
    <row r="31" spans="1:25" ht="23.25" x14ac:dyDescent="0.25">
      <c r="A31" s="812"/>
      <c r="B31" s="705" t="s">
        <v>625</v>
      </c>
      <c r="C31" s="710">
        <f>(Computation!C17+Computation!D17)</f>
        <v>0</v>
      </c>
      <c r="D31" s="218"/>
      <c r="E31" s="217"/>
      <c r="F31" s="218"/>
      <c r="G31" s="217">
        <f>ROUND((IF(C31=0,'Census Data'!AY265,(Computation!I17+Computation!J17)/C31))/(1-Loadings),0)*(1+$W$7)</f>
        <v>0</v>
      </c>
      <c r="H31" s="218"/>
      <c r="I31" s="217"/>
      <c r="J31" s="218"/>
      <c r="K31" s="217"/>
      <c r="L31" s="217"/>
      <c r="M31" s="217">
        <f t="shared" si="1"/>
        <v>0</v>
      </c>
      <c r="N31" s="816"/>
      <c r="O31" s="817"/>
      <c r="P31" s="831"/>
    </row>
    <row r="32" spans="1:25" ht="23.25" x14ac:dyDescent="0.25">
      <c r="A32" s="812"/>
      <c r="B32" s="705" t="s">
        <v>626</v>
      </c>
      <c r="C32" s="710">
        <f>(Computation!C18+Computation!D18)</f>
        <v>0</v>
      </c>
      <c r="D32" s="218"/>
      <c r="E32" s="217"/>
      <c r="F32" s="218"/>
      <c r="G32" s="217">
        <f>ROUND((IF(C32=0,'Census Data'!AY266,(Computation!I18+Computation!J18)/C32))/(1-Loadings),0)*(1+$W$7)</f>
        <v>0</v>
      </c>
      <c r="H32" s="218"/>
      <c r="I32" s="217"/>
      <c r="J32" s="218"/>
      <c r="K32" s="217"/>
      <c r="L32" s="217"/>
      <c r="M32" s="217">
        <f t="shared" si="1"/>
        <v>0</v>
      </c>
      <c r="N32" s="816"/>
      <c r="O32" s="817"/>
      <c r="P32" s="831"/>
    </row>
    <row r="33" spans="1:20" ht="23.25" x14ac:dyDescent="0.25">
      <c r="A33" s="812"/>
      <c r="B33" s="705" t="s">
        <v>627</v>
      </c>
      <c r="C33" s="710">
        <f>(Computation!C19+Computation!D19)</f>
        <v>0</v>
      </c>
      <c r="D33" s="218"/>
      <c r="E33" s="217"/>
      <c r="F33" s="218"/>
      <c r="G33" s="217">
        <f>ROUND((IF(C33=0,'Census Data'!AY267,(Computation!I19+Computation!J19)/C33))/(1-Loadings),0)*(1+$W$7)</f>
        <v>0</v>
      </c>
      <c r="H33" s="218"/>
      <c r="I33" s="217"/>
      <c r="J33" s="218"/>
      <c r="K33" s="217"/>
      <c r="L33" s="217"/>
      <c r="M33" s="217">
        <f t="shared" si="1"/>
        <v>0</v>
      </c>
      <c r="N33" s="816"/>
      <c r="O33" s="817"/>
      <c r="P33" s="831"/>
    </row>
    <row r="34" spans="1:20" ht="23.25" x14ac:dyDescent="0.25">
      <c r="A34" s="813"/>
      <c r="B34" s="705" t="s">
        <v>629</v>
      </c>
      <c r="C34" s="711">
        <f>SUM(C27:C33)</f>
        <v>0</v>
      </c>
      <c r="D34" s="232">
        <f>SUM(D27:D33)</f>
        <v>0</v>
      </c>
      <c r="E34" s="233"/>
      <c r="F34" s="232"/>
      <c r="G34" s="233">
        <f>IF(C34=0,0,SUMPRODUCT(G27:G33,C27:C33)/C34)</f>
        <v>0</v>
      </c>
      <c r="H34" s="232">
        <f>IF(D34=0,0,SUMPRODUCT(H27:H33,D27:D33)/D34)</f>
        <v>0</v>
      </c>
      <c r="I34" s="233"/>
      <c r="J34" s="232"/>
      <c r="K34" s="233"/>
      <c r="L34" s="233"/>
      <c r="M34" s="233">
        <f>SUM(M27:M33)</f>
        <v>0</v>
      </c>
      <c r="N34" s="816"/>
      <c r="O34" s="817"/>
      <c r="P34" s="831"/>
    </row>
    <row r="35" spans="1:20" s="119" customFormat="1" ht="23.25" x14ac:dyDescent="0.2">
      <c r="A35" s="811" t="s">
        <v>65</v>
      </c>
      <c r="B35" s="705" t="s">
        <v>278</v>
      </c>
      <c r="C35" s="708">
        <f>(Computation!C20+Computation!D20)</f>
        <v>0</v>
      </c>
      <c r="D35" s="209"/>
      <c r="E35" s="210"/>
      <c r="F35" s="209"/>
      <c r="G35" s="210">
        <f>ROUND((IF(C35=0,'Census Data'!AY268,(Computation!I20+Computation!J20)/C35))/(1-Loadings),0)*(1+$W$7)</f>
        <v>0</v>
      </c>
      <c r="H35" s="209"/>
      <c r="I35" s="210"/>
      <c r="J35" s="209"/>
      <c r="K35" s="210"/>
      <c r="L35" s="210"/>
      <c r="M35" s="210">
        <f t="shared" si="1"/>
        <v>0</v>
      </c>
      <c r="N35" s="814" t="str">
        <f>'Selected TOB DXB'!G9</f>
        <v/>
      </c>
      <c r="O35" s="815" t="str">
        <f>'Selected TOB DXB'!G12</f>
        <v/>
      </c>
      <c r="P35" s="832">
        <f>IFERROR(IF(O35="","",VLOOKUP(O35,'input for formula'!$A$28:$B$41,2,FALSE)/(1-Loadings))*IFERROR(1+VLOOKUP(A35,$V$7:$X$12,3,FALSE),1),0)</f>
        <v>0</v>
      </c>
      <c r="Q35" s="110"/>
      <c r="R35" s="110"/>
      <c r="S35" s="110"/>
      <c r="T35" s="161"/>
    </row>
    <row r="36" spans="1:20" ht="23.25" x14ac:dyDescent="0.25">
      <c r="A36" s="812"/>
      <c r="B36" s="705" t="s">
        <v>622</v>
      </c>
      <c r="C36" s="708">
        <f>(Computation!C21+Computation!D21)</f>
        <v>0</v>
      </c>
      <c r="D36" s="209">
        <f>Computation!E21</f>
        <v>0</v>
      </c>
      <c r="E36" s="210"/>
      <c r="F36" s="209"/>
      <c r="G36" s="210">
        <f>ROUND((IF(C36=0,'Census Data'!AY269,(Computation!I21+Computation!J21)/C36))/(1-Loadings),0)*(1+$W$7)</f>
        <v>0</v>
      </c>
      <c r="H36" s="209">
        <f>+ROUND((IF(Computation!E21=0,'Census Data'!AV269,(Computation!K21)/D36))/(1-Loadings),0)*(1+$X$7)</f>
        <v>0</v>
      </c>
      <c r="I36" s="210"/>
      <c r="J36" s="209"/>
      <c r="K36" s="210"/>
      <c r="L36" s="210"/>
      <c r="M36" s="210">
        <f t="shared" si="1"/>
        <v>0</v>
      </c>
      <c r="N36" s="814"/>
      <c r="O36" s="815"/>
      <c r="P36" s="832"/>
    </row>
    <row r="37" spans="1:20" ht="23.25" x14ac:dyDescent="0.25">
      <c r="A37" s="812"/>
      <c r="B37" s="705" t="s">
        <v>623</v>
      </c>
      <c r="C37" s="708">
        <f>(Computation!C22+Computation!D22)</f>
        <v>0</v>
      </c>
      <c r="D37" s="209">
        <f>Computation!E22</f>
        <v>0</v>
      </c>
      <c r="E37" s="210"/>
      <c r="F37" s="209"/>
      <c r="G37" s="210">
        <f>ROUND((IF(C37=0,'Census Data'!AY270,(Computation!I22+Computation!J22)/C37))/(1-Loadings),0)*(1+$W$7)</f>
        <v>0</v>
      </c>
      <c r="H37" s="209">
        <f>+ROUND((IF(Computation!E22=0,'Census Data'!AV270,(Computation!K22)/D37))/(1-Loadings),0)*(1+$X$7)</f>
        <v>0</v>
      </c>
      <c r="I37" s="210"/>
      <c r="J37" s="209"/>
      <c r="K37" s="210"/>
      <c r="L37" s="210"/>
      <c r="M37" s="210">
        <f t="shared" si="1"/>
        <v>0</v>
      </c>
      <c r="N37" s="814"/>
      <c r="O37" s="815"/>
      <c r="P37" s="832"/>
    </row>
    <row r="38" spans="1:20" ht="23.25" x14ac:dyDescent="0.25">
      <c r="A38" s="812"/>
      <c r="B38" s="705" t="s">
        <v>624</v>
      </c>
      <c r="C38" s="708">
        <f>(Computation!C23+Computation!D23)</f>
        <v>0</v>
      </c>
      <c r="D38" s="209">
        <f>Computation!E23</f>
        <v>0</v>
      </c>
      <c r="E38" s="210"/>
      <c r="F38" s="209"/>
      <c r="G38" s="210">
        <f>ROUND((IF(C38=0,'Census Data'!AY271,(Computation!I23+Computation!J23)/C38))/(1-Loadings),0)*(1+$W$7)</f>
        <v>0</v>
      </c>
      <c r="H38" s="209">
        <f>+ROUND((IF(Computation!E23=0,'Census Data'!AV271,(Computation!K23)/D38))/(1-Loadings),0)*(1+$X$7)</f>
        <v>0</v>
      </c>
      <c r="I38" s="210"/>
      <c r="J38" s="209"/>
      <c r="K38" s="210"/>
      <c r="L38" s="210"/>
      <c r="M38" s="210">
        <f t="shared" si="1"/>
        <v>0</v>
      </c>
      <c r="N38" s="814"/>
      <c r="O38" s="815"/>
      <c r="P38" s="832"/>
    </row>
    <row r="39" spans="1:20" ht="23.25" x14ac:dyDescent="0.25">
      <c r="A39" s="812"/>
      <c r="B39" s="705" t="s">
        <v>625</v>
      </c>
      <c r="C39" s="708">
        <f>(Computation!C24+Computation!D24)</f>
        <v>0</v>
      </c>
      <c r="D39" s="209"/>
      <c r="E39" s="210"/>
      <c r="F39" s="209"/>
      <c r="G39" s="210">
        <f>ROUND((IF(C39=0,'Census Data'!AY272,(Computation!I24+Computation!J24)/C39))/(1-Loadings),0)*(1+$W$7)</f>
        <v>0</v>
      </c>
      <c r="H39" s="209"/>
      <c r="I39" s="210"/>
      <c r="J39" s="209"/>
      <c r="K39" s="210"/>
      <c r="L39" s="210"/>
      <c r="M39" s="210">
        <f t="shared" si="1"/>
        <v>0</v>
      </c>
      <c r="N39" s="814"/>
      <c r="O39" s="815"/>
      <c r="P39" s="832"/>
    </row>
    <row r="40" spans="1:20" ht="23.25" x14ac:dyDescent="0.25">
      <c r="A40" s="812"/>
      <c r="B40" s="705" t="s">
        <v>626</v>
      </c>
      <c r="C40" s="708">
        <f>(Computation!C25+Computation!D25)</f>
        <v>0</v>
      </c>
      <c r="D40" s="209"/>
      <c r="E40" s="210"/>
      <c r="F40" s="209"/>
      <c r="G40" s="210">
        <f>ROUND((IF(C40=0,'Census Data'!AY273,(Computation!I25+Computation!J25)/C40))/(1-Loadings),0)*(1+$W$7)</f>
        <v>0</v>
      </c>
      <c r="H40" s="209"/>
      <c r="I40" s="210"/>
      <c r="J40" s="209"/>
      <c r="K40" s="210"/>
      <c r="L40" s="210"/>
      <c r="M40" s="210">
        <f t="shared" si="1"/>
        <v>0</v>
      </c>
      <c r="N40" s="814"/>
      <c r="O40" s="815"/>
      <c r="P40" s="832"/>
    </row>
    <row r="41" spans="1:20" ht="23.25" x14ac:dyDescent="0.25">
      <c r="A41" s="812"/>
      <c r="B41" s="705" t="s">
        <v>627</v>
      </c>
      <c r="C41" s="708">
        <f>(Computation!C26+Computation!D26)</f>
        <v>0</v>
      </c>
      <c r="D41" s="209"/>
      <c r="E41" s="210"/>
      <c r="F41" s="209"/>
      <c r="G41" s="210">
        <f>ROUND((IF(C41=0,'Census Data'!AY274,(Computation!I26+Computation!J26)/C41))/(1-Loadings),0)*(1+$W$7)</f>
        <v>0</v>
      </c>
      <c r="H41" s="209"/>
      <c r="I41" s="210"/>
      <c r="J41" s="209"/>
      <c r="K41" s="210"/>
      <c r="L41" s="210"/>
      <c r="M41" s="210">
        <f t="shared" si="1"/>
        <v>0</v>
      </c>
      <c r="N41" s="814"/>
      <c r="O41" s="815"/>
      <c r="P41" s="832"/>
    </row>
    <row r="42" spans="1:20" ht="23.25" x14ac:dyDescent="0.25">
      <c r="A42" s="813"/>
      <c r="B42" s="705" t="s">
        <v>630</v>
      </c>
      <c r="C42" s="709">
        <f>SUM(C35:C41)</f>
        <v>0</v>
      </c>
      <c r="D42" s="231">
        <f>SUM(D35:D41)</f>
        <v>0</v>
      </c>
      <c r="E42" s="211"/>
      <c r="F42" s="231"/>
      <c r="G42" s="211">
        <f>IF(C42=0,0,SUMPRODUCT(G35:G41,C35:C41)/C42)</f>
        <v>0</v>
      </c>
      <c r="H42" s="231">
        <f>IF(D42=0,0,SUMPRODUCT(H35:H41,D35:D41)/D42)</f>
        <v>0</v>
      </c>
      <c r="I42" s="211"/>
      <c r="J42" s="231"/>
      <c r="K42" s="211"/>
      <c r="L42" s="211"/>
      <c r="M42" s="211">
        <f>SUM(M35:M41)</f>
        <v>0</v>
      </c>
      <c r="N42" s="814"/>
      <c r="O42" s="815"/>
      <c r="P42" s="832"/>
    </row>
    <row r="43" spans="1:20" s="119" customFormat="1" ht="23.25" hidden="1" x14ac:dyDescent="0.2">
      <c r="A43" s="811" t="s">
        <v>66</v>
      </c>
      <c r="B43" s="705" t="s">
        <v>278</v>
      </c>
      <c r="C43" s="710">
        <f>(Computation!AL27+Computation!AM27)</f>
        <v>0</v>
      </c>
      <c r="D43" s="218"/>
      <c r="E43" s="217"/>
      <c r="F43" s="218"/>
      <c r="G43" s="217">
        <f>ROUND((IF(C43=0,0,(Computation!AO27+Computation!AP27)/C43))/(1-Loadings),0)*(1+$W$10)+ROUND((IF(C43=0,0,(Computation!AQ27)/C43))/(1-Loadings),0)*(1+$X$10)</f>
        <v>0</v>
      </c>
      <c r="H43" s="218"/>
      <c r="I43" s="217"/>
      <c r="J43" s="218"/>
      <c r="K43" s="217"/>
      <c r="L43" s="217"/>
      <c r="M43" s="217">
        <f>ROUND(G43*C43,0)</f>
        <v>0</v>
      </c>
      <c r="N43" s="816" t="str">
        <f>'Selected TOB DXB'!I9</f>
        <v/>
      </c>
      <c r="O43" s="817" t="str">
        <f>'Selected TOB DXB'!I12</f>
        <v/>
      </c>
      <c r="P43" s="831">
        <f>IFERROR(IF(O43="","",VLOOKUP(O43,'input for formula'!$A$28:$B$41,2,FALSE)/(1-Loadings))*IFERROR(1+VLOOKUP(A43,$V$7:$X$12,3,FALSE),1),0)</f>
        <v>0</v>
      </c>
      <c r="Q43" s="110"/>
      <c r="R43" s="110"/>
      <c r="S43" s="110"/>
      <c r="T43" s="163"/>
    </row>
    <row r="44" spans="1:20" ht="23.25" hidden="1" x14ac:dyDescent="0.25">
      <c r="A44" s="812"/>
      <c r="B44" s="705" t="s">
        <v>280</v>
      </c>
      <c r="C44" s="710">
        <f>(Computation!AL28+Computation!AM28)</f>
        <v>0</v>
      </c>
      <c r="D44" s="218"/>
      <c r="E44" s="217"/>
      <c r="F44" s="218"/>
      <c r="G44" s="217">
        <f>ROUND((IF(C44=0,0,(Computation!AO28+Computation!AP28)/C44))/(1-Loadings),0)*(1+$W$10)+ROUND((IF(C44=0,0,(Computation!AQ28)/C44))/(1-Loadings),0)*(1+$X$10)</f>
        <v>0</v>
      </c>
      <c r="H44" s="218"/>
      <c r="I44" s="217"/>
      <c r="J44" s="218"/>
      <c r="K44" s="217"/>
      <c r="L44" s="217"/>
      <c r="M44" s="217">
        <f>ROUND(G44*C44,0)</f>
        <v>0</v>
      </c>
      <c r="N44" s="816"/>
      <c r="O44" s="817"/>
      <c r="P44" s="831"/>
    </row>
    <row r="45" spans="1:20" ht="23.25" hidden="1" x14ac:dyDescent="0.25">
      <c r="A45" s="812"/>
      <c r="B45" s="705" t="s">
        <v>282</v>
      </c>
      <c r="C45" s="710">
        <f>(Computation!AL29+Computation!AM29)</f>
        <v>0</v>
      </c>
      <c r="D45" s="218"/>
      <c r="E45" s="217"/>
      <c r="F45" s="218"/>
      <c r="G45" s="217">
        <f>ROUND((IF(C45=0,0,(Computation!AO29+Computation!AP29)/C45))/(1-Loadings),0)*(1+$W$10)+ROUND((IF(C45=0,0,(Computation!AQ29)/C45))/(1-Loadings),0)*(1+$X$10)</f>
        <v>0</v>
      </c>
      <c r="H45" s="218"/>
      <c r="I45" s="217"/>
      <c r="J45" s="218"/>
      <c r="K45" s="217"/>
      <c r="L45" s="217"/>
      <c r="M45" s="217">
        <f>ROUND(G45*C45,0)</f>
        <v>0</v>
      </c>
      <c r="N45" s="816"/>
      <c r="O45" s="817"/>
      <c r="P45" s="831"/>
    </row>
    <row r="46" spans="1:20" ht="23.25" hidden="1" x14ac:dyDescent="0.25">
      <c r="A46" s="812"/>
      <c r="B46" s="705" t="s">
        <v>284</v>
      </c>
      <c r="C46" s="710">
        <f>(Computation!AL30+Computation!AM30)</f>
        <v>0</v>
      </c>
      <c r="D46" s="218"/>
      <c r="E46" s="217"/>
      <c r="F46" s="218"/>
      <c r="G46" s="217">
        <f>ROUND((IF(C46=0,0,(Computation!AO30+Computation!AP30)/C46))/(1-Loadings),0)*(1+$W$10)+ROUND((IF(C46=0,0,(Computation!AQ30)/C46))/(1-Loadings),0)*(1+$X$10)</f>
        <v>0</v>
      </c>
      <c r="H46" s="218"/>
      <c r="I46" s="217"/>
      <c r="J46" s="218"/>
      <c r="K46" s="217"/>
      <c r="L46" s="217"/>
      <c r="M46" s="217">
        <f>ROUND(G46*C46,0)</f>
        <v>0</v>
      </c>
      <c r="N46" s="816"/>
      <c r="O46" s="817"/>
      <c r="P46" s="831"/>
    </row>
    <row r="47" spans="1:20" ht="23.25" hidden="1" x14ac:dyDescent="0.25">
      <c r="A47" s="813"/>
      <c r="B47" s="705" t="s">
        <v>631</v>
      </c>
      <c r="C47" s="711">
        <f>SUM(C43:C46)</f>
        <v>0</v>
      </c>
      <c r="D47" s="232"/>
      <c r="E47" s="233"/>
      <c r="F47" s="232"/>
      <c r="G47" s="233">
        <f>IF(C47=0,0,M47/C47)</f>
        <v>0</v>
      </c>
      <c r="H47" s="232"/>
      <c r="I47" s="233"/>
      <c r="J47" s="232"/>
      <c r="K47" s="233"/>
      <c r="L47" s="233"/>
      <c r="M47" s="233">
        <f>SUM(M43:M46)</f>
        <v>0</v>
      </c>
      <c r="N47" s="816"/>
      <c r="O47" s="817"/>
      <c r="P47" s="831"/>
    </row>
    <row r="48" spans="1:20" s="119" customFormat="1" ht="23.25" hidden="1" x14ac:dyDescent="0.2">
      <c r="A48" s="811" t="s">
        <v>67</v>
      </c>
      <c r="B48" s="705" t="s">
        <v>278</v>
      </c>
      <c r="C48" s="708">
        <f>(Computation!AL34+Computation!AM34)</f>
        <v>0</v>
      </c>
      <c r="D48" s="209"/>
      <c r="E48" s="210"/>
      <c r="F48" s="209"/>
      <c r="G48" s="210">
        <f>ROUND((IF(C48=0,0,(Computation!AO34+Computation!AP34)/C48))/(1-Loadings),0)*(1+$W$11)+ROUND((IF(C48=0,0,(Computation!AQ34)/C48))/(1-Loadings),0)*(1+$X$11)</f>
        <v>0</v>
      </c>
      <c r="H48" s="209"/>
      <c r="I48" s="210"/>
      <c r="J48" s="209"/>
      <c r="K48" s="210"/>
      <c r="L48" s="210"/>
      <c r="M48" s="210">
        <f>ROUND(G48*C48,0)</f>
        <v>0</v>
      </c>
      <c r="N48" s="814" t="str">
        <f>'Selected TOB DXB'!K9</f>
        <v/>
      </c>
      <c r="O48" s="815" t="str">
        <f>'Selected TOB DXB'!K12</f>
        <v/>
      </c>
      <c r="P48" s="832">
        <f>IFERROR(IF(O48="","",VLOOKUP(O48,'input for formula'!$A$28:$B$41,2,FALSE)/(1-Loadings))*IFERROR(1+VLOOKUP(A48,$V$7:$X$12,3,FALSE),1),0)</f>
        <v>0</v>
      </c>
      <c r="Q48" s="110"/>
      <c r="R48" s="110"/>
      <c r="S48" s="110"/>
      <c r="T48" s="161"/>
    </row>
    <row r="49" spans="1:22" ht="23.25" hidden="1" x14ac:dyDescent="0.25">
      <c r="A49" s="812"/>
      <c r="B49" s="705" t="s">
        <v>280</v>
      </c>
      <c r="C49" s="708">
        <f>(Computation!AL35+Computation!AM35)</f>
        <v>0</v>
      </c>
      <c r="D49" s="209"/>
      <c r="E49" s="210"/>
      <c r="F49" s="209"/>
      <c r="G49" s="210">
        <f>ROUND((IF(C49=0,0,(Computation!AO35+Computation!AP35)/C49))/(1-Loadings),0)*(1+$W$11)+ROUND((IF(C49=0,0,(Computation!AQ35)/C49))/(1-Loadings),0)*(1+$X$11)</f>
        <v>0</v>
      </c>
      <c r="H49" s="209"/>
      <c r="I49" s="210"/>
      <c r="J49" s="209"/>
      <c r="K49" s="210"/>
      <c r="L49" s="210"/>
      <c r="M49" s="210">
        <f>ROUND(G49*C49,0)</f>
        <v>0</v>
      </c>
      <c r="N49" s="814"/>
      <c r="O49" s="815"/>
      <c r="P49" s="832"/>
    </row>
    <row r="50" spans="1:22" ht="23.25" hidden="1" x14ac:dyDescent="0.25">
      <c r="A50" s="812"/>
      <c r="B50" s="705" t="s">
        <v>282</v>
      </c>
      <c r="C50" s="708">
        <f>(Computation!AL36+Computation!AM36)</f>
        <v>0</v>
      </c>
      <c r="D50" s="209"/>
      <c r="E50" s="210"/>
      <c r="F50" s="209"/>
      <c r="G50" s="210">
        <f>ROUND((IF(C50=0,0,(Computation!AO36+Computation!AP36)/C50))/(1-Loadings),0)*(1+$W$11)+ROUND((IF(C50=0,0,(Computation!AQ36)/C50))/(1-Loadings),0)*(1+$X$11)</f>
        <v>0</v>
      </c>
      <c r="H50" s="209"/>
      <c r="I50" s="210"/>
      <c r="J50" s="209"/>
      <c r="K50" s="210"/>
      <c r="L50" s="210"/>
      <c r="M50" s="210">
        <f>ROUND(G50*C50,0)</f>
        <v>0</v>
      </c>
      <c r="N50" s="814"/>
      <c r="O50" s="815"/>
      <c r="P50" s="832"/>
    </row>
    <row r="51" spans="1:22" ht="23.25" hidden="1" x14ac:dyDescent="0.25">
      <c r="A51" s="812"/>
      <c r="B51" s="705" t="s">
        <v>284</v>
      </c>
      <c r="C51" s="708">
        <f>(Computation!AL37+Computation!AM37)</f>
        <v>0</v>
      </c>
      <c r="D51" s="209"/>
      <c r="E51" s="210"/>
      <c r="F51" s="209"/>
      <c r="G51" s="210">
        <f>ROUND((IF(C51=0,0,(Computation!AO37+Computation!AP37)/C51))/(1-Loadings),0)*(1+$W$11)+ROUND((IF(C51=0,0,(Computation!AQ37)/C51))/(1-Loadings),0)*(1+$X$11)</f>
        <v>0</v>
      </c>
      <c r="H51" s="209"/>
      <c r="I51" s="210"/>
      <c r="J51" s="209"/>
      <c r="K51" s="210"/>
      <c r="L51" s="210"/>
      <c r="M51" s="210">
        <f>ROUND(G51*C51,0)</f>
        <v>0</v>
      </c>
      <c r="N51" s="814"/>
      <c r="O51" s="815"/>
      <c r="P51" s="832"/>
    </row>
    <row r="52" spans="1:22" ht="23.25" hidden="1" x14ac:dyDescent="0.25">
      <c r="A52" s="813"/>
      <c r="B52" s="705" t="s">
        <v>632</v>
      </c>
      <c r="C52" s="709">
        <f>SUM(C48:C51)</f>
        <v>0</v>
      </c>
      <c r="D52" s="231"/>
      <c r="E52" s="211"/>
      <c r="F52" s="231"/>
      <c r="G52" s="211">
        <f>IF(C52=0,0,M52/C52)</f>
        <v>0</v>
      </c>
      <c r="H52" s="231"/>
      <c r="I52" s="211"/>
      <c r="J52" s="231"/>
      <c r="K52" s="211"/>
      <c r="L52" s="211"/>
      <c r="M52" s="211">
        <f>SUM(M48:M51)</f>
        <v>0</v>
      </c>
      <c r="N52" s="814"/>
      <c r="O52" s="815"/>
      <c r="P52" s="832"/>
    </row>
    <row r="53" spans="1:22" s="119" customFormat="1" ht="23.25" hidden="1" x14ac:dyDescent="0.2">
      <c r="A53" s="811" t="s">
        <v>68</v>
      </c>
      <c r="B53" s="705" t="s">
        <v>278</v>
      </c>
      <c r="C53" s="710">
        <f>(Computation!AL41+Computation!AM41)</f>
        <v>0</v>
      </c>
      <c r="D53" s="218"/>
      <c r="E53" s="217"/>
      <c r="F53" s="218"/>
      <c r="G53" s="217">
        <f>ROUND((IF(C53=0,0,(Computation!AO41+Computation!AP41)/C53))/(1-Loadings),0)*(1+$W$12)+ROUND((IF(C53=0,0,(Computation!AQ41)/C53))/(1-Loadings),0)*(1+$X$12)</f>
        <v>0</v>
      </c>
      <c r="H53" s="218"/>
      <c r="I53" s="217"/>
      <c r="J53" s="218"/>
      <c r="K53" s="217"/>
      <c r="L53" s="217"/>
      <c r="M53" s="217">
        <f>ROUND(G53*C53,0)</f>
        <v>0</v>
      </c>
      <c r="N53" s="816" t="str">
        <f>'Selected TOB DXB'!M9</f>
        <v/>
      </c>
      <c r="O53" s="817" t="str">
        <f>'Selected TOB DXB'!M12</f>
        <v/>
      </c>
      <c r="P53" s="831">
        <f>IFERROR(IF(O53="","",VLOOKUP(O53,'input for formula'!$A$28:$B$41,2,FALSE)/(1-Loadings))*IFERROR(1+VLOOKUP(A53,$V$7:$X$12,3,FALSE),1),0)</f>
        <v>0</v>
      </c>
      <c r="Q53" s="110"/>
      <c r="R53" s="110"/>
      <c r="S53" s="110"/>
      <c r="T53" s="163"/>
    </row>
    <row r="54" spans="1:22" ht="23.25" hidden="1" x14ac:dyDescent="0.25">
      <c r="A54" s="812"/>
      <c r="B54" s="705" t="s">
        <v>280</v>
      </c>
      <c r="C54" s="710">
        <f>(Computation!AL42+Computation!AM42)</f>
        <v>0</v>
      </c>
      <c r="D54" s="218"/>
      <c r="E54" s="217"/>
      <c r="F54" s="218"/>
      <c r="G54" s="217">
        <f>ROUND((IF(C54=0,0,(Computation!AO42+Computation!AP42)/C54))/(1-Loadings),0)*(1+$W$12)+ROUND((IF(C54=0,0,(Computation!AQ42)/C54))/(1-Loadings),0)*(1+$X$12)</f>
        <v>0</v>
      </c>
      <c r="H54" s="218"/>
      <c r="I54" s="217"/>
      <c r="J54" s="218"/>
      <c r="K54" s="217"/>
      <c r="L54" s="217"/>
      <c r="M54" s="217">
        <f>ROUND(G54*C54,0)</f>
        <v>0</v>
      </c>
      <c r="N54" s="816"/>
      <c r="O54" s="817"/>
      <c r="P54" s="831"/>
    </row>
    <row r="55" spans="1:22" ht="23.25" hidden="1" x14ac:dyDescent="0.25">
      <c r="A55" s="812"/>
      <c r="B55" s="705" t="s">
        <v>282</v>
      </c>
      <c r="C55" s="710">
        <f>(Computation!AL43+Computation!AM43)</f>
        <v>0</v>
      </c>
      <c r="D55" s="218"/>
      <c r="E55" s="217"/>
      <c r="F55" s="218"/>
      <c r="G55" s="217">
        <f>ROUND((IF(C55=0,0,(Computation!AO43+Computation!AP43)/C55))/(1-Loadings),0)*(1+$W$12)+ROUND((IF(C55=0,0,(Computation!AQ43)/C55))/(1-Loadings),0)*(1+$X$12)</f>
        <v>0</v>
      </c>
      <c r="H55" s="218"/>
      <c r="I55" s="217"/>
      <c r="J55" s="218"/>
      <c r="K55" s="217"/>
      <c r="L55" s="217"/>
      <c r="M55" s="217">
        <f>ROUND(G55*C55,0)</f>
        <v>0</v>
      </c>
      <c r="N55" s="816"/>
      <c r="O55" s="817"/>
      <c r="P55" s="831"/>
    </row>
    <row r="56" spans="1:22" ht="23.25" hidden="1" x14ac:dyDescent="0.25">
      <c r="A56" s="812"/>
      <c r="B56" s="705" t="s">
        <v>284</v>
      </c>
      <c r="C56" s="710">
        <f>(Computation!AL44+Computation!AM44)</f>
        <v>0</v>
      </c>
      <c r="D56" s="218"/>
      <c r="E56" s="217"/>
      <c r="F56" s="218"/>
      <c r="G56" s="217">
        <f>ROUND((IF(C56=0,0,(Computation!AO44+Computation!AP44)/C56))/(1-Loadings),0)*(1+$W$12)+ROUND((IF(C56=0,0,(Computation!AQ44)/C56))/(1-Loadings),0)*(1+$X$12)</f>
        <v>0</v>
      </c>
      <c r="H56" s="218"/>
      <c r="I56" s="217"/>
      <c r="J56" s="218"/>
      <c r="K56" s="217"/>
      <c r="L56" s="217"/>
      <c r="M56" s="217">
        <f>ROUND(G56*C56,0)</f>
        <v>0</v>
      </c>
      <c r="N56" s="816"/>
      <c r="O56" s="817"/>
      <c r="P56" s="831"/>
    </row>
    <row r="57" spans="1:22" ht="23.25" hidden="1" x14ac:dyDescent="0.25">
      <c r="A57" s="813"/>
      <c r="B57" s="705" t="s">
        <v>633</v>
      </c>
      <c r="C57" s="711">
        <f>SUM(C53:C56)</f>
        <v>0</v>
      </c>
      <c r="D57" s="232"/>
      <c r="E57" s="233"/>
      <c r="F57" s="232"/>
      <c r="G57" s="233">
        <f>IF(C57=0,0,M57/C57)</f>
        <v>0</v>
      </c>
      <c r="H57" s="232"/>
      <c r="I57" s="233"/>
      <c r="J57" s="232"/>
      <c r="K57" s="233"/>
      <c r="L57" s="233"/>
      <c r="M57" s="233">
        <f>SUM(M53:M56)</f>
        <v>0</v>
      </c>
      <c r="N57" s="816"/>
      <c r="O57" s="817"/>
      <c r="P57" s="831"/>
    </row>
    <row r="58" spans="1:22" s="119" customFormat="1" ht="23.25" x14ac:dyDescent="0.2">
      <c r="A58" s="478" t="s">
        <v>634</v>
      </c>
      <c r="B58" s="704" t="s">
        <v>635</v>
      </c>
      <c r="C58" s="712">
        <f>C57+C52+C47+C42+C34+C26</f>
        <v>0</v>
      </c>
      <c r="D58" s="713">
        <f>D57+D52+D47+D42+D34+D26</f>
        <v>0</v>
      </c>
      <c r="E58" s="714"/>
      <c r="F58" s="713"/>
      <c r="G58" s="714">
        <f>IF(C58=0,0,(M58-H26*D26-H34*D34-H42*D42)/C58)</f>
        <v>0</v>
      </c>
      <c r="H58" s="713">
        <f>IF(D58=0,0,(H26*D26+H34*D34+H42*D42)/D58)</f>
        <v>0</v>
      </c>
      <c r="I58" s="714"/>
      <c r="J58" s="713"/>
      <c r="K58" s="714"/>
      <c r="L58" s="714"/>
      <c r="M58" s="714">
        <f>M57+M52+M47+M42+M34+M26</f>
        <v>0</v>
      </c>
      <c r="N58" s="714"/>
      <c r="O58" s="715"/>
      <c r="P58" s="473"/>
      <c r="Q58" s="110"/>
      <c r="R58" s="110"/>
      <c r="S58" s="110"/>
      <c r="T58" s="166"/>
      <c r="U58" s="374"/>
      <c r="V58" s="264"/>
    </row>
    <row r="59" spans="1:22" s="119" customFormat="1" ht="36.75" customHeight="1" x14ac:dyDescent="0.25">
      <c r="A59" s="809" t="str">
        <f>IF(U60=0,"","Important note: This quotation includes standard premium for "&amp;U60&amp;" member"&amp;IF(U60&gt;1,"s","")&amp;" between age 60-69 "&amp;"Please refer to Reinsurer if any condition is declared in the Medical Application Form.")</f>
        <v/>
      </c>
      <c r="B59" s="809"/>
      <c r="C59" s="809"/>
      <c r="D59" s="809"/>
      <c r="E59" s="809"/>
      <c r="F59" s="809"/>
      <c r="G59" s="809"/>
      <c r="H59" s="809"/>
      <c r="I59" s="809"/>
      <c r="J59" s="809"/>
      <c r="K59" s="809"/>
      <c r="L59" s="809"/>
      <c r="M59" s="809"/>
      <c r="N59" s="809"/>
      <c r="O59" s="809"/>
      <c r="P59" s="83"/>
      <c r="U59" s="374">
        <f>COUNTIF('Census Data'!$J$6:$J$205,"&gt;=66")</f>
        <v>0</v>
      </c>
      <c r="V59" s="264"/>
    </row>
    <row r="60" spans="1:22" s="119" customFormat="1" ht="55.5" customHeight="1" x14ac:dyDescent="0.25">
      <c r="A60" s="809" t="str">
        <f>IF('Census Data'!$V$1&gt;0," Important note:  "&amp;'Census Data'!$V$1&amp;" member"&amp;IF('Census Data'!$V$1&gt;1,"s","")&amp;" aged above 69 have been excluded. Please refer to Reinsurer if any condition is declared in the Medical Application Form. Else please proceed as per Guidelines.","")</f>
        <v/>
      </c>
      <c r="B60" s="809"/>
      <c r="C60" s="809"/>
      <c r="D60" s="809"/>
      <c r="E60" s="809"/>
      <c r="F60" s="809"/>
      <c r="G60" s="809"/>
      <c r="H60" s="809"/>
      <c r="I60" s="809"/>
      <c r="J60" s="809"/>
      <c r="K60" s="809"/>
      <c r="L60" s="809"/>
      <c r="M60" s="809"/>
      <c r="N60" s="809"/>
      <c r="O60" s="809"/>
      <c r="P60" s="83"/>
      <c r="U60" s="374">
        <f>COUNTIFS('Census Data'!$J$6:$J$205,"&gt;=60",'Census Data'!$J$6:$J$205,"&lt;70",'Census Data'!$AE$6:$AE$205,"Dubai")</f>
        <v>0</v>
      </c>
      <c r="V60" s="264"/>
    </row>
    <row r="61" spans="1:22" ht="39.75" customHeight="1" x14ac:dyDescent="0.2">
      <c r="A61" s="809" t="str">
        <f>IF(U61&lt;20,"*MAF is required for all members as the group size is below 20","")</f>
        <v>*MAF is required for all members as the group size is below 20</v>
      </c>
      <c r="B61" s="809"/>
      <c r="C61" s="809"/>
      <c r="D61" s="809"/>
      <c r="E61" s="809"/>
      <c r="F61" s="809"/>
      <c r="G61" s="809"/>
      <c r="H61" s="809"/>
      <c r="I61" s="809"/>
      <c r="J61" s="809"/>
      <c r="K61" s="809"/>
      <c r="L61" s="809"/>
      <c r="M61" s="809"/>
      <c r="N61" s="809"/>
      <c r="O61" s="809"/>
      <c r="P61" s="296"/>
      <c r="U61" s="374">
        <f>COUNTA('Census Data'!$G$6:$G$205)</f>
        <v>0</v>
      </c>
      <c r="V61" s="265"/>
    </row>
    <row r="62" spans="1:22" ht="28.5" customHeight="1" x14ac:dyDescent="0.25">
      <c r="A62" s="121"/>
      <c r="B62" s="112"/>
      <c r="K62" s="229"/>
      <c r="L62" s="229"/>
      <c r="M62" s="229"/>
      <c r="N62" s="229"/>
      <c r="O62" s="229"/>
      <c r="P62" s="229"/>
    </row>
    <row r="63" spans="1:22" ht="28.5" customHeight="1" x14ac:dyDescent="0.25">
      <c r="A63" s="517"/>
      <c r="B63" s="518"/>
      <c r="C63" s="519"/>
      <c r="D63" s="519"/>
      <c r="E63" s="519"/>
      <c r="F63" s="519"/>
      <c r="G63" s="519"/>
      <c r="H63" s="519"/>
      <c r="I63" s="519"/>
      <c r="J63" s="519"/>
      <c r="K63" s="520"/>
      <c r="L63" s="520"/>
      <c r="M63" s="520"/>
      <c r="N63" s="520"/>
      <c r="O63" s="520"/>
      <c r="P63" s="229"/>
    </row>
    <row r="64" spans="1:22" ht="28.5" customHeight="1" x14ac:dyDescent="0.25">
      <c r="A64" s="517"/>
      <c r="B64" s="518"/>
      <c r="C64" s="519"/>
      <c r="D64" s="519"/>
      <c r="E64" s="519"/>
      <c r="F64" s="519"/>
      <c r="G64" s="519"/>
      <c r="H64" s="519"/>
      <c r="I64" s="519"/>
      <c r="J64" s="519"/>
      <c r="K64" s="520"/>
      <c r="L64" s="520"/>
      <c r="M64" s="520"/>
      <c r="N64" s="520"/>
      <c r="O64" s="520"/>
      <c r="P64" s="229"/>
    </row>
    <row r="65" spans="1:21" ht="25.5" customHeight="1" x14ac:dyDescent="0.25">
      <c r="A65" s="519"/>
      <c r="B65" s="519"/>
      <c r="C65" s="519"/>
      <c r="D65" s="519"/>
      <c r="E65" s="519"/>
      <c r="F65" s="519"/>
      <c r="G65" s="519"/>
      <c r="H65" s="519"/>
      <c r="I65" s="519"/>
      <c r="J65" s="519"/>
      <c r="K65" s="519"/>
      <c r="L65" s="519"/>
      <c r="M65" s="519"/>
      <c r="N65" s="519"/>
      <c r="O65" s="519"/>
    </row>
    <row r="66" spans="1:21" ht="26.25" customHeight="1" x14ac:dyDescent="0.25">
      <c r="A66" s="519"/>
      <c r="B66" s="519"/>
      <c r="C66" s="519"/>
      <c r="D66" s="519"/>
      <c r="E66" s="519"/>
      <c r="F66" s="519"/>
      <c r="G66" s="519"/>
      <c r="H66" s="519"/>
      <c r="I66" s="519"/>
      <c r="J66" s="519"/>
      <c r="K66" s="519"/>
      <c r="L66" s="519"/>
      <c r="M66" s="519"/>
      <c r="N66" s="519"/>
      <c r="O66" s="519"/>
    </row>
    <row r="67" spans="1:21" ht="25.5" customHeight="1" x14ac:dyDescent="0.25">
      <c r="A67" s="519"/>
      <c r="B67" s="519"/>
      <c r="C67" s="519"/>
      <c r="D67" s="519"/>
      <c r="E67" s="519"/>
      <c r="F67" s="519"/>
      <c r="G67" s="519"/>
      <c r="H67" s="519"/>
      <c r="I67" s="519"/>
      <c r="J67" s="519"/>
      <c r="K67" s="519"/>
      <c r="L67" s="519"/>
      <c r="M67" s="519"/>
      <c r="N67" s="519"/>
      <c r="O67" s="519"/>
    </row>
    <row r="68" spans="1:21" ht="26.25" customHeight="1" x14ac:dyDescent="0.25">
      <c r="A68" s="519"/>
      <c r="B68" s="519"/>
      <c r="C68" s="519"/>
      <c r="D68" s="519"/>
      <c r="E68" s="519"/>
      <c r="F68" s="519"/>
      <c r="G68" s="519"/>
      <c r="H68" s="519"/>
      <c r="I68" s="519"/>
      <c r="J68" s="519"/>
      <c r="K68" s="519"/>
      <c r="L68" s="519"/>
      <c r="M68" s="519"/>
      <c r="N68" s="519"/>
      <c r="O68" s="519"/>
    </row>
    <row r="69" spans="1:21" ht="26.25" customHeight="1" x14ac:dyDescent="0.25">
      <c r="A69" s="519"/>
      <c r="B69" s="519"/>
      <c r="C69" s="519"/>
      <c r="D69" s="519"/>
      <c r="E69" s="519"/>
      <c r="F69" s="519"/>
      <c r="G69" s="519"/>
      <c r="H69" s="519"/>
      <c r="I69" s="519"/>
      <c r="J69" s="519"/>
      <c r="K69" s="519"/>
      <c r="L69" s="519"/>
      <c r="M69" s="519"/>
      <c r="N69" s="519"/>
      <c r="O69" s="519"/>
    </row>
    <row r="70" spans="1:21" s="119" customFormat="1" ht="33.75" customHeight="1" x14ac:dyDescent="0.25">
      <c r="A70" s="141"/>
      <c r="B70" s="141"/>
      <c r="C70" s="141"/>
      <c r="D70" s="141"/>
      <c r="E70" s="141"/>
      <c r="F70" s="141"/>
      <c r="G70" s="141"/>
      <c r="H70" s="141"/>
      <c r="I70" s="141"/>
      <c r="J70" s="141"/>
      <c r="K70" s="141"/>
      <c r="L70" s="141"/>
      <c r="M70" s="141"/>
      <c r="N70" s="141"/>
      <c r="O70" s="141"/>
      <c r="U70" s="374"/>
    </row>
    <row r="71" spans="1:21" s="119" customFormat="1" ht="29.25" customHeight="1" x14ac:dyDescent="0.25">
      <c r="A71" s="141"/>
      <c r="B71" s="141"/>
      <c r="C71" s="141"/>
      <c r="D71" s="141"/>
      <c r="E71" s="141"/>
      <c r="F71" s="141"/>
      <c r="G71" s="141"/>
      <c r="H71" s="141"/>
      <c r="I71" s="141"/>
      <c r="J71" s="141"/>
      <c r="K71" s="141"/>
      <c r="L71" s="141"/>
      <c r="M71" s="141"/>
      <c r="N71" s="141"/>
      <c r="O71" s="141"/>
      <c r="S71" s="122"/>
      <c r="U71" s="374"/>
    </row>
    <row r="72" spans="1:21" s="119" customFormat="1" ht="29.25" customHeight="1" x14ac:dyDescent="0.25">
      <c r="A72" s="141"/>
      <c r="B72" s="141"/>
      <c r="C72" s="141"/>
      <c r="D72" s="141"/>
      <c r="E72" s="141"/>
      <c r="F72" s="141"/>
      <c r="G72" s="141"/>
      <c r="H72" s="141"/>
      <c r="I72" s="141"/>
      <c r="J72" s="141"/>
      <c r="K72" s="141"/>
      <c r="L72" s="141"/>
      <c r="M72" s="141"/>
      <c r="N72" s="141"/>
      <c r="O72" s="141"/>
      <c r="U72" s="374"/>
    </row>
    <row r="73" spans="1:21" s="119" customFormat="1" ht="29.25" customHeight="1" x14ac:dyDescent="0.25">
      <c r="A73" s="141"/>
      <c r="B73" s="141"/>
      <c r="C73" s="141"/>
      <c r="D73" s="141"/>
      <c r="E73" s="141"/>
      <c r="F73" s="141"/>
      <c r="G73" s="141"/>
      <c r="H73" s="141"/>
      <c r="I73" s="141"/>
      <c r="J73" s="141"/>
      <c r="K73" s="141"/>
      <c r="L73" s="141"/>
      <c r="M73" s="141"/>
      <c r="N73" s="141"/>
      <c r="O73" s="141"/>
      <c r="U73" s="374"/>
    </row>
    <row r="74" spans="1:21" s="119" customFormat="1" ht="29.25" customHeight="1" x14ac:dyDescent="0.25">
      <c r="A74" s="141"/>
      <c r="B74" s="141"/>
      <c r="C74" s="141"/>
      <c r="D74" s="141"/>
      <c r="E74" s="141"/>
      <c r="F74" s="141"/>
      <c r="G74" s="141"/>
      <c r="H74" s="141"/>
      <c r="I74" s="141"/>
      <c r="J74" s="141"/>
      <c r="K74" s="141"/>
      <c r="L74" s="141"/>
      <c r="M74" s="141"/>
      <c r="N74" s="141"/>
      <c r="O74" s="141"/>
      <c r="U74" s="374"/>
    </row>
    <row r="75" spans="1:21" s="119" customFormat="1" ht="29.25" customHeight="1" x14ac:dyDescent="0.25">
      <c r="A75" s="141"/>
      <c r="B75" s="141"/>
      <c r="C75" s="141"/>
      <c r="D75" s="141"/>
      <c r="E75" s="141"/>
      <c r="F75" s="141"/>
      <c r="G75" s="141"/>
      <c r="H75" s="141"/>
      <c r="I75" s="141"/>
      <c r="J75" s="141"/>
      <c r="K75" s="141"/>
      <c r="L75" s="141"/>
      <c r="M75" s="141"/>
      <c r="N75" s="141"/>
      <c r="O75" s="141"/>
      <c r="U75" s="374"/>
    </row>
    <row r="76" spans="1:21" s="119" customFormat="1" ht="29.25" customHeight="1" x14ac:dyDescent="0.25">
      <c r="A76" s="141"/>
      <c r="B76" s="141"/>
      <c r="C76" s="141"/>
      <c r="D76" s="141"/>
      <c r="E76" s="141"/>
      <c r="F76" s="141"/>
      <c r="G76" s="141"/>
      <c r="H76" s="141"/>
      <c r="I76" s="141"/>
      <c r="J76" s="141"/>
      <c r="K76" s="141"/>
      <c r="L76" s="141"/>
      <c r="M76" s="141"/>
      <c r="N76" s="141"/>
      <c r="O76" s="141"/>
      <c r="U76" s="374"/>
    </row>
    <row r="77" spans="1:21" s="119" customFormat="1" ht="29.25" customHeight="1" x14ac:dyDescent="0.25">
      <c r="A77" s="141"/>
      <c r="B77" s="141"/>
      <c r="C77" s="141"/>
      <c r="D77" s="141"/>
      <c r="E77" s="141"/>
      <c r="F77" s="141"/>
      <c r="G77" s="141"/>
      <c r="H77" s="141"/>
      <c r="I77" s="141"/>
      <c r="J77" s="141"/>
      <c r="K77" s="141"/>
      <c r="L77" s="141"/>
      <c r="M77" s="141"/>
      <c r="N77" s="141"/>
      <c r="O77" s="141"/>
      <c r="U77" s="374"/>
    </row>
    <row r="78" spans="1:21" s="119" customFormat="1" ht="29.25" customHeight="1" x14ac:dyDescent="0.25">
      <c r="A78" s="141"/>
      <c r="B78" s="141"/>
      <c r="C78" s="141"/>
      <c r="D78" s="141"/>
      <c r="E78" s="141"/>
      <c r="F78" s="141"/>
      <c r="G78" s="141"/>
      <c r="H78" s="141"/>
      <c r="I78" s="141"/>
      <c r="J78" s="141"/>
      <c r="K78" s="141"/>
      <c r="L78" s="141"/>
      <c r="M78" s="141"/>
      <c r="N78" s="141"/>
      <c r="O78" s="141"/>
      <c r="U78" s="374"/>
    </row>
    <row r="79" spans="1:21" s="119" customFormat="1" ht="25.5" customHeight="1" x14ac:dyDescent="0.25">
      <c r="A79" s="141"/>
      <c r="B79" s="141"/>
      <c r="C79" s="141"/>
      <c r="D79" s="141"/>
      <c r="E79" s="141"/>
      <c r="F79" s="141"/>
      <c r="G79" s="141"/>
      <c r="H79" s="141"/>
      <c r="I79" s="141"/>
      <c r="J79" s="141"/>
      <c r="K79" s="141"/>
      <c r="L79" s="141"/>
      <c r="M79" s="141"/>
      <c r="N79" s="141"/>
      <c r="O79" s="141"/>
      <c r="U79" s="374"/>
    </row>
    <row r="80" spans="1:21" s="119" customFormat="1" ht="29.25" customHeight="1" x14ac:dyDescent="0.25">
      <c r="A80" s="141"/>
      <c r="B80" s="141"/>
      <c r="C80" s="141"/>
      <c r="D80" s="141"/>
      <c r="E80" s="141"/>
      <c r="F80" s="141"/>
      <c r="G80" s="141"/>
      <c r="H80" s="141"/>
      <c r="I80" s="141"/>
      <c r="J80" s="141"/>
      <c r="K80" s="141"/>
      <c r="L80" s="141"/>
      <c r="M80" s="141"/>
      <c r="N80" s="141"/>
      <c r="O80" s="141"/>
      <c r="U80" s="374"/>
    </row>
    <row r="81" spans="1:21" s="119" customFormat="1" ht="29.25" customHeight="1" x14ac:dyDescent="0.25">
      <c r="A81" s="141"/>
      <c r="B81" s="141"/>
      <c r="C81" s="141"/>
      <c r="D81" s="141"/>
      <c r="E81" s="141"/>
      <c r="F81" s="141"/>
      <c r="G81" s="141"/>
      <c r="H81" s="141"/>
      <c r="I81" s="141"/>
      <c r="J81" s="141"/>
      <c r="K81" s="141"/>
      <c r="L81" s="141"/>
      <c r="M81" s="141"/>
      <c r="N81" s="141"/>
      <c r="O81" s="141"/>
      <c r="U81" s="374"/>
    </row>
    <row r="82" spans="1:21" s="119" customFormat="1" ht="29.25" customHeight="1" x14ac:dyDescent="0.25">
      <c r="A82" s="141"/>
      <c r="B82" s="141"/>
      <c r="C82" s="141"/>
      <c r="D82" s="141"/>
      <c r="E82" s="141"/>
      <c r="F82" s="141"/>
      <c r="G82" s="141"/>
      <c r="H82" s="141"/>
      <c r="I82" s="141"/>
      <c r="J82" s="141"/>
      <c r="K82" s="141"/>
      <c r="L82" s="141"/>
      <c r="M82" s="141"/>
      <c r="N82" s="141"/>
      <c r="O82" s="141"/>
      <c r="U82" s="374"/>
    </row>
    <row r="83" spans="1:21" s="119" customFormat="1" ht="29.25" hidden="1" customHeight="1" x14ac:dyDescent="0.25">
      <c r="A83" s="141"/>
      <c r="B83" s="141"/>
      <c r="C83" s="141"/>
      <c r="D83" s="141"/>
      <c r="E83" s="141"/>
      <c r="F83" s="141"/>
      <c r="G83" s="141"/>
      <c r="H83" s="141"/>
      <c r="I83" s="141"/>
      <c r="J83" s="141"/>
      <c r="K83" s="141"/>
      <c r="L83" s="141"/>
      <c r="M83" s="141"/>
      <c r="N83" s="141"/>
      <c r="O83" s="141"/>
      <c r="U83" s="374"/>
    </row>
    <row r="84" spans="1:21" s="119" customFormat="1" ht="29.25" hidden="1" customHeight="1" x14ac:dyDescent="0.25">
      <c r="A84" s="141"/>
      <c r="B84" s="141"/>
      <c r="C84" s="141"/>
      <c r="D84" s="141"/>
      <c r="E84" s="141"/>
      <c r="F84" s="141"/>
      <c r="G84" s="141"/>
      <c r="H84" s="141"/>
      <c r="I84" s="141"/>
      <c r="J84" s="141"/>
      <c r="K84" s="141"/>
      <c r="L84" s="141"/>
      <c r="M84" s="141"/>
      <c r="N84" s="141"/>
      <c r="O84" s="141"/>
      <c r="U84" s="374"/>
    </row>
    <row r="85" spans="1:21" s="119" customFormat="1" ht="29.25" hidden="1" customHeight="1" x14ac:dyDescent="0.25">
      <c r="U85" s="374"/>
    </row>
    <row r="86" spans="1:21" s="119" customFormat="1" ht="29.25" hidden="1" customHeight="1" x14ac:dyDescent="0.25">
      <c r="U86" s="374"/>
    </row>
    <row r="87" spans="1:21" s="119" customFormat="1" ht="29.25" hidden="1" customHeight="1" x14ac:dyDescent="0.25">
      <c r="U87" s="374"/>
    </row>
    <row r="88" spans="1:21" s="119" customFormat="1" ht="9" hidden="1" customHeight="1" x14ac:dyDescent="0.25">
      <c r="U88" s="374"/>
    </row>
    <row r="89" spans="1:21" s="119" customFormat="1" ht="29.25" hidden="1" customHeight="1" x14ac:dyDescent="0.2">
      <c r="A89" s="111" t="s">
        <v>636</v>
      </c>
      <c r="B89" s="112"/>
      <c r="C89" s="110"/>
      <c r="D89" s="110"/>
      <c r="E89" s="110"/>
      <c r="F89" s="110"/>
      <c r="G89" s="110"/>
      <c r="H89" s="110"/>
      <c r="I89" s="110"/>
      <c r="J89" s="110"/>
      <c r="K89" s="110"/>
      <c r="L89" s="110"/>
      <c r="M89" s="110"/>
      <c r="N89" s="110"/>
      <c r="O89" s="110"/>
      <c r="P89" s="110"/>
      <c r="Q89" s="110"/>
      <c r="U89" s="374"/>
    </row>
    <row r="90" spans="1:21" s="119" customFormat="1" ht="29.25" hidden="1" customHeight="1" x14ac:dyDescent="0.2">
      <c r="A90" s="113"/>
      <c r="B90" s="112"/>
      <c r="C90" s="110"/>
      <c r="D90" s="110"/>
      <c r="E90" s="110"/>
      <c r="F90" s="110"/>
      <c r="G90" s="110"/>
      <c r="H90" s="110"/>
      <c r="I90" s="110"/>
      <c r="J90" s="110"/>
      <c r="K90" s="110"/>
      <c r="L90" s="110"/>
      <c r="M90" s="110"/>
      <c r="N90" s="110"/>
      <c r="O90" s="110"/>
      <c r="P90" s="110"/>
      <c r="Q90" s="110"/>
      <c r="U90" s="374"/>
    </row>
    <row r="91" spans="1:21" s="119" customFormat="1" ht="29.25" hidden="1" customHeight="1" x14ac:dyDescent="0.2">
      <c r="A91" s="110"/>
      <c r="B91" s="110"/>
      <c r="C91" s="110"/>
      <c r="D91" s="110"/>
      <c r="E91" s="110"/>
      <c r="F91" s="110"/>
      <c r="G91" s="110"/>
      <c r="H91" s="110"/>
      <c r="I91" s="110"/>
      <c r="J91" s="110"/>
      <c r="K91" s="110"/>
      <c r="L91" s="110"/>
      <c r="M91" s="110"/>
      <c r="N91" s="110"/>
      <c r="O91" s="110"/>
      <c r="P91" s="110"/>
      <c r="Q91" s="110"/>
      <c r="U91" s="374"/>
    </row>
    <row r="92" spans="1:21" s="119" customFormat="1" ht="29.25" hidden="1" customHeight="1" x14ac:dyDescent="0.25">
      <c r="A92" s="117"/>
      <c r="B92" s="112"/>
      <c r="C92" s="475" t="s">
        <v>504</v>
      </c>
      <c r="D92" s="477"/>
      <c r="E92" s="477" t="s">
        <v>93</v>
      </c>
      <c r="F92" s="477"/>
      <c r="G92" s="475" t="s">
        <v>637</v>
      </c>
      <c r="H92" s="477"/>
      <c r="I92" s="477" t="s">
        <v>93</v>
      </c>
      <c r="J92" s="477"/>
      <c r="K92" s="475" t="s">
        <v>638</v>
      </c>
      <c r="L92" s="477"/>
      <c r="M92" s="477"/>
      <c r="N92" s="477" t="s">
        <v>93</v>
      </c>
      <c r="O92" s="477"/>
      <c r="P92" s="476"/>
      <c r="Q92" s="110"/>
      <c r="U92" s="374"/>
    </row>
    <row r="93" spans="1:21" s="119" customFormat="1" ht="29.25" hidden="1" customHeight="1" x14ac:dyDescent="0.25">
      <c r="A93" s="118"/>
      <c r="B93" s="117"/>
      <c r="C93" s="475" t="s">
        <v>59</v>
      </c>
      <c r="D93" s="476" t="s">
        <v>153</v>
      </c>
      <c r="E93" s="475" t="s">
        <v>93</v>
      </c>
      <c r="F93" s="476" t="s">
        <v>153</v>
      </c>
      <c r="G93" s="475" t="s">
        <v>59</v>
      </c>
      <c r="H93" s="476" t="s">
        <v>153</v>
      </c>
      <c r="I93" s="475" t="s">
        <v>93</v>
      </c>
      <c r="J93" s="476" t="s">
        <v>153</v>
      </c>
      <c r="K93" s="475" t="s">
        <v>59</v>
      </c>
      <c r="L93" s="477" t="s">
        <v>153</v>
      </c>
      <c r="M93" s="476" t="s">
        <v>100</v>
      </c>
      <c r="N93" s="475" t="s">
        <v>93</v>
      </c>
      <c r="O93" s="477" t="s">
        <v>153</v>
      </c>
      <c r="P93" s="476" t="s">
        <v>100</v>
      </c>
      <c r="Q93" s="110"/>
      <c r="U93" s="374"/>
    </row>
    <row r="94" spans="1:21" s="119" customFormat="1" ht="29.25" hidden="1" customHeight="1" x14ac:dyDescent="0.25">
      <c r="A94" s="82" t="s">
        <v>608</v>
      </c>
      <c r="B94" s="184" t="s">
        <v>510</v>
      </c>
      <c r="C94" s="184" t="s">
        <v>164</v>
      </c>
      <c r="D94" s="184" t="s">
        <v>153</v>
      </c>
      <c r="E94" s="184" t="s">
        <v>164</v>
      </c>
      <c r="F94" s="184" t="s">
        <v>153</v>
      </c>
      <c r="G94" s="184" t="s">
        <v>164</v>
      </c>
      <c r="H94" s="184" t="s">
        <v>153</v>
      </c>
      <c r="I94" s="184" t="s">
        <v>164</v>
      </c>
      <c r="J94" s="184" t="s">
        <v>153</v>
      </c>
      <c r="K94" s="184" t="s">
        <v>164</v>
      </c>
      <c r="L94" s="184" t="s">
        <v>153</v>
      </c>
      <c r="M94" s="184" t="s">
        <v>100</v>
      </c>
      <c r="N94" s="184" t="s">
        <v>164</v>
      </c>
      <c r="O94" s="184" t="s">
        <v>153</v>
      </c>
      <c r="P94" s="184" t="s">
        <v>100</v>
      </c>
      <c r="U94" s="374"/>
    </row>
    <row r="95" spans="1:21" s="119" customFormat="1" ht="29.25" hidden="1" customHeight="1" x14ac:dyDescent="0.25">
      <c r="A95" s="474" t="s">
        <v>63</v>
      </c>
      <c r="B95" s="474" t="str">
        <f>Computation!B6</f>
        <v>0 - 17</v>
      </c>
      <c r="C95" s="160">
        <f>Computation!C6+Computation!D6</f>
        <v>0</v>
      </c>
      <c r="D95" s="161">
        <f>Computation!E6</f>
        <v>0</v>
      </c>
      <c r="E95" s="160">
        <f>Computation!F6+Computation!G6</f>
        <v>0</v>
      </c>
      <c r="F95" s="161">
        <f>Computation!H6</f>
        <v>0</v>
      </c>
      <c r="G95" s="160">
        <f>(IF(C95=0,0,(Computation!I6+Computation!J6)/C95))/(1-Loadings)</f>
        <v>0</v>
      </c>
      <c r="H95" s="161">
        <f>(IF(D95=0,0,Computation!K6/Computation!E6))/(1-Loadings)</f>
        <v>0</v>
      </c>
      <c r="I95" s="160">
        <f>IF(E95=0,0,(Computation!L6+Computation!M6)/E95)/(1-Loadings)</f>
        <v>0</v>
      </c>
      <c r="J95" s="161">
        <f>IF(F95=0,0,Computation!N6/Computation!H6)/(1-Loadings)</f>
        <v>0</v>
      </c>
      <c r="K95" s="160">
        <f t="shared" ref="K95:L101" si="2">ROUND(G95*C95,0)</f>
        <v>0</v>
      </c>
      <c r="L95" s="160">
        <f t="shared" si="2"/>
        <v>0</v>
      </c>
      <c r="M95" s="161">
        <f t="shared" ref="M95:M101" si="3">L95+K95</f>
        <v>0</v>
      </c>
      <c r="N95" s="160">
        <f>ROUND(I95*E95,0)</f>
        <v>0</v>
      </c>
      <c r="O95" s="160">
        <f>ROUND(J95*F95,0)</f>
        <v>0</v>
      </c>
      <c r="P95" s="161">
        <f>O95+N95</f>
        <v>0</v>
      </c>
      <c r="U95" s="374"/>
    </row>
    <row r="96" spans="1:21" s="119" customFormat="1" ht="29.25" hidden="1" customHeight="1" x14ac:dyDescent="0.25">
      <c r="A96" s="474"/>
      <c r="B96" s="474" t="str">
        <f>Computation!B7</f>
        <v>18 - 35</v>
      </c>
      <c r="C96" s="162">
        <f>Computation!C7+Computation!D7</f>
        <v>0</v>
      </c>
      <c r="D96" s="163">
        <f>Computation!E7</f>
        <v>0</v>
      </c>
      <c r="E96" s="162">
        <f>Computation!F7+Computation!G7</f>
        <v>0</v>
      </c>
      <c r="F96" s="163">
        <f>Computation!H7</f>
        <v>0</v>
      </c>
      <c r="G96" s="160">
        <f>(IF(C96=0,0,(Computation!I7+Computation!J7)/C96))/(1-Loadings)</f>
        <v>0</v>
      </c>
      <c r="H96" s="161">
        <f>(IF(D96=0,0,Computation!K7/Computation!E7))/(1-Loadings)</f>
        <v>0</v>
      </c>
      <c r="I96" s="162">
        <f>IF(E96=0,0,(Computation!L7+Computation!M7)/E96)/(1-Loadings)</f>
        <v>0</v>
      </c>
      <c r="J96" s="163">
        <f>IF(F96=0,0,Computation!N7/Computation!H7)/(1-Loadings)</f>
        <v>0</v>
      </c>
      <c r="K96" s="162">
        <f t="shared" si="2"/>
        <v>0</v>
      </c>
      <c r="L96" s="162">
        <f t="shared" si="2"/>
        <v>0</v>
      </c>
      <c r="M96" s="163">
        <f t="shared" si="3"/>
        <v>0</v>
      </c>
      <c r="N96" s="162">
        <f t="shared" ref="N96:N101" si="4">ROUND(I96*E96,0)</f>
        <v>0</v>
      </c>
      <c r="O96" s="162">
        <f t="shared" ref="O96:O101" si="5">ROUND(J96*F96,0)</f>
        <v>0</v>
      </c>
      <c r="P96" s="163">
        <f t="shared" ref="P96:P101" si="6">O96+N96</f>
        <v>0</v>
      </c>
      <c r="U96" s="374"/>
    </row>
    <row r="97" spans="1:21" s="119" customFormat="1" ht="9" hidden="1" customHeight="1" x14ac:dyDescent="0.25">
      <c r="A97" s="474"/>
      <c r="B97" s="474" t="str">
        <f>Computation!B8</f>
        <v>36 - 45</v>
      </c>
      <c r="C97" s="160">
        <f>Computation!C8+Computation!D8</f>
        <v>0</v>
      </c>
      <c r="D97" s="161">
        <f>Computation!E8</f>
        <v>0</v>
      </c>
      <c r="E97" s="160">
        <f>Computation!F8+Computation!G8</f>
        <v>0</v>
      </c>
      <c r="F97" s="161">
        <f>Computation!H8</f>
        <v>0</v>
      </c>
      <c r="G97" s="160">
        <f>(IF(C97=0,0,(Computation!I8+Computation!J8)/C97))/(1-Loadings)</f>
        <v>0</v>
      </c>
      <c r="H97" s="161">
        <f>(IF(D97=0,0,Computation!K8/Computation!E8))/(1-Loadings)</f>
        <v>0</v>
      </c>
      <c r="I97" s="160">
        <f>IF(E97=0,0,(Computation!L8+Computation!M8)/E97)/(1-Loadings)</f>
        <v>0</v>
      </c>
      <c r="J97" s="161">
        <f>IF(F97=0,0,Computation!N8/Computation!H8)/(1-Loadings)</f>
        <v>0</v>
      </c>
      <c r="K97" s="160">
        <f t="shared" si="2"/>
        <v>0</v>
      </c>
      <c r="L97" s="160">
        <f t="shared" si="2"/>
        <v>0</v>
      </c>
      <c r="M97" s="161">
        <f t="shared" si="3"/>
        <v>0</v>
      </c>
      <c r="N97" s="160">
        <f t="shared" si="4"/>
        <v>0</v>
      </c>
      <c r="O97" s="160">
        <f t="shared" si="5"/>
        <v>0</v>
      </c>
      <c r="P97" s="161">
        <f t="shared" si="6"/>
        <v>0</v>
      </c>
      <c r="U97" s="374"/>
    </row>
    <row r="98" spans="1:21" s="119" customFormat="1" ht="29.25" hidden="1" customHeight="1" x14ac:dyDescent="0.25">
      <c r="A98" s="474"/>
      <c r="B98" s="474" t="str">
        <f>Computation!B9</f>
        <v>46 - 55</v>
      </c>
      <c r="C98" s="162">
        <f>Computation!C9+Computation!D9</f>
        <v>0</v>
      </c>
      <c r="D98" s="163">
        <f>Computation!E9</f>
        <v>0</v>
      </c>
      <c r="E98" s="162">
        <f>Computation!F9+Computation!G9</f>
        <v>0</v>
      </c>
      <c r="F98" s="163">
        <f>Computation!H9</f>
        <v>0</v>
      </c>
      <c r="G98" s="160">
        <f>(IF(C98=0,0,(Computation!I9+Computation!J9)/C98))/(1-Loadings)</f>
        <v>0</v>
      </c>
      <c r="H98" s="161">
        <f>(IF(D98=0,0,Computation!K9/Computation!E9))/(1-Loadings)</f>
        <v>0</v>
      </c>
      <c r="I98" s="162">
        <f>IF(E98=0,0,(Computation!L9+Computation!M9)/E98)/(1-Loadings)</f>
        <v>0</v>
      </c>
      <c r="J98" s="163">
        <f>IF(F98=0,0,Computation!N9/Computation!H9)/(1-Loadings)</f>
        <v>0</v>
      </c>
      <c r="K98" s="162">
        <f t="shared" si="2"/>
        <v>0</v>
      </c>
      <c r="L98" s="162">
        <f t="shared" si="2"/>
        <v>0</v>
      </c>
      <c r="M98" s="163">
        <f t="shared" si="3"/>
        <v>0</v>
      </c>
      <c r="N98" s="162">
        <f t="shared" si="4"/>
        <v>0</v>
      </c>
      <c r="O98" s="162">
        <f t="shared" si="5"/>
        <v>0</v>
      </c>
      <c r="P98" s="163">
        <f t="shared" si="6"/>
        <v>0</v>
      </c>
      <c r="U98" s="374"/>
    </row>
    <row r="99" spans="1:21" s="119" customFormat="1" ht="29.25" hidden="1" customHeight="1" x14ac:dyDescent="0.25">
      <c r="A99" s="474"/>
      <c r="B99" s="474" t="str">
        <f>Computation!B10</f>
        <v>56 - 60</v>
      </c>
      <c r="C99" s="160">
        <f>Computation!C10+Computation!D10</f>
        <v>0</v>
      </c>
      <c r="D99" s="161">
        <f>Computation!E10</f>
        <v>0</v>
      </c>
      <c r="E99" s="160">
        <f>Computation!F10+Computation!G10</f>
        <v>0</v>
      </c>
      <c r="F99" s="161">
        <f>Computation!H10</f>
        <v>0</v>
      </c>
      <c r="G99" s="160">
        <f>(IF(C99=0,0,(Computation!I10+Computation!J10)/C99))/(1-Loadings)</f>
        <v>0</v>
      </c>
      <c r="H99" s="161">
        <f>(IF(D99=0,0,Computation!K10/Computation!E10))/(1-Loadings)</f>
        <v>0</v>
      </c>
      <c r="I99" s="160">
        <f>IF(E99=0,0,(Computation!L10+Computation!M10)/E99)/(1-Loadings)</f>
        <v>0</v>
      </c>
      <c r="J99" s="161">
        <f>IF(F99=0,0,Computation!N10/Computation!H10)/(1-Loadings)</f>
        <v>0</v>
      </c>
      <c r="K99" s="160">
        <f t="shared" si="2"/>
        <v>0</v>
      </c>
      <c r="L99" s="160">
        <f t="shared" si="2"/>
        <v>0</v>
      </c>
      <c r="M99" s="161">
        <f t="shared" si="3"/>
        <v>0</v>
      </c>
      <c r="N99" s="160">
        <f t="shared" si="4"/>
        <v>0</v>
      </c>
      <c r="O99" s="160">
        <f t="shared" si="5"/>
        <v>0</v>
      </c>
      <c r="P99" s="161">
        <f t="shared" si="6"/>
        <v>0</v>
      </c>
      <c r="U99" s="374"/>
    </row>
    <row r="100" spans="1:21" s="119" customFormat="1" ht="29.25" hidden="1" customHeight="1" x14ac:dyDescent="0.25">
      <c r="A100" s="474"/>
      <c r="B100" s="474" t="str">
        <f>Computation!B11</f>
        <v>61 - 65</v>
      </c>
      <c r="C100" s="162">
        <f>Computation!C11+Computation!D11</f>
        <v>0</v>
      </c>
      <c r="D100" s="163">
        <f>Computation!E11</f>
        <v>0</v>
      </c>
      <c r="E100" s="162">
        <f>Computation!F11+Computation!G11</f>
        <v>0</v>
      </c>
      <c r="F100" s="163">
        <f>Computation!H11</f>
        <v>0</v>
      </c>
      <c r="G100" s="160">
        <f>(IF(C100=0,0,(Computation!I11+Computation!J11)/C100))/(1-Loadings)</f>
        <v>0</v>
      </c>
      <c r="H100" s="161">
        <f>(IF(D100=0,0,Computation!K11/Computation!E11))/(1-Loadings)</f>
        <v>0</v>
      </c>
      <c r="I100" s="162">
        <f>IF(E100=0,0,(Computation!L11+Computation!M11)/E100)/(1-Loadings)</f>
        <v>0</v>
      </c>
      <c r="J100" s="163">
        <f>IF(F100=0,0,Computation!N11/Computation!H11)/(1-Loadings)</f>
        <v>0</v>
      </c>
      <c r="K100" s="162">
        <f t="shared" si="2"/>
        <v>0</v>
      </c>
      <c r="L100" s="162">
        <f t="shared" si="2"/>
        <v>0</v>
      </c>
      <c r="M100" s="163">
        <f t="shared" si="3"/>
        <v>0</v>
      </c>
      <c r="N100" s="162">
        <f t="shared" si="4"/>
        <v>0</v>
      </c>
      <c r="O100" s="162">
        <f t="shared" si="5"/>
        <v>0</v>
      </c>
      <c r="P100" s="163">
        <f t="shared" si="6"/>
        <v>0</v>
      </c>
      <c r="U100" s="374"/>
    </row>
    <row r="101" spans="1:21" s="119" customFormat="1" ht="29.25" hidden="1" customHeight="1" x14ac:dyDescent="0.25">
      <c r="A101" s="474"/>
      <c r="B101" s="474" t="str">
        <f>Computation!B12</f>
        <v>66 - 69</v>
      </c>
      <c r="C101" s="164">
        <f>Computation!C12+Computation!D12</f>
        <v>0</v>
      </c>
      <c r="D101" s="165">
        <f>Computation!E12</f>
        <v>0</v>
      </c>
      <c r="E101" s="164">
        <f>Computation!F12+Computation!G12</f>
        <v>0</v>
      </c>
      <c r="F101" s="165">
        <f>Computation!H12</f>
        <v>0</v>
      </c>
      <c r="G101" s="160">
        <f>(IF(C101=0,0,(Computation!I12+Computation!J12)/C101))/(1-Loadings)</f>
        <v>0</v>
      </c>
      <c r="H101" s="161">
        <f>(IF(D101=0,0,Computation!K12/Computation!E12))/(1-Loadings)</f>
        <v>0</v>
      </c>
      <c r="I101" s="164">
        <f>IF(E101=0,0,(Computation!L12+Computation!M12)/E101)/(1-Loadings)</f>
        <v>0</v>
      </c>
      <c r="J101" s="165">
        <f>IF(F101=0,0,Computation!N12/Computation!H12)/(1-Loadings)</f>
        <v>0</v>
      </c>
      <c r="K101" s="164">
        <f t="shared" si="2"/>
        <v>0</v>
      </c>
      <c r="L101" s="164">
        <f t="shared" si="2"/>
        <v>0</v>
      </c>
      <c r="M101" s="165">
        <f t="shared" si="3"/>
        <v>0</v>
      </c>
      <c r="N101" s="164">
        <f t="shared" si="4"/>
        <v>0</v>
      </c>
      <c r="O101" s="164">
        <f t="shared" si="5"/>
        <v>0</v>
      </c>
      <c r="P101" s="165">
        <f t="shared" si="6"/>
        <v>0</v>
      </c>
      <c r="U101" s="374"/>
    </row>
    <row r="102" spans="1:21" s="119" customFormat="1" ht="29.25" hidden="1" customHeight="1" x14ac:dyDescent="0.25">
      <c r="A102" s="474"/>
      <c r="B102" s="474" t="s">
        <v>100</v>
      </c>
      <c r="C102" s="229">
        <f>SUM(C95:C101)</f>
        <v>0</v>
      </c>
      <c r="D102" s="125">
        <f>SUM(D95:D101)</f>
        <v>0</v>
      </c>
      <c r="E102" s="229">
        <f>SUM(E95:E101)</f>
        <v>0</v>
      </c>
      <c r="F102" s="125">
        <f>SUM(F95:F101)</f>
        <v>0</v>
      </c>
      <c r="G102" s="229">
        <f>ROUND(IF(C102=0,0,SUMPRODUCT(C95:C101,G95:G101)/C102),0)</f>
        <v>0</v>
      </c>
      <c r="H102" s="125">
        <f>ROUND(IF(D102=0,0,SUMPRODUCT(D95:D101,H95:H101)/C102),0)</f>
        <v>0</v>
      </c>
      <c r="I102" s="229">
        <f>ROUND(IF(E102=0,0,SUMPRODUCT(E95:E101,I95:I101)/E102),0)</f>
        <v>0</v>
      </c>
      <c r="J102" s="125">
        <f>ROUND(IF(F102=0,0,SUMPRODUCT(F95:F101,J95:J101)/F102),0)</f>
        <v>0</v>
      </c>
      <c r="K102" s="229">
        <f>G102*C102</f>
        <v>0</v>
      </c>
      <c r="L102" s="229">
        <f>H102*C102</f>
        <v>0</v>
      </c>
      <c r="M102" s="125">
        <f>L102+K102</f>
        <v>0</v>
      </c>
      <c r="N102" s="229">
        <f>I102*E102</f>
        <v>0</v>
      </c>
      <c r="O102" s="229">
        <f>J102*F102</f>
        <v>0</v>
      </c>
      <c r="P102" s="125">
        <f>O102+N102</f>
        <v>0</v>
      </c>
      <c r="U102" s="374"/>
    </row>
    <row r="103" spans="1:21" s="119" customFormat="1" ht="29.25" hidden="1" customHeight="1" x14ac:dyDescent="0.25">
      <c r="A103" s="123"/>
      <c r="B103" s="124"/>
      <c r="C103" s="229"/>
      <c r="D103" s="125"/>
      <c r="E103" s="229"/>
      <c r="F103" s="125"/>
      <c r="G103" s="229"/>
      <c r="H103" s="125"/>
      <c r="I103" s="229"/>
      <c r="J103" s="125"/>
      <c r="K103" s="229"/>
      <c r="L103" s="229"/>
      <c r="M103" s="125"/>
      <c r="N103" s="229"/>
      <c r="O103" s="229"/>
      <c r="P103" s="125"/>
      <c r="U103" s="374"/>
    </row>
    <row r="104" spans="1:21" s="119" customFormat="1" ht="29.25" hidden="1" customHeight="1" x14ac:dyDescent="0.25">
      <c r="A104" s="474" t="s">
        <v>64</v>
      </c>
      <c r="B104" s="474" t="str">
        <f t="shared" ref="B104:B110" si="7">B95</f>
        <v>0 - 17</v>
      </c>
      <c r="C104" s="160">
        <f>Computation!C13+Computation!D13</f>
        <v>0</v>
      </c>
      <c r="D104" s="161">
        <f>Computation!E13</f>
        <v>0</v>
      </c>
      <c r="E104" s="160">
        <f>Computation!F13+Computation!G13</f>
        <v>0</v>
      </c>
      <c r="F104" s="161">
        <f>Computation!H13</f>
        <v>0</v>
      </c>
      <c r="G104" s="160">
        <f>IF(C104=0,0,(Computation!I13+Computation!J13)/C104)/(1-Loadings)</f>
        <v>0</v>
      </c>
      <c r="H104" s="161">
        <f>IF(D104=0,0,Computation!K13/Computation!E13)/(1-Loadings)</f>
        <v>0</v>
      </c>
      <c r="I104" s="160">
        <f>IF(E104=0,0,(Computation!L13+Computation!M13)/E104)/(1-Loadings)</f>
        <v>0</v>
      </c>
      <c r="J104" s="161">
        <f>IF(F104=0,0,Computation!N13/Computation!H13)/(1-Loadings)</f>
        <v>0</v>
      </c>
      <c r="K104" s="160">
        <f t="shared" ref="K104:L110" si="8">ROUND(G104*C104,0)</f>
        <v>0</v>
      </c>
      <c r="L104" s="160">
        <f t="shared" si="8"/>
        <v>0</v>
      </c>
      <c r="M104" s="161">
        <f t="shared" ref="M104:M110" si="9">L104+K104</f>
        <v>0</v>
      </c>
      <c r="N104" s="160">
        <f>ROUND(I104*E104,0)</f>
        <v>0</v>
      </c>
      <c r="O104" s="160">
        <f>ROUND(J104*F104,0)</f>
        <v>0</v>
      </c>
      <c r="P104" s="161">
        <f t="shared" ref="P104:P110" si="10">O104+N104</f>
        <v>0</v>
      </c>
      <c r="U104" s="374"/>
    </row>
    <row r="105" spans="1:21" s="119" customFormat="1" ht="30" hidden="1" customHeight="1" x14ac:dyDescent="0.25">
      <c r="A105" s="474"/>
      <c r="B105" s="474" t="str">
        <f t="shared" si="7"/>
        <v>18 - 35</v>
      </c>
      <c r="C105" s="162">
        <f>Computation!C14+Computation!D14</f>
        <v>0</v>
      </c>
      <c r="D105" s="163">
        <f>Computation!E14</f>
        <v>0</v>
      </c>
      <c r="E105" s="162">
        <f>Computation!F14+Computation!G14</f>
        <v>0</v>
      </c>
      <c r="F105" s="163">
        <f>Computation!H14</f>
        <v>0</v>
      </c>
      <c r="G105" s="160">
        <f>IF(C105=0,0,(Computation!I14+Computation!J14)/C105)/(1-Loadings)</f>
        <v>0</v>
      </c>
      <c r="H105" s="161">
        <f>IF(D105=0,0,Computation!K14/Computation!E14)/(1-Loadings)</f>
        <v>0</v>
      </c>
      <c r="I105" s="162">
        <f>IF(E105=0,0,(Computation!L14+Computation!M14)/E105)/(1-Loadings)</f>
        <v>0</v>
      </c>
      <c r="J105" s="163">
        <f>IF(F105=0,0,Computation!N14/Computation!H14)/(1-Loadings)</f>
        <v>0</v>
      </c>
      <c r="K105" s="162">
        <f t="shared" si="8"/>
        <v>0</v>
      </c>
      <c r="L105" s="162">
        <f t="shared" si="8"/>
        <v>0</v>
      </c>
      <c r="M105" s="163">
        <f t="shared" si="9"/>
        <v>0</v>
      </c>
      <c r="N105" s="162">
        <f t="shared" ref="N105:N110" si="11">ROUND(I105*E105,0)</f>
        <v>0</v>
      </c>
      <c r="O105" s="162">
        <f t="shared" ref="O105:O110" si="12">ROUND(J105*F105,0)</f>
        <v>0</v>
      </c>
      <c r="P105" s="163">
        <f t="shared" si="10"/>
        <v>0</v>
      </c>
      <c r="U105" s="374"/>
    </row>
    <row r="106" spans="1:21" ht="18.75" hidden="1" x14ac:dyDescent="0.25">
      <c r="A106" s="474"/>
      <c r="B106" s="474" t="str">
        <f t="shared" si="7"/>
        <v>36 - 45</v>
      </c>
      <c r="C106" s="160">
        <f>Computation!C15+Computation!D15</f>
        <v>0</v>
      </c>
      <c r="D106" s="161">
        <f>Computation!E15</f>
        <v>0</v>
      </c>
      <c r="E106" s="160">
        <f>Computation!F15+Computation!G15</f>
        <v>0</v>
      </c>
      <c r="F106" s="161">
        <f>Computation!H15</f>
        <v>0</v>
      </c>
      <c r="G106" s="160">
        <f>IF(C106=0,0,(Computation!I15+Computation!J15)/C106)/(1-Loadings)</f>
        <v>0</v>
      </c>
      <c r="H106" s="161">
        <f>IF(D106=0,0,Computation!K15/Computation!E15)/(1-Loadings)</f>
        <v>0</v>
      </c>
      <c r="I106" s="160">
        <f>IF(E106=0,0,(Computation!L15+Computation!M15)/E106)/(1-Loadings)</f>
        <v>0</v>
      </c>
      <c r="J106" s="161">
        <f>IF(F106=0,0,Computation!N15/Computation!H15)/(1-Loadings)</f>
        <v>0</v>
      </c>
      <c r="K106" s="160">
        <f t="shared" si="8"/>
        <v>0</v>
      </c>
      <c r="L106" s="160">
        <f t="shared" si="8"/>
        <v>0</v>
      </c>
      <c r="M106" s="161">
        <f t="shared" si="9"/>
        <v>0</v>
      </c>
      <c r="N106" s="160">
        <f t="shared" si="11"/>
        <v>0</v>
      </c>
      <c r="O106" s="160">
        <f t="shared" si="12"/>
        <v>0</v>
      </c>
      <c r="P106" s="161">
        <f t="shared" si="10"/>
        <v>0</v>
      </c>
      <c r="Q106" s="119"/>
    </row>
    <row r="107" spans="1:21" s="119" customFormat="1" ht="29.25" hidden="1" customHeight="1" x14ac:dyDescent="0.25">
      <c r="A107" s="474"/>
      <c r="B107" s="474" t="str">
        <f t="shared" si="7"/>
        <v>46 - 55</v>
      </c>
      <c r="C107" s="162">
        <f>Computation!C16+Computation!D16</f>
        <v>0</v>
      </c>
      <c r="D107" s="163">
        <f>Computation!E16</f>
        <v>0</v>
      </c>
      <c r="E107" s="162">
        <f>Computation!F16+Computation!G16</f>
        <v>0</v>
      </c>
      <c r="F107" s="163">
        <f>Computation!H16</f>
        <v>0</v>
      </c>
      <c r="G107" s="160">
        <f>IF(C107=0,0,(Computation!I16+Computation!J16)/C107)/(1-Loadings)</f>
        <v>0</v>
      </c>
      <c r="H107" s="161">
        <f>IF(D107=0,0,Computation!K16/Computation!E16)/(1-Loadings)</f>
        <v>0</v>
      </c>
      <c r="I107" s="162">
        <f>IF(E107=0,0,(Computation!L16+Computation!M16)/E107)/(1-Loadings)</f>
        <v>0</v>
      </c>
      <c r="J107" s="163">
        <f>IF(F107=0,0,Computation!N16/Computation!H16)/(1-Loadings)</f>
        <v>0</v>
      </c>
      <c r="K107" s="162">
        <f t="shared" si="8"/>
        <v>0</v>
      </c>
      <c r="L107" s="162">
        <f t="shared" si="8"/>
        <v>0</v>
      </c>
      <c r="M107" s="163">
        <f t="shared" si="9"/>
        <v>0</v>
      </c>
      <c r="N107" s="162">
        <f t="shared" si="11"/>
        <v>0</v>
      </c>
      <c r="O107" s="162">
        <f t="shared" si="12"/>
        <v>0</v>
      </c>
      <c r="P107" s="163">
        <f t="shared" si="10"/>
        <v>0</v>
      </c>
      <c r="U107" s="374"/>
    </row>
    <row r="108" spans="1:21" s="119" customFormat="1" ht="29.25" hidden="1" customHeight="1" x14ac:dyDescent="0.25">
      <c r="A108" s="474"/>
      <c r="B108" s="474" t="str">
        <f t="shared" si="7"/>
        <v>56 - 60</v>
      </c>
      <c r="C108" s="160">
        <f>Computation!C17+Computation!D17</f>
        <v>0</v>
      </c>
      <c r="D108" s="161">
        <f>Computation!E17</f>
        <v>0</v>
      </c>
      <c r="E108" s="160">
        <f>Computation!F17+Computation!G17</f>
        <v>0</v>
      </c>
      <c r="F108" s="161">
        <f>Computation!H17</f>
        <v>0</v>
      </c>
      <c r="G108" s="160">
        <f>IF(C108=0,0,(Computation!I17+Computation!J17)/C108)/(1-Loadings)</f>
        <v>0</v>
      </c>
      <c r="H108" s="161">
        <f>IF(D108=0,0,Computation!K17/Computation!E17)/(1-Loadings)</f>
        <v>0</v>
      </c>
      <c r="I108" s="160">
        <f>IF(E108=0,0,(Computation!L17+Computation!M17)/E108)/(1-Loadings)</f>
        <v>0</v>
      </c>
      <c r="J108" s="161">
        <f>IF(F108=0,0,Computation!N17/Computation!H17)/(1-Loadings)</f>
        <v>0</v>
      </c>
      <c r="K108" s="160">
        <f t="shared" si="8"/>
        <v>0</v>
      </c>
      <c r="L108" s="160">
        <f t="shared" si="8"/>
        <v>0</v>
      </c>
      <c r="M108" s="161">
        <f t="shared" si="9"/>
        <v>0</v>
      </c>
      <c r="N108" s="160">
        <f t="shared" si="11"/>
        <v>0</v>
      </c>
      <c r="O108" s="160">
        <f t="shared" si="12"/>
        <v>0</v>
      </c>
      <c r="P108" s="161">
        <f t="shared" si="10"/>
        <v>0</v>
      </c>
      <c r="U108" s="374"/>
    </row>
    <row r="109" spans="1:21" s="119" customFormat="1" ht="29.25" hidden="1" customHeight="1" x14ac:dyDescent="0.25">
      <c r="A109" s="474"/>
      <c r="B109" s="474" t="str">
        <f t="shared" si="7"/>
        <v>61 - 65</v>
      </c>
      <c r="C109" s="162">
        <f>Computation!C18+Computation!D18</f>
        <v>0</v>
      </c>
      <c r="D109" s="163">
        <f>Computation!E18</f>
        <v>0</v>
      </c>
      <c r="E109" s="162">
        <f>Computation!F18+Computation!G18</f>
        <v>0</v>
      </c>
      <c r="F109" s="163">
        <f>Computation!H18</f>
        <v>0</v>
      </c>
      <c r="G109" s="160">
        <f>IF(C109=0,0,(Computation!I18+Computation!J18)/C109)/(1-Loadings)</f>
        <v>0</v>
      </c>
      <c r="H109" s="161">
        <f>IF(D109=0,0,Computation!K18/Computation!E18)/(1-Loadings)</f>
        <v>0</v>
      </c>
      <c r="I109" s="162">
        <f>IF(E109=0,0,(Computation!L18+Computation!M18)/E109)/(1-Loadings)</f>
        <v>0</v>
      </c>
      <c r="J109" s="163">
        <f>IF(F109=0,0,Computation!N18/Computation!H18)/(1-Loadings)</f>
        <v>0</v>
      </c>
      <c r="K109" s="162">
        <f t="shared" si="8"/>
        <v>0</v>
      </c>
      <c r="L109" s="162">
        <f t="shared" si="8"/>
        <v>0</v>
      </c>
      <c r="M109" s="163">
        <f t="shared" si="9"/>
        <v>0</v>
      </c>
      <c r="N109" s="162">
        <f t="shared" si="11"/>
        <v>0</v>
      </c>
      <c r="O109" s="162">
        <f t="shared" si="12"/>
        <v>0</v>
      </c>
      <c r="P109" s="163">
        <f t="shared" si="10"/>
        <v>0</v>
      </c>
      <c r="U109" s="374"/>
    </row>
    <row r="110" spans="1:21" s="119" customFormat="1" ht="29.25" hidden="1" customHeight="1" x14ac:dyDescent="0.25">
      <c r="A110" s="474"/>
      <c r="B110" s="474" t="str">
        <f t="shared" si="7"/>
        <v>66 - 69</v>
      </c>
      <c r="C110" s="164">
        <f>Computation!C19+Computation!D19</f>
        <v>0</v>
      </c>
      <c r="D110" s="165">
        <f>Computation!E19</f>
        <v>0</v>
      </c>
      <c r="E110" s="164">
        <f>Computation!F19+Computation!G19</f>
        <v>0</v>
      </c>
      <c r="F110" s="165">
        <f>Computation!H19</f>
        <v>0</v>
      </c>
      <c r="G110" s="160">
        <f>IF(C110=0,0,(Computation!I19+Computation!J19)/C110)/(1-Loadings)</f>
        <v>0</v>
      </c>
      <c r="H110" s="161">
        <f>IF(D110=0,0,Computation!K19/Computation!E19)/(1-Loadings)</f>
        <v>0</v>
      </c>
      <c r="I110" s="164">
        <f>IF(E110=0,0,(Computation!L19+Computation!M19)/E110)/(1-Loadings)</f>
        <v>0</v>
      </c>
      <c r="J110" s="165">
        <f>IF(F110=0,0,Computation!N19/Computation!H19)/(1-Loadings)</f>
        <v>0</v>
      </c>
      <c r="K110" s="164">
        <f t="shared" si="8"/>
        <v>0</v>
      </c>
      <c r="L110" s="164">
        <f t="shared" si="8"/>
        <v>0</v>
      </c>
      <c r="M110" s="165">
        <f t="shared" si="9"/>
        <v>0</v>
      </c>
      <c r="N110" s="164">
        <f t="shared" si="11"/>
        <v>0</v>
      </c>
      <c r="O110" s="164">
        <f t="shared" si="12"/>
        <v>0</v>
      </c>
      <c r="P110" s="165">
        <f t="shared" si="10"/>
        <v>0</v>
      </c>
      <c r="U110" s="374"/>
    </row>
    <row r="111" spans="1:21" s="119" customFormat="1" ht="29.25" hidden="1" customHeight="1" x14ac:dyDescent="0.25">
      <c r="A111" s="474"/>
      <c r="B111" s="474" t="s">
        <v>100</v>
      </c>
      <c r="C111" s="229">
        <f>SUM(C104:C110)</f>
        <v>0</v>
      </c>
      <c r="D111" s="125">
        <f>SUM(D104:D110)</f>
        <v>0</v>
      </c>
      <c r="E111" s="229">
        <f>SUM(E104:E110)</f>
        <v>0</v>
      </c>
      <c r="F111" s="125">
        <f>SUM(F104:F110)</f>
        <v>0</v>
      </c>
      <c r="G111" s="229">
        <f>ROUND(IF(C111=0,0,SUMPRODUCT(C104:C110,G104:G110)/C111),0)</f>
        <v>0</v>
      </c>
      <c r="H111" s="125">
        <f>ROUND(IF(D111=0,0,SUMPRODUCT(D104:D110,H104:H110)/C111),0)</f>
        <v>0</v>
      </c>
      <c r="I111" s="229">
        <f>ROUND(IF(E111=0,0,SUMPRODUCT(E104:E110,I104:I110)/E111),0)</f>
        <v>0</v>
      </c>
      <c r="J111" s="125">
        <f>ROUND(IF(F111=0,0,SUMPRODUCT(F104:F110,J104:J110)/F111),0)</f>
        <v>0</v>
      </c>
      <c r="K111" s="229">
        <f>G111*C111</f>
        <v>0</v>
      </c>
      <c r="L111" s="229">
        <f>H111*C111</f>
        <v>0</v>
      </c>
      <c r="M111" s="125">
        <f>L111+K111</f>
        <v>0</v>
      </c>
      <c r="N111" s="229">
        <f>I111*E111</f>
        <v>0</v>
      </c>
      <c r="O111" s="229">
        <f>J111*F111</f>
        <v>0</v>
      </c>
      <c r="P111" s="125">
        <f>O111+N111</f>
        <v>0</v>
      </c>
      <c r="U111" s="374"/>
    </row>
    <row r="112" spans="1:21" s="119" customFormat="1" ht="29.25" hidden="1" customHeight="1" x14ac:dyDescent="0.25">
      <c r="A112" s="123"/>
      <c r="B112" s="124"/>
      <c r="C112" s="229"/>
      <c r="D112" s="125"/>
      <c r="E112" s="229"/>
      <c r="F112" s="125"/>
      <c r="G112" s="229"/>
      <c r="H112" s="125"/>
      <c r="I112" s="229"/>
      <c r="J112" s="125"/>
      <c r="K112" s="229"/>
      <c r="L112" s="229"/>
      <c r="M112" s="125"/>
      <c r="N112" s="229"/>
      <c r="O112" s="229"/>
      <c r="P112" s="125"/>
      <c r="U112" s="374"/>
    </row>
    <row r="113" spans="1:21" s="119" customFormat="1" ht="29.25" hidden="1" customHeight="1" x14ac:dyDescent="0.25">
      <c r="A113" s="474" t="s">
        <v>65</v>
      </c>
      <c r="B113" s="474" t="str">
        <f t="shared" ref="B113:B119" si="13">B104</f>
        <v>0 - 17</v>
      </c>
      <c r="C113" s="160">
        <f>Computation!C20+Computation!D20</f>
        <v>0</v>
      </c>
      <c r="D113" s="161">
        <f>Computation!E20</f>
        <v>0</v>
      </c>
      <c r="E113" s="160">
        <f>Computation!F20+Computation!G20</f>
        <v>0</v>
      </c>
      <c r="F113" s="161">
        <f>Computation!H20</f>
        <v>0</v>
      </c>
      <c r="G113" s="160">
        <f>IF(C113=0,0,(Computation!I20+Computation!J20)/C113)/(1-Loadings)</f>
        <v>0</v>
      </c>
      <c r="H113" s="161">
        <f>IF(D113=0,0,Computation!K20/Computation!E20)/(1-Loadings)</f>
        <v>0</v>
      </c>
      <c r="I113" s="160">
        <f>IF(E113=0,0,(Computation!L20+Computation!M20)/E113)/(1-Loadings)</f>
        <v>0</v>
      </c>
      <c r="J113" s="161">
        <f>IF(F113=0,0,Computation!N20/Computation!H20)/(1-Loadings)</f>
        <v>0</v>
      </c>
      <c r="K113" s="160">
        <f t="shared" ref="K113:L119" si="14">ROUND(G113*C113,0)</f>
        <v>0</v>
      </c>
      <c r="L113" s="160">
        <f t="shared" si="14"/>
        <v>0</v>
      </c>
      <c r="M113" s="161">
        <f t="shared" ref="M113:M119" si="15">L113+K113</f>
        <v>0</v>
      </c>
      <c r="N113" s="160">
        <f>ROUND(I113*E113,0)</f>
        <v>0</v>
      </c>
      <c r="O113" s="160">
        <f>ROUND(J113*F113,0)</f>
        <v>0</v>
      </c>
      <c r="P113" s="161">
        <f t="shared" ref="P113:P119" si="16">O113+N113</f>
        <v>0</v>
      </c>
      <c r="U113" s="374"/>
    </row>
    <row r="114" spans="1:21" s="119" customFormat="1" ht="30" hidden="1" customHeight="1" x14ac:dyDescent="0.25">
      <c r="A114" s="474"/>
      <c r="B114" s="474" t="str">
        <f t="shared" si="13"/>
        <v>18 - 35</v>
      </c>
      <c r="C114" s="162">
        <f>Computation!C21+Computation!D21</f>
        <v>0</v>
      </c>
      <c r="D114" s="163">
        <f>Computation!E21</f>
        <v>0</v>
      </c>
      <c r="E114" s="162">
        <f>Computation!F21+Computation!G21</f>
        <v>0</v>
      </c>
      <c r="F114" s="163">
        <f>Computation!H21</f>
        <v>0</v>
      </c>
      <c r="G114" s="162">
        <f>IF(C114=0,0,(Computation!I21+Computation!J21)/C114)/(1-Loadings)</f>
        <v>0</v>
      </c>
      <c r="H114" s="163">
        <f>IF(D114=0,0,Computation!K21/Computation!E21)/(1-Loadings)</f>
        <v>0</v>
      </c>
      <c r="I114" s="162">
        <f>IF(E114=0,0,(Computation!L21+Computation!M21)/E114)/(1-Loadings)</f>
        <v>0</v>
      </c>
      <c r="J114" s="163">
        <f>IF(F114=0,0,Computation!N21/Computation!H21)/(1-Loadings)</f>
        <v>0</v>
      </c>
      <c r="K114" s="162">
        <f t="shared" si="14"/>
        <v>0</v>
      </c>
      <c r="L114" s="162">
        <f t="shared" si="14"/>
        <v>0</v>
      </c>
      <c r="M114" s="163">
        <f t="shared" si="15"/>
        <v>0</v>
      </c>
      <c r="N114" s="162">
        <f t="shared" ref="N114:N119" si="17">ROUND(I114*E114,0)</f>
        <v>0</v>
      </c>
      <c r="O114" s="162">
        <f t="shared" ref="O114:O119" si="18">ROUND(J114*F114,0)</f>
        <v>0</v>
      </c>
      <c r="P114" s="163">
        <f t="shared" si="16"/>
        <v>0</v>
      </c>
      <c r="U114" s="374"/>
    </row>
    <row r="115" spans="1:21" ht="18.75" hidden="1" x14ac:dyDescent="0.25">
      <c r="A115" s="474"/>
      <c r="B115" s="474" t="str">
        <f t="shared" si="13"/>
        <v>36 - 45</v>
      </c>
      <c r="C115" s="160">
        <f>Computation!C22+Computation!D22</f>
        <v>0</v>
      </c>
      <c r="D115" s="161">
        <f>Computation!E22</f>
        <v>0</v>
      </c>
      <c r="E115" s="160">
        <f>Computation!F22+Computation!G22</f>
        <v>0</v>
      </c>
      <c r="F115" s="161">
        <f>Computation!H22</f>
        <v>0</v>
      </c>
      <c r="G115" s="160">
        <f>IF(C115=0,0,(Computation!I22+Computation!J22)/C115)/(1-Loadings)</f>
        <v>0</v>
      </c>
      <c r="H115" s="161">
        <f>IF(D115=0,0,Computation!K22/Computation!E22)/(1-Loadings)</f>
        <v>0</v>
      </c>
      <c r="I115" s="160">
        <f>IF(E115=0,0,(Computation!L22+Computation!M22)/E115)/(1-Loadings)</f>
        <v>0</v>
      </c>
      <c r="J115" s="161">
        <f>IF(F115=0,0,Computation!N22/Computation!H22)/(1-Loadings)</f>
        <v>0</v>
      </c>
      <c r="K115" s="160">
        <f t="shared" si="14"/>
        <v>0</v>
      </c>
      <c r="L115" s="160">
        <f t="shared" si="14"/>
        <v>0</v>
      </c>
      <c r="M115" s="161">
        <f t="shared" si="15"/>
        <v>0</v>
      </c>
      <c r="N115" s="160">
        <f t="shared" si="17"/>
        <v>0</v>
      </c>
      <c r="O115" s="160">
        <f t="shared" si="18"/>
        <v>0</v>
      </c>
      <c r="P115" s="161">
        <f t="shared" si="16"/>
        <v>0</v>
      </c>
      <c r="Q115" s="119"/>
    </row>
    <row r="116" spans="1:21" s="119" customFormat="1" ht="29.25" hidden="1" customHeight="1" x14ac:dyDescent="0.25">
      <c r="A116" s="474"/>
      <c r="B116" s="474" t="str">
        <f t="shared" si="13"/>
        <v>46 - 55</v>
      </c>
      <c r="C116" s="162">
        <f>Computation!C23+Computation!D23</f>
        <v>0</v>
      </c>
      <c r="D116" s="163">
        <f>Computation!E23</f>
        <v>0</v>
      </c>
      <c r="E116" s="162">
        <f>Computation!F23+Computation!G23</f>
        <v>0</v>
      </c>
      <c r="F116" s="163">
        <f>Computation!H23</f>
        <v>0</v>
      </c>
      <c r="G116" s="162">
        <f>IF(C116=0,0,(Computation!I23+Computation!J23)/C116)/(1-Loadings)</f>
        <v>0</v>
      </c>
      <c r="H116" s="163">
        <f>IF(D116=0,0,Computation!K23/Computation!E23)/(1-Loadings)</f>
        <v>0</v>
      </c>
      <c r="I116" s="162">
        <f>IF(E116=0,0,(Computation!L23+Computation!M23)/E116)/(1-Loadings)</f>
        <v>0</v>
      </c>
      <c r="J116" s="163">
        <f>IF(F116=0,0,Computation!N23/Computation!H23)/(1-Loadings)</f>
        <v>0</v>
      </c>
      <c r="K116" s="162">
        <f t="shared" si="14"/>
        <v>0</v>
      </c>
      <c r="L116" s="162">
        <f t="shared" si="14"/>
        <v>0</v>
      </c>
      <c r="M116" s="163">
        <f t="shared" si="15"/>
        <v>0</v>
      </c>
      <c r="N116" s="162">
        <f t="shared" si="17"/>
        <v>0</v>
      </c>
      <c r="O116" s="162">
        <f t="shared" si="18"/>
        <v>0</v>
      </c>
      <c r="P116" s="163">
        <f t="shared" si="16"/>
        <v>0</v>
      </c>
      <c r="U116" s="374"/>
    </row>
    <row r="117" spans="1:21" s="119" customFormat="1" ht="29.25" hidden="1" customHeight="1" x14ac:dyDescent="0.25">
      <c r="A117" s="474"/>
      <c r="B117" s="474" t="str">
        <f t="shared" si="13"/>
        <v>56 - 60</v>
      </c>
      <c r="C117" s="160">
        <f>Computation!C24+Computation!D24</f>
        <v>0</v>
      </c>
      <c r="D117" s="161">
        <f>Computation!E24</f>
        <v>0</v>
      </c>
      <c r="E117" s="160">
        <f>Computation!F24+Computation!G24</f>
        <v>0</v>
      </c>
      <c r="F117" s="161">
        <f>Computation!H24</f>
        <v>0</v>
      </c>
      <c r="G117" s="160">
        <f>IF(C117=0,0,(Computation!I24+Computation!J24)/C117)/(1-Loadings)</f>
        <v>0</v>
      </c>
      <c r="H117" s="161">
        <f>IF(D117=0,0,Computation!K24/Computation!E24)/(1-Loadings)</f>
        <v>0</v>
      </c>
      <c r="I117" s="160">
        <f>IF(E117=0,0,(Computation!L24+Computation!M24)/E117)/(1-Loadings)</f>
        <v>0</v>
      </c>
      <c r="J117" s="161">
        <f>IF(F117=0,0,Computation!N24/Computation!H24)/(1-Loadings)</f>
        <v>0</v>
      </c>
      <c r="K117" s="160">
        <f t="shared" si="14"/>
        <v>0</v>
      </c>
      <c r="L117" s="160">
        <f t="shared" si="14"/>
        <v>0</v>
      </c>
      <c r="M117" s="161">
        <f t="shared" si="15"/>
        <v>0</v>
      </c>
      <c r="N117" s="160">
        <f t="shared" si="17"/>
        <v>0</v>
      </c>
      <c r="O117" s="160">
        <f t="shared" si="18"/>
        <v>0</v>
      </c>
      <c r="P117" s="161">
        <f t="shared" si="16"/>
        <v>0</v>
      </c>
      <c r="U117" s="374"/>
    </row>
    <row r="118" spans="1:21" s="119" customFormat="1" ht="29.25" hidden="1" customHeight="1" x14ac:dyDescent="0.25">
      <c r="A118" s="474"/>
      <c r="B118" s="474" t="str">
        <f t="shared" si="13"/>
        <v>61 - 65</v>
      </c>
      <c r="C118" s="162">
        <f>Computation!C25+Computation!D25</f>
        <v>0</v>
      </c>
      <c r="D118" s="163">
        <f>Computation!E25</f>
        <v>0</v>
      </c>
      <c r="E118" s="162">
        <f>Computation!F25+Computation!G25</f>
        <v>0</v>
      </c>
      <c r="F118" s="163">
        <f>Computation!H25</f>
        <v>0</v>
      </c>
      <c r="G118" s="162">
        <f>IF(C118=0,0,(Computation!I25+Computation!J25)/C118)/(1-Loadings)</f>
        <v>0</v>
      </c>
      <c r="H118" s="163">
        <f>IF(D118=0,0,Computation!K25/Computation!E25)/(1-Loadings)</f>
        <v>0</v>
      </c>
      <c r="I118" s="162">
        <f>IF(E118=0,0,(Computation!L25+Computation!M25)/E118)/(1-Loadings)</f>
        <v>0</v>
      </c>
      <c r="J118" s="163">
        <f>IF(F118=0,0,Computation!N25/Computation!H25)/(1-Loadings)</f>
        <v>0</v>
      </c>
      <c r="K118" s="162">
        <f t="shared" si="14"/>
        <v>0</v>
      </c>
      <c r="L118" s="162">
        <f t="shared" si="14"/>
        <v>0</v>
      </c>
      <c r="M118" s="163">
        <f t="shared" si="15"/>
        <v>0</v>
      </c>
      <c r="N118" s="162">
        <f t="shared" si="17"/>
        <v>0</v>
      </c>
      <c r="O118" s="162">
        <f t="shared" si="18"/>
        <v>0</v>
      </c>
      <c r="P118" s="163">
        <f t="shared" si="16"/>
        <v>0</v>
      </c>
      <c r="U118" s="374"/>
    </row>
    <row r="119" spans="1:21" s="119" customFormat="1" ht="29.25" hidden="1" customHeight="1" x14ac:dyDescent="0.25">
      <c r="A119" s="474"/>
      <c r="B119" s="474" t="str">
        <f t="shared" si="13"/>
        <v>66 - 69</v>
      </c>
      <c r="C119" s="164">
        <f>Computation!C26+Computation!D26</f>
        <v>0</v>
      </c>
      <c r="D119" s="165">
        <f>Computation!E26</f>
        <v>0</v>
      </c>
      <c r="E119" s="164">
        <f>Computation!F26+Computation!G26</f>
        <v>0</v>
      </c>
      <c r="F119" s="165">
        <f>Computation!H26</f>
        <v>0</v>
      </c>
      <c r="G119" s="164">
        <f>IF(C119=0,0,(Computation!I26+Computation!J26)/C119)/(1-Loadings)</f>
        <v>0</v>
      </c>
      <c r="H119" s="165">
        <f>IF(D119=0,0,Computation!K26/Computation!E26)/(1-Loadings)</f>
        <v>0</v>
      </c>
      <c r="I119" s="164">
        <f>IF(E119=0,0,(Computation!L26+Computation!M26)/E119)/(1-Loadings)</f>
        <v>0</v>
      </c>
      <c r="J119" s="165">
        <f>IF(F119=0,0,Computation!N26/Computation!H26)/(1-Loadings)</f>
        <v>0</v>
      </c>
      <c r="K119" s="164">
        <f t="shared" si="14"/>
        <v>0</v>
      </c>
      <c r="L119" s="164">
        <f t="shared" si="14"/>
        <v>0</v>
      </c>
      <c r="M119" s="165">
        <f t="shared" si="15"/>
        <v>0</v>
      </c>
      <c r="N119" s="164">
        <f t="shared" si="17"/>
        <v>0</v>
      </c>
      <c r="O119" s="164">
        <f t="shared" si="18"/>
        <v>0</v>
      </c>
      <c r="P119" s="165">
        <f t="shared" si="16"/>
        <v>0</v>
      </c>
      <c r="U119" s="374"/>
    </row>
    <row r="120" spans="1:21" s="119" customFormat="1" ht="29.25" hidden="1" customHeight="1" x14ac:dyDescent="0.25">
      <c r="A120" s="474"/>
      <c r="B120" s="474" t="s">
        <v>100</v>
      </c>
      <c r="C120" s="229">
        <f>SUM(C113:C119)</f>
        <v>0</v>
      </c>
      <c r="D120" s="125">
        <f>SUM(D113:D119)</f>
        <v>0</v>
      </c>
      <c r="E120" s="229">
        <f>SUM(E113:E119)</f>
        <v>0</v>
      </c>
      <c r="F120" s="125">
        <f>SUM(F113:F119)</f>
        <v>0</v>
      </c>
      <c r="G120" s="229">
        <f>ROUND(IF(C120=0,0,SUMPRODUCT(C113:C119,G113:G119)/C120),0)</f>
        <v>0</v>
      </c>
      <c r="H120" s="125">
        <f>ROUND(IF(D120=0,0,SUMPRODUCT(D113:D119,H113:H119)/C120),0)</f>
        <v>0</v>
      </c>
      <c r="I120" s="229">
        <f>ROUND(IF(E120=0,0,SUMPRODUCT(E113:E119,I113:I119)/E120),0)</f>
        <v>0</v>
      </c>
      <c r="J120" s="125">
        <f>ROUND(IF(F120=0,0,SUMPRODUCT(F113:F119,J113:J119)/F120),0)</f>
        <v>0</v>
      </c>
      <c r="K120" s="229">
        <f>G120*C120</f>
        <v>0</v>
      </c>
      <c r="L120" s="229">
        <f>H120*D120</f>
        <v>0</v>
      </c>
      <c r="M120" s="125">
        <f>L120+K120</f>
        <v>0</v>
      </c>
      <c r="N120" s="229">
        <f>I120*E120</f>
        <v>0</v>
      </c>
      <c r="O120" s="229">
        <f>J120*F120</f>
        <v>0</v>
      </c>
      <c r="P120" s="125">
        <f>O120+N120</f>
        <v>0</v>
      </c>
      <c r="U120" s="374"/>
    </row>
    <row r="121" spans="1:21" s="119" customFormat="1" ht="29.25" hidden="1" customHeight="1" x14ac:dyDescent="0.25">
      <c r="A121" s="123"/>
      <c r="B121" s="124"/>
      <c r="C121" s="229"/>
      <c r="D121" s="125"/>
      <c r="E121" s="229"/>
      <c r="F121" s="125"/>
      <c r="G121" s="229"/>
      <c r="H121" s="125"/>
      <c r="I121" s="229"/>
      <c r="J121" s="125"/>
      <c r="K121" s="229"/>
      <c r="L121" s="229"/>
      <c r="M121" s="125"/>
      <c r="N121" s="229"/>
      <c r="O121" s="229"/>
      <c r="P121" s="125"/>
      <c r="U121" s="374"/>
    </row>
    <row r="122" spans="1:21" s="119" customFormat="1" ht="29.25" hidden="1" customHeight="1" x14ac:dyDescent="0.25">
      <c r="A122" s="474" t="s">
        <v>66</v>
      </c>
      <c r="B122" s="474" t="str">
        <f t="shared" ref="B122:B128" si="19">B113</f>
        <v>0 - 17</v>
      </c>
      <c r="C122" s="160">
        <f>Computation!C27+Computation!D27</f>
        <v>0</v>
      </c>
      <c r="D122" s="161">
        <f>Computation!E27</f>
        <v>0</v>
      </c>
      <c r="E122" s="160">
        <f>Computation!F27+Computation!G27</f>
        <v>0</v>
      </c>
      <c r="F122" s="161">
        <f>Computation!H27</f>
        <v>0</v>
      </c>
      <c r="G122" s="160">
        <f>IF(C122=0,0,(Computation!I27+Computation!J27)/C122)/(1-Loadings)</f>
        <v>0</v>
      </c>
      <c r="H122" s="161">
        <f>IF(D122=0,0,Computation!K27/Computation!E27)/(1-Loadings)</f>
        <v>0</v>
      </c>
      <c r="I122" s="160">
        <f>IF(E122=0,0,(Computation!L27+Computation!M27)/E122)/(1-Loadings)</f>
        <v>0</v>
      </c>
      <c r="J122" s="161">
        <f>IF(F122=0,0,Computation!N27/Computation!H27)/(1-Loadings)</f>
        <v>0</v>
      </c>
      <c r="K122" s="160">
        <f t="shared" ref="K122:L128" si="20">ROUND(G122*C122,0)</f>
        <v>0</v>
      </c>
      <c r="L122" s="160">
        <f t="shared" si="20"/>
        <v>0</v>
      </c>
      <c r="M122" s="161">
        <f t="shared" ref="M122:M128" si="21">L122+K122</f>
        <v>0</v>
      </c>
      <c r="N122" s="160">
        <f>ROUND(I122*E122,0)</f>
        <v>0</v>
      </c>
      <c r="O122" s="160">
        <f>ROUND(J122*F122,0)</f>
        <v>0</v>
      </c>
      <c r="P122" s="161">
        <f t="shared" ref="P122:P128" si="22">O122+N122</f>
        <v>0</v>
      </c>
      <c r="U122" s="374"/>
    </row>
    <row r="123" spans="1:21" s="119" customFormat="1" ht="30" hidden="1" customHeight="1" x14ac:dyDescent="0.25">
      <c r="A123" s="474"/>
      <c r="B123" s="474" t="str">
        <f t="shared" si="19"/>
        <v>18 - 35</v>
      </c>
      <c r="C123" s="162">
        <f>Computation!C28+Computation!D28</f>
        <v>0</v>
      </c>
      <c r="D123" s="163">
        <f>Computation!E28</f>
        <v>0</v>
      </c>
      <c r="E123" s="162">
        <f>Computation!F28+Computation!G28</f>
        <v>0</v>
      </c>
      <c r="F123" s="163">
        <f>Computation!H28</f>
        <v>0</v>
      </c>
      <c r="G123" s="162">
        <f>IF(C123=0,0,(Computation!I28+Computation!J28)/C123)/(1-Loadings)</f>
        <v>0</v>
      </c>
      <c r="H123" s="163">
        <f>IF(D123=0,0,Computation!K28/Computation!E28)/(1-Loadings)</f>
        <v>0</v>
      </c>
      <c r="I123" s="162">
        <f>IF(E123=0,0,(Computation!L28+Computation!M28)/E123)/(1-Loadings)</f>
        <v>0</v>
      </c>
      <c r="J123" s="163">
        <f>IF(F123=0,0,Computation!N28/Computation!H28)/(1-Loadings)</f>
        <v>0</v>
      </c>
      <c r="K123" s="162">
        <f t="shared" si="20"/>
        <v>0</v>
      </c>
      <c r="L123" s="162">
        <f t="shared" si="20"/>
        <v>0</v>
      </c>
      <c r="M123" s="163">
        <f t="shared" si="21"/>
        <v>0</v>
      </c>
      <c r="N123" s="162">
        <f t="shared" ref="N123:N128" si="23">ROUND(I123*E123,0)</f>
        <v>0</v>
      </c>
      <c r="O123" s="162">
        <f t="shared" ref="O123:O128" si="24">ROUND(J123*F123,0)</f>
        <v>0</v>
      </c>
      <c r="P123" s="163">
        <f t="shared" si="22"/>
        <v>0</v>
      </c>
      <c r="U123" s="374"/>
    </row>
    <row r="124" spans="1:21" ht="18.75" hidden="1" x14ac:dyDescent="0.25">
      <c r="A124" s="474"/>
      <c r="B124" s="474" t="str">
        <f t="shared" si="19"/>
        <v>36 - 45</v>
      </c>
      <c r="C124" s="160">
        <f>Computation!C29+Computation!D29</f>
        <v>0</v>
      </c>
      <c r="D124" s="161">
        <f>Computation!E29</f>
        <v>0</v>
      </c>
      <c r="E124" s="160">
        <f>Computation!F29+Computation!G29</f>
        <v>0</v>
      </c>
      <c r="F124" s="161">
        <f>Computation!H29</f>
        <v>0</v>
      </c>
      <c r="G124" s="160">
        <f>IF(C124=0,0,(Computation!I29+Computation!J29)/C124)/(1-Loadings)</f>
        <v>0</v>
      </c>
      <c r="H124" s="161">
        <f>IF(D124=0,0,Computation!K29/Computation!E29)/(1-Loadings)</f>
        <v>0</v>
      </c>
      <c r="I124" s="160">
        <f>IF(E124=0,0,(Computation!L29+Computation!M29)/E124)/(1-Loadings)</f>
        <v>0</v>
      </c>
      <c r="J124" s="161">
        <f>IF(F124=0,0,Computation!N29/Computation!H29)/(1-Loadings)</f>
        <v>0</v>
      </c>
      <c r="K124" s="160">
        <f t="shared" si="20"/>
        <v>0</v>
      </c>
      <c r="L124" s="160">
        <f t="shared" si="20"/>
        <v>0</v>
      </c>
      <c r="M124" s="161">
        <f t="shared" si="21"/>
        <v>0</v>
      </c>
      <c r="N124" s="160">
        <f t="shared" si="23"/>
        <v>0</v>
      </c>
      <c r="O124" s="160">
        <f t="shared" si="24"/>
        <v>0</v>
      </c>
      <c r="P124" s="161">
        <f t="shared" si="22"/>
        <v>0</v>
      </c>
      <c r="Q124" s="119"/>
    </row>
    <row r="125" spans="1:21" ht="18.75" hidden="1" x14ac:dyDescent="0.25">
      <c r="A125" s="474"/>
      <c r="B125" s="474" t="str">
        <f t="shared" si="19"/>
        <v>46 - 55</v>
      </c>
      <c r="C125" s="162">
        <f>Computation!C30+Computation!D30</f>
        <v>0</v>
      </c>
      <c r="D125" s="163">
        <f>Computation!E30</f>
        <v>0</v>
      </c>
      <c r="E125" s="162">
        <f>Computation!F30+Computation!G30</f>
        <v>0</v>
      </c>
      <c r="F125" s="163">
        <f>Computation!H30</f>
        <v>0</v>
      </c>
      <c r="G125" s="162">
        <f>IF(C125=0,0,(Computation!I30+Computation!J30)/C125)/(1-Loadings)</f>
        <v>0</v>
      </c>
      <c r="H125" s="163">
        <f>IF(D125=0,0,Computation!K30/Computation!E30)/(1-Loadings)</f>
        <v>0</v>
      </c>
      <c r="I125" s="162">
        <f>IF(E125=0,0,(Computation!L30+Computation!M30)/E125)/(1-Loadings)</f>
        <v>0</v>
      </c>
      <c r="J125" s="163">
        <f>IF(F125=0,0,Computation!N30/Computation!H30)/(1-Loadings)</f>
        <v>0</v>
      </c>
      <c r="K125" s="162">
        <f t="shared" si="20"/>
        <v>0</v>
      </c>
      <c r="L125" s="162">
        <f t="shared" si="20"/>
        <v>0</v>
      </c>
      <c r="M125" s="163">
        <f t="shared" si="21"/>
        <v>0</v>
      </c>
      <c r="N125" s="162">
        <f t="shared" si="23"/>
        <v>0</v>
      </c>
      <c r="O125" s="162">
        <f t="shared" si="24"/>
        <v>0</v>
      </c>
      <c r="P125" s="163">
        <f t="shared" si="22"/>
        <v>0</v>
      </c>
      <c r="Q125" s="119"/>
    </row>
    <row r="126" spans="1:21" ht="18.75" hidden="1" x14ac:dyDescent="0.25">
      <c r="A126" s="474"/>
      <c r="B126" s="474" t="str">
        <f t="shared" si="19"/>
        <v>56 - 60</v>
      </c>
      <c r="C126" s="160">
        <f>Computation!C31+Computation!D31</f>
        <v>0</v>
      </c>
      <c r="D126" s="161">
        <f>Computation!E31</f>
        <v>0</v>
      </c>
      <c r="E126" s="160">
        <f>Computation!F31+Computation!G31</f>
        <v>0</v>
      </c>
      <c r="F126" s="161">
        <f>Computation!H31</f>
        <v>0</v>
      </c>
      <c r="G126" s="160">
        <f>IF(C126=0,0,(Computation!I31+Computation!J31)/C126)/(1-Loadings)</f>
        <v>0</v>
      </c>
      <c r="H126" s="161">
        <f>IF(D126=0,0,Computation!K31/Computation!E31)/(1-Loadings)</f>
        <v>0</v>
      </c>
      <c r="I126" s="160">
        <f>IF(E126=0,0,(Computation!L31+Computation!M31)/E126)/(1-Loadings)</f>
        <v>0</v>
      </c>
      <c r="J126" s="161">
        <f>IF(F126=0,0,Computation!N31/Computation!H31)/(1-Loadings)</f>
        <v>0</v>
      </c>
      <c r="K126" s="160">
        <f t="shared" si="20"/>
        <v>0</v>
      </c>
      <c r="L126" s="160">
        <f t="shared" si="20"/>
        <v>0</v>
      </c>
      <c r="M126" s="161">
        <f t="shared" si="21"/>
        <v>0</v>
      </c>
      <c r="N126" s="160">
        <f t="shared" si="23"/>
        <v>0</v>
      </c>
      <c r="O126" s="160">
        <f t="shared" si="24"/>
        <v>0</v>
      </c>
      <c r="P126" s="161">
        <f t="shared" si="22"/>
        <v>0</v>
      </c>
      <c r="Q126" s="119"/>
    </row>
    <row r="127" spans="1:21" ht="18.75" hidden="1" x14ac:dyDescent="0.25">
      <c r="A127" s="474"/>
      <c r="B127" s="474" t="str">
        <f t="shared" si="19"/>
        <v>61 - 65</v>
      </c>
      <c r="C127" s="162">
        <f>Computation!C32+Computation!D32</f>
        <v>0</v>
      </c>
      <c r="D127" s="163">
        <f>Computation!E32</f>
        <v>0</v>
      </c>
      <c r="E127" s="162">
        <f>Computation!F32+Computation!G32</f>
        <v>0</v>
      </c>
      <c r="F127" s="163">
        <f>Computation!H32</f>
        <v>0</v>
      </c>
      <c r="G127" s="162">
        <f>IF(C127=0,0,(Computation!I32+Computation!J32)/C127)/(1-Loadings)</f>
        <v>0</v>
      </c>
      <c r="H127" s="163">
        <f>IF(D127=0,0,Computation!K32/Computation!E32)/(1-Loadings)</f>
        <v>0</v>
      </c>
      <c r="I127" s="162">
        <f>IF(E127=0,0,(Computation!L32+Computation!M32)/E127)/(1-Loadings)</f>
        <v>0</v>
      </c>
      <c r="J127" s="163">
        <f>IF(F127=0,0,Computation!N32/Computation!H32)/(1-Loadings)</f>
        <v>0</v>
      </c>
      <c r="K127" s="162">
        <f t="shared" si="20"/>
        <v>0</v>
      </c>
      <c r="L127" s="162">
        <f t="shared" si="20"/>
        <v>0</v>
      </c>
      <c r="M127" s="163">
        <f t="shared" si="21"/>
        <v>0</v>
      </c>
      <c r="N127" s="162">
        <f t="shared" si="23"/>
        <v>0</v>
      </c>
      <c r="O127" s="162">
        <f t="shared" si="24"/>
        <v>0</v>
      </c>
      <c r="P127" s="163">
        <f t="shared" si="22"/>
        <v>0</v>
      </c>
      <c r="Q127" s="119"/>
    </row>
    <row r="128" spans="1:21" ht="18.75" hidden="1" x14ac:dyDescent="0.25">
      <c r="A128" s="474"/>
      <c r="B128" s="474" t="str">
        <f t="shared" si="19"/>
        <v>66 - 69</v>
      </c>
      <c r="C128" s="164">
        <f>Computation!C33+Computation!D33</f>
        <v>0</v>
      </c>
      <c r="D128" s="165">
        <f>Computation!E33</f>
        <v>0</v>
      </c>
      <c r="E128" s="164">
        <f>Computation!F33+Computation!G33</f>
        <v>0</v>
      </c>
      <c r="F128" s="165">
        <f>Computation!H33</f>
        <v>0</v>
      </c>
      <c r="G128" s="164">
        <f>IF(C128=0,0,(Computation!I33+Computation!J33)/C128)/(1-Loadings)</f>
        <v>0</v>
      </c>
      <c r="H128" s="165">
        <f>IF(D128=0,0,Computation!K33/Computation!E33)/(1-Loadings)</f>
        <v>0</v>
      </c>
      <c r="I128" s="164">
        <f>IF(E128=0,0,(Computation!L33+Computation!M33)/E128)/(1-Loadings)</f>
        <v>0</v>
      </c>
      <c r="J128" s="165">
        <f>IF(F128=0,0,Computation!N33/Computation!H33)/(1-Loadings)</f>
        <v>0</v>
      </c>
      <c r="K128" s="164">
        <f t="shared" si="20"/>
        <v>0</v>
      </c>
      <c r="L128" s="164">
        <f t="shared" si="20"/>
        <v>0</v>
      </c>
      <c r="M128" s="165">
        <f t="shared" si="21"/>
        <v>0</v>
      </c>
      <c r="N128" s="164">
        <f t="shared" si="23"/>
        <v>0</v>
      </c>
      <c r="O128" s="164">
        <f t="shared" si="24"/>
        <v>0</v>
      </c>
      <c r="P128" s="165">
        <f t="shared" si="22"/>
        <v>0</v>
      </c>
      <c r="Q128" s="119"/>
    </row>
    <row r="129" spans="1:17" ht="18.75" hidden="1" x14ac:dyDescent="0.25">
      <c r="A129" s="474"/>
      <c r="B129" s="474" t="s">
        <v>172</v>
      </c>
      <c r="C129" s="229">
        <f>SUM(C122:C128)</f>
        <v>0</v>
      </c>
      <c r="D129" s="125">
        <f>SUM(D122:D128)</f>
        <v>0</v>
      </c>
      <c r="E129" s="229">
        <f>SUM(E122:E128)</f>
        <v>0</v>
      </c>
      <c r="F129" s="125">
        <f>SUM(F122:F128)</f>
        <v>0</v>
      </c>
      <c r="G129" s="229">
        <f>ROUND(IF(C129=0,0,SUMPRODUCT(C122:C128,G122:G128)/C129),0)</f>
        <v>0</v>
      </c>
      <c r="H129" s="125">
        <f>ROUND(IF(D129=0,0,SUMPRODUCT(D122:D128,H122:H128)/C129),0)</f>
        <v>0</v>
      </c>
      <c r="I129" s="229">
        <f>ROUND(IF(E129=0,0,SUMPRODUCT(E122:E128,I122:I128)/E129),0)</f>
        <v>0</v>
      </c>
      <c r="J129" s="125">
        <f>ROUND(IF(F129=0,0,SUMPRODUCT(F122:F128,J122:J128)/F129),0)</f>
        <v>0</v>
      </c>
      <c r="K129" s="229">
        <f>G129*C129</f>
        <v>0</v>
      </c>
      <c r="L129" s="229">
        <f>H129*D129</f>
        <v>0</v>
      </c>
      <c r="M129" s="125">
        <f>L129+K129</f>
        <v>0</v>
      </c>
      <c r="N129" s="229">
        <f>I129*E129</f>
        <v>0</v>
      </c>
      <c r="O129" s="229">
        <f>J129*F129</f>
        <v>0</v>
      </c>
      <c r="P129" s="125">
        <f>O129+N129</f>
        <v>0</v>
      </c>
      <c r="Q129" s="119"/>
    </row>
    <row r="130" spans="1:17" ht="18.75" hidden="1" x14ac:dyDescent="0.25">
      <c r="C130" s="167"/>
      <c r="D130" s="167"/>
      <c r="E130" s="167"/>
      <c r="F130" s="167"/>
      <c r="G130" s="167"/>
      <c r="H130" s="167"/>
      <c r="I130" s="167"/>
      <c r="J130" s="167"/>
      <c r="K130" s="167"/>
      <c r="L130" s="167"/>
      <c r="M130" s="167"/>
      <c r="N130" s="167"/>
      <c r="O130" s="167"/>
      <c r="P130" s="167"/>
    </row>
    <row r="131" spans="1:17" ht="18.75" hidden="1" x14ac:dyDescent="0.25">
      <c r="A131" s="474" t="s">
        <v>67</v>
      </c>
      <c r="B131" s="474" t="str">
        <f t="shared" ref="B131:B137" si="25">B122</f>
        <v>0 - 17</v>
      </c>
      <c r="C131" s="160">
        <f>Computation!C34+Computation!D34</f>
        <v>0</v>
      </c>
      <c r="D131" s="161">
        <f>Computation!E34</f>
        <v>0</v>
      </c>
      <c r="E131" s="160">
        <f>Computation!F34+Computation!G34</f>
        <v>0</v>
      </c>
      <c r="F131" s="161">
        <f>Computation!H34</f>
        <v>0</v>
      </c>
      <c r="G131" s="160">
        <f>IF(C131=0,0,(Computation!I34+Computation!J34)/C131)/(1-Loadings)</f>
        <v>0</v>
      </c>
      <c r="H131" s="161">
        <f>IF(D131=0,0,Computation!K34/Computation!E34)/(1-Loadings)</f>
        <v>0</v>
      </c>
      <c r="I131" s="160">
        <f>IF(E131=0,0,(Computation!L34+Computation!M34)/E131)/(1-Loadings)</f>
        <v>0</v>
      </c>
      <c r="J131" s="161">
        <f>IF(F131=0,0,Computation!N34/Computation!H34)/(1-Loadings)</f>
        <v>0</v>
      </c>
      <c r="K131" s="160">
        <f t="shared" ref="K131:L137" si="26">ROUND(G131*C131,0)</f>
        <v>0</v>
      </c>
      <c r="L131" s="160">
        <f t="shared" si="26"/>
        <v>0</v>
      </c>
      <c r="M131" s="161">
        <f t="shared" ref="M131:M137" si="27">L131+K131</f>
        <v>0</v>
      </c>
      <c r="N131" s="160">
        <f>ROUND(I131*E131,0)</f>
        <v>0</v>
      </c>
      <c r="O131" s="160">
        <f>ROUND(J131*F131,0)</f>
        <v>0</v>
      </c>
      <c r="P131" s="161">
        <f t="shared" ref="P131:P137" si="28">O131+N131</f>
        <v>0</v>
      </c>
      <c r="Q131" s="119"/>
    </row>
    <row r="132" spans="1:17" ht="18.75" hidden="1" x14ac:dyDescent="0.25">
      <c r="A132" s="474"/>
      <c r="B132" s="474" t="str">
        <f t="shared" si="25"/>
        <v>18 - 35</v>
      </c>
      <c r="C132" s="162">
        <f>Computation!C35+Computation!D35</f>
        <v>0</v>
      </c>
      <c r="D132" s="163">
        <f>Computation!E35</f>
        <v>0</v>
      </c>
      <c r="E132" s="162">
        <f>Computation!F35+Computation!G35</f>
        <v>0</v>
      </c>
      <c r="F132" s="163">
        <f>Computation!H35</f>
        <v>0</v>
      </c>
      <c r="G132" s="162">
        <f>IF(C132=0,0,(Computation!I35+Computation!J35)/C132)/(1-Loadings)</f>
        <v>0</v>
      </c>
      <c r="H132" s="163">
        <f>IF(D132=0,0,Computation!K35/Computation!E35)/(1-Loadings)</f>
        <v>0</v>
      </c>
      <c r="I132" s="162">
        <f>IF(E132=0,0,(Computation!L35+Computation!M35)/E132)/(1-Loadings)</f>
        <v>0</v>
      </c>
      <c r="J132" s="163">
        <f>IF(F132=0,0,Computation!N35/Computation!H35)/(1-Loadings)</f>
        <v>0</v>
      </c>
      <c r="K132" s="162">
        <f t="shared" si="26"/>
        <v>0</v>
      </c>
      <c r="L132" s="162">
        <f t="shared" si="26"/>
        <v>0</v>
      </c>
      <c r="M132" s="163">
        <f t="shared" si="27"/>
        <v>0</v>
      </c>
      <c r="N132" s="162">
        <f t="shared" ref="N132:N137" si="29">ROUND(I132*E132,0)</f>
        <v>0</v>
      </c>
      <c r="O132" s="162">
        <f t="shared" ref="O132:O137" si="30">ROUND(J132*F132,0)</f>
        <v>0</v>
      </c>
      <c r="P132" s="163">
        <f t="shared" si="28"/>
        <v>0</v>
      </c>
      <c r="Q132" s="119"/>
    </row>
    <row r="133" spans="1:17" ht="18.75" hidden="1" x14ac:dyDescent="0.25">
      <c r="A133" s="474"/>
      <c r="B133" s="474" t="str">
        <f t="shared" si="25"/>
        <v>36 - 45</v>
      </c>
      <c r="C133" s="160">
        <f>Computation!C36+Computation!D36</f>
        <v>0</v>
      </c>
      <c r="D133" s="161">
        <f>Computation!E36</f>
        <v>0</v>
      </c>
      <c r="E133" s="160">
        <f>Computation!F36+Computation!G36</f>
        <v>0</v>
      </c>
      <c r="F133" s="161">
        <f>Computation!H36</f>
        <v>0</v>
      </c>
      <c r="G133" s="160">
        <f>IF(C133=0,0,(Computation!I36+Computation!J36)/C133)/(1-Loadings)</f>
        <v>0</v>
      </c>
      <c r="H133" s="161">
        <f>IF(D133=0,0,Computation!K36/Computation!E36)/(1-Loadings)</f>
        <v>0</v>
      </c>
      <c r="I133" s="160">
        <f>IF(E133=0,0,(Computation!L36+Computation!M36)/E133)/(1-Loadings)</f>
        <v>0</v>
      </c>
      <c r="J133" s="161">
        <f>IF(F133=0,0,Computation!N36/Computation!H36)/(1-Loadings)</f>
        <v>0</v>
      </c>
      <c r="K133" s="160">
        <f t="shared" si="26"/>
        <v>0</v>
      </c>
      <c r="L133" s="160">
        <f t="shared" si="26"/>
        <v>0</v>
      </c>
      <c r="M133" s="161">
        <f t="shared" si="27"/>
        <v>0</v>
      </c>
      <c r="N133" s="160">
        <f t="shared" si="29"/>
        <v>0</v>
      </c>
      <c r="O133" s="160">
        <f t="shared" si="30"/>
        <v>0</v>
      </c>
      <c r="P133" s="161">
        <f t="shared" si="28"/>
        <v>0</v>
      </c>
      <c r="Q133" s="119"/>
    </row>
    <row r="134" spans="1:17" ht="18.75" hidden="1" x14ac:dyDescent="0.25">
      <c r="A134" s="474"/>
      <c r="B134" s="474" t="str">
        <f t="shared" si="25"/>
        <v>46 - 55</v>
      </c>
      <c r="C134" s="162">
        <f>Computation!C37+Computation!D37</f>
        <v>0</v>
      </c>
      <c r="D134" s="163">
        <f>Computation!E37</f>
        <v>0</v>
      </c>
      <c r="E134" s="162">
        <f>Computation!F37+Computation!G37</f>
        <v>0</v>
      </c>
      <c r="F134" s="163">
        <f>Computation!H37</f>
        <v>0</v>
      </c>
      <c r="G134" s="162">
        <f>IF(C134=0,0,(Computation!I37+Computation!J37)/C134)/(1-Loadings)</f>
        <v>0</v>
      </c>
      <c r="H134" s="163">
        <f>IF(D134=0,0,Computation!K37/Computation!E37)/(1-Loadings)</f>
        <v>0</v>
      </c>
      <c r="I134" s="162">
        <f>IF(E134=0,0,(Computation!L37+Computation!M37)/E134)/(1-Loadings)</f>
        <v>0</v>
      </c>
      <c r="J134" s="163">
        <f>IF(F134=0,0,Computation!N37/Computation!H37)/(1-Loadings)</f>
        <v>0</v>
      </c>
      <c r="K134" s="162">
        <f t="shared" si="26"/>
        <v>0</v>
      </c>
      <c r="L134" s="162">
        <f t="shared" si="26"/>
        <v>0</v>
      </c>
      <c r="M134" s="163">
        <f t="shared" si="27"/>
        <v>0</v>
      </c>
      <c r="N134" s="162">
        <f t="shared" si="29"/>
        <v>0</v>
      </c>
      <c r="O134" s="162">
        <f t="shared" si="30"/>
        <v>0</v>
      </c>
      <c r="P134" s="163">
        <f t="shared" si="28"/>
        <v>0</v>
      </c>
      <c r="Q134" s="119"/>
    </row>
    <row r="135" spans="1:17" ht="18.75" hidden="1" x14ac:dyDescent="0.25">
      <c r="A135" s="474"/>
      <c r="B135" s="474" t="str">
        <f t="shared" si="25"/>
        <v>56 - 60</v>
      </c>
      <c r="C135" s="160">
        <f>Computation!C38+Computation!D38</f>
        <v>0</v>
      </c>
      <c r="D135" s="161">
        <f>Computation!E38</f>
        <v>0</v>
      </c>
      <c r="E135" s="160">
        <f>Computation!F38+Computation!G38</f>
        <v>0</v>
      </c>
      <c r="F135" s="161">
        <f>Computation!H38</f>
        <v>0</v>
      </c>
      <c r="G135" s="160">
        <f>IF(C135=0,0,(Computation!I38+Computation!J38)/C135)/(1-Loadings)</f>
        <v>0</v>
      </c>
      <c r="H135" s="161">
        <f>IF(D135=0,0,Computation!K38/Computation!E38)/(1-Loadings)</f>
        <v>0</v>
      </c>
      <c r="I135" s="160">
        <f>IF(E135=0,0,(Computation!L38+Computation!M38)/E135)/(1-Loadings)</f>
        <v>0</v>
      </c>
      <c r="J135" s="161">
        <f>IF(F135=0,0,Computation!N38/Computation!H38)/(1-Loadings)</f>
        <v>0</v>
      </c>
      <c r="K135" s="160">
        <f t="shared" si="26"/>
        <v>0</v>
      </c>
      <c r="L135" s="160">
        <f t="shared" si="26"/>
        <v>0</v>
      </c>
      <c r="M135" s="161">
        <f t="shared" si="27"/>
        <v>0</v>
      </c>
      <c r="N135" s="160">
        <f t="shared" si="29"/>
        <v>0</v>
      </c>
      <c r="O135" s="160">
        <f t="shared" si="30"/>
        <v>0</v>
      </c>
      <c r="P135" s="161">
        <f t="shared" si="28"/>
        <v>0</v>
      </c>
      <c r="Q135" s="119"/>
    </row>
    <row r="136" spans="1:17" ht="18.75" hidden="1" x14ac:dyDescent="0.25">
      <c r="A136" s="474"/>
      <c r="B136" s="474" t="str">
        <f t="shared" si="25"/>
        <v>61 - 65</v>
      </c>
      <c r="C136" s="162">
        <f>Computation!C39+Computation!D39</f>
        <v>0</v>
      </c>
      <c r="D136" s="163">
        <f>Computation!E39</f>
        <v>0</v>
      </c>
      <c r="E136" s="162">
        <f>Computation!F39+Computation!G39</f>
        <v>0</v>
      </c>
      <c r="F136" s="163">
        <f>Computation!H39</f>
        <v>0</v>
      </c>
      <c r="G136" s="162">
        <f>IF(C136=0,0,(Computation!I39+Computation!J39)/C136)/(1-Loadings)</f>
        <v>0</v>
      </c>
      <c r="H136" s="163">
        <f>IF(D136=0,0,Computation!K39/Computation!E39)/(1-Loadings)</f>
        <v>0</v>
      </c>
      <c r="I136" s="162">
        <f>IF(E136=0,0,(Computation!L39+Computation!M39)/E136)/(1-Loadings)</f>
        <v>0</v>
      </c>
      <c r="J136" s="163">
        <f>IF(F136=0,0,Computation!N39/Computation!H39)/(1-Loadings)</f>
        <v>0</v>
      </c>
      <c r="K136" s="162">
        <f t="shared" si="26"/>
        <v>0</v>
      </c>
      <c r="L136" s="162">
        <f t="shared" si="26"/>
        <v>0</v>
      </c>
      <c r="M136" s="163">
        <f t="shared" si="27"/>
        <v>0</v>
      </c>
      <c r="N136" s="162">
        <f t="shared" si="29"/>
        <v>0</v>
      </c>
      <c r="O136" s="162">
        <f t="shared" si="30"/>
        <v>0</v>
      </c>
      <c r="P136" s="163">
        <f t="shared" si="28"/>
        <v>0</v>
      </c>
      <c r="Q136" s="119"/>
    </row>
    <row r="137" spans="1:17" ht="18.75" hidden="1" x14ac:dyDescent="0.25">
      <c r="A137" s="474"/>
      <c r="B137" s="474" t="str">
        <f t="shared" si="25"/>
        <v>66 - 69</v>
      </c>
      <c r="C137" s="164">
        <f>Computation!C40+Computation!D40</f>
        <v>0</v>
      </c>
      <c r="D137" s="165">
        <f>Computation!E40</f>
        <v>0</v>
      </c>
      <c r="E137" s="164">
        <f>Computation!F40+Computation!G40</f>
        <v>0</v>
      </c>
      <c r="F137" s="165">
        <f>Computation!H40</f>
        <v>0</v>
      </c>
      <c r="G137" s="164">
        <f>IF(C137=0,0,(Computation!I40+Computation!J40)/C137)/(1-Loadings)</f>
        <v>0</v>
      </c>
      <c r="H137" s="165">
        <f>IF(D137=0,0,Computation!K40/Computation!E40)/(1-Loadings)</f>
        <v>0</v>
      </c>
      <c r="I137" s="164">
        <f>IF(E137=0,0,(Computation!L40+Computation!M40)/E137)/(1-Loadings)</f>
        <v>0</v>
      </c>
      <c r="J137" s="165">
        <f>IF(F137=0,0,Computation!N40/Computation!H40)/(1-Loadings)</f>
        <v>0</v>
      </c>
      <c r="K137" s="164">
        <f t="shared" si="26"/>
        <v>0</v>
      </c>
      <c r="L137" s="164">
        <f t="shared" si="26"/>
        <v>0</v>
      </c>
      <c r="M137" s="165">
        <f t="shared" si="27"/>
        <v>0</v>
      </c>
      <c r="N137" s="164">
        <f t="shared" si="29"/>
        <v>0</v>
      </c>
      <c r="O137" s="164">
        <f t="shared" si="30"/>
        <v>0</v>
      </c>
      <c r="P137" s="165">
        <f t="shared" si="28"/>
        <v>0</v>
      </c>
      <c r="Q137" s="119"/>
    </row>
    <row r="138" spans="1:17" ht="18.75" hidden="1" x14ac:dyDescent="0.25">
      <c r="A138" s="474"/>
      <c r="B138" s="474" t="s">
        <v>172</v>
      </c>
      <c r="C138" s="229">
        <f>SUM(C131:C137)</f>
        <v>0</v>
      </c>
      <c r="D138" s="125">
        <f>SUM(D131:D137)</f>
        <v>0</v>
      </c>
      <c r="E138" s="229">
        <f>SUM(E131:E137)</f>
        <v>0</v>
      </c>
      <c r="F138" s="125">
        <f>SUM(F131:F137)</f>
        <v>0</v>
      </c>
      <c r="G138" s="229">
        <f>ROUND(IF(C138=0,0,SUMPRODUCT(C131:C137,G131:G137)/C138),0)</f>
        <v>0</v>
      </c>
      <c r="H138" s="125">
        <f>ROUND(IF(D138=0,0,SUMPRODUCT(D131:D137,H131:H137)/C138),0)</f>
        <v>0</v>
      </c>
      <c r="I138" s="229">
        <f>ROUND(IF(E138=0,0,SUMPRODUCT(E131:E137,I131:I137)/E138),0)</f>
        <v>0</v>
      </c>
      <c r="J138" s="125">
        <f>ROUND(IF(F138=0,0,SUMPRODUCT(F131:F137,J131:J137)/F138),0)</f>
        <v>0</v>
      </c>
      <c r="K138" s="229">
        <f>G138*C138</f>
        <v>0</v>
      </c>
      <c r="L138" s="229">
        <f>H138*D138</f>
        <v>0</v>
      </c>
      <c r="M138" s="125">
        <f>L138+K138</f>
        <v>0</v>
      </c>
      <c r="N138" s="229">
        <f>I138*E138</f>
        <v>0</v>
      </c>
      <c r="O138" s="229">
        <f>J138*F138</f>
        <v>0</v>
      </c>
      <c r="P138" s="125">
        <f>O138+N138</f>
        <v>0</v>
      </c>
      <c r="Q138" s="119"/>
    </row>
    <row r="139" spans="1:17" ht="18.75" hidden="1" x14ac:dyDescent="0.25">
      <c r="C139" s="167"/>
      <c r="D139" s="167"/>
      <c r="E139" s="167"/>
      <c r="F139" s="167"/>
      <c r="G139" s="167"/>
      <c r="H139" s="167"/>
      <c r="I139" s="167"/>
      <c r="J139" s="167"/>
      <c r="K139" s="167"/>
      <c r="L139" s="167"/>
      <c r="M139" s="167"/>
      <c r="N139" s="167"/>
      <c r="O139" s="167"/>
      <c r="P139" s="167"/>
    </row>
    <row r="140" spans="1:17" ht="18.75" hidden="1" x14ac:dyDescent="0.25">
      <c r="A140" s="474" t="s">
        <v>68</v>
      </c>
      <c r="B140" s="474" t="str">
        <f t="shared" ref="B140:B146" si="31">B131</f>
        <v>0 - 17</v>
      </c>
      <c r="C140" s="160">
        <f>Computation!C41+Computation!D41</f>
        <v>0</v>
      </c>
      <c r="D140" s="161">
        <f>Computation!E41</f>
        <v>0</v>
      </c>
      <c r="E140" s="160">
        <f>Computation!F41+Computation!G41</f>
        <v>0</v>
      </c>
      <c r="F140" s="161">
        <f>Computation!H41</f>
        <v>0</v>
      </c>
      <c r="G140" s="160">
        <f>IF(C140=0,0,(Computation!I41+Computation!J41)/C140)/(1-Loadings)</f>
        <v>0</v>
      </c>
      <c r="H140" s="161">
        <f>IF(D140=0,0,Computation!K41/Computation!E41)/(1-Loadings)</f>
        <v>0</v>
      </c>
      <c r="I140" s="160">
        <f>IF(E140=0,0,(Computation!L41+Computation!M41)/E140)/(1-Loadings)</f>
        <v>0</v>
      </c>
      <c r="J140" s="161">
        <f>IF(F140=0,0,Computation!N41/Computation!H41)/(1-Loadings)</f>
        <v>0</v>
      </c>
      <c r="K140" s="160">
        <f t="shared" ref="K140:L146" si="32">ROUND(G140*C140,0)</f>
        <v>0</v>
      </c>
      <c r="L140" s="160">
        <f t="shared" si="32"/>
        <v>0</v>
      </c>
      <c r="M140" s="161">
        <f t="shared" ref="M140:M146" si="33">L140+K140</f>
        <v>0</v>
      </c>
      <c r="N140" s="160">
        <f>ROUND(I140*E140,0)</f>
        <v>0</v>
      </c>
      <c r="O140" s="160">
        <f>ROUND(J140*F140,0)</f>
        <v>0</v>
      </c>
      <c r="P140" s="161">
        <f t="shared" ref="P140:P146" si="34">O140+N140</f>
        <v>0</v>
      </c>
      <c r="Q140" s="119"/>
    </row>
    <row r="141" spans="1:17" ht="18.75" hidden="1" x14ac:dyDescent="0.25">
      <c r="A141" s="474"/>
      <c r="B141" s="474" t="str">
        <f t="shared" si="31"/>
        <v>18 - 35</v>
      </c>
      <c r="C141" s="162">
        <f>Computation!C42+Computation!D42</f>
        <v>0</v>
      </c>
      <c r="D141" s="163">
        <f>Computation!E42</f>
        <v>0</v>
      </c>
      <c r="E141" s="162">
        <f>Computation!F42+Computation!G42</f>
        <v>0</v>
      </c>
      <c r="F141" s="163">
        <f>Computation!H42</f>
        <v>0</v>
      </c>
      <c r="G141" s="162">
        <f>IF(C141=0,0,(Computation!I42+Computation!J42)/C141)/(1-Loadings)</f>
        <v>0</v>
      </c>
      <c r="H141" s="163">
        <f>IF(D141=0,0,Computation!K42/Computation!E42)/(1-Loadings)</f>
        <v>0</v>
      </c>
      <c r="I141" s="162">
        <f>IF(E141=0,0,(Computation!L42+Computation!M42)/E141)/(1-Loadings)</f>
        <v>0</v>
      </c>
      <c r="J141" s="163">
        <f>IF(F141=0,0,Computation!N42/Computation!H42)/(1-Loadings)</f>
        <v>0</v>
      </c>
      <c r="K141" s="162">
        <f t="shared" si="32"/>
        <v>0</v>
      </c>
      <c r="L141" s="162">
        <f t="shared" si="32"/>
        <v>0</v>
      </c>
      <c r="M141" s="163">
        <f t="shared" si="33"/>
        <v>0</v>
      </c>
      <c r="N141" s="162">
        <f t="shared" ref="N141:N146" si="35">ROUND(I141*E141,0)</f>
        <v>0</v>
      </c>
      <c r="O141" s="162">
        <f t="shared" ref="O141:O146" si="36">ROUND(J141*F141,0)</f>
        <v>0</v>
      </c>
      <c r="P141" s="163">
        <f t="shared" si="34"/>
        <v>0</v>
      </c>
      <c r="Q141" s="119"/>
    </row>
    <row r="142" spans="1:17" ht="18.75" hidden="1" x14ac:dyDescent="0.25">
      <c r="A142" s="474"/>
      <c r="B142" s="474" t="str">
        <f t="shared" si="31"/>
        <v>36 - 45</v>
      </c>
      <c r="C142" s="160">
        <f>Computation!C43+Computation!D43</f>
        <v>0</v>
      </c>
      <c r="D142" s="161">
        <f>Computation!E43</f>
        <v>0</v>
      </c>
      <c r="E142" s="160">
        <f>Computation!F43+Computation!G43</f>
        <v>0</v>
      </c>
      <c r="F142" s="161">
        <f>Computation!H43</f>
        <v>0</v>
      </c>
      <c r="G142" s="160">
        <f>IF(C142=0,0,(Computation!I43+Computation!J43)/C142)/(1-Loadings)</f>
        <v>0</v>
      </c>
      <c r="H142" s="161">
        <f>IF(D142=0,0,Computation!K43/Computation!E43)/(1-Loadings)</f>
        <v>0</v>
      </c>
      <c r="I142" s="160">
        <f>IF(E142=0,0,(Computation!L43+Computation!M43)/E142)/(1-Loadings)</f>
        <v>0</v>
      </c>
      <c r="J142" s="161">
        <f>IF(F142=0,0,Computation!N43/Computation!H43)/(1-Loadings)</f>
        <v>0</v>
      </c>
      <c r="K142" s="160">
        <f t="shared" si="32"/>
        <v>0</v>
      </c>
      <c r="L142" s="160">
        <f t="shared" si="32"/>
        <v>0</v>
      </c>
      <c r="M142" s="161">
        <f t="shared" si="33"/>
        <v>0</v>
      </c>
      <c r="N142" s="160">
        <f t="shared" si="35"/>
        <v>0</v>
      </c>
      <c r="O142" s="160">
        <f t="shared" si="36"/>
        <v>0</v>
      </c>
      <c r="P142" s="161">
        <f t="shared" si="34"/>
        <v>0</v>
      </c>
      <c r="Q142" s="119"/>
    </row>
    <row r="143" spans="1:17" ht="18.75" hidden="1" x14ac:dyDescent="0.25">
      <c r="A143" s="474"/>
      <c r="B143" s="474" t="str">
        <f t="shared" si="31"/>
        <v>46 - 55</v>
      </c>
      <c r="C143" s="162">
        <f>Computation!C44+Computation!D44</f>
        <v>0</v>
      </c>
      <c r="D143" s="163">
        <f>Computation!E44</f>
        <v>0</v>
      </c>
      <c r="E143" s="162">
        <f>Computation!F44+Computation!G44</f>
        <v>0</v>
      </c>
      <c r="F143" s="163">
        <f>Computation!H44</f>
        <v>0</v>
      </c>
      <c r="G143" s="162">
        <f>IF(C143=0,0,(Computation!I44+Computation!J44)/C143)/(1-Loadings)</f>
        <v>0</v>
      </c>
      <c r="H143" s="163">
        <f>IF(D143=0,0,Computation!K44/Computation!E44)/(1-Loadings)</f>
        <v>0</v>
      </c>
      <c r="I143" s="162">
        <f>IF(E143=0,0,(Computation!L44+Computation!M44)/E143)/(1-Loadings)</f>
        <v>0</v>
      </c>
      <c r="J143" s="163">
        <f>IF(F143=0,0,Computation!N44/Computation!H44)/(1-Loadings)</f>
        <v>0</v>
      </c>
      <c r="K143" s="162">
        <f t="shared" si="32"/>
        <v>0</v>
      </c>
      <c r="L143" s="162">
        <f t="shared" si="32"/>
        <v>0</v>
      </c>
      <c r="M143" s="163">
        <f t="shared" si="33"/>
        <v>0</v>
      </c>
      <c r="N143" s="162">
        <f t="shared" si="35"/>
        <v>0</v>
      </c>
      <c r="O143" s="162">
        <f t="shared" si="36"/>
        <v>0</v>
      </c>
      <c r="P143" s="163">
        <f t="shared" si="34"/>
        <v>0</v>
      </c>
      <c r="Q143" s="119"/>
    </row>
    <row r="144" spans="1:17" ht="18.75" hidden="1" x14ac:dyDescent="0.25">
      <c r="A144" s="474"/>
      <c r="B144" s="474" t="str">
        <f t="shared" si="31"/>
        <v>56 - 60</v>
      </c>
      <c r="C144" s="160">
        <f>Computation!C45+Computation!D45</f>
        <v>0</v>
      </c>
      <c r="D144" s="161">
        <f>Computation!E45</f>
        <v>0</v>
      </c>
      <c r="E144" s="160">
        <f>Computation!F45+Computation!G45</f>
        <v>0</v>
      </c>
      <c r="F144" s="161">
        <f>Computation!H45</f>
        <v>0</v>
      </c>
      <c r="G144" s="160">
        <f>IF(C144=0,0,(Computation!I45+Computation!J45)/C144)/(1-Loadings)</f>
        <v>0</v>
      </c>
      <c r="H144" s="161">
        <f>IF(D144=0,0,Computation!K45/Computation!E45)/(1-Loadings)</f>
        <v>0</v>
      </c>
      <c r="I144" s="160">
        <f>IF(E144=0,0,(Computation!L45+Computation!M45)/E144)/(1-Loadings)</f>
        <v>0</v>
      </c>
      <c r="J144" s="161">
        <f>IF(F144=0,0,Computation!N45/Computation!H45)/(1-Loadings)</f>
        <v>0</v>
      </c>
      <c r="K144" s="160">
        <f t="shared" si="32"/>
        <v>0</v>
      </c>
      <c r="L144" s="160">
        <f t="shared" si="32"/>
        <v>0</v>
      </c>
      <c r="M144" s="161">
        <f t="shared" si="33"/>
        <v>0</v>
      </c>
      <c r="N144" s="160">
        <f t="shared" si="35"/>
        <v>0</v>
      </c>
      <c r="O144" s="160">
        <f t="shared" si="36"/>
        <v>0</v>
      </c>
      <c r="P144" s="161">
        <f t="shared" si="34"/>
        <v>0</v>
      </c>
      <c r="Q144" s="119"/>
    </row>
    <row r="145" spans="1:17" ht="18.75" hidden="1" x14ac:dyDescent="0.25">
      <c r="A145" s="474"/>
      <c r="B145" s="474" t="str">
        <f t="shared" si="31"/>
        <v>61 - 65</v>
      </c>
      <c r="C145" s="162">
        <f>Computation!C46+Computation!D46</f>
        <v>0</v>
      </c>
      <c r="D145" s="163">
        <f>Computation!E46</f>
        <v>0</v>
      </c>
      <c r="E145" s="162">
        <f>Computation!F46+Computation!G46</f>
        <v>0</v>
      </c>
      <c r="F145" s="163">
        <f>Computation!H46</f>
        <v>0</v>
      </c>
      <c r="G145" s="162">
        <f>IF(C145=0,0,(Computation!I46+Computation!J46)/C145)/(1-Loadings)</f>
        <v>0</v>
      </c>
      <c r="H145" s="163">
        <f>IF(D145=0,0,Computation!K46/Computation!E46)/(1-Loadings)</f>
        <v>0</v>
      </c>
      <c r="I145" s="162">
        <f>IF(E145=0,0,(Computation!L46+Computation!M46)/E145)/(1-Loadings)</f>
        <v>0</v>
      </c>
      <c r="J145" s="163">
        <f>IF(F145=0,0,Computation!N46/Computation!H46)/(1-Loadings)</f>
        <v>0</v>
      </c>
      <c r="K145" s="162">
        <f t="shared" si="32"/>
        <v>0</v>
      </c>
      <c r="L145" s="162">
        <f t="shared" si="32"/>
        <v>0</v>
      </c>
      <c r="M145" s="163">
        <f t="shared" si="33"/>
        <v>0</v>
      </c>
      <c r="N145" s="162">
        <f t="shared" si="35"/>
        <v>0</v>
      </c>
      <c r="O145" s="162">
        <f t="shared" si="36"/>
        <v>0</v>
      </c>
      <c r="P145" s="163">
        <f t="shared" si="34"/>
        <v>0</v>
      </c>
      <c r="Q145" s="119"/>
    </row>
    <row r="146" spans="1:17" ht="18.75" hidden="1" x14ac:dyDescent="0.25">
      <c r="A146" s="474"/>
      <c r="B146" s="474" t="str">
        <f t="shared" si="31"/>
        <v>66 - 69</v>
      </c>
      <c r="C146" s="164">
        <f>Computation!C47+Computation!D47</f>
        <v>0</v>
      </c>
      <c r="D146" s="165">
        <f>Computation!E47</f>
        <v>0</v>
      </c>
      <c r="E146" s="164">
        <f>Computation!F47+Computation!G47</f>
        <v>0</v>
      </c>
      <c r="F146" s="165">
        <f>Computation!H47</f>
        <v>0</v>
      </c>
      <c r="G146" s="164">
        <f>IF(C146=0,0,(Computation!I47+Computation!J47)/C146)/(1-Loadings)</f>
        <v>0</v>
      </c>
      <c r="H146" s="165">
        <f>IF(D146=0,0,Computation!K47/Computation!E47)/(1-Loadings)</f>
        <v>0</v>
      </c>
      <c r="I146" s="164">
        <f>IF(E146=0,0,(Computation!L47+Computation!M47)/E146)/(1-Loadings)</f>
        <v>0</v>
      </c>
      <c r="J146" s="165">
        <f>IF(F146=0,0,Computation!N47/Computation!H47)/(1-Loadings)</f>
        <v>0</v>
      </c>
      <c r="K146" s="164">
        <f t="shared" si="32"/>
        <v>0</v>
      </c>
      <c r="L146" s="164">
        <f t="shared" si="32"/>
        <v>0</v>
      </c>
      <c r="M146" s="165">
        <f t="shared" si="33"/>
        <v>0</v>
      </c>
      <c r="N146" s="164">
        <f t="shared" si="35"/>
        <v>0</v>
      </c>
      <c r="O146" s="164">
        <f t="shared" si="36"/>
        <v>0</v>
      </c>
      <c r="P146" s="165">
        <f t="shared" si="34"/>
        <v>0</v>
      </c>
      <c r="Q146" s="119"/>
    </row>
    <row r="147" spans="1:17" ht="18.75" hidden="1" x14ac:dyDescent="0.25">
      <c r="A147" s="474"/>
      <c r="B147" s="474" t="s">
        <v>172</v>
      </c>
      <c r="C147" s="229">
        <f>SUM(C140:C146)</f>
        <v>0</v>
      </c>
      <c r="D147" s="125">
        <f>SUM(D140:D146)</f>
        <v>0</v>
      </c>
      <c r="E147" s="229">
        <f>SUM(E140:E146)</f>
        <v>0</v>
      </c>
      <c r="F147" s="125">
        <f>SUM(F140:F146)</f>
        <v>0</v>
      </c>
      <c r="G147" s="229">
        <f>ROUND(IF(C147=0,0,SUMPRODUCT(C140:C146,G140:G146)/C147),0)</f>
        <v>0</v>
      </c>
      <c r="H147" s="125">
        <f>ROUND(IF(D147=0,0,SUMPRODUCT(D140:D146,H140:H146)/C147),0)</f>
        <v>0</v>
      </c>
      <c r="I147" s="229">
        <f>ROUND(IF(E147=0,0,SUMPRODUCT(E140:E146,I140:I146)/E147),0)</f>
        <v>0</v>
      </c>
      <c r="J147" s="125">
        <f>ROUND(IF(F147=0,0,SUMPRODUCT(F140:F146,J140:J146)/F147),0)</f>
        <v>0</v>
      </c>
      <c r="K147" s="229">
        <f>G147*C147</f>
        <v>0</v>
      </c>
      <c r="L147" s="229">
        <f>H147*D147</f>
        <v>0</v>
      </c>
      <c r="M147" s="125">
        <f>L147+K147</f>
        <v>0</v>
      </c>
      <c r="N147" s="229">
        <f>I147*E147</f>
        <v>0</v>
      </c>
      <c r="O147" s="229">
        <f>J147*F147</f>
        <v>0</v>
      </c>
      <c r="P147" s="125">
        <f>O147+N147</f>
        <v>0</v>
      </c>
      <c r="Q147" s="119"/>
    </row>
    <row r="148" spans="1:17" ht="18.75" hidden="1" x14ac:dyDescent="0.25"/>
    <row r="149" spans="1:17" ht="18.75" hidden="1" x14ac:dyDescent="0.25"/>
    <row r="150" spans="1:17" ht="18.75" hidden="1" x14ac:dyDescent="0.25"/>
    <row r="151" spans="1:17" ht="18.75" hidden="1" x14ac:dyDescent="0.25"/>
    <row r="152" spans="1:17" ht="18.75" hidden="1" x14ac:dyDescent="0.25"/>
    <row r="153" spans="1:17" ht="18.75" hidden="1" x14ac:dyDescent="0.25"/>
    <row r="154" spans="1:17" ht="18.75" hidden="1" x14ac:dyDescent="0.25"/>
    <row r="155" spans="1:17" ht="18.75" hidden="1" x14ac:dyDescent="0.25"/>
    <row r="156" spans="1:17" ht="18.75" hidden="1" x14ac:dyDescent="0.25"/>
    <row r="157" spans="1:17" ht="18.75" hidden="1" x14ac:dyDescent="0.25"/>
    <row r="158" spans="1:17" ht="18.75" hidden="1" x14ac:dyDescent="0.25"/>
    <row r="159" spans="1:17" ht="18.75" hidden="1" x14ac:dyDescent="0.25"/>
    <row r="160" spans="1:17" ht="18.75" hidden="1" x14ac:dyDescent="0.25"/>
    <row r="161" ht="18.75" hidden="1" x14ac:dyDescent="0.25"/>
    <row r="162" ht="18.75" hidden="1" x14ac:dyDescent="0.25"/>
    <row r="163" ht="18.75" hidden="1" x14ac:dyDescent="0.25"/>
    <row r="164" ht="18.75" hidden="1" x14ac:dyDescent="0.25"/>
    <row r="165" ht="18.75" hidden="1" x14ac:dyDescent="0.25"/>
    <row r="166" ht="18.75" hidden="1" x14ac:dyDescent="0.25"/>
    <row r="167" ht="18.75" hidden="1" x14ac:dyDescent="0.25"/>
    <row r="168" ht="18.75" hidden="1" x14ac:dyDescent="0.25"/>
    <row r="169" ht="18.75" hidden="1" x14ac:dyDescent="0.25"/>
    <row r="170" ht="18.75" hidden="1" x14ac:dyDescent="0.25"/>
  </sheetData>
  <sheetProtection algorithmName="SHA-512" hashValue="DADm0o4D88cxxp2gBnBXfusYNZ1EhiW9vjbOd617lfKOgLuH+Lsk9gTbs+11VtfdoF2dPd3ioYcvaf00aNHyvQ==" saltValue="vFF/ahQWdMhrADeGnLJShg==" spinCount="100000" sheet="1" objects="1" scenarios="1"/>
  <mergeCells count="50">
    <mergeCell ref="W4:X5"/>
    <mergeCell ref="M11:N11"/>
    <mergeCell ref="P53:P57"/>
    <mergeCell ref="P48:P52"/>
    <mergeCell ref="P43:P47"/>
    <mergeCell ref="P35:P42"/>
    <mergeCell ref="P27:P34"/>
    <mergeCell ref="P19:P26"/>
    <mergeCell ref="N19:N26"/>
    <mergeCell ref="O19:O26"/>
    <mergeCell ref="M14:N14"/>
    <mergeCell ref="O43:O47"/>
    <mergeCell ref="N48:N52"/>
    <mergeCell ref="O48:O52"/>
    <mergeCell ref="N27:N34"/>
    <mergeCell ref="O27:O34"/>
    <mergeCell ref="A3:P3"/>
    <mergeCell ref="B8:D8"/>
    <mergeCell ref="B9:D9"/>
    <mergeCell ref="B10:D10"/>
    <mergeCell ref="M9:N9"/>
    <mergeCell ref="M10:N10"/>
    <mergeCell ref="G17:H17"/>
    <mergeCell ref="G16:H16"/>
    <mergeCell ref="M16:O16"/>
    <mergeCell ref="M17:O17"/>
    <mergeCell ref="C16:D16"/>
    <mergeCell ref="C17:D17"/>
    <mergeCell ref="AC8:AD8"/>
    <mergeCell ref="AC9:AD9"/>
    <mergeCell ref="AC10:AD10"/>
    <mergeCell ref="B11:D11"/>
    <mergeCell ref="G13:H13"/>
    <mergeCell ref="B13:D13"/>
    <mergeCell ref="A61:O61"/>
    <mergeCell ref="A60:O60"/>
    <mergeCell ref="E17:F17"/>
    <mergeCell ref="I17:J17"/>
    <mergeCell ref="A48:A52"/>
    <mergeCell ref="A53:A57"/>
    <mergeCell ref="N35:N42"/>
    <mergeCell ref="O35:O42"/>
    <mergeCell ref="N43:N47"/>
    <mergeCell ref="A59:O59"/>
    <mergeCell ref="N53:N57"/>
    <mergeCell ref="O53:O57"/>
    <mergeCell ref="A19:A26"/>
    <mergeCell ref="A27:A34"/>
    <mergeCell ref="A35:A42"/>
    <mergeCell ref="A43:A47"/>
  </mergeCells>
  <dataValidations xWindow="1275" yWindow="560" count="4">
    <dataValidation type="decimal" allowBlank="1" showInputMessage="1" showErrorMessage="1" errorTitle="Invalid Loadings" error="The total loadings should not be more than 30%." sqref="I13" xr:uid="{00000000-0002-0000-0A00-000000000000}">
      <formula1>0</formula1>
      <formula2>0.3</formula2>
    </dataValidation>
    <dataValidation type="list" allowBlank="1" showInputMessage="1" showErrorMessage="1" sqref="V7:V12" xr:uid="{00000000-0002-0000-0A00-000001000000}">
      <formula1>$AA$6:$AA$11</formula1>
    </dataValidation>
    <dataValidation type="decimal" allowBlank="1" showInputMessage="1" showErrorMessage="1" sqref="W7:X12" xr:uid="{00000000-0002-0000-0A00-000002000000}">
      <formula1>0</formula1>
      <formula2>100</formula2>
    </dataValidation>
    <dataValidation allowBlank="1" showErrorMessage="1" sqref="O13" xr:uid="{00000000-0002-0000-0A00-000003000000}"/>
  </dataValidations>
  <pageMargins left="0.25" right="0.25" top="0.75" bottom="0.75" header="0.3" footer="0.3"/>
  <pageSetup paperSize="9" scale="26" orientation="landscape" horizontalDpi="4294967295" verticalDpi="4294967295" r:id="rId1"/>
  <headerFooter>
    <oddHeader>&amp;C&amp;"Calibri"&amp;10&amp;K000000 Internal&amp;1#_x000D_&amp;RSME tool 2018 – version 1</oddHeader>
    <oddFooter>&amp;L_x000D_&amp;1#&amp;"Calibri"&amp;10&amp;K737373 Confidential</oddFooter>
  </headerFooter>
  <colBreaks count="1" manualBreakCount="1">
    <brk id="16" max="1048575" man="1"/>
  </colBreaks>
  <ignoredErrors>
    <ignoredError sqref="M43:M58 M26 M3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Button2_Click">
                <anchor moveWithCells="1" sizeWithCells="1">
                  <from>
                    <xdr:col>6</xdr:col>
                    <xdr:colOff>1114425</xdr:colOff>
                    <xdr:row>6</xdr:row>
                    <xdr:rowOff>95250</xdr:rowOff>
                  </from>
                  <to>
                    <xdr:col>6</xdr:col>
                    <xdr:colOff>3257550</xdr:colOff>
                    <xdr:row>9</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75" yWindow="560" count="1">
        <x14:dataValidation type="list" allowBlank="1" showInputMessage="1" showErrorMessage="1" xr:uid="{00000000-0002-0000-0A00-000004000000}">
          <x14:formula1>
            <xm:f>'Inputs Mapping'!$AH$5:$AH$6</xm:f>
          </x14:formula1>
          <xm:sqref>N12:N13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6" tint="-0.249977111117893"/>
    <pageSetUpPr fitToPage="1"/>
  </sheetPr>
  <dimension ref="A1:AG170"/>
  <sheetViews>
    <sheetView showRowColHeaders="0" zoomScale="55" zoomScaleNormal="55" workbookViewId="0">
      <selection activeCell="M2" sqref="M2"/>
    </sheetView>
  </sheetViews>
  <sheetFormatPr defaultColWidth="0" defaultRowHeight="12.6" customHeight="1" zeroHeight="1" x14ac:dyDescent="0.2"/>
  <cols>
    <col min="1" max="1" width="69.42578125" style="110" bestFit="1" customWidth="1"/>
    <col min="2" max="2" width="33.42578125" style="110" customWidth="1"/>
    <col min="3" max="4" width="29.28515625" style="110" customWidth="1"/>
    <col min="5" max="5" width="24.140625" style="110" customWidth="1"/>
    <col min="6" max="6" width="24.42578125" style="110" hidden="1" customWidth="1"/>
    <col min="7" max="8" width="32.28515625" style="110" customWidth="1"/>
    <col min="9" max="9" width="20.5703125" style="110" customWidth="1"/>
    <col min="10" max="10" width="16.28515625" style="110" hidden="1" customWidth="1"/>
    <col min="11" max="12" width="30.140625" style="110" customWidth="1"/>
    <col min="13" max="13" width="34.42578125" style="110" customWidth="1"/>
    <col min="14" max="14" width="36.28515625" style="110" customWidth="1"/>
    <col min="15" max="15" width="35.42578125" style="110" customWidth="1"/>
    <col min="16" max="16" width="45.7109375" style="110" customWidth="1"/>
    <col min="17" max="25" width="45.7109375" style="110" hidden="1" customWidth="1"/>
    <col min="26" max="26" width="45.7109375" style="224" hidden="1" customWidth="1"/>
    <col min="27" max="33" width="45.7109375" style="110" hidden="1" customWidth="1"/>
    <col min="34" max="16384" width="9.140625" style="110" hidden="1"/>
  </cols>
  <sheetData>
    <row r="1" spans="1:32" ht="21" customHeight="1" x14ac:dyDescent="0.2"/>
    <row r="2" spans="1:32" ht="62.25" customHeight="1" x14ac:dyDescent="0.2">
      <c r="A2" s="195" t="s">
        <v>639</v>
      </c>
    </row>
    <row r="3" spans="1:32" ht="95.25" customHeight="1" x14ac:dyDescent="0.2">
      <c r="A3" s="845" t="s">
        <v>605</v>
      </c>
      <c r="B3" s="845"/>
      <c r="C3" s="845"/>
      <c r="D3" s="845"/>
      <c r="E3" s="845"/>
      <c r="F3" s="845"/>
      <c r="G3" s="845"/>
      <c r="H3" s="845"/>
      <c r="I3" s="845"/>
      <c r="J3" s="845"/>
      <c r="K3" s="845"/>
      <c r="L3" s="845"/>
      <c r="M3" s="845"/>
      <c r="N3" s="845"/>
      <c r="O3" s="845"/>
      <c r="P3" s="845"/>
      <c r="Q3" s="845"/>
    </row>
    <row r="4" spans="1:32" ht="20.25" customHeight="1" x14ac:dyDescent="0.2">
      <c r="X4" s="826" t="s">
        <v>640</v>
      </c>
      <c r="Y4" s="827"/>
    </row>
    <row r="5" spans="1:32" ht="21.75" customHeight="1" x14ac:dyDescent="0.2">
      <c r="X5" s="828"/>
      <c r="Y5" s="829"/>
      <c r="AA5" s="110" t="s">
        <v>63</v>
      </c>
    </row>
    <row r="6" spans="1:32" ht="31.5" customHeight="1" x14ac:dyDescent="0.3">
      <c r="A6" s="253" t="s">
        <v>34</v>
      </c>
      <c r="B6" s="198"/>
      <c r="C6" s="199"/>
      <c r="D6" s="199"/>
      <c r="F6" s="32"/>
      <c r="M6" s="253" t="s">
        <v>607</v>
      </c>
      <c r="W6" s="190" t="s">
        <v>608</v>
      </c>
      <c r="X6" s="190" t="s">
        <v>609</v>
      </c>
      <c r="Y6" s="190" t="s">
        <v>153</v>
      </c>
      <c r="AA6" s="110" t="s">
        <v>64</v>
      </c>
      <c r="AD6" s="113" t="s">
        <v>46</v>
      </c>
      <c r="AE6" s="112"/>
    </row>
    <row r="7" spans="1:32" ht="22.5" customHeight="1" x14ac:dyDescent="0.3">
      <c r="A7" s="199"/>
      <c r="B7" s="199"/>
      <c r="C7" s="199"/>
      <c r="D7" s="199"/>
      <c r="F7" s="32"/>
      <c r="W7" s="191" t="s">
        <v>63</v>
      </c>
      <c r="X7" s="192">
        <v>0</v>
      </c>
      <c r="Y7" s="192">
        <v>0</v>
      </c>
      <c r="Z7" s="219" t="s">
        <v>80</v>
      </c>
      <c r="AA7" s="110" t="s">
        <v>65</v>
      </c>
    </row>
    <row r="8" spans="1:32" ht="30" customHeight="1" x14ac:dyDescent="0.25">
      <c r="A8" s="202" t="s">
        <v>45</v>
      </c>
      <c r="B8" s="824">
        <f>Inputs!C14</f>
        <v>0</v>
      </c>
      <c r="C8" s="824"/>
      <c r="D8" s="824"/>
      <c r="K8" s="186"/>
      <c r="L8" s="189"/>
      <c r="M8" s="189"/>
      <c r="N8" s="189"/>
      <c r="O8" s="58"/>
      <c r="P8" s="472" t="s">
        <v>641</v>
      </c>
      <c r="W8" s="191" t="s">
        <v>64</v>
      </c>
      <c r="X8" s="192">
        <v>0</v>
      </c>
      <c r="Y8" s="192">
        <v>0</v>
      </c>
      <c r="Z8" s="219" t="s">
        <v>80</v>
      </c>
      <c r="AA8" s="110" t="s">
        <v>66</v>
      </c>
      <c r="AD8" s="846" t="s">
        <v>98</v>
      </c>
      <c r="AE8" s="846"/>
      <c r="AF8" s="114" t="e">
        <f>#REF!</f>
        <v>#REF!</v>
      </c>
    </row>
    <row r="9" spans="1:32" ht="30.75" customHeight="1" x14ac:dyDescent="0.35">
      <c r="A9" s="202" t="s">
        <v>50</v>
      </c>
      <c r="B9" s="819">
        <f>eff_date</f>
        <v>0</v>
      </c>
      <c r="C9" s="819"/>
      <c r="D9" s="819"/>
      <c r="E9" s="115"/>
      <c r="M9" s="825" t="str">
        <f>IF(Loadings=0,"Net","Gross")&amp;" Premium"</f>
        <v>Gross Premium</v>
      </c>
      <c r="N9" s="825"/>
      <c r="O9" s="825"/>
      <c r="P9" s="203">
        <f>N49</f>
        <v>0</v>
      </c>
      <c r="W9" s="191" t="s">
        <v>65</v>
      </c>
      <c r="X9" s="192">
        <v>0</v>
      </c>
      <c r="Y9" s="192">
        <v>0</v>
      </c>
      <c r="Z9" s="219" t="s">
        <v>80</v>
      </c>
      <c r="AA9" s="110" t="s">
        <v>67</v>
      </c>
      <c r="AD9" s="846" t="s">
        <v>99</v>
      </c>
      <c r="AE9" s="846"/>
      <c r="AF9" s="114" t="e">
        <f>#REF!</f>
        <v>#REF!</v>
      </c>
    </row>
    <row r="10" spans="1:32" ht="24.75" customHeight="1" x14ac:dyDescent="0.35">
      <c r="A10" s="202" t="s">
        <v>53</v>
      </c>
      <c r="B10" s="824">
        <f>Inputs!C19</f>
        <v>0</v>
      </c>
      <c r="C10" s="824"/>
      <c r="D10" s="824"/>
      <c r="E10" s="115"/>
      <c r="K10" s="186"/>
      <c r="L10" s="186"/>
      <c r="M10" s="853" t="s">
        <v>610</v>
      </c>
      <c r="N10" s="853"/>
      <c r="O10" s="853"/>
      <c r="P10" s="203">
        <f>P11-P9</f>
        <v>0</v>
      </c>
      <c r="W10" s="191" t="s">
        <v>66</v>
      </c>
      <c r="X10" s="192">
        <v>0</v>
      </c>
      <c r="Y10" s="192">
        <v>0</v>
      </c>
      <c r="Z10" s="219" t="s">
        <v>80</v>
      </c>
      <c r="AA10" s="110" t="s">
        <v>68</v>
      </c>
      <c r="AD10" s="846" t="s">
        <v>51</v>
      </c>
      <c r="AE10" s="846"/>
      <c r="AF10" s="114" t="e">
        <f>#REF!</f>
        <v>#REF!</v>
      </c>
    </row>
    <row r="11" spans="1:32" ht="36" customHeight="1" x14ac:dyDescent="0.35">
      <c r="A11" s="202" t="s">
        <v>96</v>
      </c>
      <c r="B11" s="819">
        <f>Inputs!C70</f>
        <v>0</v>
      </c>
      <c r="C11" s="819"/>
      <c r="D11" s="819"/>
      <c r="E11" s="115"/>
      <c r="K11" s="129"/>
      <c r="L11" s="129"/>
      <c r="M11" s="853" t="s">
        <v>611</v>
      </c>
      <c r="N11" s="853"/>
      <c r="O11" s="853"/>
      <c r="P11" s="706">
        <f>N49*(1+VAT)</f>
        <v>0</v>
      </c>
      <c r="W11" s="191" t="s">
        <v>67</v>
      </c>
      <c r="X11" s="192">
        <v>0</v>
      </c>
      <c r="Y11" s="192">
        <v>0</v>
      </c>
      <c r="Z11" s="219" t="s">
        <v>80</v>
      </c>
      <c r="AD11" s="185"/>
      <c r="AE11" s="185"/>
      <c r="AF11" s="133"/>
    </row>
    <row r="12" spans="1:32" ht="30.75" customHeight="1" x14ac:dyDescent="0.35">
      <c r="E12" s="115"/>
      <c r="G12" s="297">
        <f>IFERROR(ROUND((E95+E96+E94)*(I94*#REF!*(I94&gt;0)+I95*#REF!*(I95&gt;0)+I96*#REF!*(I96&gt;0))/(E95+E96+E94),0),0)*IF(C26&gt;0,1,0)</f>
        <v>0</v>
      </c>
      <c r="K12" s="129"/>
      <c r="L12" s="721" t="s">
        <v>642</v>
      </c>
      <c r="M12" s="834" t="s">
        <v>612</v>
      </c>
      <c r="N12" s="834"/>
      <c r="O12" s="720" t="s">
        <v>204</v>
      </c>
      <c r="P12" s="722">
        <f>IF(O12="Yes",COUNTIFS('Census Data'!$G$6:$G$205,"Abu Dhabi")*ICP_FEE,0)</f>
        <v>0</v>
      </c>
      <c r="W12" s="191" t="s">
        <v>68</v>
      </c>
      <c r="X12" s="192">
        <v>0</v>
      </c>
      <c r="Y12" s="192">
        <v>0</v>
      </c>
      <c r="Z12" s="224" t="s">
        <v>80</v>
      </c>
      <c r="AD12" s="185"/>
      <c r="AE12" s="185"/>
      <c r="AF12" s="133"/>
    </row>
    <row r="13" spans="1:32" ht="20.25" customHeight="1" x14ac:dyDescent="0.2">
      <c r="A13" s="288"/>
      <c r="B13" s="821"/>
      <c r="C13" s="821"/>
      <c r="D13" s="821"/>
      <c r="G13" s="847"/>
      <c r="H13" s="847"/>
      <c r="I13" s="116"/>
      <c r="Y13" s="110" t="s">
        <v>80</v>
      </c>
      <c r="Z13" s="224" t="s">
        <v>80</v>
      </c>
    </row>
    <row r="14" spans="1:32" s="119" customFormat="1" ht="29.25" customHeight="1" x14ac:dyDescent="0.35">
      <c r="A14" s="254" t="s">
        <v>615</v>
      </c>
      <c r="B14" s="200"/>
      <c r="C14" s="201"/>
      <c r="D14" s="201"/>
      <c r="E14" s="153"/>
      <c r="F14" s="153"/>
      <c r="G14" s="153"/>
      <c r="H14" s="153"/>
      <c r="I14" s="153"/>
      <c r="J14" s="153"/>
      <c r="K14" s="153"/>
      <c r="L14" s="153"/>
      <c r="M14" s="830" t="s">
        <v>643</v>
      </c>
      <c r="N14" s="830"/>
      <c r="O14" s="830"/>
      <c r="P14" s="706">
        <f>P11+P13+P12</f>
        <v>0</v>
      </c>
      <c r="Q14" s="153"/>
      <c r="Y14" s="119" t="s">
        <v>80</v>
      </c>
      <c r="Z14" s="225" t="s">
        <v>80</v>
      </c>
    </row>
    <row r="15" spans="1:32" ht="9" customHeight="1" x14ac:dyDescent="0.3">
      <c r="A15" s="197"/>
      <c r="B15" s="198"/>
      <c r="C15" s="199"/>
      <c r="D15" s="199"/>
      <c r="E15" s="199"/>
      <c r="F15" s="199"/>
      <c r="G15" s="199"/>
      <c r="H15" s="199"/>
      <c r="I15" s="199"/>
      <c r="J15" s="199"/>
      <c r="K15" s="199"/>
      <c r="L15" s="199"/>
      <c r="M15" s="199"/>
      <c r="N15" s="199"/>
      <c r="O15" s="199"/>
      <c r="P15" s="199"/>
      <c r="Q15" s="199"/>
      <c r="Y15" s="110" t="s">
        <v>80</v>
      </c>
      <c r="Z15" s="224" t="s">
        <v>80</v>
      </c>
    </row>
    <row r="16" spans="1:32" ht="37.5" customHeight="1" x14ac:dyDescent="0.35">
      <c r="A16" s="204"/>
      <c r="B16" s="205"/>
      <c r="C16" s="810" t="s">
        <v>504</v>
      </c>
      <c r="D16" s="810"/>
      <c r="E16" s="810" t="s">
        <v>93</v>
      </c>
      <c r="F16" s="810"/>
      <c r="G16" s="822" t="str">
        <f>IF(Loadings=0,"Net","Gross")&amp;" Premium per member"</f>
        <v>Gross Premium per member</v>
      </c>
      <c r="H16" s="822"/>
      <c r="I16" s="822"/>
      <c r="J16" s="703"/>
      <c r="K16" s="822" t="str">
        <f>IF(Loadings=0,"Total Net","Total Gross")&amp;" Premium"</f>
        <v>Total Gross Premium</v>
      </c>
      <c r="L16" s="822"/>
      <c r="M16" s="822"/>
      <c r="N16" s="822"/>
      <c r="O16" s="822"/>
      <c r="P16" s="822"/>
      <c r="Q16" s="822"/>
      <c r="R16" s="822"/>
      <c r="S16" s="822"/>
      <c r="T16" s="822"/>
      <c r="U16" s="822"/>
      <c r="V16" s="822"/>
      <c r="Z16" s="224" t="s">
        <v>80</v>
      </c>
    </row>
    <row r="17" spans="1:26" ht="37.5" customHeight="1" x14ac:dyDescent="0.35">
      <c r="A17" s="207"/>
      <c r="B17" s="204"/>
      <c r="C17" s="810" t="s">
        <v>93</v>
      </c>
      <c r="D17" s="810"/>
      <c r="E17" s="810"/>
      <c r="F17" s="703"/>
      <c r="G17" s="810" t="s">
        <v>93</v>
      </c>
      <c r="H17" s="810"/>
      <c r="I17" s="810"/>
      <c r="J17" s="703"/>
      <c r="K17" s="810" t="s">
        <v>93</v>
      </c>
      <c r="L17" s="810"/>
      <c r="M17" s="810"/>
      <c r="N17" s="810"/>
      <c r="O17" s="810"/>
      <c r="P17" s="810"/>
      <c r="Q17" s="810"/>
      <c r="R17" s="810"/>
      <c r="S17" s="810"/>
      <c r="T17" s="810"/>
      <c r="U17" s="810"/>
      <c r="V17" s="810"/>
      <c r="Y17" s="110" t="s">
        <v>80</v>
      </c>
      <c r="Z17" s="224" t="s">
        <v>80</v>
      </c>
    </row>
    <row r="18" spans="1:26" s="119" customFormat="1" ht="69.75" x14ac:dyDescent="0.25">
      <c r="A18" s="208"/>
      <c r="B18" s="705" t="s">
        <v>510</v>
      </c>
      <c r="C18" s="718" t="s">
        <v>644</v>
      </c>
      <c r="D18" s="705" t="s">
        <v>458</v>
      </c>
      <c r="E18" s="705" t="s">
        <v>153</v>
      </c>
      <c r="F18" s="705"/>
      <c r="G18" s="705" t="s">
        <v>644</v>
      </c>
      <c r="H18" s="705" t="s">
        <v>458</v>
      </c>
      <c r="I18" s="705" t="s">
        <v>153</v>
      </c>
      <c r="J18" s="705"/>
      <c r="K18" s="705" t="s">
        <v>644</v>
      </c>
      <c r="L18" s="705" t="s">
        <v>458</v>
      </c>
      <c r="M18" s="705" t="s">
        <v>153</v>
      </c>
      <c r="N18" s="705" t="s">
        <v>100</v>
      </c>
      <c r="O18" s="705" t="s">
        <v>608</v>
      </c>
      <c r="P18" s="705" t="s">
        <v>179</v>
      </c>
      <c r="Q18" s="716" t="str">
        <f>IF(Loadings=0,"Net","Gross")&amp;" Premium Per Employee Per Annum"</f>
        <v>Gross Premium Per Employee Per Annum</v>
      </c>
      <c r="R18" s="716" t="str">
        <f>IF(Loadings=0,"Net","Gross")&amp;" Premium Per Dependent Per Annum"</f>
        <v>Gross Premium Per Dependent Per Annum</v>
      </c>
      <c r="S18" s="717" t="s">
        <v>100</v>
      </c>
      <c r="T18" s="717" t="s">
        <v>608</v>
      </c>
      <c r="U18" s="717" t="s">
        <v>179</v>
      </c>
      <c r="V18" s="704" t="s">
        <v>620</v>
      </c>
      <c r="Z18" s="225"/>
    </row>
    <row r="19" spans="1:26" s="119" customFormat="1" ht="33.75" hidden="1" customHeight="1" x14ac:dyDescent="0.25">
      <c r="A19" s="811" t="s">
        <v>63</v>
      </c>
      <c r="B19" s="705" t="s">
        <v>278</v>
      </c>
      <c r="C19" s="218"/>
      <c r="D19" s="218">
        <f>Computation!AB6+Computation!AC6</f>
        <v>0</v>
      </c>
      <c r="E19" s="218"/>
      <c r="F19" s="218"/>
      <c r="G19" s="218"/>
      <c r="H19" s="218">
        <f>ROUND(MAX('input for formula'!T3,IF($D19=0,'Census Data'!AY230/(1-Loadings),IFERROR(((Computation!AE6+Computation!AF6)/D19)/(1-Loadings),0)))*(1+$X$7),0)</f>
        <v>1755</v>
      </c>
      <c r="I19" s="218"/>
      <c r="J19" s="218"/>
      <c r="K19" s="218"/>
      <c r="L19" s="218">
        <f>ROUND(H19*D19,0)</f>
        <v>0</v>
      </c>
      <c r="M19" s="218"/>
      <c r="N19" s="218">
        <f>K19+M19+L19</f>
        <v>0</v>
      </c>
      <c r="O19" s="816" t="str">
        <f>'Selected TOB AUH'!$C$9</f>
        <v/>
      </c>
      <c r="P19" s="842" t="str">
        <f>'Selected TOB AUH'!$C$12</f>
        <v/>
      </c>
      <c r="Q19" s="217"/>
      <c r="R19" s="217" t="str">
        <f>IF(OR($O$19="",$P$19=""),"",IF(D19&gt;0,H19,MAX('input for formula'!T3,'Census Data'!AY230/(1-Loadings)*(1+$X$7))))</f>
        <v/>
      </c>
      <c r="S19" s="160"/>
      <c r="T19" s="160"/>
      <c r="U19" s="161"/>
      <c r="V19" s="858" t="str">
        <f>IFERROR(IF(O19="","",IF(E23&gt;0,I23,VLOOKUP(P19,'input for formula'!$A$28:$C$41,3,0)/(1-Loadings)*(1+$Y7))),"")</f>
        <v/>
      </c>
      <c r="Z19" s="225"/>
    </row>
    <row r="20" spans="1:26" s="119" customFormat="1" ht="33.75" hidden="1" customHeight="1" x14ac:dyDescent="0.25">
      <c r="A20" s="812"/>
      <c r="B20" s="705" t="s">
        <v>280</v>
      </c>
      <c r="C20" s="217">
        <f>Computation!S7+Computation!T7</f>
        <v>0</v>
      </c>
      <c r="D20" s="218">
        <f>Computation!AB7+Computation!AC7</f>
        <v>0</v>
      </c>
      <c r="E20" s="217">
        <f>Computation!U7</f>
        <v>0</v>
      </c>
      <c r="F20" s="218"/>
      <c r="G20" s="218">
        <f>ROUND(MAX('input for formula'!S4,IF($C20=0,'Census Data'!AY207/(1-Loadings),IFERROR(((Computation!V7+Computation!W7)/C20)/(1-Loadings),0)))*(1+$X$7),0)</f>
        <v>999</v>
      </c>
      <c r="H20" s="218">
        <f>ROUND(MAX('input for formula'!T4,IF($D20=0,'Census Data'!AY231/(1-Loadings),IFERROR(((Computation!AE7+Computation!AF7)/D20)/(1-Loadings),0)))*(1+$X$7),0)</f>
        <v>2101</v>
      </c>
      <c r="I20" s="218">
        <f>ROUND(IF($E20=0,'Census Data'!AV207/(1-Loadings),IFERROR(((Computation!X7)/E20)/(1-Loadings),0)),0)</f>
        <v>0</v>
      </c>
      <c r="J20" s="218"/>
      <c r="K20" s="218">
        <f t="shared" ref="K20:L47" si="0">ROUND(G20*C20,0)</f>
        <v>0</v>
      </c>
      <c r="L20" s="218">
        <f t="shared" si="0"/>
        <v>0</v>
      </c>
      <c r="M20" s="218">
        <f>ROUND(I20*E20,0)</f>
        <v>0</v>
      </c>
      <c r="N20" s="218">
        <f t="shared" ref="N20:N47" si="1">K20+M20+L20</f>
        <v>0</v>
      </c>
      <c r="O20" s="816"/>
      <c r="P20" s="842"/>
      <c r="Q20" s="217" t="str">
        <f>IF(OR($O$19="",$P$19=""),"",IF(C20&gt;0,G20,MAX('input for formula'!S4,'Census Data'!AY207/(1-Loadings)*(1+$X$7))))</f>
        <v/>
      </c>
      <c r="R20" s="217" t="str">
        <f>IF(OR($O$19="",$P$19=""),"",IF(D20&gt;0,H20,MAX('input for formula'!T4,'Census Data'!AY231/(1-Loadings)*(1+$X$7))))</f>
        <v/>
      </c>
      <c r="S20" s="160"/>
      <c r="T20" s="160"/>
      <c r="U20" s="161"/>
      <c r="V20" s="858"/>
      <c r="Z20" s="225"/>
    </row>
    <row r="21" spans="1:26" s="119" customFormat="1" ht="33.75" hidden="1" customHeight="1" x14ac:dyDescent="0.25">
      <c r="A21" s="812"/>
      <c r="B21" s="705" t="s">
        <v>282</v>
      </c>
      <c r="C21" s="218">
        <f>Computation!S8+Computation!T8</f>
        <v>0</v>
      </c>
      <c r="D21" s="218">
        <f>Computation!AB8+Computation!AC8</f>
        <v>0</v>
      </c>
      <c r="E21" s="218">
        <f>Computation!U8</f>
        <v>0</v>
      </c>
      <c r="F21" s="218"/>
      <c r="G21" s="218">
        <f>ROUND(MAX('input for formula'!S5,IF($C21=0,'Census Data'!AY208/(1-Loadings),IFERROR(((Computation!V8+Computation!W8)/C21)/(1-Loadings),0)))*(1+$X$7),0)</f>
        <v>1524</v>
      </c>
      <c r="H21" s="218">
        <f>ROUND(MAX('input for formula'!T5,IF($D21=0,'Census Data'!AY232/(1-Loadings),IFERROR(((Computation!AE8+Computation!AF8)/D21)/(1-Loadings),0)))*(1+$X$7),0)</f>
        <v>4989</v>
      </c>
      <c r="I21" s="218">
        <f>ROUND(IF($E21=0,'Census Data'!AV208/(1-Loadings),IFERROR(((Computation!X8)/E21)/(1-Loadings),0)),0)</f>
        <v>0</v>
      </c>
      <c r="J21" s="218"/>
      <c r="K21" s="218">
        <f t="shared" si="0"/>
        <v>0</v>
      </c>
      <c r="L21" s="218">
        <f t="shared" si="0"/>
        <v>0</v>
      </c>
      <c r="M21" s="218">
        <f>ROUND(I21*E21,0)</f>
        <v>0</v>
      </c>
      <c r="N21" s="218">
        <f t="shared" si="1"/>
        <v>0</v>
      </c>
      <c r="O21" s="816"/>
      <c r="P21" s="842"/>
      <c r="Q21" s="217" t="str">
        <f>IF(OR($O$19="",$P$19=""),"",IF(C21&gt;0,G21,MAX('input for formula'!S5,'Census Data'!AY208/(1-Loadings)*(1+$X$7))))</f>
        <v/>
      </c>
      <c r="R21" s="217" t="str">
        <f>IF(OR($O$19="",$P$19=""),"",IF(D21&gt;0,H21,MAX('input for formula'!T5,'Census Data'!AY232/(1-Loadings)*(1+$X$7))))</f>
        <v/>
      </c>
      <c r="S21" s="160"/>
      <c r="T21" s="160"/>
      <c r="U21" s="161"/>
      <c r="V21" s="858"/>
      <c r="Z21" s="225"/>
    </row>
    <row r="22" spans="1:26" s="119" customFormat="1" ht="33.75" hidden="1" customHeight="1" x14ac:dyDescent="0.25">
      <c r="A22" s="812"/>
      <c r="B22" s="705" t="s">
        <v>284</v>
      </c>
      <c r="C22" s="217">
        <f>Computation!S9+Computation!T9</f>
        <v>0</v>
      </c>
      <c r="D22" s="218">
        <f>Computation!AB9+Computation!AC9</f>
        <v>0</v>
      </c>
      <c r="E22" s="217"/>
      <c r="F22" s="218"/>
      <c r="G22" s="218">
        <f>ROUND(MAX('input for formula'!S6,IF($C22=0,'Census Data'!AY209/(1-Loadings),IFERROR(((Computation!V9+Computation!W9)/C22)/(1-Loadings),0)))*(1+$X$7),0)</f>
        <v>8674</v>
      </c>
      <c r="H22" s="218">
        <f>ROUND(MAX('input for formula'!T6,IF($D22=0,'Census Data'!AY233/(1-Loadings),IFERROR(((Computation!AE9+Computation!AF9)/D22)/(1-Loadings),0)))*(1+$X$7),0)</f>
        <v>18073</v>
      </c>
      <c r="I22" s="218"/>
      <c r="J22" s="218"/>
      <c r="K22" s="218">
        <f t="shared" si="0"/>
        <v>0</v>
      </c>
      <c r="L22" s="218">
        <f t="shared" si="0"/>
        <v>0</v>
      </c>
      <c r="M22" s="218"/>
      <c r="N22" s="218">
        <f t="shared" si="1"/>
        <v>0</v>
      </c>
      <c r="O22" s="816"/>
      <c r="P22" s="842"/>
      <c r="Q22" s="217" t="str">
        <f>IF(OR($O$19="",$P$19=""),"",IF(C22&gt;0,G22,MAX('input for formula'!S6,'Census Data'!AY209/(1-Loadings)*(1+$X$7))))</f>
        <v/>
      </c>
      <c r="R22" s="217" t="str">
        <f>IF(OR($O$19="",$P$19=""),"",IF(D22&gt;0,H22,MAX('input for formula'!T6,'Census Data'!AY233/(1-Loadings)*(1+$X$7))))</f>
        <v/>
      </c>
      <c r="S22" s="160"/>
      <c r="T22" s="160"/>
      <c r="U22" s="161"/>
      <c r="V22" s="858"/>
      <c r="Z22" s="225"/>
    </row>
    <row r="23" spans="1:26" s="119" customFormat="1" ht="33.75" hidden="1" customHeight="1" x14ac:dyDescent="0.25">
      <c r="A23" s="813"/>
      <c r="B23" s="705" t="s">
        <v>628</v>
      </c>
      <c r="C23" s="233">
        <f>SUM(C19:C22)</f>
        <v>0</v>
      </c>
      <c r="D23" s="233">
        <f>SUM(D19:D22)</f>
        <v>0</v>
      </c>
      <c r="E23" s="233">
        <f>SUM(E19:E22)</f>
        <v>0</v>
      </c>
      <c r="F23" s="232"/>
      <c r="G23" s="232">
        <f>IF(C23=0,0,K23/C23)</f>
        <v>0</v>
      </c>
      <c r="H23" s="232">
        <f>IF(D23=0,0,L23/D23)</f>
        <v>0</v>
      </c>
      <c r="I23" s="232">
        <f>IF(E23=0,0,M23/E23)</f>
        <v>0</v>
      </c>
      <c r="J23" s="232"/>
      <c r="K23" s="232">
        <f>SUM(K19:K22)</f>
        <v>0</v>
      </c>
      <c r="L23" s="232">
        <f>SUM(L19:L22)</f>
        <v>0</v>
      </c>
      <c r="M23" s="232">
        <f>SUM(M19:M22)</f>
        <v>0</v>
      </c>
      <c r="N23" s="232">
        <f>SUM(N19:N22)</f>
        <v>0</v>
      </c>
      <c r="O23" s="841"/>
      <c r="P23" s="843"/>
      <c r="Q23" s="258"/>
      <c r="R23" s="258"/>
      <c r="S23" s="160"/>
      <c r="T23" s="160"/>
      <c r="U23" s="161"/>
      <c r="V23" s="859"/>
      <c r="Z23" s="225"/>
    </row>
    <row r="24" spans="1:26" s="119" customFormat="1" ht="33.75" hidden="1" customHeight="1" x14ac:dyDescent="0.25">
      <c r="A24" s="811" t="s">
        <v>64</v>
      </c>
      <c r="B24" s="705" t="s">
        <v>278</v>
      </c>
      <c r="C24" s="209"/>
      <c r="D24" s="209">
        <f>Computation!AB13+Computation!AC13</f>
        <v>0</v>
      </c>
      <c r="E24" s="209"/>
      <c r="F24" s="209"/>
      <c r="G24" s="209"/>
      <c r="H24" s="209">
        <f>ROUND(MAX('input for formula'!T3,IF($D24=0,'Census Data'!AY234/(1-Loadings),IFERROR(((Computation!AE13+Computation!AF13)/D24)/(1-Loadings),0)))*(1+$X$8),0)</f>
        <v>1755</v>
      </c>
      <c r="I24" s="209"/>
      <c r="J24" s="209"/>
      <c r="K24" s="209"/>
      <c r="L24" s="209">
        <f t="shared" si="0"/>
        <v>0</v>
      </c>
      <c r="M24" s="209"/>
      <c r="N24" s="209">
        <f t="shared" si="1"/>
        <v>0</v>
      </c>
      <c r="O24" s="835" t="str">
        <f>'Selected TOB AUH'!$E$9</f>
        <v/>
      </c>
      <c r="P24" s="837" t="str">
        <f>'Selected TOB AUH'!$E$12</f>
        <v/>
      </c>
      <c r="Q24" s="209"/>
      <c r="R24" s="209" t="str">
        <f>IF(OR($O$24="",$P$24=""),"",IF(D24&gt;0,H24,MAX('input for formula'!T3,'Census Data'!AY234/(1-Loadings)*(1+$X$8))))</f>
        <v/>
      </c>
      <c r="S24" s="162"/>
      <c r="T24" s="162"/>
      <c r="U24" s="163"/>
      <c r="V24" s="854" t="str">
        <f>IFERROR(IF(O24="","",IF(E28&gt;0,I28,VLOOKUP(P24,'input for formula'!$A$28:$C$41,3,0)/(1-Loadings)*(1+$Y8))),"")</f>
        <v/>
      </c>
      <c r="Z24" s="225"/>
    </row>
    <row r="25" spans="1:26" s="119" customFormat="1" ht="33.75" hidden="1" customHeight="1" x14ac:dyDescent="0.25">
      <c r="A25" s="812"/>
      <c r="B25" s="705" t="s">
        <v>280</v>
      </c>
      <c r="C25" s="210">
        <f>Computation!S14+Computation!T14</f>
        <v>0</v>
      </c>
      <c r="D25" s="209">
        <f>Computation!AB14+Computation!AC14</f>
        <v>0</v>
      </c>
      <c r="E25" s="210">
        <f>Computation!U14</f>
        <v>0</v>
      </c>
      <c r="F25" s="209"/>
      <c r="G25" s="209">
        <f>ROUND(MAX('input for formula'!S4,IF($C25=0,'Census Data'!AY211/(1-Loadings),IFERROR(((Computation!V14+Computation!W14)/C25)/(1-Loadings),0)))*(1+$X$8),0)</f>
        <v>999</v>
      </c>
      <c r="H25" s="209">
        <f>ROUND(MAX('input for formula'!T4,IF($D25=0,'Census Data'!AY235/(1-Loadings),IFERROR(((Computation!AE14+Computation!AF14)/D25)/(1-Loadings),0)))*(1+$X$8),0)</f>
        <v>2101</v>
      </c>
      <c r="I25" s="209">
        <f>ROUND(IF($E25=0,'Census Data'!AV211/(1-Loadings),IFERROR(((Computation!X14)/E25)/(1-Loadings),0)),0)</f>
        <v>0</v>
      </c>
      <c r="J25" s="209"/>
      <c r="K25" s="209">
        <f t="shared" si="0"/>
        <v>0</v>
      </c>
      <c r="L25" s="209">
        <f t="shared" si="0"/>
        <v>0</v>
      </c>
      <c r="M25" s="209">
        <f>ROUND(I25*E25,0)</f>
        <v>0</v>
      </c>
      <c r="N25" s="209">
        <f t="shared" si="1"/>
        <v>0</v>
      </c>
      <c r="O25" s="836"/>
      <c r="P25" s="838"/>
      <c r="Q25" s="209" t="str">
        <f>IF(OR($O$24="",$P$24=""),"",IF(C25&gt;0,G25,MAX('input for formula'!S4,'Census Data'!AY211/(1-Loadings)*(1+$X$8))))</f>
        <v/>
      </c>
      <c r="R25" s="209" t="str">
        <f>IF(OR($O$24="",$P$24=""),"",IF(D25&gt;0,H25,MAX('input for formula'!T4,'Census Data'!AY235/(1-Loadings)*(1+$X$8))))</f>
        <v/>
      </c>
      <c r="S25" s="162"/>
      <c r="T25" s="162"/>
      <c r="U25" s="163"/>
      <c r="V25" s="855"/>
      <c r="Z25" s="225"/>
    </row>
    <row r="26" spans="1:26" s="119" customFormat="1" ht="33.75" hidden="1" customHeight="1" x14ac:dyDescent="0.25">
      <c r="A26" s="812"/>
      <c r="B26" s="705" t="s">
        <v>282</v>
      </c>
      <c r="C26" s="209">
        <f>Computation!S15+Computation!T15</f>
        <v>0</v>
      </c>
      <c r="D26" s="209">
        <f>Computation!AB15+Computation!AC15</f>
        <v>0</v>
      </c>
      <c r="E26" s="209">
        <f>Computation!U15</f>
        <v>0</v>
      </c>
      <c r="F26" s="209"/>
      <c r="G26" s="209">
        <f>ROUND(MAX('input for formula'!S5,IF($C26=0,'Census Data'!AY212/(1-Loadings),IFERROR(((Computation!V15+Computation!W15)/C26)/(1-Loadings),0)))*(1+$X$8),0)</f>
        <v>1524</v>
      </c>
      <c r="H26" s="209">
        <f>ROUND(MAX('input for formula'!T5,IF($D26=0,'Census Data'!AY236/(1-Loadings),IFERROR(((Computation!AE15+Computation!AF15)/D26)/(1-Loadings),0)))*(1+$X$8),0)</f>
        <v>4989</v>
      </c>
      <c r="I26" s="209">
        <f>ROUND(IF($E26=0,'Census Data'!AV212/(1-Loadings),IFERROR(((Computation!X15)/E26)/(1-Loadings),0)),0)</f>
        <v>0</v>
      </c>
      <c r="J26" s="209"/>
      <c r="K26" s="209">
        <f t="shared" si="0"/>
        <v>0</v>
      </c>
      <c r="L26" s="209">
        <f t="shared" si="0"/>
        <v>0</v>
      </c>
      <c r="M26" s="209">
        <f>ROUND(I26*E26,0)</f>
        <v>0</v>
      </c>
      <c r="N26" s="209">
        <f t="shared" si="1"/>
        <v>0</v>
      </c>
      <c r="O26" s="836"/>
      <c r="P26" s="838"/>
      <c r="Q26" s="209" t="str">
        <f>IF(OR($O$24="",$P$24=""),"",IF(C26&gt;0,G26,MAX('input for formula'!S5,'Census Data'!AY212/(1-Loadings)*(1+$X$8))))</f>
        <v/>
      </c>
      <c r="R26" s="209" t="str">
        <f>IF(OR($O$24="",$P$24=""),"",IF(D26&gt;0,H26,MAX('input for formula'!T5,'Census Data'!AY236/(1-Loadings)*(1+$X$8))))</f>
        <v/>
      </c>
      <c r="S26" s="162"/>
      <c r="T26" s="162"/>
      <c r="U26" s="163"/>
      <c r="V26" s="855"/>
      <c r="Z26" s="225"/>
    </row>
    <row r="27" spans="1:26" s="119" customFormat="1" ht="33.75" hidden="1" customHeight="1" x14ac:dyDescent="0.25">
      <c r="A27" s="812"/>
      <c r="B27" s="705" t="s">
        <v>284</v>
      </c>
      <c r="C27" s="210">
        <f>Computation!S16+Computation!T16</f>
        <v>0</v>
      </c>
      <c r="D27" s="209">
        <f>Computation!AB16+Computation!AC16</f>
        <v>0</v>
      </c>
      <c r="E27" s="210"/>
      <c r="F27" s="209"/>
      <c r="G27" s="209">
        <f>ROUND(MAX('input for formula'!S6,IF($C27=0,'Census Data'!AY213/(1-Loadings),IFERROR(((Computation!V16+Computation!W16)/C27)/(1-Loadings),0)))*(1+$X$8),0)</f>
        <v>8674</v>
      </c>
      <c r="H27" s="209">
        <f>ROUND(MAX('input for formula'!T6,IF($D27=0,'Census Data'!AY237/(1-Loadings),IFERROR(((Computation!AE16+Computation!AF16)/D27)/(1-Loadings),0)))*(1+$X$8),0)</f>
        <v>18073</v>
      </c>
      <c r="I27" s="209"/>
      <c r="J27" s="209"/>
      <c r="K27" s="209">
        <f t="shared" si="0"/>
        <v>0</v>
      </c>
      <c r="L27" s="209">
        <f t="shared" si="0"/>
        <v>0</v>
      </c>
      <c r="M27" s="209"/>
      <c r="N27" s="209">
        <f t="shared" si="1"/>
        <v>0</v>
      </c>
      <c r="O27" s="836"/>
      <c r="P27" s="838"/>
      <c r="Q27" s="209" t="str">
        <f>IF(OR($O$24="",$P$24=""),"",IF(C27&gt;0,G27,MAX('input for formula'!S6,'Census Data'!AY213/(1-Loadings)*(1+$X$8))))</f>
        <v/>
      </c>
      <c r="R27" s="209" t="str">
        <f>IF(OR($O$24="",$P$24=""),"",IF(D27&gt;0,H27,MAX('input for formula'!T6,'Census Data'!AY237/(1-Loadings)*(1+$X$8))))</f>
        <v/>
      </c>
      <c r="S27" s="162"/>
      <c r="T27" s="162"/>
      <c r="U27" s="163"/>
      <c r="V27" s="855"/>
      <c r="Z27" s="225"/>
    </row>
    <row r="28" spans="1:26" s="119" customFormat="1" ht="33.75" hidden="1" customHeight="1" x14ac:dyDescent="0.25">
      <c r="A28" s="813"/>
      <c r="B28" s="705" t="s">
        <v>629</v>
      </c>
      <c r="C28" s="211">
        <f>SUM(C24:C27)</f>
        <v>0</v>
      </c>
      <c r="D28" s="211">
        <f>SUM(D24:D27)</f>
        <v>0</v>
      </c>
      <c r="E28" s="211">
        <f>SUM(E24:E27)</f>
        <v>0</v>
      </c>
      <c r="F28" s="231"/>
      <c r="G28" s="231">
        <f>IF(C28=0,0,K28/C28)</f>
        <v>0</v>
      </c>
      <c r="H28" s="231">
        <f>IF(D28=0,0,L28/D28)</f>
        <v>0</v>
      </c>
      <c r="I28" s="231">
        <f>IF(E28=0,0,M28/E28)</f>
        <v>0</v>
      </c>
      <c r="J28" s="231"/>
      <c r="K28" s="231">
        <f>SUM(K24:K27)</f>
        <v>0</v>
      </c>
      <c r="L28" s="231">
        <f>SUM(L24:L27)</f>
        <v>0</v>
      </c>
      <c r="M28" s="231">
        <f>SUM(M24:M27)</f>
        <v>0</v>
      </c>
      <c r="N28" s="231">
        <f>SUM(N24:N27)</f>
        <v>0</v>
      </c>
      <c r="O28" s="836"/>
      <c r="P28" s="838"/>
      <c r="Q28" s="209"/>
      <c r="R28" s="209"/>
      <c r="S28" s="160"/>
      <c r="T28" s="160"/>
      <c r="U28" s="161"/>
      <c r="V28" s="856"/>
      <c r="Z28" s="225"/>
    </row>
    <row r="29" spans="1:26" s="119" customFormat="1" ht="33.75" hidden="1" customHeight="1" x14ac:dyDescent="0.25">
      <c r="A29" s="811" t="s">
        <v>65</v>
      </c>
      <c r="B29" s="705" t="s">
        <v>278</v>
      </c>
      <c r="C29" s="218"/>
      <c r="D29" s="218">
        <f>Computation!AB20+Computation!AC20</f>
        <v>0</v>
      </c>
      <c r="E29" s="218"/>
      <c r="F29" s="218"/>
      <c r="G29" s="218"/>
      <c r="H29" s="218">
        <f>ROUND(MAX('input for formula'!T3,IF($D29=0,'Census Data'!AY238/(1-Loadings),IFERROR(((Computation!AE20+Computation!AF20)/D29)/(1-Loadings),0)))*(1+$X$9),0)</f>
        <v>1755</v>
      </c>
      <c r="I29" s="218"/>
      <c r="J29" s="218"/>
      <c r="K29" s="218"/>
      <c r="L29" s="218">
        <f t="shared" si="0"/>
        <v>0</v>
      </c>
      <c r="M29" s="218"/>
      <c r="N29" s="218">
        <f t="shared" si="1"/>
        <v>0</v>
      </c>
      <c r="O29" s="839" t="str">
        <f>'Selected TOB AUH'!$G$9</f>
        <v/>
      </c>
      <c r="P29" s="840" t="str">
        <f>'Selected TOB AUH'!$G$12</f>
        <v/>
      </c>
      <c r="Q29" s="259"/>
      <c r="R29" s="259" t="str">
        <f>IF(OR($O$29="",$P$29=""),"",IF(D29&gt;0,H29,MAX('input for formula'!T3,'Census Data'!AY238/(1-Loadings)*(1+$X$9))))</f>
        <v/>
      </c>
      <c r="S29" s="160"/>
      <c r="T29" s="160"/>
      <c r="U29" s="161"/>
      <c r="V29" s="857" t="str">
        <f>IFERROR(IF(O29="","",IF(E33&gt;0,I33,VLOOKUP(P29,'input for formula'!$A$28:$C$41,3,0)/(1-Loadings)*(1+$Y9))),"")</f>
        <v/>
      </c>
      <c r="Z29" s="225"/>
    </row>
    <row r="30" spans="1:26" s="119" customFormat="1" ht="33.75" hidden="1" customHeight="1" x14ac:dyDescent="0.25">
      <c r="A30" s="812"/>
      <c r="B30" s="705" t="s">
        <v>280</v>
      </c>
      <c r="C30" s="217">
        <f>Computation!S21+Computation!T21</f>
        <v>0</v>
      </c>
      <c r="D30" s="218">
        <f>Computation!AB21+Computation!AC21</f>
        <v>0</v>
      </c>
      <c r="E30" s="217">
        <f>Computation!U21</f>
        <v>0</v>
      </c>
      <c r="F30" s="218"/>
      <c r="G30" s="218">
        <f>ROUND(MAX('input for formula'!S4,IF($C30=0,'Census Data'!AY215/(1-Loadings),IFERROR(((Computation!V21+Computation!W21)/C30)/(1-Loadings),0)))*(1+$X$9),0)</f>
        <v>999</v>
      </c>
      <c r="H30" s="218">
        <f>ROUND(MAX('input for formula'!T4,IF($D30=0,'Census Data'!AY239/(1-Loadings),IFERROR(((Computation!AE21+Computation!AF21)/D30)/(1-Loadings),0)))*(1+$X$9),0)</f>
        <v>2101</v>
      </c>
      <c r="I30" s="218">
        <f>ROUND(IF($E30=0,'Census Data'!AV215/(1-Loadings),IFERROR(((Computation!X21)/E30)/(1-Loadings),0)),0)</f>
        <v>0</v>
      </c>
      <c r="J30" s="218"/>
      <c r="K30" s="218">
        <f t="shared" si="0"/>
        <v>0</v>
      </c>
      <c r="L30" s="218">
        <f t="shared" si="0"/>
        <v>0</v>
      </c>
      <c r="M30" s="218">
        <f>ROUND(I30*E30,0)</f>
        <v>0</v>
      </c>
      <c r="N30" s="218">
        <f t="shared" si="1"/>
        <v>0</v>
      </c>
      <c r="O30" s="839"/>
      <c r="P30" s="840"/>
      <c r="Q30" s="259" t="str">
        <f>IF(OR($O$29="",$P$29=""),"",IF(C30&gt;0,G30,MAX('input for formula'!S4,'Census Data'!AY215/(1-Loadings)*(1+$X$9))))</f>
        <v/>
      </c>
      <c r="R30" s="259" t="str">
        <f>IF(OR($O$29="",$P$29=""),"",IF(D30&gt;0,H30,MAX('input for formula'!T4,'Census Data'!AY239/(1-Loadings)*(1+$X$9))))</f>
        <v/>
      </c>
      <c r="S30" s="160"/>
      <c r="T30" s="160"/>
      <c r="U30" s="161"/>
      <c r="V30" s="858"/>
      <c r="Z30" s="225"/>
    </row>
    <row r="31" spans="1:26" s="119" customFormat="1" ht="33.75" hidden="1" customHeight="1" x14ac:dyDescent="0.25">
      <c r="A31" s="812"/>
      <c r="B31" s="705" t="s">
        <v>282</v>
      </c>
      <c r="C31" s="218">
        <f>Computation!S22+Computation!T22</f>
        <v>0</v>
      </c>
      <c r="D31" s="218">
        <f>Computation!AB22+Computation!AC22</f>
        <v>0</v>
      </c>
      <c r="E31" s="218">
        <f>Computation!U22</f>
        <v>0</v>
      </c>
      <c r="F31" s="218"/>
      <c r="G31" s="218">
        <f>ROUND(MAX('input for formula'!S5,IF($C31=0,'Census Data'!AY216/(1-Loadings),IFERROR(((Computation!V22+Computation!W22)/C31)/(1-Loadings),0)))*(1+$X$9),0)</f>
        <v>1524</v>
      </c>
      <c r="H31" s="218">
        <f>ROUND(MAX('input for formula'!T5,IF($D31=0,'Census Data'!AY240/(1-Loadings),IFERROR(((Computation!AE22+Computation!AF22)/D31)/(1-Loadings),0)))*(1+$X$9),0)</f>
        <v>4989</v>
      </c>
      <c r="I31" s="218">
        <f>ROUND(IF($E31=0,'Census Data'!AV216/(1-Loadings),IFERROR(((Computation!X22)/E31)/(1-Loadings),0)),0)</f>
        <v>0</v>
      </c>
      <c r="J31" s="218"/>
      <c r="K31" s="218">
        <f t="shared" si="0"/>
        <v>0</v>
      </c>
      <c r="L31" s="218">
        <f t="shared" si="0"/>
        <v>0</v>
      </c>
      <c r="M31" s="218">
        <f>ROUND(I31*E31,0)</f>
        <v>0</v>
      </c>
      <c r="N31" s="218">
        <f t="shared" si="1"/>
        <v>0</v>
      </c>
      <c r="O31" s="839"/>
      <c r="P31" s="840"/>
      <c r="Q31" s="259" t="str">
        <f>IF(OR($O$29="",$P$29=""),"",IF(C31&gt;0,G31,MAX('input for formula'!S5,'Census Data'!AY216/(1-Loadings)*(1+$X$9))))</f>
        <v/>
      </c>
      <c r="R31" s="259" t="str">
        <f>IF(OR($O$29="",$P$29=""),"",IF(D31&gt;0,H31,MAX('input for formula'!T5,'Census Data'!AY240/(1-Loadings)*(1+$X$9))))</f>
        <v/>
      </c>
      <c r="S31" s="160"/>
      <c r="T31" s="160"/>
      <c r="U31" s="161"/>
      <c r="V31" s="858"/>
      <c r="Z31" s="225"/>
    </row>
    <row r="32" spans="1:26" s="119" customFormat="1" ht="33.75" hidden="1" customHeight="1" x14ac:dyDescent="0.25">
      <c r="A32" s="812"/>
      <c r="B32" s="705" t="s">
        <v>284</v>
      </c>
      <c r="C32" s="217">
        <f>Computation!S23+Computation!T23</f>
        <v>0</v>
      </c>
      <c r="D32" s="218">
        <f>Computation!AB23+Computation!AC23</f>
        <v>0</v>
      </c>
      <c r="E32" s="217"/>
      <c r="F32" s="218"/>
      <c r="G32" s="218">
        <f>ROUND(MAX('input for formula'!S6,IF($C32=0,'Census Data'!AY217/(1-Loadings),IFERROR(((Computation!V23+Computation!W23)/C32)/(1-Loadings),0)))*(1+$X$9),0)</f>
        <v>8674</v>
      </c>
      <c r="H32" s="218">
        <f>ROUND(MAX('input for formula'!T6,IF($D32=0,'Census Data'!AY241/(1-Loadings),IFERROR(((Computation!AE23+Computation!AF23)/D32)/(1-Loadings),0)))*(1+$X$9),0)</f>
        <v>18073</v>
      </c>
      <c r="I32" s="218"/>
      <c r="J32" s="218"/>
      <c r="K32" s="218">
        <f t="shared" si="0"/>
        <v>0</v>
      </c>
      <c r="L32" s="218">
        <f t="shared" si="0"/>
        <v>0</v>
      </c>
      <c r="M32" s="218"/>
      <c r="N32" s="218">
        <f t="shared" si="1"/>
        <v>0</v>
      </c>
      <c r="O32" s="839"/>
      <c r="P32" s="840"/>
      <c r="Q32" s="259" t="str">
        <f>IF(OR($O$29="",$P$29=""),"",IF(C32&gt;0,G32,MAX('input for formula'!S6,'Census Data'!AY217/(1-Loadings)*(1+$X$9))))</f>
        <v/>
      </c>
      <c r="R32" s="259" t="str">
        <f>IF(OR($O$29="",$P$29=""),"",IF(D32&gt;0,H32,MAX('input for formula'!T6,'Census Data'!AY241/(1-Loadings)*(1+$X$9))))</f>
        <v/>
      </c>
      <c r="S32" s="160"/>
      <c r="T32" s="160"/>
      <c r="U32" s="161"/>
      <c r="V32" s="858"/>
      <c r="Z32" s="225"/>
    </row>
    <row r="33" spans="1:26" s="119" customFormat="1" ht="33.75" hidden="1" customHeight="1" x14ac:dyDescent="0.25">
      <c r="A33" s="813"/>
      <c r="B33" s="705" t="s">
        <v>630</v>
      </c>
      <c r="C33" s="233">
        <f>SUM(C29:C32)</f>
        <v>0</v>
      </c>
      <c r="D33" s="233">
        <f>SUM(D29:D32)</f>
        <v>0</v>
      </c>
      <c r="E33" s="233">
        <f>SUM(E29:E32)</f>
        <v>0</v>
      </c>
      <c r="F33" s="232"/>
      <c r="G33" s="232">
        <f>IF(C33=0,0,K33/C33)</f>
        <v>0</v>
      </c>
      <c r="H33" s="232">
        <f>IF(D33=0,0,L33/D33)</f>
        <v>0</v>
      </c>
      <c r="I33" s="232">
        <f>IF(E33=0,0,M33/E33)</f>
        <v>0</v>
      </c>
      <c r="J33" s="232"/>
      <c r="K33" s="232">
        <f>SUM(K29:K32)</f>
        <v>0</v>
      </c>
      <c r="L33" s="232">
        <f>SUM(L29:L32)</f>
        <v>0</v>
      </c>
      <c r="M33" s="232">
        <f>SUM(M29:M32)</f>
        <v>0</v>
      </c>
      <c r="N33" s="232">
        <f>SUM(N29:N32)</f>
        <v>0</v>
      </c>
      <c r="O33" s="839"/>
      <c r="P33" s="840"/>
      <c r="Q33" s="257"/>
      <c r="R33" s="257"/>
      <c r="S33" s="160"/>
      <c r="T33" s="160"/>
      <c r="U33" s="161"/>
      <c r="V33" s="859"/>
      <c r="Z33" s="225"/>
    </row>
    <row r="34" spans="1:26" s="119" customFormat="1" ht="33.75" hidden="1" customHeight="1" x14ac:dyDescent="0.25">
      <c r="A34" s="811" t="s">
        <v>66</v>
      </c>
      <c r="B34" s="705" t="s">
        <v>278</v>
      </c>
      <c r="C34" s="209">
        <f>Computation!S27+Computation!T27</f>
        <v>0</v>
      </c>
      <c r="D34" s="209">
        <f>Computation!AB27+Computation!AC27</f>
        <v>0</v>
      </c>
      <c r="E34" s="209">
        <f>Computation!U27</f>
        <v>0</v>
      </c>
      <c r="F34" s="209"/>
      <c r="G34" s="209"/>
      <c r="H34" s="209">
        <f>IFERROR(((Computation!AE27+Computation!AF27)/D34)/(1-Loadings),0)</f>
        <v>0</v>
      </c>
      <c r="I34" s="209">
        <f>IFERROR(((Computation!X27)/E34)/(1-Loadings),0)</f>
        <v>0</v>
      </c>
      <c r="J34" s="209"/>
      <c r="K34" s="209">
        <f t="shared" si="0"/>
        <v>0</v>
      </c>
      <c r="L34" s="209">
        <f t="shared" si="0"/>
        <v>0</v>
      </c>
      <c r="M34" s="209">
        <f>ROUND(I34*E34,0)</f>
        <v>0</v>
      </c>
      <c r="N34" s="209">
        <f t="shared" si="1"/>
        <v>0</v>
      </c>
      <c r="O34" s="836" t="str">
        <f>'Selected TOB AUH'!$I$9</f>
        <v/>
      </c>
      <c r="P34" s="861" t="str">
        <f>'Selected TOB AUH'!$I$12</f>
        <v/>
      </c>
      <c r="Q34" s="209"/>
      <c r="R34" s="209">
        <f>'Census Data'!AY242/(1-Loadings)</f>
        <v>0</v>
      </c>
      <c r="S34" s="162"/>
      <c r="T34" s="162"/>
      <c r="U34" s="163"/>
      <c r="V34" s="854" t="str">
        <f>IFERROR(IF(O34="","",VLOOKUP(LEFT(P34,IF(OR(MID(P34,12,1)=" ",LEN(P34)&lt;12),11,12)),'input for formula'!$A$28:$C$41,3,0)/(1-Loadings)*(1+$Y10)),"")</f>
        <v/>
      </c>
      <c r="Z34" s="225"/>
    </row>
    <row r="35" spans="1:26" s="119" customFormat="1" ht="33.75" hidden="1" customHeight="1" x14ac:dyDescent="0.25">
      <c r="A35" s="812"/>
      <c r="B35" s="705" t="s">
        <v>280</v>
      </c>
      <c r="C35" s="210">
        <f>Computation!S28+Computation!T28</f>
        <v>0</v>
      </c>
      <c r="D35" s="209">
        <f>Computation!AB28+Computation!AC28</f>
        <v>0</v>
      </c>
      <c r="E35" s="210">
        <f>Computation!U28</f>
        <v>0</v>
      </c>
      <c r="F35" s="209"/>
      <c r="G35" s="209">
        <f>IFERROR(((Computation!V28+Computation!W28)/C35)/(1-Loadings),0)</f>
        <v>0</v>
      </c>
      <c r="H35" s="209">
        <f>IFERROR(((Computation!AE28+Computation!AF28)/D35)/(1-Loadings),0)</f>
        <v>0</v>
      </c>
      <c r="I35" s="209">
        <f>IFERROR(((Computation!X28)/E35)/(1-Loadings),0)</f>
        <v>0</v>
      </c>
      <c r="J35" s="209"/>
      <c r="K35" s="209">
        <f t="shared" si="0"/>
        <v>0</v>
      </c>
      <c r="L35" s="209">
        <f t="shared" si="0"/>
        <v>0</v>
      </c>
      <c r="M35" s="209">
        <f>ROUND(I35*E35,0)</f>
        <v>0</v>
      </c>
      <c r="N35" s="209">
        <f t="shared" si="1"/>
        <v>0</v>
      </c>
      <c r="O35" s="836"/>
      <c r="P35" s="861"/>
      <c r="Q35" s="209">
        <f>'Census Data'!AY219/(1-Loadings)</f>
        <v>0</v>
      </c>
      <c r="R35" s="209">
        <f>'Census Data'!AY243/(1-Loadings)</f>
        <v>0</v>
      </c>
      <c r="S35" s="162"/>
      <c r="T35" s="162"/>
      <c r="U35" s="163"/>
      <c r="V35" s="855"/>
      <c r="Z35" s="225"/>
    </row>
    <row r="36" spans="1:26" s="119" customFormat="1" ht="33.75" hidden="1" customHeight="1" x14ac:dyDescent="0.25">
      <c r="A36" s="812"/>
      <c r="B36" s="705" t="s">
        <v>282</v>
      </c>
      <c r="C36" s="209">
        <f>Computation!S29+Computation!T29</f>
        <v>0</v>
      </c>
      <c r="D36" s="209">
        <f>Computation!AB29+Computation!AC29</f>
        <v>0</v>
      </c>
      <c r="E36" s="209">
        <f>Computation!U29</f>
        <v>0</v>
      </c>
      <c r="F36" s="209"/>
      <c r="G36" s="209">
        <f>IFERROR(((Computation!V29+Computation!W29)/C36)/(1-Loadings),0)</f>
        <v>0</v>
      </c>
      <c r="H36" s="209">
        <f>IFERROR(((Computation!AE29+Computation!AF29)/D36)/(1-Loadings),0)</f>
        <v>0</v>
      </c>
      <c r="I36" s="209">
        <f>IFERROR(((Computation!X29)/E36)/(1-Loadings),0)</f>
        <v>0</v>
      </c>
      <c r="J36" s="209"/>
      <c r="K36" s="209">
        <f t="shared" si="0"/>
        <v>0</v>
      </c>
      <c r="L36" s="209">
        <f t="shared" si="0"/>
        <v>0</v>
      </c>
      <c r="M36" s="209">
        <f>ROUND(I36*E36,0)</f>
        <v>0</v>
      </c>
      <c r="N36" s="209">
        <f t="shared" si="1"/>
        <v>0</v>
      </c>
      <c r="O36" s="836"/>
      <c r="P36" s="861"/>
      <c r="Q36" s="209">
        <f>'Census Data'!AY220/(1-Loadings)</f>
        <v>0</v>
      </c>
      <c r="R36" s="209">
        <f>'Census Data'!AY244/(1-Loadings)</f>
        <v>0</v>
      </c>
      <c r="S36" s="162"/>
      <c r="T36" s="162"/>
      <c r="U36" s="163"/>
      <c r="V36" s="855"/>
      <c r="Z36" s="225"/>
    </row>
    <row r="37" spans="1:26" s="119" customFormat="1" ht="33.75" hidden="1" customHeight="1" x14ac:dyDescent="0.25">
      <c r="A37" s="812"/>
      <c r="B37" s="705" t="s">
        <v>284</v>
      </c>
      <c r="C37" s="210">
        <f>Computation!S30+Computation!T30</f>
        <v>0</v>
      </c>
      <c r="D37" s="209">
        <f>Computation!AB30+Computation!AC30</f>
        <v>0</v>
      </c>
      <c r="E37" s="210">
        <f>Computation!U30</f>
        <v>0</v>
      </c>
      <c r="F37" s="209"/>
      <c r="G37" s="209">
        <f>IFERROR(((Computation!V30+Computation!W30)/C37)/(1-Loadings),0)</f>
        <v>0</v>
      </c>
      <c r="H37" s="209">
        <f>IFERROR(((Computation!AE30+Computation!AF30)/D37)/(1-Loadings),0)</f>
        <v>0</v>
      </c>
      <c r="I37" s="209">
        <f>IFERROR(((Computation!X30)/E37)/(1-Loadings),0)</f>
        <v>0</v>
      </c>
      <c r="J37" s="209"/>
      <c r="K37" s="209">
        <f t="shared" si="0"/>
        <v>0</v>
      </c>
      <c r="L37" s="209">
        <f t="shared" si="0"/>
        <v>0</v>
      </c>
      <c r="M37" s="209">
        <f>ROUND(I37*E37,0)</f>
        <v>0</v>
      </c>
      <c r="N37" s="209">
        <f t="shared" si="1"/>
        <v>0</v>
      </c>
      <c r="O37" s="836"/>
      <c r="P37" s="861"/>
      <c r="Q37" s="209">
        <f>'Census Data'!AY221/(1-Loadings)</f>
        <v>0</v>
      </c>
      <c r="R37" s="209">
        <f>'Census Data'!AY245/(1-Loadings)</f>
        <v>0</v>
      </c>
      <c r="S37" s="162"/>
      <c r="T37" s="162"/>
      <c r="U37" s="163"/>
      <c r="V37" s="855"/>
      <c r="Z37" s="225"/>
    </row>
    <row r="38" spans="1:26" s="119" customFormat="1" ht="33.75" hidden="1" customHeight="1" x14ac:dyDescent="0.25">
      <c r="A38" s="813"/>
      <c r="B38" s="705" t="s">
        <v>631</v>
      </c>
      <c r="C38" s="211">
        <f>SUM(C34:C37)</f>
        <v>0</v>
      </c>
      <c r="D38" s="211">
        <f>SUM(D34:D37)</f>
        <v>0</v>
      </c>
      <c r="E38" s="211">
        <f>SUM(E34:E37)</f>
        <v>0</v>
      </c>
      <c r="F38" s="231"/>
      <c r="G38" s="231">
        <f>IF(C38=0,0,K38/C38)</f>
        <v>0</v>
      </c>
      <c r="H38" s="231">
        <f>IF(D38=0,0,L38/D38)</f>
        <v>0</v>
      </c>
      <c r="I38" s="231">
        <f>IF(E38=0,0,M38/E38)</f>
        <v>0</v>
      </c>
      <c r="J38" s="231"/>
      <c r="K38" s="231">
        <f>SUM(K34:K37)</f>
        <v>0</v>
      </c>
      <c r="L38" s="231">
        <f>SUM(L34:L37)</f>
        <v>0</v>
      </c>
      <c r="M38" s="231">
        <f>SUM(M34:M37)</f>
        <v>0</v>
      </c>
      <c r="N38" s="231">
        <f>SUM(N34:N37)</f>
        <v>0</v>
      </c>
      <c r="O38" s="836"/>
      <c r="P38" s="861"/>
      <c r="Q38" s="209"/>
      <c r="R38" s="209"/>
      <c r="S38" s="160"/>
      <c r="T38" s="160"/>
      <c r="U38" s="161"/>
      <c r="V38" s="856"/>
      <c r="Z38" s="225"/>
    </row>
    <row r="39" spans="1:26" s="119" customFormat="1" ht="33.75" hidden="1" customHeight="1" x14ac:dyDescent="0.25">
      <c r="A39" s="811" t="s">
        <v>67</v>
      </c>
      <c r="B39" s="705" t="s">
        <v>278</v>
      </c>
      <c r="C39" s="218">
        <f>Computation!S34+Computation!T34</f>
        <v>0</v>
      </c>
      <c r="D39" s="218">
        <f>Computation!AB34+Computation!AC34</f>
        <v>0</v>
      </c>
      <c r="E39" s="218">
        <f>Computation!U34</f>
        <v>0</v>
      </c>
      <c r="F39" s="218"/>
      <c r="G39" s="218"/>
      <c r="H39" s="218">
        <f>IFERROR(((Computation!AE34+Computation!AF34)/D39)/(1-Loadings),0)</f>
        <v>0</v>
      </c>
      <c r="I39" s="218">
        <f>IFERROR(((Computation!X34)/E39)/(1-Loadings),0)</f>
        <v>0</v>
      </c>
      <c r="J39" s="218"/>
      <c r="K39" s="218">
        <f t="shared" si="0"/>
        <v>0</v>
      </c>
      <c r="L39" s="218">
        <f t="shared" si="0"/>
        <v>0</v>
      </c>
      <c r="M39" s="218">
        <f>ROUND(I39*E39,0)</f>
        <v>0</v>
      </c>
      <c r="N39" s="218">
        <f t="shared" si="1"/>
        <v>0</v>
      </c>
      <c r="O39" s="839" t="str">
        <f>'Selected TOB AUH'!$K$9</f>
        <v/>
      </c>
      <c r="P39" s="840" t="str">
        <f>'Selected TOB AUH'!$K$12</f>
        <v/>
      </c>
      <c r="Q39" s="257"/>
      <c r="R39" s="257">
        <f>'Census Data'!AY246/(1-Loadings)</f>
        <v>0</v>
      </c>
      <c r="S39" s="160"/>
      <c r="T39" s="160"/>
      <c r="U39" s="161"/>
      <c r="V39" s="860" t="str">
        <f>IFERROR(IF(O39="","",VLOOKUP(LEFT(P39,IF(OR(MID(P39,12,1)=" ",LEN(P39)&lt;12),11,12)),'input for formula'!$A$28:$C$41,3,0)/(1-Loadings)*(1+$Y11)),"")</f>
        <v/>
      </c>
      <c r="Z39" s="225"/>
    </row>
    <row r="40" spans="1:26" s="119" customFormat="1" ht="33.75" hidden="1" customHeight="1" x14ac:dyDescent="0.25">
      <c r="A40" s="812"/>
      <c r="B40" s="705" t="s">
        <v>280</v>
      </c>
      <c r="C40" s="217">
        <f>Computation!S35+Computation!T35</f>
        <v>0</v>
      </c>
      <c r="D40" s="218">
        <f>Computation!AB35+Computation!AC35</f>
        <v>0</v>
      </c>
      <c r="E40" s="217">
        <f>Computation!U35</f>
        <v>0</v>
      </c>
      <c r="F40" s="218"/>
      <c r="G40" s="218">
        <f>IFERROR(((Computation!V35+Computation!W35)/C40)/(1-Loadings),0)</f>
        <v>0</v>
      </c>
      <c r="H40" s="218">
        <f>IFERROR(((Computation!AE35+Computation!AF35)/D40)/(1-Loadings),0)</f>
        <v>0</v>
      </c>
      <c r="I40" s="218">
        <f>IFERROR(((Computation!X35)/E40)/(1-Loadings),0)</f>
        <v>0</v>
      </c>
      <c r="J40" s="218"/>
      <c r="K40" s="218">
        <f t="shared" si="0"/>
        <v>0</v>
      </c>
      <c r="L40" s="218">
        <f t="shared" si="0"/>
        <v>0</v>
      </c>
      <c r="M40" s="218">
        <f>ROUND(I40*E40,0)</f>
        <v>0</v>
      </c>
      <c r="N40" s="218">
        <f t="shared" si="1"/>
        <v>0</v>
      </c>
      <c r="O40" s="839"/>
      <c r="P40" s="840"/>
      <c r="Q40" s="257">
        <f>'Census Data'!AY223/(1-Loadings)</f>
        <v>0</v>
      </c>
      <c r="R40" s="257">
        <f>'Census Data'!AY247/(1-Loadings)</f>
        <v>0</v>
      </c>
      <c r="S40" s="160"/>
      <c r="T40" s="160"/>
      <c r="U40" s="161"/>
      <c r="V40" s="816"/>
      <c r="Z40" s="225"/>
    </row>
    <row r="41" spans="1:26" s="119" customFormat="1" ht="33.75" hidden="1" customHeight="1" x14ac:dyDescent="0.25">
      <c r="A41" s="812"/>
      <c r="B41" s="705" t="s">
        <v>282</v>
      </c>
      <c r="C41" s="218">
        <f>Computation!S36+Computation!T36</f>
        <v>0</v>
      </c>
      <c r="D41" s="218">
        <f>Computation!AB36+Computation!AC36</f>
        <v>0</v>
      </c>
      <c r="E41" s="218">
        <f>Computation!U36</f>
        <v>0</v>
      </c>
      <c r="F41" s="218"/>
      <c r="G41" s="218">
        <f>IFERROR(((Computation!V36+Computation!W36)/C41)/(1-Loadings),0)</f>
        <v>0</v>
      </c>
      <c r="H41" s="218">
        <f>IFERROR(((Computation!AE36+Computation!AF36)/D41)/(1-Loadings),0)</f>
        <v>0</v>
      </c>
      <c r="I41" s="218">
        <f>IFERROR(((Computation!X36)/E41)/(1-Loadings),0)</f>
        <v>0</v>
      </c>
      <c r="J41" s="218"/>
      <c r="K41" s="218">
        <f t="shared" si="0"/>
        <v>0</v>
      </c>
      <c r="L41" s="218">
        <f t="shared" si="0"/>
        <v>0</v>
      </c>
      <c r="M41" s="218">
        <f>ROUND(I41*E41,0)</f>
        <v>0</v>
      </c>
      <c r="N41" s="218">
        <f t="shared" si="1"/>
        <v>0</v>
      </c>
      <c r="O41" s="839"/>
      <c r="P41" s="840"/>
      <c r="Q41" s="257">
        <f>'Census Data'!AY224/(1-Loadings)</f>
        <v>0</v>
      </c>
      <c r="R41" s="257">
        <f>'Census Data'!AY248/(1-Loadings)</f>
        <v>0</v>
      </c>
      <c r="S41" s="160"/>
      <c r="T41" s="160"/>
      <c r="U41" s="161"/>
      <c r="V41" s="816"/>
      <c r="Z41" s="225"/>
    </row>
    <row r="42" spans="1:26" s="119" customFormat="1" ht="33.75" hidden="1" customHeight="1" x14ac:dyDescent="0.25">
      <c r="A42" s="812"/>
      <c r="B42" s="705" t="s">
        <v>284</v>
      </c>
      <c r="C42" s="217">
        <f>Computation!S37+Computation!T37</f>
        <v>0</v>
      </c>
      <c r="D42" s="218">
        <f>Computation!AB37+Computation!AC37</f>
        <v>0</v>
      </c>
      <c r="E42" s="217">
        <f>Computation!U37</f>
        <v>0</v>
      </c>
      <c r="F42" s="218"/>
      <c r="G42" s="218">
        <f>IFERROR(((Computation!V37+Computation!W37)/C42)/(1-Loadings),0)</f>
        <v>0</v>
      </c>
      <c r="H42" s="218">
        <f>IFERROR(((Computation!AE37+Computation!AF37)/D42)/(1-Loadings),0)</f>
        <v>0</v>
      </c>
      <c r="I42" s="218">
        <f>IFERROR(((Computation!X37)/E42)/(1-Loadings),0)</f>
        <v>0</v>
      </c>
      <c r="J42" s="218"/>
      <c r="K42" s="218">
        <f t="shared" si="0"/>
        <v>0</v>
      </c>
      <c r="L42" s="218">
        <f t="shared" si="0"/>
        <v>0</v>
      </c>
      <c r="M42" s="218">
        <f>ROUND(I42*E42,0)</f>
        <v>0</v>
      </c>
      <c r="N42" s="218">
        <f t="shared" si="1"/>
        <v>0</v>
      </c>
      <c r="O42" s="839"/>
      <c r="P42" s="840"/>
      <c r="Q42" s="257">
        <f>'Census Data'!AY225/(1-Loadings)</f>
        <v>0</v>
      </c>
      <c r="R42" s="257">
        <f>'Census Data'!AY249/(1-Loadings)</f>
        <v>0</v>
      </c>
      <c r="S42" s="160"/>
      <c r="T42" s="160"/>
      <c r="U42" s="161"/>
      <c r="V42" s="816"/>
      <c r="Z42" s="225"/>
    </row>
    <row r="43" spans="1:26" s="119" customFormat="1" ht="33.75" hidden="1" customHeight="1" x14ac:dyDescent="0.25">
      <c r="A43" s="813"/>
      <c r="B43" s="705" t="s">
        <v>632</v>
      </c>
      <c r="C43" s="233">
        <f>SUM(C39:C42)</f>
        <v>0</v>
      </c>
      <c r="D43" s="233">
        <f>SUM(D39:D42)</f>
        <v>0</v>
      </c>
      <c r="E43" s="233">
        <f>SUM(E39:E42)</f>
        <v>0</v>
      </c>
      <c r="F43" s="232"/>
      <c r="G43" s="232">
        <f>IF(C43=0,0,K43/C43)</f>
        <v>0</v>
      </c>
      <c r="H43" s="232">
        <f>IF(D43=0,0,L43/D43)</f>
        <v>0</v>
      </c>
      <c r="I43" s="232">
        <f>IF(E43=0,0,M43/E43)</f>
        <v>0</v>
      </c>
      <c r="J43" s="232"/>
      <c r="K43" s="232">
        <f>SUM(K39:K42)</f>
        <v>0</v>
      </c>
      <c r="L43" s="232">
        <f>SUM(L39:L42)</f>
        <v>0</v>
      </c>
      <c r="M43" s="232">
        <f>SUM(M39:M42)</f>
        <v>0</v>
      </c>
      <c r="N43" s="232">
        <f>SUM(N39:N42)</f>
        <v>0</v>
      </c>
      <c r="O43" s="839"/>
      <c r="P43" s="840"/>
      <c r="Q43" s="257"/>
      <c r="R43" s="257"/>
      <c r="S43" s="160"/>
      <c r="T43" s="160"/>
      <c r="U43" s="161"/>
      <c r="V43" s="816"/>
      <c r="Z43" s="225"/>
    </row>
    <row r="44" spans="1:26" s="119" customFormat="1" ht="33.75" hidden="1" customHeight="1" x14ac:dyDescent="0.25">
      <c r="A44" s="811" t="s">
        <v>68</v>
      </c>
      <c r="B44" s="705" t="s">
        <v>278</v>
      </c>
      <c r="C44" s="209">
        <f>Computation!S41+Computation!T41</f>
        <v>0</v>
      </c>
      <c r="D44" s="209">
        <f>Computation!AB41+Computation!AC41</f>
        <v>0</v>
      </c>
      <c r="E44" s="209">
        <f>Computation!U41</f>
        <v>0</v>
      </c>
      <c r="F44" s="209"/>
      <c r="G44" s="209"/>
      <c r="H44" s="209">
        <f>IFERROR(((Computation!AE41+Computation!AF41)/D44)/(1-Loadings),0)</f>
        <v>0</v>
      </c>
      <c r="I44" s="209">
        <f>IFERROR(((Computation!X41)/E44)/(1-Loadings),0)</f>
        <v>0</v>
      </c>
      <c r="J44" s="209"/>
      <c r="K44" s="209">
        <f t="shared" si="0"/>
        <v>0</v>
      </c>
      <c r="L44" s="209">
        <f t="shared" si="0"/>
        <v>0</v>
      </c>
      <c r="M44" s="209">
        <f>ROUND(I44*E44,0)</f>
        <v>0</v>
      </c>
      <c r="N44" s="209">
        <f t="shared" si="1"/>
        <v>0</v>
      </c>
      <c r="O44" s="836" t="str">
        <f>'Selected TOB AUH'!$M$9</f>
        <v/>
      </c>
      <c r="P44" s="838" t="str">
        <f>'Selected TOB AUH'!$M$12</f>
        <v/>
      </c>
      <c r="Q44" s="255"/>
      <c r="R44" s="255">
        <f>'Census Data'!AY250/(1-Loadings)</f>
        <v>0</v>
      </c>
      <c r="S44" s="162"/>
      <c r="T44" s="162"/>
      <c r="U44" s="163"/>
      <c r="V44" s="854" t="str">
        <f>IFERROR(IF(O44="","",VLOOKUP(LEFT(P44,IF(OR(MID(P44,12,1)=" ",LEN(P44)&lt;12),11,12)),'input for formula'!$A$28:$C$41,3,0)/(1-Loadings)*(1+$Y12)),"")</f>
        <v/>
      </c>
      <c r="Z44" s="225"/>
    </row>
    <row r="45" spans="1:26" s="119" customFormat="1" ht="33.75" hidden="1" customHeight="1" x14ac:dyDescent="0.25">
      <c r="A45" s="812"/>
      <c r="B45" s="705" t="s">
        <v>280</v>
      </c>
      <c r="C45" s="210">
        <f>Computation!S42+Computation!T42</f>
        <v>0</v>
      </c>
      <c r="D45" s="209">
        <f>Computation!AB42+Computation!AC42</f>
        <v>0</v>
      </c>
      <c r="E45" s="210">
        <f>Computation!U42</f>
        <v>0</v>
      </c>
      <c r="F45" s="209"/>
      <c r="G45" s="209">
        <f>IFERROR(((Computation!V42+Computation!W42)/C45)/(1-Loadings),0)</f>
        <v>0</v>
      </c>
      <c r="H45" s="209">
        <f>IFERROR(((Computation!AE42+Computation!AF42)/D45)/(1-Loadings),0)</f>
        <v>0</v>
      </c>
      <c r="I45" s="209">
        <f>IFERROR(((Computation!X42)/E45)/(1-Loadings),0)</f>
        <v>0</v>
      </c>
      <c r="J45" s="209"/>
      <c r="K45" s="209">
        <f t="shared" si="0"/>
        <v>0</v>
      </c>
      <c r="L45" s="209">
        <f t="shared" si="0"/>
        <v>0</v>
      </c>
      <c r="M45" s="209">
        <f>ROUND(I45*E45,0)</f>
        <v>0</v>
      </c>
      <c r="N45" s="209">
        <f t="shared" si="1"/>
        <v>0</v>
      </c>
      <c r="O45" s="836"/>
      <c r="P45" s="838"/>
      <c r="Q45" s="256">
        <f>'Census Data'!AY227/(1-Loadings)</f>
        <v>0</v>
      </c>
      <c r="R45" s="256">
        <f>'Census Data'!AY251/(1-Loadings)</f>
        <v>0</v>
      </c>
      <c r="S45" s="162"/>
      <c r="T45" s="162"/>
      <c r="U45" s="163"/>
      <c r="V45" s="855"/>
      <c r="Z45" s="225"/>
    </row>
    <row r="46" spans="1:26" s="119" customFormat="1" ht="33.75" hidden="1" customHeight="1" x14ac:dyDescent="0.25">
      <c r="A46" s="812"/>
      <c r="B46" s="705" t="s">
        <v>282</v>
      </c>
      <c r="C46" s="209">
        <f>Computation!S43+Computation!T43</f>
        <v>0</v>
      </c>
      <c r="D46" s="209">
        <f>Computation!AB43+Computation!AC43</f>
        <v>0</v>
      </c>
      <c r="E46" s="209">
        <f>Computation!U43</f>
        <v>0</v>
      </c>
      <c r="F46" s="209"/>
      <c r="G46" s="209">
        <f>IFERROR(((Computation!V43+Computation!W43)/C46)/(1-Loadings),0)</f>
        <v>0</v>
      </c>
      <c r="H46" s="209">
        <f>IFERROR(((Computation!AE43+Computation!AF43)/D46)/(1-Loadings),0)</f>
        <v>0</v>
      </c>
      <c r="I46" s="209">
        <f>IFERROR(((Computation!X43)/E46)/(1-Loadings),0)</f>
        <v>0</v>
      </c>
      <c r="J46" s="209"/>
      <c r="K46" s="209">
        <f t="shared" si="0"/>
        <v>0</v>
      </c>
      <c r="L46" s="209">
        <f t="shared" si="0"/>
        <v>0</v>
      </c>
      <c r="M46" s="209">
        <f>ROUND(I46*E46,0)</f>
        <v>0</v>
      </c>
      <c r="N46" s="209">
        <f t="shared" si="1"/>
        <v>0</v>
      </c>
      <c r="O46" s="836"/>
      <c r="P46" s="838"/>
      <c r="Q46" s="256">
        <f>'Census Data'!AY228/(1-Loadings)</f>
        <v>0</v>
      </c>
      <c r="R46" s="256">
        <f>'Census Data'!AY252/(1-Loadings)</f>
        <v>0</v>
      </c>
      <c r="S46" s="162"/>
      <c r="T46" s="162"/>
      <c r="U46" s="163"/>
      <c r="V46" s="855"/>
      <c r="Z46" s="225"/>
    </row>
    <row r="47" spans="1:26" s="119" customFormat="1" ht="33.75" hidden="1" customHeight="1" x14ac:dyDescent="0.25">
      <c r="A47" s="812"/>
      <c r="B47" s="705" t="s">
        <v>284</v>
      </c>
      <c r="C47" s="210">
        <f>Computation!S44+Computation!T44</f>
        <v>0</v>
      </c>
      <c r="D47" s="209">
        <f>Computation!AB44+Computation!AC44</f>
        <v>0</v>
      </c>
      <c r="E47" s="210">
        <f>Computation!U44</f>
        <v>0</v>
      </c>
      <c r="F47" s="209"/>
      <c r="G47" s="209">
        <f>IFERROR(((Computation!V44+Computation!W44)/C47)/(1-Loadings),0)</f>
        <v>0</v>
      </c>
      <c r="H47" s="209">
        <f>IFERROR(((Computation!AE44+Computation!AF44)/D47)/(1-Loadings),0)</f>
        <v>0</v>
      </c>
      <c r="I47" s="209">
        <f>IFERROR(((Computation!X44)/E47)/(1-Loadings),0)</f>
        <v>0</v>
      </c>
      <c r="J47" s="209"/>
      <c r="K47" s="209">
        <f t="shared" si="0"/>
        <v>0</v>
      </c>
      <c r="L47" s="209">
        <f t="shared" si="0"/>
        <v>0</v>
      </c>
      <c r="M47" s="209">
        <f>ROUND(I47*E47,0)</f>
        <v>0</v>
      </c>
      <c r="N47" s="209">
        <f t="shared" si="1"/>
        <v>0</v>
      </c>
      <c r="O47" s="836"/>
      <c r="P47" s="838"/>
      <c r="Q47" s="256">
        <f>'Census Data'!AY229/(1-Loadings)</f>
        <v>0</v>
      </c>
      <c r="R47" s="256">
        <f>'Census Data'!AY253/(1-Loadings)</f>
        <v>0</v>
      </c>
      <c r="S47" s="162"/>
      <c r="T47" s="162"/>
      <c r="U47" s="163"/>
      <c r="V47" s="855"/>
      <c r="Z47" s="225"/>
    </row>
    <row r="48" spans="1:26" s="119" customFormat="1" ht="33.75" hidden="1" customHeight="1" x14ac:dyDescent="0.25">
      <c r="A48" s="812"/>
      <c r="B48" s="705" t="s">
        <v>633</v>
      </c>
      <c r="C48" s="211">
        <f>SUM(C44:C47)</f>
        <v>0</v>
      </c>
      <c r="D48" s="211">
        <f>SUM(D44:D47)</f>
        <v>0</v>
      </c>
      <c r="E48" s="211">
        <f>SUM(E44:E47)</f>
        <v>0</v>
      </c>
      <c r="F48" s="231"/>
      <c r="G48" s="231">
        <f t="shared" ref="G48:I49" si="2">IF(C48=0,0,K48/C48)</f>
        <v>0</v>
      </c>
      <c r="H48" s="231">
        <f t="shared" si="2"/>
        <v>0</v>
      </c>
      <c r="I48" s="231">
        <f t="shared" si="2"/>
        <v>0</v>
      </c>
      <c r="J48" s="231"/>
      <c r="K48" s="231">
        <f>SUM(K44:K47)</f>
        <v>0</v>
      </c>
      <c r="L48" s="231">
        <f>SUM(L44:L47)</f>
        <v>0</v>
      </c>
      <c r="M48" s="231">
        <f>SUM(M44:M47)</f>
        <v>0</v>
      </c>
      <c r="N48" s="231">
        <f>SUM(N44:N47)</f>
        <v>0</v>
      </c>
      <c r="O48" s="836"/>
      <c r="P48" s="838"/>
      <c r="Q48" s="256"/>
      <c r="R48" s="256"/>
      <c r="S48" s="160"/>
      <c r="T48" s="160"/>
      <c r="U48" s="161"/>
      <c r="V48" s="855"/>
      <c r="Z48" s="225"/>
    </row>
    <row r="49" spans="1:26" s="119" customFormat="1" ht="23.25" x14ac:dyDescent="0.25">
      <c r="A49" s="705" t="s">
        <v>634</v>
      </c>
      <c r="B49" s="704" t="s">
        <v>635</v>
      </c>
      <c r="C49" s="232">
        <f>C48+C43+C38+C33+C28+C23</f>
        <v>0</v>
      </c>
      <c r="D49" s="232">
        <f>D48+D43+D38+D33+D28+D23</f>
        <v>0</v>
      </c>
      <c r="E49" s="232">
        <f>E48+E43+E38+E33+E28+E23</f>
        <v>0</v>
      </c>
      <c r="F49" s="232"/>
      <c r="G49" s="232">
        <f t="shared" si="2"/>
        <v>0</v>
      </c>
      <c r="H49" s="232">
        <f t="shared" si="2"/>
        <v>0</v>
      </c>
      <c r="I49" s="232">
        <f t="shared" si="2"/>
        <v>0</v>
      </c>
      <c r="J49" s="232">
        <f>IF(F49=0,0,SUMPRODUCT(F19:F44,J19:J47)/F49)</f>
        <v>0</v>
      </c>
      <c r="K49" s="232">
        <f>K48+K43+K38+K33+K28+K23</f>
        <v>0</v>
      </c>
      <c r="L49" s="232">
        <f>L48+L43+L38+L33+L28+L23</f>
        <v>0</v>
      </c>
      <c r="M49" s="232">
        <f>M48+M43+M38+M33+M28+M23</f>
        <v>0</v>
      </c>
      <c r="N49" s="232">
        <f>N48+N43+N38+N33+N28+N23</f>
        <v>0</v>
      </c>
      <c r="O49" s="232"/>
      <c r="P49" s="232"/>
      <c r="Q49" s="234"/>
      <c r="R49" s="234"/>
      <c r="S49" s="164"/>
      <c r="T49" s="164"/>
      <c r="U49" s="166"/>
      <c r="Z49" s="225"/>
    </row>
    <row r="50" spans="1:26" s="119" customFormat="1" ht="14.25" customHeight="1" x14ac:dyDescent="0.25">
      <c r="A50" s="82"/>
      <c r="B50" s="82"/>
      <c r="C50" s="229"/>
      <c r="D50" s="229"/>
      <c r="E50" s="229"/>
      <c r="F50" s="229"/>
      <c r="G50" s="229"/>
      <c r="H50" s="229"/>
      <c r="I50" s="229"/>
      <c r="J50" s="229"/>
      <c r="K50" s="229"/>
      <c r="L50" s="229"/>
      <c r="M50" s="229"/>
      <c r="N50" s="83"/>
      <c r="O50" s="229"/>
      <c r="P50" s="229"/>
      <c r="Q50" s="83"/>
      <c r="V50" s="120">
        <f>COUNTIFS('Census Data'!$J$6:$J$205,"&gt;=60",'Census Data'!$J$6:$J$205,"&lt;70",'Census Data'!$G$6:$G$205,"Abu Dhabi")</f>
        <v>0</v>
      </c>
      <c r="Z50" s="225"/>
    </row>
    <row r="51" spans="1:26" s="119" customFormat="1" ht="33.75" customHeight="1" x14ac:dyDescent="0.25">
      <c r="A51" s="851" t="str">
        <f>IF(V50=0,"","Important note: This quotation includes standard premium for "&amp;V50&amp;" member"&amp;IF(V50&gt;1,"s","")&amp;" between age 60-69. Please refer to Reinsurer if any condition is declared in the Medical Application Form.")</f>
        <v/>
      </c>
      <c r="B51" s="851"/>
      <c r="C51" s="851"/>
      <c r="D51" s="851"/>
      <c r="E51" s="851"/>
      <c r="F51" s="851"/>
      <c r="G51" s="851"/>
      <c r="H51" s="851"/>
      <c r="I51" s="851"/>
      <c r="J51" s="851"/>
      <c r="K51" s="851"/>
      <c r="L51" s="851"/>
      <c r="M51" s="851"/>
      <c r="N51" s="851"/>
      <c r="O51" s="851"/>
      <c r="P51" s="851"/>
      <c r="Q51" s="505"/>
      <c r="R51" s="505"/>
      <c r="S51" s="505"/>
      <c r="T51" s="505"/>
      <c r="U51" s="505"/>
      <c r="V51" s="506">
        <f>COUNTA('Census Data'!$G$6:$G$205)</f>
        <v>0</v>
      </c>
      <c r="Z51" s="225"/>
    </row>
    <row r="52" spans="1:26" ht="52.5" customHeight="1" x14ac:dyDescent="0.2">
      <c r="A52" s="851" t="str">
        <f>IF('Census Data'!$W$1&gt;0," Important note:  "&amp;'Census Data'!$W$1&amp;" member"&amp;IF('Census Data'!$W$1&gt;1,"s","")&amp;" aged above 69 have been excluded. Please refer to Reinsurer if any condition is declared in the Medical Application Form. Else please proceed as per Guidelines.","")&amp;"       "&amp;
IF(OR(V51&gt;20,V51=20),"","*MAF is required for all members as the group size is less than 20")</f>
        <v xml:space="preserve">       *MAF is required for all members as the group size is less than 20</v>
      </c>
      <c r="B52" s="851"/>
      <c r="C52" s="851"/>
      <c r="D52" s="851"/>
      <c r="E52" s="851"/>
      <c r="F52" s="851"/>
      <c r="G52" s="851"/>
      <c r="H52" s="851"/>
      <c r="I52" s="851"/>
      <c r="J52" s="851"/>
      <c r="K52" s="851"/>
      <c r="L52" s="851"/>
      <c r="M52" s="851"/>
      <c r="N52" s="851"/>
      <c r="O52" s="851"/>
      <c r="P52" s="851"/>
      <c r="Q52" s="505"/>
      <c r="R52" s="505"/>
      <c r="S52" s="505"/>
      <c r="T52" s="505"/>
      <c r="U52" s="505"/>
      <c r="V52" s="505"/>
    </row>
    <row r="53" spans="1:26" ht="30" customHeight="1" x14ac:dyDescent="0.2">
      <c r="A53" s="121"/>
      <c r="B53" s="112"/>
      <c r="K53" s="852"/>
      <c r="L53" s="852"/>
      <c r="M53" s="852"/>
      <c r="N53" s="852"/>
      <c r="O53" s="852"/>
      <c r="P53" s="852"/>
      <c r="Q53" s="852"/>
    </row>
    <row r="54" spans="1:26" ht="31.5" customHeight="1" x14ac:dyDescent="0.2">
      <c r="A54" s="519"/>
      <c r="B54" s="519"/>
      <c r="C54" s="519"/>
      <c r="D54" s="519"/>
      <c r="E54" s="519"/>
      <c r="F54" s="519"/>
      <c r="G54" s="519"/>
      <c r="H54" s="519"/>
      <c r="I54" s="519"/>
      <c r="J54" s="519"/>
      <c r="K54" s="519"/>
      <c r="L54" s="519"/>
      <c r="M54" s="519"/>
      <c r="N54" s="519"/>
      <c r="O54" s="519"/>
      <c r="P54" s="519"/>
      <c r="Q54" s="519"/>
      <c r="R54" s="519"/>
      <c r="S54" s="519"/>
      <c r="T54" s="519"/>
      <c r="U54" s="519"/>
      <c r="V54" s="519"/>
    </row>
    <row r="55" spans="1:26" ht="29.25" customHeight="1" x14ac:dyDescent="0.2">
      <c r="A55" s="519"/>
      <c r="B55" s="519"/>
      <c r="C55" s="519"/>
      <c r="D55" s="519"/>
      <c r="E55" s="519"/>
      <c r="F55" s="519"/>
      <c r="G55" s="519"/>
      <c r="H55" s="519"/>
      <c r="I55" s="519"/>
      <c r="J55" s="519"/>
      <c r="K55" s="519"/>
      <c r="L55" s="519"/>
      <c r="M55" s="519"/>
      <c r="N55" s="519"/>
      <c r="O55" s="519"/>
      <c r="P55" s="519"/>
      <c r="Q55" s="519"/>
      <c r="R55" s="519"/>
      <c r="S55" s="519"/>
      <c r="T55" s="519"/>
      <c r="U55" s="519"/>
      <c r="V55" s="519"/>
    </row>
    <row r="56" spans="1:26" ht="29.25" customHeight="1" x14ac:dyDescent="0.2">
      <c r="A56" s="519"/>
      <c r="B56" s="519"/>
      <c r="C56" s="519"/>
      <c r="D56" s="519"/>
      <c r="E56" s="519"/>
      <c r="F56" s="519"/>
      <c r="G56" s="519"/>
      <c r="H56" s="519"/>
      <c r="I56" s="519"/>
      <c r="J56" s="519"/>
      <c r="K56" s="519"/>
      <c r="L56" s="519"/>
      <c r="M56" s="519"/>
      <c r="N56" s="519"/>
      <c r="O56" s="519"/>
      <c r="P56" s="519"/>
      <c r="Q56" s="519"/>
      <c r="R56" s="519"/>
      <c r="S56" s="519"/>
      <c r="T56" s="519"/>
      <c r="U56" s="519"/>
      <c r="V56" s="519"/>
    </row>
    <row r="57" spans="1:26" s="199" customFormat="1" ht="26.25" customHeight="1" x14ac:dyDescent="0.3">
      <c r="A57" s="521"/>
      <c r="B57" s="521"/>
      <c r="C57" s="521"/>
      <c r="D57" s="521"/>
      <c r="E57" s="521"/>
      <c r="F57" s="521"/>
      <c r="G57" s="521"/>
      <c r="H57" s="521"/>
      <c r="I57" s="521"/>
      <c r="J57" s="521"/>
      <c r="K57" s="521"/>
      <c r="L57" s="521"/>
      <c r="M57" s="521"/>
      <c r="N57" s="521"/>
      <c r="O57" s="521"/>
      <c r="P57" s="521"/>
      <c r="Q57" s="521"/>
      <c r="R57" s="521"/>
      <c r="S57" s="521"/>
      <c r="T57" s="521"/>
      <c r="U57" s="521"/>
      <c r="V57" s="521"/>
      <c r="Z57" s="236"/>
    </row>
    <row r="58" spans="1:26" s="199" customFormat="1" ht="26.25" customHeight="1" x14ac:dyDescent="0.3">
      <c r="A58" s="521"/>
      <c r="B58" s="521"/>
      <c r="C58" s="521"/>
      <c r="D58" s="521"/>
      <c r="E58" s="521"/>
      <c r="F58" s="521"/>
      <c r="G58" s="521"/>
      <c r="H58" s="521"/>
      <c r="I58" s="521"/>
      <c r="J58" s="521"/>
      <c r="K58" s="521"/>
      <c r="L58" s="521"/>
      <c r="M58" s="521"/>
      <c r="N58" s="521"/>
      <c r="O58" s="521"/>
      <c r="P58" s="521"/>
      <c r="Q58" s="521"/>
      <c r="R58" s="521"/>
      <c r="S58" s="521"/>
      <c r="T58" s="521"/>
      <c r="U58" s="521"/>
      <c r="V58" s="521"/>
      <c r="Z58" s="236"/>
    </row>
    <row r="59" spans="1:26" s="201" customFormat="1" ht="33.75" customHeight="1" x14ac:dyDescent="0.25">
      <c r="A59" s="522"/>
      <c r="B59" s="522"/>
      <c r="C59" s="522"/>
      <c r="D59" s="522"/>
      <c r="E59" s="522"/>
      <c r="F59" s="522"/>
      <c r="G59" s="522"/>
      <c r="H59" s="522"/>
      <c r="I59" s="522"/>
      <c r="J59" s="522"/>
      <c r="K59" s="522"/>
      <c r="L59" s="522"/>
      <c r="M59" s="522"/>
      <c r="N59" s="522"/>
      <c r="O59" s="522"/>
      <c r="P59" s="522"/>
      <c r="Q59" s="522"/>
      <c r="R59" s="522"/>
      <c r="S59" s="522"/>
      <c r="T59" s="522"/>
      <c r="U59" s="522"/>
      <c r="V59" s="522"/>
      <c r="Z59" s="240"/>
    </row>
    <row r="60" spans="1:26" s="201" customFormat="1" ht="33" customHeight="1" x14ac:dyDescent="0.25">
      <c r="A60" s="522"/>
      <c r="B60" s="522"/>
      <c r="C60" s="522"/>
      <c r="D60" s="522"/>
      <c r="E60" s="522"/>
      <c r="F60" s="522"/>
      <c r="G60" s="522"/>
      <c r="H60" s="522"/>
      <c r="I60" s="522"/>
      <c r="J60" s="522"/>
      <c r="K60" s="522"/>
      <c r="L60" s="522"/>
      <c r="M60" s="522"/>
      <c r="N60" s="522"/>
      <c r="O60" s="522"/>
      <c r="P60" s="522"/>
      <c r="Q60" s="522"/>
      <c r="R60" s="522"/>
      <c r="S60" s="522"/>
      <c r="T60" s="523"/>
      <c r="U60" s="522"/>
      <c r="V60" s="522"/>
      <c r="Z60" s="240"/>
    </row>
    <row r="61" spans="1:26" s="201" customFormat="1" ht="33" customHeight="1" x14ac:dyDescent="0.25">
      <c r="A61" s="522"/>
      <c r="B61" s="522"/>
      <c r="C61" s="522"/>
      <c r="D61" s="522"/>
      <c r="E61" s="522"/>
      <c r="F61" s="522"/>
      <c r="G61" s="522"/>
      <c r="H61" s="522"/>
      <c r="I61" s="522"/>
      <c r="J61" s="522"/>
      <c r="K61" s="522"/>
      <c r="L61" s="522"/>
      <c r="M61" s="522"/>
      <c r="N61" s="522"/>
      <c r="O61" s="522"/>
      <c r="P61" s="522"/>
      <c r="Q61" s="522"/>
      <c r="R61" s="522"/>
      <c r="S61" s="522"/>
      <c r="T61" s="522"/>
      <c r="U61" s="522"/>
      <c r="V61" s="522"/>
      <c r="Z61" s="240"/>
    </row>
    <row r="62" spans="1:26" s="201" customFormat="1" ht="29.25" customHeight="1" x14ac:dyDescent="0.25">
      <c r="A62" s="522"/>
      <c r="B62" s="522"/>
      <c r="C62" s="522"/>
      <c r="D62" s="522"/>
      <c r="E62" s="522"/>
      <c r="F62" s="522"/>
      <c r="G62" s="522"/>
      <c r="H62" s="522"/>
      <c r="I62" s="522"/>
      <c r="J62" s="522"/>
      <c r="K62" s="522"/>
      <c r="L62" s="522"/>
      <c r="M62" s="522"/>
      <c r="N62" s="522"/>
      <c r="O62" s="522"/>
      <c r="P62" s="522"/>
      <c r="Q62" s="522"/>
      <c r="R62" s="522"/>
      <c r="S62" s="522"/>
      <c r="T62" s="522"/>
      <c r="U62" s="522"/>
      <c r="V62" s="522"/>
      <c r="Z62" s="240"/>
    </row>
    <row r="63" spans="1:26" s="201" customFormat="1" ht="29.25" customHeight="1" x14ac:dyDescent="0.25">
      <c r="A63" s="522"/>
      <c r="B63" s="522"/>
      <c r="C63" s="522"/>
      <c r="D63" s="522"/>
      <c r="E63" s="522"/>
      <c r="F63" s="522"/>
      <c r="G63" s="522"/>
      <c r="H63" s="522"/>
      <c r="I63" s="522"/>
      <c r="J63" s="522"/>
      <c r="K63" s="522"/>
      <c r="L63" s="522"/>
      <c r="M63" s="522"/>
      <c r="N63" s="522"/>
      <c r="O63" s="522"/>
      <c r="P63" s="522"/>
      <c r="Q63" s="522"/>
      <c r="R63" s="522"/>
      <c r="S63" s="522"/>
      <c r="T63" s="522"/>
      <c r="U63" s="522"/>
      <c r="V63" s="522"/>
      <c r="Z63" s="240"/>
    </row>
    <row r="64" spans="1:26" s="201" customFormat="1" ht="29.25" customHeight="1" x14ac:dyDescent="0.25">
      <c r="A64" s="522"/>
      <c r="B64" s="522"/>
      <c r="C64" s="522"/>
      <c r="D64" s="522"/>
      <c r="E64" s="522"/>
      <c r="F64" s="522"/>
      <c r="G64" s="522"/>
      <c r="H64" s="522"/>
      <c r="I64" s="522"/>
      <c r="J64" s="522"/>
      <c r="K64" s="522"/>
      <c r="L64" s="522"/>
      <c r="M64" s="522"/>
      <c r="N64" s="522"/>
      <c r="O64" s="522"/>
      <c r="P64" s="522"/>
      <c r="Q64" s="522"/>
      <c r="R64" s="522"/>
      <c r="S64" s="522"/>
      <c r="T64" s="522"/>
      <c r="U64" s="522"/>
      <c r="V64" s="522"/>
      <c r="Z64" s="240"/>
    </row>
    <row r="65" spans="1:26" s="201" customFormat="1" ht="29.25" customHeight="1" x14ac:dyDescent="0.25">
      <c r="A65" s="522"/>
      <c r="B65" s="522"/>
      <c r="C65" s="522"/>
      <c r="D65" s="522"/>
      <c r="E65" s="522"/>
      <c r="F65" s="522"/>
      <c r="G65" s="522"/>
      <c r="H65" s="522"/>
      <c r="I65" s="522"/>
      <c r="J65" s="522"/>
      <c r="K65" s="522"/>
      <c r="L65" s="522"/>
      <c r="M65" s="522"/>
      <c r="N65" s="522"/>
      <c r="O65" s="522"/>
      <c r="P65" s="522"/>
      <c r="Q65" s="522"/>
      <c r="R65" s="522"/>
      <c r="S65" s="522"/>
      <c r="T65" s="522"/>
      <c r="U65" s="522"/>
      <c r="V65" s="522"/>
      <c r="Z65" s="240"/>
    </row>
    <row r="66" spans="1:26" s="201" customFormat="1" ht="29.25" customHeight="1" x14ac:dyDescent="0.25">
      <c r="A66" s="522"/>
      <c r="B66" s="522"/>
      <c r="C66" s="522"/>
      <c r="D66" s="522"/>
      <c r="E66" s="522"/>
      <c r="F66" s="522"/>
      <c r="G66" s="522"/>
      <c r="H66" s="522"/>
      <c r="I66" s="522"/>
      <c r="J66" s="522"/>
      <c r="K66" s="522"/>
      <c r="L66" s="522"/>
      <c r="M66" s="522"/>
      <c r="N66" s="522"/>
      <c r="O66" s="522"/>
      <c r="P66" s="522"/>
      <c r="Q66" s="522"/>
      <c r="R66" s="522"/>
      <c r="S66" s="522"/>
      <c r="T66" s="522"/>
      <c r="U66" s="522"/>
      <c r="V66" s="522"/>
      <c r="Z66" s="240"/>
    </row>
    <row r="67" spans="1:26" s="201" customFormat="1" ht="29.25" customHeight="1" x14ac:dyDescent="0.25">
      <c r="A67" s="522"/>
      <c r="B67" s="522"/>
      <c r="C67" s="522"/>
      <c r="D67" s="522"/>
      <c r="E67" s="522"/>
      <c r="F67" s="522"/>
      <c r="G67" s="522"/>
      <c r="H67" s="522"/>
      <c r="I67" s="522"/>
      <c r="J67" s="522"/>
      <c r="K67" s="522"/>
      <c r="L67" s="522"/>
      <c r="M67" s="522"/>
      <c r="N67" s="522"/>
      <c r="O67" s="522"/>
      <c r="P67" s="522"/>
      <c r="Q67" s="522"/>
      <c r="R67" s="522"/>
      <c r="S67" s="522"/>
      <c r="T67" s="522"/>
      <c r="U67" s="522"/>
      <c r="V67" s="522"/>
      <c r="Z67" s="240"/>
    </row>
    <row r="68" spans="1:26" s="201" customFormat="1" ht="9" customHeight="1" x14ac:dyDescent="0.25">
      <c r="A68" s="522"/>
      <c r="B68" s="522"/>
      <c r="C68" s="522"/>
      <c r="D68" s="522"/>
      <c r="E68" s="522"/>
      <c r="F68" s="522"/>
      <c r="G68" s="522"/>
      <c r="H68" s="522"/>
      <c r="I68" s="522"/>
      <c r="J68" s="522"/>
      <c r="K68" s="522"/>
      <c r="L68" s="522"/>
      <c r="M68" s="522"/>
      <c r="N68" s="522"/>
      <c r="O68" s="522"/>
      <c r="P68" s="522"/>
      <c r="Q68" s="522"/>
      <c r="R68" s="522"/>
      <c r="S68" s="522"/>
      <c r="T68" s="522"/>
      <c r="U68" s="522"/>
      <c r="V68" s="522"/>
      <c r="Z68" s="240"/>
    </row>
    <row r="69" spans="1:26" s="201" customFormat="1" ht="29.25" customHeight="1" x14ac:dyDescent="0.25">
      <c r="A69" s="522"/>
      <c r="B69" s="522"/>
      <c r="C69" s="522"/>
      <c r="D69" s="522"/>
      <c r="E69" s="522"/>
      <c r="F69" s="522"/>
      <c r="G69" s="522"/>
      <c r="H69" s="522"/>
      <c r="I69" s="522"/>
      <c r="J69" s="522"/>
      <c r="K69" s="522"/>
      <c r="L69" s="522"/>
      <c r="M69" s="522"/>
      <c r="N69" s="522"/>
      <c r="O69" s="522"/>
      <c r="P69" s="522"/>
      <c r="Q69" s="522"/>
      <c r="R69" s="522"/>
      <c r="S69" s="522"/>
      <c r="T69" s="522"/>
      <c r="U69" s="522"/>
      <c r="V69" s="522"/>
      <c r="Z69" s="240"/>
    </row>
    <row r="70" spans="1:26" s="201" customFormat="1" ht="29.25" customHeight="1" x14ac:dyDescent="0.25">
      <c r="A70" s="522"/>
      <c r="B70" s="522"/>
      <c r="C70" s="522"/>
      <c r="D70" s="522"/>
      <c r="E70" s="522"/>
      <c r="F70" s="522"/>
      <c r="G70" s="522"/>
      <c r="H70" s="522"/>
      <c r="I70" s="522"/>
      <c r="J70" s="522"/>
      <c r="K70" s="522"/>
      <c r="L70" s="522"/>
      <c r="M70" s="522"/>
      <c r="N70" s="522"/>
      <c r="O70" s="522"/>
      <c r="P70" s="522"/>
      <c r="Q70" s="522"/>
      <c r="R70" s="522"/>
      <c r="S70" s="522"/>
      <c r="T70" s="522"/>
      <c r="U70" s="522"/>
      <c r="V70" s="522"/>
      <c r="Z70" s="240"/>
    </row>
    <row r="71" spans="1:26" s="201" customFormat="1" ht="29.25" customHeight="1" x14ac:dyDescent="0.25">
      <c r="A71" s="522"/>
      <c r="B71" s="522"/>
      <c r="C71" s="522"/>
      <c r="D71" s="522"/>
      <c r="E71" s="522"/>
      <c r="F71" s="522"/>
      <c r="G71" s="522"/>
      <c r="H71" s="522"/>
      <c r="I71" s="522"/>
      <c r="J71" s="522"/>
      <c r="K71" s="522"/>
      <c r="L71" s="522"/>
      <c r="M71" s="522"/>
      <c r="N71" s="522"/>
      <c r="O71" s="522"/>
      <c r="P71" s="522"/>
      <c r="Q71" s="522"/>
      <c r="R71" s="522"/>
      <c r="S71" s="522"/>
      <c r="T71" s="522"/>
      <c r="U71" s="522"/>
      <c r="V71" s="522"/>
      <c r="Z71" s="240"/>
    </row>
    <row r="72" spans="1:26" s="201" customFormat="1" ht="29.25" customHeight="1" x14ac:dyDescent="0.25">
      <c r="A72" s="522"/>
      <c r="B72" s="522"/>
      <c r="C72" s="522"/>
      <c r="D72" s="522"/>
      <c r="E72" s="522"/>
      <c r="F72" s="522"/>
      <c r="G72" s="522"/>
      <c r="H72" s="522"/>
      <c r="I72" s="522"/>
      <c r="J72" s="522"/>
      <c r="K72" s="522"/>
      <c r="L72" s="522"/>
      <c r="M72" s="522"/>
      <c r="N72" s="522"/>
      <c r="O72" s="522"/>
      <c r="P72" s="522"/>
      <c r="Q72" s="522"/>
      <c r="R72" s="522"/>
      <c r="S72" s="522"/>
      <c r="T72" s="522"/>
      <c r="U72" s="522"/>
      <c r="V72" s="522"/>
      <c r="Z72" s="240"/>
    </row>
    <row r="73" spans="1:26" s="201" customFormat="1" ht="29.25" customHeight="1" x14ac:dyDescent="0.25">
      <c r="A73" s="522"/>
      <c r="B73" s="522"/>
      <c r="C73" s="522"/>
      <c r="D73" s="522"/>
      <c r="E73" s="522"/>
      <c r="F73" s="522"/>
      <c r="G73" s="522"/>
      <c r="H73" s="522"/>
      <c r="I73" s="522"/>
      <c r="J73" s="522"/>
      <c r="K73" s="522"/>
      <c r="L73" s="522"/>
      <c r="M73" s="522"/>
      <c r="N73" s="522"/>
      <c r="O73" s="522"/>
      <c r="P73" s="522"/>
      <c r="Q73" s="522"/>
      <c r="R73" s="522"/>
      <c r="S73" s="522"/>
      <c r="T73" s="522"/>
      <c r="U73" s="522"/>
      <c r="V73" s="522"/>
      <c r="Z73" s="240"/>
    </row>
    <row r="74" spans="1:26" s="201" customFormat="1" ht="29.25" customHeight="1" x14ac:dyDescent="0.25">
      <c r="A74" s="522"/>
      <c r="B74" s="522"/>
      <c r="C74" s="522"/>
      <c r="D74" s="522"/>
      <c r="E74" s="522"/>
      <c r="F74" s="522"/>
      <c r="G74" s="522"/>
      <c r="H74" s="522"/>
      <c r="I74" s="522"/>
      <c r="J74" s="522"/>
      <c r="K74" s="522"/>
      <c r="L74" s="522"/>
      <c r="M74" s="522"/>
      <c r="N74" s="522"/>
      <c r="O74" s="522"/>
      <c r="P74" s="522"/>
      <c r="Q74" s="522"/>
      <c r="R74" s="522"/>
      <c r="S74" s="522"/>
      <c r="T74" s="522"/>
      <c r="U74" s="522"/>
      <c r="V74" s="522"/>
      <c r="Z74" s="240"/>
    </row>
    <row r="75" spans="1:26" s="201" customFormat="1" ht="29.25" customHeight="1" x14ac:dyDescent="0.25">
      <c r="A75" s="522"/>
      <c r="B75" s="522"/>
      <c r="C75" s="522"/>
      <c r="D75" s="522"/>
      <c r="E75" s="522"/>
      <c r="F75" s="522"/>
      <c r="G75" s="522"/>
      <c r="H75" s="522"/>
      <c r="I75" s="522"/>
      <c r="J75" s="522"/>
      <c r="K75" s="522"/>
      <c r="L75" s="522"/>
      <c r="M75" s="522"/>
      <c r="N75" s="522"/>
      <c r="O75" s="522"/>
      <c r="P75" s="522"/>
      <c r="Q75" s="522"/>
      <c r="R75" s="522"/>
      <c r="S75" s="522"/>
      <c r="T75" s="522"/>
      <c r="U75" s="522"/>
      <c r="V75" s="522"/>
      <c r="Z75" s="240"/>
    </row>
    <row r="76" spans="1:26" s="201" customFormat="1" ht="29.25" hidden="1" customHeight="1" x14ac:dyDescent="0.25">
      <c r="Z76" s="240"/>
    </row>
    <row r="77" spans="1:26" s="201" customFormat="1" ht="9" hidden="1" customHeight="1" x14ac:dyDescent="0.2">
      <c r="A77" s="111" t="s">
        <v>636</v>
      </c>
      <c r="B77" s="112"/>
      <c r="C77" s="110"/>
      <c r="D77" s="110"/>
      <c r="E77" s="110"/>
      <c r="F77" s="110"/>
      <c r="G77" s="110"/>
      <c r="H77" s="110"/>
      <c r="I77" s="110"/>
      <c r="J77" s="110"/>
      <c r="K77" s="110"/>
      <c r="L77" s="110"/>
      <c r="M77" s="110"/>
      <c r="N77" s="110"/>
      <c r="O77" s="110"/>
      <c r="P77" s="110"/>
      <c r="Q77" s="110"/>
      <c r="R77" s="110"/>
      <c r="Z77" s="240"/>
    </row>
    <row r="78" spans="1:26" s="201" customFormat="1" ht="29.25" hidden="1" customHeight="1" x14ac:dyDescent="0.2">
      <c r="A78" s="113"/>
      <c r="B78" s="112"/>
      <c r="C78" s="110"/>
      <c r="D78" s="110"/>
      <c r="E78" s="110"/>
      <c r="F78" s="110"/>
      <c r="G78" s="110"/>
      <c r="H78" s="110"/>
      <c r="I78" s="110"/>
      <c r="J78" s="110"/>
      <c r="K78" s="110"/>
      <c r="L78" s="110"/>
      <c r="M78" s="110"/>
      <c r="N78" s="110"/>
      <c r="O78" s="110"/>
      <c r="P78" s="110"/>
      <c r="Q78" s="110"/>
      <c r="R78" s="110"/>
      <c r="Z78" s="240"/>
    </row>
    <row r="79" spans="1:26" s="201" customFormat="1" ht="29.25" hidden="1" customHeight="1" x14ac:dyDescent="0.2">
      <c r="A79" s="110"/>
      <c r="B79" s="110"/>
      <c r="C79" s="110"/>
      <c r="D79" s="110"/>
      <c r="E79" s="110"/>
      <c r="F79" s="110"/>
      <c r="G79" s="110"/>
      <c r="H79" s="110"/>
      <c r="I79" s="110"/>
      <c r="J79" s="110"/>
      <c r="K79" s="110"/>
      <c r="L79" s="110"/>
      <c r="M79" s="110"/>
      <c r="N79" s="110"/>
      <c r="O79" s="110"/>
      <c r="P79" s="110"/>
      <c r="Q79" s="110"/>
      <c r="R79" s="110"/>
      <c r="Z79" s="240"/>
    </row>
    <row r="80" spans="1:26" s="201" customFormat="1" ht="29.25" hidden="1" customHeight="1" x14ac:dyDescent="0.3">
      <c r="A80" s="235"/>
      <c r="B80" s="198"/>
      <c r="C80" s="848" t="s">
        <v>504</v>
      </c>
      <c r="D80" s="850"/>
      <c r="E80" s="850" t="s">
        <v>93</v>
      </c>
      <c r="F80" s="850"/>
      <c r="G80" s="848" t="s">
        <v>637</v>
      </c>
      <c r="H80" s="850"/>
      <c r="I80" s="850" t="s">
        <v>93</v>
      </c>
      <c r="J80" s="850"/>
      <c r="K80" s="848" t="s">
        <v>638</v>
      </c>
      <c r="L80" s="850"/>
      <c r="M80" s="850"/>
      <c r="N80" s="850"/>
      <c r="O80" s="850" t="s">
        <v>93</v>
      </c>
      <c r="P80" s="850"/>
      <c r="Q80" s="849"/>
      <c r="R80" s="199"/>
      <c r="Z80" s="240"/>
    </row>
    <row r="81" spans="1:26" s="201" customFormat="1" ht="29.25" hidden="1" customHeight="1" x14ac:dyDescent="0.3">
      <c r="A81" s="237"/>
      <c r="B81" s="235"/>
      <c r="C81" s="848" t="s">
        <v>59</v>
      </c>
      <c r="D81" s="849" t="s">
        <v>153</v>
      </c>
      <c r="E81" s="848" t="s">
        <v>93</v>
      </c>
      <c r="F81" s="849" t="s">
        <v>153</v>
      </c>
      <c r="G81" s="848" t="s">
        <v>59</v>
      </c>
      <c r="H81" s="849" t="s">
        <v>153</v>
      </c>
      <c r="I81" s="848" t="s">
        <v>93</v>
      </c>
      <c r="J81" s="849" t="s">
        <v>153</v>
      </c>
      <c r="K81" s="848" t="s">
        <v>59</v>
      </c>
      <c r="L81" s="850"/>
      <c r="M81" s="850" t="s">
        <v>153</v>
      </c>
      <c r="N81" s="849" t="s">
        <v>100</v>
      </c>
      <c r="O81" s="848" t="s">
        <v>93</v>
      </c>
      <c r="P81" s="850" t="s">
        <v>153</v>
      </c>
      <c r="Q81" s="849" t="s">
        <v>100</v>
      </c>
      <c r="R81" s="199"/>
      <c r="Z81" s="240"/>
    </row>
    <row r="82" spans="1:26" s="201" customFormat="1" ht="29.25" hidden="1" customHeight="1" x14ac:dyDescent="0.25">
      <c r="A82" s="238" t="s">
        <v>608</v>
      </c>
      <c r="B82" s="239" t="s">
        <v>510</v>
      </c>
      <c r="C82" s="239" t="s">
        <v>164</v>
      </c>
      <c r="D82" s="239" t="s">
        <v>153</v>
      </c>
      <c r="E82" s="239" t="s">
        <v>164</v>
      </c>
      <c r="F82" s="239" t="s">
        <v>153</v>
      </c>
      <c r="G82" s="239" t="s">
        <v>164</v>
      </c>
      <c r="H82" s="239" t="s">
        <v>153</v>
      </c>
      <c r="I82" s="239" t="s">
        <v>164</v>
      </c>
      <c r="J82" s="239" t="s">
        <v>153</v>
      </c>
      <c r="K82" s="239" t="s">
        <v>164</v>
      </c>
      <c r="L82" s="239"/>
      <c r="M82" s="239" t="s">
        <v>153</v>
      </c>
      <c r="N82" s="239" t="s">
        <v>100</v>
      </c>
      <c r="O82" s="239" t="s">
        <v>164</v>
      </c>
      <c r="P82" s="239" t="s">
        <v>153</v>
      </c>
      <c r="Q82" s="239" t="s">
        <v>100</v>
      </c>
      <c r="Z82" s="240"/>
    </row>
    <row r="83" spans="1:26" s="201" customFormat="1" ht="29.25" hidden="1" customHeight="1" x14ac:dyDescent="0.25">
      <c r="A83" s="844" t="s">
        <v>63</v>
      </c>
      <c r="B83" s="241" t="str">
        <f>Computation!B6</f>
        <v>0 - 17</v>
      </c>
      <c r="C83" s="242"/>
      <c r="D83" s="243"/>
      <c r="E83" s="242"/>
      <c r="F83" s="243"/>
      <c r="G83" s="242"/>
      <c r="H83" s="243"/>
      <c r="I83" s="242"/>
      <c r="J83" s="243"/>
      <c r="K83" s="242"/>
      <c r="L83" s="242"/>
      <c r="M83" s="242"/>
      <c r="N83" s="243"/>
      <c r="O83" s="242"/>
      <c r="P83" s="242"/>
      <c r="Q83" s="243"/>
      <c r="Z83" s="240"/>
    </row>
    <row r="84" spans="1:26" s="201" customFormat="1" ht="29.25" hidden="1" customHeight="1" x14ac:dyDescent="0.25">
      <c r="A84" s="844"/>
      <c r="B84" s="241" t="str">
        <f>Computation!B7</f>
        <v>18 - 35</v>
      </c>
      <c r="C84" s="244"/>
      <c r="D84" s="245"/>
      <c r="E84" s="244"/>
      <c r="F84" s="245"/>
      <c r="G84" s="244"/>
      <c r="H84" s="245"/>
      <c r="I84" s="244"/>
      <c r="J84" s="245"/>
      <c r="K84" s="244"/>
      <c r="L84" s="244"/>
      <c r="M84" s="244"/>
      <c r="N84" s="245"/>
      <c r="O84" s="244"/>
      <c r="P84" s="244"/>
      <c r="Q84" s="245"/>
      <c r="Z84" s="240"/>
    </row>
    <row r="85" spans="1:26" s="201" customFormat="1" ht="29.25" hidden="1" customHeight="1" x14ac:dyDescent="0.25">
      <c r="A85" s="844"/>
      <c r="B85" s="241" t="str">
        <f>Computation!B8</f>
        <v>36 - 45</v>
      </c>
      <c r="C85" s="242"/>
      <c r="D85" s="243"/>
      <c r="E85" s="242"/>
      <c r="F85" s="243"/>
      <c r="G85" s="242"/>
      <c r="H85" s="243"/>
      <c r="I85" s="242"/>
      <c r="J85" s="243"/>
      <c r="K85" s="242"/>
      <c r="L85" s="242"/>
      <c r="M85" s="242"/>
      <c r="N85" s="243"/>
      <c r="O85" s="242"/>
      <c r="P85" s="242"/>
      <c r="Q85" s="243"/>
      <c r="Z85" s="240"/>
    </row>
    <row r="86" spans="1:26" s="201" customFormat="1" ht="9" hidden="1" customHeight="1" x14ac:dyDescent="0.25">
      <c r="A86" s="844"/>
      <c r="B86" s="241" t="str">
        <f>Computation!B9</f>
        <v>46 - 55</v>
      </c>
      <c r="C86" s="244"/>
      <c r="D86" s="245"/>
      <c r="E86" s="244"/>
      <c r="F86" s="245"/>
      <c r="G86" s="244"/>
      <c r="H86" s="245"/>
      <c r="I86" s="244"/>
      <c r="J86" s="245"/>
      <c r="K86" s="244"/>
      <c r="L86" s="244"/>
      <c r="M86" s="244"/>
      <c r="N86" s="245"/>
      <c r="O86" s="244"/>
      <c r="P86" s="244"/>
      <c r="Q86" s="245"/>
      <c r="Z86" s="240"/>
    </row>
    <row r="87" spans="1:26" s="201" customFormat="1" ht="29.25" hidden="1" customHeight="1" x14ac:dyDescent="0.25">
      <c r="A87" s="844"/>
      <c r="B87" s="241" t="str">
        <f>Computation!B10</f>
        <v>56 - 60</v>
      </c>
      <c r="C87" s="242"/>
      <c r="D87" s="243"/>
      <c r="E87" s="242"/>
      <c r="F87" s="243"/>
      <c r="G87" s="242"/>
      <c r="H87" s="243"/>
      <c r="I87" s="242"/>
      <c r="J87" s="243"/>
      <c r="K87" s="242"/>
      <c r="L87" s="242"/>
      <c r="M87" s="242"/>
      <c r="N87" s="243"/>
      <c r="O87" s="242"/>
      <c r="P87" s="242"/>
      <c r="Q87" s="243"/>
      <c r="Z87" s="240"/>
    </row>
    <row r="88" spans="1:26" s="201" customFormat="1" ht="29.25" hidden="1" customHeight="1" x14ac:dyDescent="0.25">
      <c r="A88" s="844"/>
      <c r="B88" s="241" t="str">
        <f>Computation!B11</f>
        <v>61 - 65</v>
      </c>
      <c r="C88" s="244"/>
      <c r="D88" s="245"/>
      <c r="E88" s="244"/>
      <c r="F88" s="245"/>
      <c r="G88" s="244"/>
      <c r="H88" s="245"/>
      <c r="I88" s="244"/>
      <c r="J88" s="245"/>
      <c r="K88" s="244"/>
      <c r="L88" s="244"/>
      <c r="M88" s="244"/>
      <c r="N88" s="245"/>
      <c r="O88" s="244"/>
      <c r="P88" s="244"/>
      <c r="Q88" s="245"/>
      <c r="Z88" s="240"/>
    </row>
    <row r="89" spans="1:26" s="201" customFormat="1" ht="29.25" hidden="1" customHeight="1" x14ac:dyDescent="0.25">
      <c r="A89" s="844"/>
      <c r="B89" s="241" t="str">
        <f>Computation!B12</f>
        <v>66 - 69</v>
      </c>
      <c r="C89" s="246"/>
      <c r="D89" s="247"/>
      <c r="E89" s="246"/>
      <c r="F89" s="247"/>
      <c r="G89" s="246"/>
      <c r="H89" s="247"/>
      <c r="I89" s="246"/>
      <c r="J89" s="247"/>
      <c r="K89" s="246"/>
      <c r="L89" s="246"/>
      <c r="M89" s="246"/>
      <c r="N89" s="247"/>
      <c r="O89" s="246"/>
      <c r="P89" s="246"/>
      <c r="Q89" s="247"/>
      <c r="Z89" s="240"/>
    </row>
    <row r="90" spans="1:26" s="201" customFormat="1" ht="29.25" hidden="1" customHeight="1" x14ac:dyDescent="0.25">
      <c r="A90" s="844"/>
      <c r="B90" s="241" t="s">
        <v>100</v>
      </c>
      <c r="C90" s="248"/>
      <c r="D90" s="249"/>
      <c r="E90" s="248"/>
      <c r="F90" s="249"/>
      <c r="G90" s="248"/>
      <c r="H90" s="249"/>
      <c r="I90" s="248"/>
      <c r="J90" s="249"/>
      <c r="K90" s="248"/>
      <c r="L90" s="248"/>
      <c r="M90" s="248"/>
      <c r="N90" s="249"/>
      <c r="O90" s="248"/>
      <c r="P90" s="248"/>
      <c r="Q90" s="249"/>
      <c r="Z90" s="240"/>
    </row>
    <row r="91" spans="1:26" s="201" customFormat="1" ht="29.25" hidden="1" customHeight="1" x14ac:dyDescent="0.25">
      <c r="A91" s="250"/>
      <c r="B91" s="251"/>
      <c r="C91" s="248"/>
      <c r="D91" s="249"/>
      <c r="E91" s="248"/>
      <c r="F91" s="249"/>
      <c r="G91" s="248"/>
      <c r="H91" s="249"/>
      <c r="I91" s="248"/>
      <c r="J91" s="249"/>
      <c r="K91" s="248"/>
      <c r="L91" s="248"/>
      <c r="M91" s="248"/>
      <c r="N91" s="249"/>
      <c r="O91" s="248"/>
      <c r="P91" s="248"/>
      <c r="Q91" s="249"/>
      <c r="Z91" s="240"/>
    </row>
    <row r="92" spans="1:26" s="201" customFormat="1" ht="29.25" hidden="1" customHeight="1" x14ac:dyDescent="0.25">
      <c r="A92" s="844" t="s">
        <v>64</v>
      </c>
      <c r="B92" s="241" t="str">
        <f t="shared" ref="B92:B98" si="3">B83</f>
        <v>0 - 17</v>
      </c>
      <c r="C92" s="242"/>
      <c r="D92" s="243"/>
      <c r="E92" s="242"/>
      <c r="F92" s="243"/>
      <c r="G92" s="242"/>
      <c r="H92" s="243"/>
      <c r="I92" s="242"/>
      <c r="J92" s="243"/>
      <c r="K92" s="242"/>
      <c r="L92" s="242"/>
      <c r="M92" s="242"/>
      <c r="N92" s="243"/>
      <c r="O92" s="242"/>
      <c r="P92" s="242"/>
      <c r="Q92" s="243"/>
      <c r="Z92" s="240"/>
    </row>
    <row r="93" spans="1:26" s="201" customFormat="1" ht="29.25" hidden="1" customHeight="1" x14ac:dyDescent="0.25">
      <c r="A93" s="844"/>
      <c r="B93" s="241" t="str">
        <f t="shared" si="3"/>
        <v>18 - 35</v>
      </c>
      <c r="C93" s="244"/>
      <c r="D93" s="245"/>
      <c r="E93" s="244"/>
      <c r="F93" s="245"/>
      <c r="G93" s="244"/>
      <c r="H93" s="245"/>
      <c r="I93" s="244"/>
      <c r="J93" s="245"/>
      <c r="K93" s="244"/>
      <c r="L93" s="244"/>
      <c r="M93" s="244"/>
      <c r="N93" s="245"/>
      <c r="O93" s="244"/>
      <c r="P93" s="244"/>
      <c r="Q93" s="245"/>
      <c r="Z93" s="240"/>
    </row>
    <row r="94" spans="1:26" s="201" customFormat="1" ht="30" hidden="1" customHeight="1" x14ac:dyDescent="0.25">
      <c r="A94" s="844"/>
      <c r="B94" s="241" t="str">
        <f t="shared" si="3"/>
        <v>36 - 45</v>
      </c>
      <c r="C94" s="242"/>
      <c r="D94" s="243"/>
      <c r="E94" s="242"/>
      <c r="F94" s="243"/>
      <c r="G94" s="242"/>
      <c r="H94" s="243"/>
      <c r="I94" s="242"/>
      <c r="J94" s="243"/>
      <c r="K94" s="242"/>
      <c r="L94" s="242"/>
      <c r="M94" s="242"/>
      <c r="N94" s="243"/>
      <c r="O94" s="242"/>
      <c r="P94" s="242"/>
      <c r="Q94" s="243"/>
      <c r="Z94" s="240"/>
    </row>
    <row r="95" spans="1:26" s="199" customFormat="1" ht="20.25" hidden="1" x14ac:dyDescent="0.3">
      <c r="A95" s="844"/>
      <c r="B95" s="241" t="str">
        <f t="shared" si="3"/>
        <v>46 - 55</v>
      </c>
      <c r="C95" s="244"/>
      <c r="D95" s="245"/>
      <c r="E95" s="244"/>
      <c r="F95" s="245"/>
      <c r="G95" s="244"/>
      <c r="H95" s="245"/>
      <c r="I95" s="244"/>
      <c r="J95" s="245"/>
      <c r="K95" s="244"/>
      <c r="L95" s="244"/>
      <c r="M95" s="244"/>
      <c r="N95" s="245"/>
      <c r="O95" s="244"/>
      <c r="P95" s="244"/>
      <c r="Q95" s="245"/>
      <c r="R95" s="201"/>
      <c r="Z95" s="236"/>
    </row>
    <row r="96" spans="1:26" s="201" customFormat="1" ht="29.25" hidden="1" customHeight="1" x14ac:dyDescent="0.25">
      <c r="A96" s="844"/>
      <c r="B96" s="241" t="str">
        <f t="shared" si="3"/>
        <v>56 - 60</v>
      </c>
      <c r="C96" s="242"/>
      <c r="D96" s="243"/>
      <c r="E96" s="242"/>
      <c r="F96" s="243"/>
      <c r="G96" s="242"/>
      <c r="H96" s="243"/>
      <c r="I96" s="242"/>
      <c r="J96" s="243"/>
      <c r="K96" s="242"/>
      <c r="L96" s="242"/>
      <c r="M96" s="242"/>
      <c r="N96" s="243"/>
      <c r="O96" s="242"/>
      <c r="P96" s="242"/>
      <c r="Q96" s="243"/>
      <c r="Z96" s="240"/>
    </row>
    <row r="97" spans="1:26" s="201" customFormat="1" ht="29.25" hidden="1" customHeight="1" x14ac:dyDescent="0.25">
      <c r="A97" s="844"/>
      <c r="B97" s="241" t="str">
        <f t="shared" si="3"/>
        <v>61 - 65</v>
      </c>
      <c r="C97" s="244"/>
      <c r="D97" s="245"/>
      <c r="E97" s="244"/>
      <c r="F97" s="245"/>
      <c r="G97" s="244"/>
      <c r="H97" s="245"/>
      <c r="I97" s="244"/>
      <c r="J97" s="245"/>
      <c r="K97" s="244"/>
      <c r="L97" s="244"/>
      <c r="M97" s="244"/>
      <c r="N97" s="245"/>
      <c r="O97" s="244"/>
      <c r="P97" s="244"/>
      <c r="Q97" s="245"/>
      <c r="Z97" s="240"/>
    </row>
    <row r="98" spans="1:26" s="201" customFormat="1" ht="29.25" hidden="1" customHeight="1" x14ac:dyDescent="0.25">
      <c r="A98" s="844"/>
      <c r="B98" s="241" t="str">
        <f t="shared" si="3"/>
        <v>66 - 69</v>
      </c>
      <c r="C98" s="246"/>
      <c r="D98" s="247"/>
      <c r="E98" s="246"/>
      <c r="F98" s="247"/>
      <c r="G98" s="246"/>
      <c r="H98" s="247"/>
      <c r="I98" s="246"/>
      <c r="J98" s="247"/>
      <c r="K98" s="246"/>
      <c r="L98" s="246"/>
      <c r="M98" s="246"/>
      <c r="N98" s="247"/>
      <c r="O98" s="246"/>
      <c r="P98" s="246"/>
      <c r="Q98" s="247"/>
      <c r="Z98" s="240"/>
    </row>
    <row r="99" spans="1:26" s="201" customFormat="1" ht="29.25" hidden="1" customHeight="1" x14ac:dyDescent="0.25">
      <c r="A99" s="844"/>
      <c r="B99" s="241" t="s">
        <v>100</v>
      </c>
      <c r="C99" s="248"/>
      <c r="D99" s="249"/>
      <c r="E99" s="248"/>
      <c r="F99" s="249"/>
      <c r="G99" s="248"/>
      <c r="H99" s="249"/>
      <c r="I99" s="248"/>
      <c r="J99" s="249"/>
      <c r="K99" s="248"/>
      <c r="L99" s="248"/>
      <c r="M99" s="248"/>
      <c r="N99" s="249"/>
      <c r="O99" s="248"/>
      <c r="P99" s="248"/>
      <c r="Q99" s="249"/>
      <c r="Z99" s="240"/>
    </row>
    <row r="100" spans="1:26" s="201" customFormat="1" ht="29.25" hidden="1" customHeight="1" x14ac:dyDescent="0.25">
      <c r="A100" s="250"/>
      <c r="B100" s="251"/>
      <c r="C100" s="248"/>
      <c r="D100" s="249"/>
      <c r="E100" s="248"/>
      <c r="F100" s="249"/>
      <c r="G100" s="248"/>
      <c r="H100" s="249"/>
      <c r="I100" s="248"/>
      <c r="J100" s="249"/>
      <c r="K100" s="248"/>
      <c r="L100" s="248"/>
      <c r="M100" s="248"/>
      <c r="N100" s="249"/>
      <c r="O100" s="248"/>
      <c r="P100" s="248"/>
      <c r="Q100" s="249"/>
      <c r="Z100" s="240"/>
    </row>
    <row r="101" spans="1:26" s="201" customFormat="1" ht="29.25" hidden="1" customHeight="1" x14ac:dyDescent="0.25">
      <c r="A101" s="241" t="s">
        <v>65</v>
      </c>
      <c r="B101" s="241" t="str">
        <f t="shared" ref="B101:B107" si="4">B92</f>
        <v>0 - 17</v>
      </c>
      <c r="C101" s="242"/>
      <c r="D101" s="243"/>
      <c r="E101" s="242"/>
      <c r="F101" s="243"/>
      <c r="G101" s="242"/>
      <c r="H101" s="243"/>
      <c r="I101" s="242"/>
      <c r="J101" s="243"/>
      <c r="K101" s="242"/>
      <c r="L101" s="242"/>
      <c r="M101" s="242"/>
      <c r="N101" s="243"/>
      <c r="O101" s="242"/>
      <c r="P101" s="242"/>
      <c r="Q101" s="243"/>
      <c r="Z101" s="240"/>
    </row>
    <row r="102" spans="1:26" s="201" customFormat="1" ht="29.25" hidden="1" customHeight="1" x14ac:dyDescent="0.25">
      <c r="A102" s="241"/>
      <c r="B102" s="241" t="str">
        <f t="shared" si="4"/>
        <v>18 - 35</v>
      </c>
      <c r="C102" s="244"/>
      <c r="D102" s="245"/>
      <c r="E102" s="244"/>
      <c r="F102" s="245"/>
      <c r="G102" s="244"/>
      <c r="H102" s="245"/>
      <c r="I102" s="244"/>
      <c r="J102" s="245"/>
      <c r="K102" s="244"/>
      <c r="L102" s="244"/>
      <c r="M102" s="244"/>
      <c r="N102" s="245"/>
      <c r="O102" s="244"/>
      <c r="P102" s="244"/>
      <c r="Q102" s="245"/>
      <c r="Z102" s="240"/>
    </row>
    <row r="103" spans="1:26" s="201" customFormat="1" ht="30" hidden="1" customHeight="1" x14ac:dyDescent="0.25">
      <c r="A103" s="241"/>
      <c r="B103" s="241" t="str">
        <f t="shared" si="4"/>
        <v>36 - 45</v>
      </c>
      <c r="C103" s="242"/>
      <c r="D103" s="243"/>
      <c r="E103" s="242"/>
      <c r="F103" s="243"/>
      <c r="G103" s="242"/>
      <c r="H103" s="243"/>
      <c r="I103" s="242"/>
      <c r="J103" s="243"/>
      <c r="K103" s="242"/>
      <c r="L103" s="242"/>
      <c r="M103" s="242"/>
      <c r="N103" s="243"/>
      <c r="O103" s="242"/>
      <c r="P103" s="242"/>
      <c r="Q103" s="243"/>
      <c r="Z103" s="240"/>
    </row>
    <row r="104" spans="1:26" s="199" customFormat="1" ht="20.25" hidden="1" x14ac:dyDescent="0.3">
      <c r="A104" s="241"/>
      <c r="B104" s="241" t="str">
        <f t="shared" si="4"/>
        <v>46 - 55</v>
      </c>
      <c r="C104" s="244"/>
      <c r="D104" s="245"/>
      <c r="E104" s="244"/>
      <c r="F104" s="245"/>
      <c r="G104" s="244"/>
      <c r="H104" s="245"/>
      <c r="I104" s="244"/>
      <c r="J104" s="245"/>
      <c r="K104" s="244"/>
      <c r="L104" s="244"/>
      <c r="M104" s="244"/>
      <c r="N104" s="245"/>
      <c r="O104" s="244"/>
      <c r="P104" s="244"/>
      <c r="Q104" s="245"/>
      <c r="R104" s="201"/>
      <c r="Z104" s="236"/>
    </row>
    <row r="105" spans="1:26" s="201" customFormat="1" ht="29.25" hidden="1" customHeight="1" x14ac:dyDescent="0.25">
      <c r="A105" s="241"/>
      <c r="B105" s="241" t="str">
        <f t="shared" si="4"/>
        <v>56 - 60</v>
      </c>
      <c r="C105" s="242"/>
      <c r="D105" s="243"/>
      <c r="E105" s="242"/>
      <c r="F105" s="243"/>
      <c r="G105" s="242"/>
      <c r="H105" s="243"/>
      <c r="I105" s="242"/>
      <c r="J105" s="243"/>
      <c r="K105" s="242"/>
      <c r="L105" s="242"/>
      <c r="M105" s="242"/>
      <c r="N105" s="243"/>
      <c r="O105" s="242"/>
      <c r="P105" s="242"/>
      <c r="Q105" s="243"/>
      <c r="Z105" s="240"/>
    </row>
    <row r="106" spans="1:26" s="201" customFormat="1" ht="29.25" hidden="1" customHeight="1" x14ac:dyDescent="0.25">
      <c r="A106" s="241"/>
      <c r="B106" s="241" t="str">
        <f t="shared" si="4"/>
        <v>61 - 65</v>
      </c>
      <c r="C106" s="244"/>
      <c r="D106" s="245"/>
      <c r="E106" s="244"/>
      <c r="F106" s="245"/>
      <c r="G106" s="244"/>
      <c r="H106" s="245"/>
      <c r="I106" s="244"/>
      <c r="J106" s="245"/>
      <c r="K106" s="244"/>
      <c r="L106" s="244"/>
      <c r="M106" s="244"/>
      <c r="N106" s="245"/>
      <c r="O106" s="244"/>
      <c r="P106" s="244"/>
      <c r="Q106" s="245"/>
      <c r="Z106" s="240"/>
    </row>
    <row r="107" spans="1:26" s="201" customFormat="1" ht="29.25" hidden="1" customHeight="1" x14ac:dyDescent="0.25">
      <c r="A107" s="241"/>
      <c r="B107" s="241" t="str">
        <f t="shared" si="4"/>
        <v>66 - 69</v>
      </c>
      <c r="C107" s="246"/>
      <c r="D107" s="247"/>
      <c r="E107" s="246"/>
      <c r="F107" s="247"/>
      <c r="G107" s="246"/>
      <c r="H107" s="247"/>
      <c r="I107" s="246"/>
      <c r="J107" s="247"/>
      <c r="K107" s="246"/>
      <c r="L107" s="246"/>
      <c r="M107" s="246"/>
      <c r="N107" s="247"/>
      <c r="O107" s="246"/>
      <c r="P107" s="246"/>
      <c r="Q107" s="247"/>
      <c r="Z107" s="240"/>
    </row>
    <row r="108" spans="1:26" s="201" customFormat="1" ht="29.25" hidden="1" customHeight="1" x14ac:dyDescent="0.25">
      <c r="A108" s="241"/>
      <c r="B108" s="241" t="s">
        <v>100</v>
      </c>
      <c r="C108" s="248"/>
      <c r="D108" s="249"/>
      <c r="E108" s="248"/>
      <c r="F108" s="249"/>
      <c r="G108" s="248"/>
      <c r="H108" s="249"/>
      <c r="I108" s="248"/>
      <c r="J108" s="249"/>
      <c r="K108" s="248"/>
      <c r="L108" s="248"/>
      <c r="M108" s="248"/>
      <c r="N108" s="249"/>
      <c r="O108" s="248"/>
      <c r="P108" s="248"/>
      <c r="Q108" s="249"/>
      <c r="Z108" s="240"/>
    </row>
    <row r="109" spans="1:26" s="201" customFormat="1" ht="29.25" hidden="1" customHeight="1" x14ac:dyDescent="0.25">
      <c r="A109" s="250"/>
      <c r="B109" s="251"/>
      <c r="C109" s="248"/>
      <c r="D109" s="249"/>
      <c r="E109" s="248"/>
      <c r="F109" s="249"/>
      <c r="G109" s="248"/>
      <c r="H109" s="249"/>
      <c r="I109" s="248"/>
      <c r="J109" s="249"/>
      <c r="K109" s="248"/>
      <c r="L109" s="248"/>
      <c r="M109" s="248"/>
      <c r="N109" s="249"/>
      <c r="O109" s="248"/>
      <c r="P109" s="248"/>
      <c r="Q109" s="249"/>
      <c r="Z109" s="240"/>
    </row>
    <row r="110" spans="1:26" s="201" customFormat="1" ht="29.25" hidden="1" customHeight="1" x14ac:dyDescent="0.25">
      <c r="A110" s="241" t="s">
        <v>66</v>
      </c>
      <c r="B110" s="241" t="str">
        <f t="shared" ref="B110:B116" si="5">B101</f>
        <v>0 - 17</v>
      </c>
      <c r="C110" s="242"/>
      <c r="D110" s="243"/>
      <c r="E110" s="242"/>
      <c r="F110" s="243"/>
      <c r="G110" s="242"/>
      <c r="H110" s="243"/>
      <c r="I110" s="242"/>
      <c r="J110" s="243"/>
      <c r="K110" s="242"/>
      <c r="L110" s="242"/>
      <c r="M110" s="242"/>
      <c r="N110" s="243"/>
      <c r="O110" s="242"/>
      <c r="P110" s="242"/>
      <c r="Q110" s="243"/>
      <c r="Z110" s="240"/>
    </row>
    <row r="111" spans="1:26" s="201" customFormat="1" ht="29.25" hidden="1" customHeight="1" x14ac:dyDescent="0.25">
      <c r="A111" s="241"/>
      <c r="B111" s="241" t="str">
        <f t="shared" si="5"/>
        <v>18 - 35</v>
      </c>
      <c r="C111" s="244"/>
      <c r="D111" s="245"/>
      <c r="E111" s="244"/>
      <c r="F111" s="245"/>
      <c r="G111" s="244"/>
      <c r="H111" s="245"/>
      <c r="I111" s="244"/>
      <c r="J111" s="245"/>
      <c r="K111" s="244"/>
      <c r="L111" s="244"/>
      <c r="M111" s="244"/>
      <c r="N111" s="245"/>
      <c r="O111" s="244"/>
      <c r="P111" s="244"/>
      <c r="Q111" s="245"/>
      <c r="Z111" s="240"/>
    </row>
    <row r="112" spans="1:26" s="201" customFormat="1" ht="30" hidden="1" customHeight="1" x14ac:dyDescent="0.25">
      <c r="A112" s="241"/>
      <c r="B112" s="241" t="str">
        <f t="shared" si="5"/>
        <v>36 - 45</v>
      </c>
      <c r="C112" s="242"/>
      <c r="D112" s="243"/>
      <c r="E112" s="242"/>
      <c r="F112" s="243"/>
      <c r="G112" s="242"/>
      <c r="H112" s="243"/>
      <c r="I112" s="242"/>
      <c r="J112" s="243"/>
      <c r="K112" s="242"/>
      <c r="L112" s="242"/>
      <c r="M112" s="242"/>
      <c r="N112" s="243"/>
      <c r="O112" s="242"/>
      <c r="P112" s="242"/>
      <c r="Q112" s="243"/>
      <c r="Z112" s="240"/>
    </row>
    <row r="113" spans="1:18" ht="20.25" hidden="1" x14ac:dyDescent="0.2">
      <c r="A113" s="241"/>
      <c r="B113" s="241" t="str">
        <f t="shared" si="5"/>
        <v>46 - 55</v>
      </c>
      <c r="C113" s="244"/>
      <c r="D113" s="245"/>
      <c r="E113" s="244"/>
      <c r="F113" s="245"/>
      <c r="G113" s="244"/>
      <c r="H113" s="245"/>
      <c r="I113" s="244"/>
      <c r="J113" s="245"/>
      <c r="K113" s="244"/>
      <c r="L113" s="244"/>
      <c r="M113" s="244"/>
      <c r="N113" s="245"/>
      <c r="O113" s="244"/>
      <c r="P113" s="244"/>
      <c r="Q113" s="245"/>
      <c r="R113" s="201"/>
    </row>
    <row r="114" spans="1:18" ht="20.25" hidden="1" x14ac:dyDescent="0.2">
      <c r="A114" s="241"/>
      <c r="B114" s="241" t="str">
        <f t="shared" si="5"/>
        <v>56 - 60</v>
      </c>
      <c r="C114" s="242"/>
      <c r="D114" s="243"/>
      <c r="E114" s="242"/>
      <c r="F114" s="243"/>
      <c r="G114" s="242"/>
      <c r="H114" s="243"/>
      <c r="I114" s="242"/>
      <c r="J114" s="243"/>
      <c r="K114" s="242"/>
      <c r="L114" s="242"/>
      <c r="M114" s="242"/>
      <c r="N114" s="243"/>
      <c r="O114" s="242"/>
      <c r="P114" s="242"/>
      <c r="Q114" s="243"/>
      <c r="R114" s="201"/>
    </row>
    <row r="115" spans="1:18" ht="20.25" hidden="1" x14ac:dyDescent="0.2">
      <c r="A115" s="241"/>
      <c r="B115" s="241" t="str">
        <f t="shared" si="5"/>
        <v>61 - 65</v>
      </c>
      <c r="C115" s="244"/>
      <c r="D115" s="245"/>
      <c r="E115" s="244"/>
      <c r="F115" s="245"/>
      <c r="G115" s="244"/>
      <c r="H115" s="245"/>
      <c r="I115" s="244"/>
      <c r="J115" s="245"/>
      <c r="K115" s="244"/>
      <c r="L115" s="244"/>
      <c r="M115" s="244"/>
      <c r="N115" s="245"/>
      <c r="O115" s="244"/>
      <c r="P115" s="244"/>
      <c r="Q115" s="245"/>
      <c r="R115" s="201"/>
    </row>
    <row r="116" spans="1:18" ht="20.25" hidden="1" x14ac:dyDescent="0.2">
      <c r="A116" s="241"/>
      <c r="B116" s="241" t="str">
        <f t="shared" si="5"/>
        <v>66 - 69</v>
      </c>
      <c r="C116" s="246"/>
      <c r="D116" s="247"/>
      <c r="E116" s="246"/>
      <c r="F116" s="247"/>
      <c r="G116" s="246"/>
      <c r="H116" s="247"/>
      <c r="I116" s="246"/>
      <c r="J116" s="247"/>
      <c r="K116" s="246"/>
      <c r="L116" s="246"/>
      <c r="M116" s="246"/>
      <c r="N116" s="247"/>
      <c r="O116" s="246"/>
      <c r="P116" s="246"/>
      <c r="Q116" s="247"/>
      <c r="R116" s="201"/>
    </row>
    <row r="117" spans="1:18" ht="20.25" hidden="1" x14ac:dyDescent="0.2">
      <c r="A117" s="241"/>
      <c r="B117" s="241" t="s">
        <v>172</v>
      </c>
      <c r="C117" s="248"/>
      <c r="D117" s="249"/>
      <c r="E117" s="248"/>
      <c r="F117" s="249"/>
      <c r="G117" s="248"/>
      <c r="H117" s="249"/>
      <c r="I117" s="248"/>
      <c r="J117" s="249"/>
      <c r="K117" s="248"/>
      <c r="L117" s="248"/>
      <c r="M117" s="248"/>
      <c r="N117" s="249"/>
      <c r="O117" s="248"/>
      <c r="P117" s="248"/>
      <c r="Q117" s="249"/>
      <c r="R117" s="201"/>
    </row>
    <row r="118" spans="1:18" ht="20.25" hidden="1" x14ac:dyDescent="0.3">
      <c r="A118" s="199"/>
      <c r="B118" s="199"/>
      <c r="C118" s="252"/>
      <c r="D118" s="252"/>
      <c r="E118" s="252"/>
      <c r="F118" s="252"/>
      <c r="G118" s="252"/>
      <c r="H118" s="252"/>
      <c r="I118" s="252"/>
      <c r="J118" s="252"/>
      <c r="K118" s="252"/>
      <c r="L118" s="252"/>
      <c r="M118" s="252"/>
      <c r="N118" s="252"/>
      <c r="O118" s="252"/>
      <c r="P118" s="252"/>
      <c r="Q118" s="252"/>
      <c r="R118" s="199"/>
    </row>
    <row r="119" spans="1:18" ht="33" hidden="1" customHeight="1" x14ac:dyDescent="0.2">
      <c r="A119" s="241" t="s">
        <v>67</v>
      </c>
      <c r="B119" s="241" t="str">
        <f t="shared" ref="B119:B125" si="6">B110</f>
        <v>0 - 17</v>
      </c>
      <c r="C119" s="242"/>
      <c r="D119" s="243"/>
      <c r="E119" s="242"/>
      <c r="F119" s="243"/>
      <c r="G119" s="242"/>
      <c r="H119" s="243"/>
      <c r="I119" s="242"/>
      <c r="J119" s="243"/>
      <c r="K119" s="242"/>
      <c r="L119" s="242"/>
      <c r="M119" s="242"/>
      <c r="N119" s="243"/>
      <c r="O119" s="242"/>
      <c r="P119" s="242"/>
      <c r="Q119" s="243"/>
      <c r="R119" s="201"/>
    </row>
    <row r="120" spans="1:18" ht="33" hidden="1" customHeight="1" x14ac:dyDescent="0.2">
      <c r="A120" s="241"/>
      <c r="B120" s="241" t="str">
        <f t="shared" si="6"/>
        <v>18 - 35</v>
      </c>
      <c r="C120" s="244"/>
      <c r="D120" s="245"/>
      <c r="E120" s="244"/>
      <c r="F120" s="245"/>
      <c r="G120" s="244"/>
      <c r="H120" s="245"/>
      <c r="I120" s="244"/>
      <c r="J120" s="245"/>
      <c r="K120" s="244"/>
      <c r="L120" s="244"/>
      <c r="M120" s="244"/>
      <c r="N120" s="245"/>
      <c r="O120" s="244"/>
      <c r="P120" s="244"/>
      <c r="Q120" s="245"/>
      <c r="R120" s="201"/>
    </row>
    <row r="121" spans="1:18" ht="33" hidden="1" customHeight="1" x14ac:dyDescent="0.2">
      <c r="A121" s="241"/>
      <c r="B121" s="241" t="str">
        <f t="shared" si="6"/>
        <v>36 - 45</v>
      </c>
      <c r="C121" s="242"/>
      <c r="D121" s="243"/>
      <c r="E121" s="242"/>
      <c r="F121" s="243"/>
      <c r="G121" s="242"/>
      <c r="H121" s="243"/>
      <c r="I121" s="242"/>
      <c r="J121" s="243"/>
      <c r="K121" s="242"/>
      <c r="L121" s="242"/>
      <c r="M121" s="242"/>
      <c r="N121" s="243"/>
      <c r="O121" s="242"/>
      <c r="P121" s="242"/>
      <c r="Q121" s="243"/>
      <c r="R121" s="201"/>
    </row>
    <row r="122" spans="1:18" ht="33" hidden="1" customHeight="1" x14ac:dyDescent="0.2">
      <c r="A122" s="241"/>
      <c r="B122" s="241" t="str">
        <f t="shared" si="6"/>
        <v>46 - 55</v>
      </c>
      <c r="C122" s="244"/>
      <c r="D122" s="245"/>
      <c r="E122" s="244"/>
      <c r="F122" s="245"/>
      <c r="G122" s="244"/>
      <c r="H122" s="245"/>
      <c r="I122" s="244"/>
      <c r="J122" s="245"/>
      <c r="K122" s="244"/>
      <c r="L122" s="244"/>
      <c r="M122" s="244"/>
      <c r="N122" s="245"/>
      <c r="O122" s="244"/>
      <c r="P122" s="244"/>
      <c r="Q122" s="245"/>
      <c r="R122" s="201"/>
    </row>
    <row r="123" spans="1:18" ht="33" hidden="1" customHeight="1" x14ac:dyDescent="0.2">
      <c r="A123" s="241"/>
      <c r="B123" s="241" t="str">
        <f t="shared" si="6"/>
        <v>56 - 60</v>
      </c>
      <c r="C123" s="242"/>
      <c r="D123" s="243"/>
      <c r="E123" s="242"/>
      <c r="F123" s="243"/>
      <c r="G123" s="242"/>
      <c r="H123" s="243"/>
      <c r="I123" s="242"/>
      <c r="J123" s="243"/>
      <c r="K123" s="242"/>
      <c r="L123" s="242"/>
      <c r="M123" s="242"/>
      <c r="N123" s="243"/>
      <c r="O123" s="242"/>
      <c r="P123" s="242"/>
      <c r="Q123" s="243"/>
      <c r="R123" s="201"/>
    </row>
    <row r="124" spans="1:18" ht="35.25" hidden="1" customHeight="1" x14ac:dyDescent="0.2">
      <c r="A124" s="241"/>
      <c r="B124" s="241" t="str">
        <f t="shared" si="6"/>
        <v>61 - 65</v>
      </c>
      <c r="C124" s="244"/>
      <c r="D124" s="245"/>
      <c r="E124" s="244"/>
      <c r="F124" s="245"/>
      <c r="G124" s="244"/>
      <c r="H124" s="245"/>
      <c r="I124" s="244"/>
      <c r="J124" s="245"/>
      <c r="K124" s="244"/>
      <c r="L124" s="244"/>
      <c r="M124" s="244"/>
      <c r="N124" s="245"/>
      <c r="O124" s="244"/>
      <c r="P124" s="244"/>
      <c r="Q124" s="245"/>
      <c r="R124" s="201"/>
    </row>
    <row r="125" spans="1:18" ht="35.25" hidden="1" customHeight="1" x14ac:dyDescent="0.2">
      <c r="A125" s="241"/>
      <c r="B125" s="241" t="str">
        <f t="shared" si="6"/>
        <v>66 - 69</v>
      </c>
      <c r="C125" s="246"/>
      <c r="D125" s="247"/>
      <c r="E125" s="246"/>
      <c r="F125" s="247"/>
      <c r="G125" s="246"/>
      <c r="H125" s="247"/>
      <c r="I125" s="246"/>
      <c r="J125" s="247"/>
      <c r="K125" s="246"/>
      <c r="L125" s="246"/>
      <c r="M125" s="246"/>
      <c r="N125" s="247"/>
      <c r="O125" s="246"/>
      <c r="P125" s="246"/>
      <c r="Q125" s="247"/>
      <c r="R125" s="201"/>
    </row>
    <row r="126" spans="1:18" ht="35.25" hidden="1" customHeight="1" x14ac:dyDescent="0.2">
      <c r="A126" s="241"/>
      <c r="B126" s="241" t="s">
        <v>172</v>
      </c>
      <c r="C126" s="248"/>
      <c r="D126" s="249"/>
      <c r="E126" s="248"/>
      <c r="F126" s="249"/>
      <c r="G126" s="248"/>
      <c r="H126" s="249"/>
      <c r="I126" s="248"/>
      <c r="J126" s="249"/>
      <c r="K126" s="248"/>
      <c r="L126" s="248"/>
      <c r="M126" s="248"/>
      <c r="N126" s="249"/>
      <c r="O126" s="248"/>
      <c r="P126" s="248"/>
      <c r="Q126" s="249"/>
      <c r="R126" s="201"/>
    </row>
    <row r="127" spans="1:18" ht="35.25" hidden="1" customHeight="1" x14ac:dyDescent="0.3">
      <c r="A127" s="199"/>
      <c r="B127" s="199"/>
      <c r="C127" s="252"/>
      <c r="D127" s="252"/>
      <c r="E127" s="252"/>
      <c r="F127" s="252"/>
      <c r="G127" s="252"/>
      <c r="H127" s="252"/>
      <c r="I127" s="252"/>
      <c r="J127" s="252"/>
      <c r="K127" s="252"/>
      <c r="L127" s="252"/>
      <c r="M127" s="252"/>
      <c r="N127" s="252"/>
      <c r="O127" s="252"/>
      <c r="P127" s="252"/>
      <c r="Q127" s="252"/>
      <c r="R127" s="199"/>
    </row>
    <row r="128" spans="1:18" ht="20.25" hidden="1" x14ac:dyDescent="0.2">
      <c r="A128" s="241" t="s">
        <v>68</v>
      </c>
      <c r="B128" s="241" t="str">
        <f t="shared" ref="B128:B134" si="7">B119</f>
        <v>0 - 17</v>
      </c>
      <c r="C128" s="242"/>
      <c r="D128" s="243"/>
      <c r="E128" s="242"/>
      <c r="F128" s="243"/>
      <c r="G128" s="242"/>
      <c r="H128" s="243"/>
      <c r="I128" s="242"/>
      <c r="J128" s="243"/>
      <c r="K128" s="242"/>
      <c r="L128" s="242"/>
      <c r="M128" s="242"/>
      <c r="N128" s="243"/>
      <c r="O128" s="242"/>
      <c r="P128" s="242"/>
      <c r="Q128" s="243"/>
      <c r="R128" s="201"/>
    </row>
    <row r="129" spans="1:18" ht="20.25" hidden="1" x14ac:dyDescent="0.2">
      <c r="A129" s="241"/>
      <c r="B129" s="241" t="str">
        <f t="shared" si="7"/>
        <v>18 - 35</v>
      </c>
      <c r="C129" s="244"/>
      <c r="D129" s="245"/>
      <c r="E129" s="244"/>
      <c r="F129" s="245"/>
      <c r="G129" s="244"/>
      <c r="H129" s="245"/>
      <c r="I129" s="244"/>
      <c r="J129" s="245"/>
      <c r="K129" s="244"/>
      <c r="L129" s="244"/>
      <c r="M129" s="244"/>
      <c r="N129" s="245"/>
      <c r="O129" s="244"/>
      <c r="P129" s="244"/>
      <c r="Q129" s="245"/>
      <c r="R129" s="201"/>
    </row>
    <row r="130" spans="1:18" ht="20.25" hidden="1" x14ac:dyDescent="0.2">
      <c r="A130" s="241"/>
      <c r="B130" s="241" t="str">
        <f t="shared" si="7"/>
        <v>36 - 45</v>
      </c>
      <c r="C130" s="242"/>
      <c r="D130" s="243"/>
      <c r="E130" s="242"/>
      <c r="F130" s="243"/>
      <c r="G130" s="242"/>
      <c r="H130" s="243"/>
      <c r="I130" s="242"/>
      <c r="J130" s="243"/>
      <c r="K130" s="242"/>
      <c r="L130" s="242"/>
      <c r="M130" s="242"/>
      <c r="N130" s="243"/>
      <c r="O130" s="242"/>
      <c r="P130" s="242"/>
      <c r="Q130" s="243"/>
      <c r="R130" s="201"/>
    </row>
    <row r="131" spans="1:18" ht="20.25" hidden="1" x14ac:dyDescent="0.2">
      <c r="A131" s="241"/>
      <c r="B131" s="241" t="str">
        <f t="shared" si="7"/>
        <v>46 - 55</v>
      </c>
      <c r="C131" s="244"/>
      <c r="D131" s="245"/>
      <c r="E131" s="244"/>
      <c r="F131" s="245"/>
      <c r="G131" s="244"/>
      <c r="H131" s="245"/>
      <c r="I131" s="244"/>
      <c r="J131" s="245"/>
      <c r="K131" s="244"/>
      <c r="L131" s="244"/>
      <c r="M131" s="244"/>
      <c r="N131" s="245"/>
      <c r="O131" s="244"/>
      <c r="P131" s="244"/>
      <c r="Q131" s="245"/>
      <c r="R131" s="201"/>
    </row>
    <row r="132" spans="1:18" ht="20.25" hidden="1" x14ac:dyDescent="0.2">
      <c r="A132" s="241"/>
      <c r="B132" s="241" t="str">
        <f t="shared" si="7"/>
        <v>56 - 60</v>
      </c>
      <c r="C132" s="242"/>
      <c r="D132" s="243"/>
      <c r="E132" s="242"/>
      <c r="F132" s="243"/>
      <c r="G132" s="242"/>
      <c r="H132" s="243"/>
      <c r="I132" s="242"/>
      <c r="J132" s="243"/>
      <c r="K132" s="242"/>
      <c r="L132" s="242"/>
      <c r="M132" s="242"/>
      <c r="N132" s="243"/>
      <c r="O132" s="242"/>
      <c r="P132" s="242"/>
      <c r="Q132" s="243"/>
      <c r="R132" s="201"/>
    </row>
    <row r="133" spans="1:18" ht="20.25" hidden="1" x14ac:dyDescent="0.2">
      <c r="A133" s="241"/>
      <c r="B133" s="241" t="str">
        <f t="shared" si="7"/>
        <v>61 - 65</v>
      </c>
      <c r="C133" s="244"/>
      <c r="D133" s="245"/>
      <c r="E133" s="244"/>
      <c r="F133" s="245"/>
      <c r="G133" s="244"/>
      <c r="H133" s="245"/>
      <c r="I133" s="244"/>
      <c r="J133" s="245"/>
      <c r="K133" s="244"/>
      <c r="L133" s="244"/>
      <c r="M133" s="244"/>
      <c r="N133" s="245"/>
      <c r="O133" s="244"/>
      <c r="P133" s="244"/>
      <c r="Q133" s="245"/>
      <c r="R133" s="201"/>
    </row>
    <row r="134" spans="1:18" ht="20.25" hidden="1" x14ac:dyDescent="0.2">
      <c r="A134" s="241"/>
      <c r="B134" s="241" t="str">
        <f t="shared" si="7"/>
        <v>66 - 69</v>
      </c>
      <c r="C134" s="246"/>
      <c r="D134" s="247"/>
      <c r="E134" s="246"/>
      <c r="F134" s="247"/>
      <c r="G134" s="246"/>
      <c r="H134" s="247"/>
      <c r="I134" s="246"/>
      <c r="J134" s="247"/>
      <c r="K134" s="246"/>
      <c r="L134" s="246"/>
      <c r="M134" s="246"/>
      <c r="N134" s="247"/>
      <c r="O134" s="246"/>
      <c r="P134" s="246"/>
      <c r="Q134" s="247"/>
      <c r="R134" s="201"/>
    </row>
    <row r="135" spans="1:18" ht="20.25" hidden="1" x14ac:dyDescent="0.2">
      <c r="A135" s="241"/>
      <c r="B135" s="241" t="s">
        <v>172</v>
      </c>
      <c r="C135" s="248"/>
      <c r="D135" s="249"/>
      <c r="E135" s="248"/>
      <c r="F135" s="249"/>
      <c r="G135" s="248"/>
      <c r="H135" s="249"/>
      <c r="I135" s="248"/>
      <c r="J135" s="249"/>
      <c r="K135" s="248"/>
      <c r="L135" s="248"/>
      <c r="M135" s="248"/>
      <c r="N135" s="249"/>
      <c r="O135" s="248"/>
      <c r="P135" s="248"/>
      <c r="Q135" s="249"/>
      <c r="R135" s="201"/>
    </row>
    <row r="136" spans="1:18" ht="14.25" hidden="1" x14ac:dyDescent="0.2"/>
    <row r="137" spans="1:18" ht="14.25" hidden="1" x14ac:dyDescent="0.2"/>
    <row r="138" spans="1:18" ht="14.25" hidden="1" x14ac:dyDescent="0.2"/>
    <row r="139" spans="1:18" ht="14.25" hidden="1" x14ac:dyDescent="0.2"/>
    <row r="140" spans="1:18" ht="14.25" hidden="1" x14ac:dyDescent="0.2"/>
    <row r="141" spans="1:18" ht="14.25" hidden="1" x14ac:dyDescent="0.2"/>
    <row r="142" spans="1:18" ht="23.25" hidden="1" x14ac:dyDescent="0.35">
      <c r="H142" s="213"/>
    </row>
    <row r="143" spans="1:18" ht="14.25" hidden="1" x14ac:dyDescent="0.2"/>
    <row r="144" spans="1:18" ht="14.25" hidden="1" x14ac:dyDescent="0.2"/>
    <row r="145" ht="14.25" hidden="1" x14ac:dyDescent="0.2"/>
    <row r="146" ht="14.25" hidden="1" x14ac:dyDescent="0.2"/>
    <row r="147" ht="14.25" hidden="1" x14ac:dyDescent="0.2"/>
    <row r="148" ht="14.25" hidden="1" x14ac:dyDescent="0.2"/>
    <row r="149" ht="14.25" hidden="1" x14ac:dyDescent="0.2"/>
    <row r="150" ht="14.25" hidden="1" x14ac:dyDescent="0.2"/>
    <row r="151" ht="14.25" hidden="1" x14ac:dyDescent="0.2"/>
    <row r="152" ht="14.25" hidden="1" x14ac:dyDescent="0.2"/>
    <row r="153" ht="14.25" hidden="1" x14ac:dyDescent="0.2"/>
    <row r="154" ht="14.25" hidden="1" x14ac:dyDescent="0.2"/>
    <row r="155" ht="14.25" hidden="1" x14ac:dyDescent="0.2"/>
    <row r="156" ht="14.25" hidden="1" x14ac:dyDescent="0.2"/>
    <row r="157" ht="14.25" hidden="1" x14ac:dyDescent="0.2"/>
    <row r="158" ht="14.25" hidden="1" x14ac:dyDescent="0.2"/>
    <row r="159" ht="14.25" hidden="1" x14ac:dyDescent="0.2"/>
    <row r="160" ht="14.25" hidden="1" x14ac:dyDescent="0.2"/>
    <row r="161" ht="14.25" hidden="1" x14ac:dyDescent="0.2"/>
    <row r="162" ht="14.25" hidden="1" x14ac:dyDescent="0.2"/>
    <row r="163" ht="14.25" hidden="1" x14ac:dyDescent="0.2"/>
    <row r="164" ht="14.25" hidden="1" x14ac:dyDescent="0.2"/>
    <row r="165" ht="14.25" hidden="1" x14ac:dyDescent="0.2"/>
    <row r="166" ht="14.25" hidden="1" x14ac:dyDescent="0.2"/>
    <row r="167" ht="14.25" hidden="1" x14ac:dyDescent="0.2"/>
    <row r="168" ht="14.25" hidden="1" x14ac:dyDescent="0.2"/>
    <row r="169" ht="14.25" hidden="1" x14ac:dyDescent="0.2"/>
    <row r="170" ht="14.25" hidden="1" x14ac:dyDescent="0.2"/>
  </sheetData>
  <sheetProtection algorithmName="SHA-512" hashValue="Vx3W1GKICAlLQ+ZAx5DJ2vl/MS+M2ShQt09VIH98NVQxLGljuV/MmeBZ/ojRCiEhobStml0M5kii8ce0jPq+Wg==" saltValue="UEbxP18fqjxIDszMfMEb+w==" spinCount="100000" sheet="1" objects="1" scenarios="1"/>
  <mergeCells count="60">
    <mergeCell ref="M10:O10"/>
    <mergeCell ref="V44:V48"/>
    <mergeCell ref="V24:V28"/>
    <mergeCell ref="V29:V33"/>
    <mergeCell ref="V34:V38"/>
    <mergeCell ref="V39:V43"/>
    <mergeCell ref="O34:O38"/>
    <mergeCell ref="P34:P38"/>
    <mergeCell ref="P44:P48"/>
    <mergeCell ref="O39:O43"/>
    <mergeCell ref="O44:O48"/>
    <mergeCell ref="P39:P43"/>
    <mergeCell ref="V19:V23"/>
    <mergeCell ref="K17:V17"/>
    <mergeCell ref="K16:V16"/>
    <mergeCell ref="M11:O11"/>
    <mergeCell ref="A34:A38"/>
    <mergeCell ref="A39:A43"/>
    <mergeCell ref="A44:A48"/>
    <mergeCell ref="C81:D81"/>
    <mergeCell ref="G81:H81"/>
    <mergeCell ref="E81:F81"/>
    <mergeCell ref="C80:F80"/>
    <mergeCell ref="A51:P51"/>
    <mergeCell ref="A52:P52"/>
    <mergeCell ref="I81:J81"/>
    <mergeCell ref="K53:Q53"/>
    <mergeCell ref="G80:J80"/>
    <mergeCell ref="K80:Q80"/>
    <mergeCell ref="K81:N81"/>
    <mergeCell ref="O81:Q81"/>
    <mergeCell ref="A83:A90"/>
    <mergeCell ref="A92:A99"/>
    <mergeCell ref="A3:Q3"/>
    <mergeCell ref="B8:D8"/>
    <mergeCell ref="AD8:AE8"/>
    <mergeCell ref="B9:D9"/>
    <mergeCell ref="AD9:AE9"/>
    <mergeCell ref="M9:O9"/>
    <mergeCell ref="X4:Y5"/>
    <mergeCell ref="A19:A23"/>
    <mergeCell ref="B10:D10"/>
    <mergeCell ref="AD10:AE10"/>
    <mergeCell ref="B11:D11"/>
    <mergeCell ref="B13:D13"/>
    <mergeCell ref="G13:H13"/>
    <mergeCell ref="C16:F16"/>
    <mergeCell ref="P24:P28"/>
    <mergeCell ref="O29:O33"/>
    <mergeCell ref="P29:P33"/>
    <mergeCell ref="C17:E17"/>
    <mergeCell ref="G17:I17"/>
    <mergeCell ref="O19:O23"/>
    <mergeCell ref="P19:P23"/>
    <mergeCell ref="M12:N12"/>
    <mergeCell ref="M14:O14"/>
    <mergeCell ref="A24:A28"/>
    <mergeCell ref="A29:A33"/>
    <mergeCell ref="O24:O28"/>
    <mergeCell ref="G16:I16"/>
  </mergeCells>
  <dataValidations xWindow="1624" yWindow="684" count="5">
    <dataValidation type="decimal" allowBlank="1" showInputMessage="1" showErrorMessage="1" errorTitle="Invalid Loadings" error="The total loadings should not be more than 30%." sqref="I13" xr:uid="{00000000-0002-0000-0B00-000000000000}">
      <formula1>0</formula1>
      <formula2>0.3</formula2>
    </dataValidation>
    <dataValidation type="decimal" allowBlank="1" showInputMessage="1" showErrorMessage="1" sqref="X7:Y12" xr:uid="{00000000-0002-0000-0B00-000001000000}">
      <formula1>0</formula1>
      <formula2>100</formula2>
    </dataValidation>
    <dataValidation type="list" allowBlank="1" showInputMessage="1" showErrorMessage="1" sqref="W7:W12" xr:uid="{00000000-0002-0000-0B00-000002000000}">
      <formula1>$AA$5:$AA$10</formula1>
    </dataValidation>
    <dataValidation type="decimal" operator="greaterThanOrEqual" allowBlank="1" showInputMessage="1" showErrorMessage="1" promptTitle="Add'l for BASMA Program" prompt="Kindly make sure to apply the BASMAH Rate per person for the Total of members" sqref="O13" xr:uid="{00000000-0002-0000-0B00-000003000000}">
      <formula1>0</formula1>
    </dataValidation>
    <dataValidation type="decimal" operator="greaterThanOrEqual" allowBlank="1" showErrorMessage="1" sqref="P12" xr:uid="{00000000-0002-0000-0B00-000004000000}">
      <formula1>0</formula1>
    </dataValidation>
  </dataValidations>
  <pageMargins left="0.25" right="0.25" top="0.75" bottom="0.75" header="0.3" footer="0.3"/>
  <pageSetup scale="28" orientation="landscape" horizontalDpi="4294967295" verticalDpi="4294967295" r:id="rId1"/>
  <headerFooter>
    <oddHeader>&amp;C&amp;"Calibri"&amp;10&amp;K000000 Internal&amp;1#_x000D_&amp;R&amp;22SME tool 2018 – version 1</oddHeader>
    <oddFooter>&amp;L_x000D_&amp;1#&amp;"Calibri"&amp;10&amp;K737373 Confidential</oddFooter>
  </headerFooter>
  <colBreaks count="1" manualBreakCount="1">
    <brk id="17" max="1048575" man="1"/>
  </colBreaks>
  <ignoredErrors>
    <ignoredError sqref="L23:N23 M28:N28 M33:N33 M38:N38 M43:N43 K43:K44 K38 K33 K28 K23 M44 L28:L4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2_Click">
                <anchor moveWithCells="1" sizeWithCells="1">
                  <from>
                    <xdr:col>6</xdr:col>
                    <xdr:colOff>76200</xdr:colOff>
                    <xdr:row>7</xdr:row>
                    <xdr:rowOff>9525</xdr:rowOff>
                  </from>
                  <to>
                    <xdr:col>8</xdr:col>
                    <xdr:colOff>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24" yWindow="684" count="1">
        <x14:dataValidation type="list" allowBlank="1" showInputMessage="1" showErrorMessage="1" xr:uid="{00000000-0002-0000-0B00-000005000000}">
          <x14:formula1>
            <xm:f>'Inputs Mapping'!$AH$5:$AH$6</xm:f>
          </x14:formula1>
          <xm:sqref>O12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9" tint="0.39997558519241921"/>
  </sheetPr>
  <dimension ref="A1:AA65"/>
  <sheetViews>
    <sheetView showRowColHeaders="0" view="pageBreakPreview" zoomScale="60" zoomScaleNormal="70" workbookViewId="0">
      <selection activeCell="B1" sqref="B1"/>
    </sheetView>
  </sheetViews>
  <sheetFormatPr defaultColWidth="9.140625" defaultRowHeight="14.25" x14ac:dyDescent="0.2"/>
  <cols>
    <col min="1" max="1" width="1.28515625" style="110" customWidth="1"/>
    <col min="2" max="2" width="101" style="110" customWidth="1"/>
    <col min="3" max="3" width="65.7109375" style="110" hidden="1" customWidth="1"/>
    <col min="4" max="4" width="2.140625" style="110" hidden="1" customWidth="1"/>
    <col min="5" max="5" width="65.7109375" style="110" hidden="1" customWidth="1"/>
    <col min="6" max="6" width="0.5703125" style="110" hidden="1" customWidth="1"/>
    <col min="7" max="7" width="65.7109375" style="110" hidden="1" customWidth="1"/>
    <col min="8" max="8" width="2.140625" style="110" hidden="1" customWidth="1"/>
    <col min="9" max="9" width="68.85546875" style="110" hidden="1" customWidth="1"/>
    <col min="10" max="10" width="2.140625" style="110" hidden="1" customWidth="1"/>
    <col min="11" max="11" width="68.5703125" style="110" hidden="1" customWidth="1"/>
    <col min="12" max="12" width="1.140625" style="110" hidden="1" customWidth="1"/>
    <col min="13" max="13" width="68.85546875" style="110" hidden="1" customWidth="1"/>
    <col min="14" max="27" width="9.140625" style="110" hidden="1" customWidth="1"/>
    <col min="28" max="172" width="9.140625" style="110" customWidth="1"/>
    <col min="173" max="16384" width="9.140625" style="110"/>
  </cols>
  <sheetData>
    <row r="1" spans="1:26" ht="79.5" customHeight="1" x14ac:dyDescent="0.2"/>
    <row r="2" spans="1:26" ht="42" customHeight="1" x14ac:dyDescent="0.4">
      <c r="B2" s="291" t="s">
        <v>645</v>
      </c>
      <c r="C2" s="219">
        <f>IF(C9="",0,1)+IF(E9="",0,2)+IF(G9="",0,2)+IF(I9="",0,2)+IF(K9="",0,2)+IF(M9="",0,2)</f>
        <v>0</v>
      </c>
      <c r="D2" s="142"/>
      <c r="E2" s="142"/>
      <c r="F2" s="142"/>
      <c r="G2" s="142"/>
      <c r="H2" s="142"/>
      <c r="I2" s="142"/>
      <c r="J2" s="142"/>
      <c r="K2" s="142"/>
      <c r="L2" s="142"/>
      <c r="M2" s="142"/>
    </row>
    <row r="3" spans="1:26" ht="31.5" customHeight="1" x14ac:dyDescent="0.2">
      <c r="B3" s="143" t="s">
        <v>45</v>
      </c>
      <c r="C3" s="108">
        <f>'Quotation for Dubai Plans'!B8</f>
        <v>0</v>
      </c>
    </row>
    <row r="4" spans="1:26" ht="30.75" customHeight="1" x14ac:dyDescent="0.2">
      <c r="B4" s="143" t="s">
        <v>50</v>
      </c>
      <c r="C4" s="109">
        <f>'Quotation for Dubai Plans'!B9</f>
        <v>0</v>
      </c>
      <c r="D4" s="90"/>
      <c r="E4" s="286"/>
      <c r="G4" s="90"/>
      <c r="I4" s="90"/>
      <c r="K4" s="90"/>
      <c r="M4" s="90"/>
    </row>
    <row r="5" spans="1:26" ht="30.75" hidden="1" customHeight="1" x14ac:dyDescent="0.2">
      <c r="B5" s="143"/>
      <c r="C5" s="287">
        <f>Inputs!C11</f>
        <v>0</v>
      </c>
      <c r="D5" s="89"/>
      <c r="E5" s="89"/>
      <c r="G5" s="89"/>
      <c r="I5" s="89"/>
      <c r="K5" s="89"/>
      <c r="M5" s="89"/>
    </row>
    <row r="6" spans="1:26" ht="30.75" customHeight="1" x14ac:dyDescent="0.2">
      <c r="B6" s="143" t="s">
        <v>96</v>
      </c>
      <c r="C6" s="109">
        <f>Inputs!C70</f>
        <v>0</v>
      </c>
      <c r="D6" s="89"/>
      <c r="E6" s="89"/>
      <c r="G6" s="89"/>
      <c r="I6" s="89"/>
      <c r="K6" s="89"/>
      <c r="M6" s="89"/>
    </row>
    <row r="7" spans="1:26" ht="30.75" hidden="1" customHeight="1" x14ac:dyDescent="0.2">
      <c r="B7" s="143" t="s">
        <v>646</v>
      </c>
      <c r="C7" s="108" t="str">
        <f>IF(Inputs!C12="","",Inputs!C12)</f>
        <v/>
      </c>
      <c r="D7" s="89"/>
      <c r="E7" s="89"/>
      <c r="G7" s="89"/>
      <c r="I7" s="89"/>
      <c r="K7" s="89"/>
      <c r="M7" s="89"/>
    </row>
    <row r="8" spans="1:26" ht="24.75" customHeight="1" x14ac:dyDescent="0.2">
      <c r="B8" s="144" t="s">
        <v>62</v>
      </c>
      <c r="C8" s="145" t="str">
        <f>IF(Inputs!C28&lt;&gt;"",Inputs!C26,"")</f>
        <v/>
      </c>
      <c r="D8" s="145"/>
      <c r="E8" s="145" t="str">
        <f>IF(Inputs!E28&lt;&gt;"",Inputs!E26,"")</f>
        <v/>
      </c>
      <c r="F8" s="146"/>
      <c r="G8" s="145" t="str">
        <f>IF(Inputs!G28&lt;&gt;"",Inputs!G26,"")</f>
        <v/>
      </c>
      <c r="H8" s="146"/>
      <c r="I8" s="145" t="str">
        <f>IF(Inputs!I28&lt;&gt;"",Inputs!I26,"")</f>
        <v/>
      </c>
      <c r="J8" s="146"/>
      <c r="K8" s="145" t="str">
        <f>IF(Inputs!K28&lt;&gt;"",Inputs!K26,"")</f>
        <v/>
      </c>
      <c r="L8" s="146"/>
      <c r="M8" s="145" t="str">
        <f>IF(Inputs!M28&lt;&gt;"",Inputs!M26,"")</f>
        <v/>
      </c>
    </row>
    <row r="9" spans="1:26" s="148" customFormat="1" ht="24.75" customHeight="1" x14ac:dyDescent="0.2">
      <c r="A9" s="110"/>
      <c r="B9" s="430" t="s">
        <v>647</v>
      </c>
      <c r="C9" s="431" t="str">
        <f>IF(Inputs!C28="","",Inputs!C28)</f>
        <v/>
      </c>
      <c r="D9" s="432"/>
      <c r="E9" s="431" t="str">
        <f>IF(Inputs!E28="","",Inputs!E28)</f>
        <v/>
      </c>
      <c r="F9" s="433"/>
      <c r="G9" s="434" t="str">
        <f>IF(Inputs!G28="","",Inputs!G28)</f>
        <v/>
      </c>
      <c r="H9" s="146"/>
      <c r="I9" s="108" t="str">
        <f>IF(Inputs!I28="","",Inputs!I28)</f>
        <v/>
      </c>
      <c r="J9" s="146"/>
      <c r="K9" s="108" t="str">
        <f>IF(Inputs!K28="","",Inputs!K28)</f>
        <v/>
      </c>
      <c r="L9" s="146"/>
      <c r="M9" s="108" t="str">
        <f>IF(Inputs!M28="","",Inputs!M28)</f>
        <v/>
      </c>
      <c r="N9" s="110"/>
      <c r="O9" s="110"/>
      <c r="P9" s="110"/>
      <c r="Q9" s="110"/>
      <c r="R9" s="110"/>
      <c r="S9" s="110"/>
      <c r="T9" s="110"/>
      <c r="U9" s="110"/>
      <c r="V9" s="110"/>
      <c r="W9" s="110"/>
      <c r="X9" s="110"/>
      <c r="Y9" s="110"/>
      <c r="Z9" s="110"/>
    </row>
    <row r="10" spans="1:26" s="148" customFormat="1" ht="40.5" customHeight="1" x14ac:dyDescent="0.2">
      <c r="A10" s="110"/>
      <c r="B10" s="435" t="s">
        <v>648</v>
      </c>
      <c r="C10" s="436" t="str">
        <f>IF(Inputs!C31="","",Inputs!C31)</f>
        <v/>
      </c>
      <c r="D10" s="437"/>
      <c r="E10" s="436" t="str">
        <f>IF(Inputs!E31="","",Inputs!E31)</f>
        <v/>
      </c>
      <c r="F10" s="438"/>
      <c r="G10" s="439" t="str">
        <f>IF(Inputs!G31="","",Inputs!G31)</f>
        <v/>
      </c>
      <c r="H10" s="146"/>
      <c r="I10" s="149" t="str">
        <f>IF(Inputs!I31="","",Inputs!I31)</f>
        <v/>
      </c>
      <c r="J10" s="146"/>
      <c r="K10" s="149" t="str">
        <f>IF(Inputs!K31="","",Inputs!K31)</f>
        <v/>
      </c>
      <c r="L10" s="146"/>
      <c r="M10" s="149" t="str">
        <f>IF(Inputs!M31="","",Inputs!M31)</f>
        <v/>
      </c>
      <c r="N10" s="110"/>
      <c r="O10" s="110"/>
      <c r="P10" s="110"/>
      <c r="Q10" s="110"/>
      <c r="R10" s="110"/>
      <c r="S10" s="110"/>
      <c r="T10" s="110"/>
      <c r="U10" s="110"/>
      <c r="V10" s="110"/>
      <c r="W10" s="110"/>
      <c r="X10" s="110"/>
      <c r="Y10" s="110"/>
      <c r="Z10" s="110"/>
    </row>
    <row r="11" spans="1:26" s="148" customFormat="1" ht="40.5" customHeight="1" x14ac:dyDescent="0.2">
      <c r="A11" s="110"/>
      <c r="B11" s="435" t="s">
        <v>649</v>
      </c>
      <c r="C11" s="440" t="str">
        <f>IF(C$9="","",HLOOKUP(C$9,'Plans -Dubai &amp; Other Emirates'!$C$3:$G$52,'Plans -Dubai &amp; Other Emirates'!$I5,0))</f>
        <v/>
      </c>
      <c r="D11" s="437"/>
      <c r="E11" s="440" t="str">
        <f>IF(E$9="","",HLOOKUP(E$9,'Plans -Dubai &amp; Other Emirates'!$C$3:$G$52,'Plans -Dubai &amp; Other Emirates'!$I5,0))</f>
        <v/>
      </c>
      <c r="F11" s="438"/>
      <c r="G11" s="441" t="str">
        <f>IF(G$9="","",HLOOKUP(G$9,'Plans -Dubai &amp; Other Emirates'!$C$3:$G$52,'Plans -Dubai &amp; Other Emirates'!$I5,0))</f>
        <v/>
      </c>
      <c r="H11" s="146"/>
      <c r="I11" s="151" t="str">
        <f>IF(I$9="","",HLOOKUP(I$9,'Plans -Dubai &amp; Other Emirates'!$C$3:$G$52,'Plans -Dubai &amp; Other Emirates'!$I5,0))</f>
        <v/>
      </c>
      <c r="J11" s="146"/>
      <c r="K11" s="151" t="str">
        <f>IF(K$9="","",HLOOKUP(K$9,'Plans -Dubai &amp; Other Emirates'!$C$3:$G$52,'Plans -Dubai &amp; Other Emirates'!$I5,0))</f>
        <v/>
      </c>
      <c r="L11" s="146"/>
      <c r="M11" s="151" t="str">
        <f>IF(M$9="","",HLOOKUP(M$9,'Plans -Dubai &amp; Other Emirates'!$C$3:$G$52,'Plans -Dubai &amp; Other Emirates'!$I5,0))</f>
        <v/>
      </c>
      <c r="N11" s="110"/>
      <c r="O11" s="110"/>
      <c r="P11" s="110"/>
      <c r="Q11" s="110"/>
      <c r="R11" s="110"/>
      <c r="S11" s="110"/>
      <c r="T11" s="110"/>
      <c r="U11" s="110"/>
      <c r="V11" s="110"/>
      <c r="W11" s="110"/>
      <c r="X11" s="110"/>
      <c r="Y11" s="110"/>
      <c r="Z11" s="110"/>
    </row>
    <row r="12" spans="1:26" s="148" customFormat="1" ht="52.5" customHeight="1" x14ac:dyDescent="0.2">
      <c r="A12" s="110"/>
      <c r="B12" s="435" t="s">
        <v>650</v>
      </c>
      <c r="C12" s="436" t="str">
        <f>IF(C$9="","",Inputs!C30&amp;IF(Inputs!$C$16="Yes"," excluding "&amp;Inputs!$C$14&amp;" and all its affiliates both on direct billing and reimbursements basis",""))</f>
        <v/>
      </c>
      <c r="D12" s="442"/>
      <c r="E12" s="436" t="str">
        <f>IF(E$9="","",Inputs!E30&amp;IF(Inputs!$C$16="Yes"," excluding "&amp;Inputs!$C$14&amp;" and all its affiliates both on direct billing and reimbursements basis",""))</f>
        <v/>
      </c>
      <c r="F12" s="438"/>
      <c r="G12" s="439" t="str">
        <f>IF(G$9="","",Inputs!G30&amp;IF(Inputs!$C$16="Yes"," excluding "&amp;Inputs!$C$14&amp;" and all its affiliates both on direct billing and reimbursements basis",""))</f>
        <v/>
      </c>
      <c r="H12" s="146"/>
      <c r="I12" s="149" t="str">
        <f>IF(I$9="","",Inputs!I30&amp;IF(Inputs!$C$16="Yes"," excluding "&amp;Inputs!$C$14&amp;" and all its affiliates both on direct billing and reimbursements basis",""))</f>
        <v/>
      </c>
      <c r="J12" s="146"/>
      <c r="K12" s="149" t="str">
        <f>IF(K$9="","",Inputs!K30&amp;IF(Inputs!$C$16="Yes"," excluding "&amp;Inputs!$C$14&amp;" and all its affiliates both on direct billing and reimbursements basis",""))</f>
        <v/>
      </c>
      <c r="L12" s="146"/>
      <c r="M12" s="149" t="str">
        <f>IF(M$9="","",Inputs!M30&amp;IF(Inputs!$C$16="Yes"," excluding "&amp;Inputs!$C$14&amp;" and all its affiliates both on direct billing and reimbursements basis",""))</f>
        <v/>
      </c>
      <c r="N12" s="110"/>
      <c r="O12" s="110"/>
      <c r="P12" s="110"/>
      <c r="Q12" s="110"/>
      <c r="R12" s="110"/>
      <c r="S12" s="110"/>
      <c r="T12" s="110"/>
      <c r="U12" s="110"/>
      <c r="V12" s="110"/>
      <c r="W12" s="110"/>
      <c r="X12" s="110"/>
      <c r="Y12" s="110"/>
      <c r="Z12" s="110"/>
    </row>
    <row r="13" spans="1:26" s="154" customFormat="1" ht="26.25" customHeight="1" x14ac:dyDescent="0.25">
      <c r="A13" s="119"/>
      <c r="B13" s="435" t="s">
        <v>651</v>
      </c>
      <c r="C13" s="440" t="str">
        <f>IF(C$9="","",HLOOKUP(C$9,'Plans -Dubai &amp; Other Emirates'!$C$3:$G$52,'Plans -Dubai &amp; Other Emirates'!$I7,0))</f>
        <v/>
      </c>
      <c r="D13" s="437"/>
      <c r="E13" s="440" t="str">
        <f>IF(E$9="","",HLOOKUP(E$9,'Plans -Dubai &amp; Other Emirates'!$C$3:$G$52,'Plans -Dubai &amp; Other Emirates'!$I7,0))</f>
        <v/>
      </c>
      <c r="F13" s="443"/>
      <c r="G13" s="441" t="str">
        <f>IF(G$9="","",HLOOKUP(G$9,'Plans -Dubai &amp; Other Emirates'!$C$3:$G$52,'Plans -Dubai &amp; Other Emirates'!$I7,0))</f>
        <v/>
      </c>
      <c r="H13" s="153"/>
      <c r="I13" s="151" t="str">
        <f>IF(I$9="","",HLOOKUP(I$9,'Plans -Dubai &amp; Other Emirates'!$C$3:$G$52,'Plans -Dubai &amp; Other Emirates'!$I7,0))</f>
        <v/>
      </c>
      <c r="J13" s="153"/>
      <c r="K13" s="151" t="str">
        <f>IF(K$9="","",HLOOKUP(K$9,'Plans -Dubai &amp; Other Emirates'!$C$3:$G$52,'Plans -Dubai &amp; Other Emirates'!$I7,0))</f>
        <v/>
      </c>
      <c r="L13" s="153"/>
      <c r="M13" s="151" t="str">
        <f>IF(M$9="","",HLOOKUP(M$9,'Plans -Dubai &amp; Other Emirates'!$C$3:$G$52,'Plans -Dubai &amp; Other Emirates'!$I7,0))</f>
        <v/>
      </c>
      <c r="N13" s="119"/>
      <c r="O13" s="119"/>
      <c r="P13" s="119"/>
      <c r="Q13" s="119"/>
      <c r="R13" s="119"/>
      <c r="S13" s="119"/>
      <c r="T13" s="119"/>
      <c r="U13" s="119"/>
      <c r="V13" s="119"/>
      <c r="W13" s="119"/>
      <c r="X13" s="119"/>
      <c r="Y13" s="119"/>
      <c r="Z13" s="119"/>
    </row>
    <row r="14" spans="1:26" s="154" customFormat="1" ht="84" hidden="1" customHeight="1" x14ac:dyDescent="0.25">
      <c r="A14" s="119"/>
      <c r="B14" s="435" t="s">
        <v>652</v>
      </c>
      <c r="C14" s="442" t="s">
        <v>653</v>
      </c>
      <c r="D14" s="437"/>
      <c r="E14" s="442" t="s">
        <v>653</v>
      </c>
      <c r="F14" s="443"/>
      <c r="G14" s="444" t="s">
        <v>653</v>
      </c>
      <c r="H14" s="153"/>
      <c r="I14" s="152" t="s">
        <v>653</v>
      </c>
      <c r="J14" s="153"/>
      <c r="K14" s="152" t="s">
        <v>653</v>
      </c>
      <c r="L14" s="153"/>
      <c r="M14" s="152" t="s">
        <v>653</v>
      </c>
      <c r="N14" s="119"/>
      <c r="O14" s="119"/>
      <c r="P14" s="119"/>
      <c r="Q14" s="119"/>
      <c r="R14" s="119"/>
      <c r="S14" s="119"/>
      <c r="T14" s="119"/>
      <c r="U14" s="119"/>
      <c r="V14" s="119"/>
      <c r="W14" s="119"/>
      <c r="X14" s="119"/>
      <c r="Y14" s="119"/>
      <c r="Z14" s="119"/>
    </row>
    <row r="15" spans="1:26" s="148" customFormat="1" ht="128.25" hidden="1" customHeight="1" x14ac:dyDescent="0.2">
      <c r="A15" s="110"/>
      <c r="B15" s="435" t="s">
        <v>654</v>
      </c>
      <c r="C15" s="445" t="str">
        <f>IF(C$9="","",HLOOKUP(C$9,'Plans -Dubai &amp; Other Emirates'!$C$3:$G$52,'Plans -Dubai &amp; Other Emirates'!$I9,0))</f>
        <v/>
      </c>
      <c r="D15" s="436"/>
      <c r="E15" s="445" t="str">
        <f>IF(E$9="","",HLOOKUP(E$9,'Plans -Dubai &amp; Other Emirates'!$C$3:$G$52,'Plans -Dubai &amp; Other Emirates'!$I9,0))</f>
        <v/>
      </c>
      <c r="F15" s="438"/>
      <c r="G15" s="446" t="str">
        <f>IF(G$9="","",HLOOKUP(G$9,'Plans -Dubai &amp; Other Emirates'!$C$3:$G$52,'Plans -Dubai &amp; Other Emirates'!$I9,0))</f>
        <v/>
      </c>
      <c r="H15" s="146"/>
      <c r="I15" s="155" t="str">
        <f>IF(I$9="","",HLOOKUP(I$9,'Plans -Dubai &amp; Other Emirates'!$C$3:$G$52,'Plans -Dubai &amp; Other Emirates'!$I9,0))</f>
        <v/>
      </c>
      <c r="J15" s="146"/>
      <c r="K15" s="155" t="str">
        <f>IF(K$9="","",HLOOKUP(K$9,'Plans -Dubai &amp; Other Emirates'!$C$3:$G$52,'Plans -Dubai &amp; Other Emirates'!$I9,0))</f>
        <v/>
      </c>
      <c r="L15" s="146"/>
      <c r="M15" s="155" t="str">
        <f>IF(M$9="","",HLOOKUP(M$9,'Plans -Dubai &amp; Other Emirates'!$C$3:$G$52,'Plans -Dubai &amp; Other Emirates'!$I9,0))</f>
        <v/>
      </c>
      <c r="N15" s="110"/>
      <c r="O15" s="110"/>
      <c r="P15" s="110"/>
      <c r="Q15" s="110"/>
      <c r="R15" s="110"/>
      <c r="S15" s="110"/>
      <c r="T15" s="110"/>
      <c r="U15" s="110"/>
      <c r="V15" s="110"/>
      <c r="W15" s="110"/>
      <c r="X15" s="110"/>
      <c r="Y15" s="110"/>
      <c r="Z15" s="110"/>
    </row>
    <row r="16" spans="1:26" s="148" customFormat="1" ht="22.5" customHeight="1" x14ac:dyDescent="0.2">
      <c r="A16" s="110"/>
      <c r="B16" s="435" t="s">
        <v>655</v>
      </c>
      <c r="C16" s="437" t="str">
        <f>IF(C$9="","",HLOOKUP(C$9,'Plans -Dubai &amp; Other Emirates'!$C$3:$G$52,'Plans -Dubai &amp; Other Emirates'!$I10,0))</f>
        <v/>
      </c>
      <c r="D16" s="447"/>
      <c r="E16" s="437" t="str">
        <f>IF(E$9="","",HLOOKUP(E$9,'Plans -Dubai &amp; Other Emirates'!$C$3:$G$52,'Plans -Dubai &amp; Other Emirates'!$I10,0))</f>
        <v/>
      </c>
      <c r="F16" s="438"/>
      <c r="G16" s="448" t="str">
        <f>IF(G$9="","",HLOOKUP(G$9,'Plans -Dubai &amp; Other Emirates'!$C$3:$G$52,'Plans -Dubai &amp; Other Emirates'!$I10,0))</f>
        <v/>
      </c>
      <c r="H16" s="146"/>
      <c r="I16" s="150" t="str">
        <f>IF(I$9="","",HLOOKUP(I$9,'Plans -Dubai &amp; Other Emirates'!$C$3:$G$52,'Plans -Dubai &amp; Other Emirates'!$I10,0))</f>
        <v/>
      </c>
      <c r="J16" s="146"/>
      <c r="K16" s="150" t="str">
        <f>IF(K$9="","",HLOOKUP(K$9,'Plans -Dubai &amp; Other Emirates'!$C$3:$G$52,'Plans -Dubai &amp; Other Emirates'!$I10,0))</f>
        <v/>
      </c>
      <c r="L16" s="146"/>
      <c r="M16" s="150" t="str">
        <f>IF(M$9="","",HLOOKUP(M$9,'Plans -Dubai &amp; Other Emirates'!$C$3:$G$52,'Plans -Dubai &amp; Other Emirates'!$I10,0))</f>
        <v/>
      </c>
      <c r="N16" s="110"/>
      <c r="O16" s="110"/>
      <c r="P16" s="110"/>
      <c r="Q16" s="110"/>
      <c r="R16" s="110"/>
      <c r="S16" s="110"/>
      <c r="T16" s="110"/>
      <c r="U16" s="110"/>
      <c r="V16" s="110"/>
      <c r="W16" s="110"/>
      <c r="X16" s="110"/>
      <c r="Y16" s="110"/>
      <c r="Z16" s="110"/>
    </row>
    <row r="17" spans="1:26" s="148" customFormat="1" ht="44.25" customHeight="1" x14ac:dyDescent="0.2">
      <c r="A17" s="110"/>
      <c r="B17" s="449" t="s">
        <v>656</v>
      </c>
      <c r="C17" s="440" t="str">
        <f>IF(C$9="","",HLOOKUP(C$9,'Plans -Dubai &amp; Other Emirates'!$C$3:$G$52,'Plans -Dubai &amp; Other Emirates'!$I11,0))</f>
        <v/>
      </c>
      <c r="D17" s="447"/>
      <c r="E17" s="440" t="str">
        <f>IF(E$9="","",HLOOKUP(E$9,'Plans -Dubai &amp; Other Emirates'!$C$3:$G$52,'Plans -Dubai &amp; Other Emirates'!$I11,0))</f>
        <v/>
      </c>
      <c r="F17" s="438"/>
      <c r="G17" s="441" t="str">
        <f>IF(G$9="","",HLOOKUP(G$9,'Plans -Dubai &amp; Other Emirates'!$C$3:$G$52,'Plans -Dubai &amp; Other Emirates'!$I11,0))</f>
        <v/>
      </c>
      <c r="H17" s="146"/>
      <c r="I17" s="151" t="str">
        <f>IF(I$9="","",HLOOKUP(I$9,'Plans -Dubai &amp; Other Emirates'!$C$3:$G$52,'Plans -Dubai &amp; Other Emirates'!$I11,0))</f>
        <v/>
      </c>
      <c r="J17" s="146"/>
      <c r="K17" s="151" t="str">
        <f>IF(K$9="","",HLOOKUP(K$9,'Plans -Dubai &amp; Other Emirates'!$C$3:$G$52,'Plans -Dubai &amp; Other Emirates'!$I11,0))</f>
        <v/>
      </c>
      <c r="L17" s="146"/>
      <c r="M17" s="151" t="str">
        <f>IF(M$9="","",HLOOKUP(M$9,'Plans -Dubai &amp; Other Emirates'!$C$3:$G$52,'Plans -Dubai &amp; Other Emirates'!$I11,0))</f>
        <v/>
      </c>
      <c r="N17" s="110"/>
      <c r="O17" s="110"/>
      <c r="P17" s="110"/>
      <c r="Q17" s="110"/>
      <c r="R17" s="110"/>
      <c r="S17" s="110"/>
      <c r="T17" s="110"/>
      <c r="U17" s="110"/>
      <c r="V17" s="110"/>
      <c r="W17" s="110"/>
      <c r="X17" s="110"/>
      <c r="Y17" s="110"/>
      <c r="Z17" s="110"/>
    </row>
    <row r="18" spans="1:26" s="148" customFormat="1" ht="73.5" customHeight="1" x14ac:dyDescent="0.2">
      <c r="A18" s="110"/>
      <c r="B18" s="449" t="s">
        <v>657</v>
      </c>
      <c r="C18" s="437" t="str">
        <f>IF(C$9="","",HLOOKUP(C$9,'Plans -Dubai &amp; Other Emirates'!$C$3:$G$52,'Plans -Dubai &amp; Other Emirates'!$I12,0))</f>
        <v/>
      </c>
      <c r="D18" s="447"/>
      <c r="E18" s="437" t="str">
        <f>IF(E$9="","",HLOOKUP(E$9,'Plans -Dubai &amp; Other Emirates'!$C$3:$G$52,'Plans -Dubai &amp; Other Emirates'!$I12,0))</f>
        <v/>
      </c>
      <c r="F18" s="438"/>
      <c r="G18" s="448" t="str">
        <f>IF(G$9="","",HLOOKUP(G$9,'Plans -Dubai &amp; Other Emirates'!$C$3:$G$52,'Plans -Dubai &amp; Other Emirates'!$I12,0))</f>
        <v/>
      </c>
      <c r="H18" s="146"/>
      <c r="I18" s="150" t="str">
        <f>IF(I$9="","",HLOOKUP(I$9,'Plans -Dubai &amp; Other Emirates'!$C$3:$G$52,'Plans -Dubai &amp; Other Emirates'!$I12,0))</f>
        <v/>
      </c>
      <c r="J18" s="146"/>
      <c r="K18" s="150" t="str">
        <f>IF(K$9="","",HLOOKUP(K$9,'Plans -Dubai &amp; Other Emirates'!$C$3:$G$52,'Plans -Dubai &amp; Other Emirates'!$I12,0))</f>
        <v/>
      </c>
      <c r="L18" s="146"/>
      <c r="M18" s="150" t="str">
        <f>IF(M$9="","",HLOOKUP(M$9,'Plans -Dubai &amp; Other Emirates'!$C$3:$G$52,'Plans -Dubai &amp; Other Emirates'!$I12,0))</f>
        <v/>
      </c>
      <c r="N18" s="110"/>
      <c r="O18" s="110"/>
      <c r="P18" s="110"/>
      <c r="Q18" s="110"/>
      <c r="R18" s="110"/>
      <c r="S18" s="110"/>
      <c r="T18" s="110"/>
      <c r="U18" s="110"/>
      <c r="V18" s="110"/>
      <c r="W18" s="110"/>
      <c r="X18" s="110"/>
      <c r="Y18" s="110"/>
      <c r="Z18" s="110"/>
    </row>
    <row r="19" spans="1:26" s="148" customFormat="1" ht="63.6" customHeight="1" x14ac:dyDescent="0.2">
      <c r="A19" s="110"/>
      <c r="B19" s="449" t="s">
        <v>658</v>
      </c>
      <c r="C19" s="445" t="str">
        <f>IF(C$9="","",HLOOKUP(C$9,'Plans -Dubai &amp; Other Emirates'!$C$3:$G$52,'Plans -Dubai &amp; Other Emirates'!$I13,0))</f>
        <v/>
      </c>
      <c r="D19" s="436"/>
      <c r="E19" s="445" t="str">
        <f>IF(E$9="","",HLOOKUP(E$9,'Plans -Dubai &amp; Other Emirates'!$C$3:$G$52,'Plans -Dubai &amp; Other Emirates'!$I13,0))</f>
        <v/>
      </c>
      <c r="F19" s="438"/>
      <c r="G19" s="446" t="str">
        <f>IF(G$9="","",HLOOKUP(G$9,'Plans -Dubai &amp; Other Emirates'!$C$3:$G$52,'Plans -Dubai &amp; Other Emirates'!$I13,0))</f>
        <v/>
      </c>
      <c r="H19" s="146"/>
      <c r="I19" s="155" t="str">
        <f>IF(I$9="","",HLOOKUP(I$9,'Plans -Dubai &amp; Other Emirates'!$C$3:$G$52,'Plans -Dubai &amp; Other Emirates'!$I13,0))</f>
        <v/>
      </c>
      <c r="J19" s="146"/>
      <c r="K19" s="155" t="str">
        <f>IF(K$9="","",HLOOKUP(K$9,'Plans -Dubai &amp; Other Emirates'!$C$3:$G$52,'Plans -Dubai &amp; Other Emirates'!$I13,0))</f>
        <v/>
      </c>
      <c r="L19" s="146"/>
      <c r="M19" s="155" t="str">
        <f>IF(M$9="","",HLOOKUP(M$9,'Plans -Dubai &amp; Other Emirates'!$C$3:$G$52,'Plans -Dubai &amp; Other Emirates'!$I13,0))</f>
        <v/>
      </c>
      <c r="N19" s="110"/>
      <c r="O19" s="110"/>
      <c r="P19" s="110"/>
      <c r="Q19" s="110"/>
      <c r="R19" s="110"/>
      <c r="S19" s="110"/>
      <c r="T19" s="110"/>
      <c r="U19" s="110"/>
      <c r="V19" s="110"/>
      <c r="W19" s="110"/>
      <c r="X19" s="110"/>
      <c r="Y19" s="110"/>
      <c r="Z19" s="110"/>
    </row>
    <row r="20" spans="1:26" s="148" customFormat="1" ht="57" customHeight="1" x14ac:dyDescent="0.2">
      <c r="A20" s="110"/>
      <c r="B20" s="449" t="s">
        <v>659</v>
      </c>
      <c r="C20" s="437" t="str">
        <f>IF(C$9="","",HLOOKUP(C$9,'Plans -Dubai &amp; Other Emirates'!$C$3:$G$52,'Plans -Dubai &amp; Other Emirates'!$I14,0))</f>
        <v/>
      </c>
      <c r="D20" s="447"/>
      <c r="E20" s="437" t="str">
        <f>IF(E$9="","",HLOOKUP(E$9,'Plans -Dubai &amp; Other Emirates'!$C$3:$G$52,'Plans -Dubai &amp; Other Emirates'!$I14,0))</f>
        <v/>
      </c>
      <c r="F20" s="438"/>
      <c r="G20" s="448" t="str">
        <f>IF(G$9="","",HLOOKUP(G$9,'Plans -Dubai &amp; Other Emirates'!$C$3:$G$52,'Plans -Dubai &amp; Other Emirates'!$I14,0))</f>
        <v/>
      </c>
      <c r="H20" s="146"/>
      <c r="I20" s="150" t="str">
        <f>IF(I$9="","",HLOOKUP(I$9,'Plans -Dubai &amp; Other Emirates'!$C$3:$G$52,'Plans -Dubai &amp; Other Emirates'!$I14,0))</f>
        <v/>
      </c>
      <c r="J20" s="146"/>
      <c r="K20" s="150" t="str">
        <f>IF(K$9="","",HLOOKUP(K$9,'Plans -Dubai &amp; Other Emirates'!$C$3:$G$52,'Plans -Dubai &amp; Other Emirates'!$I14,0))</f>
        <v/>
      </c>
      <c r="L20" s="146"/>
      <c r="M20" s="150" t="str">
        <f>IF(M$9="","",HLOOKUP(M$9,'Plans -Dubai &amp; Other Emirates'!$C$3:$G$52,'Plans -Dubai &amp; Other Emirates'!$I14,0))</f>
        <v/>
      </c>
      <c r="N20" s="110"/>
      <c r="O20" s="110"/>
      <c r="P20" s="110"/>
      <c r="Q20" s="110"/>
      <c r="R20" s="110"/>
      <c r="S20" s="110"/>
      <c r="T20" s="110"/>
      <c r="U20" s="110"/>
      <c r="V20" s="110"/>
      <c r="W20" s="110"/>
      <c r="X20" s="110"/>
      <c r="Y20" s="110"/>
      <c r="Z20" s="110"/>
    </row>
    <row r="21" spans="1:26" s="148" customFormat="1" ht="48" customHeight="1" x14ac:dyDescent="0.2">
      <c r="A21" s="110"/>
      <c r="B21" s="449" t="s">
        <v>660</v>
      </c>
      <c r="C21" s="445" t="str">
        <f>IF(C$9="","",IF(Inputs!C36="Nil","Nil Co-pay", "20% max "&amp;Inputs!C36))</f>
        <v/>
      </c>
      <c r="D21" s="442"/>
      <c r="E21" s="445" t="str">
        <f>IF(E$9="","",IF(Inputs!E36="Nil","Nil Co-pay","20% max "&amp;Inputs!E36))</f>
        <v/>
      </c>
      <c r="F21" s="438"/>
      <c r="G21" s="446" t="str">
        <f>IF(G$9="","",IF(Inputs!G36="Nil","Nil Co-pay","20% max "&amp;Inputs!G36))</f>
        <v/>
      </c>
      <c r="H21" s="146"/>
      <c r="I21" s="155" t="str">
        <f>IF(I$9="","","20% max "&amp;Inputs!I36)</f>
        <v/>
      </c>
      <c r="J21" s="146"/>
      <c r="K21" s="155" t="str">
        <f>IF(K$9="","","20% max "&amp;Inputs!K36)</f>
        <v/>
      </c>
      <c r="L21" s="146"/>
      <c r="M21" s="155" t="str">
        <f>IF(M$9="","","20% max "&amp;Inputs!M36)</f>
        <v/>
      </c>
      <c r="N21" s="110"/>
      <c r="O21" s="110"/>
      <c r="P21" s="110"/>
      <c r="Q21" s="110"/>
      <c r="R21" s="110"/>
      <c r="S21" s="110"/>
      <c r="T21" s="110"/>
      <c r="U21" s="110"/>
      <c r="V21" s="110"/>
      <c r="W21" s="110"/>
      <c r="X21" s="110"/>
      <c r="Y21" s="110"/>
      <c r="Z21" s="110"/>
    </row>
    <row r="22" spans="1:26" s="148" customFormat="1" ht="75" customHeight="1" x14ac:dyDescent="0.2">
      <c r="A22" s="110"/>
      <c r="B22" s="449" t="s">
        <v>661</v>
      </c>
      <c r="C22" s="436" t="str">
        <f>IF(C$9="","","Covered up to "&amp;IF(Inputs!C35="AAL","","AED ")&amp;TEXT(Inputs!C35,"#,###")&amp;" 
Subject to "
&amp;Inputs!C34*100&amp;"% Co-pay")</f>
        <v/>
      </c>
      <c r="D22" s="442"/>
      <c r="E22" s="436" t="str">
        <f>IF(E$9="","","Covered up to "&amp;IF(Inputs!E35="AAL","","AED ")&amp;TEXT(Inputs!E35,"#,###")&amp;" 
Subject to "
&amp;Inputs!E34*100&amp;"% Co-pay")</f>
        <v/>
      </c>
      <c r="F22" s="438"/>
      <c r="G22" s="439" t="str">
        <f>IF(G$9="","","Covered up to "&amp;IF(Inputs!G35="AAL","","AED ")&amp;TEXT(Inputs!G35,"#,###")&amp;" 
Subject to "
&amp;Inputs!G34*100&amp;"% Co-pay")</f>
        <v/>
      </c>
      <c r="H22" s="146"/>
      <c r="I22" s="149" t="str">
        <f>IF(I$9="","","Covered up to "&amp;Inputs!I35&amp;" Subject to "
&amp;Inputs!I34*100&amp;"% Co-pay")</f>
        <v/>
      </c>
      <c r="J22" s="146"/>
      <c r="K22" s="149" t="str">
        <f>IF(K$9="","","Covered up to "&amp;Inputs!K35&amp;" Subject to "
&amp;Inputs!K34*100&amp;"% Co-pay")</f>
        <v/>
      </c>
      <c r="L22" s="146"/>
      <c r="M22" s="149" t="str">
        <f>IF(M$9="","","Covered up to "&amp;Inputs!M35&amp;" Subject to "
&amp;Inputs!M34*100&amp;"% Co-pay")</f>
        <v/>
      </c>
      <c r="N22" s="110"/>
      <c r="O22" s="110"/>
      <c r="P22" s="110"/>
      <c r="Q22" s="110"/>
      <c r="R22" s="110"/>
      <c r="S22" s="110"/>
      <c r="T22" s="110"/>
      <c r="U22" s="110"/>
      <c r="V22" s="110"/>
      <c r="W22" s="110"/>
      <c r="X22" s="110"/>
      <c r="Y22" s="110"/>
      <c r="Z22" s="110"/>
    </row>
    <row r="23" spans="1:26" s="148" customFormat="1" ht="35.25" customHeight="1" x14ac:dyDescent="0.2">
      <c r="A23" s="110"/>
      <c r="B23" s="449" t="s">
        <v>662</v>
      </c>
      <c r="C23" s="450" t="str">
        <f>IF(C$9="","","Covered up to AAL subject to "
&amp;Inputs!C37*100&amp;"% Co-pay")</f>
        <v/>
      </c>
      <c r="D23" s="442"/>
      <c r="E23" s="450" t="str">
        <f>IF(E$9="","","Covered up to AAL subject to "
&amp;Inputs!E37*100&amp;"% Co-pay")</f>
        <v/>
      </c>
      <c r="F23" s="450"/>
      <c r="G23" s="451" t="str">
        <f>IF(G$9="","","Covered up to AAL subject to "
&amp;Inputs!G37*100&amp;"% Co-pay")</f>
        <v/>
      </c>
      <c r="H23" s="146"/>
      <c r="I23" s="158" t="str">
        <f>IF(I$9="","","Covered up to AAL subject to "
&amp;Inputs!I37*100&amp;"% Co-pay")</f>
        <v/>
      </c>
      <c r="J23" s="146"/>
      <c r="K23" s="158" t="str">
        <f>IF(K$9="","","Covered up to AAL subject to "
&amp;Inputs!K37*100&amp;"% Co-pay")</f>
        <v/>
      </c>
      <c r="L23" s="146"/>
      <c r="M23" s="158" t="str">
        <f>IF(M$9="","","Covered up to AAL subject to "
&amp;Inputs!M37*100&amp;"% Co-pay")</f>
        <v/>
      </c>
      <c r="N23" s="110"/>
      <c r="O23" s="110"/>
      <c r="P23" s="110"/>
      <c r="Q23" s="110"/>
      <c r="R23" s="110"/>
      <c r="S23" s="110"/>
      <c r="T23" s="110"/>
      <c r="U23" s="110"/>
      <c r="V23" s="110"/>
      <c r="W23" s="110"/>
      <c r="X23" s="110"/>
      <c r="Y23" s="110"/>
      <c r="Z23" s="110"/>
    </row>
    <row r="24" spans="1:26" s="148" customFormat="1" ht="300" customHeight="1" x14ac:dyDescent="0.2">
      <c r="A24" s="110"/>
      <c r="B24" s="435" t="s">
        <v>663</v>
      </c>
      <c r="C24" s="442" t="str">
        <f>IF(C$9="","",HLOOKUP(C$9,'Plans -Dubai &amp; Other Emirates'!$C$3:$G$52,'Plans -Dubai &amp; Other Emirates'!$I19,0))</f>
        <v/>
      </c>
      <c r="D24" s="442"/>
      <c r="E24" s="442" t="str">
        <f>IF(E$9="","",HLOOKUP(E$9,'Plans -Dubai &amp; Other Emirates'!$C$3:$G$52,'Plans -Dubai &amp; Other Emirates'!$I19,0))</f>
        <v/>
      </c>
      <c r="F24" s="438"/>
      <c r="G24" s="444" t="str">
        <f>IF(G$9="","",HLOOKUP(G$9,'Plans -Dubai &amp; Other Emirates'!$C$3:$G$52,'Plans -Dubai &amp; Other Emirates'!$I19,0))</f>
        <v/>
      </c>
      <c r="H24" s="146"/>
      <c r="I24" s="152" t="str">
        <f>IF(I$9="","",HLOOKUP(I$9,'Plans -Dubai &amp; Other Emirates'!$C$3:$G$52,'Plans -Dubai &amp; Other Emirates'!$I19,0))</f>
        <v/>
      </c>
      <c r="J24" s="146"/>
      <c r="K24" s="152" t="str">
        <f>IF(K$9="","",HLOOKUP(K$9,'Plans -Dubai &amp; Other Emirates'!$C$3:$G$52,'Plans -Dubai &amp; Other Emirates'!$I19,0))</f>
        <v/>
      </c>
      <c r="L24" s="146"/>
      <c r="M24" s="152" t="str">
        <f>IF(M$9="","",HLOOKUP(M$9,'Plans -Dubai &amp; Other Emirates'!$C$3:$G$52,'Plans -Dubai &amp; Other Emirates'!$I19,0))</f>
        <v/>
      </c>
      <c r="N24" s="110"/>
      <c r="O24" s="110"/>
      <c r="P24" s="110"/>
      <c r="Q24" s="110"/>
      <c r="R24" s="110"/>
      <c r="S24" s="110"/>
      <c r="T24" s="110"/>
      <c r="U24" s="110"/>
      <c r="V24" s="110"/>
      <c r="W24" s="110"/>
      <c r="X24" s="110"/>
      <c r="Y24" s="110"/>
      <c r="Z24" s="110"/>
    </row>
    <row r="25" spans="1:26" s="148" customFormat="1" ht="18" customHeight="1" x14ac:dyDescent="0.2">
      <c r="A25" s="110"/>
      <c r="B25" s="435" t="s">
        <v>664</v>
      </c>
      <c r="C25" s="437"/>
      <c r="D25" s="437"/>
      <c r="E25" s="437"/>
      <c r="F25" s="438"/>
      <c r="G25" s="448"/>
      <c r="H25" s="146"/>
      <c r="I25" s="150"/>
      <c r="J25" s="146"/>
      <c r="K25" s="150"/>
      <c r="L25" s="146"/>
      <c r="M25" s="150"/>
      <c r="N25" s="110"/>
      <c r="O25" s="110"/>
      <c r="P25" s="110"/>
      <c r="Q25" s="110"/>
      <c r="R25" s="110"/>
      <c r="S25" s="110"/>
      <c r="T25" s="110"/>
      <c r="U25" s="110"/>
      <c r="V25" s="110"/>
      <c r="W25" s="110"/>
      <c r="X25" s="110"/>
      <c r="Y25" s="110"/>
      <c r="Z25" s="110"/>
    </row>
    <row r="26" spans="1:26" s="148" customFormat="1" ht="21" customHeight="1" x14ac:dyDescent="0.2">
      <c r="A26" s="110"/>
      <c r="B26" s="452" t="s">
        <v>665</v>
      </c>
      <c r="C26" s="453" t="str">
        <f>IF(C$9="","",HLOOKUP(C$9,'Plans -Dubai &amp; Other Emirates'!$C$3:$G$52,'Plans -Dubai &amp; Other Emirates'!$I21,0))</f>
        <v/>
      </c>
      <c r="D26" s="447"/>
      <c r="E26" s="453" t="str">
        <f>IF(E$9="","",HLOOKUP(E$9,'Plans -Dubai &amp; Other Emirates'!$C$3:$G$52,'Plans -Dubai &amp; Other Emirates'!$I21,0))</f>
        <v/>
      </c>
      <c r="F26" s="438"/>
      <c r="G26" s="454" t="str">
        <f>IF(G$9="","",HLOOKUP(G$9,'Plans -Dubai &amp; Other Emirates'!$C$3:$G$52,'Plans -Dubai &amp; Other Emirates'!$I21,0))</f>
        <v/>
      </c>
      <c r="H26" s="146"/>
      <c r="I26" s="157" t="str">
        <f>IF(I$9="","",HLOOKUP(I$9,'Plans -Dubai &amp; Other Emirates'!$C$3:$G$52,'Plans -Dubai &amp; Other Emirates'!$I21,0))</f>
        <v/>
      </c>
      <c r="J26" s="146"/>
      <c r="K26" s="157" t="str">
        <f>IF(K$9="","",HLOOKUP(K$9,'Plans -Dubai &amp; Other Emirates'!$C$3:$G$52,'Plans -Dubai &amp; Other Emirates'!$I21,0))</f>
        <v/>
      </c>
      <c r="L26" s="146"/>
      <c r="M26" s="157" t="str">
        <f>IF(M$9="","",HLOOKUP(M$9,'Plans -Dubai &amp; Other Emirates'!$C$3:$G$52,'Plans -Dubai &amp; Other Emirates'!$I21,0))</f>
        <v/>
      </c>
      <c r="N26" s="110"/>
      <c r="O26" s="110"/>
      <c r="P26" s="110"/>
      <c r="Q26" s="110"/>
      <c r="R26" s="110"/>
      <c r="S26" s="110"/>
      <c r="T26" s="110"/>
      <c r="U26" s="110"/>
      <c r="V26" s="110"/>
      <c r="W26" s="110"/>
      <c r="X26" s="110"/>
      <c r="Y26" s="110"/>
      <c r="Z26" s="110"/>
    </row>
    <row r="27" spans="1:26" s="148" customFormat="1" ht="68.25" customHeight="1" x14ac:dyDescent="0.2">
      <c r="A27" s="110"/>
      <c r="B27" s="455" t="s">
        <v>666</v>
      </c>
      <c r="C27" s="442" t="str">
        <f>IF(C$9="","",HLOOKUP(C$9,'Plans -Dubai &amp; Other Emirates'!$C$3:$G$52,'Plans -Dubai &amp; Other Emirates'!$I22,0))</f>
        <v/>
      </c>
      <c r="D27" s="442"/>
      <c r="E27" s="442" t="str">
        <f>IF(E$9="","",HLOOKUP(E$9,'Plans -Dubai &amp; Other Emirates'!$C$3:$G$52,'Plans -Dubai &amp; Other Emirates'!$I22,0))</f>
        <v/>
      </c>
      <c r="F27" s="438"/>
      <c r="G27" s="444" t="str">
        <f>IF(G$9="","",HLOOKUP(G$9,'Plans -Dubai &amp; Other Emirates'!$C$3:$G$52,'Plans -Dubai &amp; Other Emirates'!$I22,0))</f>
        <v/>
      </c>
      <c r="H27" s="146"/>
      <c r="I27" s="152" t="str">
        <f>IF(I$9="","",HLOOKUP(I$9,'Plans -Dubai &amp; Other Emirates'!$C$3:$G$52,'Plans -Dubai &amp; Other Emirates'!$I22,0))</f>
        <v/>
      </c>
      <c r="J27" s="146"/>
      <c r="K27" s="152" t="str">
        <f>IF(K$9="","",HLOOKUP(K$9,'Plans -Dubai &amp; Other Emirates'!$C$3:$G$52,'Plans -Dubai &amp; Other Emirates'!$I22,0))</f>
        <v/>
      </c>
      <c r="L27" s="146"/>
      <c r="M27" s="152" t="str">
        <f>IF(M$9="","",HLOOKUP(M$9,'Plans -Dubai &amp; Other Emirates'!$C$3:$G$52,'Plans -Dubai &amp; Other Emirates'!$I22,0))</f>
        <v/>
      </c>
      <c r="N27" s="110"/>
      <c r="O27" s="110"/>
      <c r="P27" s="110"/>
      <c r="Q27" s="110"/>
      <c r="R27" s="110"/>
      <c r="S27" s="110"/>
      <c r="T27" s="110"/>
      <c r="U27" s="110"/>
      <c r="V27" s="110"/>
      <c r="W27" s="110"/>
      <c r="X27" s="110"/>
      <c r="Y27" s="110"/>
      <c r="Z27" s="110"/>
    </row>
    <row r="28" spans="1:26" s="148" customFormat="1" ht="77.25" hidden="1" customHeight="1" x14ac:dyDescent="0.2">
      <c r="A28" s="110"/>
      <c r="B28" s="455" t="s">
        <v>667</v>
      </c>
      <c r="C28" s="450" t="str">
        <f>IF(C$9="","",HLOOKUP(C$9,'Plans -Dubai &amp; Other Emirates'!$C$3:$G$52,'Plans -Dubai &amp; Other Emirates'!$I23,0))</f>
        <v/>
      </c>
      <c r="D28" s="442"/>
      <c r="E28" s="450" t="str">
        <f>IF(E$9="","",HLOOKUP(E$9,'Plans -Dubai &amp; Other Emirates'!$C$3:$G$52,'Plans -Dubai &amp; Other Emirates'!$I23,0))</f>
        <v/>
      </c>
      <c r="F28" s="438"/>
      <c r="G28" s="451" t="str">
        <f>IF(G$9="","",HLOOKUP(G$9,'Plans -Dubai &amp; Other Emirates'!$C$3:$G$52,'Plans -Dubai &amp; Other Emirates'!$I23,0))</f>
        <v/>
      </c>
      <c r="H28" s="146"/>
      <c r="I28" s="158" t="str">
        <f>IF(I$9="","",HLOOKUP(I$9,'Plans -Dubai &amp; Other Emirates'!$C$3:$G$52,'Plans -Dubai &amp; Other Emirates'!$I23,0))</f>
        <v/>
      </c>
      <c r="J28" s="146"/>
      <c r="K28" s="158" t="str">
        <f>IF(K$9="","",HLOOKUP(K$9,'Plans -Dubai &amp; Other Emirates'!$C$3:$G$52,'Plans -Dubai &amp; Other Emirates'!$I23,0))</f>
        <v/>
      </c>
      <c r="L28" s="146"/>
      <c r="M28" s="158" t="str">
        <f>IF(M$9="","",HLOOKUP(M$9,'Plans -Dubai &amp; Other Emirates'!$C$3:$G$52,'Plans -Dubai &amp; Other Emirates'!$I23,0))</f>
        <v/>
      </c>
      <c r="N28" s="110"/>
      <c r="O28" s="110"/>
      <c r="P28" s="110"/>
      <c r="Q28" s="110"/>
      <c r="R28" s="110"/>
      <c r="S28" s="110"/>
      <c r="T28" s="110"/>
      <c r="U28" s="110"/>
      <c r="V28" s="110"/>
      <c r="W28" s="110"/>
      <c r="X28" s="110"/>
      <c r="Y28" s="110"/>
      <c r="Z28" s="110"/>
    </row>
    <row r="29" spans="1:26" s="148" customFormat="1" ht="21.75" customHeight="1" x14ac:dyDescent="0.2">
      <c r="A29" s="110"/>
      <c r="B29" s="435" t="s">
        <v>668</v>
      </c>
      <c r="C29" s="447"/>
      <c r="D29" s="447"/>
      <c r="E29" s="447"/>
      <c r="F29" s="438"/>
      <c r="G29" s="456"/>
      <c r="H29" s="146"/>
      <c r="I29" s="156"/>
      <c r="J29" s="146"/>
      <c r="K29" s="156"/>
      <c r="L29" s="146"/>
      <c r="M29" s="156"/>
      <c r="N29" s="110"/>
      <c r="O29" s="110"/>
      <c r="P29" s="110"/>
      <c r="Q29" s="110"/>
      <c r="R29" s="110"/>
      <c r="S29" s="110"/>
      <c r="T29" s="110"/>
      <c r="U29" s="110"/>
      <c r="V29" s="110"/>
      <c r="W29" s="110"/>
      <c r="X29" s="110"/>
      <c r="Y29" s="110"/>
      <c r="Z29" s="110"/>
    </row>
    <row r="30" spans="1:26" s="148" customFormat="1" ht="20.25" customHeight="1" x14ac:dyDescent="0.2">
      <c r="A30" s="110"/>
      <c r="B30" s="452" t="s">
        <v>669</v>
      </c>
      <c r="C30" s="457" t="str">
        <f>IF(C$9="","",HLOOKUP(C$9,'Plans -Dubai &amp; Other Emirates'!$C$3:$G$52,'Plans -Dubai &amp; Other Emirates'!$I25,0))</f>
        <v/>
      </c>
      <c r="D30" s="447"/>
      <c r="E30" s="457" t="str">
        <f>IF(E$9="","",HLOOKUP(E$9,'Plans -Dubai &amp; Other Emirates'!$C$3:$G$52,'Plans -Dubai &amp; Other Emirates'!$I25,0))</f>
        <v/>
      </c>
      <c r="F30" s="438"/>
      <c r="G30" s="458" t="str">
        <f>IF(G$9="","",HLOOKUP(G$9,'Plans -Dubai &amp; Other Emirates'!$C$3:$G$52,'Plans -Dubai &amp; Other Emirates'!$I25,0))</f>
        <v/>
      </c>
      <c r="H30" s="146"/>
      <c r="I30" s="159" t="str">
        <f>IF(I$9="","",HLOOKUP(I$9,'Plans -Dubai &amp; Other Emirates'!$C$3:$G$52,'Plans -Dubai &amp; Other Emirates'!$I25,0))</f>
        <v/>
      </c>
      <c r="J30" s="146"/>
      <c r="K30" s="159" t="str">
        <f>IF(K$9="","",HLOOKUP(K$9,'Plans -Dubai &amp; Other Emirates'!$C$3:$G$52,'Plans -Dubai &amp; Other Emirates'!$I25,0))</f>
        <v/>
      </c>
      <c r="L30" s="146"/>
      <c r="M30" s="159" t="str">
        <f>IF(M$9="","",HLOOKUP(M$9,'Plans -Dubai &amp; Other Emirates'!$C$3:$G$52,'Plans -Dubai &amp; Other Emirates'!$I25,0))</f>
        <v/>
      </c>
      <c r="N30" s="110"/>
      <c r="O30" s="110"/>
      <c r="P30" s="110"/>
      <c r="Q30" s="110"/>
      <c r="R30" s="110"/>
      <c r="S30" s="110"/>
      <c r="T30" s="110"/>
      <c r="U30" s="110"/>
      <c r="V30" s="110"/>
      <c r="W30" s="110"/>
      <c r="X30" s="110"/>
      <c r="Y30" s="110"/>
      <c r="Z30" s="110"/>
    </row>
    <row r="31" spans="1:26" s="148" customFormat="1" ht="42" customHeight="1" x14ac:dyDescent="0.2">
      <c r="A31" s="110"/>
      <c r="B31" s="455" t="s">
        <v>670</v>
      </c>
      <c r="C31" s="442" t="str">
        <f>IF(C$9="","",HLOOKUP(C$9,'Plans -Dubai &amp; Other Emirates'!$C$3:$G$52,'Plans -Dubai &amp; Other Emirates'!$I26,0))</f>
        <v/>
      </c>
      <c r="D31" s="442"/>
      <c r="E31" s="442" t="str">
        <f>IF(E$9="","",HLOOKUP(E$9,'Plans -Dubai &amp; Other Emirates'!$C$3:$G$52,'Plans -Dubai &amp; Other Emirates'!$I26,0))</f>
        <v/>
      </c>
      <c r="F31" s="438"/>
      <c r="G31" s="444" t="str">
        <f>IF(G$9="","",HLOOKUP(G$9,'Plans -Dubai &amp; Other Emirates'!$C$3:$G$52,'Plans -Dubai &amp; Other Emirates'!$I26,0))</f>
        <v/>
      </c>
      <c r="H31" s="146"/>
      <c r="I31" s="152" t="str">
        <f>IF(I$9="","",HLOOKUP(I$9,'Plans -Dubai &amp; Other Emirates'!$C$3:$G$52,'Plans -Dubai &amp; Other Emirates'!$I26,0))</f>
        <v/>
      </c>
      <c r="J31" s="146"/>
      <c r="K31" s="152" t="str">
        <f>IF(K$9="","",HLOOKUP(K$9,'Plans -Dubai &amp; Other Emirates'!$C$3:$G$52,'Plans -Dubai &amp; Other Emirates'!$I26,0))</f>
        <v/>
      </c>
      <c r="L31" s="146"/>
      <c r="M31" s="152" t="str">
        <f>IF(M$9="","",HLOOKUP(M$9,'Plans -Dubai &amp; Other Emirates'!$C$3:$G$52,'Plans -Dubai &amp; Other Emirates'!$I26,0))</f>
        <v/>
      </c>
      <c r="N31" s="110"/>
      <c r="O31" s="110"/>
      <c r="P31" s="110"/>
      <c r="Q31" s="110"/>
      <c r="R31" s="110"/>
      <c r="S31" s="110"/>
      <c r="T31" s="110"/>
      <c r="U31" s="110"/>
      <c r="V31" s="110"/>
      <c r="W31" s="110"/>
      <c r="X31" s="110"/>
      <c r="Y31" s="110"/>
      <c r="Z31" s="110"/>
    </row>
    <row r="32" spans="1:26" s="148" customFormat="1" ht="49.5" customHeight="1" x14ac:dyDescent="0.2">
      <c r="A32" s="110"/>
      <c r="B32" s="449" t="s">
        <v>671</v>
      </c>
      <c r="C32" s="447"/>
      <c r="D32" s="447"/>
      <c r="E32" s="447"/>
      <c r="F32" s="438"/>
      <c r="G32" s="456"/>
      <c r="H32" s="146"/>
      <c r="I32" s="156"/>
      <c r="J32" s="146"/>
      <c r="K32" s="156"/>
      <c r="L32" s="146"/>
      <c r="M32" s="156"/>
      <c r="N32" s="110"/>
      <c r="O32" s="110"/>
      <c r="P32" s="110"/>
      <c r="Q32" s="110"/>
      <c r="R32" s="110"/>
      <c r="S32" s="110"/>
      <c r="T32" s="110"/>
      <c r="U32" s="110"/>
      <c r="V32" s="110"/>
      <c r="W32" s="110"/>
      <c r="X32" s="110"/>
      <c r="Y32" s="110"/>
      <c r="Z32" s="110"/>
    </row>
    <row r="33" spans="1:26" s="148" customFormat="1" ht="67.5" customHeight="1" x14ac:dyDescent="0.2">
      <c r="A33" s="110"/>
      <c r="B33" s="459" t="s">
        <v>672</v>
      </c>
      <c r="C33" s="460" t="str">
        <f>IF(C$9="","",HLOOKUP(C$9,'Plans -Dubai &amp; Other Emirates'!$C$3:$G$52,'Plans -Dubai &amp; Other Emirates'!$I28,0))</f>
        <v/>
      </c>
      <c r="D33" s="461"/>
      <c r="E33" s="450" t="str">
        <f>IF(E$9="","",HLOOKUP(E$9,'Plans -Dubai &amp; Other Emirates'!$C$3:$G$52,'Plans -Dubai &amp; Other Emirates'!$I28,0))</f>
        <v/>
      </c>
      <c r="F33" s="438"/>
      <c r="G33" s="451" t="str">
        <f>IF(G$9="","",HLOOKUP(G$9,'Plans -Dubai &amp; Other Emirates'!$C$3:$G$52,'Plans -Dubai &amp; Other Emirates'!$I28,0))</f>
        <v/>
      </c>
      <c r="H33" s="146"/>
      <c r="I33" s="158" t="str">
        <f>IF(I$9="","",HLOOKUP(I$9,'Plans -Dubai &amp; Other Emirates'!$C$3:$G$52,'Plans -Dubai &amp; Other Emirates'!$I28,0))</f>
        <v/>
      </c>
      <c r="J33" s="146"/>
      <c r="K33" s="158" t="str">
        <f>IF(K$9="","",HLOOKUP(K$9,'Plans -Dubai &amp; Other Emirates'!$C$3:$G$52,'Plans -Dubai &amp; Other Emirates'!$I28,0))</f>
        <v/>
      </c>
      <c r="L33" s="146"/>
      <c r="M33" s="158" t="str">
        <f>IF(M$9="","",HLOOKUP(M$9,'Plans -Dubai &amp; Other Emirates'!$C$3:$G$52,'Plans -Dubai &amp; Other Emirates'!$I28,0))</f>
        <v/>
      </c>
      <c r="N33" s="110"/>
      <c r="O33" s="110"/>
      <c r="P33" s="110"/>
      <c r="Q33" s="110"/>
      <c r="R33" s="110"/>
      <c r="S33" s="110"/>
      <c r="T33" s="110"/>
      <c r="U33" s="110"/>
      <c r="V33" s="110"/>
      <c r="W33" s="110"/>
      <c r="X33" s="110"/>
      <c r="Y33" s="110"/>
      <c r="Z33" s="110"/>
    </row>
    <row r="34" spans="1:26" s="148" customFormat="1" ht="63" customHeight="1" x14ac:dyDescent="0.2">
      <c r="A34" s="110"/>
      <c r="B34" s="449" t="s">
        <v>673</v>
      </c>
      <c r="C34" s="442" t="str">
        <f>IF(C$9="","",HLOOKUP(C$9,'Plans -Dubai &amp; Other Emirates'!$C$3:$G$52,'Plans -Dubai &amp; Other Emirates'!$I29,0))</f>
        <v/>
      </c>
      <c r="D34" s="442"/>
      <c r="E34" s="442" t="str">
        <f>IF(E$9="","",HLOOKUP(E$9,'Plans -Dubai &amp; Other Emirates'!$C$3:$G$52,'Plans -Dubai &amp; Other Emirates'!$I29,0))</f>
        <v/>
      </c>
      <c r="F34" s="438"/>
      <c r="G34" s="444" t="str">
        <f>IF(G$9="","",HLOOKUP(G$9,'Plans -Dubai &amp; Other Emirates'!$C$3:$G$52,'Plans -Dubai &amp; Other Emirates'!$I29,0))</f>
        <v/>
      </c>
      <c r="H34" s="146"/>
      <c r="I34" s="152" t="str">
        <f>IF(I$9="","",HLOOKUP(I$9,'Plans -Dubai &amp; Other Emirates'!$C$3:$G$52,'Plans -Dubai &amp; Other Emirates'!$I29,0))</f>
        <v/>
      </c>
      <c r="J34" s="146"/>
      <c r="K34" s="152" t="str">
        <f>IF(K$9="","",HLOOKUP(K$9,'Plans -Dubai &amp; Other Emirates'!$C$3:$G$52,'Plans -Dubai &amp; Other Emirates'!$I29,0))</f>
        <v/>
      </c>
      <c r="L34" s="146"/>
      <c r="M34" s="152" t="str">
        <f>IF(M$9="","",HLOOKUP(M$9,'Plans -Dubai &amp; Other Emirates'!$C$3:$G$52,'Plans -Dubai &amp; Other Emirates'!$I29,0))</f>
        <v/>
      </c>
      <c r="N34" s="110"/>
      <c r="O34" s="110"/>
      <c r="P34" s="110"/>
      <c r="Q34" s="110"/>
      <c r="R34" s="110"/>
      <c r="S34" s="110"/>
      <c r="T34" s="110"/>
      <c r="U34" s="110"/>
      <c r="V34" s="110"/>
      <c r="W34" s="110"/>
      <c r="X34" s="110"/>
      <c r="Y34" s="110"/>
      <c r="Z34" s="110"/>
    </row>
    <row r="35" spans="1:26" s="148" customFormat="1" ht="69" customHeight="1" x14ac:dyDescent="0.2">
      <c r="A35" s="110"/>
      <c r="B35" s="449" t="s">
        <v>674</v>
      </c>
      <c r="C35" s="450" t="str">
        <f>IF(C$9="","",'Plans -Dubai &amp; Other Emirates'!$C$30)</f>
        <v/>
      </c>
      <c r="D35" s="436"/>
      <c r="E35" s="450" t="str">
        <f>IF(E$9="","",'Plans -Dubai &amp; Other Emirates'!$C$30)</f>
        <v/>
      </c>
      <c r="F35" s="438"/>
      <c r="G35" s="451" t="str">
        <f>IF(G$9="","",'Plans -Dubai &amp; Other Emirates'!$C$30)</f>
        <v/>
      </c>
      <c r="H35" s="146"/>
      <c r="I35" s="158" t="str">
        <f>IF(I$9="","",'Plans -Dubai &amp; Other Emirates'!$C$30)</f>
        <v/>
      </c>
      <c r="J35" s="146"/>
      <c r="K35" s="158" t="str">
        <f>IF(K$9="","",'Plans -Dubai &amp; Other Emirates'!$C$30)</f>
        <v/>
      </c>
      <c r="L35" s="146"/>
      <c r="M35" s="158" t="str">
        <f>IF(M$9="","",'Plans -Dubai &amp; Other Emirates'!$C$30)</f>
        <v/>
      </c>
      <c r="N35" s="110"/>
      <c r="O35" s="110"/>
      <c r="P35" s="110"/>
      <c r="Q35" s="110"/>
      <c r="R35" s="110"/>
      <c r="S35" s="110"/>
      <c r="T35" s="110"/>
      <c r="U35" s="110"/>
      <c r="V35" s="110"/>
      <c r="W35" s="110"/>
      <c r="X35" s="110"/>
      <c r="Y35" s="110"/>
      <c r="Z35" s="110"/>
    </row>
    <row r="36" spans="1:26" s="148" customFormat="1" ht="75.75" hidden="1" customHeight="1" x14ac:dyDescent="0.2">
      <c r="A36" s="110"/>
      <c r="B36" s="449"/>
      <c r="C36" s="462"/>
      <c r="D36" s="442"/>
      <c r="E36" s="462"/>
      <c r="F36" s="463"/>
      <c r="G36" s="464"/>
      <c r="H36" s="268"/>
      <c r="I36" s="267"/>
      <c r="J36" s="268"/>
      <c r="K36" s="267"/>
      <c r="L36" s="268"/>
      <c r="M36" s="267"/>
      <c r="N36" s="110"/>
      <c r="O36" s="110"/>
      <c r="P36" s="110"/>
      <c r="Q36" s="110"/>
      <c r="R36" s="110"/>
      <c r="S36" s="110"/>
      <c r="T36" s="110"/>
      <c r="U36" s="110"/>
      <c r="V36" s="110"/>
      <c r="W36" s="110"/>
      <c r="X36" s="110"/>
      <c r="Y36" s="110"/>
      <c r="Z36" s="110"/>
    </row>
    <row r="37" spans="1:26" s="148" customFormat="1" ht="66" hidden="1" customHeight="1" x14ac:dyDescent="0.2">
      <c r="A37" s="110"/>
      <c r="B37" s="449"/>
      <c r="C37" s="453"/>
      <c r="D37" s="453"/>
      <c r="E37" s="453"/>
      <c r="F37" s="438"/>
      <c r="G37" s="454"/>
      <c r="H37" s="146"/>
      <c r="I37" s="157"/>
      <c r="J37" s="146"/>
      <c r="K37" s="157"/>
      <c r="L37" s="146"/>
      <c r="M37" s="157"/>
      <c r="N37" s="110"/>
      <c r="O37" s="110"/>
      <c r="P37" s="110"/>
      <c r="Q37" s="110"/>
      <c r="R37" s="110"/>
      <c r="S37" s="110"/>
      <c r="T37" s="110"/>
      <c r="U37" s="110"/>
      <c r="V37" s="110"/>
      <c r="W37" s="110"/>
      <c r="X37" s="110"/>
      <c r="Y37" s="110"/>
      <c r="Z37" s="110"/>
    </row>
    <row r="38" spans="1:26" s="148" customFormat="1" ht="39" customHeight="1" x14ac:dyDescent="0.2">
      <c r="A38" s="110"/>
      <c r="B38" s="449" t="s">
        <v>675</v>
      </c>
      <c r="C38" s="457" t="str">
        <f>IF(C$9="","",HLOOKUP(C$9,'Plans -Dubai &amp; Other Emirates'!$C$3:$G$52,'Plans -Dubai &amp; Other Emirates'!$I33,0))</f>
        <v/>
      </c>
      <c r="D38" s="447"/>
      <c r="E38" s="457" t="str">
        <f>IF(E$9="","",HLOOKUP(E$9,'Plans -Dubai &amp; Other Emirates'!$C$3:$G$52,'Plans -Dubai &amp; Other Emirates'!$I33,0))</f>
        <v/>
      </c>
      <c r="F38" s="438"/>
      <c r="G38" s="458" t="str">
        <f>IF(G$9="","",HLOOKUP(G$9,'Plans -Dubai &amp; Other Emirates'!$C$3:$G$52,'Plans -Dubai &amp; Other Emirates'!$I33,0))</f>
        <v/>
      </c>
      <c r="H38" s="146"/>
      <c r="I38" s="159" t="str">
        <f>IF(I$9="","",HLOOKUP(I$9,'Plans -Dubai &amp; Other Emirates'!$C$3:$G$52,'Plans -Dubai &amp; Other Emirates'!$I33,0))</f>
        <v/>
      </c>
      <c r="J38" s="146"/>
      <c r="K38" s="159" t="str">
        <f>IF(K$9="","",HLOOKUP(K$9,'Plans -Dubai &amp; Other Emirates'!$C$3:$G$52,'Plans -Dubai &amp; Other Emirates'!$I33,0))</f>
        <v/>
      </c>
      <c r="L38" s="146"/>
      <c r="M38" s="159" t="str">
        <f>IF(M$9="","",HLOOKUP(M$9,'Plans -Dubai &amp; Other Emirates'!$C$3:$G$52,'Plans -Dubai &amp; Other Emirates'!$I33,0))</f>
        <v/>
      </c>
      <c r="N38" s="110"/>
      <c r="O38" s="110"/>
      <c r="P38" s="110"/>
      <c r="Q38" s="110"/>
      <c r="R38" s="110"/>
      <c r="S38" s="110"/>
      <c r="T38" s="110"/>
      <c r="U38" s="110"/>
      <c r="V38" s="110"/>
      <c r="W38" s="110"/>
      <c r="X38" s="110"/>
      <c r="Y38" s="110"/>
      <c r="Z38" s="110"/>
    </row>
    <row r="39" spans="1:26" s="148" customFormat="1" ht="52.5" customHeight="1" x14ac:dyDescent="0.2">
      <c r="A39" s="110"/>
      <c r="B39" s="449" t="s">
        <v>676</v>
      </c>
      <c r="C39" s="450" t="str">
        <f>IF(C$9="","",HLOOKUP(C$9,'Plans -Dubai &amp; Other Emirates'!$C$3:$G$52,'Plans -Dubai &amp; Other Emirates'!$I34,0))</f>
        <v/>
      </c>
      <c r="D39" s="436"/>
      <c r="E39" s="450" t="str">
        <f>IF(E$9="","",HLOOKUP(E$9,'Plans -Dubai &amp; Other Emirates'!$C$3:$G$52,'Plans -Dubai &amp; Other Emirates'!$I34,0))</f>
        <v/>
      </c>
      <c r="F39" s="438"/>
      <c r="G39" s="451" t="str">
        <f>IF(G$9="","",HLOOKUP(G$9,'Plans -Dubai &amp; Other Emirates'!$C$3:$G$52,'Plans -Dubai &amp; Other Emirates'!$I34,0))</f>
        <v/>
      </c>
      <c r="H39" s="146"/>
      <c r="I39" s="158" t="str">
        <f>IF(I$9="","",HLOOKUP(I$9,'Plans -Dubai &amp; Other Emirates'!$C$3:$G$52,'Plans -Dubai &amp; Other Emirates'!$I34,0))</f>
        <v/>
      </c>
      <c r="J39" s="146"/>
      <c r="K39" s="158" t="str">
        <f>IF(K$9="","",HLOOKUP(K$9,'Plans -Dubai &amp; Other Emirates'!$C$3:$G$52,'Plans -Dubai &amp; Other Emirates'!$I34,0))</f>
        <v/>
      </c>
      <c r="L39" s="146"/>
      <c r="M39" s="158" t="str">
        <f>IF(M$9="","",HLOOKUP(M$9,'Plans -Dubai &amp; Other Emirates'!$C$3:$G$52,'Plans -Dubai &amp; Other Emirates'!$I34,0))</f>
        <v/>
      </c>
      <c r="N39" s="110"/>
      <c r="O39" s="110"/>
      <c r="P39" s="110"/>
      <c r="Q39" s="110"/>
      <c r="R39" s="110"/>
      <c r="S39" s="110"/>
      <c r="T39" s="110"/>
      <c r="U39" s="110"/>
      <c r="V39" s="110"/>
      <c r="W39" s="110"/>
      <c r="X39" s="110"/>
      <c r="Y39" s="110"/>
      <c r="Z39" s="110"/>
    </row>
    <row r="40" spans="1:26" s="148" customFormat="1" ht="79.5" customHeight="1" x14ac:dyDescent="0.2">
      <c r="A40" s="110"/>
      <c r="B40" s="465" t="s">
        <v>677</v>
      </c>
      <c r="C40" s="442" t="str">
        <f>IF(C$9="","",HLOOKUP(C$9,'Plans -Dubai &amp; Other Emirates'!$C$3:$G$52,'Plans -Dubai &amp; Other Emirates'!$I35,0))</f>
        <v/>
      </c>
      <c r="D40" s="436"/>
      <c r="E40" s="442" t="str">
        <f>IF(E$9="","",HLOOKUP(E$9,'Plans -Dubai &amp; Other Emirates'!$C$3:$G$52,'Plans -Dubai &amp; Other Emirates'!$I35,0))</f>
        <v/>
      </c>
      <c r="F40" s="438"/>
      <c r="G40" s="444" t="str">
        <f>IF(G$9="","",HLOOKUP(G$9,'Plans -Dubai &amp; Other Emirates'!$C$3:$G$52,'Plans -Dubai &amp; Other Emirates'!$I35,0))</f>
        <v/>
      </c>
      <c r="H40" s="146"/>
      <c r="I40" s="152" t="str">
        <f>IF(I$9="","",HLOOKUP(I$9,'Plans -Dubai &amp; Other Emirates'!$C$3:$G$52,'Plans -Dubai &amp; Other Emirates'!$I35,0))</f>
        <v/>
      </c>
      <c r="J40" s="146"/>
      <c r="K40" s="152" t="str">
        <f>IF(K$9="","",HLOOKUP(K$9,'Plans -Dubai &amp; Other Emirates'!$C$3:$G$52,'Plans -Dubai &amp; Other Emirates'!$I35,0))</f>
        <v/>
      </c>
      <c r="L40" s="146"/>
      <c r="M40" s="152" t="str">
        <f>IF(M$9="","",HLOOKUP(M$9,'Plans -Dubai &amp; Other Emirates'!$C$3:$G$52,'Plans -Dubai &amp; Other Emirates'!$I35,0))</f>
        <v/>
      </c>
      <c r="N40" s="110"/>
      <c r="O40" s="110"/>
      <c r="P40" s="110"/>
      <c r="Q40" s="110"/>
      <c r="R40" s="110"/>
      <c r="S40" s="110"/>
      <c r="T40" s="110"/>
      <c r="U40" s="110"/>
      <c r="V40" s="110"/>
      <c r="W40" s="110"/>
      <c r="X40" s="110"/>
      <c r="Y40" s="110"/>
      <c r="Z40" s="110"/>
    </row>
    <row r="41" spans="1:26" s="148" customFormat="1" ht="102.75" customHeight="1" x14ac:dyDescent="0.2">
      <c r="A41" s="110"/>
      <c r="B41" s="465" t="s">
        <v>678</v>
      </c>
      <c r="C41" s="450" t="str">
        <f>IF(C$9="","",HLOOKUP(C$9,'Plans -Dubai &amp; Other Emirates'!$C$3:$G$52,'Plans -Dubai &amp; Other Emirates'!$I36,0))</f>
        <v/>
      </c>
      <c r="D41" s="436"/>
      <c r="E41" s="450" t="str">
        <f>IF(E$9="","",HLOOKUP(E$9,'Plans -Dubai &amp; Other Emirates'!$C$3:$G$52,'Plans -Dubai &amp; Other Emirates'!$I36,0))</f>
        <v/>
      </c>
      <c r="F41" s="438"/>
      <c r="G41" s="451" t="str">
        <f>IF(G$9="","",HLOOKUP(G$9,'Plans -Dubai &amp; Other Emirates'!$C$3:$G$52,'Plans -Dubai &amp; Other Emirates'!$I36,0))</f>
        <v/>
      </c>
      <c r="H41" s="146"/>
      <c r="I41" s="158" t="str">
        <f>IF(I$9="","",HLOOKUP(I$9,'Plans -Dubai &amp; Other Emirates'!$C$3:$G$52,'Plans -Dubai &amp; Other Emirates'!$I36,0))</f>
        <v/>
      </c>
      <c r="J41" s="146"/>
      <c r="K41" s="158" t="str">
        <f>IF(K$9="","",HLOOKUP(K$9,'Plans -Dubai &amp; Other Emirates'!$C$3:$G$52,'Plans -Dubai &amp; Other Emirates'!$I36,0))</f>
        <v/>
      </c>
      <c r="L41" s="146"/>
      <c r="M41" s="158" t="str">
        <f>IF(M$9="","",HLOOKUP(M$9,'Plans -Dubai &amp; Other Emirates'!$C$3:$G$52,'Plans -Dubai &amp; Other Emirates'!$I36,0))</f>
        <v/>
      </c>
      <c r="N41" s="110"/>
      <c r="O41" s="110"/>
      <c r="P41" s="110"/>
      <c r="Q41" s="110"/>
      <c r="R41" s="110"/>
      <c r="S41" s="110"/>
      <c r="T41" s="110"/>
      <c r="U41" s="110"/>
      <c r="V41" s="110"/>
      <c r="W41" s="110"/>
      <c r="X41" s="110"/>
      <c r="Y41" s="110"/>
      <c r="Z41" s="110"/>
    </row>
    <row r="42" spans="1:26" s="148" customFormat="1" ht="102.75" customHeight="1" x14ac:dyDescent="0.2">
      <c r="A42" s="110"/>
      <c r="B42" s="449" t="s">
        <v>679</v>
      </c>
      <c r="C42" s="442" t="str">
        <f>IF(C$9="","",HLOOKUP(C$9,'Plans -Dubai &amp; Other Emirates'!$C$3:$G$52,'Plans -Dubai &amp; Other Emirates'!$I37,0))</f>
        <v/>
      </c>
      <c r="D42" s="436"/>
      <c r="E42" s="442" t="str">
        <f>IF(E$9="","",HLOOKUP(E$9,'Plans -Dubai &amp; Other Emirates'!$C$3:$G$52,'Plans -Dubai &amp; Other Emirates'!$I37,0))</f>
        <v/>
      </c>
      <c r="F42" s="438"/>
      <c r="G42" s="442" t="str">
        <f>IF(G$9="","",HLOOKUP(G$9,'Plans -Dubai &amp; Other Emirates'!$C$3:$G$52,'Plans -Dubai &amp; Other Emirates'!$I37,0))</f>
        <v/>
      </c>
      <c r="H42" s="146"/>
      <c r="I42" s="158"/>
      <c r="J42" s="146"/>
      <c r="K42" s="158"/>
      <c r="L42" s="146"/>
      <c r="M42" s="158"/>
      <c r="N42" s="110"/>
      <c r="O42" s="110"/>
      <c r="P42" s="110"/>
      <c r="Q42" s="110"/>
      <c r="R42" s="110"/>
      <c r="S42" s="110"/>
      <c r="T42" s="110"/>
      <c r="U42" s="110"/>
      <c r="V42" s="110"/>
      <c r="W42" s="110"/>
      <c r="X42" s="110"/>
      <c r="Y42" s="110"/>
      <c r="Z42" s="110"/>
    </row>
    <row r="43" spans="1:26" s="148" customFormat="1" ht="102.75" customHeight="1" x14ac:dyDescent="0.2">
      <c r="A43" s="110"/>
      <c r="B43" s="449" t="s">
        <v>680</v>
      </c>
      <c r="C43" s="450" t="str">
        <f>IF(C$9="","",HLOOKUP(C$9,'Plans -Dubai &amp; Other Emirates'!$C$3:$G$52,'Plans -Dubai &amp; Other Emirates'!$I38,0))</f>
        <v/>
      </c>
      <c r="D43" s="436"/>
      <c r="E43" s="450" t="str">
        <f>IF(E$9="","",HLOOKUP(E$9,'Plans -Dubai &amp; Other Emirates'!$C$3:$G$52,'Plans -Dubai &amp; Other Emirates'!$I38,0))</f>
        <v/>
      </c>
      <c r="F43" s="438"/>
      <c r="G43" s="450" t="str">
        <f>IF(G$9="","",HLOOKUP(G$9,'Plans -Dubai &amp; Other Emirates'!$C$3:$G$52,'Plans -Dubai &amp; Other Emirates'!$I38,0))</f>
        <v/>
      </c>
      <c r="H43" s="146"/>
      <c r="I43" s="158"/>
      <c r="J43" s="146"/>
      <c r="K43" s="158"/>
      <c r="L43" s="146"/>
      <c r="M43" s="158"/>
      <c r="N43" s="110"/>
      <c r="O43" s="110"/>
      <c r="P43" s="110"/>
      <c r="Q43" s="110"/>
      <c r="R43" s="110"/>
      <c r="S43" s="110"/>
      <c r="T43" s="110"/>
      <c r="U43" s="110"/>
      <c r="V43" s="110"/>
      <c r="W43" s="110"/>
      <c r="X43" s="110"/>
      <c r="Y43" s="110"/>
      <c r="Z43" s="110"/>
    </row>
    <row r="44" spans="1:26" s="148" customFormat="1" ht="102.75" customHeight="1" x14ac:dyDescent="0.2">
      <c r="A44" s="110"/>
      <c r="B44" s="449" t="s">
        <v>681</v>
      </c>
      <c r="C44" s="442" t="str">
        <f>IF(C$9="","",HLOOKUP(C$9,'Plans -Dubai &amp; Other Emirates'!$C$3:$G$52,'Plans -Dubai &amp; Other Emirates'!$I39,0))</f>
        <v/>
      </c>
      <c r="D44" s="436"/>
      <c r="E44" s="442" t="str">
        <f>IF(E$9="","",HLOOKUP(E$9,'Plans -Dubai &amp; Other Emirates'!$C$3:$G$52,'Plans -Dubai &amp; Other Emirates'!$I39,0))</f>
        <v/>
      </c>
      <c r="F44" s="438"/>
      <c r="G44" s="442" t="str">
        <f>IF(G$9="","",HLOOKUP(G$9,'Plans -Dubai &amp; Other Emirates'!$C$3:$G$52,'Plans -Dubai &amp; Other Emirates'!$I39,0))</f>
        <v/>
      </c>
      <c r="H44" s="146"/>
      <c r="I44" s="158"/>
      <c r="J44" s="146"/>
      <c r="K44" s="158"/>
      <c r="L44" s="146"/>
      <c r="M44" s="158"/>
      <c r="N44" s="110"/>
      <c r="O44" s="110"/>
      <c r="P44" s="110"/>
      <c r="Q44" s="110"/>
      <c r="R44" s="110"/>
      <c r="S44" s="110"/>
      <c r="T44" s="110"/>
      <c r="U44" s="110"/>
      <c r="V44" s="110"/>
      <c r="W44" s="110"/>
      <c r="X44" s="110"/>
      <c r="Y44" s="110"/>
      <c r="Z44" s="110"/>
    </row>
    <row r="45" spans="1:26" s="148" customFormat="1" ht="79.5" customHeight="1" x14ac:dyDescent="0.2">
      <c r="A45" s="110"/>
      <c r="B45" s="449" t="s">
        <v>682</v>
      </c>
      <c r="C45" s="450" t="str">
        <f>IF(C$9="","",'Plans -Dubai &amp; Other Emirates'!$C$40)</f>
        <v/>
      </c>
      <c r="D45" s="436"/>
      <c r="E45" s="450" t="str">
        <f>IF(E$9="","",'Plans -Dubai &amp; Other Emirates'!$C$40)</f>
        <v/>
      </c>
      <c r="F45" s="438"/>
      <c r="G45" s="450" t="str">
        <f>IF(G$9="","",'Plans -Dubai &amp; Other Emirates'!$C$40)</f>
        <v/>
      </c>
      <c r="H45" s="146"/>
      <c r="I45" s="152" t="str">
        <f>IF(I$9="","",'Plans -Dubai &amp; Other Emirates'!$C$40)</f>
        <v/>
      </c>
      <c r="J45" s="146"/>
      <c r="K45" s="152" t="str">
        <f>IF(K$9="","",'Plans -Dubai &amp; Other Emirates'!$C$40)</f>
        <v/>
      </c>
      <c r="L45" s="146"/>
      <c r="M45" s="152" t="str">
        <f>IF(M$9="","",'Plans -Dubai &amp; Other Emirates'!$C$40)</f>
        <v/>
      </c>
      <c r="N45" s="110"/>
      <c r="O45" s="110"/>
      <c r="P45" s="110"/>
      <c r="Q45" s="110"/>
      <c r="R45" s="110"/>
      <c r="S45" s="110"/>
      <c r="T45" s="110"/>
      <c r="U45" s="110"/>
      <c r="V45" s="110"/>
      <c r="W45" s="110"/>
      <c r="X45" s="110"/>
      <c r="Y45" s="110"/>
      <c r="Z45" s="110"/>
    </row>
    <row r="46" spans="1:26" s="148" customFormat="1" ht="102.75" customHeight="1" x14ac:dyDescent="0.2">
      <c r="A46" s="110"/>
      <c r="B46" s="449" t="s">
        <v>683</v>
      </c>
      <c r="C46" s="442" t="str">
        <f>IF(C$9="","",'Plans -Dubai &amp; Other Emirates'!$C$41)</f>
        <v/>
      </c>
      <c r="D46" s="436"/>
      <c r="E46" s="442" t="str">
        <f>IF(E$9="","",'Plans -Dubai &amp; Other Emirates'!$C$41)</f>
        <v/>
      </c>
      <c r="F46" s="438"/>
      <c r="G46" s="442" t="str">
        <f>IF(G$9="","",'Plans -Dubai &amp; Other Emirates'!$C$41)</f>
        <v/>
      </c>
      <c r="H46" s="146"/>
      <c r="I46" s="158" t="str">
        <f>IF(I$9="","",'Plans -Dubai &amp; Other Emirates'!$C$41)</f>
        <v/>
      </c>
      <c r="J46" s="146"/>
      <c r="K46" s="158" t="str">
        <f>IF(K$9="","",'Plans -Dubai &amp; Other Emirates'!$C$41)</f>
        <v/>
      </c>
      <c r="L46" s="146"/>
      <c r="M46" s="158" t="str">
        <f>IF(M$9="","",'Plans -Dubai &amp; Other Emirates'!$C$41)</f>
        <v/>
      </c>
      <c r="N46" s="110"/>
      <c r="O46" s="110"/>
      <c r="P46" s="110"/>
      <c r="Q46" s="110"/>
      <c r="R46" s="110"/>
      <c r="S46" s="110"/>
      <c r="T46" s="110"/>
      <c r="U46" s="110"/>
      <c r="V46" s="110"/>
      <c r="W46" s="110"/>
      <c r="X46" s="110"/>
      <c r="Y46" s="110"/>
      <c r="Z46" s="110"/>
    </row>
    <row r="47" spans="1:26" s="148" customFormat="1" ht="102.75" customHeight="1" x14ac:dyDescent="0.2">
      <c r="A47" s="110"/>
      <c r="B47" s="449" t="s">
        <v>684</v>
      </c>
      <c r="C47" s="450" t="str">
        <f>IF(C$9="","",HLOOKUP(C$9,'Plans -Dubai &amp; Other Emirates'!$C$3:$G$52,'Plans -Dubai &amp; Other Emirates'!$I42,0))</f>
        <v/>
      </c>
      <c r="D47" s="436"/>
      <c r="E47" s="450" t="str">
        <f>IF(E$9="","",HLOOKUP(E$9,'Plans -Dubai &amp; Other Emirates'!$C$3:$G$52,'Plans -Dubai &amp; Other Emirates'!$I42,0))</f>
        <v/>
      </c>
      <c r="F47" s="438"/>
      <c r="G47" s="450" t="str">
        <f>IF(G$9="","",HLOOKUP(G$9,'Plans -Dubai &amp; Other Emirates'!$C$3:$G$52,'Plans -Dubai &amp; Other Emirates'!$I42,0))</f>
        <v/>
      </c>
      <c r="H47" s="146"/>
      <c r="I47" s="158"/>
      <c r="J47" s="146"/>
      <c r="K47" s="158"/>
      <c r="L47" s="146"/>
      <c r="M47" s="158"/>
      <c r="N47" s="110"/>
      <c r="O47" s="110"/>
      <c r="P47" s="110"/>
      <c r="Q47" s="110"/>
      <c r="R47" s="110"/>
      <c r="S47" s="110"/>
      <c r="T47" s="110"/>
      <c r="U47" s="110"/>
      <c r="V47" s="110"/>
      <c r="W47" s="110"/>
      <c r="X47" s="110"/>
      <c r="Y47" s="110"/>
      <c r="Z47" s="110"/>
    </row>
    <row r="48" spans="1:26" s="148" customFormat="1" ht="102.75" customHeight="1" x14ac:dyDescent="0.2">
      <c r="A48" s="110"/>
      <c r="B48" s="449" t="s">
        <v>685</v>
      </c>
      <c r="C48" s="450" t="str">
        <f>IF(C$9="","",HLOOKUP(C$9,'Plans -Dubai &amp; Other Emirates'!$C$3:$G$52,'Plans -Dubai &amp; Other Emirates'!$I43,0))</f>
        <v/>
      </c>
      <c r="D48" s="436"/>
      <c r="E48" s="450" t="str">
        <f>IF(E$9="","",HLOOKUP(E$9,'Plans -Dubai &amp; Other Emirates'!$C$3:$G$52,'Plans -Dubai &amp; Other Emirates'!$I43,0))</f>
        <v/>
      </c>
      <c r="F48" s="438"/>
      <c r="G48" s="450" t="str">
        <f>IF(G$9="","",HLOOKUP(G$9,'Plans -Dubai &amp; Other Emirates'!$C$3:$G$52,'Plans -Dubai &amp; Other Emirates'!$I43,0))</f>
        <v/>
      </c>
      <c r="H48" s="146"/>
      <c r="I48" s="158"/>
      <c r="J48" s="146"/>
      <c r="K48" s="158"/>
      <c r="L48" s="146"/>
      <c r="M48" s="158"/>
      <c r="N48" s="110"/>
      <c r="O48" s="110"/>
      <c r="P48" s="110"/>
      <c r="Q48" s="110"/>
      <c r="R48" s="110"/>
      <c r="S48" s="110"/>
      <c r="T48" s="110"/>
      <c r="U48" s="110"/>
      <c r="V48" s="110"/>
      <c r="W48" s="110"/>
      <c r="X48" s="110"/>
      <c r="Y48" s="110"/>
      <c r="Z48" s="110"/>
    </row>
    <row r="49" spans="1:26" s="148" customFormat="1" ht="109.5" customHeight="1" x14ac:dyDescent="0.2">
      <c r="A49" s="110"/>
      <c r="B49" s="449" t="s">
        <v>686</v>
      </c>
      <c r="C49" s="442" t="str">
        <f>IF(C$9="","",HLOOKUP(C$9,'Plans -Dubai &amp; Other Emirates'!$C$3:$G$52,'Plans -Dubai &amp; Other Emirates'!$I44,0))</f>
        <v/>
      </c>
      <c r="D49" s="436"/>
      <c r="E49" s="442" t="str">
        <f>IF(E$9="","",HLOOKUP(E$9,'Plans -Dubai &amp; Other Emirates'!$C$3:$G$52,'Plans -Dubai &amp; Other Emirates'!$I44,0))</f>
        <v/>
      </c>
      <c r="F49" s="438"/>
      <c r="G49" s="442" t="str">
        <f>IF(G$9="","",HLOOKUP(G$9,'Plans -Dubai &amp; Other Emirates'!$C$3:$G$52,'Plans -Dubai &amp; Other Emirates'!$I44,0))</f>
        <v/>
      </c>
      <c r="H49" s="146"/>
      <c r="I49" s="152" t="str">
        <f>IF(I$9="","",HLOOKUP(I$9,'Plans -Dubai &amp; Other Emirates'!$C$3:$G$52,'Plans -Dubai &amp; Other Emirates'!$I46,0))</f>
        <v/>
      </c>
      <c r="J49" s="146"/>
      <c r="K49" s="152" t="str">
        <f>IF(K$9="","",HLOOKUP(K$9,'Plans -Dubai &amp; Other Emirates'!$C$3:$G$52,'Plans -Dubai &amp; Other Emirates'!$I46,0))</f>
        <v/>
      </c>
      <c r="L49" s="146"/>
      <c r="M49" s="152" t="str">
        <f>IF(M$9="","",HLOOKUP(M$9,'Plans -Dubai &amp; Other Emirates'!$C$3:$G$52,'Plans -Dubai &amp; Other Emirates'!$I46,0))</f>
        <v/>
      </c>
      <c r="N49" s="110"/>
      <c r="O49" s="110"/>
      <c r="P49" s="110"/>
      <c r="Q49" s="110"/>
      <c r="R49" s="110"/>
      <c r="S49" s="110"/>
      <c r="T49" s="110"/>
      <c r="U49" s="110"/>
      <c r="V49" s="110"/>
      <c r="W49" s="110"/>
      <c r="X49" s="110"/>
      <c r="Y49" s="110"/>
      <c r="Z49" s="110"/>
    </row>
    <row r="50" spans="1:26" s="148" customFormat="1" ht="82.5" customHeight="1" x14ac:dyDescent="0.2">
      <c r="A50" s="110"/>
      <c r="B50" s="449" t="s">
        <v>687</v>
      </c>
      <c r="C50" s="450" t="str">
        <f>IF(C$9="","",HLOOKUP(C$9,'Plans -Dubai &amp; Other Emirates'!$C$3:$G$52,'Plans -Dubai &amp; Other Emirates'!$I45,0))</f>
        <v/>
      </c>
      <c r="D50" s="436"/>
      <c r="E50" s="450" t="str">
        <f>IF(E$9="","",HLOOKUP(E$9,'Plans -Dubai &amp; Other Emirates'!$C$3:$G$52,'Plans -Dubai &amp; Other Emirates'!$I45,0))</f>
        <v/>
      </c>
      <c r="F50" s="438"/>
      <c r="G50" s="450" t="str">
        <f>IF(G$9="","",HLOOKUP(G$9,'Plans -Dubai &amp; Other Emirates'!$C$3:$G$52,'Plans -Dubai &amp; Other Emirates'!$I45,0))</f>
        <v/>
      </c>
      <c r="H50" s="146"/>
      <c r="I50" s="158" t="str">
        <f>IF(I$9="","",HLOOKUP(I$9,'Plans -Dubai &amp; Other Emirates'!$C$3:$G$52,'Plans -Dubai &amp; Other Emirates'!$I48,0))</f>
        <v/>
      </c>
      <c r="J50" s="146"/>
      <c r="K50" s="158" t="str">
        <f>IF(K$9="","",HLOOKUP(K$9,'Plans -Dubai &amp; Other Emirates'!$C$3:$G$52,'Plans -Dubai &amp; Other Emirates'!$I48,0))</f>
        <v/>
      </c>
      <c r="L50" s="146"/>
      <c r="M50" s="158" t="str">
        <f>IF(M$9="","",HLOOKUP(M$9,'Plans -Dubai &amp; Other Emirates'!$C$3:$G$52,'Plans -Dubai &amp; Other Emirates'!$I48,0))</f>
        <v/>
      </c>
      <c r="N50" s="110"/>
      <c r="O50" s="110"/>
      <c r="P50" s="110"/>
      <c r="Q50" s="110"/>
      <c r="R50" s="110"/>
      <c r="S50" s="110"/>
      <c r="T50" s="110"/>
      <c r="U50" s="110"/>
      <c r="V50" s="110"/>
      <c r="W50" s="110"/>
      <c r="X50" s="110"/>
      <c r="Y50" s="110"/>
      <c r="Z50" s="110"/>
    </row>
    <row r="51" spans="1:26" s="148" customFormat="1" ht="134.25" customHeight="1" x14ac:dyDescent="0.2">
      <c r="A51" s="110"/>
      <c r="B51" s="449" t="s">
        <v>688</v>
      </c>
      <c r="C51" s="442" t="str">
        <f>IF(C$9="","",'Plans -Dubai &amp; Other Emirates'!$C$46)</f>
        <v/>
      </c>
      <c r="D51" s="436"/>
      <c r="E51" s="442" t="str">
        <f>IF(E$9="","",'Plans -Dubai &amp; Other Emirates'!$C$46)</f>
        <v/>
      </c>
      <c r="F51" s="438"/>
      <c r="G51" s="442" t="str">
        <f>IF(G$9="","",'Plans -Dubai &amp; Other Emirates'!$C$46)</f>
        <v/>
      </c>
      <c r="H51" s="146"/>
      <c r="I51" s="155" t="str">
        <f>IF(I$9="","",'Plans -Dubai &amp; Other Emirates'!$C$46)</f>
        <v/>
      </c>
      <c r="J51" s="146"/>
      <c r="K51" s="155" t="str">
        <f>IF(K$9="","",'Plans -Dubai &amp; Other Emirates'!$C$46)</f>
        <v/>
      </c>
      <c r="L51" s="146"/>
      <c r="M51" s="155" t="str">
        <f>IF(M$9="","",'Plans -Dubai &amp; Other Emirates'!$C$46)</f>
        <v/>
      </c>
      <c r="N51" s="110"/>
      <c r="O51" s="110"/>
      <c r="P51" s="110"/>
      <c r="Q51" s="110"/>
      <c r="R51" s="110"/>
      <c r="S51" s="110"/>
      <c r="T51" s="110"/>
      <c r="U51" s="110"/>
      <c r="V51" s="110"/>
      <c r="W51" s="110"/>
      <c r="X51" s="110"/>
      <c r="Y51" s="110"/>
      <c r="Z51" s="110"/>
    </row>
    <row r="52" spans="1:26" s="148" customFormat="1" ht="134.25" customHeight="1" x14ac:dyDescent="0.2">
      <c r="A52" s="110"/>
      <c r="B52" s="608" t="s">
        <v>689</v>
      </c>
      <c r="C52" s="450" t="str">
        <f>IF(C$9="","",'Plans -Dubai &amp; Other Emirates'!$C$47)</f>
        <v/>
      </c>
      <c r="D52" s="436"/>
      <c r="E52" s="450" t="str">
        <f>IF(E$9="","",'Plans -Dubai &amp; Other Emirates'!$C$47)</f>
        <v/>
      </c>
      <c r="F52" s="438"/>
      <c r="G52" s="450" t="str">
        <f>IF(G$9="","",'Plans -Dubai &amp; Other Emirates'!$C$47)</f>
        <v/>
      </c>
      <c r="H52" s="146"/>
      <c r="I52" s="155"/>
      <c r="J52" s="146"/>
      <c r="K52" s="155"/>
      <c r="L52" s="146"/>
      <c r="M52" s="155"/>
      <c r="N52" s="110"/>
      <c r="O52" s="110"/>
      <c r="P52" s="110"/>
      <c r="Q52" s="110"/>
      <c r="R52" s="110"/>
      <c r="S52" s="110"/>
      <c r="T52" s="110"/>
      <c r="U52" s="110"/>
      <c r="V52" s="110"/>
      <c r="W52" s="110"/>
      <c r="X52" s="110"/>
      <c r="Y52" s="110"/>
      <c r="Z52" s="110"/>
    </row>
    <row r="53" spans="1:26" s="148" customFormat="1" ht="164.25" customHeight="1" x14ac:dyDescent="0.2">
      <c r="A53" s="110"/>
      <c r="B53" s="862" t="s">
        <v>690</v>
      </c>
      <c r="C53" s="442" t="str">
        <f>IF(C9="","","In-patient maternity services:  
10% coinsurance payable by the insured, 
Maximum benefit "&amp;VLOOKUP(Inputs!C30,'input for formula'!$A$28:$D$40,4,0)
&amp;"
Requires prior approval from the insurance company or within 24 hours of emergency treatment
10% coinsurance payable by the insured")</f>
        <v/>
      </c>
      <c r="D53" s="436"/>
      <c r="E53" s="442" t="str">
        <f>IF(E9="","","In-patient maternity services:  
10% coinsurance payable by the insured, 
Maximum benefit "&amp;VLOOKUP(Inputs!E30,'input for formula'!$A$28:$D$40,4,0)
&amp;"
Requires prior approval from the insurance company or within 24 hours of emergency treatment
10% coinsurance payable by the insured")</f>
        <v/>
      </c>
      <c r="F53" s="438"/>
      <c r="G53" s="442" t="str">
        <f>IF(G9="","","In-patient maternity services:  
10% coinsurance payable by the insured, 
Maximum benefit "&amp;VLOOKUP(Inputs!G30,'input for formula'!$A$28:$D$40,4,0)
&amp;"
Requires prior approval from the insurance company or within 24 hours of emergency treatment
10% coinsurance payable by the insured")</f>
        <v/>
      </c>
      <c r="H53" s="146"/>
      <c r="I53" s="152" t="str">
        <f>IF(I9="","","In-patient maternity services:  
10% coinsurance payable by the insured, 
Maximum benefit "&amp;VLOOKUP(Inputs!I30,'input for formula'!$A$28:$D$34,4,0)
&amp;"
Requires prior approval from the insurance company or within 24 hours of emergency treatment
10% coinsurance payable by the insured")</f>
        <v/>
      </c>
      <c r="J53" s="146"/>
      <c r="K53" s="152" t="str">
        <f>IF(K9="","","In-patient maternity services:  
10% coinsurance payable by the insured, 
Maximum benefit "&amp;VLOOKUP(Inputs!K30,'input for formula'!$A$28:$D$34,4,0)
&amp;"
Requires prior approval from the insurance company or within 24 hours of emergency treatment
10% coinsurance payable by the insured")</f>
        <v/>
      </c>
      <c r="L53" s="146"/>
      <c r="M53" s="152" t="str">
        <f>IF(M9="","","In-patient maternity services:  
10% coinsurance payable by the insured, 
Maximum benefit "&amp;VLOOKUP(Inputs!M30,'input for formula'!$A$28:$D$34,4,0)
&amp;"
Requires prior approval from the insurance company or within 24 hours of emergency treatment
10% coinsurance payable by the insured")</f>
        <v/>
      </c>
      <c r="N53" s="110"/>
      <c r="O53" s="110"/>
      <c r="P53" s="110"/>
      <c r="Q53" s="110"/>
      <c r="R53" s="110"/>
      <c r="S53" s="110"/>
      <c r="T53" s="110"/>
      <c r="U53" s="110"/>
      <c r="V53" s="110"/>
      <c r="W53" s="110"/>
      <c r="X53" s="110"/>
      <c r="Y53" s="110"/>
      <c r="Z53" s="110"/>
    </row>
    <row r="54" spans="1:26" s="148" customFormat="1" ht="408.75" customHeight="1" x14ac:dyDescent="0.2">
      <c r="A54" s="110"/>
      <c r="B54" s="863"/>
      <c r="C54" s="450" t="str">
        <f>IF(C9="","",'Plans -Dubai &amp; Other Emirates'!$C$49)</f>
        <v/>
      </c>
      <c r="D54" s="436"/>
      <c r="E54" s="450" t="str">
        <f>IF(E9="","",'Plans -Dubai &amp; Other Emirates'!$C$49)</f>
        <v/>
      </c>
      <c r="F54" s="438"/>
      <c r="G54" s="450" t="str">
        <f>IF(G9="","",'Plans -Dubai &amp; Other Emirates'!$C$49)</f>
        <v/>
      </c>
      <c r="H54" s="146"/>
      <c r="I54" s="152" t="str">
        <f>IF(I9="","",'Plans -Dubai &amp; Other Emirates'!$C$49)</f>
        <v/>
      </c>
      <c r="J54" s="146"/>
      <c r="K54" s="152" t="str">
        <f>IF(K9="","",'Plans -Dubai &amp; Other Emirates'!$C$49)</f>
        <v/>
      </c>
      <c r="L54" s="146"/>
      <c r="M54" s="152" t="str">
        <f>IF(M9="","",'Plans -Dubai &amp; Other Emirates'!$C$49)</f>
        <v/>
      </c>
      <c r="N54" s="110"/>
      <c r="O54" s="110"/>
      <c r="P54" s="110"/>
      <c r="Q54" s="110"/>
      <c r="R54" s="110"/>
      <c r="S54" s="110"/>
      <c r="T54" s="110"/>
      <c r="U54" s="110"/>
      <c r="V54" s="110"/>
      <c r="W54" s="110"/>
      <c r="X54" s="110"/>
      <c r="Y54" s="110"/>
      <c r="Z54" s="110"/>
    </row>
    <row r="55" spans="1:26" s="148" customFormat="1" ht="99.75" customHeight="1" x14ac:dyDescent="0.2">
      <c r="A55" s="110"/>
      <c r="B55" s="466" t="s">
        <v>691</v>
      </c>
      <c r="C55" s="442" t="str">
        <f>IF(C$9="","",IF(Inputs!C39="Enhanced",HLOOKUP(C$9,'Plans -Dubai &amp; Other Emirates'!$C$3:$G$63,'Plans -Dubai &amp; Other Emirates'!$I63,0),HLOOKUP(C$9,'Plans -Dubai &amp; Other Emirates'!$C$3:$G$63,'Plans -Dubai &amp; Other Emirates'!$I62,0)))</f>
        <v/>
      </c>
      <c r="D55" s="436"/>
      <c r="E55" s="442" t="str">
        <f>IF(E$9="","",IF(Inputs!E39="Enhanced",HLOOKUP(E$9,'Plans -Dubai &amp; Other Emirates'!$C$3:$G$63,'Plans -Dubai &amp; Other Emirates'!$I63,0),HLOOKUP(E$9,'Plans -Dubai &amp; Other Emirates'!$C$3:$G$63,'Plans -Dubai &amp; Other Emirates'!$I62,0)))</f>
        <v/>
      </c>
      <c r="F55" s="438"/>
      <c r="G55" s="442" t="str">
        <f>IF(G$9="","",IF(Inputs!G39="Enhanced",HLOOKUP(G$9,'Plans -Dubai &amp; Other Emirates'!$C$3:$G$63,'Plans -Dubai &amp; Other Emirates'!$I63,0),HLOOKUP(G$9,'Plans -Dubai &amp; Other Emirates'!$C$3:$G$63,'Plans -Dubai &amp; Other Emirates'!$I62,0)))</f>
        <v/>
      </c>
      <c r="H55" s="146"/>
      <c r="I55" s="158" t="str">
        <f>IF(I$9="","",IF(Inputs!I39="covered",HLOOKUP(I$9,'Plans -Dubai &amp; Other Emirates'!$C$3:$G$52,'Plans -Dubai &amp; Other Emirates'!$I52,0),"Not covered"))</f>
        <v/>
      </c>
      <c r="J55" s="146"/>
      <c r="K55" s="158" t="str">
        <f>IF(K$9="","",IF(Inputs!K39="covered",HLOOKUP(K$9,'Plans -Dubai &amp; Other Emirates'!$C$3:$G$52,'Plans -Dubai &amp; Other Emirates'!$I52,0),"Not covered"))</f>
        <v/>
      </c>
      <c r="L55" s="146"/>
      <c r="M55" s="158" t="str">
        <f>IF(M$9="","",IF(Inputs!M39="covered",HLOOKUP(M$9,'Plans -Dubai &amp; Other Emirates'!$C$3:$G$52,'Plans -Dubai &amp; Other Emirates'!$I52,0),"Not covered"))</f>
        <v/>
      </c>
      <c r="N55" s="110"/>
      <c r="O55" s="110"/>
      <c r="P55" s="110"/>
      <c r="Q55" s="110"/>
      <c r="R55" s="110"/>
      <c r="S55" s="110"/>
      <c r="T55" s="110"/>
      <c r="U55" s="110"/>
      <c r="V55" s="110"/>
      <c r="W55" s="110"/>
      <c r="X55" s="110"/>
      <c r="Y55" s="110"/>
      <c r="Z55" s="110"/>
    </row>
    <row r="56" spans="1:26" s="148" customFormat="1" ht="162" customHeight="1" x14ac:dyDescent="0.2">
      <c r="A56" s="110"/>
      <c r="B56" s="466" t="s">
        <v>692</v>
      </c>
      <c r="C56" s="450" t="str">
        <f>IF(C$9="","",IF(Inputs!C40="covered",HLOOKUP(C$9,'Plans -Dubai &amp; Other Emirates'!$C$3:$G$52,'Plans -Dubai &amp; Other Emirates'!$I51,0),"Not covered"))</f>
        <v/>
      </c>
      <c r="D56" s="436"/>
      <c r="E56" s="450" t="str">
        <f>IF(E$9="","",IF(Inputs!E40="covered",HLOOKUP(E$9,'Plans -Dubai &amp; Other Emirates'!$C$3:$G$52,'Plans -Dubai &amp; Other Emirates'!$I51,0),"Not covered"))</f>
        <v/>
      </c>
      <c r="F56" s="438"/>
      <c r="G56" s="450" t="str">
        <f>IF(G$9="","",IF(Inputs!G40="covered",HLOOKUP(G$9,'Plans -Dubai &amp; Other Emirates'!$C$3:$G$52,'Plans -Dubai &amp; Other Emirates'!$I51,0),"Not covered"))</f>
        <v/>
      </c>
      <c r="H56" s="146"/>
      <c r="I56" s="152" t="str">
        <f>IF(I$9="","",IF(Inputs!I40="covered",HLOOKUP(I$9,'Plans -Dubai &amp; Other Emirates'!$C$3:$G$52,'Plans -Dubai &amp; Other Emirates'!$I53,0),"Not covered"))</f>
        <v/>
      </c>
      <c r="J56" s="146"/>
      <c r="K56" s="152" t="str">
        <f>IF(K$9="","",IF(Inputs!K40="covered",HLOOKUP(K$9,'Plans -Dubai &amp; Other Emirates'!$C$3:$G$52,'Plans -Dubai &amp; Other Emirates'!$I53,0),"Not covered"))</f>
        <v/>
      </c>
      <c r="L56" s="146"/>
      <c r="M56" s="152" t="str">
        <f>IF(M$9="","",IF(Inputs!M40="covered",HLOOKUP(M$9,'Plans -Dubai &amp; Other Emirates'!$C$3:$G$52,'Plans -Dubai &amp; Other Emirates'!$I53,0),"Not covered"))</f>
        <v/>
      </c>
      <c r="N56" s="110"/>
      <c r="O56" s="110"/>
      <c r="P56" s="110"/>
      <c r="Q56" s="110"/>
      <c r="R56" s="110"/>
      <c r="S56" s="110"/>
      <c r="T56" s="110"/>
      <c r="U56" s="110"/>
      <c r="V56" s="110"/>
      <c r="W56" s="110"/>
      <c r="X56" s="110"/>
      <c r="Y56" s="110"/>
      <c r="Z56" s="110"/>
    </row>
    <row r="57" spans="1:26" s="148" customFormat="1" ht="150.94999999999999" customHeight="1" x14ac:dyDescent="0.2">
      <c r="A57" s="110"/>
      <c r="B57" s="466" t="s">
        <v>693</v>
      </c>
      <c r="C57" s="442" t="str">
        <f>IF(C$9="","",HLOOKUP(C$9,'Plans -Dubai &amp; Other Emirates'!$C$3:$G$52,'Plans -Dubai &amp; Other Emirates'!$I52,0))</f>
        <v/>
      </c>
      <c r="D57" s="436"/>
      <c r="E57" s="442" t="str">
        <f>IF(E$9="","",HLOOKUP(E$9,'Plans -Dubai &amp; Other Emirates'!$C$3:$G$52,'Plans -Dubai &amp; Other Emirates'!$I52,0))</f>
        <v/>
      </c>
      <c r="F57" s="438"/>
      <c r="G57" s="442" t="str">
        <f>IF(G$9="","",HLOOKUP(G$9,'Plans -Dubai &amp; Other Emirates'!$C$3:$G$52,'Plans -Dubai &amp; Other Emirates'!$I52,0))</f>
        <v/>
      </c>
      <c r="H57" s="146"/>
      <c r="I57" s="158" t="str">
        <f>IF(I$9="","",IF(Inputs!I41="covered",HLOOKUP(I$9,'Plans -Dubai &amp; Other Emirates'!$C$3:$G$52,'Plans -Dubai &amp; Other Emirates'!$I54,0),"Not covered"))</f>
        <v/>
      </c>
      <c r="J57" s="146"/>
      <c r="K57" s="158" t="str">
        <f>IF(K$9="","",IF(Inputs!K41="covered",HLOOKUP(K$9,'Plans -Dubai &amp; Other Emirates'!$C$3:$G$52,'Plans -Dubai &amp; Other Emirates'!$I54,0),"Not covered"))</f>
        <v/>
      </c>
      <c r="L57" s="146"/>
      <c r="M57" s="158" t="str">
        <f>IF(M$9="","",IF(Inputs!M41="covered",HLOOKUP(M$9,'Plans -Dubai &amp; Other Emirates'!$C$3:$G$52,'Plans -Dubai &amp; Other Emirates'!$I54,0),"Not covered"))</f>
        <v/>
      </c>
      <c r="N57" s="110"/>
      <c r="O57" s="110"/>
      <c r="P57" s="110"/>
      <c r="Q57" s="110"/>
      <c r="R57" s="110"/>
      <c r="S57" s="110"/>
      <c r="T57" s="110"/>
      <c r="U57" s="110"/>
      <c r="V57" s="110"/>
      <c r="W57" s="110"/>
      <c r="X57" s="110"/>
      <c r="Y57" s="110"/>
      <c r="Z57" s="110"/>
    </row>
    <row r="58" spans="1:26" ht="164.1" customHeight="1" x14ac:dyDescent="0.2">
      <c r="B58" s="435" t="s">
        <v>654</v>
      </c>
      <c r="C58" s="450" t="str">
        <f>IF(C$9="","",'Plans -Dubai &amp; Other Emirates'!$C53)</f>
        <v/>
      </c>
      <c r="D58" s="436"/>
      <c r="E58" s="450" t="str">
        <f>IF(E$9="","",'Plans -Dubai &amp; Other Emirates'!$C53)</f>
        <v/>
      </c>
      <c r="F58" s="438"/>
      <c r="G58" s="450" t="str">
        <f>IF(G$9="","",'Plans -Dubai &amp; Other Emirates'!$C53)</f>
        <v/>
      </c>
      <c r="I58" s="152"/>
      <c r="K58" s="152"/>
      <c r="M58" s="152"/>
    </row>
    <row r="59" spans="1:26" ht="30" customHeight="1" x14ac:dyDescent="0.2">
      <c r="B59" s="449" t="s">
        <v>694</v>
      </c>
      <c r="C59" s="442" t="str">
        <f>IF(C$9="","",'Plans -Dubai &amp; Other Emirates'!$C54)</f>
        <v/>
      </c>
      <c r="D59" s="436"/>
      <c r="E59" s="442" t="str">
        <f>IF(E$9="","",'Plans -Dubai &amp; Other Emirates'!$C54)</f>
        <v/>
      </c>
      <c r="F59" s="438"/>
      <c r="G59" s="442" t="str">
        <f>IF(G$9="","",'Plans -Dubai &amp; Other Emirates'!$C54)</f>
        <v/>
      </c>
    </row>
    <row r="60" spans="1:26" ht="115.5" customHeight="1" x14ac:dyDescent="0.2">
      <c r="B60" s="608" t="s">
        <v>695</v>
      </c>
      <c r="C60" s="450" t="str">
        <f>IF(C$9="","",'Plans -Dubai &amp; Other Emirates'!$C$55)</f>
        <v/>
      </c>
      <c r="D60" s="436"/>
      <c r="E60" s="450" t="str">
        <f>IF(E$9="","",'Plans -Dubai &amp; Other Emirates'!$C$55)</f>
        <v/>
      </c>
      <c r="F60" s="438"/>
      <c r="G60" s="450" t="str">
        <f>IF(G$9="","",'Plans -Dubai &amp; Other Emirates'!$C$55)</f>
        <v/>
      </c>
    </row>
    <row r="61" spans="1:26" ht="238.5" customHeight="1" x14ac:dyDescent="0.2">
      <c r="B61" s="608" t="s">
        <v>696</v>
      </c>
      <c r="C61" s="442" t="str">
        <f>IF(C$9="","",'Plans -Dubai &amp; Other Emirates'!$C$56)</f>
        <v/>
      </c>
      <c r="D61" s="436"/>
      <c r="E61" s="442" t="str">
        <f>IF(E$9="","",'Plans -Dubai &amp; Other Emirates'!$C$56)</f>
        <v/>
      </c>
      <c r="F61" s="438"/>
      <c r="G61" s="442" t="str">
        <f>IF(G$9="","",'Plans -Dubai &amp; Other Emirates'!$C$56)</f>
        <v/>
      </c>
    </row>
    <row r="62" spans="1:26" ht="408.75" customHeight="1" x14ac:dyDescent="0.2">
      <c r="B62" s="619" t="s">
        <v>697</v>
      </c>
      <c r="C62" s="450" t="str">
        <f>IF(C$9="","",IF(Group_Size&lt;10,"Not covered","The following cash benefit shall be payable to a member's declared beneficiary in the event of"&amp;IF(Protection!$H$26="Yes","","accidental")&amp;" death:
"&amp;VLOOKUP(Inputs!C30,'Inputs Mapping'!$AA$2:$AC$14,2,0)))</f>
        <v/>
      </c>
      <c r="D62" s="436"/>
      <c r="E62" s="450" t="str">
        <f>IF(E$9="","",IF(Group_Size&lt;10,"Not covered","The following cash benefit shall be payable to a member's declared beneficiary in the event of"&amp;IF(Protection!$H$26="Yes","","accidental")&amp;" death:
"&amp;VLOOKUP(Inputs!E30,'Inputs Mapping'!$AA$2:$AC$14,2,0)))</f>
        <v/>
      </c>
      <c r="F62" s="438"/>
      <c r="G62" s="450" t="str">
        <f>IF(G$9="","",IF(Group_Size&lt;10,"Not covered","The following cash benefit shall be payable to a member's declared beneficiary in the event of"&amp;IF(Protection!$H$26="Yes","","accidental")&amp;" death:
"&amp;VLOOKUP(Inputs!G30,'Inputs Mapping'!$AA$2:$AC$14,2,0)))</f>
        <v/>
      </c>
    </row>
    <row r="63" spans="1:26" ht="145.5" customHeight="1" x14ac:dyDescent="0.2">
      <c r="B63" s="608" t="s">
        <v>181</v>
      </c>
      <c r="C63" s="442" t="str">
        <f>IF(C$9="","",IF(VLOOKUP(Inputs!C30,'Inputs Mapping'!$AA$2:$AC$14,3,0)="Not Covered","Not Covered",
"Coverage for an Annual Health Check-up Package with Nextcare partner providers, subject to a 20% coinsurance and the following annual limits: 
"&amp;VLOOKUP(Inputs!C30,'Inputs Mapping'!$AA$2:$AC$14,3,0)&amp;"
Member to check with Nextcare the latest list of approved packages. Coverage on Reimbursement basis only."))</f>
        <v/>
      </c>
      <c r="D63" s="436"/>
      <c r="E63" s="442" t="str">
        <f>IF(E$9="","",IF(VLOOKUP(Inputs!E30,'Inputs Mapping'!$AA$2:$AC$14,3,0)="Not Covered","Not Covered",
"Coverage for an Annual Health Check-up Package with Nextcare partner providers, subject to a 20% coinsurance and the following annual limits: 
"&amp;VLOOKUP(Inputs!E30,'Inputs Mapping'!$AA$2:$AC$14,3,0)&amp;"
Member to check with Nextcare the latest list of approved packages. Coverage on Reimbursement basis only."))</f>
        <v/>
      </c>
      <c r="F63" s="438"/>
      <c r="G63" s="442" t="str">
        <f>IF(G$9="","",IF(VLOOKUP(Inputs!G30,'Inputs Mapping'!$AA$2:$AC$14,3,0)="Not Covered","Not Covered",
"Coverage for an Annual Health Check-up Package with Nextcare partner providers, subject to a 20% coinsurance and the following annual limits: 
"&amp;VLOOKUP(Inputs!G30,'Inputs Mapping'!$AA$2:$AC$14,3,0)&amp;"
Member to check with Nextcare the latest list of approved packages. Coverage on Reimbursement basis only."))</f>
        <v/>
      </c>
    </row>
    <row r="65" spans="2:7" ht="102" customHeight="1" x14ac:dyDescent="0.2">
      <c r="B65" s="864" t="s">
        <v>698</v>
      </c>
      <c r="C65" s="864"/>
      <c r="D65" s="864"/>
      <c r="E65" s="864"/>
      <c r="F65" s="864"/>
      <c r="G65" s="864"/>
    </row>
  </sheetData>
  <sheetProtection algorithmName="SHA-512" hashValue="F1ySC95Casj9zvwue3f6SahtcfsG6Q5MHhLCl6PT658/YuGiJm1ViZpzszyZvcKZyn2cOmV88K4osQagasxf4w==" saltValue="6ymzbuhVhM3X/gq0ffygXw==" spinCount="100000" sheet="1" objects="1" scenarios="1"/>
  <mergeCells count="2">
    <mergeCell ref="B53:B54"/>
    <mergeCell ref="B65:G65"/>
  </mergeCells>
  <printOptions horizontalCentered="1" verticalCentered="1"/>
  <pageMargins left="0.23622047244094491" right="0.23622047244094491" top="0.51181102362204722" bottom="0.51181102362204722" header="0.23622047244094491" footer="0.23622047244094491"/>
  <pageSetup paperSize="9" scale="35" orientation="landscape" r:id="rId1"/>
  <headerFooter>
    <oddHeader>&amp;C&amp;"Calibri"&amp;10&amp;K000000 Internal&amp;1#_x000D_</oddHeader>
    <oddFooter>&amp;L_x000D_&amp;1#&amp;"Calibri"&amp;10&amp;K737373 Confidential</oddFooter>
  </headerFooter>
  <rowBreaks count="2" manualBreakCount="2">
    <brk id="33" min="1" max="6" man="1"/>
    <brk id="52" min="1" max="6" man="1"/>
  </rowBreaks>
  <colBreaks count="3" manualBreakCount="3">
    <brk id="8" max="50" man="1"/>
    <brk id="9" max="50" man="1"/>
    <brk id="11" max="50"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theme="9" tint="0.39997558519241921"/>
  </sheetPr>
  <dimension ref="A1:BW58"/>
  <sheetViews>
    <sheetView showRowColHeaders="0" view="pageBreakPreview" zoomScale="60" zoomScaleNormal="70" workbookViewId="0">
      <selection activeCell="B1" sqref="B1"/>
    </sheetView>
  </sheetViews>
  <sheetFormatPr defaultColWidth="9.140625" defaultRowHeight="84.75" customHeight="1" x14ac:dyDescent="0.25"/>
  <cols>
    <col min="1" max="1" width="1.28515625" style="196" customWidth="1"/>
    <col min="2" max="2" width="89.28515625" style="196" customWidth="1"/>
    <col min="3" max="3" width="65.7109375" style="196" hidden="1" customWidth="1"/>
    <col min="4" max="4" width="1.140625" style="196" hidden="1" customWidth="1"/>
    <col min="5" max="5" width="65.7109375" style="196" hidden="1" customWidth="1"/>
    <col min="6" max="6" width="1.140625" style="196" hidden="1" customWidth="1"/>
    <col min="7" max="7" width="65.7109375" style="196" hidden="1" customWidth="1"/>
    <col min="8" max="8" width="1.140625" style="196" hidden="1" customWidth="1"/>
    <col min="9" max="9" width="53.7109375" style="196" hidden="1" customWidth="1"/>
    <col min="10" max="10" width="1.140625" style="196" hidden="1" customWidth="1"/>
    <col min="11" max="11" width="53.7109375" style="196" hidden="1" customWidth="1"/>
    <col min="12" max="12" width="1.140625" style="196" hidden="1" customWidth="1"/>
    <col min="13" max="13" width="53.7109375" style="196" hidden="1" customWidth="1"/>
    <col min="14" max="19" width="0" style="196" hidden="1" customWidth="1"/>
    <col min="20" max="16384" width="9.140625" style="196"/>
  </cols>
  <sheetData>
    <row r="1" spans="1:75" ht="53.25" customHeight="1" x14ac:dyDescent="0.25"/>
    <row r="2" spans="1:75" ht="72" customHeight="1" x14ac:dyDescent="0.25">
      <c r="B2" s="292" t="s">
        <v>699</v>
      </c>
      <c r="C2" s="293">
        <f>IF(C9="",0,1)+IF(E9="",0,2)+IF(G9="",0,2)+IF(I9="",0,2)+IF(K9="",0,2)+IF(M9="",0,2)</f>
        <v>0</v>
      </c>
      <c r="D2" s="269"/>
      <c r="E2" s="269"/>
      <c r="F2" s="269"/>
      <c r="G2" s="269"/>
      <c r="H2" s="269"/>
      <c r="I2" s="269"/>
      <c r="J2" s="269"/>
      <c r="K2" s="269"/>
      <c r="L2" s="269"/>
      <c r="M2" s="269"/>
    </row>
    <row r="3" spans="1:75" ht="20.100000000000001" customHeight="1" x14ac:dyDescent="0.25">
      <c r="B3" s="143" t="s">
        <v>45</v>
      </c>
      <c r="C3" s="108">
        <f>'Quotation for Dubai Plans'!B8</f>
        <v>0</v>
      </c>
      <c r="D3" s="726"/>
      <c r="E3" s="727"/>
    </row>
    <row r="4" spans="1:75" ht="20.100000000000001" customHeight="1" x14ac:dyDescent="0.25">
      <c r="B4" s="143" t="s">
        <v>50</v>
      </c>
      <c r="C4" s="109">
        <f>'Quotation for Dubai Plans'!B9</f>
        <v>0</v>
      </c>
      <c r="D4" s="726"/>
      <c r="E4" s="728"/>
      <c r="F4" s="146"/>
      <c r="G4" s="147"/>
      <c r="H4" s="146"/>
      <c r="I4" s="147"/>
      <c r="J4" s="146"/>
      <c r="K4" s="147"/>
      <c r="L4" s="146"/>
      <c r="M4" s="147"/>
    </row>
    <row r="5" spans="1:75" ht="20.100000000000001" hidden="1" customHeight="1" x14ac:dyDescent="0.25">
      <c r="B5" s="143"/>
      <c r="C5" s="287">
        <f>Inputs!C11</f>
        <v>0</v>
      </c>
      <c r="D5" s="726"/>
      <c r="E5" s="729"/>
      <c r="F5" s="146"/>
      <c r="G5" s="275"/>
      <c r="H5" s="146"/>
      <c r="I5" s="275"/>
      <c r="J5" s="146"/>
      <c r="K5" s="275"/>
      <c r="L5" s="146"/>
      <c r="M5" s="275"/>
    </row>
    <row r="6" spans="1:75" ht="20.100000000000001" customHeight="1" x14ac:dyDescent="0.25">
      <c r="B6" s="143" t="s">
        <v>96</v>
      </c>
      <c r="C6" s="109">
        <f>Inputs!C70</f>
        <v>0</v>
      </c>
      <c r="D6" s="726"/>
      <c r="E6" s="728"/>
      <c r="F6" s="146"/>
      <c r="G6" s="275"/>
      <c r="H6" s="146"/>
      <c r="I6" s="275"/>
      <c r="J6" s="146"/>
      <c r="K6" s="275"/>
      <c r="L6" s="146"/>
      <c r="M6" s="275"/>
    </row>
    <row r="7" spans="1:75" ht="20.100000000000001" hidden="1" customHeight="1" x14ac:dyDescent="0.25">
      <c r="B7" s="143" t="s">
        <v>646</v>
      </c>
      <c r="C7" s="108" t="str">
        <f>IF(Inputs!C12="","",Inputs!C12)</f>
        <v/>
      </c>
      <c r="D7" s="275"/>
      <c r="E7" s="275"/>
      <c r="F7" s="146"/>
      <c r="G7" s="275"/>
      <c r="H7" s="146"/>
      <c r="I7" s="275"/>
      <c r="J7" s="146"/>
      <c r="K7" s="275"/>
      <c r="L7" s="146"/>
      <c r="M7" s="275"/>
    </row>
    <row r="8" spans="1:75" ht="45" customHeight="1" x14ac:dyDescent="0.25">
      <c r="B8" s="144" t="s">
        <v>62</v>
      </c>
      <c r="C8" s="145" t="str">
        <f>IF(Inputs!C46&lt;&gt;"",Inputs!C45,"")</f>
        <v/>
      </c>
      <c r="D8" s="145" t="str">
        <f>IF(Inputs!D28&lt;&gt;"",Inputs!D26,"")</f>
        <v/>
      </c>
      <c r="E8" s="145" t="str">
        <f>IF(Inputs!E46&lt;&gt;"",Inputs!E45,"")</f>
        <v/>
      </c>
      <c r="F8" s="146"/>
      <c r="G8" s="145" t="str">
        <f>IF(Inputs!G46&lt;&gt;"",Inputs!G45,"")</f>
        <v/>
      </c>
      <c r="H8" s="146"/>
      <c r="I8" s="145" t="str">
        <f>IF(Inputs!I46&lt;&gt;"",Inputs!I45,"")</f>
        <v/>
      </c>
      <c r="J8" s="146"/>
      <c r="K8" s="145" t="str">
        <f>IF(Inputs!K46&lt;&gt;"",Inputs!K45,"")</f>
        <v/>
      </c>
      <c r="L8" s="146"/>
      <c r="M8" s="145" t="str">
        <f>IF(Inputs!M46&lt;&gt;"",Inputs!M45,"")</f>
        <v/>
      </c>
    </row>
    <row r="9" spans="1:75" s="270" customFormat="1" ht="38.25" customHeight="1" x14ac:dyDescent="0.25">
      <c r="A9" s="196"/>
      <c r="B9" s="430" t="s">
        <v>647</v>
      </c>
      <c r="C9" s="431" t="str">
        <f>IF(Inputs!C46="","",Inputs!C46)</f>
        <v/>
      </c>
      <c r="D9" s="432"/>
      <c r="E9" s="431" t="str">
        <f>IF(Inputs!E46="","",Inputs!E46)</f>
        <v/>
      </c>
      <c r="F9" s="433"/>
      <c r="G9" s="434" t="str">
        <f>IF(Inputs!G46="","",Inputs!G46)</f>
        <v/>
      </c>
      <c r="H9" s="146"/>
      <c r="I9" s="108" t="str">
        <f>IF(Inputs!I46="","",Inputs!I46)</f>
        <v/>
      </c>
      <c r="J9" s="146"/>
      <c r="K9" s="108" t="str">
        <f>IF(Inputs!K46="","",Inputs!K46)</f>
        <v/>
      </c>
      <c r="L9" s="146"/>
      <c r="M9" s="108" t="str">
        <f>IF(Inputs!M46="","",Inputs!M46)</f>
        <v/>
      </c>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c r="BP9" s="196"/>
      <c r="BQ9" s="196"/>
      <c r="BR9" s="196"/>
      <c r="BS9" s="196"/>
      <c r="BT9" s="196"/>
      <c r="BU9" s="196"/>
      <c r="BV9" s="196"/>
      <c r="BW9" s="196"/>
    </row>
    <row r="10" spans="1:75" s="270" customFormat="1" ht="48.75" customHeight="1" x14ac:dyDescent="0.25">
      <c r="A10" s="196"/>
      <c r="B10" s="435" t="s">
        <v>648</v>
      </c>
      <c r="C10" s="436" t="str">
        <f>IF(Inputs!C50="","",Inputs!C50)</f>
        <v/>
      </c>
      <c r="D10" s="437"/>
      <c r="E10" s="436" t="str">
        <f>IF(Inputs!E50="","",Inputs!E50)</f>
        <v/>
      </c>
      <c r="F10" s="438"/>
      <c r="G10" s="439" t="str">
        <f>IF(Inputs!G50="","",Inputs!G50)</f>
        <v/>
      </c>
      <c r="H10" s="146"/>
      <c r="I10" s="149" t="str">
        <f>IF(Inputs!I50="","",Inputs!I50)</f>
        <v/>
      </c>
      <c r="J10" s="146"/>
      <c r="K10" s="149" t="str">
        <f>IF(Inputs!K50="","",Inputs!K50)</f>
        <v/>
      </c>
      <c r="L10" s="146"/>
      <c r="M10" s="149" t="str">
        <f>IF(Inputs!M50="","",Inputs!M50)</f>
        <v/>
      </c>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196"/>
      <c r="BJ10" s="196"/>
      <c r="BK10" s="196"/>
      <c r="BL10" s="196"/>
      <c r="BM10" s="196"/>
      <c r="BN10" s="196"/>
      <c r="BO10" s="196"/>
      <c r="BP10" s="196"/>
      <c r="BQ10" s="196"/>
      <c r="BR10" s="196"/>
      <c r="BS10" s="196"/>
      <c r="BT10" s="196"/>
      <c r="BU10" s="196"/>
      <c r="BV10" s="196"/>
      <c r="BW10" s="196"/>
    </row>
    <row r="11" spans="1:75" s="270" customFormat="1" ht="38.25" customHeight="1" x14ac:dyDescent="0.25">
      <c r="A11" s="196"/>
      <c r="B11" s="435" t="s">
        <v>649</v>
      </c>
      <c r="C11" s="440" t="str">
        <f>IF(C$9="","",HLOOKUP(C$9,'Plans-Abudhabi &amp; Al Ain Emirate'!$C$3:$E$19,'Plans-Abudhabi &amp; Al Ain Emirate'!$I5,0))</f>
        <v/>
      </c>
      <c r="D11" s="437"/>
      <c r="E11" s="440" t="str">
        <f>IF(E$9="","",HLOOKUP(E$9,'Plans-Abudhabi &amp; Al Ain Emirate'!$C$3:$E$19,'Plans-Abudhabi &amp; Al Ain Emirate'!$I5,0))</f>
        <v/>
      </c>
      <c r="F11" s="438"/>
      <c r="G11" s="441" t="str">
        <f>IF(G$9="","",HLOOKUP(G$9,'Plans-Abudhabi &amp; Al Ain Emirate'!$C$3:$E$19,'Plans-Abudhabi &amp; Al Ain Emirate'!$I5,0))</f>
        <v/>
      </c>
      <c r="H11" s="146"/>
      <c r="I11" s="151" t="str">
        <f>IF(I$9="","",HLOOKUP(I$9,'Plans-Abudhabi &amp; Al Ain Emirate'!$C$3:$E$19,'Plans-Abudhabi &amp; Al Ain Emirate'!$I5,0))</f>
        <v/>
      </c>
      <c r="J11" s="146"/>
      <c r="K11" s="151" t="str">
        <f>IF(K$9="","",HLOOKUP(K$9,'Plans-Abudhabi &amp; Al Ain Emirate'!$C$3:$E$19,'Plans-Abudhabi &amp; Al Ain Emirate'!$I5,0))</f>
        <v/>
      </c>
      <c r="L11" s="146"/>
      <c r="M11" s="151" t="str">
        <f>IF(M$9="","",HLOOKUP(M$9,'Plans-Abudhabi &amp; Al Ain Emirate'!$C$3:$E$19,'Plans-Abudhabi &amp; Al Ain Emirate'!$I5,0))</f>
        <v/>
      </c>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196"/>
      <c r="BJ11" s="196"/>
      <c r="BK11" s="196"/>
      <c r="BL11" s="196"/>
      <c r="BM11" s="196"/>
      <c r="BN11" s="196"/>
      <c r="BO11" s="196"/>
      <c r="BP11" s="196"/>
      <c r="BQ11" s="196"/>
      <c r="BR11" s="196"/>
      <c r="BS11" s="196"/>
      <c r="BT11" s="196"/>
      <c r="BU11" s="196"/>
      <c r="BV11" s="196"/>
      <c r="BW11" s="196"/>
    </row>
    <row r="12" spans="1:75" s="270" customFormat="1" ht="38.25" customHeight="1" x14ac:dyDescent="0.25">
      <c r="A12" s="196"/>
      <c r="B12" s="435" t="s">
        <v>650</v>
      </c>
      <c r="C12" s="436" t="str">
        <f>IF(C$9="","",Inputs!C49&amp;IF(Inputs!$C$16="Yes"," excluding "&amp;Inputs!$C$14&amp;" and all its affiliates both on direct billing and reimbursements basis",""))</f>
        <v/>
      </c>
      <c r="D12" s="442"/>
      <c r="E12" s="436" t="str">
        <f>IF(E$9="","",Inputs!E49&amp;IF(Inputs!$C$16="Yes"," excluding "&amp;Inputs!$C$14&amp;" and all its affiliates both on direct billing and reimbursements basis",""))</f>
        <v/>
      </c>
      <c r="F12" s="438"/>
      <c r="G12" s="439" t="str">
        <f>IF(G$9="","",Inputs!G49&amp;IF(Inputs!$C$16="Yes"," excluding "&amp;Inputs!$C$14&amp;" and all its affiliates both on direct billing and reimbursements basis",""))</f>
        <v/>
      </c>
      <c r="H12" s="146"/>
      <c r="I12" s="149" t="str">
        <f>IF(I$9="","",Inputs!I49&amp;IF(Inputs!$C$16="Yes"," excluding "&amp;Inputs!$C$14&amp;" and all its affiliates both on direct billing and reimbursements basis",""))</f>
        <v/>
      </c>
      <c r="J12" s="146"/>
      <c r="K12" s="149" t="str">
        <f>IF(K$9="","",Inputs!K49&amp;IF(Inputs!$C$16="Yes"," excluding "&amp;Inputs!$C$14&amp;" and all its affiliates both on direct billing and reimbursements basis",""))</f>
        <v/>
      </c>
      <c r="L12" s="146"/>
      <c r="M12" s="149" t="str">
        <f>IF(M$9="","",Inputs!M49&amp;IF(Inputs!$C$16="Yes"," excluding "&amp;Inputs!$C$14&amp;" and all its affiliates both on direct billing and reimbursements basis",""))</f>
        <v/>
      </c>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c r="BO12" s="196"/>
      <c r="BP12" s="196"/>
      <c r="BQ12" s="196"/>
      <c r="BR12" s="196"/>
      <c r="BS12" s="196"/>
      <c r="BT12" s="196"/>
      <c r="BU12" s="196"/>
      <c r="BV12" s="196"/>
      <c r="BW12" s="196"/>
    </row>
    <row r="13" spans="1:75" s="272" customFormat="1" ht="38.25" customHeight="1" x14ac:dyDescent="0.25">
      <c r="A13" s="271"/>
      <c r="B13" s="435" t="s">
        <v>651</v>
      </c>
      <c r="C13" s="440" t="str">
        <f>IF(C$9="","",HLOOKUP(C$9,'Plans-Abudhabi &amp; Al Ain Emirate'!$C$3:$E$19,'Plans-Abudhabi &amp; Al Ain Emirate'!$I7,0))</f>
        <v/>
      </c>
      <c r="D13" s="437"/>
      <c r="E13" s="440" t="str">
        <f>IF(E$9="","",HLOOKUP(E$9,'Plans-Abudhabi &amp; Al Ain Emirate'!$C$3:$E$19,'Plans-Abudhabi &amp; Al Ain Emirate'!$I7,0))</f>
        <v/>
      </c>
      <c r="F13" s="443"/>
      <c r="G13" s="441" t="str">
        <f>IF(G$9="","",HLOOKUP(G$9,'Plans-Abudhabi &amp; Al Ain Emirate'!$C$3:$E$19,'Plans-Abudhabi &amp; Al Ain Emirate'!$I7,0))</f>
        <v/>
      </c>
      <c r="H13" s="153"/>
      <c r="I13" s="151" t="str">
        <f>IF(I$9="","",HLOOKUP(I$9,'Plans-Abudhabi &amp; Al Ain Emirate'!$C$3:$E$19,'Plans-Abudhabi &amp; Al Ain Emirate'!$I7,0))</f>
        <v/>
      </c>
      <c r="J13" s="153"/>
      <c r="K13" s="151" t="str">
        <f>IF(K$9="","",HLOOKUP(K$9,'Plans-Abudhabi &amp; Al Ain Emirate'!$C$3:$E$19,'Plans-Abudhabi &amp; Al Ain Emirate'!$I7,0))</f>
        <v/>
      </c>
      <c r="L13" s="153"/>
      <c r="M13" s="151" t="str">
        <f>IF(M$9="","",HLOOKUP(M$9,'Plans-Abudhabi &amp; Al Ain Emirate'!$C$3:$E$19,'Plans-Abudhabi &amp; Al Ain Emirate'!$I7,0))</f>
        <v/>
      </c>
      <c r="N13" s="271"/>
      <c r="O13" s="271"/>
      <c r="P13" s="271"/>
      <c r="Q13" s="271"/>
      <c r="R13" s="271"/>
      <c r="S13" s="271"/>
      <c r="T13" s="271"/>
      <c r="U13" s="271"/>
      <c r="V13" s="271"/>
      <c r="W13" s="271"/>
      <c r="X13" s="271"/>
      <c r="Y13" s="271"/>
      <c r="Z13" s="271"/>
      <c r="AA13" s="271"/>
      <c r="AB13" s="271"/>
      <c r="AC13" s="271"/>
      <c r="AD13" s="271"/>
      <c r="AE13" s="271"/>
      <c r="AF13" s="271"/>
      <c r="AG13" s="271"/>
      <c r="AH13" s="271"/>
      <c r="AI13" s="271"/>
      <c r="AJ13" s="271"/>
      <c r="AK13" s="271"/>
      <c r="AL13" s="271"/>
      <c r="AM13" s="271"/>
      <c r="AN13" s="271"/>
      <c r="AO13" s="271"/>
      <c r="AP13" s="271"/>
      <c r="AQ13" s="271"/>
      <c r="AR13" s="271"/>
      <c r="AS13" s="271"/>
      <c r="AT13" s="271"/>
      <c r="AU13" s="271"/>
      <c r="AV13" s="271"/>
      <c r="AW13" s="271"/>
      <c r="AX13" s="271"/>
      <c r="AY13" s="271"/>
      <c r="AZ13" s="271"/>
      <c r="BA13" s="271"/>
      <c r="BB13" s="271"/>
      <c r="BC13" s="271"/>
      <c r="BD13" s="271"/>
      <c r="BE13" s="271"/>
      <c r="BF13" s="271"/>
      <c r="BG13" s="271"/>
      <c r="BH13" s="271"/>
      <c r="BI13" s="271"/>
      <c r="BJ13" s="271"/>
      <c r="BK13" s="271"/>
      <c r="BL13" s="271"/>
      <c r="BM13" s="271"/>
      <c r="BN13" s="271"/>
      <c r="BO13" s="271"/>
      <c r="BP13" s="271"/>
      <c r="BQ13" s="271"/>
      <c r="BR13" s="271"/>
      <c r="BS13" s="271"/>
      <c r="BT13" s="271"/>
      <c r="BU13" s="271"/>
      <c r="BV13" s="271"/>
      <c r="BW13" s="271"/>
    </row>
    <row r="14" spans="1:75" s="272" customFormat="1" ht="99" hidden="1" customHeight="1" x14ac:dyDescent="0.25">
      <c r="A14" s="271"/>
      <c r="B14" s="435" t="s">
        <v>652</v>
      </c>
      <c r="C14" s="442" t="s">
        <v>653</v>
      </c>
      <c r="D14" s="437"/>
      <c r="E14" s="442" t="s">
        <v>653</v>
      </c>
      <c r="F14" s="443"/>
      <c r="G14" s="444" t="s">
        <v>653</v>
      </c>
      <c r="H14" s="153"/>
      <c r="I14" s="152" t="s">
        <v>653</v>
      </c>
      <c r="J14" s="153"/>
      <c r="K14" s="152" t="s">
        <v>653</v>
      </c>
      <c r="L14" s="153"/>
      <c r="M14" s="152" t="s">
        <v>653</v>
      </c>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row>
    <row r="15" spans="1:75" s="270" customFormat="1" ht="135" hidden="1" customHeight="1" x14ac:dyDescent="0.25">
      <c r="A15" s="196"/>
      <c r="B15" s="435" t="s">
        <v>654</v>
      </c>
      <c r="C15" s="445" t="str">
        <f>IF(C$9="","",HLOOKUP(C$9,'Plans-Abudhabi &amp; Al Ain Emirate'!$C$3:$E$19,'Plans-Abudhabi &amp; Al Ain Emirate'!$I9,0))</f>
        <v/>
      </c>
      <c r="D15" s="436"/>
      <c r="E15" s="445" t="str">
        <f>IF(E$9="","",HLOOKUP(E$9,'Plans-Abudhabi &amp; Al Ain Emirate'!$C$3:$E$19,'Plans-Abudhabi &amp; Al Ain Emirate'!$I9,0))</f>
        <v/>
      </c>
      <c r="F15" s="438"/>
      <c r="G15" s="446" t="str">
        <f>IF(G$9="","",HLOOKUP(G$9,'Plans-Abudhabi &amp; Al Ain Emirate'!$C$3:$E$19,'Plans-Abudhabi &amp; Al Ain Emirate'!$I9,0))</f>
        <v/>
      </c>
      <c r="H15" s="146"/>
      <c r="I15" s="155" t="str">
        <f>IF(I$9="","",HLOOKUP(I$9,'Plans-Abudhabi &amp; Al Ain Emirate'!$C$3:$E$19,'Plans-Abudhabi &amp; Al Ain Emirate'!$I9,0))</f>
        <v/>
      </c>
      <c r="J15" s="146"/>
      <c r="K15" s="155" t="str">
        <f>IF(K$9="","",HLOOKUP(K$9,'Plans-Abudhabi &amp; Al Ain Emirate'!$C$3:$E$19,'Plans-Abudhabi &amp; Al Ain Emirate'!$I9,0))</f>
        <v/>
      </c>
      <c r="L15" s="146"/>
      <c r="M15" s="155" t="str">
        <f>IF(M$9="","",HLOOKUP(M$9,'Plans-Abudhabi &amp; Al Ain Emirate'!$C$3:$E$19,'Plans-Abudhabi &amp; Al Ain Emirate'!$I9,0))</f>
        <v/>
      </c>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6"/>
      <c r="BU15" s="196"/>
      <c r="BV15" s="196"/>
      <c r="BW15" s="196"/>
    </row>
    <row r="16" spans="1:75" s="270" customFormat="1" ht="35.25" customHeight="1" x14ac:dyDescent="0.25">
      <c r="A16" s="196"/>
      <c r="B16" s="435" t="s">
        <v>655</v>
      </c>
      <c r="C16" s="437" t="str">
        <f>IF(C$9="","",HLOOKUP(C$9,'Plans-Abudhabi &amp; Al Ain Emirate'!$C$3:$E$19,'Plans-Abudhabi &amp; Al Ain Emirate'!$I10,0))</f>
        <v/>
      </c>
      <c r="D16" s="447"/>
      <c r="E16" s="437" t="str">
        <f>IF(E$9="","",HLOOKUP(E$9,'Plans-Abudhabi &amp; Al Ain Emirate'!$C$3:$E$19,'Plans-Abudhabi &amp; Al Ain Emirate'!$I10,0))</f>
        <v/>
      </c>
      <c r="F16" s="438"/>
      <c r="G16" s="448" t="str">
        <f>IF(G$9="","",HLOOKUP(G$9,'Plans-Abudhabi &amp; Al Ain Emirate'!$C$3:$E$19,'Plans-Abudhabi &amp; Al Ain Emirate'!$I10,0))</f>
        <v/>
      </c>
      <c r="H16" s="146"/>
      <c r="I16" s="150" t="str">
        <f>IF(I$9="","",HLOOKUP(I$9,'Plans-Abudhabi &amp; Al Ain Emirate'!$C$3:$E$19,'Plans-Abudhabi &amp; Al Ain Emirate'!$I10,0))</f>
        <v/>
      </c>
      <c r="J16" s="146"/>
      <c r="K16" s="150" t="str">
        <f>IF(K$9="","",HLOOKUP(K$9,'Plans-Abudhabi &amp; Al Ain Emirate'!$C$3:$E$19,'Plans-Abudhabi &amp; Al Ain Emirate'!$I10,0))</f>
        <v/>
      </c>
      <c r="L16" s="146"/>
      <c r="M16" s="150" t="str">
        <f>IF(M$9="","",HLOOKUP(M$9,'Plans-Abudhabi &amp; Al Ain Emirate'!$C$3:$E$19,'Plans-Abudhabi &amp; Al Ain Emirate'!$I10,0))</f>
        <v/>
      </c>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6"/>
      <c r="BP16" s="196"/>
      <c r="BQ16" s="196"/>
      <c r="BR16" s="196"/>
      <c r="BS16" s="196"/>
      <c r="BT16" s="196"/>
      <c r="BU16" s="196"/>
      <c r="BV16" s="196"/>
      <c r="BW16" s="196"/>
    </row>
    <row r="17" spans="1:75" s="270" customFormat="1" ht="84.75" customHeight="1" x14ac:dyDescent="0.25">
      <c r="A17" s="196"/>
      <c r="B17" s="449" t="s">
        <v>656</v>
      </c>
      <c r="C17" s="440" t="str">
        <f>IF(C$9="","",HLOOKUP(C$9,'Plans-Abudhabi &amp; Al Ain Emirate'!$C$3:$E$19,'Plans-Abudhabi &amp; Al Ain Emirate'!$I11,0))</f>
        <v/>
      </c>
      <c r="D17" s="447"/>
      <c r="E17" s="440" t="str">
        <f>IF(E$9="","",HLOOKUP(E$9,'Plans-Abudhabi &amp; Al Ain Emirate'!$C$3:$E$19,'Plans-Abudhabi &amp; Al Ain Emirate'!$I11,0))</f>
        <v/>
      </c>
      <c r="F17" s="438"/>
      <c r="G17" s="441" t="str">
        <f>IF(G$9="","",HLOOKUP(G$9,'Plans-Abudhabi &amp; Al Ain Emirate'!$C$3:$E$19,'Plans-Abudhabi &amp; Al Ain Emirate'!$I11,0))</f>
        <v/>
      </c>
      <c r="H17" s="146"/>
      <c r="I17" s="151" t="str">
        <f>IF(I$9="","",HLOOKUP(I$9,'Plans-Abudhabi &amp; Al Ain Emirate'!$C$3:$E$19,'Plans-Abudhabi &amp; Al Ain Emirate'!$I11,0))</f>
        <v/>
      </c>
      <c r="J17" s="146"/>
      <c r="K17" s="151" t="str">
        <f>IF(K$9="","",HLOOKUP(K$9,'Plans-Abudhabi &amp; Al Ain Emirate'!$C$3:$E$19,'Plans-Abudhabi &amp; Al Ain Emirate'!$I11,0))</f>
        <v/>
      </c>
      <c r="L17" s="146"/>
      <c r="M17" s="151" t="str">
        <f>IF(M$9="","",HLOOKUP(M$9,'Plans-Abudhabi &amp; Al Ain Emirate'!$C$3:$E$19,'Plans-Abudhabi &amp; Al Ain Emirate'!$I11,0))</f>
        <v/>
      </c>
      <c r="N17" s="196"/>
      <c r="O17" s="196"/>
      <c r="P17" s="196"/>
      <c r="Q17" s="196"/>
      <c r="R17" s="196"/>
      <c r="S17" s="196"/>
      <c r="T17" s="196"/>
      <c r="U17" s="196"/>
      <c r="V17" s="196"/>
      <c r="W17" s="196"/>
      <c r="X17" s="196"/>
      <c r="Y17" s="196"/>
      <c r="Z17" s="196"/>
      <c r="AA17" s="196"/>
      <c r="AB17" s="196"/>
      <c r="AC17" s="196"/>
      <c r="AD17" s="196"/>
      <c r="AE17" s="196"/>
      <c r="AF17" s="196"/>
      <c r="AG17" s="196"/>
      <c r="AH17" s="196"/>
      <c r="AI17" s="196"/>
      <c r="AJ17" s="196"/>
      <c r="AK17" s="196"/>
      <c r="AL17" s="196"/>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6"/>
      <c r="BP17" s="196"/>
      <c r="BQ17" s="196"/>
      <c r="BR17" s="196"/>
      <c r="BS17" s="196"/>
      <c r="BT17" s="196"/>
      <c r="BU17" s="196"/>
      <c r="BV17" s="196"/>
      <c r="BW17" s="196"/>
    </row>
    <row r="18" spans="1:75" s="270" customFormat="1" ht="77.25" customHeight="1" x14ac:dyDescent="0.25">
      <c r="A18" s="196"/>
      <c r="B18" s="449" t="s">
        <v>657</v>
      </c>
      <c r="C18" s="437" t="str">
        <f>IF(C$9="","",HLOOKUP(C$9,'Plans-Abudhabi &amp; Al Ain Emirate'!$C$3:$E$19,'Plans-Abudhabi &amp; Al Ain Emirate'!$I12,0))</f>
        <v/>
      </c>
      <c r="D18" s="447"/>
      <c r="E18" s="437" t="str">
        <f>IF(E$9="","",HLOOKUP(E$9,'Plans-Abudhabi &amp; Al Ain Emirate'!$C$3:$E$19,'Plans-Abudhabi &amp; Al Ain Emirate'!$I12,0))</f>
        <v/>
      </c>
      <c r="F18" s="438"/>
      <c r="G18" s="448" t="str">
        <f>IF(G$9="","",HLOOKUP(G$9,'Plans-Abudhabi &amp; Al Ain Emirate'!$C$3:$E$19,'Plans-Abudhabi &amp; Al Ain Emirate'!$I12,0))</f>
        <v/>
      </c>
      <c r="H18" s="146"/>
      <c r="I18" s="150" t="str">
        <f>IF(I$9="","",HLOOKUP(I$9,'Plans-Abudhabi &amp; Al Ain Emirate'!$C$3:$E$19,'Plans-Abudhabi &amp; Al Ain Emirate'!$I12,0))</f>
        <v/>
      </c>
      <c r="J18" s="146"/>
      <c r="K18" s="150" t="str">
        <f>IF(K$9="","",HLOOKUP(K$9,'Plans-Abudhabi &amp; Al Ain Emirate'!$C$3:$E$19,'Plans-Abudhabi &amp; Al Ain Emirate'!$I12,0))</f>
        <v/>
      </c>
      <c r="L18" s="146"/>
      <c r="M18" s="150" t="str">
        <f>IF(M$9="","",HLOOKUP(M$9,'Plans-Abudhabi &amp; Al Ain Emirate'!$C$3:$E$19,'Plans-Abudhabi &amp; Al Ain Emirate'!$I12,0))</f>
        <v/>
      </c>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6"/>
      <c r="BP18" s="196"/>
      <c r="BQ18" s="196"/>
      <c r="BR18" s="196"/>
      <c r="BS18" s="196"/>
      <c r="BT18" s="196"/>
      <c r="BU18" s="196"/>
      <c r="BV18" s="196"/>
      <c r="BW18" s="196"/>
    </row>
    <row r="19" spans="1:75" s="270" customFormat="1" ht="69.75" customHeight="1" x14ac:dyDescent="0.25">
      <c r="A19" s="196"/>
      <c r="B19" s="449" t="s">
        <v>658</v>
      </c>
      <c r="C19" s="445" t="str">
        <f>IF(C$9="","",HLOOKUP(C$9,'Plans-Abudhabi &amp; Al Ain Emirate'!$C$3:$E$19,'Plans-Abudhabi &amp; Al Ain Emirate'!$I13,0))</f>
        <v/>
      </c>
      <c r="D19" s="436"/>
      <c r="E19" s="445" t="str">
        <f>IF(E$9="","",HLOOKUP(E$9,'Plans-Abudhabi &amp; Al Ain Emirate'!$C$3:$E$19,'Plans-Abudhabi &amp; Al Ain Emirate'!$I13,0))</f>
        <v/>
      </c>
      <c r="F19" s="438"/>
      <c r="G19" s="446" t="str">
        <f>IF(G$9="","",HLOOKUP(G$9,'Plans-Abudhabi &amp; Al Ain Emirate'!$C$3:$E$19,'Plans-Abudhabi &amp; Al Ain Emirate'!$I13,0))</f>
        <v/>
      </c>
      <c r="H19" s="146"/>
      <c r="I19" s="155" t="str">
        <f>IF(I$9="","",HLOOKUP(I$9,'Plans-Abudhabi &amp; Al Ain Emirate'!$C$3:$E$19,'Plans-Abudhabi &amp; Al Ain Emirate'!$I13,0))</f>
        <v/>
      </c>
      <c r="J19" s="146"/>
      <c r="K19" s="155" t="str">
        <f>IF(K$9="","",HLOOKUP(K$9,'Plans-Abudhabi &amp; Al Ain Emirate'!$C$3:$E$19,'Plans-Abudhabi &amp; Al Ain Emirate'!$I13,0))</f>
        <v/>
      </c>
      <c r="L19" s="146"/>
      <c r="M19" s="155" t="str">
        <f>IF(M$9="","",HLOOKUP(M$9,'Plans-Abudhabi &amp; Al Ain Emirate'!$C$3:$E$19,'Plans-Abudhabi &amp; Al Ain Emirate'!$I13,0))</f>
        <v/>
      </c>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6"/>
      <c r="BP19" s="196"/>
      <c r="BQ19" s="196"/>
      <c r="BR19" s="196"/>
      <c r="BS19" s="196"/>
      <c r="BT19" s="196"/>
      <c r="BU19" s="196"/>
      <c r="BV19" s="196"/>
      <c r="BW19" s="196"/>
    </row>
    <row r="20" spans="1:75" s="270" customFormat="1" ht="84.75" customHeight="1" x14ac:dyDescent="0.25">
      <c r="A20" s="196"/>
      <c r="B20" s="449" t="s">
        <v>659</v>
      </c>
      <c r="C20" s="437" t="str">
        <f>IF(C$9="","",HLOOKUP(C$9,'Plans-Abudhabi &amp; Al Ain Emirate'!$C$3:$E$19,'Plans-Abudhabi &amp; Al Ain Emirate'!$I14,0))</f>
        <v/>
      </c>
      <c r="D20" s="447"/>
      <c r="E20" s="437" t="str">
        <f>IF(E$9="","",HLOOKUP(E$9,'Plans-Abudhabi &amp; Al Ain Emirate'!$C$3:$E$19,'Plans-Abudhabi &amp; Al Ain Emirate'!$I14,0))</f>
        <v/>
      </c>
      <c r="F20" s="438"/>
      <c r="G20" s="448" t="str">
        <f>IF(G$9="","",HLOOKUP(G$9,'Plans-Abudhabi &amp; Al Ain Emirate'!$C$3:$E$19,'Plans-Abudhabi &amp; Al Ain Emirate'!$I14,0))</f>
        <v/>
      </c>
      <c r="H20" s="146"/>
      <c r="I20" s="150" t="str">
        <f>IF(I$9="","",HLOOKUP(I$9,'Plans-Abudhabi &amp; Al Ain Emirate'!$C$3:$E$19,'Plans-Abudhabi &amp; Al Ain Emirate'!$I14,0))</f>
        <v/>
      </c>
      <c r="J20" s="146"/>
      <c r="K20" s="150" t="str">
        <f>IF(K$9="","",HLOOKUP(K$9,'Plans-Abudhabi &amp; Al Ain Emirate'!$C$3:$E$19,'Plans-Abudhabi &amp; Al Ain Emirate'!$I14,0))</f>
        <v/>
      </c>
      <c r="L20" s="146"/>
      <c r="M20" s="150" t="str">
        <f>IF(M$9="","",HLOOKUP(M$9,'Plans-Abudhabi &amp; Al Ain Emirate'!$C$3:$E$19,'Plans-Abudhabi &amp; Al Ain Emirate'!$I14,0))</f>
        <v/>
      </c>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6"/>
      <c r="BP20" s="196"/>
      <c r="BQ20" s="196"/>
      <c r="BR20" s="196"/>
      <c r="BS20" s="196"/>
      <c r="BT20" s="196"/>
      <c r="BU20" s="196"/>
      <c r="BV20" s="196"/>
      <c r="BW20" s="196"/>
    </row>
    <row r="21" spans="1:75" s="270" customFormat="1" ht="64.5" customHeight="1" x14ac:dyDescent="0.25">
      <c r="A21" s="196"/>
      <c r="B21" s="449" t="s">
        <v>660</v>
      </c>
      <c r="C21" s="467" t="str">
        <f>IF(C$9="","",Inputs!C55)</f>
        <v/>
      </c>
      <c r="D21" s="442"/>
      <c r="E21" s="467" t="str">
        <f>IF(E$9="","",Inputs!E55)</f>
        <v/>
      </c>
      <c r="F21" s="438"/>
      <c r="G21" s="468" t="str">
        <f>IF(G$9="","",Inputs!G55)</f>
        <v/>
      </c>
      <c r="H21" s="146"/>
      <c r="I21" s="302" t="str">
        <f>IF(I$9="","",Inputs!I55)</f>
        <v/>
      </c>
      <c r="J21" s="146"/>
      <c r="K21" s="302" t="str">
        <f>IF(K$9="","",Inputs!K55)</f>
        <v/>
      </c>
      <c r="L21" s="146"/>
      <c r="M21" s="302" t="str">
        <f>IF(M$9="","",Inputs!M55)</f>
        <v/>
      </c>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6"/>
      <c r="BP21" s="196"/>
      <c r="BQ21" s="196"/>
      <c r="BR21" s="196"/>
      <c r="BS21" s="196"/>
      <c r="BT21" s="196"/>
      <c r="BU21" s="196"/>
      <c r="BV21" s="196"/>
      <c r="BW21" s="196"/>
    </row>
    <row r="22" spans="1:75" s="270" customFormat="1" ht="69.75" customHeight="1" x14ac:dyDescent="0.25">
      <c r="A22" s="196"/>
      <c r="B22" s="449" t="s">
        <v>661</v>
      </c>
      <c r="C22" s="436" t="str">
        <f>IF(C$9="","","Covered up to "&amp;Inputs!C54&amp;" Subject to "
&amp;Inputs!C53*100&amp;"% Co-pay")</f>
        <v/>
      </c>
      <c r="D22" s="442"/>
      <c r="E22" s="436" t="str">
        <f>IF(E$9="","","Covered up to "&amp;Inputs!E54&amp;" Subject to "
&amp;Inputs!E53*100&amp;"% Co-pay")</f>
        <v/>
      </c>
      <c r="F22" s="438"/>
      <c r="G22" s="439" t="str">
        <f>IF(G$9="","","Covered up to "&amp;Inputs!G54&amp;" Subject to "
&amp;Inputs!G53*100&amp;"% Co-pay")</f>
        <v/>
      </c>
      <c r="H22" s="146"/>
      <c r="I22" s="149" t="str">
        <f>IF(I$9="","","Covered up to "&amp;Inputs!I54&amp;" Subject to "
&amp;Inputs!I53*100&amp;"% Co-pay")</f>
        <v/>
      </c>
      <c r="J22" s="146"/>
      <c r="K22" s="149" t="str">
        <f>IF(K$9="","","Covered up to "&amp;Inputs!K54&amp;" Subject to "
&amp;Inputs!K53*100&amp;"% Co-pay")</f>
        <v/>
      </c>
      <c r="L22" s="146"/>
      <c r="M22" s="149" t="str">
        <f>IF(M$9="","","Covered up to "&amp;Inputs!M54&amp;" Subject to "
&amp;Inputs!M53*100&amp;"% Co-pay")</f>
        <v/>
      </c>
      <c r="N22" s="196"/>
      <c r="O22" s="196"/>
      <c r="P22" s="196"/>
      <c r="Q22" s="196"/>
      <c r="R22" s="196"/>
      <c r="S22" s="196"/>
      <c r="T22" s="196"/>
      <c r="U22" s="196"/>
      <c r="V22" s="196"/>
      <c r="W22" s="196"/>
      <c r="X22" s="196"/>
      <c r="Y22" s="196"/>
      <c r="Z22" s="196"/>
      <c r="AA22" s="196"/>
      <c r="AB22" s="196"/>
      <c r="AC22" s="196"/>
      <c r="AD22" s="196"/>
      <c r="AE22" s="196"/>
      <c r="AF22" s="196"/>
      <c r="AG22" s="196"/>
      <c r="AH22" s="196"/>
      <c r="AI22" s="196"/>
      <c r="AJ22" s="196"/>
      <c r="AK22" s="196"/>
      <c r="AL22" s="196"/>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6"/>
      <c r="BP22" s="196"/>
      <c r="BQ22" s="196"/>
      <c r="BR22" s="196"/>
      <c r="BS22" s="196"/>
      <c r="BT22" s="196"/>
      <c r="BU22" s="196"/>
      <c r="BV22" s="196"/>
      <c r="BW22" s="196"/>
    </row>
    <row r="23" spans="1:75" s="270" customFormat="1" ht="65.25" customHeight="1" x14ac:dyDescent="0.25">
      <c r="A23" s="196"/>
      <c r="B23" s="449" t="s">
        <v>662</v>
      </c>
      <c r="C23" s="450" t="str">
        <f>IF(C$9="","","Covered up to AAL subject to "
&amp;Inputs!C56*100&amp;"% Co-pay")</f>
        <v/>
      </c>
      <c r="D23" s="442"/>
      <c r="E23" s="450" t="str">
        <f>IF(E$9="","","Covered up to AAL subject to "
&amp;Inputs!E56*100&amp;"% Co-pay")</f>
        <v/>
      </c>
      <c r="F23" s="438"/>
      <c r="G23" s="451" t="str">
        <f>IF(G$9="","","Covered up to AAL subject to "
&amp;Inputs!G56*100&amp;"% Co-pay")</f>
        <v/>
      </c>
      <c r="H23" s="146"/>
      <c r="I23" s="158" t="str">
        <f>IF(I$9="","","Covered up to AAL subject to "
&amp;Inputs!I56*100&amp;"% Co-pay")</f>
        <v/>
      </c>
      <c r="J23" s="146"/>
      <c r="K23" s="158" t="str">
        <f>IF(K$9="","","Covered up to AAL subject to "
&amp;Inputs!K56*100&amp;"% Co-pay")</f>
        <v/>
      </c>
      <c r="L23" s="146"/>
      <c r="M23" s="158" t="str">
        <f>IF(M$9="","","Covered up to AAL subject to "
&amp;Inputs!M56*100&amp;"% Co-pay")</f>
        <v/>
      </c>
      <c r="N23" s="196"/>
      <c r="O23" s="196"/>
      <c r="P23" s="196"/>
      <c r="Q23" s="196"/>
      <c r="R23" s="196"/>
      <c r="S23" s="196"/>
      <c r="T23" s="196"/>
      <c r="U23" s="196"/>
      <c r="V23" s="196"/>
      <c r="W23" s="196"/>
      <c r="X23" s="196"/>
      <c r="Y23" s="196"/>
      <c r="Z23" s="196"/>
      <c r="AA23" s="196"/>
      <c r="AB23" s="196"/>
      <c r="AC23" s="196"/>
      <c r="AD23" s="196"/>
      <c r="AE23" s="196"/>
      <c r="AF23" s="196"/>
      <c r="AG23" s="196"/>
      <c r="AH23" s="196"/>
      <c r="AI23" s="196"/>
      <c r="AJ23" s="196"/>
      <c r="AK23" s="196"/>
      <c r="AL23" s="196"/>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6"/>
      <c r="BP23" s="196"/>
      <c r="BQ23" s="196"/>
      <c r="BR23" s="196"/>
      <c r="BS23" s="196"/>
      <c r="BT23" s="196"/>
      <c r="BU23" s="196"/>
      <c r="BV23" s="196"/>
      <c r="BW23" s="196"/>
    </row>
    <row r="24" spans="1:75" s="270" customFormat="1" ht="66.75" customHeight="1" x14ac:dyDescent="0.25">
      <c r="A24" s="196"/>
      <c r="B24" s="435" t="s">
        <v>663</v>
      </c>
      <c r="C24" s="436" t="str">
        <f>IF(C$9="","",HLOOKUP(C$9,'Plans-Abudhabi &amp; Al Ain Emirate'!$C$3:$E$19,'Plans-Abudhabi &amp; Al Ain Emirate'!$I19,0))</f>
        <v/>
      </c>
      <c r="D24" s="442"/>
      <c r="E24" s="436" t="str">
        <f>IF(E$9="","",HLOOKUP(E$9,'Plans-Abudhabi &amp; Al Ain Emirate'!$C$3:$E$19,'Plans-Abudhabi &amp; Al Ain Emirate'!$I19,0))</f>
        <v/>
      </c>
      <c r="F24" s="438"/>
      <c r="G24" s="439" t="str">
        <f>IF(G$9="","",HLOOKUP(G$9,'Plans-Abudhabi &amp; Al Ain Emirate'!$C$3:$E$19,'Plans-Abudhabi &amp; Al Ain Emirate'!$I19,0))</f>
        <v/>
      </c>
      <c r="H24" s="146"/>
      <c r="I24" s="149" t="str">
        <f>IF(I$9="","",HLOOKUP(I$9,'Plans-Abudhabi &amp; Al Ain Emirate'!$C$3:$E$19,'Plans-Abudhabi &amp; Al Ain Emirate'!$I19,0))</f>
        <v/>
      </c>
      <c r="J24" s="146"/>
      <c r="K24" s="149" t="str">
        <f>IF(K$9="","",HLOOKUP(K$9,'Plans-Abudhabi &amp; Al Ain Emirate'!$C$3:$E$19,'Plans-Abudhabi &amp; Al Ain Emirate'!$I19,0))</f>
        <v/>
      </c>
      <c r="L24" s="146"/>
      <c r="M24" s="149" t="str">
        <f>IF(M$9="","",HLOOKUP(M$9,'Plans-Abudhabi &amp; Al Ain Emirate'!$C$3:$E$19,'Plans-Abudhabi &amp; Al Ain Emirate'!$I19,0))</f>
        <v/>
      </c>
      <c r="N24" s="196"/>
      <c r="O24" s="196"/>
      <c r="P24" s="196"/>
      <c r="Q24" s="196"/>
      <c r="R24" s="196"/>
      <c r="S24" s="196"/>
      <c r="T24" s="196"/>
      <c r="U24" s="196"/>
      <c r="V24" s="196"/>
      <c r="W24" s="196"/>
      <c r="X24" s="196"/>
      <c r="Y24" s="196"/>
      <c r="Z24" s="196"/>
      <c r="AA24" s="196"/>
      <c r="AB24" s="196"/>
      <c r="AC24" s="196"/>
      <c r="AD24" s="196"/>
      <c r="AE24" s="196"/>
      <c r="AF24" s="196"/>
      <c r="AG24" s="196"/>
      <c r="AH24" s="196"/>
      <c r="AI24" s="196"/>
      <c r="AJ24" s="196"/>
      <c r="AK24" s="196"/>
      <c r="AL24" s="196"/>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6"/>
      <c r="BP24" s="196"/>
      <c r="BQ24" s="196"/>
      <c r="BR24" s="196"/>
      <c r="BS24" s="196"/>
      <c r="BT24" s="196"/>
      <c r="BU24" s="196"/>
      <c r="BV24" s="196"/>
      <c r="BW24" s="196"/>
    </row>
    <row r="25" spans="1:75" s="270" customFormat="1" ht="25.5" customHeight="1" x14ac:dyDescent="0.25">
      <c r="A25" s="196"/>
      <c r="B25" s="435" t="s">
        <v>664</v>
      </c>
      <c r="C25" s="437"/>
      <c r="D25" s="437"/>
      <c r="E25" s="437"/>
      <c r="F25" s="438"/>
      <c r="G25" s="448"/>
      <c r="H25" s="146"/>
      <c r="I25" s="150"/>
      <c r="J25" s="146"/>
      <c r="K25" s="150"/>
      <c r="L25" s="146"/>
      <c r="M25" s="150"/>
      <c r="N25" s="196"/>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6"/>
      <c r="BP25" s="196"/>
      <c r="BQ25" s="196"/>
      <c r="BR25" s="196"/>
      <c r="BS25" s="196"/>
      <c r="BT25" s="196"/>
      <c r="BU25" s="196"/>
      <c r="BV25" s="196"/>
      <c r="BW25" s="196"/>
    </row>
    <row r="26" spans="1:75" s="270" customFormat="1" ht="25.5" customHeight="1" x14ac:dyDescent="0.25">
      <c r="A26" s="196"/>
      <c r="B26" s="452" t="s">
        <v>665</v>
      </c>
      <c r="C26" s="445" t="str">
        <f>IF(C$9="","",HLOOKUP(C$9,'Plans-Abudhabi &amp; Al Ain Emirate'!$C$3:$E$43,'Plans-Abudhabi &amp; Al Ain Emirate'!$I21,0))</f>
        <v/>
      </c>
      <c r="D26" s="447"/>
      <c r="E26" s="445" t="str">
        <f>IF(E$9="","",HLOOKUP(E$9,'Plans-Abudhabi &amp; Al Ain Emirate'!$C$3:$E$43,'Plans-Abudhabi &amp; Al Ain Emirate'!$I21,0))</f>
        <v/>
      </c>
      <c r="F26" s="438"/>
      <c r="G26" s="446" t="str">
        <f>IF(G$9="","",HLOOKUP(G$9,'Plans-Abudhabi &amp; Al Ain Emirate'!$C$3:$E$43,'Plans-Abudhabi &amp; Al Ain Emirate'!$I21,0))</f>
        <v/>
      </c>
      <c r="H26" s="146"/>
      <c r="I26" s="155" t="str">
        <f>IF(I$9="","",HLOOKUP(I$9,'Plans-Abudhabi &amp; Al Ain Emirate'!$C$3:$E$43,'Plans-Abudhabi &amp; Al Ain Emirate'!$I21,0))</f>
        <v/>
      </c>
      <c r="J26" s="146"/>
      <c r="K26" s="155" t="str">
        <f>IF(K$9="","",HLOOKUP(K$9,'Plans-Abudhabi &amp; Al Ain Emirate'!$C$3:$E$43,'Plans-Abudhabi &amp; Al Ain Emirate'!$I21,0))</f>
        <v/>
      </c>
      <c r="L26" s="146"/>
      <c r="M26" s="155" t="str">
        <f>IF(M$9="","",HLOOKUP(M$9,'Plans-Abudhabi &amp; Al Ain Emirate'!$C$3:$E$43,'Plans-Abudhabi &amp; Al Ain Emirate'!$I21,0))</f>
        <v/>
      </c>
      <c r="N26" s="196"/>
      <c r="O26" s="196"/>
      <c r="P26" s="196"/>
      <c r="Q26" s="196"/>
      <c r="R26" s="196"/>
      <c r="S26" s="196"/>
      <c r="T26" s="196"/>
      <c r="U26" s="196"/>
      <c r="V26" s="196"/>
      <c r="W26" s="196"/>
      <c r="X26" s="196"/>
      <c r="Y26" s="196"/>
      <c r="Z26" s="196"/>
      <c r="AA26" s="196"/>
      <c r="AB26" s="196"/>
      <c r="AC26" s="196"/>
      <c r="AD26" s="196"/>
      <c r="AE26" s="196"/>
      <c r="AF26" s="196"/>
      <c r="AG26" s="196"/>
      <c r="AH26" s="196"/>
      <c r="AI26" s="196"/>
      <c r="AJ26" s="196"/>
      <c r="AK26" s="196"/>
      <c r="AL26" s="196"/>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6"/>
      <c r="BP26" s="196"/>
      <c r="BQ26" s="196"/>
      <c r="BR26" s="196"/>
      <c r="BS26" s="196"/>
      <c r="BT26" s="196"/>
      <c r="BU26" s="196"/>
      <c r="BV26" s="196"/>
      <c r="BW26" s="196"/>
    </row>
    <row r="27" spans="1:75" s="270" customFormat="1" ht="70.5" customHeight="1" x14ac:dyDescent="0.25">
      <c r="A27" s="196"/>
      <c r="B27" s="455" t="s">
        <v>666</v>
      </c>
      <c r="C27" s="436" t="str">
        <f>IF(C$9="","",HLOOKUP(C$9,'Plans-Abudhabi &amp; Al Ain Emirate'!$C$3:$E$43,'Plans-Abudhabi &amp; Al Ain Emirate'!$I22,0))</f>
        <v/>
      </c>
      <c r="D27" s="442"/>
      <c r="E27" s="436" t="str">
        <f>IF(E$9="","",HLOOKUP(E$9,'Plans-Abudhabi &amp; Al Ain Emirate'!$C$3:$E$43,'Plans-Abudhabi &amp; Al Ain Emirate'!$I22,0))</f>
        <v/>
      </c>
      <c r="F27" s="438"/>
      <c r="G27" s="439" t="str">
        <f>IF(G$9="","",HLOOKUP(G$9,'Plans-Abudhabi &amp; Al Ain Emirate'!$C$3:$E$43,'Plans-Abudhabi &amp; Al Ain Emirate'!$I22,0))</f>
        <v/>
      </c>
      <c r="H27" s="146"/>
      <c r="I27" s="149" t="str">
        <f>IF(I$9="","",HLOOKUP(I$9,'Plans-Abudhabi &amp; Al Ain Emirate'!$C$3:$E$43,'Plans-Abudhabi &amp; Al Ain Emirate'!$I22,0))</f>
        <v/>
      </c>
      <c r="J27" s="146"/>
      <c r="K27" s="149" t="str">
        <f>IF(K$9="","",HLOOKUP(K$9,'Plans-Abudhabi &amp; Al Ain Emirate'!$C$3:$E$43,'Plans-Abudhabi &amp; Al Ain Emirate'!$I22,0))</f>
        <v/>
      </c>
      <c r="L27" s="146"/>
      <c r="M27" s="149" t="str">
        <f>IF(M$9="","",HLOOKUP(M$9,'Plans-Abudhabi &amp; Al Ain Emirate'!$C$3:$E$43,'Plans-Abudhabi &amp; Al Ain Emirate'!$I22,0))</f>
        <v/>
      </c>
      <c r="N27" s="196"/>
      <c r="O27" s="196"/>
      <c r="P27" s="196"/>
      <c r="Q27" s="196"/>
      <c r="R27" s="196"/>
      <c r="S27" s="196"/>
      <c r="T27" s="196"/>
      <c r="U27" s="196"/>
      <c r="V27" s="196"/>
      <c r="W27" s="196"/>
      <c r="X27" s="196"/>
      <c r="Y27" s="196"/>
      <c r="Z27" s="196"/>
      <c r="AA27" s="196"/>
      <c r="AB27" s="196"/>
      <c r="AC27" s="196"/>
      <c r="AD27" s="196"/>
      <c r="AE27" s="196"/>
      <c r="AF27" s="196"/>
      <c r="AG27" s="196"/>
      <c r="AH27" s="196"/>
      <c r="AI27" s="196"/>
      <c r="AJ27" s="196"/>
      <c r="AK27" s="196"/>
      <c r="AL27" s="196"/>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6"/>
      <c r="BP27" s="196"/>
      <c r="BQ27" s="196"/>
      <c r="BR27" s="196"/>
      <c r="BS27" s="196"/>
      <c r="BT27" s="196"/>
      <c r="BU27" s="196"/>
      <c r="BV27" s="196"/>
      <c r="BW27" s="196"/>
    </row>
    <row r="28" spans="1:75" s="270" customFormat="1" ht="65.25" hidden="1" customHeight="1" x14ac:dyDescent="0.25">
      <c r="A28" s="196"/>
      <c r="B28" s="455" t="s">
        <v>667</v>
      </c>
      <c r="C28" s="445" t="str">
        <f>IF(C$9="","",HLOOKUP(C$9,'Plans-Abudhabi &amp; Al Ain Emirate'!$C$3:$E$43,'Plans-Abudhabi &amp; Al Ain Emirate'!$I23,0))</f>
        <v/>
      </c>
      <c r="D28" s="442"/>
      <c r="E28" s="445" t="str">
        <f>IF(E$9="","",HLOOKUP(E$9,'Plans-Abudhabi &amp; Al Ain Emirate'!$C$3:$E$43,'Plans-Abudhabi &amp; Al Ain Emirate'!$I23,0))</f>
        <v/>
      </c>
      <c r="F28" s="438"/>
      <c r="G28" s="446" t="str">
        <f>IF(G$9="","",HLOOKUP(G$9,'Plans-Abudhabi &amp; Al Ain Emirate'!$C$3:$E$43,'Plans-Abudhabi &amp; Al Ain Emirate'!$I23,0))</f>
        <v/>
      </c>
      <c r="H28" s="146"/>
      <c r="I28" s="155" t="str">
        <f>IF(I$9="","",HLOOKUP(I$9,'Plans-Abudhabi &amp; Al Ain Emirate'!$C$3:$E$43,'Plans-Abudhabi &amp; Al Ain Emirate'!$I23,0))</f>
        <v/>
      </c>
      <c r="J28" s="146"/>
      <c r="K28" s="155" t="str">
        <f>IF(K$9="","",HLOOKUP(K$9,'Plans-Abudhabi &amp; Al Ain Emirate'!$C$3:$E$43,'Plans-Abudhabi &amp; Al Ain Emirate'!$I23,0))</f>
        <v/>
      </c>
      <c r="L28" s="146"/>
      <c r="M28" s="155" t="str">
        <f>IF(M$9="","",HLOOKUP(M$9,'Plans-Abudhabi &amp; Al Ain Emirate'!$C$3:$E$43,'Plans-Abudhabi &amp; Al Ain Emirate'!$I23,0))</f>
        <v/>
      </c>
      <c r="N28" s="196"/>
      <c r="O28" s="196"/>
      <c r="P28" s="196"/>
      <c r="Q28" s="196"/>
      <c r="R28" s="196"/>
      <c r="S28" s="196"/>
      <c r="T28" s="196"/>
      <c r="U28" s="196"/>
      <c r="V28" s="196"/>
      <c r="W28" s="196"/>
      <c r="X28" s="196"/>
      <c r="Y28" s="196"/>
      <c r="Z28" s="196"/>
      <c r="AA28" s="196"/>
      <c r="AB28" s="196"/>
      <c r="AC28" s="196"/>
      <c r="AD28" s="196"/>
      <c r="AE28" s="196"/>
      <c r="AF28" s="196"/>
      <c r="AG28" s="196"/>
      <c r="AH28" s="196"/>
      <c r="AI28" s="196"/>
      <c r="AJ28" s="196"/>
      <c r="AK28" s="196"/>
      <c r="AL28" s="196"/>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6"/>
      <c r="BP28" s="196"/>
      <c r="BQ28" s="196"/>
      <c r="BR28" s="196"/>
      <c r="BS28" s="196"/>
      <c r="BT28" s="196"/>
      <c r="BU28" s="196"/>
      <c r="BV28" s="196"/>
      <c r="BW28" s="196"/>
    </row>
    <row r="29" spans="1:75" s="270" customFormat="1" ht="26.25" customHeight="1" x14ac:dyDescent="0.25">
      <c r="A29" s="196"/>
      <c r="B29" s="435" t="s">
        <v>668</v>
      </c>
      <c r="C29" s="447"/>
      <c r="D29" s="447"/>
      <c r="E29" s="447"/>
      <c r="F29" s="438"/>
      <c r="G29" s="456"/>
      <c r="H29" s="146"/>
      <c r="I29" s="156"/>
      <c r="J29" s="146"/>
      <c r="K29" s="156"/>
      <c r="L29" s="146"/>
      <c r="M29" s="156"/>
      <c r="N29" s="196"/>
      <c r="O29" s="196"/>
      <c r="P29" s="196"/>
      <c r="Q29" s="196"/>
      <c r="R29" s="196"/>
      <c r="S29" s="196"/>
      <c r="T29" s="196"/>
      <c r="U29" s="196"/>
      <c r="V29" s="196"/>
      <c r="W29" s="196"/>
      <c r="X29" s="196"/>
      <c r="Y29" s="196"/>
      <c r="Z29" s="196"/>
      <c r="AA29" s="196"/>
      <c r="AB29" s="196"/>
      <c r="AC29" s="196"/>
      <c r="AD29" s="196"/>
      <c r="AE29" s="196"/>
      <c r="AF29" s="196"/>
      <c r="AG29" s="196"/>
      <c r="AH29" s="196"/>
      <c r="AI29" s="196"/>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6"/>
      <c r="BP29" s="196"/>
      <c r="BQ29" s="196"/>
      <c r="BR29" s="196"/>
      <c r="BS29" s="196"/>
      <c r="BT29" s="196"/>
      <c r="BU29" s="196"/>
      <c r="BV29" s="196"/>
      <c r="BW29" s="196"/>
    </row>
    <row r="30" spans="1:75" s="270" customFormat="1" ht="36.75" customHeight="1" x14ac:dyDescent="0.25">
      <c r="A30" s="196"/>
      <c r="B30" s="452" t="s">
        <v>669</v>
      </c>
      <c r="C30" s="436" t="str">
        <f>IF(C$9="","",HLOOKUP(C$9,'Plans-Abudhabi &amp; Al Ain Emirate'!$C$3:$E$43,'Plans-Abudhabi &amp; Al Ain Emirate'!$I25,0))</f>
        <v/>
      </c>
      <c r="D30" s="447"/>
      <c r="E30" s="436" t="str">
        <f>IF(E$9="","",HLOOKUP(E$9,'Plans-Abudhabi &amp; Al Ain Emirate'!$C$3:$E$43,'Plans-Abudhabi &amp; Al Ain Emirate'!$I25,0))</f>
        <v/>
      </c>
      <c r="F30" s="438"/>
      <c r="G30" s="439" t="str">
        <f>IF(G$9="","",HLOOKUP(G$9,'Plans-Abudhabi &amp; Al Ain Emirate'!$C$3:$E$43,'Plans-Abudhabi &amp; Al Ain Emirate'!$I25,0))</f>
        <v/>
      </c>
      <c r="H30" s="146"/>
      <c r="I30" s="149" t="str">
        <f>IF(I$9="","",HLOOKUP(I$9,'Plans-Abudhabi &amp; Al Ain Emirate'!$C$3:$E$43,'Plans-Abudhabi &amp; Al Ain Emirate'!$I25,0))</f>
        <v/>
      </c>
      <c r="J30" s="146"/>
      <c r="K30" s="149" t="str">
        <f>IF(K$9="","",HLOOKUP(K$9,'Plans-Abudhabi &amp; Al Ain Emirate'!$C$3:$E$43,'Plans-Abudhabi &amp; Al Ain Emirate'!$I25,0))</f>
        <v/>
      </c>
      <c r="L30" s="146"/>
      <c r="M30" s="149" t="str">
        <f>IF(M$9="","",HLOOKUP(M$9,'Plans-Abudhabi &amp; Al Ain Emirate'!$C$3:$E$43,'Plans-Abudhabi &amp; Al Ain Emirate'!$I25,0))</f>
        <v/>
      </c>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6"/>
      <c r="BP30" s="196"/>
      <c r="BQ30" s="196"/>
      <c r="BR30" s="196"/>
      <c r="BS30" s="196"/>
      <c r="BT30" s="196"/>
      <c r="BU30" s="196"/>
      <c r="BV30" s="196"/>
      <c r="BW30" s="196"/>
    </row>
    <row r="31" spans="1:75" s="270" customFormat="1" ht="70.5" customHeight="1" x14ac:dyDescent="0.25">
      <c r="A31" s="196"/>
      <c r="B31" s="455" t="s">
        <v>670</v>
      </c>
      <c r="C31" s="436" t="str">
        <f>IF(C$9="","",HLOOKUP(C$9,'Plans-Abudhabi &amp; Al Ain Emirate'!$C$3:$E$43,'Plans-Abudhabi &amp; Al Ain Emirate'!$I26,0))</f>
        <v/>
      </c>
      <c r="D31" s="442"/>
      <c r="E31" s="436" t="str">
        <f>IF(E$9="","",HLOOKUP(E$9,'Plans-Abudhabi &amp; Al Ain Emirate'!$C$3:$E$43,'Plans-Abudhabi &amp; Al Ain Emirate'!$I26,0))</f>
        <v/>
      </c>
      <c r="F31" s="438"/>
      <c r="G31" s="439" t="str">
        <f>IF(G$9="","",HLOOKUP(G$9,'Plans-Abudhabi &amp; Al Ain Emirate'!$C$3:$E$43,'Plans-Abudhabi &amp; Al Ain Emirate'!$I26,0))</f>
        <v/>
      </c>
      <c r="H31" s="146"/>
      <c r="I31" s="149" t="str">
        <f>IF(I$9="","",HLOOKUP(I$9,'Plans-Abudhabi &amp; Al Ain Emirate'!$C$3:$E$43,'Plans-Abudhabi &amp; Al Ain Emirate'!$I26,0))</f>
        <v/>
      </c>
      <c r="J31" s="146"/>
      <c r="K31" s="149" t="str">
        <f>IF(K$9="","",HLOOKUP(K$9,'Plans-Abudhabi &amp; Al Ain Emirate'!$C$3:$E$43,'Plans-Abudhabi &amp; Al Ain Emirate'!$I26,0))</f>
        <v/>
      </c>
      <c r="L31" s="146"/>
      <c r="M31" s="149" t="str">
        <f>IF(M$9="","",HLOOKUP(M$9,'Plans-Abudhabi &amp; Al Ain Emirate'!$C$3:$E$43,'Plans-Abudhabi &amp; Al Ain Emirate'!$I26,0))</f>
        <v/>
      </c>
      <c r="N31" s="196"/>
      <c r="O31" s="196"/>
      <c r="P31" s="196"/>
      <c r="Q31" s="196"/>
      <c r="R31" s="196"/>
      <c r="S31" s="196"/>
      <c r="T31" s="196"/>
      <c r="U31" s="196"/>
      <c r="V31" s="196"/>
      <c r="W31" s="196"/>
      <c r="X31" s="196"/>
      <c r="Y31" s="196"/>
      <c r="Z31" s="196"/>
      <c r="AA31" s="196"/>
      <c r="AB31" s="196"/>
      <c r="AC31" s="196"/>
      <c r="AD31" s="196"/>
      <c r="AE31" s="196"/>
      <c r="AF31" s="196"/>
      <c r="AG31" s="196"/>
      <c r="AH31" s="196"/>
      <c r="AI31" s="196"/>
      <c r="AJ31" s="196"/>
      <c r="AK31" s="196"/>
      <c r="AL31" s="196"/>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6"/>
      <c r="BP31" s="196"/>
      <c r="BQ31" s="196"/>
      <c r="BR31" s="196"/>
      <c r="BS31" s="196"/>
      <c r="BT31" s="196"/>
      <c r="BU31" s="196"/>
      <c r="BV31" s="196"/>
      <c r="BW31" s="196"/>
    </row>
    <row r="32" spans="1:75" s="270" customFormat="1" ht="51" customHeight="1" x14ac:dyDescent="0.25">
      <c r="A32" s="196"/>
      <c r="B32" s="449" t="s">
        <v>671</v>
      </c>
      <c r="C32" s="447"/>
      <c r="D32" s="447"/>
      <c r="E32" s="447"/>
      <c r="F32" s="438"/>
      <c r="G32" s="456"/>
      <c r="H32" s="146"/>
      <c r="I32" s="156"/>
      <c r="J32" s="146"/>
      <c r="K32" s="156"/>
      <c r="L32" s="146"/>
      <c r="M32" s="156"/>
      <c r="N32" s="196"/>
      <c r="O32" s="196"/>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196"/>
    </row>
    <row r="33" spans="1:75" s="270" customFormat="1" ht="84.75" customHeight="1" x14ac:dyDescent="0.25">
      <c r="A33" s="196"/>
      <c r="B33" s="459" t="s">
        <v>672</v>
      </c>
      <c r="C33" s="445" t="str">
        <f>IF(C$9="","",HLOOKUP(C$9,'Plans-Abudhabi &amp; Al Ain Emirate'!$C$3:$E$43,'Plans-Abudhabi &amp; Al Ain Emirate'!$I28,0))</f>
        <v/>
      </c>
      <c r="D33" s="461"/>
      <c r="E33" s="445" t="str">
        <f>IF(E$9="","",HLOOKUP(E$9,'Plans-Abudhabi &amp; Al Ain Emirate'!$C$3:$E$43,'Plans-Abudhabi &amp; Al Ain Emirate'!$I28,0))</f>
        <v/>
      </c>
      <c r="F33" s="438"/>
      <c r="G33" s="446" t="str">
        <f>IF(G$9="","",HLOOKUP(G$9,'Plans-Abudhabi &amp; Al Ain Emirate'!$C$3:$E$43,'Plans-Abudhabi &amp; Al Ain Emirate'!$I28,0))</f>
        <v/>
      </c>
      <c r="H33" s="146"/>
      <c r="I33" s="155" t="str">
        <f>IF(I$9="","",HLOOKUP(I$9,'Plans-Abudhabi &amp; Al Ain Emirate'!$C$3:$E$43,'Plans-Abudhabi &amp; Al Ain Emirate'!$I28,0))</f>
        <v/>
      </c>
      <c r="J33" s="146"/>
      <c r="K33" s="155" t="str">
        <f>IF(K$9="","",HLOOKUP(K$9,'Plans-Abudhabi &amp; Al Ain Emirate'!$C$3:$E$43,'Plans-Abudhabi &amp; Al Ain Emirate'!$I28,0))</f>
        <v/>
      </c>
      <c r="L33" s="146"/>
      <c r="M33" s="155" t="str">
        <f>IF(M$9="","",HLOOKUP(M$9,'Plans-Abudhabi &amp; Al Ain Emirate'!$C$3:$E$43,'Plans-Abudhabi &amp; Al Ain Emirate'!$I28,0))</f>
        <v/>
      </c>
      <c r="N33" s="196"/>
      <c r="O33" s="196"/>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6"/>
      <c r="BP33" s="196"/>
      <c r="BQ33" s="196"/>
      <c r="BR33" s="196"/>
      <c r="BS33" s="196"/>
      <c r="BT33" s="196"/>
      <c r="BU33" s="196"/>
      <c r="BV33" s="196"/>
      <c r="BW33" s="196"/>
    </row>
    <row r="34" spans="1:75" s="270" customFormat="1" ht="99.75" customHeight="1" x14ac:dyDescent="0.25">
      <c r="A34" s="196"/>
      <c r="B34" s="449" t="s">
        <v>673</v>
      </c>
      <c r="C34" s="436" t="str">
        <f>IF(C$9="","",HLOOKUP(C$9,'Plans-Abudhabi &amp; Al Ain Emirate'!$C$3:$E$43,'Plans-Abudhabi &amp; Al Ain Emirate'!$I29,0))</f>
        <v/>
      </c>
      <c r="D34" s="442"/>
      <c r="E34" s="436" t="str">
        <f>IF(E$9="","",HLOOKUP(E$9,'Plans-Abudhabi &amp; Al Ain Emirate'!$C$3:$E$43,'Plans-Abudhabi &amp; Al Ain Emirate'!$I29,0))</f>
        <v/>
      </c>
      <c r="F34" s="438"/>
      <c r="G34" s="439" t="str">
        <f>IF(G$9="","",HLOOKUP(G$9,'Plans-Abudhabi &amp; Al Ain Emirate'!$C$3:$E$43,'Plans-Abudhabi &amp; Al Ain Emirate'!$I29,0))</f>
        <v/>
      </c>
      <c r="H34" s="146"/>
      <c r="I34" s="149" t="str">
        <f>IF(I$9="","",HLOOKUP(I$9,'Plans-Abudhabi &amp; Al Ain Emirate'!$C$3:$E$43,'Plans-Abudhabi &amp; Al Ain Emirate'!$I29,0))</f>
        <v/>
      </c>
      <c r="J34" s="146"/>
      <c r="K34" s="149" t="str">
        <f>IF(K$9="","",HLOOKUP(K$9,'Plans-Abudhabi &amp; Al Ain Emirate'!$C$3:$E$43,'Plans-Abudhabi &amp; Al Ain Emirate'!$I29,0))</f>
        <v/>
      </c>
      <c r="L34" s="146"/>
      <c r="M34" s="149" t="str">
        <f>IF(M$9="","",HLOOKUP(M$9,'Plans-Abudhabi &amp; Al Ain Emirate'!$C$3:$E$43,'Plans-Abudhabi &amp; Al Ain Emirate'!$I29,0))</f>
        <v/>
      </c>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6"/>
      <c r="BP34" s="196"/>
      <c r="BQ34" s="196"/>
      <c r="BR34" s="196"/>
      <c r="BS34" s="196"/>
      <c r="BT34" s="196"/>
      <c r="BU34" s="196"/>
      <c r="BV34" s="196"/>
      <c r="BW34" s="196"/>
    </row>
    <row r="35" spans="1:75" s="270" customFormat="1" ht="37.5" customHeight="1" x14ac:dyDescent="0.25">
      <c r="A35" s="196"/>
      <c r="B35" s="435" t="s">
        <v>700</v>
      </c>
      <c r="C35" s="450" t="str">
        <f>IF(C$9="","",'Plans-Abudhabi &amp; Al Ain Emirate'!$C$30)</f>
        <v/>
      </c>
      <c r="D35" s="436"/>
      <c r="E35" s="450" t="str">
        <f>IF(E$9="","",'Plans-Abudhabi &amp; Al Ain Emirate'!$C$30)</f>
        <v/>
      </c>
      <c r="F35" s="438"/>
      <c r="G35" s="451" t="str">
        <f>IF(G$9="","",'Plans-Abudhabi &amp; Al Ain Emirate'!$C$30)</f>
        <v/>
      </c>
      <c r="H35" s="146"/>
      <c r="I35" s="158" t="str">
        <f>IF(I$9="","",'Plans-Abudhabi &amp; Al Ain Emirate'!$C$30)</f>
        <v/>
      </c>
      <c r="J35" s="146"/>
      <c r="K35" s="158" t="str">
        <f>IF(K$9="","",'Plans-Abudhabi &amp; Al Ain Emirate'!$C$30)</f>
        <v/>
      </c>
      <c r="L35" s="146"/>
      <c r="M35" s="158" t="str">
        <f>IF(M$9="","",'Plans-Abudhabi &amp; Al Ain Emirate'!$C$30)</f>
        <v/>
      </c>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6"/>
      <c r="BP35" s="196"/>
      <c r="BQ35" s="196"/>
      <c r="BR35" s="196"/>
      <c r="BS35" s="196"/>
      <c r="BT35" s="196"/>
      <c r="BU35" s="196"/>
      <c r="BV35" s="196"/>
      <c r="BW35" s="196"/>
    </row>
    <row r="36" spans="1:75" ht="84.75" hidden="1" customHeight="1" x14ac:dyDescent="0.25"/>
    <row r="37" spans="1:75" s="270" customFormat="1" ht="32.25" customHeight="1" x14ac:dyDescent="0.25">
      <c r="A37" s="196"/>
      <c r="B37" s="449" t="s">
        <v>675</v>
      </c>
      <c r="C37" s="436" t="str">
        <f>IF(C$9="","",HLOOKUP(C$9,'Plans-Abudhabi &amp; Al Ain Emirate'!$C$3:$E$43,'Plans-Abudhabi &amp; Al Ain Emirate'!$I31,0))</f>
        <v/>
      </c>
      <c r="D37" s="437"/>
      <c r="E37" s="436" t="str">
        <f>IF(E$9="","",HLOOKUP(E$9,'Plans-Abudhabi &amp; Al Ain Emirate'!$C$3:$E$43,'Plans-Abudhabi &amp; Al Ain Emirate'!$I31,0))</f>
        <v/>
      </c>
      <c r="F37" s="438"/>
      <c r="G37" s="436" t="str">
        <f>IF(G$9="","",HLOOKUP(G$9,'Plans-Abudhabi &amp; Al Ain Emirate'!$C$3:$E$43,'Plans-Abudhabi &amp; Al Ain Emirate'!$I31,0))</f>
        <v/>
      </c>
      <c r="H37" s="146"/>
      <c r="I37" s="149" t="str">
        <f>IF(I$9="","",HLOOKUP(I$9,'Plans-Abudhabi &amp; Al Ain Emirate'!$C$3:$E$43,'Plans-Abudhabi &amp; Al Ain Emirate'!$I31,0))</f>
        <v/>
      </c>
      <c r="J37" s="146"/>
      <c r="K37" s="149" t="str">
        <f>IF(K$9="","",HLOOKUP(K$9,'Plans-Abudhabi &amp; Al Ain Emirate'!$C$3:$E$43,'Plans-Abudhabi &amp; Al Ain Emirate'!$I31,0))</f>
        <v/>
      </c>
      <c r="L37" s="146"/>
      <c r="M37" s="149" t="str">
        <f>IF(M$9="","",HLOOKUP(M$9,'Plans-Abudhabi &amp; Al Ain Emirate'!$C$3:$E$43,'Plans-Abudhabi &amp; Al Ain Emirate'!$I31,0))</f>
        <v/>
      </c>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6"/>
      <c r="BP37" s="196"/>
      <c r="BQ37" s="196"/>
      <c r="BR37" s="196"/>
      <c r="BS37" s="196"/>
      <c r="BT37" s="196"/>
      <c r="BU37" s="196"/>
      <c r="BV37" s="196"/>
      <c r="BW37" s="196"/>
    </row>
    <row r="38" spans="1:75" s="270" customFormat="1" ht="193.5" customHeight="1" x14ac:dyDescent="0.25">
      <c r="A38" s="196"/>
      <c r="B38" s="469" t="s">
        <v>701</v>
      </c>
      <c r="C38" s="450" t="str">
        <f>IF(C$9="","",HLOOKUP(C$9,'Plans-Abudhabi &amp; Al Ain Emirate'!$C$3:$E$43,'Plans-Abudhabi &amp; Al Ain Emirate'!$I32,0))</f>
        <v/>
      </c>
      <c r="D38" s="436"/>
      <c r="E38" s="450" t="str">
        <f>IF(E$9="","",HLOOKUP(E$9,'Plans-Abudhabi &amp; Al Ain Emirate'!$C$3:$E$43,'Plans-Abudhabi &amp; Al Ain Emirate'!$I32,0))</f>
        <v/>
      </c>
      <c r="F38" s="438"/>
      <c r="G38" s="451" t="str">
        <f>IF(G$9="","",HLOOKUP(G$9,'Plans-Abudhabi &amp; Al Ain Emirate'!$C$3:$E$43,'Plans-Abudhabi &amp; Al Ain Emirate'!$I32,0))</f>
        <v/>
      </c>
      <c r="H38" s="146"/>
      <c r="I38" s="158" t="str">
        <f>IF(I$9="","",HLOOKUP(I$9,'Plans-Abudhabi &amp; Al Ain Emirate'!$C$3:$E$43,'Plans-Abudhabi &amp; Al Ain Emirate'!$I32,0))</f>
        <v/>
      </c>
      <c r="J38" s="146"/>
      <c r="K38" s="158" t="str">
        <f>IF(K$9="","",HLOOKUP(K$9,'Plans-Abudhabi &amp; Al Ain Emirate'!$C$3:$E$43,'Plans-Abudhabi &amp; Al Ain Emirate'!$I32,0))</f>
        <v/>
      </c>
      <c r="L38" s="146"/>
      <c r="M38" s="158" t="str">
        <f>IF(M$9="","",HLOOKUP(M$9,'Plans-Abudhabi &amp; Al Ain Emirate'!$C$3:$E$43,'Plans-Abudhabi &amp; Al Ain Emirate'!$I32,0))</f>
        <v/>
      </c>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196"/>
      <c r="AN38" s="196"/>
      <c r="AO38" s="196"/>
      <c r="AP38" s="196"/>
      <c r="AQ38" s="196"/>
      <c r="AR38" s="196"/>
      <c r="AS38" s="196"/>
      <c r="AT38" s="196"/>
      <c r="AU38" s="196"/>
      <c r="AV38" s="196"/>
      <c r="AW38" s="196"/>
      <c r="AX38" s="196"/>
      <c r="AY38" s="196"/>
      <c r="AZ38" s="196"/>
      <c r="BA38" s="196"/>
      <c r="BB38" s="196"/>
      <c r="BC38" s="196"/>
      <c r="BD38" s="196"/>
      <c r="BE38" s="196"/>
      <c r="BF38" s="196"/>
      <c r="BG38" s="196"/>
      <c r="BH38" s="196"/>
      <c r="BI38" s="196"/>
      <c r="BJ38" s="196"/>
      <c r="BK38" s="196"/>
      <c r="BL38" s="196"/>
      <c r="BM38" s="196"/>
      <c r="BN38" s="196"/>
      <c r="BO38" s="196"/>
      <c r="BP38" s="196"/>
      <c r="BQ38" s="196"/>
      <c r="BR38" s="196"/>
      <c r="BS38" s="196"/>
      <c r="BT38" s="196"/>
      <c r="BU38" s="196"/>
      <c r="BV38" s="196"/>
      <c r="BW38" s="196"/>
    </row>
    <row r="39" spans="1:75" s="270" customFormat="1" ht="72" customHeight="1" x14ac:dyDescent="0.25">
      <c r="A39" s="196"/>
      <c r="B39" s="449" t="s">
        <v>679</v>
      </c>
      <c r="C39" s="436" t="str">
        <f>IF(C$9="","",HLOOKUP(C$9,'Plans-Abudhabi &amp; Al Ain Emirate'!$C$3:$E$43,'Plans-Abudhabi &amp; Al Ain Emirate'!$I33,0))</f>
        <v/>
      </c>
      <c r="D39" s="436"/>
      <c r="E39" s="436" t="str">
        <f>IF(E$9="","",HLOOKUP(E$9,'Plans-Abudhabi &amp; Al Ain Emirate'!$C$3:$E$43,'Plans-Abudhabi &amp; Al Ain Emirate'!$I33,0))</f>
        <v/>
      </c>
      <c r="F39" s="438"/>
      <c r="G39" s="439" t="str">
        <f>IF(G$9="","",HLOOKUP(G$9,'Plans-Abudhabi &amp; Al Ain Emirate'!$C$3:$E$43,'Plans-Abudhabi &amp; Al Ain Emirate'!$I33,0))</f>
        <v/>
      </c>
      <c r="H39" s="146"/>
      <c r="I39" s="158"/>
      <c r="J39" s="146"/>
      <c r="K39" s="158"/>
      <c r="L39" s="146"/>
      <c r="M39" s="158"/>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c r="AP39" s="196"/>
      <c r="AQ39" s="196"/>
      <c r="AR39" s="196"/>
      <c r="AS39" s="196"/>
      <c r="AT39" s="196"/>
      <c r="AU39" s="196"/>
      <c r="AV39" s="196"/>
      <c r="AW39" s="196"/>
      <c r="AX39" s="196"/>
      <c r="AY39" s="196"/>
      <c r="AZ39" s="196"/>
      <c r="BA39" s="196"/>
      <c r="BB39" s="196"/>
      <c r="BC39" s="196"/>
      <c r="BD39" s="196"/>
      <c r="BE39" s="196"/>
      <c r="BF39" s="196"/>
      <c r="BG39" s="196"/>
      <c r="BH39" s="196"/>
      <c r="BI39" s="196"/>
      <c r="BJ39" s="196"/>
      <c r="BK39" s="196"/>
      <c r="BL39" s="196"/>
      <c r="BM39" s="196"/>
      <c r="BN39" s="196"/>
      <c r="BO39" s="196"/>
      <c r="BP39" s="196"/>
      <c r="BQ39" s="196"/>
      <c r="BR39" s="196"/>
      <c r="BS39" s="196"/>
      <c r="BT39" s="196"/>
      <c r="BU39" s="196"/>
      <c r="BV39" s="196"/>
      <c r="BW39" s="196"/>
    </row>
    <row r="40" spans="1:75" s="270" customFormat="1" ht="104.25" customHeight="1" x14ac:dyDescent="0.25">
      <c r="A40" s="196"/>
      <c r="B40" s="449" t="s">
        <v>680</v>
      </c>
      <c r="C40" s="450" t="str">
        <f>IF(C$9="","",'Plans-Abudhabi &amp; Al Ain Emirate'!$C$34)</f>
        <v/>
      </c>
      <c r="D40" s="436"/>
      <c r="E40" s="450" t="str">
        <f>IF(E$9="","",'Plans-Abudhabi &amp; Al Ain Emirate'!$C$34)</f>
        <v/>
      </c>
      <c r="F40" s="438"/>
      <c r="G40" s="450" t="str">
        <f>IF(G$9="","",'Plans-Abudhabi &amp; Al Ain Emirate'!$C$34)</f>
        <v/>
      </c>
      <c r="H40" s="146"/>
      <c r="I40" s="149" t="str">
        <f>IF(I$9="","",'Plans-Abudhabi &amp; Al Ain Emirate'!$C$34)</f>
        <v/>
      </c>
      <c r="J40" s="146"/>
      <c r="K40" s="149" t="str">
        <f>IF(K$9="","",'Plans-Abudhabi &amp; Al Ain Emirate'!$C$34)</f>
        <v/>
      </c>
      <c r="L40" s="146"/>
      <c r="M40" s="149" t="str">
        <f>IF(M$9="","",'Plans-Abudhabi &amp; Al Ain Emirate'!$C$34)</f>
        <v/>
      </c>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c r="AR40" s="196"/>
      <c r="AS40" s="196"/>
      <c r="AT40" s="196"/>
      <c r="AU40" s="196"/>
      <c r="AV40" s="196"/>
      <c r="AW40" s="196"/>
      <c r="AX40" s="196"/>
      <c r="AY40" s="196"/>
      <c r="AZ40" s="196"/>
      <c r="BA40" s="196"/>
      <c r="BB40" s="196"/>
      <c r="BC40" s="196"/>
      <c r="BD40" s="196"/>
      <c r="BE40" s="196"/>
      <c r="BF40" s="196"/>
      <c r="BG40" s="196"/>
      <c r="BH40" s="196"/>
      <c r="BI40" s="196"/>
      <c r="BJ40" s="196"/>
      <c r="BK40" s="196"/>
      <c r="BL40" s="196"/>
      <c r="BM40" s="196"/>
      <c r="BN40" s="196"/>
      <c r="BO40" s="196"/>
      <c r="BP40" s="196"/>
      <c r="BQ40" s="196"/>
      <c r="BR40" s="196"/>
      <c r="BS40" s="196"/>
      <c r="BT40" s="196"/>
      <c r="BU40" s="196"/>
      <c r="BV40" s="196"/>
      <c r="BW40" s="196"/>
    </row>
    <row r="41" spans="1:75" s="270" customFormat="1" ht="35.25" customHeight="1" x14ac:dyDescent="0.25">
      <c r="A41" s="196"/>
      <c r="B41" s="449" t="s">
        <v>702</v>
      </c>
      <c r="C41" s="436" t="str">
        <f>IF(C$9="","",'Plans-Abudhabi &amp; Al Ain Emirate'!$C$37)</f>
        <v/>
      </c>
      <c r="D41" s="436"/>
      <c r="E41" s="436" t="str">
        <f>IF(E$9="","",'Plans-Abudhabi &amp; Al Ain Emirate'!$D$37)</f>
        <v/>
      </c>
      <c r="F41" s="438"/>
      <c r="G41" s="439" t="str">
        <f>IF(G$9="","",'Plans-Abudhabi &amp; Al Ain Emirate'!$E$37)</f>
        <v/>
      </c>
      <c r="H41" s="146"/>
      <c r="I41" s="155" t="str">
        <f>IF(I$9="","",'Plans-Abudhabi &amp; Al Ain Emirate'!$C$37)</f>
        <v/>
      </c>
      <c r="J41" s="146"/>
      <c r="K41" s="155" t="str">
        <f>IF(K$9="","",'Plans-Abudhabi &amp; Al Ain Emirate'!$C$37)</f>
        <v/>
      </c>
      <c r="L41" s="146"/>
      <c r="M41" s="155" t="str">
        <f>IF(M$9="","",'Plans-Abudhabi &amp; Al Ain Emirate'!$C$37)</f>
        <v/>
      </c>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c r="BJ41" s="196"/>
      <c r="BK41" s="196"/>
      <c r="BL41" s="196"/>
      <c r="BM41" s="196"/>
      <c r="BN41" s="196"/>
      <c r="BO41" s="196"/>
      <c r="BP41" s="196"/>
      <c r="BQ41" s="196"/>
      <c r="BR41" s="196"/>
      <c r="BS41" s="196"/>
      <c r="BT41" s="196"/>
      <c r="BU41" s="196"/>
      <c r="BV41" s="196"/>
      <c r="BW41" s="196"/>
    </row>
    <row r="42" spans="1:75" s="270" customFormat="1" ht="104.25" customHeight="1" x14ac:dyDescent="0.25">
      <c r="A42" s="196"/>
      <c r="B42" s="449" t="s">
        <v>687</v>
      </c>
      <c r="C42" s="445" t="str">
        <f>IF(C$9="","",HLOOKUP(C$9,'Plans-Abudhabi &amp; Al Ain Emirate'!$C$3:$E$43,'Plans-Abudhabi &amp; Al Ain Emirate'!$H38,0))</f>
        <v/>
      </c>
      <c r="D42" s="436"/>
      <c r="E42" s="445" t="str">
        <f>IF(E$9="","",HLOOKUP(E$9,'Plans-Abudhabi &amp; Al Ain Emirate'!$C$3:$E$43,'Plans-Abudhabi &amp; Al Ain Emirate'!$H38,0))</f>
        <v/>
      </c>
      <c r="F42" s="438"/>
      <c r="G42" s="446" t="str">
        <f>IF(G$9="","",HLOOKUP(G$9,'Plans-Abudhabi &amp; Al Ain Emirate'!$C$3:$E$43,'Plans-Abudhabi &amp; Al Ain Emirate'!$H38,0))</f>
        <v/>
      </c>
      <c r="H42" s="146"/>
      <c r="I42" s="149" t="str">
        <f>IF(I$9="","",HLOOKUP(I$9,'Plans-Abudhabi &amp; Al Ain Emirate'!$C$3:$E$43,'Plans-Abudhabi &amp; Al Ain Emirate'!$H38,0))</f>
        <v/>
      </c>
      <c r="J42" s="146"/>
      <c r="K42" s="149" t="str">
        <f>IF(K$9="","",HLOOKUP(K$9,'Plans-Abudhabi &amp; Al Ain Emirate'!$C$3:$E$43,'Plans-Abudhabi &amp; Al Ain Emirate'!$H38,0))</f>
        <v/>
      </c>
      <c r="L42" s="146"/>
      <c r="M42" s="149" t="str">
        <f>IF(M$9="","",HLOOKUP(M$9,'Plans-Abudhabi &amp; Al Ain Emirate'!$C$3:$E$43,'Plans-Abudhabi &amp; Al Ain Emirate'!$H38,0))</f>
        <v/>
      </c>
      <c r="N42" s="196"/>
      <c r="O42" s="196"/>
      <c r="P42" s="196"/>
      <c r="Q42" s="196"/>
      <c r="R42" s="196"/>
      <c r="S42" s="196"/>
      <c r="T42" s="196"/>
      <c r="U42" s="196"/>
      <c r="V42" s="196"/>
      <c r="W42" s="196"/>
      <c r="X42" s="196"/>
      <c r="Y42" s="196"/>
      <c r="Z42" s="196"/>
      <c r="AA42" s="196"/>
      <c r="AB42" s="196"/>
      <c r="AC42" s="196"/>
      <c r="AD42" s="196"/>
      <c r="AE42" s="196"/>
      <c r="AF42" s="196"/>
      <c r="AG42" s="196"/>
      <c r="AH42" s="196"/>
      <c r="AI42" s="196"/>
      <c r="AJ42" s="196"/>
      <c r="AK42" s="196"/>
      <c r="AL42" s="196"/>
      <c r="AM42" s="196"/>
      <c r="AN42" s="196"/>
      <c r="AO42" s="196"/>
      <c r="AP42" s="196"/>
      <c r="AQ42" s="196"/>
      <c r="AR42" s="196"/>
      <c r="AS42" s="196"/>
      <c r="AT42" s="196"/>
      <c r="AU42" s="196"/>
      <c r="AV42" s="196"/>
      <c r="AW42" s="196"/>
      <c r="AX42" s="196"/>
      <c r="AY42" s="196"/>
      <c r="AZ42" s="196"/>
      <c r="BA42" s="196"/>
      <c r="BB42" s="196"/>
      <c r="BC42" s="196"/>
      <c r="BD42" s="196"/>
      <c r="BE42" s="196"/>
      <c r="BF42" s="196"/>
      <c r="BG42" s="196"/>
      <c r="BH42" s="196"/>
      <c r="BI42" s="196"/>
      <c r="BJ42" s="196"/>
      <c r="BK42" s="196"/>
      <c r="BL42" s="196"/>
      <c r="BM42" s="196"/>
      <c r="BN42" s="196"/>
      <c r="BO42" s="196"/>
      <c r="BP42" s="196"/>
      <c r="BQ42" s="196"/>
      <c r="BR42" s="196"/>
      <c r="BS42" s="196"/>
      <c r="BT42" s="196"/>
      <c r="BU42" s="196"/>
      <c r="BV42" s="196"/>
      <c r="BW42" s="196"/>
    </row>
    <row r="43" spans="1:75" s="270" customFormat="1" ht="134.25" customHeight="1" x14ac:dyDescent="0.25">
      <c r="A43" s="196"/>
      <c r="B43" s="449" t="s">
        <v>688</v>
      </c>
      <c r="C43" s="436" t="str">
        <f>IF(C$9="","",'Plans-Abudhabi &amp; Al Ain Emirate'!$C$39)</f>
        <v/>
      </c>
      <c r="D43" s="436"/>
      <c r="E43" s="436" t="str">
        <f>IF(E$9="","",'Plans-Abudhabi &amp; Al Ain Emirate'!$C$39)</f>
        <v/>
      </c>
      <c r="F43" s="438"/>
      <c r="G43" s="439" t="str">
        <f>IF(G$9="","",'Plans-Abudhabi &amp; Al Ain Emirate'!$C$39)</f>
        <v/>
      </c>
      <c r="H43" s="146"/>
      <c r="I43" s="155" t="str">
        <f>IF(I$9="","",'Plans-Abudhabi &amp; Al Ain Emirate'!$C$39)</f>
        <v/>
      </c>
      <c r="J43" s="146"/>
      <c r="K43" s="155" t="str">
        <f>IF(K$9="","",'Plans-Abudhabi &amp; Al Ain Emirate'!$C$39)</f>
        <v/>
      </c>
      <c r="L43" s="146"/>
      <c r="M43" s="155" t="str">
        <f>IF(M$9="","",'Plans-Abudhabi &amp; Al Ain Emirate'!$C$39)</f>
        <v/>
      </c>
      <c r="N43" s="196"/>
      <c r="O43" s="196"/>
      <c r="P43" s="196"/>
      <c r="Q43" s="196"/>
      <c r="R43" s="196"/>
      <c r="S43" s="196"/>
      <c r="T43" s="196"/>
      <c r="U43" s="196"/>
      <c r="V43" s="196"/>
      <c r="W43" s="196"/>
      <c r="X43" s="196"/>
      <c r="Y43" s="196"/>
      <c r="Z43" s="196"/>
      <c r="AA43" s="196"/>
      <c r="AB43" s="196"/>
      <c r="AC43" s="196"/>
      <c r="AD43" s="196"/>
      <c r="AE43" s="196"/>
      <c r="AF43" s="196"/>
      <c r="AG43" s="196"/>
      <c r="AH43" s="196"/>
      <c r="AI43" s="196"/>
      <c r="AJ43" s="196"/>
      <c r="AK43" s="196"/>
      <c r="AL43" s="196"/>
      <c r="AM43" s="196"/>
      <c r="AN43" s="196"/>
      <c r="AO43" s="196"/>
      <c r="AP43" s="196"/>
      <c r="AQ43" s="196"/>
      <c r="AR43" s="196"/>
      <c r="AS43" s="196"/>
      <c r="AT43" s="196"/>
      <c r="AU43" s="196"/>
      <c r="AV43" s="196"/>
      <c r="AW43" s="196"/>
      <c r="AX43" s="196"/>
      <c r="AY43" s="196"/>
      <c r="AZ43" s="196"/>
      <c r="BA43" s="196"/>
      <c r="BB43" s="196"/>
      <c r="BC43" s="196"/>
      <c r="BD43" s="196"/>
      <c r="BE43" s="196"/>
      <c r="BF43" s="196"/>
      <c r="BG43" s="196"/>
      <c r="BH43" s="196"/>
      <c r="BI43" s="196"/>
      <c r="BJ43" s="196"/>
      <c r="BK43" s="196"/>
      <c r="BL43" s="196"/>
      <c r="BM43" s="196"/>
      <c r="BN43" s="196"/>
      <c r="BO43" s="196"/>
      <c r="BP43" s="196"/>
      <c r="BQ43" s="196"/>
      <c r="BR43" s="196"/>
      <c r="BS43" s="196"/>
      <c r="BT43" s="196"/>
      <c r="BU43" s="196"/>
      <c r="BV43" s="196"/>
      <c r="BW43" s="196"/>
    </row>
    <row r="44" spans="1:75" s="270" customFormat="1" ht="134.25" customHeight="1" x14ac:dyDescent="0.25">
      <c r="A44" s="196"/>
      <c r="B44" s="449" t="s">
        <v>689</v>
      </c>
      <c r="C44" s="445" t="str">
        <f>IF(C$9="","",'Plans-Abudhabi &amp; Al Ain Emirate'!$C$40)</f>
        <v/>
      </c>
      <c r="D44" s="436"/>
      <c r="E44" s="445" t="str">
        <f>IF(E$9="","",'Plans-Abudhabi &amp; Al Ain Emirate'!$C$40)</f>
        <v/>
      </c>
      <c r="F44" s="438"/>
      <c r="G44" s="446" t="str">
        <f>IF(G$9="","",'Plans-Abudhabi &amp; Al Ain Emirate'!$C$40)</f>
        <v/>
      </c>
      <c r="H44" s="146"/>
      <c r="I44" s="155"/>
      <c r="J44" s="146"/>
      <c r="K44" s="155"/>
      <c r="L44" s="146"/>
      <c r="M44" s="155"/>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c r="AS44" s="196"/>
      <c r="AT44" s="196"/>
      <c r="AU44" s="196"/>
      <c r="AV44" s="196"/>
      <c r="AW44" s="196"/>
      <c r="AX44" s="196"/>
      <c r="AY44" s="196"/>
      <c r="AZ44" s="196"/>
      <c r="BA44" s="196"/>
      <c r="BB44" s="196"/>
      <c r="BC44" s="196"/>
      <c r="BD44" s="196"/>
      <c r="BE44" s="196"/>
      <c r="BF44" s="196"/>
      <c r="BG44" s="196"/>
      <c r="BH44" s="196"/>
      <c r="BI44" s="196"/>
      <c r="BJ44" s="196"/>
      <c r="BK44" s="196"/>
      <c r="BL44" s="196"/>
      <c r="BM44" s="196"/>
      <c r="BN44" s="196"/>
      <c r="BO44" s="196"/>
      <c r="BP44" s="196"/>
      <c r="BQ44" s="196"/>
      <c r="BR44" s="196"/>
      <c r="BS44" s="196"/>
      <c r="BT44" s="196"/>
      <c r="BU44" s="196"/>
      <c r="BV44" s="196"/>
      <c r="BW44" s="196"/>
    </row>
    <row r="45" spans="1:75" s="270" customFormat="1" ht="249.75" customHeight="1" x14ac:dyDescent="0.25">
      <c r="A45" s="196"/>
      <c r="B45" s="865" t="s">
        <v>703</v>
      </c>
      <c r="C45" s="618" t="str">
        <f>IF(C9="","",'Plans-Abudhabi &amp; Al Ain Emirate'!$C$35)</f>
        <v/>
      </c>
      <c r="D45" s="618"/>
      <c r="E45" s="618" t="str">
        <f>IF(E9="","",'Plans-Abudhabi &amp; Al Ain Emirate'!$C$35)</f>
        <v/>
      </c>
      <c r="F45" s="724"/>
      <c r="G45" s="725" t="str">
        <f>IF(G9="","",'Plans-Abudhabi &amp; Al Ain Emirate'!$C$35)</f>
        <v/>
      </c>
      <c r="H45" s="146"/>
      <c r="I45" s="152" t="str">
        <f>IF(I9="","",'Plans-Abudhabi &amp; Al Ain Emirate'!$C$35)</f>
        <v/>
      </c>
      <c r="J45" s="146"/>
      <c r="K45" s="152" t="str">
        <f>IF(K9="","",'Plans-Abudhabi &amp; Al Ain Emirate'!$C$35)</f>
        <v/>
      </c>
      <c r="L45" s="146"/>
      <c r="M45" s="152" t="str">
        <f>IF(M9="","",'Plans-Abudhabi &amp; Al Ain Emirate'!$C$35)</f>
        <v/>
      </c>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c r="AS45" s="196"/>
      <c r="AT45" s="196"/>
      <c r="AU45" s="196"/>
      <c r="AV45" s="196"/>
      <c r="AW45" s="196"/>
      <c r="AX45" s="196"/>
      <c r="AY45" s="196"/>
      <c r="AZ45" s="196"/>
      <c r="BA45" s="196"/>
      <c r="BB45" s="196"/>
      <c r="BC45" s="196"/>
      <c r="BD45" s="196"/>
      <c r="BE45" s="196"/>
      <c r="BF45" s="196"/>
      <c r="BG45" s="196"/>
      <c r="BH45" s="196"/>
      <c r="BI45" s="196"/>
      <c r="BJ45" s="196"/>
      <c r="BK45" s="196"/>
      <c r="BL45" s="196"/>
      <c r="BM45" s="196"/>
      <c r="BN45" s="196"/>
      <c r="BO45" s="196"/>
      <c r="BP45" s="196"/>
      <c r="BQ45" s="196"/>
      <c r="BR45" s="196"/>
      <c r="BS45" s="196"/>
      <c r="BT45" s="196"/>
      <c r="BU45" s="196"/>
      <c r="BV45" s="196"/>
      <c r="BW45" s="196"/>
    </row>
    <row r="46" spans="1:75" s="270" customFormat="1" ht="96" customHeight="1" x14ac:dyDescent="0.25">
      <c r="A46" s="196"/>
      <c r="B46" s="865"/>
      <c r="C46" s="618" t="str">
        <f>IF(C9="","",'Plans-Abudhabi &amp; Al Ain Emirate'!$C$36)</f>
        <v/>
      </c>
      <c r="D46" s="618"/>
      <c r="E46" s="618" t="str">
        <f>IF(E9="","",'Plans-Abudhabi &amp; Al Ain Emirate'!$C$36)</f>
        <v/>
      </c>
      <c r="F46" s="724"/>
      <c r="G46" s="725" t="str">
        <f>IF(G9="","",'Plans-Abudhabi &amp; Al Ain Emirate'!$C$36)</f>
        <v/>
      </c>
      <c r="H46" s="146"/>
      <c r="I46" s="152" t="str">
        <f>IF(I9="","",'Plans-Abudhabi &amp; Al Ain Emirate'!$C$36)</f>
        <v/>
      </c>
      <c r="J46" s="146"/>
      <c r="K46" s="152" t="str">
        <f>IF(K9="","",'Plans-Abudhabi &amp; Al Ain Emirate'!$C$36)</f>
        <v/>
      </c>
      <c r="L46" s="146"/>
      <c r="M46" s="152" t="str">
        <f>IF(M9="","",'Plans-Abudhabi &amp; Al Ain Emirate'!$C$36)</f>
        <v/>
      </c>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c r="AS46" s="196"/>
      <c r="AT46" s="196"/>
      <c r="AU46" s="196"/>
      <c r="AV46" s="196"/>
      <c r="AW46" s="196"/>
      <c r="AX46" s="196"/>
      <c r="AY46" s="196"/>
      <c r="AZ46" s="196"/>
      <c r="BA46" s="196"/>
      <c r="BB46" s="196"/>
      <c r="BC46" s="196"/>
      <c r="BD46" s="196"/>
      <c r="BE46" s="196"/>
      <c r="BF46" s="196"/>
      <c r="BG46" s="196"/>
      <c r="BH46" s="196"/>
      <c r="BI46" s="196"/>
      <c r="BJ46" s="196"/>
      <c r="BK46" s="196"/>
      <c r="BL46" s="196"/>
      <c r="BM46" s="196"/>
      <c r="BN46" s="196"/>
      <c r="BO46" s="196"/>
      <c r="BP46" s="196"/>
      <c r="BQ46" s="196"/>
      <c r="BR46" s="196"/>
      <c r="BS46" s="196"/>
      <c r="BT46" s="196"/>
      <c r="BU46" s="196"/>
      <c r="BV46" s="196"/>
      <c r="BW46" s="196"/>
    </row>
    <row r="47" spans="1:75" s="270" customFormat="1" ht="107.25" customHeight="1" x14ac:dyDescent="0.25">
      <c r="A47" s="196"/>
      <c r="B47" s="466" t="s">
        <v>704</v>
      </c>
      <c r="C47" s="445" t="str">
        <f>IF(C$9="","",IF(Inputs!C58="covered",HLOOKUP(C$9,'Plans-Abudhabi &amp; Al Ain Emirate'!$C$3:$E$43,'Plans-Abudhabi &amp; Al Ain Emirate'!$H41,0),"Not covered"))</f>
        <v/>
      </c>
      <c r="D47" s="436"/>
      <c r="E47" s="445" t="str">
        <f>IF(E$9="","",IF(Inputs!E58="covered",HLOOKUP(E$9,'Plans-Abudhabi &amp; Al Ain Emirate'!$C$3:$E$43,'Plans-Abudhabi &amp; Al Ain Emirate'!$H41,0),"Not covered"))</f>
        <v/>
      </c>
      <c r="F47" s="438"/>
      <c r="G47" s="446" t="str">
        <f>IF(G$9="","",IF(Inputs!G58="covered",HLOOKUP(G$9,'Plans-Abudhabi &amp; Al Ain Emirate'!$C$3:$E$43,'Plans-Abudhabi &amp; Al Ain Emirate'!$H41,0),"Not covered"))</f>
        <v/>
      </c>
      <c r="H47" s="146"/>
      <c r="I47" s="158" t="str">
        <f>IF(I$9="","",IF(Inputs!I58="covered",HLOOKUP(I$9,'Plans-Abudhabi &amp; Al Ain Emirate'!$C$3:$E$43,'Plans -Dubai &amp; Other Emirates'!$I45,0),"Not covered"))</f>
        <v/>
      </c>
      <c r="J47" s="146"/>
      <c r="K47" s="158" t="str">
        <f>IF(K$9="","",IF(Inputs!K58="covered",HLOOKUP(K$9,'Plans-Abudhabi &amp; Al Ain Emirate'!$C$3:$E$43,'Plans -Dubai &amp; Other Emirates'!$I45,0),"Not covered"))</f>
        <v/>
      </c>
      <c r="L47" s="146"/>
      <c r="M47" s="158" t="str">
        <f>IF(M$9="","",IF(Inputs!M58="covered",HLOOKUP(M$9,'Plans-Abudhabi &amp; Al Ain Emirate'!$C$3:$E$43,'Plans -Dubai &amp; Other Emirates'!$I45,0),"Not covered"))</f>
        <v/>
      </c>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c r="AS47" s="196"/>
      <c r="AT47" s="196"/>
      <c r="AU47" s="196"/>
      <c r="AV47" s="196"/>
      <c r="AW47" s="196"/>
      <c r="AX47" s="196"/>
      <c r="AY47" s="196"/>
      <c r="AZ47" s="196"/>
      <c r="BA47" s="196"/>
      <c r="BB47" s="196"/>
      <c r="BC47" s="196"/>
      <c r="BD47" s="196"/>
      <c r="BE47" s="196"/>
      <c r="BF47" s="196"/>
      <c r="BG47" s="196"/>
      <c r="BH47" s="196"/>
      <c r="BI47" s="196"/>
      <c r="BJ47" s="196"/>
      <c r="BK47" s="196"/>
      <c r="BL47" s="196"/>
      <c r="BM47" s="196"/>
      <c r="BN47" s="196"/>
      <c r="BO47" s="196"/>
      <c r="BP47" s="196"/>
      <c r="BQ47" s="196"/>
      <c r="BR47" s="196"/>
      <c r="BS47" s="196"/>
      <c r="BT47" s="196"/>
      <c r="BU47" s="196"/>
      <c r="BV47" s="196"/>
      <c r="BW47" s="196"/>
    </row>
    <row r="48" spans="1:75" s="270" customFormat="1" ht="182.25" customHeight="1" thickBot="1" x14ac:dyDescent="0.3">
      <c r="A48" s="196"/>
      <c r="B48" s="466" t="s">
        <v>705</v>
      </c>
      <c r="C48" s="436" t="str">
        <f>IF(C$9="","",IF(Inputs!C59="covered",HLOOKUP(C$9,'Plans-Abudhabi &amp; Al Ain Emirate'!$C$3:$E$43,'Plans-Abudhabi &amp; Al Ain Emirate'!$H42,0),"Not covered"))</f>
        <v/>
      </c>
      <c r="D48" s="436"/>
      <c r="E48" s="436" t="str">
        <f>IF(E$9="","",IF(Inputs!E59="covered",HLOOKUP(E$9,'Plans-Abudhabi &amp; Al Ain Emirate'!$C$3:$E$43,'Plans-Abudhabi &amp; Al Ain Emirate'!$H42,0),"Not covered"))</f>
        <v/>
      </c>
      <c r="F48" s="438"/>
      <c r="G48" s="439" t="str">
        <f>IF(G$9="","",IF(Inputs!G59="covered",HLOOKUP(G$9,'Plans-Abudhabi &amp; Al Ain Emirate'!$C$3:$E$43,'Plans-Abudhabi &amp; Al Ain Emirate'!$H42,0),"Not covered"))</f>
        <v/>
      </c>
      <c r="H48" s="146"/>
      <c r="I48" s="152" t="str">
        <f>IF(I$9="","",IF(Inputs!I59="covered",HLOOKUP(I$9,'Plans-Abudhabi &amp; Al Ain Emirate'!$C$3:$E$43,'Plans -Dubai &amp; Other Emirates'!$I46,0),"Not covered"))</f>
        <v/>
      </c>
      <c r="J48" s="146"/>
      <c r="K48" s="152" t="str">
        <f>IF(K$9="","",IF(Inputs!K59="covered",HLOOKUP(K$9,'Plans-Abudhabi &amp; Al Ain Emirate'!$C$3:$E$43,'Plans -Dubai &amp; Other Emirates'!$I46,0),"Not covered"))</f>
        <v/>
      </c>
      <c r="L48" s="146"/>
      <c r="M48" s="152" t="str">
        <f>IF(M$9="","",IF(Inputs!M59="covered",HLOOKUP(M$9,'Plans-Abudhabi &amp; Al Ain Emirate'!$C$3:$E$43,'Plans -Dubai &amp; Other Emirates'!$I46,0),"Not covered"))</f>
        <v/>
      </c>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c r="AS48" s="196"/>
      <c r="AT48" s="196"/>
      <c r="AU48" s="196"/>
      <c r="AV48" s="196"/>
      <c r="AW48" s="196"/>
      <c r="AX48" s="196"/>
      <c r="AY48" s="196"/>
      <c r="AZ48" s="196"/>
      <c r="BA48" s="196"/>
      <c r="BB48" s="196"/>
      <c r="BC48" s="196"/>
      <c r="BD48" s="196"/>
      <c r="BE48" s="196"/>
      <c r="BF48" s="196"/>
      <c r="BG48" s="196"/>
      <c r="BH48" s="196"/>
      <c r="BI48" s="196"/>
      <c r="BJ48" s="196"/>
      <c r="BK48" s="196"/>
      <c r="BL48" s="196"/>
      <c r="BM48" s="196"/>
      <c r="BN48" s="196"/>
      <c r="BO48" s="196"/>
      <c r="BP48" s="196"/>
      <c r="BQ48" s="196"/>
      <c r="BR48" s="196"/>
      <c r="BS48" s="196"/>
      <c r="BT48" s="196"/>
      <c r="BU48" s="196"/>
      <c r="BV48" s="196"/>
      <c r="BW48" s="196"/>
    </row>
    <row r="49" spans="1:75" s="270" customFormat="1" ht="94.5" customHeight="1" thickBot="1" x14ac:dyDescent="0.3">
      <c r="A49" s="196"/>
      <c r="B49" s="738" t="s">
        <v>706</v>
      </c>
      <c r="C49" s="445" t="str">
        <f>IF(C$9="","",HLOOKUP(C$9,'Plans-Abudhabi &amp; Al Ain Emirate'!$C$3:$E$43,'Plans-Abudhabi &amp; Al Ain Emirate'!$H43,0))</f>
        <v/>
      </c>
      <c r="D49" s="436"/>
      <c r="E49" s="445" t="str">
        <f>IF(E$9="","",HLOOKUP(E$9,'Plans-Abudhabi &amp; Al Ain Emirate'!$C$3:$E$43,'Plans-Abudhabi &amp; Al Ain Emirate'!$H43,0))</f>
        <v/>
      </c>
      <c r="F49" s="438"/>
      <c r="G49" s="446" t="str">
        <f>IF(G$9="","",HLOOKUP(G$9,'Plans-Abudhabi &amp; Al Ain Emirate'!$C$3:$E$43,'Plans-Abudhabi &amp; Al Ain Emirate'!$H43,0))</f>
        <v/>
      </c>
      <c r="H49" s="146"/>
      <c r="I49" s="158" t="str">
        <f>IF(I$9="","",IF(Inputs!I60="covered",HLOOKUP(I$9,'Plans-Abudhabi &amp; Al Ain Emirate'!$C$3:$E$43,37,0),"Not covered"))</f>
        <v/>
      </c>
      <c r="J49" s="146"/>
      <c r="K49" s="158" t="str">
        <f>IF(K$9="","",IF(Inputs!K60="covered",HLOOKUP(K$9,'Plans-Abudhabi &amp; Al Ain Emirate'!$C$3:$E$43,37,0),"Not covered"))</f>
        <v/>
      </c>
      <c r="L49" s="146"/>
      <c r="M49" s="158" t="str">
        <f>IF(M$9="","",IF(Inputs!M60="covered",HLOOKUP(M$9,'Plans-Abudhabi &amp; Al Ain Emirate'!$C$3:$E$43,37,0),"Not covered"))</f>
        <v/>
      </c>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row>
    <row r="50" spans="1:75" ht="153.94999999999999" customHeight="1" x14ac:dyDescent="0.25">
      <c r="B50" s="608" t="s">
        <v>654</v>
      </c>
      <c r="C50" s="436" t="str">
        <f>IF(C$9="","",'Plans-Abudhabi &amp; Al Ain Emirate'!$C44)</f>
        <v/>
      </c>
      <c r="D50" s="436"/>
      <c r="E50" s="436" t="str">
        <f>IF(E$9="","",'Plans-Abudhabi &amp; Al Ain Emirate'!$C44)</f>
        <v/>
      </c>
      <c r="F50" s="438"/>
      <c r="G50" s="439" t="str">
        <f>IF(G$9="","",'Plans-Abudhabi &amp; Al Ain Emirate'!$C44)</f>
        <v/>
      </c>
      <c r="H50" s="146"/>
      <c r="I50" s="146"/>
      <c r="J50" s="146"/>
      <c r="K50" s="146"/>
      <c r="L50" s="146"/>
      <c r="M50" s="146"/>
    </row>
    <row r="51" spans="1:75" ht="218.25" customHeight="1" x14ac:dyDescent="0.25">
      <c r="B51" s="608" t="s">
        <v>695</v>
      </c>
      <c r="C51" s="445" t="str">
        <f>IF(C$9="","",'Plans-Abudhabi &amp; Al Ain Emirate'!$C$45)</f>
        <v/>
      </c>
      <c r="D51" s="436"/>
      <c r="E51" s="445" t="str">
        <f>IF(E$9="","",'Plans-Abudhabi &amp; Al Ain Emirate'!$C$45)</f>
        <v/>
      </c>
      <c r="F51" s="438"/>
      <c r="G51" s="446" t="str">
        <f>IF(G$9="","",'Plans-Abudhabi &amp; Al Ain Emirate'!$C$45)</f>
        <v/>
      </c>
      <c r="H51" s="146"/>
      <c r="I51" s="146"/>
      <c r="J51" s="146"/>
      <c r="K51" s="146"/>
      <c r="L51" s="146"/>
      <c r="M51" s="146"/>
    </row>
    <row r="52" spans="1:75" ht="188.25" customHeight="1" x14ac:dyDescent="0.25">
      <c r="B52" s="608" t="s">
        <v>696</v>
      </c>
      <c r="C52" s="436" t="str">
        <f>IF(C$9="","",'Plans-Abudhabi &amp; Al Ain Emirate'!$C$46)</f>
        <v/>
      </c>
      <c r="D52" s="436"/>
      <c r="E52" s="436" t="str">
        <f>IF(E$9="","",'Plans-Abudhabi &amp; Al Ain Emirate'!$C$46)</f>
        <v/>
      </c>
      <c r="F52" s="438"/>
      <c r="G52" s="439" t="str">
        <f>IF(G$9="","",'Plans-Abudhabi &amp; Al Ain Emirate'!$C$46)</f>
        <v/>
      </c>
      <c r="H52" s="146"/>
      <c r="I52" s="146"/>
      <c r="J52" s="146"/>
      <c r="K52" s="146"/>
      <c r="L52" s="146"/>
      <c r="M52" s="146"/>
    </row>
    <row r="53" spans="1:75" ht="408.75" customHeight="1" x14ac:dyDescent="0.25">
      <c r="B53" s="608" t="s">
        <v>707</v>
      </c>
      <c r="C53" s="445" t="str">
        <f>IF(C$9="","","The following cash benefit shall be payable to a member's declared beneficiary in the event of"&amp;IF(Protection!$H$26="Yes","","accidental")&amp;" death:
"&amp;VLOOKUP(Inputs!C49,'Inputs Mapping'!$AA$2:$AC$16,2,0))</f>
        <v/>
      </c>
      <c r="D53" s="436"/>
      <c r="E53" s="445" t="str">
        <f>IF(E$9="","","The following cash benefit shall be payable to a member's declared beneficiary in the event of"&amp;IF(Protection!$H$26="Yes","","accidental")&amp;" death:
"&amp;VLOOKUP(Inputs!E49,'Inputs Mapping'!$AA$2:$AC$16,2,0))</f>
        <v/>
      </c>
      <c r="F53" s="438"/>
      <c r="G53" s="445" t="str">
        <f>IF(G$9="","","The following cash benefit shall be payable to a member's declared beneficiary in the event of"&amp;IF(Protection!$H$26="Yes","","accidental")&amp;" death:
"&amp;VLOOKUP(Inputs!G49,'Inputs Mapping'!$AA$2:$AC$16,2,0))</f>
        <v/>
      </c>
      <c r="H53" s="146"/>
      <c r="I53" s="146"/>
      <c r="J53" s="146"/>
      <c r="K53" s="146"/>
      <c r="L53" s="146"/>
      <c r="M53" s="146"/>
    </row>
    <row r="54" spans="1:75" ht="153.94999999999999" customHeight="1" x14ac:dyDescent="0.25">
      <c r="B54" s="608" t="s">
        <v>181</v>
      </c>
      <c r="C54" s="723" t="str">
        <f>IF(C$9="","",IF(VLOOKUP(Inputs!C49,'Inputs Mapping'!$AA$2:$AC$16,3,0)="Not Covered","Not Covered",
"Coverage for an Annual Health Check-up Package with Nextcare partner providers, subject to a 20% coinsurance and the following annual limits: 
"&amp;VLOOKUP(Inputs!C49,'Inputs Mapping'!$AA$2:$AC$16,3,0)&amp;"
Member to check with Nextcare the latest list of approved packages. Coverage on Reimbursement basis only."))</f>
        <v/>
      </c>
      <c r="D54" s="723"/>
      <c r="E54" s="723" t="str">
        <f>IF(E$9="","",IF(VLOOKUP(Inputs!E49,'Inputs Mapping'!$AA$2:$AC$16,3,0)="Not Covered","Not Covered",
"Coverage for an Annual Health Check-up Package with Nextcare partner providers, subject to a 20% coinsurance and the following annual limits: 
"&amp;VLOOKUP(Inputs!E49,'Inputs Mapping'!$AA$2:$AC$16,3,0)&amp;"
Member to check with Nextcare the latest list of approved packages. Coverage on Reimbursement basis only."))</f>
        <v/>
      </c>
      <c r="F54" s="723"/>
      <c r="G54" s="723" t="str">
        <f>IF(G$9="","",IF(VLOOKUP(Inputs!G49,'Inputs Mapping'!$AA$2:$AC$16,3,0)="Not Covered","Not Covered",
"Coverage for an Annual Health Check-up Package with NEXtCARE partner providers, subject to a 20% coinsurance and the following annual limits: 
"&amp;VLOOKUP(Inputs!G49,'Inputs Mapping'!$AA$2:$AC$16,3,0)&amp;"
Member to check with Nextcare the latest list of approved packages. Coverage on Reimbursement basis only."))</f>
        <v/>
      </c>
      <c r="H54" s="146"/>
      <c r="I54" s="146"/>
      <c r="J54" s="146"/>
      <c r="K54" s="146"/>
      <c r="L54" s="146"/>
      <c r="M54" s="146"/>
    </row>
    <row r="55" spans="1:75" ht="84.95" customHeight="1" x14ac:dyDescent="0.25">
      <c r="B55" s="866" t="s">
        <v>708</v>
      </c>
      <c r="C55" s="866"/>
      <c r="D55" s="866"/>
      <c r="E55" s="866"/>
      <c r="F55" s="866"/>
      <c r="G55" s="866"/>
    </row>
    <row r="56" spans="1:75" ht="84.75" customHeight="1" x14ac:dyDescent="0.25">
      <c r="B56" s="273"/>
      <c r="C56" s="274"/>
      <c r="D56" s="274"/>
      <c r="E56" s="274"/>
      <c r="G56" s="274"/>
      <c r="I56" s="274"/>
      <c r="K56" s="274"/>
      <c r="M56" s="274"/>
    </row>
    <row r="57" spans="1:75" ht="84.75" customHeight="1" x14ac:dyDescent="0.25">
      <c r="B57" s="273"/>
      <c r="C57" s="274"/>
      <c r="D57" s="274"/>
      <c r="E57" s="274"/>
      <c r="G57" s="274"/>
      <c r="I57" s="274"/>
      <c r="K57" s="274"/>
      <c r="M57" s="274"/>
    </row>
    <row r="58" spans="1:75" ht="84.75" customHeight="1" x14ac:dyDescent="0.25">
      <c r="B58" s="273"/>
      <c r="C58" s="274"/>
      <c r="D58" s="274"/>
      <c r="E58" s="274"/>
      <c r="G58" s="274"/>
      <c r="I58" s="274"/>
      <c r="K58" s="274"/>
      <c r="M58" s="274"/>
    </row>
  </sheetData>
  <sheetProtection algorithmName="SHA-512" hashValue="viX0fj3LNqH4mkH7liIVLsN3Yii0Vo5jo6EMn51pOQx9BzrDGxrJjk6RrrQIA+37CXEETTmTzRNw4ePI/I91Cw==" saltValue="AdoLnVJx5BPfwWgaS2LqRg==" spinCount="100000" sheet="1" objects="1" scenarios="1"/>
  <mergeCells count="2">
    <mergeCell ref="B45:B46"/>
    <mergeCell ref="B55:G55"/>
  </mergeCells>
  <printOptions horizontalCentered="1" verticalCentered="1"/>
  <pageMargins left="0.15748031496062992" right="0.15748031496062992" top="0.23622047244094491" bottom="0.27559055118110237" header="0.15748031496062992" footer="0.15748031496062992"/>
  <pageSetup paperSize="9" scale="36" orientation="landscape" r:id="rId1"/>
  <headerFooter>
    <oddHeader>&amp;C&amp;"Calibri"&amp;10&amp;K000000 Internal&amp;1#_x000D_</oddHeader>
    <oddFooter>&amp;L_x000D_&amp;1#&amp;"Calibri"&amp;10&amp;K737373 Confidential</oddFooter>
  </headerFooter>
  <rowBreaks count="4" manualBreakCount="4">
    <brk id="22" min="1" max="6" man="1"/>
    <brk id="39" min="1" max="6" man="1"/>
    <brk id="51" min="1" max="6" man="1"/>
    <brk id="55" min="1" max="6" man="1"/>
  </rowBreaks>
  <colBreaks count="4" manualBreakCount="4">
    <brk id="8" max="1048575" man="1"/>
    <brk id="9" min="7" max="46" man="1"/>
    <brk id="11" min="7" max="46" man="1"/>
    <brk id="13"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8" tint="0.39997558519241921"/>
    <pageSetUpPr fitToPage="1"/>
  </sheetPr>
  <dimension ref="A1:BZ63"/>
  <sheetViews>
    <sheetView showRowColHeaders="0" view="pageBreakPreview" zoomScale="80" zoomScaleNormal="80" zoomScaleSheetLayoutView="80" workbookViewId="0">
      <selection activeCell="B2" sqref="B2"/>
    </sheetView>
  </sheetViews>
  <sheetFormatPr defaultColWidth="9.140625" defaultRowHeight="14.25" x14ac:dyDescent="0.2"/>
  <cols>
    <col min="1" max="1" width="1.28515625" style="24" customWidth="1"/>
    <col min="2" max="2" width="56.7109375" style="24" customWidth="1"/>
    <col min="3" max="7" width="44.5703125" style="24" customWidth="1"/>
    <col min="8" max="8" width="1.140625" style="24" customWidth="1"/>
    <col min="9" max="9" width="21.5703125" style="769" hidden="1" customWidth="1"/>
    <col min="10" max="10" width="9.140625" style="24" hidden="1" customWidth="1"/>
    <col min="11" max="16384" width="9.140625" style="24"/>
  </cols>
  <sheetData>
    <row r="1" spans="1:78" s="5" customFormat="1" ht="25.5" x14ac:dyDescent="0.35">
      <c r="A1" s="24"/>
      <c r="B1" s="878" t="s">
        <v>709</v>
      </c>
      <c r="C1" s="879"/>
      <c r="D1" s="879"/>
      <c r="E1" s="879"/>
      <c r="F1" s="879"/>
      <c r="G1" s="879"/>
      <c r="H1" s="24"/>
      <c r="I1" s="769"/>
      <c r="J1" s="127"/>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row>
    <row r="2" spans="1:78" ht="10.5" customHeight="1" x14ac:dyDescent="0.2">
      <c r="B2" s="25"/>
      <c r="C2" s="25"/>
      <c r="D2" s="25"/>
      <c r="E2" s="25"/>
      <c r="F2" s="25"/>
      <c r="G2" s="25"/>
    </row>
    <row r="3" spans="1:78" s="5" customFormat="1" ht="15" thickBot="1" x14ac:dyDescent="0.25">
      <c r="A3" s="24"/>
      <c r="B3" s="170" t="s">
        <v>647</v>
      </c>
      <c r="C3" s="1" t="s">
        <v>71</v>
      </c>
      <c r="D3" s="1" t="s">
        <v>72</v>
      </c>
      <c r="E3" s="1" t="s">
        <v>73</v>
      </c>
      <c r="F3" s="1" t="s">
        <v>208</v>
      </c>
      <c r="G3" s="1" t="s">
        <v>217</v>
      </c>
      <c r="H3" s="24"/>
      <c r="I3" s="769">
        <v>1</v>
      </c>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row>
    <row r="4" spans="1:78" s="5" customFormat="1" ht="45" customHeight="1" thickTop="1" thickBot="1" x14ac:dyDescent="0.25">
      <c r="A4" s="24"/>
      <c r="B4" s="171" t="s">
        <v>648</v>
      </c>
      <c r="C4" s="284" t="s">
        <v>710</v>
      </c>
      <c r="D4" s="284" t="s">
        <v>710</v>
      </c>
      <c r="E4" s="284" t="s">
        <v>710</v>
      </c>
      <c r="F4" s="284" t="s">
        <v>710</v>
      </c>
      <c r="G4" s="284" t="s">
        <v>710</v>
      </c>
      <c r="H4" s="24"/>
      <c r="I4" s="769">
        <v>2</v>
      </c>
      <c r="J4" s="126"/>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row>
    <row r="5" spans="1:78" s="5" customFormat="1" ht="45" customHeight="1" thickTop="1" thickBot="1" x14ac:dyDescent="0.25">
      <c r="A5" s="24"/>
      <c r="B5" s="172" t="s">
        <v>649</v>
      </c>
      <c r="C5" s="91" t="s">
        <v>711</v>
      </c>
      <c r="D5" s="92" t="s">
        <v>712</v>
      </c>
      <c r="E5" s="92" t="s">
        <v>712</v>
      </c>
      <c r="F5" s="92" t="s">
        <v>713</v>
      </c>
      <c r="G5" s="92" t="s">
        <v>714</v>
      </c>
      <c r="H5" s="24"/>
      <c r="I5" s="769">
        <v>3</v>
      </c>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row>
    <row r="6" spans="1:78" s="5" customFormat="1" ht="115.5" thickBot="1" x14ac:dyDescent="0.25">
      <c r="A6" s="24"/>
      <c r="B6" s="171" t="s">
        <v>650</v>
      </c>
      <c r="C6" s="482" t="s">
        <v>715</v>
      </c>
      <c r="D6" s="482" t="s">
        <v>716</v>
      </c>
      <c r="E6" s="181" t="s">
        <v>717</v>
      </c>
      <c r="F6" s="181" t="s">
        <v>718</v>
      </c>
      <c r="G6" s="482" t="s">
        <v>719</v>
      </c>
      <c r="H6" s="24"/>
      <c r="I6" s="769">
        <v>4</v>
      </c>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row>
    <row r="7" spans="1:78" s="86" customFormat="1" ht="45" customHeight="1" thickTop="1" thickBot="1" x14ac:dyDescent="0.25">
      <c r="A7" s="62"/>
      <c r="B7" s="171" t="s">
        <v>651</v>
      </c>
      <c r="C7" s="84" t="s">
        <v>720</v>
      </c>
      <c r="D7" s="85" t="s">
        <v>720</v>
      </c>
      <c r="E7" s="85" t="s">
        <v>721</v>
      </c>
      <c r="F7" s="85" t="s">
        <v>721</v>
      </c>
      <c r="G7" s="85" t="s">
        <v>721</v>
      </c>
      <c r="H7" s="62"/>
      <c r="I7" s="769">
        <v>5</v>
      </c>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row>
    <row r="8" spans="1:78" s="86" customFormat="1" ht="24.75" hidden="1" customHeight="1" thickTop="1" thickBot="1" x14ac:dyDescent="0.25">
      <c r="A8" s="62"/>
      <c r="B8" s="276" t="s">
        <v>722</v>
      </c>
      <c r="C8" s="277" t="s">
        <v>723</v>
      </c>
      <c r="D8" s="278" t="s">
        <v>723</v>
      </c>
      <c r="E8" s="278" t="s">
        <v>723</v>
      </c>
      <c r="F8" s="278" t="s">
        <v>723</v>
      </c>
      <c r="G8" s="278" t="s">
        <v>723</v>
      </c>
      <c r="H8" s="62"/>
      <c r="I8" s="769">
        <v>6</v>
      </c>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row>
    <row r="9" spans="1:78" s="5" customFormat="1" ht="115.5" hidden="1" customHeight="1" thickTop="1" thickBot="1" x14ac:dyDescent="0.25">
      <c r="A9" s="24"/>
      <c r="B9" s="172" t="s">
        <v>654</v>
      </c>
      <c r="C9" s="8" t="s">
        <v>724</v>
      </c>
      <c r="D9" s="8" t="s">
        <v>724</v>
      </c>
      <c r="E9" s="8" t="s">
        <v>724</v>
      </c>
      <c r="F9" s="8" t="s">
        <v>724</v>
      </c>
      <c r="G9" s="8" t="s">
        <v>724</v>
      </c>
      <c r="H9" s="24"/>
      <c r="I9" s="769">
        <v>7</v>
      </c>
      <c r="J9" s="280"/>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row>
    <row r="10" spans="1:78" s="5" customFormat="1" ht="36.75" customHeight="1" thickTop="1" thickBot="1" x14ac:dyDescent="0.25">
      <c r="A10" s="24"/>
      <c r="B10" s="172" t="s">
        <v>561</v>
      </c>
      <c r="C10" s="9" t="s">
        <v>91</v>
      </c>
      <c r="D10" s="9" t="s">
        <v>91</v>
      </c>
      <c r="E10" s="9" t="s">
        <v>91</v>
      </c>
      <c r="F10" s="9" t="s">
        <v>91</v>
      </c>
      <c r="G10" s="9" t="s">
        <v>91</v>
      </c>
      <c r="H10" s="24"/>
      <c r="I10" s="769">
        <v>8</v>
      </c>
      <c r="J10" s="62"/>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row>
    <row r="11" spans="1:78" s="5" customFormat="1" ht="36.75" customHeight="1" thickTop="1" thickBot="1" x14ac:dyDescent="0.25">
      <c r="A11" s="24"/>
      <c r="B11" s="173" t="s">
        <v>656</v>
      </c>
      <c r="C11" s="9" t="s">
        <v>725</v>
      </c>
      <c r="D11" s="10" t="s">
        <v>726</v>
      </c>
      <c r="E11" s="10" t="s">
        <v>727</v>
      </c>
      <c r="F11" s="10" t="s">
        <v>728</v>
      </c>
      <c r="G11" s="10" t="s">
        <v>728</v>
      </c>
      <c r="H11" s="24"/>
      <c r="I11" s="769">
        <v>9</v>
      </c>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row>
    <row r="12" spans="1:78" s="5" customFormat="1" ht="36.75" customHeight="1" thickTop="1" thickBot="1" x14ac:dyDescent="0.25">
      <c r="A12" s="24"/>
      <c r="B12" s="173" t="s">
        <v>657</v>
      </c>
      <c r="C12" s="9" t="s">
        <v>725</v>
      </c>
      <c r="D12" s="10" t="s">
        <v>726</v>
      </c>
      <c r="E12" s="10" t="s">
        <v>727</v>
      </c>
      <c r="F12" s="10" t="s">
        <v>728</v>
      </c>
      <c r="G12" s="10" t="s">
        <v>728</v>
      </c>
      <c r="H12" s="24"/>
      <c r="I12" s="769">
        <v>10</v>
      </c>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row>
    <row r="13" spans="1:78" s="5" customFormat="1" ht="43.5" customHeight="1" thickTop="1" thickBot="1" x14ac:dyDescent="0.25">
      <c r="A13" s="24"/>
      <c r="B13" s="173" t="s">
        <v>729</v>
      </c>
      <c r="C13" s="19" t="s">
        <v>730</v>
      </c>
      <c r="D13" s="19" t="s">
        <v>731</v>
      </c>
      <c r="E13" s="19" t="s">
        <v>732</v>
      </c>
      <c r="F13" s="19" t="s">
        <v>732</v>
      </c>
      <c r="G13" s="19" t="s">
        <v>732</v>
      </c>
      <c r="H13" s="24"/>
      <c r="I13" s="769">
        <v>11</v>
      </c>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row>
    <row r="14" spans="1:78" s="5" customFormat="1" ht="37.5" customHeight="1" thickTop="1" thickBot="1" x14ac:dyDescent="0.25">
      <c r="A14" s="24"/>
      <c r="B14" s="173" t="s">
        <v>659</v>
      </c>
      <c r="C14" s="9" t="s">
        <v>91</v>
      </c>
      <c r="D14" s="10" t="s">
        <v>91</v>
      </c>
      <c r="E14" s="10" t="s">
        <v>91</v>
      </c>
      <c r="F14" s="10" t="s">
        <v>91</v>
      </c>
      <c r="G14" s="10" t="s">
        <v>91</v>
      </c>
      <c r="H14" s="24"/>
      <c r="I14" s="769">
        <v>12</v>
      </c>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row>
    <row r="15" spans="1:78" s="5" customFormat="1" ht="67.5" customHeight="1" thickTop="1" thickBot="1" x14ac:dyDescent="0.25">
      <c r="A15" s="24"/>
      <c r="B15" s="511" t="s">
        <v>660</v>
      </c>
      <c r="C15" s="609" t="s">
        <v>733</v>
      </c>
      <c r="D15" s="609" t="s">
        <v>733</v>
      </c>
      <c r="E15" s="56" t="s">
        <v>734</v>
      </c>
      <c r="F15" s="56" t="s">
        <v>734</v>
      </c>
      <c r="G15" s="56" t="s">
        <v>734</v>
      </c>
      <c r="H15" s="24"/>
      <c r="I15" s="769">
        <v>13</v>
      </c>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row>
    <row r="16" spans="1:78" s="5" customFormat="1" ht="49.5" customHeight="1" thickTop="1" thickBot="1" x14ac:dyDescent="0.25">
      <c r="A16" s="24"/>
      <c r="B16" s="174" t="s">
        <v>735</v>
      </c>
      <c r="C16" s="303" t="s">
        <v>736</v>
      </c>
      <c r="D16" s="303" t="s">
        <v>737</v>
      </c>
      <c r="E16" s="303" t="s">
        <v>738</v>
      </c>
      <c r="F16" s="303" t="s">
        <v>738</v>
      </c>
      <c r="G16" s="303" t="s">
        <v>739</v>
      </c>
      <c r="H16" s="24"/>
      <c r="I16" s="769">
        <v>14</v>
      </c>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row>
    <row r="17" spans="1:78" s="5" customFormat="1" ht="49.5" customHeight="1" thickTop="1" thickBot="1" x14ac:dyDescent="0.25">
      <c r="A17" s="24"/>
      <c r="B17" s="174" t="s">
        <v>661</v>
      </c>
      <c r="C17" s="303" t="s">
        <v>740</v>
      </c>
      <c r="D17" s="303" t="s">
        <v>740</v>
      </c>
      <c r="E17" s="303" t="s">
        <v>740</v>
      </c>
      <c r="F17" s="303" t="s">
        <v>740</v>
      </c>
      <c r="G17" s="303" t="s">
        <v>740</v>
      </c>
      <c r="H17" s="24"/>
      <c r="I17" s="769">
        <v>15</v>
      </c>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row>
    <row r="18" spans="1:78" s="5" customFormat="1" ht="91.5" customHeight="1" thickTop="1" thickBot="1" x14ac:dyDescent="0.25">
      <c r="A18" s="24"/>
      <c r="B18" s="173" t="s">
        <v>741</v>
      </c>
      <c r="C18" s="303" t="s">
        <v>742</v>
      </c>
      <c r="D18" s="303" t="s">
        <v>742</v>
      </c>
      <c r="E18" s="303" t="s">
        <v>742</v>
      </c>
      <c r="F18" s="303" t="s">
        <v>742</v>
      </c>
      <c r="G18" s="303" t="s">
        <v>742</v>
      </c>
      <c r="H18" s="24"/>
      <c r="I18" s="769">
        <v>16</v>
      </c>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row>
    <row r="19" spans="1:78" s="5" customFormat="1" ht="231" thickTop="1" thickBot="1" x14ac:dyDescent="0.25">
      <c r="A19" s="24"/>
      <c r="B19" s="175" t="s">
        <v>663</v>
      </c>
      <c r="C19" s="182" t="s">
        <v>743</v>
      </c>
      <c r="D19" s="182" t="s">
        <v>743</v>
      </c>
      <c r="E19" s="182" t="s">
        <v>743</v>
      </c>
      <c r="F19" s="182" t="s">
        <v>743</v>
      </c>
      <c r="G19" s="182" t="s">
        <v>743</v>
      </c>
      <c r="H19" s="24"/>
      <c r="I19" s="769">
        <v>17</v>
      </c>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row>
    <row r="20" spans="1:78" s="5" customFormat="1" ht="15" thickTop="1" x14ac:dyDescent="0.2">
      <c r="A20" s="24"/>
      <c r="B20" s="175" t="s">
        <v>664</v>
      </c>
      <c r="C20" s="11"/>
      <c r="D20" s="12"/>
      <c r="E20" s="12"/>
      <c r="F20" s="12"/>
      <c r="G20" s="12"/>
      <c r="H20" s="24"/>
      <c r="I20" s="769">
        <v>18</v>
      </c>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row>
    <row r="21" spans="1:78" s="5" customFormat="1" x14ac:dyDescent="0.2">
      <c r="A21" s="24"/>
      <c r="B21" s="176" t="s">
        <v>665</v>
      </c>
      <c r="C21" s="13" t="s">
        <v>744</v>
      </c>
      <c r="D21" s="14" t="s">
        <v>744</v>
      </c>
      <c r="E21" s="14" t="s">
        <v>744</v>
      </c>
      <c r="F21" s="14" t="s">
        <v>744</v>
      </c>
      <c r="G21" s="14" t="s">
        <v>744</v>
      </c>
      <c r="H21" s="24"/>
      <c r="I21" s="769">
        <v>19</v>
      </c>
      <c r="J21" s="345"/>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row>
    <row r="22" spans="1:78" s="5" customFormat="1" ht="67.5" customHeight="1" x14ac:dyDescent="0.2">
      <c r="A22" s="24"/>
      <c r="B22" s="177" t="s">
        <v>666</v>
      </c>
      <c r="C22" s="282" t="s">
        <v>745</v>
      </c>
      <c r="D22" s="282" t="s">
        <v>745</v>
      </c>
      <c r="E22" s="282" t="s">
        <v>745</v>
      </c>
      <c r="F22" s="282" t="s">
        <v>745</v>
      </c>
      <c r="G22" s="282" t="s">
        <v>745</v>
      </c>
      <c r="H22" s="24"/>
      <c r="I22" s="769">
        <v>20</v>
      </c>
      <c r="J22" s="346"/>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row>
    <row r="23" spans="1:78" s="5" customFormat="1" ht="38.25" hidden="1" x14ac:dyDescent="0.2">
      <c r="A23" s="24"/>
      <c r="B23" s="177" t="s">
        <v>667</v>
      </c>
      <c r="C23" s="282" t="s">
        <v>745</v>
      </c>
      <c r="D23" s="282" t="s">
        <v>745</v>
      </c>
      <c r="E23" s="282" t="s">
        <v>745</v>
      </c>
      <c r="F23" s="282" t="s">
        <v>745</v>
      </c>
      <c r="G23" s="282" t="s">
        <v>745</v>
      </c>
      <c r="H23" s="24"/>
      <c r="I23" s="769">
        <v>21</v>
      </c>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row>
    <row r="24" spans="1:78" s="5" customFormat="1" x14ac:dyDescent="0.2">
      <c r="A24" s="24"/>
      <c r="B24" s="178" t="s">
        <v>668</v>
      </c>
      <c r="C24" s="13"/>
      <c r="D24" s="14"/>
      <c r="E24" s="14"/>
      <c r="F24" s="14"/>
      <c r="G24" s="14"/>
      <c r="H24" s="24"/>
      <c r="I24" s="769">
        <v>22</v>
      </c>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row>
    <row r="25" spans="1:78" s="5" customFormat="1" x14ac:dyDescent="0.2">
      <c r="A25" s="24"/>
      <c r="B25" s="176" t="s">
        <v>669</v>
      </c>
      <c r="C25" s="283" t="s">
        <v>744</v>
      </c>
      <c r="D25" s="283" t="s">
        <v>744</v>
      </c>
      <c r="E25" s="283" t="s">
        <v>744</v>
      </c>
      <c r="F25" s="283" t="s">
        <v>744</v>
      </c>
      <c r="G25" s="283" t="s">
        <v>744</v>
      </c>
      <c r="H25" s="24"/>
      <c r="I25" s="769">
        <v>23</v>
      </c>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row>
    <row r="26" spans="1:78" s="5" customFormat="1" ht="38.25" x14ac:dyDescent="0.2">
      <c r="A26" s="24"/>
      <c r="B26" s="177" t="s">
        <v>670</v>
      </c>
      <c r="C26" s="282" t="s">
        <v>745</v>
      </c>
      <c r="D26" s="282" t="s">
        <v>745</v>
      </c>
      <c r="E26" s="282" t="s">
        <v>745</v>
      </c>
      <c r="F26" s="282" t="s">
        <v>745</v>
      </c>
      <c r="G26" s="282" t="s">
        <v>745</v>
      </c>
      <c r="H26" s="24"/>
      <c r="I26" s="769">
        <v>24</v>
      </c>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row>
    <row r="27" spans="1:78" s="5" customFormat="1" ht="43.5" customHeight="1" x14ac:dyDescent="0.2">
      <c r="A27" s="24"/>
      <c r="B27" s="295" t="s">
        <v>746</v>
      </c>
      <c r="C27" s="13"/>
      <c r="D27" s="14"/>
      <c r="E27" s="15"/>
      <c r="F27" s="15"/>
      <c r="G27" s="15"/>
      <c r="H27" s="24"/>
      <c r="I27" s="769">
        <v>25</v>
      </c>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row>
    <row r="28" spans="1:78" s="5" customFormat="1" ht="57.75" customHeight="1" thickBot="1" x14ac:dyDescent="0.25">
      <c r="A28" s="24"/>
      <c r="B28" s="179" t="s">
        <v>747</v>
      </c>
      <c r="C28" s="2" t="s">
        <v>748</v>
      </c>
      <c r="D28" s="2" t="s">
        <v>748</v>
      </c>
      <c r="E28" s="2" t="s">
        <v>748</v>
      </c>
      <c r="F28" s="2" t="s">
        <v>748</v>
      </c>
      <c r="G28" s="2" t="s">
        <v>748</v>
      </c>
      <c r="H28" s="24"/>
      <c r="I28" s="769">
        <v>26</v>
      </c>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row>
    <row r="29" spans="1:78" s="5" customFormat="1" ht="66.75" customHeight="1" thickTop="1" thickBot="1" x14ac:dyDescent="0.25">
      <c r="A29" s="24"/>
      <c r="B29" s="173" t="s">
        <v>673</v>
      </c>
      <c r="C29" s="3" t="s">
        <v>749</v>
      </c>
      <c r="D29" s="3" t="s">
        <v>750</v>
      </c>
      <c r="E29" s="3" t="s">
        <v>751</v>
      </c>
      <c r="F29" s="3" t="s">
        <v>751</v>
      </c>
      <c r="G29" s="3" t="s">
        <v>752</v>
      </c>
      <c r="H29" s="24"/>
      <c r="I29" s="769">
        <v>27</v>
      </c>
      <c r="J29" s="281"/>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row>
    <row r="30" spans="1:78" s="5" customFormat="1" ht="54.75" customHeight="1" thickTop="1" thickBot="1" x14ac:dyDescent="0.25">
      <c r="A30" s="24"/>
      <c r="B30" s="173" t="s">
        <v>674</v>
      </c>
      <c r="C30" s="4" t="s">
        <v>753</v>
      </c>
      <c r="D30" s="4" t="s">
        <v>753</v>
      </c>
      <c r="E30" s="4" t="s">
        <v>753</v>
      </c>
      <c r="F30" s="4" t="s">
        <v>753</v>
      </c>
      <c r="G30" s="4" t="s">
        <v>753</v>
      </c>
      <c r="H30" s="24"/>
      <c r="I30" s="769">
        <v>28</v>
      </c>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row>
    <row r="31" spans="1:78" s="5" customFormat="1" ht="66.75" hidden="1" customHeight="1" thickTop="1" thickBot="1" x14ac:dyDescent="0.25">
      <c r="A31" s="24"/>
      <c r="B31" s="173" t="s">
        <v>754</v>
      </c>
      <c r="C31" s="266" t="e">
        <f>IF(OR(#REF!="No",#REF!=""),"Direct Billing","Direct billing excluding "&amp;#REF!&amp;" and all its affiliates")</f>
        <v>#REF!</v>
      </c>
      <c r="D31" s="266" t="e">
        <f>IF(OR(#REF!="No",#REF!=""),"Direct Billing","Direct billing excluding "&amp;#REF!&amp;" and all its affiliates")</f>
        <v>#REF!</v>
      </c>
      <c r="E31" s="266" t="e">
        <f>IF(OR(#REF!="No",#REF!=""),"Direct Billing","Direct billing excluding "&amp;#REF!&amp;" and all its affiliates")</f>
        <v>#REF!</v>
      </c>
      <c r="F31" s="266" t="e">
        <f>IF(OR(#REF!="No",#REF!=""),"Direct Billing","Direct billing excluding "&amp;#REF!&amp;" and all its affiliates")</f>
        <v>#REF!</v>
      </c>
      <c r="G31" s="266" t="e">
        <f>IF(OR(#REF!="No",#REF!=""),"Direct Billing","Direct billing excluding "&amp;#REF!&amp;" and all its affiliates")</f>
        <v>#REF!</v>
      </c>
      <c r="H31" s="24"/>
      <c r="I31" s="769">
        <v>29</v>
      </c>
      <c r="J31" s="279"/>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row>
    <row r="32" spans="1:78" s="5" customFormat="1" ht="63" hidden="1" customHeight="1" thickTop="1" thickBot="1" x14ac:dyDescent="0.25">
      <c r="A32" s="24"/>
      <c r="B32" s="173"/>
      <c r="C32" s="16"/>
      <c r="D32" s="17"/>
      <c r="E32" s="17"/>
      <c r="F32" s="17"/>
      <c r="G32" s="17"/>
      <c r="H32" s="24"/>
      <c r="I32" s="769">
        <v>30</v>
      </c>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row>
    <row r="33" spans="1:78" s="5" customFormat="1" ht="36" customHeight="1" thickTop="1" thickBot="1" x14ac:dyDescent="0.25">
      <c r="A33" s="24"/>
      <c r="B33" s="173" t="s">
        <v>755</v>
      </c>
      <c r="C33" s="87" t="s">
        <v>756</v>
      </c>
      <c r="D33" s="87" t="s">
        <v>756</v>
      </c>
      <c r="E33" s="88" t="s">
        <v>757</v>
      </c>
      <c r="F33" s="88" t="s">
        <v>758</v>
      </c>
      <c r="G33" s="88" t="str">
        <f>F33</f>
        <v>10 sessions per member per annum</v>
      </c>
      <c r="H33" s="24"/>
      <c r="I33" s="769">
        <v>31</v>
      </c>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row>
    <row r="34" spans="1:78" s="5" customFormat="1" ht="44.25" thickTop="1" thickBot="1" x14ac:dyDescent="0.25">
      <c r="A34" s="24"/>
      <c r="B34" s="173" t="s">
        <v>676</v>
      </c>
      <c r="C34" s="7" t="s">
        <v>759</v>
      </c>
      <c r="D34" s="8" t="s">
        <v>759</v>
      </c>
      <c r="E34" s="8" t="s">
        <v>759</v>
      </c>
      <c r="F34" s="8" t="s">
        <v>759</v>
      </c>
      <c r="G34" s="8" t="s">
        <v>759</v>
      </c>
      <c r="H34" s="24"/>
      <c r="I34" s="769">
        <v>32</v>
      </c>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row>
    <row r="35" spans="1:78" s="5" customFormat="1" ht="69" customHeight="1" thickTop="1" thickBot="1" x14ac:dyDescent="0.25">
      <c r="A35" s="24"/>
      <c r="B35" s="173" t="s">
        <v>760</v>
      </c>
      <c r="C35" s="16" t="s">
        <v>761</v>
      </c>
      <c r="D35" s="16" t="s">
        <v>761</v>
      </c>
      <c r="E35" s="16" t="s">
        <v>761</v>
      </c>
      <c r="F35" s="16" t="s">
        <v>761</v>
      </c>
      <c r="G35" s="16" t="s">
        <v>761</v>
      </c>
      <c r="H35" s="24"/>
      <c r="I35" s="769">
        <v>33</v>
      </c>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row>
    <row r="36" spans="1:78" s="5" customFormat="1" ht="90.75" customHeight="1" thickTop="1" thickBot="1" x14ac:dyDescent="0.25">
      <c r="A36" s="24"/>
      <c r="B36" s="294" t="s">
        <v>762</v>
      </c>
      <c r="C36" s="16" t="s">
        <v>761</v>
      </c>
      <c r="D36" s="16" t="s">
        <v>761</v>
      </c>
      <c r="E36" s="16" t="s">
        <v>761</v>
      </c>
      <c r="F36" s="16" t="s">
        <v>761</v>
      </c>
      <c r="G36" s="16" t="s">
        <v>761</v>
      </c>
      <c r="H36" s="24"/>
      <c r="I36" s="769">
        <v>34</v>
      </c>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row>
    <row r="37" spans="1:78" s="5" customFormat="1" ht="90.75" customHeight="1" thickTop="1" thickBot="1" x14ac:dyDescent="0.25">
      <c r="A37" s="24"/>
      <c r="B37" s="509" t="s">
        <v>763</v>
      </c>
      <c r="C37" s="19" t="s">
        <v>764</v>
      </c>
      <c r="D37" s="19" t="s">
        <v>764</v>
      </c>
      <c r="E37" s="19" t="s">
        <v>764</v>
      </c>
      <c r="F37" s="19" t="s">
        <v>764</v>
      </c>
      <c r="G37" s="19" t="s">
        <v>764</v>
      </c>
      <c r="H37" s="24"/>
      <c r="I37" s="769">
        <v>35</v>
      </c>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row>
    <row r="38" spans="1:78" s="5" customFormat="1" ht="90.75" customHeight="1" thickTop="1" thickBot="1" x14ac:dyDescent="0.25">
      <c r="A38" s="24"/>
      <c r="B38" s="173" t="s">
        <v>680</v>
      </c>
      <c r="C38" s="19" t="s">
        <v>731</v>
      </c>
      <c r="D38" s="19" t="s">
        <v>731</v>
      </c>
      <c r="E38" s="19" t="s">
        <v>731</v>
      </c>
      <c r="F38" s="19" t="s">
        <v>731</v>
      </c>
      <c r="G38" s="19" t="s">
        <v>731</v>
      </c>
      <c r="H38" s="24"/>
      <c r="I38" s="769">
        <v>36</v>
      </c>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row>
    <row r="39" spans="1:78" s="5" customFormat="1" ht="90.75" customHeight="1" thickTop="1" thickBot="1" x14ac:dyDescent="0.25">
      <c r="A39" s="24"/>
      <c r="B39" s="510" t="s">
        <v>681</v>
      </c>
      <c r="C39" s="483" t="s">
        <v>765</v>
      </c>
      <c r="D39" s="483" t="s">
        <v>765</v>
      </c>
      <c r="E39" s="483" t="s">
        <v>765</v>
      </c>
      <c r="F39" s="483" t="s">
        <v>765</v>
      </c>
      <c r="G39" s="483" t="s">
        <v>765</v>
      </c>
      <c r="H39" s="24"/>
      <c r="I39" s="769">
        <v>37</v>
      </c>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row>
    <row r="40" spans="1:78" s="5" customFormat="1" ht="90.75" customHeight="1" thickTop="1" thickBot="1" x14ac:dyDescent="0.25">
      <c r="A40" s="24"/>
      <c r="B40" s="484" t="s">
        <v>766</v>
      </c>
      <c r="C40" s="483" t="s">
        <v>767</v>
      </c>
      <c r="D40" s="483" t="s">
        <v>767</v>
      </c>
      <c r="E40" s="483" t="s">
        <v>767</v>
      </c>
      <c r="F40" s="483" t="s">
        <v>767</v>
      </c>
      <c r="G40" s="483" t="s">
        <v>767</v>
      </c>
      <c r="H40" s="24"/>
      <c r="I40" s="769">
        <v>38</v>
      </c>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row>
    <row r="41" spans="1:78" s="5" customFormat="1" ht="90.75" customHeight="1" thickTop="1" thickBot="1" x14ac:dyDescent="0.25">
      <c r="A41" s="24"/>
      <c r="B41" s="623" t="s">
        <v>768</v>
      </c>
      <c r="C41" s="483" t="s">
        <v>767</v>
      </c>
      <c r="D41" s="483" t="s">
        <v>767</v>
      </c>
      <c r="E41" s="483" t="s">
        <v>767</v>
      </c>
      <c r="F41" s="483" t="s">
        <v>767</v>
      </c>
      <c r="G41" s="483" t="s">
        <v>767</v>
      </c>
      <c r="H41" s="24"/>
      <c r="I41" s="769">
        <v>39</v>
      </c>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row>
    <row r="42" spans="1:78" s="5" customFormat="1" ht="15.75" thickTop="1" thickBot="1" x14ac:dyDescent="0.25">
      <c r="A42" s="24"/>
      <c r="B42" s="173" t="s">
        <v>684</v>
      </c>
      <c r="C42" s="483" t="s">
        <v>769</v>
      </c>
      <c r="D42" s="483" t="s">
        <v>769</v>
      </c>
      <c r="E42" s="483" t="s">
        <v>769</v>
      </c>
      <c r="F42" s="483" t="s">
        <v>769</v>
      </c>
      <c r="G42" s="483" t="s">
        <v>769</v>
      </c>
      <c r="H42" s="24"/>
      <c r="I42" s="769">
        <v>40</v>
      </c>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row>
    <row r="43" spans="1:78" s="5" customFormat="1" ht="58.5" thickTop="1" thickBot="1" x14ac:dyDescent="0.25">
      <c r="A43" s="24"/>
      <c r="B43" s="173" t="s">
        <v>685</v>
      </c>
      <c r="C43" s="483" t="s">
        <v>770</v>
      </c>
      <c r="D43" s="483" t="s">
        <v>770</v>
      </c>
      <c r="E43" s="483" t="s">
        <v>770</v>
      </c>
      <c r="F43" s="483" t="s">
        <v>770</v>
      </c>
      <c r="G43" s="483" t="s">
        <v>770</v>
      </c>
      <c r="H43" s="24"/>
      <c r="I43" s="769">
        <v>41</v>
      </c>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row>
    <row r="44" spans="1:78" s="5" customFormat="1" ht="153" customHeight="1" thickBot="1" x14ac:dyDescent="0.25">
      <c r="A44" s="24"/>
      <c r="B44" s="173" t="s">
        <v>686</v>
      </c>
      <c r="C44" s="285" t="s">
        <v>771</v>
      </c>
      <c r="D44" s="285" t="s">
        <v>771</v>
      </c>
      <c r="E44" s="285" t="s">
        <v>771</v>
      </c>
      <c r="F44" s="285" t="s">
        <v>771</v>
      </c>
      <c r="G44" s="285" t="s">
        <v>771</v>
      </c>
      <c r="H44" s="24"/>
      <c r="I44" s="769">
        <v>42</v>
      </c>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row>
    <row r="45" spans="1:78" s="5" customFormat="1" ht="56.25" customHeight="1" thickTop="1" thickBot="1" x14ac:dyDescent="0.25">
      <c r="A45" s="24"/>
      <c r="B45" s="173" t="s">
        <v>687</v>
      </c>
      <c r="C45" s="19" t="s">
        <v>772</v>
      </c>
      <c r="D45" s="19" t="s">
        <v>773</v>
      </c>
      <c r="E45" s="19" t="s">
        <v>774</v>
      </c>
      <c r="F45" s="19" t="s">
        <v>775</v>
      </c>
      <c r="G45" s="19" t="s">
        <v>775</v>
      </c>
      <c r="H45" s="24"/>
      <c r="I45" s="769">
        <v>43</v>
      </c>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row>
    <row r="46" spans="1:78" s="5" customFormat="1" ht="56.25" customHeight="1" thickTop="1" thickBot="1" x14ac:dyDescent="0.25">
      <c r="A46" s="24"/>
      <c r="B46" s="511" t="s">
        <v>688</v>
      </c>
      <c r="C46" s="880" t="s">
        <v>776</v>
      </c>
      <c r="D46" s="881"/>
      <c r="E46" s="881"/>
      <c r="F46" s="881"/>
      <c r="G46" s="882"/>
      <c r="H46" s="24"/>
      <c r="I46" s="769">
        <v>44</v>
      </c>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row>
    <row r="47" spans="1:78" s="5" customFormat="1" ht="56.25" customHeight="1" thickTop="1" thickBot="1" x14ac:dyDescent="0.25">
      <c r="A47" s="24"/>
      <c r="B47" s="511" t="s">
        <v>689</v>
      </c>
      <c r="C47" s="880" t="s">
        <v>777</v>
      </c>
      <c r="D47" s="881"/>
      <c r="E47" s="881"/>
      <c r="F47" s="881"/>
      <c r="G47" s="882"/>
      <c r="H47" s="24"/>
      <c r="I47" s="769">
        <v>45</v>
      </c>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row>
    <row r="48" spans="1:78" s="5" customFormat="1" ht="208.5" customHeight="1" thickTop="1" thickBot="1" x14ac:dyDescent="0.25">
      <c r="A48" s="24"/>
      <c r="B48" s="876" t="s">
        <v>778</v>
      </c>
      <c r="C48" s="873" t="s">
        <v>779</v>
      </c>
      <c r="D48" s="874"/>
      <c r="E48" s="874"/>
      <c r="F48" s="874"/>
      <c r="G48" s="875"/>
      <c r="H48" s="24"/>
      <c r="I48" s="769">
        <v>46</v>
      </c>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row>
    <row r="49" spans="1:78" s="5" customFormat="1" ht="218.25" customHeight="1" thickTop="1" thickBot="1" x14ac:dyDescent="0.25">
      <c r="A49" s="24"/>
      <c r="B49" s="877"/>
      <c r="C49" s="870" t="s">
        <v>780</v>
      </c>
      <c r="D49" s="871"/>
      <c r="E49" s="871"/>
      <c r="F49" s="871"/>
      <c r="G49" s="872"/>
      <c r="H49" s="24"/>
      <c r="I49" s="769">
        <v>47</v>
      </c>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row>
    <row r="50" spans="1:78" s="5" customFormat="1" ht="161.1" customHeight="1" thickTop="1" thickBot="1" x14ac:dyDescent="0.25">
      <c r="A50" s="24"/>
      <c r="B50" s="510" t="s">
        <v>781</v>
      </c>
      <c r="C50" s="610" t="s">
        <v>782</v>
      </c>
      <c r="D50" s="610" t="s">
        <v>783</v>
      </c>
      <c r="E50" s="610" t="s">
        <v>784</v>
      </c>
      <c r="F50" s="610" t="s">
        <v>784</v>
      </c>
      <c r="G50" s="610" t="s">
        <v>785</v>
      </c>
      <c r="H50" s="24"/>
      <c r="I50" s="769">
        <v>48</v>
      </c>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row>
    <row r="51" spans="1:78" s="5" customFormat="1" ht="153.75" customHeight="1" thickTop="1" thickBot="1" x14ac:dyDescent="0.25">
      <c r="A51" s="24"/>
      <c r="B51" s="173" t="s">
        <v>786</v>
      </c>
      <c r="C51" s="18" t="s">
        <v>787</v>
      </c>
      <c r="D51" s="18" t="s">
        <v>787</v>
      </c>
      <c r="E51" s="18" t="s">
        <v>788</v>
      </c>
      <c r="F51" s="18" t="s">
        <v>788</v>
      </c>
      <c r="G51" s="18" t="s">
        <v>789</v>
      </c>
      <c r="H51" s="24"/>
      <c r="I51" s="769">
        <v>49</v>
      </c>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row>
    <row r="52" spans="1:78" s="5" customFormat="1" ht="158.25" thickTop="1" thickBot="1" x14ac:dyDescent="0.25">
      <c r="A52" s="24"/>
      <c r="B52" s="739" t="s">
        <v>790</v>
      </c>
      <c r="C52" s="740" t="s">
        <v>791</v>
      </c>
      <c r="D52" s="740" t="s">
        <v>792</v>
      </c>
      <c r="E52" s="740" t="s">
        <v>793</v>
      </c>
      <c r="F52" s="740" t="s">
        <v>793</v>
      </c>
      <c r="G52" s="740" t="s">
        <v>793</v>
      </c>
      <c r="H52" s="24"/>
      <c r="I52" s="769">
        <v>50</v>
      </c>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row>
    <row r="53" spans="1:78" ht="114.95" customHeight="1" thickTop="1" thickBot="1" x14ac:dyDescent="0.25">
      <c r="B53" s="173" t="s">
        <v>654</v>
      </c>
      <c r="C53" s="18" t="s">
        <v>724</v>
      </c>
      <c r="D53" s="18" t="s">
        <v>724</v>
      </c>
      <c r="E53" s="18" t="s">
        <v>724</v>
      </c>
      <c r="F53" s="18" t="s">
        <v>724</v>
      </c>
      <c r="G53" s="18" t="s">
        <v>724</v>
      </c>
      <c r="I53" s="769">
        <v>51</v>
      </c>
    </row>
    <row r="54" spans="1:78" ht="44.1" customHeight="1" thickTop="1" thickBot="1" x14ac:dyDescent="0.25">
      <c r="B54" s="173" t="s">
        <v>694</v>
      </c>
      <c r="C54" s="18" t="s">
        <v>794</v>
      </c>
      <c r="D54" s="18" t="s">
        <v>794</v>
      </c>
      <c r="E54" s="18" t="s">
        <v>794</v>
      </c>
      <c r="F54" s="18" t="s">
        <v>794</v>
      </c>
      <c r="G54" s="18" t="s">
        <v>794</v>
      </c>
      <c r="I54" s="769">
        <v>52</v>
      </c>
    </row>
    <row r="55" spans="1:78" ht="62.25" customHeight="1" thickTop="1" thickBot="1" x14ac:dyDescent="0.25">
      <c r="B55" s="173" t="s">
        <v>695</v>
      </c>
      <c r="C55" s="873" t="s">
        <v>795</v>
      </c>
      <c r="D55" s="874"/>
      <c r="E55" s="874"/>
      <c r="F55" s="874"/>
      <c r="G55" s="875"/>
      <c r="I55" s="769">
        <v>53</v>
      </c>
    </row>
    <row r="56" spans="1:78" ht="113.25" customHeight="1" thickTop="1" thickBot="1" x14ac:dyDescent="0.25">
      <c r="B56" s="173" t="s">
        <v>696</v>
      </c>
      <c r="C56" s="867" t="s">
        <v>796</v>
      </c>
      <c r="D56" s="868"/>
      <c r="E56" s="868"/>
      <c r="F56" s="868"/>
      <c r="G56" s="883"/>
      <c r="I56" s="769">
        <v>54</v>
      </c>
    </row>
    <row r="57" spans="1:78" ht="264" customHeight="1" thickTop="1" thickBot="1" x14ac:dyDescent="0.25">
      <c r="B57" s="760" t="str">
        <f>IF(Protection!H26="Yes",Protection!Q30,Protection!Q28)</f>
        <v xml:space="preserve">Cash benefit in case of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57" s="884" t="str">
        <f>IF(Protection!H26="Yes",Protection!R30,Protection!R28)</f>
        <v>The following cash benefit (as per the member's Medical Out-Patient Network) shall be payable to a member's declared beneficiary in the event of death: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57" s="885"/>
      <c r="E57" s="885"/>
      <c r="F57" s="885"/>
      <c r="G57" s="886"/>
      <c r="I57" s="769">
        <v>55</v>
      </c>
    </row>
    <row r="58" spans="1:78" ht="147.75" customHeight="1" thickTop="1" thickBot="1" x14ac:dyDescent="0.25">
      <c r="B58" s="173" t="s">
        <v>181</v>
      </c>
      <c r="C58" s="867" t="s">
        <v>797</v>
      </c>
      <c r="D58" s="868"/>
      <c r="E58" s="868"/>
      <c r="F58" s="868"/>
      <c r="G58" s="869"/>
      <c r="I58" s="769">
        <v>56</v>
      </c>
    </row>
    <row r="59" spans="1:78" ht="15" x14ac:dyDescent="0.2">
      <c r="B59" s="183" t="s">
        <v>698</v>
      </c>
      <c r="C59" s="183"/>
      <c r="D59" s="183"/>
      <c r="E59" s="183"/>
      <c r="F59" s="183"/>
      <c r="G59" s="183"/>
      <c r="I59" s="769">
        <v>57</v>
      </c>
    </row>
    <row r="62" spans="1:78" ht="42.75" hidden="1" x14ac:dyDescent="0.2">
      <c r="B62" s="62" t="s">
        <v>798</v>
      </c>
      <c r="C62" s="770" t="s">
        <v>799</v>
      </c>
      <c r="D62" s="770" t="s">
        <v>799</v>
      </c>
      <c r="E62" s="770" t="s">
        <v>799</v>
      </c>
      <c r="F62" s="770" t="s">
        <v>799</v>
      </c>
      <c r="G62" s="770" t="s">
        <v>799</v>
      </c>
      <c r="I62" s="769">
        <f>ROW(G62)-2</f>
        <v>60</v>
      </c>
    </row>
    <row r="63" spans="1:78" ht="57" hidden="1" x14ac:dyDescent="0.2">
      <c r="B63" s="62" t="s">
        <v>800</v>
      </c>
      <c r="C63" s="770" t="s">
        <v>801</v>
      </c>
      <c r="D63" s="770" t="s">
        <v>802</v>
      </c>
      <c r="E63" s="770" t="s">
        <v>803</v>
      </c>
      <c r="F63" s="770" t="s">
        <v>803</v>
      </c>
      <c r="G63" s="770" t="s">
        <v>804</v>
      </c>
      <c r="I63" s="769">
        <f>ROW(G63)-2</f>
        <v>61</v>
      </c>
    </row>
  </sheetData>
  <sheetProtection algorithmName="SHA-512" hashValue="f8bH1TbXOdzUxrnUW1xqrqWGTLbEmYZdplvLpMXS5FLdyn0LhgXRDEhu3dKxMdVz/jjsHvZyt7vLr2W4HTVIpg==" saltValue="nDvsnmqMit997V4jlPn9Lw==" spinCount="100000" sheet="1" objects="1" scenarios="1"/>
  <mergeCells count="10">
    <mergeCell ref="C58:G58"/>
    <mergeCell ref="C49:G49"/>
    <mergeCell ref="C48:G48"/>
    <mergeCell ref="B48:B49"/>
    <mergeCell ref="B1:G1"/>
    <mergeCell ref="C46:G46"/>
    <mergeCell ref="C55:G55"/>
    <mergeCell ref="C56:G56"/>
    <mergeCell ref="C57:G57"/>
    <mergeCell ref="C47:G47"/>
  </mergeCells>
  <pageMargins left="0.17" right="0.17" top="0.25" bottom="0.27" header="0.17" footer="0.17"/>
  <pageSetup scale="48" fitToHeight="0" orientation="landscape" horizontalDpi="4294967295" verticalDpi="4294967295" r:id="rId1"/>
  <headerFooter>
    <oddHeader>&amp;C&amp;"Calibri"&amp;10&amp;K000000 Internal&amp;1#_x000D_</oddHeader>
    <oddFooter>&amp;L_x000D_&amp;1#&amp;"Calibri"&amp;10&amp;K737373 Confidential</oddFooter>
  </headerFooter>
  <rowBreaks count="2" manualBreakCount="2">
    <brk id="19" max="6" man="1"/>
    <brk id="45" max="6"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8" tint="0.39997558519241921"/>
    <pageSetUpPr fitToPage="1"/>
  </sheetPr>
  <dimension ref="A1:Q260"/>
  <sheetViews>
    <sheetView showRowColHeaders="0" workbookViewId="0">
      <selection activeCell="B2" sqref="B2"/>
    </sheetView>
  </sheetViews>
  <sheetFormatPr defaultColWidth="9.140625" defaultRowHeight="14.25" x14ac:dyDescent="0.2"/>
  <cols>
    <col min="1" max="1" width="1.140625" style="24" customWidth="1"/>
    <col min="2" max="2" width="63.7109375" style="5" customWidth="1"/>
    <col min="3" max="3" width="44.5703125" style="5" customWidth="1"/>
    <col min="4" max="4" width="43.85546875" style="5" customWidth="1"/>
    <col min="5" max="5" width="44" style="5" customWidth="1"/>
    <col min="6" max="6" width="9.140625" style="24"/>
    <col min="7" max="7" width="9.140625" style="24" customWidth="1"/>
    <col min="8" max="8" width="9.140625" style="24" hidden="1" customWidth="1"/>
    <col min="9" max="9" width="9.140625" style="344" hidden="1" customWidth="1"/>
    <col min="10" max="10" width="9.140625" style="24" customWidth="1"/>
    <col min="11" max="17" width="9.140625" style="24"/>
    <col min="18" max="16384" width="9.140625" style="5"/>
  </cols>
  <sheetData>
    <row r="1" spans="1:17" ht="25.5" x14ac:dyDescent="0.35">
      <c r="B1" s="878" t="s">
        <v>805</v>
      </c>
      <c r="C1" s="879"/>
      <c r="D1" s="879"/>
      <c r="E1" s="879"/>
    </row>
    <row r="2" spans="1:17" x14ac:dyDescent="0.2">
      <c r="B2" s="6"/>
      <c r="C2" s="6"/>
      <c r="D2" s="6"/>
      <c r="E2" s="6"/>
    </row>
    <row r="3" spans="1:17" ht="15" thickBot="1" x14ac:dyDescent="0.25">
      <c r="B3" s="180" t="s">
        <v>647</v>
      </c>
      <c r="C3" s="1" t="s">
        <v>71</v>
      </c>
      <c r="D3" s="1" t="s">
        <v>72</v>
      </c>
      <c r="E3" s="1" t="s">
        <v>73</v>
      </c>
      <c r="H3" s="24">
        <v>1</v>
      </c>
      <c r="I3" s="344">
        <v>1</v>
      </c>
    </row>
    <row r="4" spans="1:17" ht="34.5" customHeight="1" thickTop="1" thickBot="1" x14ac:dyDescent="0.25">
      <c r="B4" s="175" t="s">
        <v>648</v>
      </c>
      <c r="C4" s="128" t="s">
        <v>710</v>
      </c>
      <c r="D4" s="128" t="s">
        <v>710</v>
      </c>
      <c r="E4" s="128" t="s">
        <v>710</v>
      </c>
      <c r="H4" s="24">
        <f t="shared" ref="H4:H32" si="0">H3+1</f>
        <v>2</v>
      </c>
      <c r="I4" s="24">
        <f t="shared" ref="I4:I32" si="1">I3+1</f>
        <v>2</v>
      </c>
    </row>
    <row r="5" spans="1:17" ht="33" customHeight="1" thickTop="1" thickBot="1" x14ac:dyDescent="0.25">
      <c r="B5" s="172" t="s">
        <v>649</v>
      </c>
      <c r="C5" s="91" t="s">
        <v>711</v>
      </c>
      <c r="D5" s="91" t="s">
        <v>712</v>
      </c>
      <c r="E5" s="92" t="s">
        <v>714</v>
      </c>
      <c r="H5" s="24">
        <f t="shared" si="0"/>
        <v>3</v>
      </c>
      <c r="I5" s="24">
        <f t="shared" si="1"/>
        <v>3</v>
      </c>
    </row>
    <row r="6" spans="1:17" ht="86.25" customHeight="1" thickBot="1" x14ac:dyDescent="0.25">
      <c r="B6" s="171" t="s">
        <v>650</v>
      </c>
      <c r="C6" s="181" t="s">
        <v>806</v>
      </c>
      <c r="D6" s="181" t="s">
        <v>807</v>
      </c>
      <c r="E6" s="181" t="s">
        <v>808</v>
      </c>
      <c r="H6" s="24">
        <f t="shared" si="0"/>
        <v>4</v>
      </c>
      <c r="I6" s="24">
        <f t="shared" si="1"/>
        <v>4</v>
      </c>
    </row>
    <row r="7" spans="1:17" s="86" customFormat="1" ht="23.25" customHeight="1" thickTop="1" thickBot="1" x14ac:dyDescent="0.25">
      <c r="A7" s="62"/>
      <c r="B7" s="172" t="s">
        <v>651</v>
      </c>
      <c r="C7" s="84" t="s">
        <v>720</v>
      </c>
      <c r="D7" s="85" t="s">
        <v>720</v>
      </c>
      <c r="E7" s="85" t="s">
        <v>721</v>
      </c>
      <c r="F7" s="62"/>
      <c r="G7" s="62"/>
      <c r="H7" s="24">
        <f t="shared" si="0"/>
        <v>5</v>
      </c>
      <c r="I7" s="24">
        <f t="shared" si="1"/>
        <v>5</v>
      </c>
      <c r="J7" s="62"/>
      <c r="K7" s="62"/>
      <c r="L7" s="62"/>
      <c r="M7" s="62"/>
      <c r="N7" s="62"/>
      <c r="O7" s="62"/>
      <c r="P7" s="62"/>
      <c r="Q7" s="62"/>
    </row>
    <row r="8" spans="1:17" s="86" customFormat="1" ht="22.5" hidden="1" customHeight="1" thickTop="1" thickBot="1" x14ac:dyDescent="0.25">
      <c r="A8" s="62"/>
      <c r="B8" s="172" t="s">
        <v>722</v>
      </c>
      <c r="C8" s="16" t="s">
        <v>723</v>
      </c>
      <c r="D8" s="17" t="s">
        <v>723</v>
      </c>
      <c r="E8" s="17" t="s">
        <v>723</v>
      </c>
      <c r="F8" s="62"/>
      <c r="G8" s="62"/>
      <c r="H8" s="24">
        <f t="shared" si="0"/>
        <v>6</v>
      </c>
      <c r="I8" s="24">
        <f t="shared" si="1"/>
        <v>6</v>
      </c>
      <c r="J8" s="62"/>
      <c r="K8" s="62"/>
      <c r="L8" s="62"/>
      <c r="M8" s="62"/>
      <c r="N8" s="62"/>
      <c r="O8" s="62"/>
      <c r="P8" s="62"/>
      <c r="Q8" s="62"/>
    </row>
    <row r="9" spans="1:17" ht="101.25" hidden="1" customHeight="1" thickTop="1" thickBot="1" x14ac:dyDescent="0.25">
      <c r="B9" s="172" t="s">
        <v>654</v>
      </c>
      <c r="C9" s="8" t="s">
        <v>724</v>
      </c>
      <c r="D9" s="8" t="s">
        <v>724</v>
      </c>
      <c r="E9" s="8" t="s">
        <v>724</v>
      </c>
      <c r="H9" s="24">
        <f t="shared" si="0"/>
        <v>7</v>
      </c>
      <c r="I9" s="24">
        <f t="shared" si="1"/>
        <v>7</v>
      </c>
    </row>
    <row r="10" spans="1:17" ht="24" customHeight="1" thickTop="1" thickBot="1" x14ac:dyDescent="0.25">
      <c r="B10" s="172" t="s">
        <v>561</v>
      </c>
      <c r="C10" s="9" t="s">
        <v>91</v>
      </c>
      <c r="D10" s="9" t="s">
        <v>91</v>
      </c>
      <c r="E10" s="9" t="s">
        <v>91</v>
      </c>
      <c r="H10" s="24">
        <f t="shared" si="0"/>
        <v>8</v>
      </c>
      <c r="I10" s="24">
        <f t="shared" si="1"/>
        <v>8</v>
      </c>
    </row>
    <row r="11" spans="1:17" ht="28.5" customHeight="1" thickTop="1" thickBot="1" x14ac:dyDescent="0.25">
      <c r="B11" s="173" t="s">
        <v>656</v>
      </c>
      <c r="C11" s="9" t="s">
        <v>725</v>
      </c>
      <c r="D11" s="10" t="s">
        <v>726</v>
      </c>
      <c r="E11" s="10" t="s">
        <v>727</v>
      </c>
      <c r="H11" s="24">
        <f t="shared" si="0"/>
        <v>9</v>
      </c>
      <c r="I11" s="24">
        <f t="shared" si="1"/>
        <v>9</v>
      </c>
    </row>
    <row r="12" spans="1:17" ht="45.75" customHeight="1" thickTop="1" thickBot="1" x14ac:dyDescent="0.25">
      <c r="B12" s="173" t="s">
        <v>657</v>
      </c>
      <c r="C12" s="9" t="s">
        <v>725</v>
      </c>
      <c r="D12" s="10" t="s">
        <v>726</v>
      </c>
      <c r="E12" s="10" t="s">
        <v>727</v>
      </c>
      <c r="H12" s="24">
        <f t="shared" si="0"/>
        <v>10</v>
      </c>
      <c r="I12" s="24">
        <f t="shared" si="1"/>
        <v>10</v>
      </c>
    </row>
    <row r="13" spans="1:17" ht="41.25" customHeight="1" thickTop="1" thickBot="1" x14ac:dyDescent="0.25">
      <c r="B13" s="173" t="s">
        <v>729</v>
      </c>
      <c r="C13" s="19" t="s">
        <v>730</v>
      </c>
      <c r="D13" s="19" t="s">
        <v>731</v>
      </c>
      <c r="E13" s="19" t="s">
        <v>732</v>
      </c>
      <c r="H13" s="24">
        <f t="shared" si="0"/>
        <v>11</v>
      </c>
      <c r="I13" s="24">
        <f t="shared" si="1"/>
        <v>11</v>
      </c>
    </row>
    <row r="14" spans="1:17" ht="30" customHeight="1" thickTop="1" thickBot="1" x14ac:dyDescent="0.25">
      <c r="B14" s="173" t="s">
        <v>659</v>
      </c>
      <c r="C14" s="9" t="s">
        <v>91</v>
      </c>
      <c r="D14" s="10" t="s">
        <v>91</v>
      </c>
      <c r="E14" s="10" t="s">
        <v>91</v>
      </c>
      <c r="H14" s="24">
        <f t="shared" si="0"/>
        <v>12</v>
      </c>
      <c r="I14" s="24">
        <f t="shared" si="1"/>
        <v>12</v>
      </c>
    </row>
    <row r="15" spans="1:17" ht="43.5" customHeight="1" thickTop="1" thickBot="1" x14ac:dyDescent="0.25">
      <c r="B15" s="511" t="s">
        <v>660</v>
      </c>
      <c r="C15" s="609" t="s">
        <v>809</v>
      </c>
      <c r="D15" s="609" t="s">
        <v>809</v>
      </c>
      <c r="E15" s="56" t="s">
        <v>810</v>
      </c>
      <c r="H15" s="24">
        <f t="shared" si="0"/>
        <v>13</v>
      </c>
      <c r="I15" s="24">
        <f t="shared" si="1"/>
        <v>13</v>
      </c>
    </row>
    <row r="16" spans="1:17" ht="44.25" customHeight="1" thickTop="1" thickBot="1" x14ac:dyDescent="0.25">
      <c r="B16" s="174" t="s">
        <v>735</v>
      </c>
      <c r="C16" s="303" t="s">
        <v>736</v>
      </c>
      <c r="D16" s="303" t="s">
        <v>737</v>
      </c>
      <c r="E16" s="303" t="s">
        <v>738</v>
      </c>
      <c r="H16" s="24">
        <f t="shared" si="0"/>
        <v>14</v>
      </c>
      <c r="I16" s="24">
        <f t="shared" si="1"/>
        <v>14</v>
      </c>
    </row>
    <row r="17" spans="2:9" ht="67.5" customHeight="1" thickTop="1" thickBot="1" x14ac:dyDescent="0.25">
      <c r="B17" s="174" t="s">
        <v>661</v>
      </c>
      <c r="C17" s="303" t="s">
        <v>740</v>
      </c>
      <c r="D17" s="303" t="s">
        <v>740</v>
      </c>
      <c r="E17" s="303" t="s">
        <v>740</v>
      </c>
      <c r="H17" s="24">
        <f t="shared" si="0"/>
        <v>15</v>
      </c>
      <c r="I17" s="24">
        <f t="shared" si="1"/>
        <v>15</v>
      </c>
    </row>
    <row r="18" spans="2:9" ht="59.25" customHeight="1" thickTop="1" thickBot="1" x14ac:dyDescent="0.25">
      <c r="B18" s="173" t="s">
        <v>662</v>
      </c>
      <c r="C18" s="303" t="s">
        <v>811</v>
      </c>
      <c r="D18" s="303" t="s">
        <v>811</v>
      </c>
      <c r="E18" s="303" t="s">
        <v>811</v>
      </c>
      <c r="H18" s="24">
        <f t="shared" si="0"/>
        <v>16</v>
      </c>
      <c r="I18" s="24">
        <f t="shared" si="1"/>
        <v>16</v>
      </c>
    </row>
    <row r="19" spans="2:9" ht="47.25" customHeight="1" thickTop="1" thickBot="1" x14ac:dyDescent="0.25">
      <c r="B19" s="175" t="s">
        <v>663</v>
      </c>
      <c r="C19" s="57" t="s">
        <v>812</v>
      </c>
      <c r="D19" s="57" t="s">
        <v>812</v>
      </c>
      <c r="E19" s="57" t="s">
        <v>812</v>
      </c>
      <c r="H19" s="24">
        <f t="shared" si="0"/>
        <v>17</v>
      </c>
      <c r="I19" s="24">
        <f t="shared" si="1"/>
        <v>17</v>
      </c>
    </row>
    <row r="20" spans="2:9" ht="15" thickTop="1" x14ac:dyDescent="0.2">
      <c r="B20" s="175" t="s">
        <v>664</v>
      </c>
      <c r="C20" s="11"/>
      <c r="D20" s="12"/>
      <c r="E20" s="12"/>
      <c r="H20" s="24">
        <f t="shared" si="0"/>
        <v>18</v>
      </c>
      <c r="I20" s="24">
        <f t="shared" si="1"/>
        <v>18</v>
      </c>
    </row>
    <row r="21" spans="2:9" x14ac:dyDescent="0.2">
      <c r="B21" s="176" t="s">
        <v>665</v>
      </c>
      <c r="C21" s="13" t="s">
        <v>744</v>
      </c>
      <c r="D21" s="13" t="s">
        <v>744</v>
      </c>
      <c r="E21" s="13" t="s">
        <v>744</v>
      </c>
      <c r="H21" s="24">
        <f t="shared" si="0"/>
        <v>19</v>
      </c>
      <c r="I21" s="24">
        <f t="shared" si="1"/>
        <v>19</v>
      </c>
    </row>
    <row r="22" spans="2:9" ht="38.25" x14ac:dyDescent="0.2">
      <c r="B22" s="177" t="s">
        <v>666</v>
      </c>
      <c r="C22" s="282" t="s">
        <v>745</v>
      </c>
      <c r="D22" s="282" t="s">
        <v>745</v>
      </c>
      <c r="E22" s="282" t="s">
        <v>745</v>
      </c>
      <c r="H22" s="24">
        <f t="shared" si="0"/>
        <v>20</v>
      </c>
      <c r="I22" s="24">
        <f t="shared" si="1"/>
        <v>20</v>
      </c>
    </row>
    <row r="23" spans="2:9" ht="38.25" hidden="1" x14ac:dyDescent="0.2">
      <c r="B23" s="177" t="s">
        <v>667</v>
      </c>
      <c r="C23" s="282" t="s">
        <v>745</v>
      </c>
      <c r="D23" s="282" t="s">
        <v>745</v>
      </c>
      <c r="E23" s="282" t="s">
        <v>745</v>
      </c>
      <c r="H23" s="24">
        <f t="shared" si="0"/>
        <v>21</v>
      </c>
      <c r="I23" s="24">
        <f t="shared" si="1"/>
        <v>21</v>
      </c>
    </row>
    <row r="24" spans="2:9" x14ac:dyDescent="0.2">
      <c r="B24" s="178" t="s">
        <v>668</v>
      </c>
      <c r="C24" s="13"/>
      <c r="D24" s="14"/>
      <c r="E24" s="14"/>
      <c r="H24" s="24">
        <f t="shared" si="0"/>
        <v>22</v>
      </c>
      <c r="I24" s="24">
        <f t="shared" si="1"/>
        <v>22</v>
      </c>
    </row>
    <row r="25" spans="2:9" x14ac:dyDescent="0.2">
      <c r="B25" s="176" t="s">
        <v>669</v>
      </c>
      <c r="C25" s="260" t="s">
        <v>744</v>
      </c>
      <c r="D25" s="260" t="s">
        <v>744</v>
      </c>
      <c r="E25" s="260" t="s">
        <v>744</v>
      </c>
      <c r="H25" s="24">
        <f t="shared" si="0"/>
        <v>23</v>
      </c>
      <c r="I25" s="24">
        <f t="shared" si="1"/>
        <v>23</v>
      </c>
    </row>
    <row r="26" spans="2:9" ht="38.25" x14ac:dyDescent="0.2">
      <c r="B26" s="177" t="s">
        <v>670</v>
      </c>
      <c r="C26" s="282" t="s">
        <v>745</v>
      </c>
      <c r="D26" s="282" t="s">
        <v>745</v>
      </c>
      <c r="E26" s="282" t="s">
        <v>745</v>
      </c>
      <c r="H26" s="24">
        <f t="shared" si="0"/>
        <v>24</v>
      </c>
      <c r="I26" s="24">
        <f t="shared" si="1"/>
        <v>24</v>
      </c>
    </row>
    <row r="27" spans="2:9" ht="50.25" customHeight="1" x14ac:dyDescent="0.2">
      <c r="B27" s="295" t="s">
        <v>813</v>
      </c>
      <c r="C27" s="13"/>
      <c r="D27" s="14"/>
      <c r="E27" s="15"/>
      <c r="H27" s="24">
        <f t="shared" si="0"/>
        <v>25</v>
      </c>
      <c r="I27" s="24">
        <f t="shared" si="1"/>
        <v>25</v>
      </c>
    </row>
    <row r="28" spans="2:9" ht="64.5" customHeight="1" thickBot="1" x14ac:dyDescent="0.25">
      <c r="B28" s="179" t="s">
        <v>747</v>
      </c>
      <c r="C28" s="2" t="s">
        <v>748</v>
      </c>
      <c r="D28" s="2" t="s">
        <v>748</v>
      </c>
      <c r="E28" s="2" t="s">
        <v>748</v>
      </c>
      <c r="H28" s="24">
        <f t="shared" si="0"/>
        <v>26</v>
      </c>
      <c r="I28" s="24">
        <f t="shared" si="1"/>
        <v>26</v>
      </c>
    </row>
    <row r="29" spans="2:9" ht="51" customHeight="1" thickTop="1" thickBot="1" x14ac:dyDescent="0.25">
      <c r="B29" s="173" t="s">
        <v>673</v>
      </c>
      <c r="C29" s="3" t="s">
        <v>749</v>
      </c>
      <c r="D29" s="3" t="s">
        <v>751</v>
      </c>
      <c r="E29" s="3" t="s">
        <v>752</v>
      </c>
      <c r="H29" s="24">
        <f t="shared" si="0"/>
        <v>27</v>
      </c>
      <c r="I29" s="24">
        <f t="shared" si="1"/>
        <v>27</v>
      </c>
    </row>
    <row r="30" spans="2:9" ht="41.25" customHeight="1" thickTop="1" thickBot="1" x14ac:dyDescent="0.25">
      <c r="B30" s="172" t="s">
        <v>700</v>
      </c>
      <c r="C30" s="4" t="s">
        <v>753</v>
      </c>
      <c r="D30" s="4" t="s">
        <v>753</v>
      </c>
      <c r="E30" s="4" t="s">
        <v>753</v>
      </c>
      <c r="H30" s="24">
        <f t="shared" si="0"/>
        <v>28</v>
      </c>
      <c r="I30" s="24">
        <f t="shared" si="1"/>
        <v>28</v>
      </c>
    </row>
    <row r="31" spans="2:9" ht="69.75" customHeight="1" thickTop="1" thickBot="1" x14ac:dyDescent="0.25">
      <c r="B31" s="173" t="s">
        <v>755</v>
      </c>
      <c r="C31" s="87" t="s">
        <v>91</v>
      </c>
      <c r="D31" s="87" t="s">
        <v>91</v>
      </c>
      <c r="E31" s="87" t="s">
        <v>91</v>
      </c>
      <c r="H31" s="24">
        <f t="shared" si="0"/>
        <v>29</v>
      </c>
      <c r="I31" s="24">
        <f t="shared" si="1"/>
        <v>29</v>
      </c>
    </row>
    <row r="32" spans="2:9" ht="156.75" customHeight="1" thickTop="1" thickBot="1" x14ac:dyDescent="0.25">
      <c r="B32" s="173" t="s">
        <v>814</v>
      </c>
      <c r="C32" s="87" t="s">
        <v>91</v>
      </c>
      <c r="D32" s="87" t="s">
        <v>91</v>
      </c>
      <c r="E32" s="87" t="s">
        <v>91</v>
      </c>
      <c r="H32" s="24">
        <f t="shared" si="0"/>
        <v>30</v>
      </c>
      <c r="I32" s="24">
        <f t="shared" si="1"/>
        <v>30</v>
      </c>
    </row>
    <row r="33" spans="2:9" ht="30.75" thickTop="1" thickBot="1" x14ac:dyDescent="0.25">
      <c r="B33" s="510" t="s">
        <v>815</v>
      </c>
      <c r="C33" s="19" t="s">
        <v>816</v>
      </c>
      <c r="D33" s="19" t="s">
        <v>816</v>
      </c>
      <c r="E33" s="19" t="s">
        <v>817</v>
      </c>
      <c r="H33" s="24">
        <f>H32+1</f>
        <v>31</v>
      </c>
      <c r="I33" s="24">
        <f>I32+1</f>
        <v>31</v>
      </c>
    </row>
    <row r="34" spans="2:9" ht="142.5" customHeight="1" thickTop="1" thickBot="1" x14ac:dyDescent="0.25">
      <c r="B34" s="173" t="s">
        <v>680</v>
      </c>
      <c r="C34" s="7" t="s">
        <v>91</v>
      </c>
      <c r="D34" s="7" t="s">
        <v>91</v>
      </c>
      <c r="E34" s="7" t="s">
        <v>91</v>
      </c>
      <c r="H34" s="24">
        <f t="shared" ref="H34:H43" si="2">H33+1</f>
        <v>32</v>
      </c>
      <c r="I34" s="24">
        <f t="shared" ref="I34:I43" si="3">I33+1</f>
        <v>32</v>
      </c>
    </row>
    <row r="35" spans="2:9" ht="84.75" customHeight="1" thickTop="1" x14ac:dyDescent="0.2">
      <c r="B35" s="899" t="s">
        <v>818</v>
      </c>
      <c r="C35" s="901" t="s">
        <v>819</v>
      </c>
      <c r="D35" s="902"/>
      <c r="E35" s="903"/>
      <c r="H35" s="24">
        <f t="shared" si="2"/>
        <v>33</v>
      </c>
      <c r="I35" s="24">
        <f t="shared" si="3"/>
        <v>33</v>
      </c>
    </row>
    <row r="36" spans="2:9" ht="42" customHeight="1" thickBot="1" x14ac:dyDescent="0.25">
      <c r="B36" s="900"/>
      <c r="C36" s="894" t="s">
        <v>820</v>
      </c>
      <c r="D36" s="895"/>
      <c r="E36" s="896"/>
      <c r="H36" s="24">
        <f t="shared" si="2"/>
        <v>34</v>
      </c>
      <c r="I36" s="24">
        <f t="shared" si="3"/>
        <v>34</v>
      </c>
    </row>
    <row r="37" spans="2:9" ht="24" customHeight="1" thickTop="1" thickBot="1" x14ac:dyDescent="0.25">
      <c r="B37" s="173" t="s">
        <v>702</v>
      </c>
      <c r="C37" s="87" t="s">
        <v>91</v>
      </c>
      <c r="D37" s="87" t="s">
        <v>91</v>
      </c>
      <c r="E37" s="87" t="s">
        <v>91</v>
      </c>
      <c r="H37" s="24">
        <f t="shared" si="2"/>
        <v>35</v>
      </c>
      <c r="I37" s="24">
        <f t="shared" si="3"/>
        <v>35</v>
      </c>
    </row>
    <row r="38" spans="2:9" ht="36" customHeight="1" thickTop="1" thickBot="1" x14ac:dyDescent="0.25">
      <c r="B38" s="173" t="s">
        <v>687</v>
      </c>
      <c r="C38" s="19" t="s">
        <v>817</v>
      </c>
      <c r="D38" s="19" t="s">
        <v>821</v>
      </c>
      <c r="E38" s="19" t="s">
        <v>730</v>
      </c>
      <c r="H38" s="24">
        <f t="shared" si="2"/>
        <v>36</v>
      </c>
      <c r="I38" s="24">
        <f t="shared" si="3"/>
        <v>36</v>
      </c>
    </row>
    <row r="39" spans="2:9" ht="55.5" customHeight="1" thickTop="1" thickBot="1" x14ac:dyDescent="0.25">
      <c r="B39" s="511" t="s">
        <v>688</v>
      </c>
      <c r="C39" s="897" t="s">
        <v>776</v>
      </c>
      <c r="D39" s="881"/>
      <c r="E39" s="898"/>
      <c r="H39" s="24">
        <f t="shared" si="2"/>
        <v>37</v>
      </c>
      <c r="I39" s="24">
        <f t="shared" si="3"/>
        <v>37</v>
      </c>
    </row>
    <row r="40" spans="2:9" ht="55.5" customHeight="1" thickTop="1" thickBot="1" x14ac:dyDescent="0.25">
      <c r="B40" s="511" t="s">
        <v>689</v>
      </c>
      <c r="C40" s="897" t="s">
        <v>777</v>
      </c>
      <c r="D40" s="881"/>
      <c r="E40" s="898"/>
      <c r="H40" s="24">
        <f t="shared" si="2"/>
        <v>38</v>
      </c>
      <c r="I40" s="24">
        <f t="shared" si="3"/>
        <v>38</v>
      </c>
    </row>
    <row r="41" spans="2:9" ht="78.75" customHeight="1" thickTop="1" thickBot="1" x14ac:dyDescent="0.25">
      <c r="B41" s="511" t="s">
        <v>822</v>
      </c>
      <c r="C41" s="611" t="s">
        <v>823</v>
      </c>
      <c r="D41" s="611" t="s">
        <v>824</v>
      </c>
      <c r="E41" s="611" t="s">
        <v>825</v>
      </c>
      <c r="H41" s="24">
        <f t="shared" si="2"/>
        <v>39</v>
      </c>
      <c r="I41" s="24">
        <f t="shared" si="3"/>
        <v>39</v>
      </c>
    </row>
    <row r="42" spans="2:9" ht="132.75" customHeight="1" thickTop="1" thickBot="1" x14ac:dyDescent="0.25">
      <c r="B42" s="511" t="s">
        <v>826</v>
      </c>
      <c r="C42" s="18" t="s">
        <v>787</v>
      </c>
      <c r="D42" s="18" t="s">
        <v>788</v>
      </c>
      <c r="E42" s="18" t="s">
        <v>827</v>
      </c>
      <c r="H42" s="24">
        <f t="shared" si="2"/>
        <v>40</v>
      </c>
      <c r="I42" s="24">
        <f t="shared" si="3"/>
        <v>40</v>
      </c>
    </row>
    <row r="43" spans="2:9" ht="158.25" thickTop="1" thickBot="1" x14ac:dyDescent="0.25">
      <c r="B43" s="739" t="s">
        <v>790</v>
      </c>
      <c r="C43" s="18" t="s">
        <v>793</v>
      </c>
      <c r="D43" s="18" t="s">
        <v>828</v>
      </c>
      <c r="E43" s="18" t="s">
        <v>829</v>
      </c>
      <c r="H43" s="24">
        <f t="shared" si="2"/>
        <v>41</v>
      </c>
      <c r="I43" s="24">
        <f t="shared" si="3"/>
        <v>41</v>
      </c>
    </row>
    <row r="44" spans="2:9" s="24" customFormat="1" ht="111" customHeight="1" thickTop="1" thickBot="1" x14ac:dyDescent="0.25">
      <c r="B44" s="172" t="s">
        <v>654</v>
      </c>
      <c r="C44" s="8" t="s">
        <v>724</v>
      </c>
      <c r="D44" s="8" t="s">
        <v>724</v>
      </c>
      <c r="E44" s="8" t="s">
        <v>724</v>
      </c>
      <c r="I44" s="344"/>
    </row>
    <row r="45" spans="2:9" s="24" customFormat="1" ht="78" customHeight="1" thickTop="1" thickBot="1" x14ac:dyDescent="0.25">
      <c r="B45" s="173" t="s">
        <v>695</v>
      </c>
      <c r="C45" s="897" t="s">
        <v>830</v>
      </c>
      <c r="D45" s="881"/>
      <c r="E45" s="898"/>
      <c r="I45" s="344"/>
    </row>
    <row r="46" spans="2:9" s="24" customFormat="1" ht="133.5" customHeight="1" thickTop="1" thickBot="1" x14ac:dyDescent="0.25">
      <c r="B46" s="173" t="s">
        <v>696</v>
      </c>
      <c r="C46" s="890" t="s">
        <v>796</v>
      </c>
      <c r="D46" s="891"/>
      <c r="E46" s="892"/>
      <c r="I46" s="344"/>
    </row>
    <row r="47" spans="2:9" s="24" customFormat="1" ht="301.5" customHeight="1" thickTop="1" thickBot="1" x14ac:dyDescent="0.25">
      <c r="B47" s="760" t="str">
        <f>IF(Protection!H26="Yes",Protection!Q31,Protection!Q29)</f>
        <v xml:space="preserve">Cash benefit in case of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47" s="887" t="str">
        <f>IF(Protection!H26="Yes",Protection!R31,Protection!R29)</f>
        <v>The following cash benefit (as per the member's Medical Out-Patient Network) shall be payable to a member's declared beneficiary in the event of death: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47" s="888"/>
      <c r="E47" s="889"/>
      <c r="I47" s="344"/>
    </row>
    <row r="48" spans="2:9" s="24" customFormat="1" ht="147" customHeight="1" thickTop="1" thickBot="1" x14ac:dyDescent="0.25">
      <c r="B48" s="173" t="s">
        <v>181</v>
      </c>
      <c r="C48" s="890" t="s">
        <v>831</v>
      </c>
      <c r="D48" s="891"/>
      <c r="E48" s="892"/>
      <c r="I48" s="344"/>
    </row>
    <row r="49" spans="2:9" s="24" customFormat="1" x14ac:dyDescent="0.2">
      <c r="B49" s="893" t="s">
        <v>708</v>
      </c>
      <c r="C49" s="893"/>
      <c r="D49" s="893"/>
      <c r="E49" s="893"/>
      <c r="I49" s="344"/>
    </row>
    <row r="50" spans="2:9" s="24" customFormat="1" x14ac:dyDescent="0.2">
      <c r="B50" s="893"/>
      <c r="C50" s="893"/>
      <c r="D50" s="893"/>
      <c r="E50" s="893"/>
      <c r="I50" s="344"/>
    </row>
    <row r="51" spans="2:9" s="24" customFormat="1" x14ac:dyDescent="0.2">
      <c r="I51" s="344"/>
    </row>
    <row r="52" spans="2:9" s="24" customFormat="1" x14ac:dyDescent="0.2">
      <c r="I52" s="344"/>
    </row>
    <row r="53" spans="2:9" s="24" customFormat="1" x14ac:dyDescent="0.2">
      <c r="I53" s="344"/>
    </row>
    <row r="54" spans="2:9" s="24" customFormat="1" x14ac:dyDescent="0.2">
      <c r="I54" s="344"/>
    </row>
    <row r="55" spans="2:9" s="24" customFormat="1" x14ac:dyDescent="0.2">
      <c r="I55" s="344"/>
    </row>
    <row r="56" spans="2:9" s="24" customFormat="1" x14ac:dyDescent="0.2">
      <c r="I56" s="344"/>
    </row>
    <row r="57" spans="2:9" s="24" customFormat="1" x14ac:dyDescent="0.2">
      <c r="I57" s="344"/>
    </row>
    <row r="58" spans="2:9" s="24" customFormat="1" x14ac:dyDescent="0.2">
      <c r="I58" s="344"/>
    </row>
    <row r="59" spans="2:9" s="24" customFormat="1" x14ac:dyDescent="0.2">
      <c r="I59" s="344"/>
    </row>
    <row r="60" spans="2:9" s="24" customFormat="1" x14ac:dyDescent="0.2">
      <c r="I60" s="344"/>
    </row>
    <row r="61" spans="2:9" s="24" customFormat="1" x14ac:dyDescent="0.2">
      <c r="I61" s="344"/>
    </row>
    <row r="62" spans="2:9" s="24" customFormat="1" x14ac:dyDescent="0.2">
      <c r="I62" s="344"/>
    </row>
    <row r="63" spans="2:9" s="24" customFormat="1" x14ac:dyDescent="0.2">
      <c r="I63" s="344"/>
    </row>
    <row r="64" spans="2:9" s="24" customFormat="1" x14ac:dyDescent="0.2">
      <c r="I64" s="344"/>
    </row>
    <row r="65" spans="9:9" s="24" customFormat="1" x14ac:dyDescent="0.2">
      <c r="I65" s="344"/>
    </row>
    <row r="66" spans="9:9" s="24" customFormat="1" x14ac:dyDescent="0.2">
      <c r="I66" s="344"/>
    </row>
    <row r="67" spans="9:9" s="24" customFormat="1" x14ac:dyDescent="0.2">
      <c r="I67" s="344"/>
    </row>
    <row r="68" spans="9:9" s="24" customFormat="1" x14ac:dyDescent="0.2">
      <c r="I68" s="344"/>
    </row>
    <row r="69" spans="9:9" s="24" customFormat="1" x14ac:dyDescent="0.2">
      <c r="I69" s="344"/>
    </row>
    <row r="70" spans="9:9" s="24" customFormat="1" x14ac:dyDescent="0.2">
      <c r="I70" s="344"/>
    </row>
    <row r="71" spans="9:9" s="24" customFormat="1" x14ac:dyDescent="0.2">
      <c r="I71" s="344"/>
    </row>
    <row r="72" spans="9:9" s="24" customFormat="1" x14ac:dyDescent="0.2">
      <c r="I72" s="344"/>
    </row>
    <row r="73" spans="9:9" s="24" customFormat="1" x14ac:dyDescent="0.2">
      <c r="I73" s="344"/>
    </row>
    <row r="74" spans="9:9" s="24" customFormat="1" x14ac:dyDescent="0.2">
      <c r="I74" s="344"/>
    </row>
    <row r="75" spans="9:9" s="24" customFormat="1" x14ac:dyDescent="0.2">
      <c r="I75" s="344"/>
    </row>
    <row r="76" spans="9:9" s="24" customFormat="1" x14ac:dyDescent="0.2">
      <c r="I76" s="344"/>
    </row>
    <row r="77" spans="9:9" s="24" customFormat="1" x14ac:dyDescent="0.2">
      <c r="I77" s="344"/>
    </row>
    <row r="78" spans="9:9" s="24" customFormat="1" x14ac:dyDescent="0.2">
      <c r="I78" s="344"/>
    </row>
    <row r="79" spans="9:9" s="24" customFormat="1" x14ac:dyDescent="0.2">
      <c r="I79" s="344"/>
    </row>
    <row r="80" spans="9:9" s="24" customFormat="1" x14ac:dyDescent="0.2">
      <c r="I80" s="344"/>
    </row>
    <row r="81" spans="9:9" s="24" customFormat="1" x14ac:dyDescent="0.2">
      <c r="I81" s="344"/>
    </row>
    <row r="82" spans="9:9" s="24" customFormat="1" x14ac:dyDescent="0.2">
      <c r="I82" s="344"/>
    </row>
    <row r="83" spans="9:9" s="24" customFormat="1" x14ac:dyDescent="0.2">
      <c r="I83" s="344"/>
    </row>
    <row r="84" spans="9:9" s="24" customFormat="1" x14ac:dyDescent="0.2">
      <c r="I84" s="344"/>
    </row>
    <row r="85" spans="9:9" s="24" customFormat="1" x14ac:dyDescent="0.2">
      <c r="I85" s="344"/>
    </row>
    <row r="86" spans="9:9" s="24" customFormat="1" x14ac:dyDescent="0.2">
      <c r="I86" s="344"/>
    </row>
    <row r="87" spans="9:9" s="24" customFormat="1" x14ac:dyDescent="0.2">
      <c r="I87" s="344"/>
    </row>
    <row r="88" spans="9:9" s="24" customFormat="1" x14ac:dyDescent="0.2">
      <c r="I88" s="344"/>
    </row>
    <row r="89" spans="9:9" s="24" customFormat="1" x14ac:dyDescent="0.2">
      <c r="I89" s="344"/>
    </row>
    <row r="90" spans="9:9" s="24" customFormat="1" x14ac:dyDescent="0.2">
      <c r="I90" s="344"/>
    </row>
    <row r="91" spans="9:9" s="24" customFormat="1" x14ac:dyDescent="0.2">
      <c r="I91" s="344"/>
    </row>
    <row r="92" spans="9:9" s="24" customFormat="1" x14ac:dyDescent="0.2">
      <c r="I92" s="344"/>
    </row>
    <row r="93" spans="9:9" s="24" customFormat="1" x14ac:dyDescent="0.2">
      <c r="I93" s="344"/>
    </row>
    <row r="94" spans="9:9" s="24" customFormat="1" x14ac:dyDescent="0.2">
      <c r="I94" s="344"/>
    </row>
    <row r="95" spans="9:9" s="24" customFormat="1" x14ac:dyDescent="0.2">
      <c r="I95" s="344"/>
    </row>
    <row r="96" spans="9:9" s="24" customFormat="1" x14ac:dyDescent="0.2">
      <c r="I96" s="344"/>
    </row>
    <row r="97" spans="9:9" s="24" customFormat="1" x14ac:dyDescent="0.2">
      <c r="I97" s="344"/>
    </row>
    <row r="98" spans="9:9" s="24" customFormat="1" x14ac:dyDescent="0.2">
      <c r="I98" s="344"/>
    </row>
    <row r="99" spans="9:9" s="24" customFormat="1" x14ac:dyDescent="0.2">
      <c r="I99" s="344"/>
    </row>
    <row r="100" spans="9:9" s="24" customFormat="1" x14ac:dyDescent="0.2">
      <c r="I100" s="344"/>
    </row>
    <row r="101" spans="9:9" s="24" customFormat="1" x14ac:dyDescent="0.2">
      <c r="I101" s="344"/>
    </row>
    <row r="102" spans="9:9" s="24" customFormat="1" x14ac:dyDescent="0.2">
      <c r="I102" s="344"/>
    </row>
    <row r="103" spans="9:9" s="24" customFormat="1" x14ac:dyDescent="0.2">
      <c r="I103" s="344"/>
    </row>
    <row r="104" spans="9:9" s="24" customFormat="1" x14ac:dyDescent="0.2">
      <c r="I104" s="344"/>
    </row>
    <row r="105" spans="9:9" s="24" customFormat="1" x14ac:dyDescent="0.2">
      <c r="I105" s="344"/>
    </row>
    <row r="106" spans="9:9" s="24" customFormat="1" x14ac:dyDescent="0.2">
      <c r="I106" s="344"/>
    </row>
    <row r="107" spans="9:9" s="24" customFormat="1" x14ac:dyDescent="0.2">
      <c r="I107" s="344"/>
    </row>
    <row r="108" spans="9:9" s="24" customFormat="1" x14ac:dyDescent="0.2">
      <c r="I108" s="344"/>
    </row>
    <row r="109" spans="9:9" s="24" customFormat="1" x14ac:dyDescent="0.2">
      <c r="I109" s="344"/>
    </row>
    <row r="110" spans="9:9" s="24" customFormat="1" x14ac:dyDescent="0.2">
      <c r="I110" s="344"/>
    </row>
    <row r="111" spans="9:9" s="24" customFormat="1" x14ac:dyDescent="0.2">
      <c r="I111" s="344"/>
    </row>
    <row r="112" spans="9:9" s="24" customFormat="1" x14ac:dyDescent="0.2">
      <c r="I112" s="344"/>
    </row>
    <row r="113" spans="9:9" s="24" customFormat="1" x14ac:dyDescent="0.2">
      <c r="I113" s="344"/>
    </row>
    <row r="114" spans="9:9" s="24" customFormat="1" x14ac:dyDescent="0.2">
      <c r="I114" s="344"/>
    </row>
    <row r="115" spans="9:9" s="24" customFormat="1" x14ac:dyDescent="0.2">
      <c r="I115" s="344"/>
    </row>
    <row r="116" spans="9:9" s="24" customFormat="1" x14ac:dyDescent="0.2">
      <c r="I116" s="344"/>
    </row>
    <row r="117" spans="9:9" s="24" customFormat="1" x14ac:dyDescent="0.2">
      <c r="I117" s="344"/>
    </row>
    <row r="118" spans="9:9" s="24" customFormat="1" x14ac:dyDescent="0.2">
      <c r="I118" s="344"/>
    </row>
    <row r="119" spans="9:9" s="24" customFormat="1" x14ac:dyDescent="0.2">
      <c r="I119" s="344"/>
    </row>
    <row r="120" spans="9:9" s="24" customFormat="1" x14ac:dyDescent="0.2">
      <c r="I120" s="344"/>
    </row>
    <row r="121" spans="9:9" s="24" customFormat="1" x14ac:dyDescent="0.2">
      <c r="I121" s="344"/>
    </row>
    <row r="122" spans="9:9" s="24" customFormat="1" x14ac:dyDescent="0.2">
      <c r="I122" s="344"/>
    </row>
    <row r="123" spans="9:9" s="24" customFormat="1" x14ac:dyDescent="0.2">
      <c r="I123" s="344"/>
    </row>
    <row r="124" spans="9:9" s="24" customFormat="1" x14ac:dyDescent="0.2">
      <c r="I124" s="344"/>
    </row>
    <row r="125" spans="9:9" s="24" customFormat="1" x14ac:dyDescent="0.2">
      <c r="I125" s="344"/>
    </row>
    <row r="126" spans="9:9" s="24" customFormat="1" x14ac:dyDescent="0.2">
      <c r="I126" s="344"/>
    </row>
    <row r="127" spans="9:9" s="24" customFormat="1" x14ac:dyDescent="0.2">
      <c r="I127" s="344"/>
    </row>
    <row r="128" spans="9:9" s="24" customFormat="1" x14ac:dyDescent="0.2">
      <c r="I128" s="344"/>
    </row>
    <row r="129" spans="9:9" s="24" customFormat="1" x14ac:dyDescent="0.2">
      <c r="I129" s="344"/>
    </row>
    <row r="130" spans="9:9" s="24" customFormat="1" x14ac:dyDescent="0.2">
      <c r="I130" s="344"/>
    </row>
    <row r="131" spans="9:9" s="24" customFormat="1" x14ac:dyDescent="0.2">
      <c r="I131" s="344"/>
    </row>
    <row r="132" spans="9:9" s="24" customFormat="1" x14ac:dyDescent="0.2">
      <c r="I132" s="344"/>
    </row>
    <row r="133" spans="9:9" s="24" customFormat="1" x14ac:dyDescent="0.2">
      <c r="I133" s="344"/>
    </row>
    <row r="134" spans="9:9" s="24" customFormat="1" x14ac:dyDescent="0.2">
      <c r="I134" s="344"/>
    </row>
    <row r="135" spans="9:9" s="24" customFormat="1" x14ac:dyDescent="0.2">
      <c r="I135" s="344"/>
    </row>
    <row r="136" spans="9:9" s="24" customFormat="1" x14ac:dyDescent="0.2">
      <c r="I136" s="344"/>
    </row>
    <row r="137" spans="9:9" s="24" customFormat="1" x14ac:dyDescent="0.2">
      <c r="I137" s="344"/>
    </row>
    <row r="138" spans="9:9" s="24" customFormat="1" x14ac:dyDescent="0.2">
      <c r="I138" s="344"/>
    </row>
    <row r="139" spans="9:9" s="24" customFormat="1" x14ac:dyDescent="0.2">
      <c r="I139" s="344"/>
    </row>
    <row r="140" spans="9:9" s="24" customFormat="1" x14ac:dyDescent="0.2">
      <c r="I140" s="344"/>
    </row>
    <row r="141" spans="9:9" s="24" customFormat="1" x14ac:dyDescent="0.2">
      <c r="I141" s="344"/>
    </row>
    <row r="142" spans="9:9" s="24" customFormat="1" x14ac:dyDescent="0.2">
      <c r="I142" s="344"/>
    </row>
    <row r="143" spans="9:9" s="24" customFormat="1" x14ac:dyDescent="0.2">
      <c r="I143" s="344"/>
    </row>
    <row r="144" spans="9:9" s="24" customFormat="1" x14ac:dyDescent="0.2">
      <c r="I144" s="344"/>
    </row>
    <row r="145" spans="9:9" s="24" customFormat="1" x14ac:dyDescent="0.2">
      <c r="I145" s="344"/>
    </row>
    <row r="146" spans="9:9" s="24" customFormat="1" x14ac:dyDescent="0.2">
      <c r="I146" s="344"/>
    </row>
    <row r="147" spans="9:9" s="24" customFormat="1" x14ac:dyDescent="0.2">
      <c r="I147" s="344"/>
    </row>
    <row r="148" spans="9:9" s="24" customFormat="1" x14ac:dyDescent="0.2">
      <c r="I148" s="344"/>
    </row>
    <row r="149" spans="9:9" s="24" customFormat="1" x14ac:dyDescent="0.2">
      <c r="I149" s="344"/>
    </row>
    <row r="150" spans="9:9" s="24" customFormat="1" x14ac:dyDescent="0.2">
      <c r="I150" s="344"/>
    </row>
    <row r="151" spans="9:9" s="24" customFormat="1" x14ac:dyDescent="0.2">
      <c r="I151" s="344"/>
    </row>
    <row r="152" spans="9:9" s="24" customFormat="1" x14ac:dyDescent="0.2">
      <c r="I152" s="344"/>
    </row>
    <row r="153" spans="9:9" s="24" customFormat="1" x14ac:dyDescent="0.2">
      <c r="I153" s="344"/>
    </row>
    <row r="154" spans="9:9" s="24" customFormat="1" x14ac:dyDescent="0.2">
      <c r="I154" s="344"/>
    </row>
    <row r="155" spans="9:9" s="24" customFormat="1" x14ac:dyDescent="0.2">
      <c r="I155" s="344"/>
    </row>
    <row r="156" spans="9:9" s="24" customFormat="1" x14ac:dyDescent="0.2">
      <c r="I156" s="344"/>
    </row>
    <row r="157" spans="9:9" s="24" customFormat="1" x14ac:dyDescent="0.2">
      <c r="I157" s="344"/>
    </row>
    <row r="158" spans="9:9" s="24" customFormat="1" x14ac:dyDescent="0.2">
      <c r="I158" s="344"/>
    </row>
    <row r="159" spans="9:9" s="24" customFormat="1" x14ac:dyDescent="0.2">
      <c r="I159" s="344"/>
    </row>
    <row r="160" spans="9:9" s="24" customFormat="1" x14ac:dyDescent="0.2">
      <c r="I160" s="344"/>
    </row>
    <row r="161" spans="9:9" s="24" customFormat="1" x14ac:dyDescent="0.2">
      <c r="I161" s="344"/>
    </row>
    <row r="162" spans="9:9" s="24" customFormat="1" x14ac:dyDescent="0.2">
      <c r="I162" s="344"/>
    </row>
    <row r="163" spans="9:9" s="24" customFormat="1" x14ac:dyDescent="0.2">
      <c r="I163" s="344"/>
    </row>
    <row r="164" spans="9:9" s="24" customFormat="1" x14ac:dyDescent="0.2">
      <c r="I164" s="344"/>
    </row>
    <row r="165" spans="9:9" s="24" customFormat="1" x14ac:dyDescent="0.2">
      <c r="I165" s="344"/>
    </row>
    <row r="166" spans="9:9" s="24" customFormat="1" x14ac:dyDescent="0.2">
      <c r="I166" s="344"/>
    </row>
    <row r="167" spans="9:9" s="24" customFormat="1" x14ac:dyDescent="0.2">
      <c r="I167" s="344"/>
    </row>
    <row r="168" spans="9:9" s="24" customFormat="1" x14ac:dyDescent="0.2">
      <c r="I168" s="344"/>
    </row>
    <row r="169" spans="9:9" s="24" customFormat="1" x14ac:dyDescent="0.2">
      <c r="I169" s="344"/>
    </row>
    <row r="170" spans="9:9" s="24" customFormat="1" x14ac:dyDescent="0.2">
      <c r="I170" s="344"/>
    </row>
    <row r="171" spans="9:9" s="24" customFormat="1" x14ac:dyDescent="0.2">
      <c r="I171" s="344"/>
    </row>
    <row r="172" spans="9:9" s="24" customFormat="1" x14ac:dyDescent="0.2">
      <c r="I172" s="344"/>
    </row>
    <row r="173" spans="9:9" s="24" customFormat="1" x14ac:dyDescent="0.2">
      <c r="I173" s="344"/>
    </row>
    <row r="174" spans="9:9" s="24" customFormat="1" x14ac:dyDescent="0.2">
      <c r="I174" s="344"/>
    </row>
    <row r="175" spans="9:9" s="24" customFormat="1" x14ac:dyDescent="0.2">
      <c r="I175" s="344"/>
    </row>
    <row r="176" spans="9:9" s="24" customFormat="1" x14ac:dyDescent="0.2">
      <c r="I176" s="344"/>
    </row>
    <row r="177" spans="9:9" s="24" customFormat="1" x14ac:dyDescent="0.2">
      <c r="I177" s="344"/>
    </row>
    <row r="178" spans="9:9" s="24" customFormat="1" x14ac:dyDescent="0.2">
      <c r="I178" s="344"/>
    </row>
    <row r="179" spans="9:9" s="24" customFormat="1" x14ac:dyDescent="0.2">
      <c r="I179" s="344"/>
    </row>
    <row r="180" spans="9:9" s="24" customFormat="1" x14ac:dyDescent="0.2">
      <c r="I180" s="344"/>
    </row>
    <row r="181" spans="9:9" s="24" customFormat="1" x14ac:dyDescent="0.2">
      <c r="I181" s="344"/>
    </row>
    <row r="182" spans="9:9" s="24" customFormat="1" x14ac:dyDescent="0.2">
      <c r="I182" s="344"/>
    </row>
    <row r="183" spans="9:9" s="24" customFormat="1" x14ac:dyDescent="0.2">
      <c r="I183" s="344"/>
    </row>
    <row r="184" spans="9:9" s="24" customFormat="1" x14ac:dyDescent="0.2">
      <c r="I184" s="344"/>
    </row>
    <row r="185" spans="9:9" s="24" customFormat="1" x14ac:dyDescent="0.2">
      <c r="I185" s="344"/>
    </row>
    <row r="186" spans="9:9" s="24" customFormat="1" x14ac:dyDescent="0.2">
      <c r="I186" s="344"/>
    </row>
    <row r="187" spans="9:9" s="24" customFormat="1" x14ac:dyDescent="0.2">
      <c r="I187" s="344"/>
    </row>
    <row r="188" spans="9:9" s="24" customFormat="1" x14ac:dyDescent="0.2">
      <c r="I188" s="344"/>
    </row>
    <row r="189" spans="9:9" s="24" customFormat="1" x14ac:dyDescent="0.2">
      <c r="I189" s="344"/>
    </row>
    <row r="190" spans="9:9" s="24" customFormat="1" x14ac:dyDescent="0.2">
      <c r="I190" s="344"/>
    </row>
    <row r="191" spans="9:9" s="24" customFormat="1" x14ac:dyDescent="0.2">
      <c r="I191" s="344"/>
    </row>
    <row r="192" spans="9:9" s="24" customFormat="1" x14ac:dyDescent="0.2">
      <c r="I192" s="344"/>
    </row>
    <row r="193" spans="9:9" s="24" customFormat="1" x14ac:dyDescent="0.2">
      <c r="I193" s="344"/>
    </row>
    <row r="194" spans="9:9" s="24" customFormat="1" x14ac:dyDescent="0.2">
      <c r="I194" s="344"/>
    </row>
    <row r="195" spans="9:9" s="24" customFormat="1" x14ac:dyDescent="0.2">
      <c r="I195" s="344"/>
    </row>
    <row r="196" spans="9:9" s="24" customFormat="1" x14ac:dyDescent="0.2">
      <c r="I196" s="344"/>
    </row>
    <row r="197" spans="9:9" s="24" customFormat="1" x14ac:dyDescent="0.2">
      <c r="I197" s="344"/>
    </row>
    <row r="198" spans="9:9" s="24" customFormat="1" x14ac:dyDescent="0.2">
      <c r="I198" s="344"/>
    </row>
    <row r="199" spans="9:9" s="24" customFormat="1" x14ac:dyDescent="0.2">
      <c r="I199" s="344"/>
    </row>
    <row r="200" spans="9:9" s="24" customFormat="1" x14ac:dyDescent="0.2">
      <c r="I200" s="344"/>
    </row>
    <row r="201" spans="9:9" s="24" customFormat="1" x14ac:dyDescent="0.2">
      <c r="I201" s="344"/>
    </row>
    <row r="202" spans="9:9" s="24" customFormat="1" x14ac:dyDescent="0.2">
      <c r="I202" s="344"/>
    </row>
    <row r="203" spans="9:9" s="24" customFormat="1" x14ac:dyDescent="0.2">
      <c r="I203" s="344"/>
    </row>
    <row r="204" spans="9:9" s="24" customFormat="1" x14ac:dyDescent="0.2">
      <c r="I204" s="344"/>
    </row>
    <row r="205" spans="9:9" s="24" customFormat="1" x14ac:dyDescent="0.2">
      <c r="I205" s="344"/>
    </row>
    <row r="206" spans="9:9" s="24" customFormat="1" x14ac:dyDescent="0.2">
      <c r="I206" s="344"/>
    </row>
    <row r="207" spans="9:9" s="24" customFormat="1" x14ac:dyDescent="0.2">
      <c r="I207" s="344"/>
    </row>
    <row r="208" spans="9:9" s="24" customFormat="1" x14ac:dyDescent="0.2">
      <c r="I208" s="344"/>
    </row>
    <row r="209" spans="9:9" s="24" customFormat="1" x14ac:dyDescent="0.2">
      <c r="I209" s="344"/>
    </row>
    <row r="210" spans="9:9" s="24" customFormat="1" x14ac:dyDescent="0.2">
      <c r="I210" s="344"/>
    </row>
    <row r="211" spans="9:9" s="24" customFormat="1" x14ac:dyDescent="0.2">
      <c r="I211" s="344"/>
    </row>
    <row r="212" spans="9:9" s="24" customFormat="1" x14ac:dyDescent="0.2">
      <c r="I212" s="344"/>
    </row>
    <row r="213" spans="9:9" s="24" customFormat="1" x14ac:dyDescent="0.2">
      <c r="I213" s="344"/>
    </row>
    <row r="214" spans="9:9" s="24" customFormat="1" x14ac:dyDescent="0.2">
      <c r="I214" s="344"/>
    </row>
    <row r="215" spans="9:9" s="24" customFormat="1" x14ac:dyDescent="0.2">
      <c r="I215" s="344"/>
    </row>
    <row r="216" spans="9:9" s="24" customFormat="1" x14ac:dyDescent="0.2">
      <c r="I216" s="344"/>
    </row>
    <row r="217" spans="9:9" s="24" customFormat="1" x14ac:dyDescent="0.2">
      <c r="I217" s="344"/>
    </row>
    <row r="218" spans="9:9" s="24" customFormat="1" x14ac:dyDescent="0.2">
      <c r="I218" s="344"/>
    </row>
    <row r="219" spans="9:9" s="24" customFormat="1" x14ac:dyDescent="0.2">
      <c r="I219" s="344"/>
    </row>
    <row r="220" spans="9:9" s="24" customFormat="1" x14ac:dyDescent="0.2">
      <c r="I220" s="344"/>
    </row>
    <row r="221" spans="9:9" s="24" customFormat="1" x14ac:dyDescent="0.2">
      <c r="I221" s="344"/>
    </row>
    <row r="222" spans="9:9" s="24" customFormat="1" x14ac:dyDescent="0.2">
      <c r="I222" s="344"/>
    </row>
    <row r="223" spans="9:9" s="24" customFormat="1" x14ac:dyDescent="0.2">
      <c r="I223" s="344"/>
    </row>
    <row r="224" spans="9:9" s="24" customFormat="1" x14ac:dyDescent="0.2">
      <c r="I224" s="344"/>
    </row>
    <row r="225" spans="9:9" s="24" customFormat="1" x14ac:dyDescent="0.2">
      <c r="I225" s="344"/>
    </row>
    <row r="226" spans="9:9" s="24" customFormat="1" x14ac:dyDescent="0.2">
      <c r="I226" s="344"/>
    </row>
    <row r="227" spans="9:9" s="24" customFormat="1" x14ac:dyDescent="0.2">
      <c r="I227" s="344"/>
    </row>
    <row r="228" spans="9:9" s="24" customFormat="1" x14ac:dyDescent="0.2">
      <c r="I228" s="344"/>
    </row>
    <row r="229" spans="9:9" s="24" customFormat="1" x14ac:dyDescent="0.2">
      <c r="I229" s="344"/>
    </row>
    <row r="230" spans="9:9" s="24" customFormat="1" x14ac:dyDescent="0.2">
      <c r="I230" s="344"/>
    </row>
    <row r="231" spans="9:9" s="24" customFormat="1" x14ac:dyDescent="0.2">
      <c r="I231" s="344"/>
    </row>
    <row r="232" spans="9:9" s="24" customFormat="1" x14ac:dyDescent="0.2">
      <c r="I232" s="344"/>
    </row>
    <row r="233" spans="9:9" s="24" customFormat="1" x14ac:dyDescent="0.2">
      <c r="I233" s="344"/>
    </row>
    <row r="234" spans="9:9" s="24" customFormat="1" x14ac:dyDescent="0.2">
      <c r="I234" s="344"/>
    </row>
    <row r="235" spans="9:9" s="24" customFormat="1" x14ac:dyDescent="0.2">
      <c r="I235" s="344"/>
    </row>
    <row r="236" spans="9:9" s="24" customFormat="1" x14ac:dyDescent="0.2">
      <c r="I236" s="344"/>
    </row>
    <row r="237" spans="9:9" s="24" customFormat="1" x14ac:dyDescent="0.2">
      <c r="I237" s="344"/>
    </row>
    <row r="238" spans="9:9" s="24" customFormat="1" x14ac:dyDescent="0.2">
      <c r="I238" s="344"/>
    </row>
    <row r="239" spans="9:9" s="24" customFormat="1" x14ac:dyDescent="0.2">
      <c r="I239" s="344"/>
    </row>
    <row r="240" spans="9:9" s="24" customFormat="1" x14ac:dyDescent="0.2">
      <c r="I240" s="344"/>
    </row>
    <row r="241" spans="9:9" s="24" customFormat="1" x14ac:dyDescent="0.2">
      <c r="I241" s="344"/>
    </row>
    <row r="242" spans="9:9" s="24" customFormat="1" x14ac:dyDescent="0.2">
      <c r="I242" s="344"/>
    </row>
    <row r="243" spans="9:9" s="24" customFormat="1" x14ac:dyDescent="0.2">
      <c r="I243" s="344"/>
    </row>
    <row r="244" spans="9:9" s="24" customFormat="1" x14ac:dyDescent="0.2">
      <c r="I244" s="344"/>
    </row>
    <row r="245" spans="9:9" s="24" customFormat="1" x14ac:dyDescent="0.2">
      <c r="I245" s="344"/>
    </row>
    <row r="246" spans="9:9" s="24" customFormat="1" x14ac:dyDescent="0.2">
      <c r="I246" s="344"/>
    </row>
    <row r="247" spans="9:9" s="24" customFormat="1" x14ac:dyDescent="0.2">
      <c r="I247" s="344"/>
    </row>
    <row r="248" spans="9:9" s="24" customFormat="1" x14ac:dyDescent="0.2">
      <c r="I248" s="344"/>
    </row>
    <row r="249" spans="9:9" s="24" customFormat="1" x14ac:dyDescent="0.2">
      <c r="I249" s="344"/>
    </row>
    <row r="250" spans="9:9" s="24" customFormat="1" x14ac:dyDescent="0.2">
      <c r="I250" s="344"/>
    </row>
    <row r="251" spans="9:9" s="24" customFormat="1" x14ac:dyDescent="0.2">
      <c r="I251" s="344"/>
    </row>
    <row r="252" spans="9:9" s="24" customFormat="1" x14ac:dyDescent="0.2">
      <c r="I252" s="344"/>
    </row>
    <row r="253" spans="9:9" s="24" customFormat="1" x14ac:dyDescent="0.2">
      <c r="I253" s="344"/>
    </row>
    <row r="254" spans="9:9" s="24" customFormat="1" x14ac:dyDescent="0.2">
      <c r="I254" s="344"/>
    </row>
    <row r="255" spans="9:9" s="24" customFormat="1" x14ac:dyDescent="0.2">
      <c r="I255" s="344"/>
    </row>
    <row r="256" spans="9:9" s="24" customFormat="1" x14ac:dyDescent="0.2">
      <c r="I256" s="344"/>
    </row>
    <row r="257" spans="9:9" s="24" customFormat="1" x14ac:dyDescent="0.2">
      <c r="I257" s="344"/>
    </row>
    <row r="258" spans="9:9" s="24" customFormat="1" x14ac:dyDescent="0.2">
      <c r="I258" s="344"/>
    </row>
    <row r="259" spans="9:9" s="24" customFormat="1" x14ac:dyDescent="0.2">
      <c r="I259" s="344"/>
    </row>
    <row r="260" spans="9:9" s="24" customFormat="1" x14ac:dyDescent="0.2">
      <c r="I260" s="344"/>
    </row>
  </sheetData>
  <sheetProtection algorithmName="SHA-512" hashValue="R0q8UhjxrjOrF2CUXIvZELy6+UWy0DyM/W5W4JDAcZ0Pc5nkOa5isIffDVzhx3pJtRXw/WCk40xfFL66COKTOw==" saltValue="5FB1wL6SNfO1qRy5MsT72A==" spinCount="100000" sheet="1" objects="1" scenarios="1"/>
  <mergeCells count="11">
    <mergeCell ref="C47:E47"/>
    <mergeCell ref="C48:E48"/>
    <mergeCell ref="B49:E50"/>
    <mergeCell ref="C36:E36"/>
    <mergeCell ref="B1:E1"/>
    <mergeCell ref="C39:E39"/>
    <mergeCell ref="B35:B36"/>
    <mergeCell ref="C35:E35"/>
    <mergeCell ref="C45:E45"/>
    <mergeCell ref="C46:E46"/>
    <mergeCell ref="C40:E40"/>
  </mergeCells>
  <pageMargins left="0.17" right="0.17" top="0.25" bottom="0.28000000000000003" header="0.17" footer="0.17"/>
  <pageSetup scale="69" fitToHeight="0" orientation="landscape" horizontalDpi="4294967295" verticalDpi="4294967295" r:id="rId1"/>
  <headerFooter>
    <oddHeader>&amp;C&amp;"Calibri"&amp;10&amp;K000000 Internal&amp;1#_x000D_</oddHeader>
    <oddFooter>&amp;L_x000D_&amp;1#&amp;"Calibri"&amp;10&amp;K737373 Confidential</oddFooter>
  </headerFooter>
  <rowBreaks count="2" manualBreakCount="2">
    <brk id="19" max="4" man="1"/>
    <brk id="33" max="4" man="1"/>
  </rowBreaks>
  <colBreaks count="1" manualBreakCount="1">
    <brk id="5" max="1048575" man="1"/>
  </col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20:V31"/>
  <sheetViews>
    <sheetView workbookViewId="0">
      <selection activeCell="A26" sqref="A26:M26"/>
    </sheetView>
  </sheetViews>
  <sheetFormatPr defaultRowHeight="15" x14ac:dyDescent="0.25"/>
  <cols>
    <col min="1" max="1" width="17.5703125" bestFit="1" customWidth="1"/>
    <col min="2" max="2" width="19.5703125" bestFit="1" customWidth="1"/>
    <col min="3" max="3" width="17.7109375" bestFit="1" customWidth="1"/>
    <col min="4" max="4" width="4.42578125" bestFit="1" customWidth="1"/>
    <col min="5" max="5" width="12.7109375" bestFit="1" customWidth="1"/>
    <col min="6" max="6" width="16.28515625" bestFit="1" customWidth="1"/>
    <col min="7" max="7" width="14.7109375" bestFit="1" customWidth="1"/>
    <col min="8" max="8" width="13.140625" bestFit="1" customWidth="1"/>
    <col min="9" max="9" width="12.28515625" bestFit="1" customWidth="1"/>
    <col min="10" max="10" width="27.140625" bestFit="1" customWidth="1"/>
    <col min="11" max="12" width="31.85546875" bestFit="1" customWidth="1"/>
    <col min="15" max="16" width="23.42578125" bestFit="1" customWidth="1"/>
    <col min="17" max="17" width="82.28515625" bestFit="1" customWidth="1"/>
    <col min="18" max="18" width="11.140625" bestFit="1" customWidth="1"/>
  </cols>
  <sheetData>
    <row r="20" spans="1:22" x14ac:dyDescent="0.25">
      <c r="A20" s="508" t="s">
        <v>832</v>
      </c>
      <c r="B20" s="732">
        <v>45625</v>
      </c>
    </row>
    <row r="21" spans="1:22" x14ac:dyDescent="0.25">
      <c r="A21" t="s">
        <v>833</v>
      </c>
      <c r="B21" s="620" t="s">
        <v>834</v>
      </c>
    </row>
    <row r="22" spans="1:22" x14ac:dyDescent="0.25">
      <c r="A22" t="s">
        <v>835</v>
      </c>
      <c r="B22" s="627">
        <v>45838</v>
      </c>
    </row>
    <row r="25" spans="1:22" x14ac:dyDescent="0.25">
      <c r="A25" s="646" t="s">
        <v>836</v>
      </c>
      <c r="B25" s="747" t="s">
        <v>51</v>
      </c>
      <c r="C25" s="747" t="s">
        <v>837</v>
      </c>
      <c r="D25" s="747" t="s">
        <v>99</v>
      </c>
      <c r="E25" s="747" t="s">
        <v>838</v>
      </c>
      <c r="F25" s="748" t="s">
        <v>839</v>
      </c>
      <c r="G25" s="748" t="s">
        <v>840</v>
      </c>
      <c r="H25" s="747" t="s">
        <v>841</v>
      </c>
      <c r="I25" s="748" t="s">
        <v>842</v>
      </c>
      <c r="J25" s="748" t="s">
        <v>843</v>
      </c>
      <c r="K25" s="646" t="s">
        <v>844</v>
      </c>
      <c r="L25" s="646" t="s">
        <v>845</v>
      </c>
      <c r="M25" s="748" t="s">
        <v>846</v>
      </c>
    </row>
    <row r="26" spans="1:22" ht="15.75" thickBot="1" x14ac:dyDescent="0.3">
      <c r="A26" t="s">
        <v>847</v>
      </c>
      <c r="B26" s="645">
        <v>0.05</v>
      </c>
      <c r="C26" s="765">
        <v>0.05</v>
      </c>
      <c r="D26" s="765">
        <v>5.5E-2</v>
      </c>
      <c r="E26" s="765">
        <v>0.01</v>
      </c>
      <c r="F26" s="627" t="s">
        <v>204</v>
      </c>
      <c r="G26" s="627" t="s">
        <v>204</v>
      </c>
      <c r="H26" s="627" t="s">
        <v>204</v>
      </c>
      <c r="I26" s="627" t="s">
        <v>204</v>
      </c>
      <c r="J26" s="627" t="s">
        <v>848</v>
      </c>
      <c r="K26" s="642">
        <v>0.05</v>
      </c>
      <c r="L26" s="642">
        <v>0.1</v>
      </c>
      <c r="M26" s="627" t="s">
        <v>204</v>
      </c>
    </row>
    <row r="27" spans="1:22" x14ac:dyDescent="0.25">
      <c r="O27" s="752" t="s">
        <v>849</v>
      </c>
      <c r="P27" s="753" t="s">
        <v>850</v>
      </c>
      <c r="Q27" s="753" t="s">
        <v>851</v>
      </c>
      <c r="R27" s="753" t="s">
        <v>852</v>
      </c>
      <c r="S27" s="754"/>
      <c r="T27" s="754"/>
      <c r="U27" s="754"/>
      <c r="V27" s="755"/>
    </row>
    <row r="28" spans="1:22" ht="191.25" x14ac:dyDescent="0.25">
      <c r="O28" s="756" t="s">
        <v>853</v>
      </c>
      <c r="P28" s="750" t="s">
        <v>170</v>
      </c>
      <c r="Q28" s="751" t="s">
        <v>854</v>
      </c>
      <c r="R28" s="904" t="s">
        <v>855</v>
      </c>
      <c r="S28" s="904"/>
      <c r="T28" s="904"/>
      <c r="U28" s="904"/>
      <c r="V28" s="905"/>
    </row>
    <row r="29" spans="1:22" ht="165.75" x14ac:dyDescent="0.25">
      <c r="O29" s="756" t="s">
        <v>853</v>
      </c>
      <c r="P29" s="750" t="s">
        <v>174</v>
      </c>
      <c r="Q29" s="751" t="s">
        <v>856</v>
      </c>
      <c r="R29" s="906" t="s">
        <v>857</v>
      </c>
      <c r="S29" s="906"/>
      <c r="T29" s="906"/>
      <c r="U29" s="906"/>
      <c r="V29" s="907"/>
    </row>
    <row r="30" spans="1:22" ht="165.75" x14ac:dyDescent="0.25">
      <c r="O30" s="756" t="s">
        <v>858</v>
      </c>
      <c r="P30" s="750" t="s">
        <v>170</v>
      </c>
      <c r="Q30" s="751" t="s">
        <v>859</v>
      </c>
      <c r="R30" s="904" t="s">
        <v>860</v>
      </c>
      <c r="S30" s="904"/>
      <c r="T30" s="904"/>
      <c r="U30" s="904"/>
      <c r="V30" s="905"/>
    </row>
    <row r="31" spans="1:22" ht="166.5" thickBot="1" x14ac:dyDescent="0.3">
      <c r="O31" s="757" t="s">
        <v>858</v>
      </c>
      <c r="P31" s="758" t="s">
        <v>174</v>
      </c>
      <c r="Q31" s="759" t="s">
        <v>861</v>
      </c>
      <c r="R31" s="908" t="s">
        <v>862</v>
      </c>
      <c r="S31" s="908"/>
      <c r="T31" s="908"/>
      <c r="U31" s="908"/>
      <c r="V31" s="909"/>
    </row>
  </sheetData>
  <mergeCells count="4">
    <mergeCell ref="R28:V28"/>
    <mergeCell ref="R29:V29"/>
    <mergeCell ref="R30:V30"/>
    <mergeCell ref="R31:V31"/>
  </mergeCells>
  <pageMargins left="0.7" right="0.7" top="0.75" bottom="0.75" header="0.3" footer="0.3"/>
  <headerFooter>
    <oddHeader>&amp;C&amp;"Calibri"&amp;10&amp;K000000 Internal&amp;1#_x000D_</oddHeader>
    <oddFooter>&amp;L_x000D_&amp;1#&amp;"Calibri"&amp;10&amp;K737373 Confidential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protect">
                <anchor moveWithCells="1" sizeWithCells="1">
                  <from>
                    <xdr:col>3</xdr:col>
                    <xdr:colOff>590550</xdr:colOff>
                    <xdr:row>4</xdr:row>
                    <xdr:rowOff>114300</xdr:rowOff>
                  </from>
                  <to>
                    <xdr:col>8</xdr:col>
                    <xdr:colOff>314325</xdr:colOff>
                    <xdr:row>9</xdr:row>
                    <xdr:rowOff>114300</xdr:rowOff>
                  </to>
                </anchor>
              </controlPr>
            </control>
          </mc:Choice>
        </mc:AlternateContent>
        <mc:AlternateContent xmlns:mc="http://schemas.openxmlformats.org/markup-compatibility/2006">
          <mc:Choice Requires="x14">
            <control shapeId="24578" r:id="rId4" name="Button 2">
              <controlPr defaultSize="0" print="0" autoFill="0" autoPict="0" macro="[0]!Protection_Button2_Click">
                <anchor moveWithCells="1" sizeWithCells="1">
                  <from>
                    <xdr:col>9</xdr:col>
                    <xdr:colOff>581025</xdr:colOff>
                    <xdr:row>4</xdr:row>
                    <xdr:rowOff>104775</xdr:rowOff>
                  </from>
                  <to>
                    <xdr:col>14</xdr:col>
                    <xdr:colOff>485775</xdr:colOff>
                    <xdr:row>9</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N86"/>
  <sheetViews>
    <sheetView workbookViewId="0"/>
  </sheetViews>
  <sheetFormatPr defaultColWidth="9.140625" defaultRowHeight="15" x14ac:dyDescent="0.25"/>
  <cols>
    <col min="1" max="16384" width="9.140625" style="20"/>
  </cols>
  <sheetData>
    <row r="1" spans="1:14" ht="9" customHeight="1" x14ac:dyDescent="0.25">
      <c r="A1" s="350"/>
      <c r="B1" s="350"/>
      <c r="C1" s="350"/>
      <c r="D1" s="350"/>
      <c r="E1" s="350"/>
      <c r="F1" s="350"/>
      <c r="G1" s="350"/>
      <c r="H1" s="350"/>
      <c r="I1" s="350"/>
      <c r="J1" s="350"/>
      <c r="K1" s="350"/>
      <c r="L1" s="350"/>
      <c r="M1" s="350"/>
      <c r="N1" s="350"/>
    </row>
    <row r="2" spans="1:14" ht="26.25" x14ac:dyDescent="0.25">
      <c r="A2" s="932" t="s">
        <v>863</v>
      </c>
      <c r="B2" s="932"/>
      <c r="C2" s="932"/>
      <c r="D2" s="932"/>
      <c r="E2" s="932"/>
      <c r="F2" s="932"/>
      <c r="G2" s="932"/>
      <c r="H2" s="932"/>
      <c r="I2" s="932"/>
      <c r="J2" s="932"/>
      <c r="K2" s="932"/>
      <c r="L2" s="932"/>
      <c r="M2" s="932"/>
      <c r="N2" s="932"/>
    </row>
    <row r="3" spans="1:14" ht="3.75" customHeight="1" x14ac:dyDescent="0.25">
      <c r="A3" s="350"/>
      <c r="B3" s="350"/>
      <c r="C3" s="350"/>
      <c r="D3" s="350"/>
      <c r="E3" s="350"/>
      <c r="F3" s="350"/>
      <c r="G3" s="350"/>
      <c r="H3" s="350"/>
      <c r="I3" s="350"/>
      <c r="J3" s="350"/>
      <c r="K3" s="350"/>
      <c r="L3" s="350"/>
      <c r="M3" s="350"/>
      <c r="N3" s="350"/>
    </row>
    <row r="4" spans="1:14" x14ac:dyDescent="0.25">
      <c r="A4" s="926" t="s">
        <v>864</v>
      </c>
      <c r="B4" s="926"/>
      <c r="C4" s="926"/>
      <c r="D4" s="926"/>
      <c r="E4" s="926"/>
      <c r="F4" s="926"/>
      <c r="G4" s="926"/>
      <c r="H4" s="926"/>
      <c r="I4" s="926"/>
      <c r="J4" s="926"/>
      <c r="K4" s="926"/>
      <c r="L4" s="926"/>
      <c r="M4" s="926"/>
      <c r="N4" s="926"/>
    </row>
    <row r="5" spans="1:14" ht="11.25" customHeight="1" x14ac:dyDescent="0.25">
      <c r="A5" s="350"/>
      <c r="B5" s="350"/>
      <c r="C5" s="350"/>
      <c r="D5" s="350"/>
      <c r="E5" s="350"/>
      <c r="F5" s="350"/>
      <c r="G5" s="350"/>
      <c r="H5" s="350"/>
      <c r="I5" s="350"/>
      <c r="J5" s="350"/>
      <c r="K5" s="350"/>
      <c r="L5" s="350"/>
      <c r="M5" s="350"/>
      <c r="N5" s="350"/>
    </row>
    <row r="6" spans="1:14" x14ac:dyDescent="0.25">
      <c r="A6" s="918" t="s">
        <v>865</v>
      </c>
      <c r="B6" s="918"/>
      <c r="C6" s="918"/>
      <c r="D6" s="918"/>
      <c r="E6" s="933">
        <v>0</v>
      </c>
      <c r="F6" s="933"/>
      <c r="G6" s="933"/>
      <c r="H6" s="933"/>
      <c r="I6" s="933"/>
      <c r="J6" s="933"/>
      <c r="K6" s="933"/>
      <c r="L6" s="933"/>
      <c r="M6" s="933"/>
      <c r="N6" s="933"/>
    </row>
    <row r="7" spans="1:14" ht="11.25" customHeight="1" x14ac:dyDescent="0.25">
      <c r="A7" s="351"/>
      <c r="B7" s="351"/>
      <c r="C7" s="351"/>
      <c r="D7" s="351"/>
      <c r="E7" s="350"/>
      <c r="F7" s="350"/>
      <c r="G7" s="350"/>
      <c r="H7" s="350"/>
      <c r="I7" s="350"/>
      <c r="J7" s="350"/>
      <c r="K7" s="350"/>
      <c r="L7" s="350"/>
      <c r="M7" s="350"/>
      <c r="N7" s="350"/>
    </row>
    <row r="8" spans="1:14" x14ac:dyDescent="0.25">
      <c r="A8" s="918" t="s">
        <v>866</v>
      </c>
      <c r="B8" s="918"/>
      <c r="C8" s="918"/>
      <c r="D8" s="918"/>
      <c r="E8" s="918" t="s">
        <v>867</v>
      </c>
      <c r="F8" s="918"/>
      <c r="G8" s="918"/>
      <c r="H8" s="918"/>
      <c r="I8" s="918"/>
      <c r="J8" s="918"/>
      <c r="K8" s="918"/>
      <c r="L8" s="918"/>
      <c r="M8" s="918"/>
      <c r="N8" s="918"/>
    </row>
    <row r="9" spans="1:14" ht="11.25" customHeight="1" x14ac:dyDescent="0.25">
      <c r="A9" s="351"/>
      <c r="B9" s="351"/>
      <c r="C9" s="351"/>
      <c r="D9" s="351"/>
      <c r="E9" s="352"/>
      <c r="F9" s="352"/>
      <c r="G9" s="352"/>
      <c r="H9" s="352"/>
      <c r="I9" s="352"/>
      <c r="J9" s="352"/>
      <c r="K9" s="352"/>
      <c r="L9" s="352"/>
      <c r="M9" s="352"/>
      <c r="N9" s="352"/>
    </row>
    <row r="10" spans="1:14" x14ac:dyDescent="0.25">
      <c r="A10" s="918" t="s">
        <v>868</v>
      </c>
      <c r="B10" s="918"/>
      <c r="C10" s="918"/>
      <c r="D10" s="918"/>
      <c r="E10" s="918" t="s">
        <v>42</v>
      </c>
      <c r="F10" s="918"/>
      <c r="G10" s="918"/>
      <c r="H10" s="918"/>
      <c r="I10" s="918"/>
      <c r="J10" s="918"/>
      <c r="K10" s="918"/>
      <c r="L10" s="918"/>
      <c r="M10" s="918"/>
      <c r="N10" s="918"/>
    </row>
    <row r="11" spans="1:14" ht="11.25" customHeight="1" x14ac:dyDescent="0.25">
      <c r="A11" s="351"/>
      <c r="B11" s="351"/>
      <c r="C11" s="351"/>
      <c r="D11" s="351"/>
      <c r="E11" s="352"/>
      <c r="F11" s="352"/>
      <c r="G11" s="352"/>
      <c r="H11" s="352"/>
      <c r="I11" s="352"/>
      <c r="J11" s="352"/>
      <c r="K11" s="352"/>
      <c r="L11" s="352"/>
      <c r="M11" s="352"/>
      <c r="N11" s="352"/>
    </row>
    <row r="12" spans="1:14" x14ac:dyDescent="0.25">
      <c r="A12" s="918" t="s">
        <v>869</v>
      </c>
      <c r="B12" s="918"/>
      <c r="C12" s="918"/>
      <c r="D12" s="918"/>
      <c r="E12" s="918" t="s">
        <v>870</v>
      </c>
      <c r="F12" s="918"/>
      <c r="G12" s="918"/>
      <c r="H12" s="918"/>
      <c r="I12" s="918"/>
      <c r="J12" s="918"/>
      <c r="K12" s="918"/>
      <c r="L12" s="918"/>
      <c r="M12" s="918"/>
      <c r="N12" s="918"/>
    </row>
    <row r="13" spans="1:14" ht="11.25" customHeight="1" x14ac:dyDescent="0.25">
      <c r="A13" s="350"/>
      <c r="B13" s="350"/>
      <c r="C13" s="350"/>
      <c r="D13" s="350"/>
      <c r="E13" s="352"/>
      <c r="F13" s="352"/>
      <c r="G13" s="352"/>
      <c r="H13" s="352"/>
      <c r="I13" s="352"/>
      <c r="J13" s="352"/>
      <c r="K13" s="352"/>
      <c r="L13" s="352"/>
      <c r="M13" s="352"/>
      <c r="N13" s="352"/>
    </row>
    <row r="14" spans="1:14" x14ac:dyDescent="0.25">
      <c r="A14" s="918" t="s">
        <v>871</v>
      </c>
      <c r="B14" s="918"/>
      <c r="C14" s="918"/>
      <c r="D14" s="918"/>
      <c r="E14" s="918" t="str">
        <f>IF(B76&lt;&gt;"",B76,"")</f>
        <v/>
      </c>
      <c r="F14" s="918"/>
      <c r="G14" s="918"/>
      <c r="H14" s="918"/>
      <c r="I14" s="918"/>
      <c r="J14" s="918"/>
      <c r="K14" s="918"/>
      <c r="L14" s="918"/>
      <c r="M14" s="918"/>
      <c r="N14" s="918"/>
    </row>
    <row r="15" spans="1:14" ht="11.25" customHeight="1" x14ac:dyDescent="0.25">
      <c r="A15" s="351"/>
      <c r="B15" s="351"/>
      <c r="C15" s="351"/>
      <c r="D15" s="351"/>
      <c r="E15" s="351"/>
      <c r="F15" s="351"/>
      <c r="G15" s="351"/>
      <c r="H15" s="351"/>
      <c r="I15" s="351"/>
      <c r="J15" s="351"/>
      <c r="K15" s="351"/>
      <c r="L15" s="351"/>
      <c r="M15" s="351"/>
      <c r="N15" s="351"/>
    </row>
    <row r="16" spans="1:14" x14ac:dyDescent="0.25">
      <c r="A16" s="350"/>
      <c r="B16" s="350"/>
      <c r="C16" s="350"/>
      <c r="D16" s="350"/>
      <c r="E16" s="352"/>
      <c r="F16" s="352"/>
      <c r="G16" s="352"/>
      <c r="H16" s="352"/>
      <c r="I16" s="352"/>
      <c r="J16" s="352"/>
      <c r="K16" s="352"/>
      <c r="L16" s="352"/>
      <c r="M16" s="352"/>
      <c r="N16" s="352"/>
    </row>
    <row r="17" spans="1:14" x14ac:dyDescent="0.25">
      <c r="A17" s="918" t="s">
        <v>872</v>
      </c>
      <c r="B17" s="918"/>
      <c r="C17" s="918"/>
      <c r="D17" s="918"/>
      <c r="E17" s="930" t="s">
        <v>873</v>
      </c>
      <c r="F17" s="930"/>
      <c r="G17" s="352"/>
      <c r="H17" s="930" t="s">
        <v>874</v>
      </c>
      <c r="I17" s="930"/>
      <c r="J17" s="353"/>
      <c r="K17" s="353"/>
      <c r="L17" s="353"/>
      <c r="M17" s="353"/>
      <c r="N17" s="353"/>
    </row>
    <row r="18" spans="1:14" ht="11.25" customHeight="1" x14ac:dyDescent="0.25">
      <c r="A18" s="350"/>
      <c r="B18" s="350"/>
      <c r="C18" s="350"/>
      <c r="D18" s="350"/>
      <c r="E18" s="352"/>
      <c r="F18" s="352"/>
      <c r="G18" s="352"/>
      <c r="H18" s="352"/>
      <c r="I18" s="352"/>
      <c r="J18" s="352"/>
      <c r="K18" s="352"/>
      <c r="L18" s="352"/>
      <c r="M18" s="352"/>
      <c r="N18" s="352"/>
    </row>
    <row r="19" spans="1:14" x14ac:dyDescent="0.25">
      <c r="A19" s="350"/>
      <c r="B19" s="350"/>
      <c r="C19" s="350"/>
      <c r="D19" s="350"/>
      <c r="E19" s="352"/>
      <c r="F19" s="352"/>
      <c r="G19" s="352"/>
      <c r="H19" s="352"/>
      <c r="I19" s="352"/>
      <c r="J19" s="352"/>
      <c r="K19" s="352"/>
      <c r="L19" s="352"/>
      <c r="M19" s="352"/>
      <c r="N19" s="352"/>
    </row>
    <row r="20" spans="1:14" x14ac:dyDescent="0.25">
      <c r="A20" s="918" t="s">
        <v>875</v>
      </c>
      <c r="B20" s="918"/>
      <c r="C20" s="918"/>
      <c r="D20" s="918"/>
      <c r="E20" s="930" t="s">
        <v>876</v>
      </c>
      <c r="F20" s="930"/>
      <c r="G20" s="353"/>
      <c r="H20" s="930" t="s">
        <v>877</v>
      </c>
      <c r="I20" s="930"/>
      <c r="J20" s="353"/>
      <c r="K20" s="930" t="s">
        <v>878</v>
      </c>
      <c r="L20" s="930"/>
      <c r="M20" s="353"/>
      <c r="N20" s="353"/>
    </row>
    <row r="21" spans="1:14" ht="11.25" customHeight="1" x14ac:dyDescent="0.25">
      <c r="A21" s="350"/>
      <c r="B21" s="350"/>
      <c r="C21" s="350"/>
      <c r="D21" s="350"/>
      <c r="E21" s="352"/>
      <c r="F21" s="352"/>
      <c r="G21" s="352"/>
      <c r="H21" s="352"/>
      <c r="I21" s="352"/>
      <c r="J21" s="352"/>
      <c r="K21" s="352"/>
      <c r="L21" s="352"/>
      <c r="M21" s="352"/>
      <c r="N21" s="352"/>
    </row>
    <row r="22" spans="1:14" x14ac:dyDescent="0.25">
      <c r="A22" s="350"/>
      <c r="B22" s="350"/>
      <c r="C22" s="350"/>
      <c r="D22" s="350"/>
      <c r="E22" s="352"/>
      <c r="F22" s="352"/>
      <c r="G22" s="352"/>
      <c r="H22" s="352"/>
      <c r="I22" s="352"/>
      <c r="J22" s="352"/>
      <c r="K22" s="352"/>
      <c r="L22" s="352"/>
      <c r="M22" s="352"/>
      <c r="N22" s="352"/>
    </row>
    <row r="23" spans="1:14" x14ac:dyDescent="0.25">
      <c r="A23" s="918" t="s">
        <v>879</v>
      </c>
      <c r="B23" s="918"/>
      <c r="C23" s="918"/>
      <c r="D23" s="918"/>
      <c r="E23" s="930" t="s">
        <v>880</v>
      </c>
      <c r="F23" s="930"/>
      <c r="G23" s="353"/>
      <c r="H23" s="930" t="s">
        <v>881</v>
      </c>
      <c r="I23" s="930"/>
      <c r="J23" s="353"/>
      <c r="K23" s="353"/>
      <c r="L23" s="353"/>
      <c r="M23" s="353"/>
      <c r="N23" s="353"/>
    </row>
    <row r="24" spans="1:14" ht="11.25" customHeight="1" x14ac:dyDescent="0.25">
      <c r="A24" s="350"/>
      <c r="B24" s="350"/>
      <c r="C24" s="350"/>
      <c r="D24" s="350"/>
      <c r="E24" s="352"/>
      <c r="F24" s="352"/>
      <c r="G24" s="352"/>
      <c r="H24" s="352"/>
      <c r="I24" s="352"/>
      <c r="J24" s="352"/>
      <c r="K24" s="352"/>
      <c r="L24" s="352"/>
      <c r="M24" s="352"/>
      <c r="N24" s="352"/>
    </row>
    <row r="25" spans="1:14" x14ac:dyDescent="0.25">
      <c r="A25" s="918" t="s">
        <v>882</v>
      </c>
      <c r="B25" s="918"/>
      <c r="C25" s="918"/>
      <c r="D25" s="918"/>
      <c r="E25" s="931"/>
      <c r="F25" s="931"/>
      <c r="G25" s="931"/>
      <c r="H25" s="931"/>
      <c r="I25" s="931"/>
      <c r="J25" s="931"/>
      <c r="K25" s="931"/>
      <c r="L25" s="931"/>
      <c r="M25" s="931"/>
      <c r="N25" s="931"/>
    </row>
    <row r="26" spans="1:14" ht="11.25" customHeight="1" x14ac:dyDescent="0.25">
      <c r="A26" s="350"/>
      <c r="B26" s="350"/>
      <c r="C26" s="350"/>
      <c r="D26" s="350"/>
      <c r="E26" s="352"/>
      <c r="F26" s="352"/>
      <c r="G26" s="352"/>
      <c r="H26" s="352"/>
      <c r="I26" s="352"/>
      <c r="J26" s="352"/>
      <c r="K26" s="352"/>
      <c r="L26" s="352"/>
      <c r="M26" s="352"/>
      <c r="N26" s="352"/>
    </row>
    <row r="27" spans="1:14" x14ac:dyDescent="0.25">
      <c r="A27" s="918" t="s">
        <v>883</v>
      </c>
      <c r="B27" s="918"/>
      <c r="C27" s="918"/>
      <c r="D27" s="918"/>
      <c r="E27" s="918"/>
      <c r="F27" s="918"/>
      <c r="G27" s="918"/>
      <c r="H27" s="918"/>
      <c r="I27" s="918"/>
      <c r="J27" s="918"/>
      <c r="K27" s="918"/>
      <c r="L27" s="918"/>
      <c r="M27" s="918"/>
      <c r="N27" s="918"/>
    </row>
    <row r="28" spans="1:14" ht="11.25" customHeight="1" x14ac:dyDescent="0.25">
      <c r="A28" s="351"/>
      <c r="B28" s="351"/>
      <c r="C28" s="351"/>
      <c r="D28" s="351"/>
      <c r="E28" s="351"/>
      <c r="F28" s="351"/>
      <c r="G28" s="351"/>
      <c r="H28" s="351"/>
      <c r="I28" s="351"/>
      <c r="J28" s="351"/>
      <c r="K28" s="351"/>
      <c r="L28" s="351"/>
      <c r="M28" s="351"/>
      <c r="N28" s="351"/>
    </row>
    <row r="29" spans="1:14" x14ac:dyDescent="0.25">
      <c r="A29" s="350"/>
      <c r="B29" s="350"/>
      <c r="C29" s="350"/>
      <c r="D29" s="350"/>
      <c r="E29" s="352"/>
      <c r="F29" s="929" t="s">
        <v>884</v>
      </c>
      <c r="G29" s="929"/>
      <c r="H29" s="929"/>
      <c r="I29" s="929"/>
      <c r="J29" s="929"/>
      <c r="K29" s="929"/>
      <c r="L29" s="352"/>
      <c r="M29" s="352"/>
      <c r="N29" s="352"/>
    </row>
    <row r="30" spans="1:14" x14ac:dyDescent="0.25">
      <c r="A30" s="918" t="s">
        <v>885</v>
      </c>
      <c r="B30" s="918"/>
      <c r="C30" s="918"/>
      <c r="D30" s="918"/>
      <c r="E30" s="354"/>
      <c r="F30" s="354"/>
      <c r="G30" s="354"/>
      <c r="H30" s="354"/>
      <c r="I30" s="354"/>
      <c r="J30" s="354"/>
      <c r="K30" s="354"/>
      <c r="L30" s="354"/>
      <c r="M30" s="354"/>
      <c r="N30" s="354"/>
    </row>
    <row r="31" spans="1:14" x14ac:dyDescent="0.25">
      <c r="A31" s="351"/>
      <c r="B31" s="351"/>
      <c r="C31" s="351"/>
      <c r="D31" s="351"/>
      <c r="E31" s="352"/>
      <c r="F31" s="354"/>
      <c r="G31" s="354"/>
      <c r="H31" s="354"/>
      <c r="I31" s="354"/>
      <c r="J31" s="354"/>
      <c r="K31" s="354"/>
      <c r="L31" s="354"/>
      <c r="M31" s="354"/>
      <c r="N31" s="354"/>
    </row>
    <row r="32" spans="1:14" ht="25.5" x14ac:dyDescent="0.25">
      <c r="A32" s="351"/>
      <c r="B32" s="351"/>
      <c r="C32" s="351"/>
      <c r="D32" s="351"/>
      <c r="E32" s="354" t="s">
        <v>886</v>
      </c>
      <c r="F32" s="354" t="s">
        <v>60</v>
      </c>
      <c r="G32" s="354" t="s">
        <v>887</v>
      </c>
      <c r="H32" s="354" t="s">
        <v>888</v>
      </c>
      <c r="I32" s="354" t="s">
        <v>889</v>
      </c>
      <c r="J32" s="354" t="s">
        <v>890</v>
      </c>
      <c r="K32" s="354" t="s">
        <v>891</v>
      </c>
      <c r="L32" s="354"/>
      <c r="M32" s="354"/>
      <c r="N32" s="354"/>
    </row>
    <row r="33" spans="1:14" ht="11.25" customHeight="1" x14ac:dyDescent="0.25">
      <c r="A33" s="350"/>
      <c r="B33" s="350"/>
      <c r="C33" s="350"/>
      <c r="D33" s="350"/>
      <c r="E33" s="352"/>
      <c r="F33" s="352"/>
      <c r="G33" s="352"/>
      <c r="H33" s="352"/>
      <c r="I33" s="352"/>
      <c r="J33" s="352"/>
      <c r="K33" s="352"/>
      <c r="L33" s="352"/>
      <c r="M33" s="352"/>
      <c r="N33" s="352"/>
    </row>
    <row r="34" spans="1:14" x14ac:dyDescent="0.25">
      <c r="A34" s="918" t="s">
        <v>892</v>
      </c>
      <c r="B34" s="918"/>
      <c r="C34" s="918"/>
      <c r="D34" s="918"/>
      <c r="E34" s="928">
        <f>Loadings!D6</f>
        <v>0.05</v>
      </c>
      <c r="F34" s="928"/>
      <c r="G34" s="928"/>
      <c r="H34" s="928"/>
      <c r="I34" s="928"/>
      <c r="J34" s="928"/>
      <c r="K34" s="928"/>
      <c r="L34" s="928"/>
      <c r="M34" s="928"/>
      <c r="N34" s="928"/>
    </row>
    <row r="35" spans="1:14" ht="11.25" customHeight="1" x14ac:dyDescent="0.25">
      <c r="A35" s="350"/>
      <c r="B35" s="350"/>
      <c r="C35" s="350"/>
      <c r="D35" s="350"/>
      <c r="E35" s="352"/>
      <c r="F35" s="352"/>
      <c r="G35" s="352"/>
      <c r="H35" s="352"/>
      <c r="I35" s="352"/>
      <c r="J35" s="352"/>
      <c r="K35" s="352"/>
      <c r="L35" s="352"/>
      <c r="M35" s="352"/>
      <c r="N35" s="352"/>
    </row>
    <row r="36" spans="1:14" x14ac:dyDescent="0.25">
      <c r="A36" s="918" t="s">
        <v>893</v>
      </c>
      <c r="B36" s="918"/>
      <c r="C36" s="918"/>
      <c r="D36" s="918"/>
      <c r="E36" s="928">
        <f>Loadings!D7</f>
        <v>0</v>
      </c>
      <c r="F36" s="928"/>
      <c r="G36" s="928"/>
      <c r="H36" s="928"/>
      <c r="I36" s="928"/>
      <c r="J36" s="928"/>
      <c r="K36" s="928"/>
      <c r="L36" s="928"/>
      <c r="M36" s="928"/>
      <c r="N36" s="928"/>
    </row>
    <row r="37" spans="1:14" ht="11.25" customHeight="1" x14ac:dyDescent="0.25">
      <c r="A37" s="350"/>
      <c r="B37" s="350"/>
      <c r="C37" s="350"/>
      <c r="D37" s="350"/>
      <c r="E37" s="352"/>
      <c r="F37" s="352"/>
      <c r="G37" s="352"/>
      <c r="H37" s="352"/>
      <c r="I37" s="352"/>
      <c r="J37" s="352"/>
      <c r="K37" s="352"/>
      <c r="L37" s="352"/>
      <c r="M37" s="352"/>
      <c r="N37" s="352"/>
    </row>
    <row r="38" spans="1:14" x14ac:dyDescent="0.25">
      <c r="A38" s="918" t="s">
        <v>894</v>
      </c>
      <c r="B38" s="918"/>
      <c r="C38" s="918"/>
      <c r="D38" s="918"/>
      <c r="E38" s="928">
        <v>0</v>
      </c>
      <c r="F38" s="928"/>
      <c r="G38" s="928"/>
      <c r="H38" s="928"/>
      <c r="I38" s="928"/>
      <c r="J38" s="928"/>
      <c r="K38" s="928"/>
      <c r="L38" s="928"/>
      <c r="M38" s="928"/>
      <c r="N38" s="928"/>
    </row>
    <row r="39" spans="1:14" ht="11.25" customHeight="1" x14ac:dyDescent="0.25">
      <c r="A39" s="350"/>
      <c r="B39" s="350"/>
      <c r="C39" s="350"/>
      <c r="D39" s="350"/>
      <c r="E39" s="352"/>
      <c r="F39" s="352"/>
      <c r="G39" s="352"/>
      <c r="H39" s="352"/>
      <c r="I39" s="352"/>
      <c r="J39" s="352"/>
      <c r="K39" s="352"/>
      <c r="L39" s="352"/>
      <c r="M39" s="352"/>
      <c r="N39" s="352"/>
    </row>
    <row r="40" spans="1:14" x14ac:dyDescent="0.25">
      <c r="A40" s="918" t="s">
        <v>895</v>
      </c>
      <c r="B40" s="918"/>
      <c r="C40" s="918"/>
      <c r="D40" s="918"/>
      <c r="E40" s="928">
        <f>Loadings!D8</f>
        <v>5.5E-2</v>
      </c>
      <c r="F40" s="928"/>
      <c r="G40" s="928"/>
      <c r="H40" s="928"/>
      <c r="I40" s="928"/>
      <c r="J40" s="928"/>
      <c r="K40" s="928"/>
      <c r="L40" s="928"/>
      <c r="M40" s="928"/>
      <c r="N40" s="928"/>
    </row>
    <row r="41" spans="1:14" ht="11.25" customHeight="1" x14ac:dyDescent="0.25">
      <c r="A41" s="350"/>
      <c r="B41" s="350"/>
      <c r="C41" s="350"/>
      <c r="D41" s="350"/>
      <c r="E41" s="352"/>
      <c r="F41" s="352"/>
      <c r="G41" s="352"/>
      <c r="H41" s="352"/>
      <c r="I41" s="352"/>
      <c r="J41" s="352"/>
      <c r="K41" s="352"/>
      <c r="L41" s="352"/>
      <c r="M41" s="352"/>
      <c r="N41" s="352"/>
    </row>
    <row r="42" spans="1:14" x14ac:dyDescent="0.25">
      <c r="A42" s="918" t="s">
        <v>896</v>
      </c>
      <c r="B42" s="918"/>
      <c r="C42" s="918"/>
      <c r="D42" s="918"/>
      <c r="E42" s="918" t="s">
        <v>80</v>
      </c>
      <c r="F42" s="918"/>
      <c r="G42" s="918"/>
      <c r="H42" s="918"/>
      <c r="I42" s="918"/>
      <c r="J42" s="918"/>
      <c r="K42" s="918"/>
      <c r="L42" s="918"/>
      <c r="M42" s="918"/>
      <c r="N42" s="918"/>
    </row>
    <row r="43" spans="1:14" ht="11.25" customHeight="1" x14ac:dyDescent="0.25">
      <c r="A43" s="350"/>
      <c r="B43" s="350"/>
      <c r="C43" s="350"/>
      <c r="D43" s="350"/>
      <c r="E43" s="352"/>
      <c r="F43" s="352"/>
      <c r="G43" s="352"/>
      <c r="H43" s="352"/>
      <c r="I43" s="352"/>
      <c r="J43" s="352"/>
      <c r="K43" s="352"/>
      <c r="L43" s="352"/>
      <c r="M43" s="352"/>
      <c r="N43" s="352"/>
    </row>
    <row r="44" spans="1:14" x14ac:dyDescent="0.25">
      <c r="A44" s="918" t="s">
        <v>897</v>
      </c>
      <c r="B44" s="918"/>
      <c r="C44" s="918"/>
      <c r="D44" s="918"/>
      <c r="E44" s="918" t="s">
        <v>80</v>
      </c>
      <c r="F44" s="918"/>
      <c r="G44" s="918"/>
      <c r="H44" s="918"/>
      <c r="I44" s="918"/>
      <c r="J44" s="918"/>
      <c r="K44" s="918"/>
      <c r="L44" s="918"/>
      <c r="M44" s="918"/>
      <c r="N44" s="918"/>
    </row>
    <row r="45" spans="1:14" ht="11.25" customHeight="1" x14ac:dyDescent="0.25">
      <c r="A45" s="350"/>
      <c r="B45" s="350"/>
      <c r="C45" s="350"/>
      <c r="D45" s="350"/>
      <c r="E45" s="352"/>
      <c r="F45" s="352"/>
      <c r="G45" s="352"/>
      <c r="H45" s="352"/>
      <c r="I45" s="352"/>
      <c r="J45" s="352"/>
      <c r="K45" s="352"/>
      <c r="L45" s="352"/>
      <c r="M45" s="352"/>
      <c r="N45" s="352"/>
    </row>
    <row r="46" spans="1:14" x14ac:dyDescent="0.25">
      <c r="A46" s="918" t="s">
        <v>898</v>
      </c>
      <c r="B46" s="918"/>
      <c r="C46" s="918"/>
      <c r="D46" s="918"/>
      <c r="E46" s="920"/>
      <c r="F46" s="920"/>
      <c r="G46" s="920"/>
      <c r="H46" s="920"/>
      <c r="I46" s="920"/>
      <c r="J46" s="920"/>
      <c r="K46" s="920"/>
      <c r="L46" s="920"/>
      <c r="M46" s="920"/>
      <c r="N46" s="920"/>
    </row>
    <row r="47" spans="1:14" ht="11.25" customHeight="1" x14ac:dyDescent="0.25">
      <c r="A47" s="350"/>
      <c r="B47" s="350"/>
      <c r="C47" s="350"/>
      <c r="D47" s="350"/>
      <c r="E47" s="352"/>
      <c r="F47" s="352"/>
      <c r="G47" s="352"/>
      <c r="H47" s="352"/>
      <c r="I47" s="352"/>
      <c r="J47" s="352"/>
      <c r="K47" s="352"/>
      <c r="L47" s="352"/>
      <c r="M47" s="352"/>
      <c r="N47" s="352"/>
    </row>
    <row r="48" spans="1:14" x14ac:dyDescent="0.25">
      <c r="A48" s="918" t="s">
        <v>899</v>
      </c>
      <c r="B48" s="918"/>
      <c r="C48" s="918"/>
      <c r="D48" s="918"/>
      <c r="E48" s="920"/>
      <c r="F48" s="920"/>
      <c r="G48" s="920"/>
      <c r="H48" s="920"/>
      <c r="I48" s="920"/>
      <c r="J48" s="920"/>
      <c r="K48" s="920"/>
      <c r="L48" s="920"/>
      <c r="M48" s="920"/>
      <c r="N48" s="920"/>
    </row>
    <row r="49" spans="1:14" ht="11.25" customHeight="1" x14ac:dyDescent="0.25">
      <c r="A49" s="350"/>
      <c r="B49" s="350"/>
      <c r="C49" s="350"/>
      <c r="D49" s="350"/>
      <c r="E49" s="352"/>
      <c r="F49" s="352"/>
      <c r="G49" s="352"/>
      <c r="H49" s="352"/>
      <c r="I49" s="352"/>
      <c r="J49" s="352"/>
      <c r="K49" s="352"/>
      <c r="L49" s="352"/>
      <c r="M49" s="352"/>
      <c r="N49" s="352"/>
    </row>
    <row r="50" spans="1:14" x14ac:dyDescent="0.25">
      <c r="A50" s="918" t="s">
        <v>900</v>
      </c>
      <c r="B50" s="918"/>
      <c r="C50" s="918"/>
      <c r="D50" s="918"/>
      <c r="E50" s="920"/>
      <c r="F50" s="920"/>
      <c r="G50" s="920"/>
      <c r="H50" s="920"/>
      <c r="I50" s="920"/>
      <c r="J50" s="920"/>
      <c r="K50" s="920"/>
      <c r="L50" s="920"/>
      <c r="M50" s="920"/>
      <c r="N50" s="920"/>
    </row>
    <row r="51" spans="1:14" ht="11.25" customHeight="1" x14ac:dyDescent="0.25">
      <c r="A51" s="350"/>
      <c r="B51" s="350"/>
      <c r="C51" s="350"/>
      <c r="D51" s="350"/>
      <c r="E51" s="352"/>
      <c r="F51" s="352"/>
      <c r="G51" s="352"/>
      <c r="H51" s="352"/>
      <c r="I51" s="352"/>
      <c r="J51" s="352"/>
      <c r="K51" s="352"/>
      <c r="L51" s="352"/>
      <c r="M51" s="352"/>
      <c r="N51" s="352"/>
    </row>
    <row r="52" spans="1:14" x14ac:dyDescent="0.25">
      <c r="A52" s="918" t="s">
        <v>901</v>
      </c>
      <c r="B52" s="918"/>
      <c r="C52" s="918"/>
      <c r="D52" s="918"/>
      <c r="E52" s="920" t="s">
        <v>902</v>
      </c>
      <c r="F52" s="920"/>
      <c r="G52" s="920"/>
      <c r="H52" s="920"/>
      <c r="I52" s="920"/>
      <c r="J52" s="920"/>
      <c r="K52" s="920"/>
      <c r="L52" s="920"/>
      <c r="M52" s="920"/>
      <c r="N52" s="920"/>
    </row>
    <row r="53" spans="1:14" ht="11.25" customHeight="1" x14ac:dyDescent="0.25">
      <c r="A53" s="350"/>
      <c r="B53" s="350"/>
      <c r="C53" s="350"/>
      <c r="D53" s="350"/>
      <c r="E53" s="352"/>
      <c r="F53" s="352"/>
      <c r="G53" s="352"/>
      <c r="H53" s="352"/>
      <c r="I53" s="352"/>
      <c r="J53" s="352"/>
      <c r="K53" s="352"/>
      <c r="L53" s="352"/>
      <c r="M53" s="352"/>
      <c r="N53" s="352"/>
    </row>
    <row r="54" spans="1:14" x14ac:dyDescent="0.25">
      <c r="A54" s="918" t="s">
        <v>903</v>
      </c>
      <c r="B54" s="918"/>
      <c r="C54" s="918"/>
      <c r="D54" s="918"/>
      <c r="E54" s="920"/>
      <c r="F54" s="920"/>
      <c r="G54" s="920"/>
      <c r="H54" s="920"/>
      <c r="I54" s="920"/>
      <c r="J54" s="920"/>
      <c r="K54" s="920"/>
      <c r="L54" s="920"/>
      <c r="M54" s="920"/>
      <c r="N54" s="920"/>
    </row>
    <row r="55" spans="1:14" ht="11.25" customHeight="1" x14ac:dyDescent="0.25">
      <c r="A55" s="350"/>
      <c r="B55" s="350"/>
      <c r="C55" s="350"/>
      <c r="D55" s="350"/>
      <c r="E55" s="352"/>
      <c r="F55" s="352"/>
      <c r="G55" s="352"/>
      <c r="H55" s="352"/>
      <c r="I55" s="352"/>
      <c r="J55" s="352"/>
      <c r="K55" s="352"/>
      <c r="L55" s="352"/>
      <c r="M55" s="352"/>
      <c r="N55" s="352"/>
    </row>
    <row r="56" spans="1:14" x14ac:dyDescent="0.25">
      <c r="A56" s="926" t="s">
        <v>904</v>
      </c>
      <c r="B56" s="926"/>
      <c r="C56" s="926"/>
      <c r="D56" s="926"/>
      <c r="E56" s="926"/>
      <c r="F56" s="926"/>
      <c r="G56" s="926"/>
      <c r="H56" s="926"/>
      <c r="I56" s="926"/>
      <c r="J56" s="926"/>
      <c r="K56" s="926"/>
      <c r="L56" s="926"/>
      <c r="M56" s="926"/>
      <c r="N56" s="926"/>
    </row>
    <row r="57" spans="1:14" ht="11.25" customHeight="1" x14ac:dyDescent="0.25">
      <c r="A57" s="350"/>
      <c r="B57" s="350"/>
      <c r="C57" s="350"/>
      <c r="D57" s="350"/>
      <c r="E57" s="350"/>
      <c r="F57" s="350"/>
      <c r="G57" s="350"/>
      <c r="H57" s="350"/>
      <c r="I57" s="350"/>
      <c r="J57" s="350"/>
      <c r="K57" s="350"/>
      <c r="L57" s="350"/>
      <c r="M57" s="350"/>
      <c r="N57" s="350"/>
    </row>
    <row r="58" spans="1:14" x14ac:dyDescent="0.25">
      <c r="A58" s="921" t="s">
        <v>905</v>
      </c>
      <c r="B58" s="921"/>
      <c r="C58" s="921"/>
      <c r="D58" s="921"/>
      <c r="E58" s="921"/>
      <c r="F58" s="921"/>
      <c r="G58" s="921"/>
      <c r="H58" s="921"/>
      <c r="I58" s="921"/>
      <c r="J58" s="921"/>
      <c r="K58" s="921"/>
      <c r="L58" s="921"/>
      <c r="M58" s="921"/>
      <c r="N58" s="921"/>
    </row>
    <row r="59" spans="1:14" ht="11.25" customHeight="1" x14ac:dyDescent="0.25">
      <c r="A59" s="350"/>
      <c r="B59" s="350"/>
      <c r="C59" s="350"/>
      <c r="D59" s="350"/>
      <c r="E59" s="350"/>
      <c r="F59" s="350"/>
      <c r="G59" s="350"/>
      <c r="H59" s="350"/>
      <c r="I59" s="350"/>
      <c r="J59" s="350"/>
      <c r="K59" s="350"/>
      <c r="L59" s="350"/>
      <c r="M59" s="350"/>
      <c r="N59" s="350"/>
    </row>
    <row r="60" spans="1:14" x14ac:dyDescent="0.25">
      <c r="A60" s="918" t="s">
        <v>906</v>
      </c>
      <c r="B60" s="918"/>
      <c r="C60" s="918"/>
      <c r="D60" s="918"/>
      <c r="E60" s="927" t="s">
        <v>80</v>
      </c>
      <c r="F60" s="927"/>
      <c r="G60" s="927"/>
      <c r="H60" s="927"/>
      <c r="I60" s="927"/>
      <c r="J60" s="927"/>
      <c r="K60" s="927"/>
      <c r="L60" s="927"/>
      <c r="M60" s="927"/>
      <c r="N60" s="927"/>
    </row>
    <row r="61" spans="1:14" ht="11.25" customHeight="1" x14ac:dyDescent="0.25">
      <c r="A61" s="350"/>
      <c r="B61" s="350"/>
      <c r="C61" s="350"/>
      <c r="D61" s="350"/>
      <c r="E61" s="352"/>
      <c r="F61" s="352"/>
      <c r="G61" s="352"/>
      <c r="H61" s="352"/>
      <c r="I61" s="352"/>
      <c r="J61" s="352"/>
      <c r="K61" s="352"/>
      <c r="L61" s="352"/>
      <c r="M61" s="352"/>
      <c r="N61" s="352"/>
    </row>
    <row r="62" spans="1:14" x14ac:dyDescent="0.25">
      <c r="A62" s="918" t="s">
        <v>907</v>
      </c>
      <c r="B62" s="918"/>
      <c r="C62" s="918"/>
      <c r="D62" s="918"/>
      <c r="E62" s="920" t="s">
        <v>80</v>
      </c>
      <c r="F62" s="920"/>
      <c r="G62" s="920"/>
      <c r="H62" s="920"/>
      <c r="I62" s="920"/>
      <c r="J62" s="920"/>
      <c r="K62" s="920"/>
      <c r="L62" s="920"/>
      <c r="M62" s="920"/>
      <c r="N62" s="920"/>
    </row>
    <row r="63" spans="1:14" ht="11.25" customHeight="1" x14ac:dyDescent="0.25">
      <c r="A63" s="350"/>
      <c r="B63" s="350"/>
      <c r="C63" s="350"/>
      <c r="D63" s="350"/>
      <c r="E63" s="352"/>
      <c r="F63" s="352"/>
      <c r="G63" s="352"/>
      <c r="H63" s="352"/>
      <c r="I63" s="352"/>
      <c r="J63" s="352"/>
      <c r="K63" s="352"/>
      <c r="L63" s="352"/>
      <c r="M63" s="352"/>
      <c r="N63" s="352"/>
    </row>
    <row r="64" spans="1:14" x14ac:dyDescent="0.25">
      <c r="A64" s="918" t="s">
        <v>908</v>
      </c>
      <c r="B64" s="918"/>
      <c r="C64" s="918"/>
      <c r="D64" s="918"/>
      <c r="E64" s="919"/>
      <c r="F64" s="920"/>
      <c r="G64" s="920"/>
      <c r="H64" s="920"/>
      <c r="I64" s="920"/>
      <c r="J64" s="920"/>
      <c r="K64" s="920"/>
      <c r="L64" s="920"/>
      <c r="M64" s="920"/>
      <c r="N64" s="920"/>
    </row>
    <row r="65" spans="1:14" ht="11.25" customHeight="1" x14ac:dyDescent="0.25">
      <c r="A65" s="350"/>
      <c r="B65" s="350"/>
      <c r="C65" s="350"/>
      <c r="D65" s="350"/>
      <c r="E65" s="352"/>
      <c r="F65" s="352"/>
      <c r="G65" s="352"/>
      <c r="H65" s="352"/>
      <c r="I65" s="352"/>
      <c r="J65" s="352"/>
      <c r="K65" s="352"/>
      <c r="L65" s="352"/>
      <c r="M65" s="352"/>
      <c r="N65" s="352"/>
    </row>
    <row r="66" spans="1:14" x14ac:dyDescent="0.25">
      <c r="A66" s="918" t="s">
        <v>909</v>
      </c>
      <c r="B66" s="918"/>
      <c r="C66" s="918"/>
      <c r="D66" s="918"/>
      <c r="E66" s="355"/>
      <c r="F66" s="923" t="s">
        <v>910</v>
      </c>
      <c r="G66" s="923"/>
      <c r="H66" s="353"/>
      <c r="I66" s="353"/>
      <c r="J66" s="355"/>
      <c r="K66" s="923" t="s">
        <v>911</v>
      </c>
      <c r="L66" s="923"/>
      <c r="M66" s="353"/>
      <c r="N66" s="353"/>
    </row>
    <row r="67" spans="1:14" ht="11.25" customHeight="1" x14ac:dyDescent="0.25">
      <c r="A67" s="350"/>
      <c r="B67" s="350"/>
      <c r="C67" s="350"/>
      <c r="D67" s="350"/>
      <c r="E67" s="352"/>
      <c r="F67" s="352"/>
      <c r="G67" s="352"/>
      <c r="H67" s="352"/>
      <c r="I67" s="352"/>
      <c r="J67" s="352"/>
      <c r="K67" s="352"/>
      <c r="L67" s="352"/>
      <c r="M67" s="352"/>
      <c r="N67" s="352"/>
    </row>
    <row r="68" spans="1:14" x14ac:dyDescent="0.25">
      <c r="A68" s="918" t="s">
        <v>912</v>
      </c>
      <c r="B68" s="918"/>
      <c r="C68" s="918"/>
      <c r="D68" s="918"/>
      <c r="E68" s="355"/>
      <c r="F68" s="923" t="s">
        <v>910</v>
      </c>
      <c r="G68" s="923"/>
      <c r="H68" s="353"/>
      <c r="I68" s="353"/>
      <c r="J68" s="355"/>
      <c r="K68" s="923" t="s">
        <v>911</v>
      </c>
      <c r="L68" s="923"/>
      <c r="M68" s="353"/>
      <c r="N68" s="353"/>
    </row>
    <row r="69" spans="1:14" ht="11.25" customHeight="1" x14ac:dyDescent="0.25">
      <c r="A69" s="350"/>
      <c r="B69" s="356"/>
      <c r="C69" s="356"/>
      <c r="D69" s="356"/>
      <c r="E69" s="356"/>
      <c r="F69" s="356"/>
      <c r="G69" s="356"/>
      <c r="H69" s="357"/>
      <c r="I69" s="357"/>
      <c r="J69" s="357"/>
      <c r="K69" s="357"/>
      <c r="L69" s="358"/>
      <c r="M69" s="358"/>
      <c r="N69" s="358"/>
    </row>
    <row r="70" spans="1:14" ht="11.25" customHeight="1" x14ac:dyDescent="0.25">
      <c r="A70" s="350"/>
      <c r="B70" s="350"/>
      <c r="C70" s="350"/>
      <c r="D70" s="350"/>
      <c r="E70" s="352"/>
      <c r="F70" s="352"/>
      <c r="G70" s="352"/>
      <c r="H70" s="352"/>
      <c r="I70" s="352"/>
      <c r="J70" s="352"/>
      <c r="K70" s="352"/>
      <c r="L70" s="352"/>
      <c r="M70" s="352"/>
      <c r="N70" s="352"/>
    </row>
    <row r="71" spans="1:14" x14ac:dyDescent="0.25">
      <c r="A71" s="918" t="s">
        <v>913</v>
      </c>
      <c r="B71" s="918"/>
      <c r="C71" s="918"/>
      <c r="D71" s="918"/>
      <c r="E71" s="359" t="s">
        <v>914</v>
      </c>
      <c r="F71" s="924"/>
      <c r="G71" s="925"/>
      <c r="H71" s="360"/>
      <c r="I71" s="360"/>
      <c r="J71" s="359" t="s">
        <v>915</v>
      </c>
      <c r="K71" s="924"/>
      <c r="L71" s="925"/>
      <c r="M71" s="360"/>
      <c r="N71" s="360"/>
    </row>
    <row r="72" spans="1:14" ht="11.25" customHeight="1" x14ac:dyDescent="0.25">
      <c r="A72" s="350"/>
      <c r="B72" s="350"/>
      <c r="C72" s="350"/>
      <c r="D72" s="350"/>
      <c r="E72" s="352"/>
      <c r="F72" s="352"/>
      <c r="G72" s="352"/>
      <c r="H72" s="352"/>
      <c r="I72" s="352"/>
      <c r="J72" s="352"/>
      <c r="K72" s="352"/>
      <c r="L72" s="352"/>
      <c r="M72" s="352"/>
      <c r="N72" s="352"/>
    </row>
    <row r="73" spans="1:14" x14ac:dyDescent="0.25">
      <c r="A73" s="918" t="s">
        <v>916</v>
      </c>
      <c r="B73" s="918"/>
      <c r="C73" s="918"/>
      <c r="D73" s="918"/>
      <c r="E73" s="919"/>
      <c r="F73" s="920"/>
      <c r="G73" s="920"/>
      <c r="H73" s="920"/>
      <c r="I73" s="920"/>
      <c r="J73" s="920"/>
      <c r="K73" s="920"/>
      <c r="L73" s="920"/>
      <c r="M73" s="920"/>
      <c r="N73" s="920"/>
    </row>
    <row r="74" spans="1:14" ht="11.25" customHeight="1" x14ac:dyDescent="0.25">
      <c r="A74" s="350"/>
      <c r="B74" s="350"/>
      <c r="C74" s="350"/>
      <c r="D74" s="350"/>
      <c r="E74" s="352"/>
      <c r="F74" s="352"/>
      <c r="G74" s="352"/>
      <c r="H74" s="352"/>
      <c r="I74" s="352"/>
      <c r="J74" s="352"/>
      <c r="K74" s="352"/>
      <c r="L74" s="352"/>
      <c r="M74" s="352"/>
      <c r="N74" s="352"/>
    </row>
    <row r="75" spans="1:14" x14ac:dyDescent="0.25">
      <c r="A75" s="921"/>
      <c r="B75" s="921"/>
      <c r="C75" s="921"/>
      <c r="D75" s="921"/>
      <c r="E75" s="921"/>
      <c r="F75" s="921"/>
      <c r="G75" s="921"/>
      <c r="H75" s="921"/>
      <c r="I75" s="921"/>
      <c r="J75" s="921"/>
      <c r="K75" s="921"/>
      <c r="L75" s="921"/>
      <c r="M75" s="921"/>
      <c r="N75" s="921"/>
    </row>
    <row r="76" spans="1:14" ht="25.5" x14ac:dyDescent="0.25">
      <c r="A76" s="361" t="s">
        <v>871</v>
      </c>
      <c r="B76" s="913"/>
      <c r="C76" s="913"/>
      <c r="D76" s="361"/>
      <c r="E76" s="914"/>
      <c r="F76" s="914"/>
      <c r="G76" s="914"/>
      <c r="H76" s="914"/>
      <c r="I76" s="922"/>
      <c r="J76" s="922"/>
      <c r="K76" s="922"/>
      <c r="L76" s="922"/>
      <c r="M76" s="922"/>
      <c r="N76" s="922"/>
    </row>
    <row r="77" spans="1:14" ht="11.25" customHeight="1" x14ac:dyDescent="0.25">
      <c r="A77" s="352"/>
      <c r="B77" s="352"/>
      <c r="C77" s="352"/>
      <c r="D77" s="352"/>
      <c r="E77" s="352"/>
      <c r="F77" s="352"/>
      <c r="G77" s="352"/>
      <c r="H77" s="352"/>
      <c r="I77" s="352"/>
      <c r="J77" s="352"/>
      <c r="K77" s="352"/>
      <c r="L77" s="352"/>
      <c r="M77" s="352"/>
      <c r="N77" s="352"/>
    </row>
    <row r="78" spans="1:14" x14ac:dyDescent="0.25">
      <c r="A78" s="361" t="s">
        <v>917</v>
      </c>
      <c r="B78" s="913"/>
      <c r="C78" s="913"/>
      <c r="D78" s="361"/>
      <c r="E78" s="914" t="s">
        <v>918</v>
      </c>
      <c r="F78" s="914"/>
      <c r="G78" s="914"/>
      <c r="H78" s="914"/>
      <c r="I78" s="915"/>
      <c r="J78" s="915"/>
      <c r="K78" s="915"/>
      <c r="L78" s="915"/>
      <c r="M78" s="915"/>
      <c r="N78" s="915"/>
    </row>
    <row r="79" spans="1:14" ht="11.25" customHeight="1" x14ac:dyDescent="0.25">
      <c r="A79" s="352"/>
      <c r="B79" s="352"/>
      <c r="C79" s="352"/>
      <c r="D79" s="352"/>
      <c r="E79" s="352"/>
      <c r="F79" s="352"/>
      <c r="G79" s="352"/>
      <c r="H79" s="352"/>
      <c r="I79" s="352"/>
      <c r="J79" s="352"/>
      <c r="K79" s="352"/>
      <c r="L79" s="352"/>
      <c r="M79" s="352"/>
      <c r="N79" s="352"/>
    </row>
    <row r="80" spans="1:14" ht="3.75" customHeight="1" x14ac:dyDescent="0.25">
      <c r="A80" s="352"/>
      <c r="B80" s="352"/>
      <c r="C80" s="352"/>
      <c r="D80" s="352"/>
      <c r="E80" s="352"/>
      <c r="F80" s="352"/>
      <c r="G80" s="352"/>
      <c r="H80" s="352"/>
      <c r="I80" s="352"/>
      <c r="J80" s="352"/>
      <c r="K80" s="352"/>
      <c r="L80" s="352"/>
      <c r="M80" s="352"/>
      <c r="N80" s="352"/>
    </row>
    <row r="81" spans="1:14" ht="15.75" x14ac:dyDescent="0.25">
      <c r="A81" s="916"/>
      <c r="B81" s="916"/>
      <c r="C81" s="917" t="s">
        <v>919</v>
      </c>
      <c r="D81" s="917"/>
      <c r="E81" s="917" t="s">
        <v>920</v>
      </c>
      <c r="F81" s="917"/>
      <c r="G81" s="917" t="s">
        <v>921</v>
      </c>
      <c r="H81" s="917"/>
      <c r="I81" s="917" t="s">
        <v>922</v>
      </c>
      <c r="J81" s="917"/>
      <c r="K81" s="352"/>
      <c r="L81" s="352"/>
      <c r="M81" s="352"/>
      <c r="N81" s="352"/>
    </row>
    <row r="82" spans="1:14" ht="15.75" x14ac:dyDescent="0.25">
      <c r="A82" s="910" t="s">
        <v>923</v>
      </c>
      <c r="B82" s="910"/>
      <c r="C82" s="912"/>
      <c r="D82" s="912"/>
      <c r="E82" s="912"/>
      <c r="F82" s="912"/>
      <c r="G82" s="912"/>
      <c r="H82" s="912"/>
      <c r="I82" s="912"/>
      <c r="J82" s="912"/>
      <c r="K82" s="352"/>
      <c r="L82" s="352"/>
      <c r="M82" s="352"/>
      <c r="N82" s="352"/>
    </row>
    <row r="83" spans="1:14" ht="15.75" x14ac:dyDescent="0.25">
      <c r="A83" s="910" t="s">
        <v>924</v>
      </c>
      <c r="B83" s="910"/>
      <c r="C83" s="912"/>
      <c r="D83" s="912"/>
      <c r="E83" s="912"/>
      <c r="F83" s="912"/>
      <c r="G83" s="912"/>
      <c r="H83" s="912"/>
      <c r="I83" s="912"/>
      <c r="J83" s="912"/>
      <c r="K83" s="352"/>
      <c r="L83" s="352"/>
      <c r="M83" s="352"/>
      <c r="N83" s="352"/>
    </row>
    <row r="84" spans="1:14" ht="15.75" x14ac:dyDescent="0.25">
      <c r="A84" s="910" t="s">
        <v>925</v>
      </c>
      <c r="B84" s="910"/>
      <c r="C84" s="911" t="s">
        <v>926</v>
      </c>
      <c r="D84" s="911"/>
      <c r="E84" s="911" t="s">
        <v>926</v>
      </c>
      <c r="F84" s="911"/>
      <c r="G84" s="911" t="s">
        <v>926</v>
      </c>
      <c r="H84" s="911"/>
      <c r="I84" s="911" t="s">
        <v>926</v>
      </c>
      <c r="J84" s="911"/>
      <c r="K84" s="352"/>
      <c r="L84" s="352"/>
      <c r="M84" s="352"/>
      <c r="N84" s="352"/>
    </row>
    <row r="85" spans="1:14" x14ac:dyDescent="0.25">
      <c r="A85" s="352"/>
      <c r="B85" s="352"/>
      <c r="C85" s="352"/>
      <c r="D85" s="352"/>
      <c r="E85" s="352"/>
      <c r="F85" s="352"/>
      <c r="G85" s="352"/>
      <c r="H85" s="352"/>
      <c r="I85" s="352"/>
      <c r="J85" s="352"/>
      <c r="K85" s="352"/>
      <c r="L85" s="352"/>
      <c r="M85" s="352"/>
      <c r="N85" s="352"/>
    </row>
    <row r="86" spans="1:14" x14ac:dyDescent="0.25">
      <c r="A86" s="352"/>
      <c r="B86" s="352"/>
      <c r="C86" s="352"/>
      <c r="D86" s="352"/>
      <c r="E86" s="352"/>
      <c r="F86" s="352"/>
      <c r="G86" s="352"/>
      <c r="H86" s="352"/>
      <c r="I86" s="352"/>
      <c r="J86" s="352"/>
      <c r="K86" s="352"/>
      <c r="L86" s="352"/>
      <c r="M86" s="352"/>
      <c r="N86" s="352"/>
    </row>
  </sheetData>
  <mergeCells count="96">
    <mergeCell ref="A2:N2"/>
    <mergeCell ref="A4:N4"/>
    <mergeCell ref="A6:D6"/>
    <mergeCell ref="E6:N6"/>
    <mergeCell ref="A8:D8"/>
    <mergeCell ref="E8:N8"/>
    <mergeCell ref="A10:D10"/>
    <mergeCell ref="E10:N10"/>
    <mergeCell ref="A12:D12"/>
    <mergeCell ref="E12:N12"/>
    <mergeCell ref="A14:D14"/>
    <mergeCell ref="E14:N14"/>
    <mergeCell ref="A17:D17"/>
    <mergeCell ref="E17:F17"/>
    <mergeCell ref="H17:I17"/>
    <mergeCell ref="A20:D20"/>
    <mergeCell ref="E20:F20"/>
    <mergeCell ref="H20:I20"/>
    <mergeCell ref="K20:L20"/>
    <mergeCell ref="A23:D23"/>
    <mergeCell ref="E23:F23"/>
    <mergeCell ref="H23:I23"/>
    <mergeCell ref="A25:D25"/>
    <mergeCell ref="E25:N25"/>
    <mergeCell ref="A27:D27"/>
    <mergeCell ref="E27:N27"/>
    <mergeCell ref="F29:K29"/>
    <mergeCell ref="A30:D30"/>
    <mergeCell ref="A34:D34"/>
    <mergeCell ref="E34:N34"/>
    <mergeCell ref="A36:D36"/>
    <mergeCell ref="E36:N36"/>
    <mergeCell ref="A38:D38"/>
    <mergeCell ref="E38:N38"/>
    <mergeCell ref="A40:D40"/>
    <mergeCell ref="E40:N40"/>
    <mergeCell ref="A42:D42"/>
    <mergeCell ref="E42:N42"/>
    <mergeCell ref="A44:D44"/>
    <mergeCell ref="E44:N44"/>
    <mergeCell ref="A46:D46"/>
    <mergeCell ref="E46:N46"/>
    <mergeCell ref="A48:D48"/>
    <mergeCell ref="E48:N48"/>
    <mergeCell ref="A50:D50"/>
    <mergeCell ref="E50:N50"/>
    <mergeCell ref="A52:D52"/>
    <mergeCell ref="E52:N52"/>
    <mergeCell ref="A54:D54"/>
    <mergeCell ref="E54:N54"/>
    <mergeCell ref="A56:N56"/>
    <mergeCell ref="A58:N58"/>
    <mergeCell ref="A60:D60"/>
    <mergeCell ref="E60:N60"/>
    <mergeCell ref="A62:D62"/>
    <mergeCell ref="E62:N62"/>
    <mergeCell ref="A64:D64"/>
    <mergeCell ref="E64:N64"/>
    <mergeCell ref="A66:D66"/>
    <mergeCell ref="F66:G66"/>
    <mergeCell ref="K66:L66"/>
    <mergeCell ref="A68:D68"/>
    <mergeCell ref="F68:G68"/>
    <mergeCell ref="K68:L68"/>
    <mergeCell ref="A71:D71"/>
    <mergeCell ref="F71:G71"/>
    <mergeCell ref="K71:L71"/>
    <mergeCell ref="A73:D73"/>
    <mergeCell ref="E73:N73"/>
    <mergeCell ref="A75:N75"/>
    <mergeCell ref="B76:C76"/>
    <mergeCell ref="E76:H76"/>
    <mergeCell ref="I76:N76"/>
    <mergeCell ref="B78:C78"/>
    <mergeCell ref="E78:H78"/>
    <mergeCell ref="I78:N78"/>
    <mergeCell ref="A81:B81"/>
    <mergeCell ref="C81:D81"/>
    <mergeCell ref="E81:F81"/>
    <mergeCell ref="G81:H81"/>
    <mergeCell ref="I81:J81"/>
    <mergeCell ref="A83:B83"/>
    <mergeCell ref="C83:D83"/>
    <mergeCell ref="E83:F83"/>
    <mergeCell ref="G83:H83"/>
    <mergeCell ref="I83:J83"/>
    <mergeCell ref="A82:B82"/>
    <mergeCell ref="C82:D82"/>
    <mergeCell ref="E82:F82"/>
    <mergeCell ref="G82:H82"/>
    <mergeCell ref="I82:J82"/>
    <mergeCell ref="A84:B84"/>
    <mergeCell ref="C84:D84"/>
    <mergeCell ref="E84:F84"/>
    <mergeCell ref="G84:H84"/>
    <mergeCell ref="I84:J84"/>
  </mergeCells>
  <dataValidations count="1">
    <dataValidation type="list" allowBlank="1" showInputMessage="1" showErrorMessage="1" sqref="E52:N52" xr:uid="{00000000-0002-0000-1100-000000000000}">
      <formula1>"Employee Only, Employee &amp; Dependents Scheme"</formula1>
    </dataValidation>
  </dataValidations>
  <pageMargins left="0.7" right="0.7" top="0.5" bottom="0.5" header="0.3" footer="0.3"/>
  <pageSetup scale="65" orientation="portrait" horizontalDpi="4294967295" verticalDpi="4294967295" r:id="rId1"/>
  <headerFooter>
    <oddHeader>&amp;C&amp;"Calibri"&amp;10&amp;K000000 Internal&amp;1#_x000D_</oddHeader>
    <oddFooter>&amp;L_x000D_&amp;1#&amp;"Calibri"&amp;10&amp;K737373 Confidential</oddFooter>
  </headerFooter>
  <rowBreaks count="1" manualBreakCount="1">
    <brk id="8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4</xdr:col>
                    <xdr:colOff>104775</xdr:colOff>
                    <xdr:row>29</xdr:row>
                    <xdr:rowOff>38100</xdr:rowOff>
                  </from>
                  <to>
                    <xdr:col>5</xdr:col>
                    <xdr:colOff>104775</xdr:colOff>
                    <xdr:row>31</xdr:row>
                    <xdr:rowOff>28575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5</xdr:col>
                    <xdr:colOff>104775</xdr:colOff>
                    <xdr:row>29</xdr:row>
                    <xdr:rowOff>38100</xdr:rowOff>
                  </from>
                  <to>
                    <xdr:col>6</xdr:col>
                    <xdr:colOff>95250</xdr:colOff>
                    <xdr:row>31</xdr:row>
                    <xdr:rowOff>28575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6</xdr:col>
                    <xdr:colOff>104775</xdr:colOff>
                    <xdr:row>29</xdr:row>
                    <xdr:rowOff>38100</xdr:rowOff>
                  </from>
                  <to>
                    <xdr:col>7</xdr:col>
                    <xdr:colOff>95250</xdr:colOff>
                    <xdr:row>31</xdr:row>
                    <xdr:rowOff>28575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7</xdr:col>
                    <xdr:colOff>104775</xdr:colOff>
                    <xdr:row>29</xdr:row>
                    <xdr:rowOff>38100</xdr:rowOff>
                  </from>
                  <to>
                    <xdr:col>8</xdr:col>
                    <xdr:colOff>95250</xdr:colOff>
                    <xdr:row>31</xdr:row>
                    <xdr:rowOff>28575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8</xdr:col>
                    <xdr:colOff>104775</xdr:colOff>
                    <xdr:row>29</xdr:row>
                    <xdr:rowOff>38100</xdr:rowOff>
                  </from>
                  <to>
                    <xdr:col>9</xdr:col>
                    <xdr:colOff>95250</xdr:colOff>
                    <xdr:row>31</xdr:row>
                    <xdr:rowOff>28575</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9</xdr:col>
                    <xdr:colOff>104775</xdr:colOff>
                    <xdr:row>29</xdr:row>
                    <xdr:rowOff>38100</xdr:rowOff>
                  </from>
                  <to>
                    <xdr:col>10</xdr:col>
                    <xdr:colOff>95250</xdr:colOff>
                    <xdr:row>31</xdr:row>
                    <xdr:rowOff>28575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10</xdr:col>
                    <xdr:colOff>28575</xdr:colOff>
                    <xdr:row>29</xdr:row>
                    <xdr:rowOff>47625</xdr:rowOff>
                  </from>
                  <to>
                    <xdr:col>11</xdr:col>
                    <xdr:colOff>9525</xdr:colOff>
                    <xdr:row>31</xdr:row>
                    <xdr:rowOff>38100</xdr:rowOff>
                  </to>
                </anchor>
              </controlPr>
            </control>
          </mc:Choice>
        </mc:AlternateContent>
        <mc:AlternateContent xmlns:mc="http://schemas.openxmlformats.org/markup-compatibility/2006">
          <mc:Choice Requires="x14">
            <control shapeId="92168" r:id="rId11" name="Option Button 8">
              <controlPr defaultSize="0" autoFill="0" autoLine="0" autoPict="0">
                <anchor moveWithCells="1">
                  <from>
                    <xdr:col>4</xdr:col>
                    <xdr:colOff>590550</xdr:colOff>
                    <xdr:row>14</xdr:row>
                    <xdr:rowOff>114300</xdr:rowOff>
                  </from>
                  <to>
                    <xdr:col>5</xdr:col>
                    <xdr:colOff>419100</xdr:colOff>
                    <xdr:row>16</xdr:row>
                    <xdr:rowOff>66675</xdr:rowOff>
                  </to>
                </anchor>
              </controlPr>
            </control>
          </mc:Choice>
        </mc:AlternateContent>
        <mc:AlternateContent xmlns:mc="http://schemas.openxmlformats.org/markup-compatibility/2006">
          <mc:Choice Requires="x14">
            <control shapeId="92169" r:id="rId12" name="Option Button 9">
              <controlPr defaultSize="0" autoFill="0" autoLine="0" autoPict="0">
                <anchor moveWithCells="1">
                  <from>
                    <xdr:col>7</xdr:col>
                    <xdr:colOff>504825</xdr:colOff>
                    <xdr:row>15</xdr:row>
                    <xdr:rowOff>0</xdr:rowOff>
                  </from>
                  <to>
                    <xdr:col>8</xdr:col>
                    <xdr:colOff>342900</xdr:colOff>
                    <xdr:row>16</xdr:row>
                    <xdr:rowOff>95250</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5</xdr:col>
                    <xdr:colOff>19050</xdr:colOff>
                    <xdr:row>18</xdr:row>
                    <xdr:rowOff>0</xdr:rowOff>
                  </from>
                  <to>
                    <xdr:col>5</xdr:col>
                    <xdr:colOff>304800</xdr:colOff>
                    <xdr:row>19</xdr:row>
                    <xdr:rowOff>28575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7</xdr:col>
                    <xdr:colOff>457200</xdr:colOff>
                    <xdr:row>18</xdr:row>
                    <xdr:rowOff>0</xdr:rowOff>
                  </from>
                  <to>
                    <xdr:col>8</xdr:col>
                    <xdr:colOff>142875</xdr:colOff>
                    <xdr:row>19</xdr:row>
                    <xdr:rowOff>28575</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10</xdr:col>
                    <xdr:colOff>457200</xdr:colOff>
                    <xdr:row>18</xdr:row>
                    <xdr:rowOff>0</xdr:rowOff>
                  </from>
                  <to>
                    <xdr:col>11</xdr:col>
                    <xdr:colOff>142875</xdr:colOff>
                    <xdr:row>19</xdr:row>
                    <xdr:rowOff>28575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4</xdr:col>
                    <xdr:colOff>552450</xdr:colOff>
                    <xdr:row>21</xdr:row>
                    <xdr:rowOff>0</xdr:rowOff>
                  </from>
                  <to>
                    <xdr:col>5</xdr:col>
                    <xdr:colOff>228600</xdr:colOff>
                    <xdr:row>22</xdr:row>
                    <xdr:rowOff>28575</xdr:rowOff>
                  </to>
                </anchor>
              </controlPr>
            </control>
          </mc:Choice>
        </mc:AlternateContent>
        <mc:AlternateContent xmlns:mc="http://schemas.openxmlformats.org/markup-compatibility/2006">
          <mc:Choice Requires="x14">
            <control shapeId="92174" r:id="rId17" name="Check Box 14">
              <controlPr defaultSize="0" autoFill="0" autoLine="0" autoPict="0">
                <anchor moveWithCells="1">
                  <from>
                    <xdr:col>7</xdr:col>
                    <xdr:colOff>523875</xdr:colOff>
                    <xdr:row>21</xdr:row>
                    <xdr:rowOff>0</xdr:rowOff>
                  </from>
                  <to>
                    <xdr:col>8</xdr:col>
                    <xdr:colOff>209550</xdr:colOff>
                    <xdr:row>22</xdr:row>
                    <xdr:rowOff>28575</xdr:rowOff>
                  </to>
                </anchor>
              </controlPr>
            </control>
          </mc:Choice>
        </mc:AlternateContent>
        <mc:AlternateContent xmlns:mc="http://schemas.openxmlformats.org/markup-compatibility/2006">
          <mc:Choice Requires="x14">
            <control shapeId="92175" r:id="rId18" name="Check Box 15">
              <controlPr defaultSize="0" autoFill="0" autoLine="0" autoPict="0">
                <anchor moveWithCells="1">
                  <from>
                    <xdr:col>4</xdr:col>
                    <xdr:colOff>161925</xdr:colOff>
                    <xdr:row>64</xdr:row>
                    <xdr:rowOff>76200</xdr:rowOff>
                  </from>
                  <to>
                    <xdr:col>5</xdr:col>
                    <xdr:colOff>161925</xdr:colOff>
                    <xdr:row>66</xdr:row>
                    <xdr:rowOff>114300</xdr:rowOff>
                  </to>
                </anchor>
              </controlPr>
            </control>
          </mc:Choice>
        </mc:AlternateContent>
        <mc:AlternateContent xmlns:mc="http://schemas.openxmlformats.org/markup-compatibility/2006">
          <mc:Choice Requires="x14">
            <control shapeId="92176" r:id="rId19" name="Check Box 16">
              <controlPr defaultSize="0" autoFill="0" autoLine="0" autoPict="0">
                <anchor moveWithCells="1">
                  <from>
                    <xdr:col>9</xdr:col>
                    <xdr:colOff>76200</xdr:colOff>
                    <xdr:row>64</xdr:row>
                    <xdr:rowOff>95250</xdr:rowOff>
                  </from>
                  <to>
                    <xdr:col>10</xdr:col>
                    <xdr:colOff>66675</xdr:colOff>
                    <xdr:row>66</xdr:row>
                    <xdr:rowOff>133350</xdr:rowOff>
                  </to>
                </anchor>
              </controlPr>
            </control>
          </mc:Choice>
        </mc:AlternateContent>
        <mc:AlternateContent xmlns:mc="http://schemas.openxmlformats.org/markup-compatibility/2006">
          <mc:Choice Requires="x14">
            <control shapeId="92177" r:id="rId20" name="Check Box 17">
              <controlPr defaultSize="0" autoFill="0" autoLine="0" autoPict="0">
                <anchor moveWithCells="1">
                  <from>
                    <xdr:col>4</xdr:col>
                    <xdr:colOff>152400</xdr:colOff>
                    <xdr:row>66</xdr:row>
                    <xdr:rowOff>85725</xdr:rowOff>
                  </from>
                  <to>
                    <xdr:col>5</xdr:col>
                    <xdr:colOff>152400</xdr:colOff>
                    <xdr:row>68</xdr:row>
                    <xdr:rowOff>123825</xdr:rowOff>
                  </to>
                </anchor>
              </controlPr>
            </control>
          </mc:Choice>
        </mc:AlternateContent>
        <mc:AlternateContent xmlns:mc="http://schemas.openxmlformats.org/markup-compatibility/2006">
          <mc:Choice Requires="x14">
            <control shapeId="92178" r:id="rId21" name="Check Box 18">
              <controlPr defaultSize="0" autoFill="0" autoLine="0" autoPict="0">
                <anchor moveWithCells="1">
                  <from>
                    <xdr:col>9</xdr:col>
                    <xdr:colOff>66675</xdr:colOff>
                    <xdr:row>66</xdr:row>
                    <xdr:rowOff>85725</xdr:rowOff>
                  </from>
                  <to>
                    <xdr:col>10</xdr:col>
                    <xdr:colOff>57150</xdr:colOff>
                    <xdr:row>68</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3" tint="0.39997558519241921"/>
  </sheetPr>
  <dimension ref="A1:BM179"/>
  <sheetViews>
    <sheetView workbookViewId="0"/>
  </sheetViews>
  <sheetFormatPr defaultColWidth="0" defaultRowHeight="12.6" customHeight="1" zeroHeight="1" outlineLevelCol="1" x14ac:dyDescent="0.2"/>
  <cols>
    <col min="1" max="1" width="12.5703125" style="94" customWidth="1"/>
    <col min="2" max="2" width="22.85546875" style="94" customWidth="1"/>
    <col min="3" max="3" width="13.140625" style="94" customWidth="1"/>
    <col min="4" max="4" width="17.5703125" style="94" customWidth="1"/>
    <col min="5" max="5" width="20.42578125" style="94" customWidth="1"/>
    <col min="6" max="6" width="13.140625" style="94" customWidth="1"/>
    <col min="7" max="7" width="21.5703125" style="94" customWidth="1"/>
    <col min="8" max="9" width="13.140625" style="94" customWidth="1"/>
    <col min="10" max="10" width="9.5703125" style="94" bestFit="1" customWidth="1"/>
    <col min="11" max="15" width="13.140625" style="94" customWidth="1"/>
    <col min="16" max="16" width="9.28515625" style="94" customWidth="1"/>
    <col min="17" max="17" width="15.7109375" style="95" customWidth="1"/>
    <col min="18" max="18" width="13.5703125" style="95" hidden="1" customWidth="1" outlineLevel="1"/>
    <col min="19" max="33" width="9.42578125" style="95" hidden="1" customWidth="1" outlineLevel="1"/>
    <col min="34" max="34" width="9.42578125" style="95" hidden="1" customWidth="1" collapsed="1"/>
    <col min="35" max="36" width="9.42578125" style="95" hidden="1" customWidth="1"/>
    <col min="37" max="37" width="16" style="95" hidden="1" customWidth="1"/>
    <col min="38" max="38" width="20.5703125" style="59" hidden="1" customWidth="1"/>
    <col min="39" max="39" width="14.5703125" style="59" hidden="1" customWidth="1"/>
    <col min="40" max="40" width="27.7109375" style="59" hidden="1" customWidth="1"/>
    <col min="41" max="41" width="10" style="102" hidden="1" customWidth="1"/>
    <col min="42" max="42" width="17.85546875" style="102" hidden="1" customWidth="1"/>
    <col min="43" max="43" width="13.7109375" style="102" hidden="1" customWidth="1"/>
    <col min="44" max="44" width="13.28515625" style="59" hidden="1" customWidth="1"/>
    <col min="45" max="46" width="10.5703125" style="102" hidden="1" customWidth="1"/>
    <col min="47" max="47" width="10.42578125" style="102" hidden="1" customWidth="1"/>
    <col min="48" max="48" width="7.7109375" style="102" hidden="1" customWidth="1"/>
    <col min="49" max="49" width="10.28515625" style="102" hidden="1" customWidth="1"/>
    <col min="50" max="50" width="7.7109375" style="102" hidden="1" customWidth="1"/>
    <col min="51" max="51" width="11.42578125" style="102" hidden="1" customWidth="1"/>
    <col min="52" max="52" width="8.7109375" style="102" hidden="1" customWidth="1"/>
    <col min="53" max="53" width="13.28515625" style="95" hidden="1" customWidth="1"/>
    <col min="54" max="54" width="17.7109375" style="95" hidden="1" customWidth="1"/>
    <col min="55" max="55" width="10.85546875" style="95" hidden="1" customWidth="1"/>
    <col min="56" max="59" width="16.5703125" style="59" hidden="1" customWidth="1"/>
    <col min="60" max="60" width="4.42578125" style="59" hidden="1" customWidth="1"/>
    <col min="61" max="63" width="16.5703125" style="59" hidden="1" customWidth="1"/>
    <col min="64" max="64" width="17.28515625" style="59" hidden="1" customWidth="1"/>
    <col min="65" max="16384" width="9.140625" style="95" hidden="1"/>
  </cols>
  <sheetData>
    <row r="1" spans="1:65" ht="21.75" customHeight="1" x14ac:dyDescent="0.2">
      <c r="A1" s="93"/>
      <c r="B1" s="93"/>
      <c r="C1" s="93"/>
      <c r="D1" s="784" t="s">
        <v>105</v>
      </c>
      <c r="E1" s="785"/>
      <c r="F1" s="81">
        <f>COUNTIF(Q6:Q155,"&lt;0")</f>
        <v>0</v>
      </c>
      <c r="G1" s="93"/>
      <c r="H1" s="93"/>
      <c r="I1" s="93"/>
      <c r="J1" s="132"/>
      <c r="K1" s="93"/>
      <c r="L1" s="93"/>
      <c r="M1" s="93"/>
      <c r="N1" s="93"/>
      <c r="O1" s="93"/>
      <c r="R1" s="95">
        <f>COUNTA(F6:F155)</f>
        <v>0</v>
      </c>
      <c r="S1" s="95">
        <f>COUNTIFS($F$6:$F$155,"A",$G$6:$G$155,"Dubai")</f>
        <v>0</v>
      </c>
      <c r="T1" s="95">
        <f>COUNTIFS($F$6:$F$155,"B",$G$6:$G$155,"Dubai")</f>
        <v>0</v>
      </c>
      <c r="U1" s="95">
        <f>COUNTIFS($F$6:$F$155,"C",$G$6:$G$155,"Dubai")</f>
        <v>0</v>
      </c>
      <c r="V1" s="95">
        <f>COUNTIFS($F$6:$F$155,"A",$G$6:$G$155,"Abu Dhabi")</f>
        <v>0</v>
      </c>
      <c r="W1" s="95">
        <f>COUNTIFS($F$6:$F$155,"B",$G$6:$G$155,"Abu Dhabi")</f>
        <v>0</v>
      </c>
      <c r="X1" s="95">
        <f>COUNTIFS($F$6:$F$155,"C",$G$6:$G$155,"Abu Dhabi")</f>
        <v>0</v>
      </c>
      <c r="Y1" s="95">
        <f>COUNTIF($S$1:$X$1,"&gt;"&amp;0)</f>
        <v>0</v>
      </c>
      <c r="Z1" s="95">
        <f>COUNTIFS($J$6:$J$155,"&gt;69",$G$6:$G$155,"Dubai")</f>
        <v>0</v>
      </c>
      <c r="AA1" s="95">
        <f>COUNTIFS($J$6:$J$155,"&gt;69",$G$6:$G$155,"Abu Dhabi")</f>
        <v>0</v>
      </c>
    </row>
    <row r="2" spans="1:65" ht="21.75" customHeight="1" x14ac:dyDescent="0.2">
      <c r="A2" s="93"/>
      <c r="B2" s="93"/>
      <c r="C2" s="93"/>
      <c r="D2" s="93"/>
      <c r="E2" s="93"/>
      <c r="F2" s="93"/>
      <c r="G2" s="93"/>
      <c r="H2" s="93"/>
      <c r="I2" s="93"/>
      <c r="J2" s="93"/>
      <c r="K2" s="93"/>
      <c r="L2" s="93"/>
      <c r="M2" s="93"/>
      <c r="N2" s="93"/>
      <c r="O2" s="93"/>
      <c r="BB2" s="95" t="s">
        <v>927</v>
      </c>
      <c r="BC2" s="481">
        <v>0.05</v>
      </c>
      <c r="BM2" s="59"/>
    </row>
    <row r="3" spans="1:65" ht="21.75" customHeight="1" x14ac:dyDescent="0.2">
      <c r="A3" s="93"/>
      <c r="B3" s="93"/>
      <c r="C3" s="93"/>
      <c r="D3" s="93"/>
      <c r="E3" s="93"/>
      <c r="F3" s="93"/>
      <c r="G3" s="93"/>
      <c r="H3" s="93"/>
      <c r="I3" s="93"/>
      <c r="J3" s="93"/>
      <c r="K3" s="93"/>
      <c r="L3" s="93"/>
      <c r="M3" s="93"/>
      <c r="N3" s="93"/>
      <c r="O3" s="93"/>
      <c r="AM3" s="59">
        <v>18</v>
      </c>
      <c r="AN3" s="59">
        <v>18</v>
      </c>
      <c r="BB3" s="95" t="s">
        <v>928</v>
      </c>
      <c r="BC3" s="169">
        <f>IF(OR(Inputs!C17="Yes",Inputs!C15="Yes"),120%,100%)</f>
        <v>1</v>
      </c>
      <c r="BM3" s="59"/>
    </row>
    <row r="4" spans="1:65" ht="21.75" customHeight="1" x14ac:dyDescent="0.2">
      <c r="A4" s="93"/>
      <c r="B4" s="93"/>
      <c r="C4" s="93"/>
      <c r="D4" s="93"/>
      <c r="E4" s="93"/>
      <c r="F4" s="93"/>
      <c r="G4" s="93"/>
      <c r="H4" s="93"/>
      <c r="I4" s="93"/>
      <c r="J4" s="93"/>
      <c r="K4" s="93"/>
      <c r="L4" s="93"/>
      <c r="M4" s="93"/>
      <c r="N4" s="93"/>
      <c r="O4" s="93"/>
      <c r="AM4" s="59">
        <v>50</v>
      </c>
      <c r="AN4" s="59">
        <v>50</v>
      </c>
      <c r="AO4" s="934" t="s">
        <v>109</v>
      </c>
      <c r="AP4" s="935"/>
      <c r="AQ4" s="935"/>
      <c r="AR4" s="935"/>
      <c r="AS4" s="935"/>
      <c r="AT4" s="935"/>
      <c r="AU4" s="935"/>
      <c r="AV4" s="935"/>
      <c r="AW4" s="935"/>
      <c r="AX4" s="935"/>
      <c r="AY4" s="935"/>
      <c r="AZ4" s="935"/>
      <c r="BA4" s="935"/>
      <c r="BB4" s="936"/>
      <c r="BD4" s="934" t="s">
        <v>110</v>
      </c>
      <c r="BE4" s="935"/>
      <c r="BF4" s="935"/>
      <c r="BG4" s="936"/>
      <c r="BI4" s="934" t="s">
        <v>111</v>
      </c>
      <c r="BJ4" s="935"/>
      <c r="BK4" s="935"/>
      <c r="BL4" s="936"/>
      <c r="BM4" s="59"/>
    </row>
    <row r="5" spans="1:65" ht="90" x14ac:dyDescent="0.2">
      <c r="A5" s="96" t="s">
        <v>114</v>
      </c>
      <c r="B5" s="97" t="s">
        <v>115</v>
      </c>
      <c r="C5" s="99" t="s">
        <v>116</v>
      </c>
      <c r="D5" s="99" t="s">
        <v>929</v>
      </c>
      <c r="E5" s="99" t="s">
        <v>930</v>
      </c>
      <c r="F5" s="99" t="s">
        <v>62</v>
      </c>
      <c r="G5" s="99" t="s">
        <v>931</v>
      </c>
      <c r="H5" s="99" t="s">
        <v>121</v>
      </c>
      <c r="I5" s="99" t="s">
        <v>932</v>
      </c>
      <c r="J5" s="98" t="s">
        <v>123</v>
      </c>
      <c r="K5" s="98" t="s">
        <v>124</v>
      </c>
      <c r="L5" s="98" t="str">
        <f>IF(Loadings=0,"Net","Gross")&amp;" Premium for complete year"</f>
        <v>Gross Premium for complete year</v>
      </c>
      <c r="M5" s="98" t="str">
        <f>IF(Loadings=0,"Net","Gross")&amp;" Maternity Premium for complete year"</f>
        <v>Gross Maternity Premium for complete year</v>
      </c>
      <c r="N5" s="98" t="str">
        <f>IF(Loadings=0,"Net","Gross")&amp;" Premium for coverage period"</f>
        <v>Gross Premium for coverage period</v>
      </c>
      <c r="O5" s="98" t="str">
        <f>IF(Loadings=0,"Net","Gross")&amp;" Maternity Premium for coverage period"</f>
        <v>Gross Maternity Premium for coverage period</v>
      </c>
      <c r="P5" s="783" t="s">
        <v>125</v>
      </c>
      <c r="Q5" s="783"/>
      <c r="R5" s="100" t="s">
        <v>126</v>
      </c>
      <c r="S5" s="100" t="s">
        <v>127</v>
      </c>
      <c r="T5" s="100" t="s">
        <v>128</v>
      </c>
      <c r="U5" s="100" t="s">
        <v>129</v>
      </c>
      <c r="V5" s="100" t="s">
        <v>130</v>
      </c>
      <c r="W5" s="100" t="s">
        <v>131</v>
      </c>
      <c r="X5" s="100" t="s">
        <v>132</v>
      </c>
      <c r="Y5" s="100" t="s">
        <v>133</v>
      </c>
      <c r="Z5" s="100" t="s">
        <v>134</v>
      </c>
      <c r="AA5" s="100" t="s">
        <v>135</v>
      </c>
      <c r="AB5" s="100" t="s">
        <v>136</v>
      </c>
      <c r="AC5" s="90" t="s">
        <v>137</v>
      </c>
      <c r="AD5" s="90" t="s">
        <v>138</v>
      </c>
      <c r="AE5" s="100" t="s">
        <v>139</v>
      </c>
      <c r="AF5" s="100" t="s">
        <v>39</v>
      </c>
      <c r="AG5" s="100" t="s">
        <v>140</v>
      </c>
      <c r="AH5" s="101"/>
      <c r="AI5" s="101"/>
      <c r="AJ5" s="101"/>
      <c r="AK5" s="102"/>
      <c r="AL5" s="102" t="s">
        <v>143</v>
      </c>
      <c r="AM5" s="102" t="s">
        <v>144</v>
      </c>
      <c r="AN5" s="102" t="s">
        <v>145</v>
      </c>
      <c r="AO5" s="102" t="s">
        <v>70</v>
      </c>
      <c r="AP5" s="102" t="s">
        <v>146</v>
      </c>
      <c r="AQ5" s="102" t="s">
        <v>147</v>
      </c>
      <c r="AR5" s="102" t="s">
        <v>148</v>
      </c>
      <c r="AS5" s="102" t="s">
        <v>149</v>
      </c>
      <c r="AT5" s="102" t="s">
        <v>150</v>
      </c>
      <c r="AU5" s="102" t="s">
        <v>151</v>
      </c>
      <c r="AV5" s="102" t="s">
        <v>150</v>
      </c>
      <c r="AW5" s="102" t="s">
        <v>152</v>
      </c>
      <c r="AX5" s="102" t="s">
        <v>150</v>
      </c>
      <c r="AY5" s="102" t="s">
        <v>153</v>
      </c>
      <c r="AZ5" s="102" t="s">
        <v>150</v>
      </c>
      <c r="BA5" s="102" t="s">
        <v>933</v>
      </c>
      <c r="BB5" s="103" t="s">
        <v>155</v>
      </c>
      <c r="BC5" s="102" t="s">
        <v>156</v>
      </c>
      <c r="BD5" s="102" t="s">
        <v>157</v>
      </c>
      <c r="BE5" s="102" t="s">
        <v>158</v>
      </c>
      <c r="BF5" s="102" t="s">
        <v>159</v>
      </c>
      <c r="BG5" s="102" t="s">
        <v>160</v>
      </c>
      <c r="BH5" s="102"/>
      <c r="BI5" s="102" t="s">
        <v>161</v>
      </c>
      <c r="BJ5" s="102" t="s">
        <v>162</v>
      </c>
      <c r="BK5" s="102" t="s">
        <v>159</v>
      </c>
      <c r="BL5" s="102" t="s">
        <v>160</v>
      </c>
    </row>
    <row r="6" spans="1:65" ht="14.25" x14ac:dyDescent="0.2">
      <c r="A6" s="59">
        <v>1</v>
      </c>
      <c r="B6" s="298"/>
      <c r="C6" s="299"/>
      <c r="D6" s="298"/>
      <c r="E6" s="298"/>
      <c r="F6" s="298"/>
      <c r="G6" s="298"/>
      <c r="H6" s="298"/>
      <c r="I6" s="503"/>
      <c r="J6" s="80" t="str">
        <f>IFERROR(ROUNDDOWN(IF(C6="","",(MAX((eff_date-Additions!C6)/365.25,0))),0),"")</f>
        <v/>
      </c>
      <c r="K6" s="59" t="str">
        <f>IF(F6="","",IF(G6="Dubai",HLOOKUP(F6,Inputs!$C$26:$M$28,3,0),HLOOKUP(F6,Inputs!$C$45:$M$46,2,0)))</f>
        <v/>
      </c>
      <c r="L6" s="335" t="str">
        <f t="shared" ref="L6:L37" si="0">IF(OR(AG6="x",AD6="x",J6&gt;69),"",IFERROR(BB6/(1-Loadings),""))</f>
        <v/>
      </c>
      <c r="M6" s="335">
        <f t="shared" ref="M6:M37" si="1">IFERROR((AY6*AZ6)/(1-Loadings),0)</f>
        <v>0</v>
      </c>
      <c r="N6" s="335" t="str">
        <f t="shared" ref="N6:N37" si="2">IF(OR(AG6="x",AD6="x",J6&gt;69),"",IFERROR(BB6/(1-Loadings)*IFERROR(((end_date-I6+1)/365),0),""))</f>
        <v/>
      </c>
      <c r="O6" s="335">
        <f t="shared" ref="O6:O37" si="3">IFERROR((AY6*AZ6)/(1-Loadings),0)*IFERROR(((end_date-I6+1)/365),0)</f>
        <v>0</v>
      </c>
      <c r="P6" s="104"/>
      <c r="Q6" s="105">
        <f>IF(R6,IF(COUNTIF(R6:AG6,"x")=0,1,IF(OR(S6="x",T6="x",U6="×",V6="x",W6="x",X6="x",Z6="x",Y6="x",AA6="x",AB6="x",AC6="x",AD6="x",AG6="x"),-2,-1)),0)</f>
        <v>0</v>
      </c>
      <c r="R6" s="59" t="b">
        <f t="shared" ref="R6:R69" si="4">NOT(AND(ISBLANK(C6),ISBLANK(D6),ISBLANK(E6),ISBLANK(F6),ISBLANK(G6)))</f>
        <v>0</v>
      </c>
      <c r="S6" s="102" t="str">
        <f>IF(OR(ISBLANK(C6),J6&gt;69),"x","")</f>
        <v>x</v>
      </c>
      <c r="T6" s="102" t="str">
        <f t="shared" ref="T6:T37" si="5">IF(ISBLANK(D6),"x","")</f>
        <v>x</v>
      </c>
      <c r="U6" s="102" t="str">
        <f t="shared" ref="U6:U37" si="6">IF(ISBLANK(E6),"x","")</f>
        <v>x</v>
      </c>
      <c r="V6" s="102" t="str">
        <f t="shared" ref="V6:V37" si="7">IF(ISBLANK(F6),"x","")</f>
        <v>x</v>
      </c>
      <c r="W6" s="102" t="str">
        <f t="shared" ref="W6:W37" si="8">IF(ISBLANK(G6),"x","")</f>
        <v>x</v>
      </c>
      <c r="X6" s="102" t="str">
        <f>IF(ISERROR(MATCH(G6,'Inputs Mapping'!$T$4:$T$5,0)),"x","")</f>
        <v>x</v>
      </c>
      <c r="Y6" s="102" t="str">
        <f>IF(ISERROR(MATCH(AE6,'Inputs Mapping'!$U$4:$U$5,0)),"x","")</f>
        <v>x</v>
      </c>
      <c r="Z6" s="102" t="str">
        <f>IF(ISERROR(MATCH(AF6,'Inputs Mapping'!$V$4:$V$5,0)),"x","")</f>
        <v>x</v>
      </c>
      <c r="AA6" s="102" t="str">
        <f>IF(ISERROR(MATCH(F6,'Inputs Mapping'!$W$4:$W$8,0)),"x","")</f>
        <v>x</v>
      </c>
      <c r="AB6" s="102" t="str">
        <f t="shared" ref="AB6:AB69" si="9">IF(ISBLANK(C6),"",IF(OR(ISERROR(J6),NOT(ISNUMBER(C6))),"x",""))</f>
        <v/>
      </c>
      <c r="AC6" s="102" t="str">
        <f t="shared" ref="AC6:AC69" si="10">IF(ISBLANK(C6),"",IF(ISERROR(J6),"",""))</f>
        <v/>
      </c>
      <c r="AD6" s="102" t="str">
        <f t="shared" ref="AD6:AD37" si="11">IF(ISBLANK(C6),"",IF(ISERROR(J6),"",IF(AND(eff_date-C6&lt;0,C6&lt;&gt;""),"x","")))</f>
        <v/>
      </c>
      <c r="AE6" s="102" t="str">
        <f>IF(D6="","",IF(LEFT(D6,1)="M","M",IF(LEFT(D6,1)="F","F","")))</f>
        <v/>
      </c>
      <c r="AF6" s="102" t="str">
        <f>IF(E6="","",IF(LEFT(E6)="M","M",IF(LEFT(E6)="S","S","")))</f>
        <v/>
      </c>
      <c r="AG6" s="102" t="str">
        <f>IF(AND(OR(G6="Dubai",G6="Abu Dhabi"),H6="Employee",J6&gt;=18),"",IF(AND(OR(G6="Dubai",G6="Abu Dhabi"),H6="Dependent"),"","x"))</f>
        <v>x</v>
      </c>
      <c r="AH6" s="102"/>
      <c r="AI6" s="102"/>
      <c r="AJ6" s="102"/>
      <c r="AK6" s="95" t="str">
        <f t="shared" ref="AK6:AK69" si="12">F6&amp;G6</f>
        <v/>
      </c>
      <c r="AL6" s="59" t="str">
        <f>IF(J6="","",VLOOKUP(J6,'Inputs Mapping'!$T$27:$V$30,3))</f>
        <v/>
      </c>
      <c r="AM6" s="59" t="str">
        <f>IF(J6="","",VLOOKUP(J6,'Inputs Mapping'!$T$17:$V$24,3))</f>
        <v/>
      </c>
      <c r="AN6" s="59" t="str">
        <f t="shared" ref="AN6:AN69" si="13">IF(G6="Dubai",IF(J6="","",1*AND(LEFT(AE6)="F",LEFT(AF6)="M",J6&gt;=$AN$3,J6&lt;$AN$4+1)),IF(J6="","",1*AND(LEFT(AE6)="F",LEFT(AF6)="M",J6&gt;=$AM$3,J6&lt;$AM$4+1)))</f>
        <v/>
      </c>
      <c r="AO6" s="102" t="str">
        <f t="shared" ref="AO6:AO69" si="14">K6</f>
        <v/>
      </c>
      <c r="AP6" s="102" t="str">
        <f>IF(F6="","",IF(G6="Dubai",HLOOKUP(F6,Inputs!$C$26:$M$36,5,0),HLOOKUP(F6,Inputs!$C$45:$M$49,5,0)))</f>
        <v/>
      </c>
      <c r="AQ6" s="102">
        <f t="shared" ref="AQ6:AQ69" si="15">G6</f>
        <v>0</v>
      </c>
      <c r="AR6" s="59" t="str">
        <f>IF(AM6="","",IF(AQ6="Dubai",VLOOKUP(AM6,'Inputs Mapping'!$V$17:$W$24,2,0),VLOOKUP(AL6,'Inputs Mapping'!$V$27:$W$30,2,0)))</f>
        <v/>
      </c>
      <c r="AS6" s="333">
        <f>IFERROR(IF($AQ6="","",HLOOKUP($AQ6&amp;RIGHT($AO6,1),'input for formula'!$B$16:$I$20,3,0)),0)</f>
        <v>0</v>
      </c>
      <c r="AT6" s="80">
        <f>IFERROR(IF($AQ6="","",HLOOKUP($AQ6&amp;$F6,'input for formula'!$B$22:$M$25,2,0)),0)</f>
        <v>0</v>
      </c>
      <c r="AU6" s="333">
        <f>IFERROR(IF($AQ6="","",HLOOKUP($AQ6&amp;RIGHT($AO6,1),'input for formula'!$B$16:$I$20,4,0)),0)</f>
        <v>0</v>
      </c>
      <c r="AV6" s="80">
        <f>IFERROR(IF($AQ6="","",HLOOKUP($AQ6&amp;$F6,'input for formula'!$B$22:$M$25,3,0)),0)</f>
        <v>0</v>
      </c>
      <c r="AW6" s="333">
        <f>IFERROR(IF($AQ6="","",HLOOKUP($AQ6&amp;RIGHT($AO6,1),'input for formula'!$B$16:$I$20,5,0)),0)</f>
        <v>0</v>
      </c>
      <c r="AX6" s="80">
        <f>IFERROR(IF($AQ6="","",HLOOKUP($AQ6&amp;$F6,'input for formula'!$B$22:$M$25,4,0)),0)</f>
        <v>0</v>
      </c>
      <c r="AY6" s="333">
        <f>IFERROR(IF($AQ6="","",IF(Additions!$AQ6="Abu Dhabi",VLOOKUP(Additions!$AP6,'input for formula'!$A$28:$C$41,3,0),VLOOKUP(Additions!$AP6,'input for formula'!$A$28:$C$41,2,0))),0)*IFERROR(1+IF(AQ6="Dubai",VLOOKUP(F6,'Quotation for Dubai Plans'!$V$6:$X$12,3,FALSE),VLOOKUP(F6,'Quotation for Abu Dhabi Plans'!$W$6:$Y$12,3,FALSE)),0)</f>
        <v>0</v>
      </c>
      <c r="AZ6" s="80" t="str">
        <f>AN6</f>
        <v/>
      </c>
      <c r="BA6" s="106" t="str">
        <f>IFERROR(IF(AO6="","",IF(AQ6="Dubai",HLOOKUP((AO6&amp;AP6),Deviation!$B$7:$S$8,2,0)*BI6*BK6*BL6*BJ6,HLOOKUP((AO6&amp;AP6),Deviation!$B$9:$K$10,2,0)*BI6*BK6*BL6*BJ6)),0)</f>
        <v/>
      </c>
      <c r="BB6" s="107" t="e">
        <f>IF(AO6="","",IFERROR(IF(AO6="","",IF(AQ6="Dubai",HLOOKUP(BC6,'input for formula'!$B$3:$F$10,AR6,FALSE), IF(AND(H6="Employee",AQ6="Abu Dhabi"),HLOOKUP(BC6,'input for formula'!$I$3:$K$7,AR6,FALSE),HLOOKUP(BC6,'input for formula'!$M$3:$O$7,AR6,FALSE)))*BA6+AS6*AT6+AU6*AV6+AW6*AX6),0)*$BC$3)*IF(Inputs!$C$19&gt;100,(1+$BC$2),1)</f>
        <v>#VALUE!</v>
      </c>
      <c r="BC6" s="95" t="str">
        <f>IF(AO6="","",IF(AQ6="","",AQ6&amp;RIGHT(AO6,1)))</f>
        <v/>
      </c>
      <c r="BD6" s="334" t="str">
        <f>IF(F6="","",IF(G6="Dubai",HLOOKUP(F6,Inputs!$C$26:$M$37,9,0),HLOOKUP(F6,Inputs!$C$45:$M$56,9,0)))</f>
        <v/>
      </c>
      <c r="BE6" s="335" t="str">
        <f>IF(F6="","",IF(G6="Dubai",HLOOKUP(F6,Inputs!$C$26:$M$37,10,0),HLOOKUP(F6,Inputs!$C$45:$M$56,10,0)))</f>
        <v/>
      </c>
      <c r="BF6" s="335" t="str">
        <f>IF(F6="","",IF(G6="Dubai",HLOOKUP(F6,Inputs!$C$26:$M$37,11,0),HLOOKUP(F6,Inputs!$C$45:$M$56,11,0)))</f>
        <v/>
      </c>
      <c r="BG6" s="334" t="str">
        <f>IF(F6="","",IF(G6="Dubai",HLOOKUP(F6,Inputs!$C$26:$M$37,12,0),HLOOKUP(F6,Inputs!$C$45:$M$56,12,0)))</f>
        <v/>
      </c>
      <c r="BI6" s="334" t="str">
        <f>IFERROR(IF(AO6="","",IF(AQ6="Dubai",IF(OR(AO6="Plan1",AO6="Plan2"),VLOOKUP(BD6,Deviation!$B$31:$D$33,2,FALSE),VLOOKUP(BD6,Deviation!$B$31:$D$33,3,FALSE)),IF(OR(AO6="Plan1",AO6="Plan2"),VLOOKUP(BD6,Deviation!$E$31:$G$33,2,FALSE),VLOOKUP(BD6,Deviation!$E$31:$G$33,3,FALSE)))),0)</f>
        <v/>
      </c>
      <c r="BJ6" s="336" t="str">
        <f>IFERROR(IF(AO6="","",IF(AQ6="Dubai",IF(AO6="Plan1",VLOOKUP(BE6,Deviation!$B$39:$C$40,2,FALSE),IF(AO6="Plan2",VLOOKUP(BE6,Deviation!$B$42:$C$43,2,FALSE),IF(AO6="Plan5",VLOOKUP(BE6,Deviation!$B$48:$C$49,2,FALSE),VLOOKUP(BE6,Deviation!$B$45:$C$46,2,FALSE)))),IF(AO6="Plan1",VLOOKUP(BE6,Deviation!$E$39:$F$40,2,FALSE),IF(AO6="Plan2",VLOOKUP(BE6,Deviation!$E$42:$F$43,2,FALSE),VLOOKUP(BE6,Deviation!$E$45:$F$46,2,FALSE))))),0)</f>
        <v/>
      </c>
      <c r="BK6" s="336" t="str">
        <f>IFERROR(IF(AO6="","",IF(AQ6="Dubai",IF(OR(AO6="Plan1",AO6="Plan2"),VLOOKUP(BF6,Deviation!$B$15:$D$18,2,FALSE),VLOOKUP(BF6,Deviation!$B$15:$D$18,3,FALSE)),IF(OR(AO6="Plan1",AO6="Plan2"),VLOOKUP(BF6,Deviation!$E$15:$G$18,2,FALSE),VLOOKUP(BF6,Deviation!$E$15:$G$18,3,FALSE)))),0)</f>
        <v/>
      </c>
      <c r="BL6" s="334" t="str">
        <f>IFERROR(IF(AO6="","",IF(AQ6="Dubai",VLOOKUP(BG6,Deviation!$B$24:$C$26,2,FALSE),100%)),0)</f>
        <v/>
      </c>
    </row>
    <row r="7" spans="1:65" ht="14.25" x14ac:dyDescent="0.2">
      <c r="A7" s="59">
        <v>2</v>
      </c>
      <c r="B7" s="298"/>
      <c r="C7" s="299"/>
      <c r="D7" s="298"/>
      <c r="E7" s="298"/>
      <c r="F7" s="298"/>
      <c r="G7" s="298"/>
      <c r="H7" s="298"/>
      <c r="I7" s="503"/>
      <c r="J7" s="80" t="str">
        <f>IFERROR(ROUNDDOWN(IF(C7="","",(MAX((eff_date-Additions!C7)/365.25,0))),0),"")</f>
        <v/>
      </c>
      <c r="K7" s="59" t="str">
        <f>IF(F7="","",IF(G7="Dubai",HLOOKUP(F7,Inputs!$C$26:$M$28,3,0),HLOOKUP(F7,Inputs!$C$45:$M$46,2,0)))</f>
        <v/>
      </c>
      <c r="L7" s="335" t="str">
        <f t="shared" si="0"/>
        <v/>
      </c>
      <c r="M7" s="335">
        <f t="shared" si="1"/>
        <v>0</v>
      </c>
      <c r="N7" s="335" t="str">
        <f t="shared" si="2"/>
        <v/>
      </c>
      <c r="O7" s="335">
        <f t="shared" si="3"/>
        <v>0</v>
      </c>
      <c r="P7" s="104"/>
      <c r="Q7" s="105">
        <f t="shared" ref="Q7:Q70" si="16">IF(R7,IF(COUNTIF(R7:AG7,"x")=0,1,IF(OR(S7="x",T7="x",U7="×",V7="x",W7="x",X7="x",Z7="x",Y7="x",AA7="x",AB7="x",AC7="x",AD7="x",AG7="x"),-2,-1)),0)</f>
        <v>0</v>
      </c>
      <c r="R7" s="59" t="b">
        <f t="shared" si="4"/>
        <v>0</v>
      </c>
      <c r="S7" s="102" t="str">
        <f t="shared" ref="S7:S70" si="17">IF(OR(ISBLANK(C7),J7&gt;69),"x","")</f>
        <v>x</v>
      </c>
      <c r="T7" s="102" t="str">
        <f t="shared" si="5"/>
        <v>x</v>
      </c>
      <c r="U7" s="102" t="str">
        <f t="shared" si="6"/>
        <v>x</v>
      </c>
      <c r="V7" s="102" t="str">
        <f t="shared" si="7"/>
        <v>x</v>
      </c>
      <c r="W7" s="102" t="str">
        <f t="shared" si="8"/>
        <v>x</v>
      </c>
      <c r="X7" s="102" t="str">
        <f>IF(ISERROR(MATCH(G7,'Inputs Mapping'!$T$4:$T$5,0)),"x","")</f>
        <v>x</v>
      </c>
      <c r="Y7" s="102" t="str">
        <f>IF(ISERROR(MATCH(AE7,'Inputs Mapping'!$U$4:$U$5,0)),"x","")</f>
        <v>x</v>
      </c>
      <c r="Z7" s="102" t="str">
        <f>IF(ISERROR(MATCH(AF7,'Inputs Mapping'!$V$4:$V$5,0)),"x","")</f>
        <v>x</v>
      </c>
      <c r="AA7" s="102" t="str">
        <f>IF(ISERROR(MATCH(F7,'Inputs Mapping'!$W$4:$W$8,0)),"x","")</f>
        <v>x</v>
      </c>
      <c r="AB7" s="102" t="str">
        <f t="shared" si="9"/>
        <v/>
      </c>
      <c r="AC7" s="102" t="str">
        <f t="shared" si="10"/>
        <v/>
      </c>
      <c r="AD7" s="102" t="str">
        <f t="shared" si="11"/>
        <v/>
      </c>
      <c r="AE7" s="102" t="str">
        <f t="shared" ref="AE7:AE70" si="18">IF(D7="","",IF(LEFT(D7,1)="M","M",IF(LEFT(D7,1)="F","F","")))</f>
        <v/>
      </c>
      <c r="AF7" s="102" t="str">
        <f t="shared" ref="AF7:AF70" si="19">IF(E7="","",IF(LEFT(E7)="M","M",IF(LEFT(E7)="S","S","")))</f>
        <v/>
      </c>
      <c r="AG7" s="102" t="str">
        <f t="shared" ref="AG7:AG70" si="20">IF(AND(OR(G7="Dubai",G7="Abu Dhabi"),H7="Employee",J7&gt;=18),"",IF(AND(OR(G7="Dubai",G7="Abu Dhabi"),H7="Dependent"),"","x"))</f>
        <v>x</v>
      </c>
      <c r="AK7" s="95" t="str">
        <f t="shared" si="12"/>
        <v/>
      </c>
      <c r="AL7" s="59" t="str">
        <f>IF(J7="","",VLOOKUP(J7,'Inputs Mapping'!$T$27:$V$30,3))</f>
        <v/>
      </c>
      <c r="AM7" s="59" t="str">
        <f>IF(J7="","",VLOOKUP(J7,'Inputs Mapping'!$T$17:$V$24,3))</f>
        <v/>
      </c>
      <c r="AN7" s="59" t="str">
        <f t="shared" si="13"/>
        <v/>
      </c>
      <c r="AO7" s="102" t="str">
        <f t="shared" si="14"/>
        <v/>
      </c>
      <c r="AP7" s="102" t="str">
        <f>IF(F7="","",IF(G7="Dubai",HLOOKUP(F7,Inputs!$C$26:$M$36,5,0),HLOOKUP(F7,Inputs!$C$45:$M$49,5,0)))</f>
        <v/>
      </c>
      <c r="AQ7" s="102">
        <f t="shared" si="15"/>
        <v>0</v>
      </c>
      <c r="AR7" s="59" t="str">
        <f>IF(AM7="","",IF(AQ7="Dubai",VLOOKUP(AM7,'Inputs Mapping'!$V$17:$W$24,2,0),VLOOKUP(AL7,'Inputs Mapping'!$V$27:$W$30,2,0)))</f>
        <v/>
      </c>
      <c r="AS7" s="333">
        <f>IFERROR(IF($AQ7="","",HLOOKUP($AQ7&amp;RIGHT($AO7,1),'input for formula'!$B$16:$I$20,3,0)),0)</f>
        <v>0</v>
      </c>
      <c r="AT7" s="80">
        <f>IFERROR(IF($AQ7="","",HLOOKUP($AQ7&amp;$F7,'input for formula'!$B$22:$M$25,2,0)),0)</f>
        <v>0</v>
      </c>
      <c r="AU7" s="333">
        <f>IFERROR(IF($AQ7="","",HLOOKUP($AQ7&amp;RIGHT($AO7,1),'input for formula'!$B$16:$I$20,4,0)),0)</f>
        <v>0</v>
      </c>
      <c r="AV7" s="80">
        <f>IFERROR(IF($AQ7="","",HLOOKUP($AQ7&amp;$F7,'input for formula'!$B$22:$M$25,3,0)),0)</f>
        <v>0</v>
      </c>
      <c r="AW7" s="333">
        <f>IFERROR(IF($AQ7="","",HLOOKUP($AQ7&amp;RIGHT($AO7,1),'input for formula'!$B$16:$I$20,5,0)),0)</f>
        <v>0</v>
      </c>
      <c r="AX7" s="80">
        <f>IFERROR(IF($AQ7="","",HLOOKUP($AQ7&amp;$F7,'input for formula'!$B$22:$M$25,4,0)),0)</f>
        <v>0</v>
      </c>
      <c r="AY7" s="333">
        <f>IFERROR(IF($AQ7="","",IF(Additions!$AQ7="Abu Dhabi",VLOOKUP(Additions!$AP7,'input for formula'!$A$28:$C$41,3,0),VLOOKUP(Additions!$AP7,'input for formula'!$A$28:$C$41,2,0))),0)*IFERROR(1+IF(AQ7="Dubai",VLOOKUP(F7,'Quotation for Dubai Plans'!$V$6:$X$12,3,FALSE),VLOOKUP(F7,'Quotation for Abu Dhabi Plans'!$W$6:$Y$12,3,FALSE)),0)</f>
        <v>0</v>
      </c>
      <c r="AZ7" s="80" t="str">
        <f t="shared" ref="AZ7:AZ33" si="21">AN7</f>
        <v/>
      </c>
      <c r="BA7" s="106" t="str">
        <f>IFERROR(IF(AO7="","",IF(AQ7="Dubai",HLOOKUP((AO7&amp;AP7),Deviation!$B$7:$S$8,2,0)*BI7*BK7*BL7*BJ7,HLOOKUP((AO7&amp;AP7),Deviation!$B$9:$K$10,2,0)*BI7*BK7*BL7*BJ7)),0)</f>
        <v/>
      </c>
      <c r="BB7" s="107" t="e">
        <f>IF(AO7="","",IFERROR(IF(AO7="","",IF(AQ7="Dubai",HLOOKUP(BC7,'input for formula'!$B$3:$F$10,AR7,FALSE), IF(AND(H7="Employee",AQ7="Abu Dhabi"),HLOOKUP(BC7,'input for formula'!$I$3:$K$7,AR7,FALSE),HLOOKUP(BC7,'input for formula'!$M$3:$O$7,AR7,FALSE)))*BA7+AS7*AT7+AU7*AV7+AW7*AX7),0)*$BC$3)*IF(Inputs!$C$19&gt;100,(1+$BC$2),1)</f>
        <v>#VALUE!</v>
      </c>
      <c r="BC7" s="95" t="str">
        <f t="shared" ref="BC7:BC70" si="22">IF(AO7="","",IF(AQ7="","",AQ7&amp;RIGHT(AO7,1)))</f>
        <v/>
      </c>
      <c r="BD7" s="334" t="str">
        <f>IF(F7="","",IF(G7="Dubai",HLOOKUP(F7,Inputs!$C$26:$M$37,9,0),HLOOKUP(F7,Inputs!$C$45:$M$56,9,0)))</f>
        <v/>
      </c>
      <c r="BE7" s="335" t="str">
        <f>IF(F7="","",IF(G7="Dubai",HLOOKUP(F7,Inputs!$C$26:$M$37,10,0),HLOOKUP(F7,Inputs!$C$45:$M$56,10,0)))</f>
        <v/>
      </c>
      <c r="BF7" s="335" t="str">
        <f>IF(F7="","",IF(G7="Dubai",HLOOKUP(F7,Inputs!$C$26:$M$37,11,0),HLOOKUP(F7,Inputs!$C$45:$M$56,11,0)))</f>
        <v/>
      </c>
      <c r="BG7" s="334" t="str">
        <f>IF(F7="","",IF(G7="Dubai",HLOOKUP(F7,Inputs!$C$26:$M$37,12,0),HLOOKUP(F7,Inputs!$C$45:$M$56,12,0)))</f>
        <v/>
      </c>
      <c r="BI7" s="334" t="str">
        <f>IFERROR(IF(AO7="","",IF(AQ7="Dubai",IF(OR(AO7="Plan1",AO7="Plan2"),VLOOKUP(BD7,Deviation!$B$31:$D$33,2,FALSE),VLOOKUP(BD7,Deviation!$B$31:$D$33,3,FALSE)),IF(OR(AO7="Plan1",AO7="Plan2"),VLOOKUP(BD7,Deviation!$E$31:$G$33,2,FALSE),VLOOKUP(BD7,Deviation!$E$31:$G$33,3,FALSE)))),0)</f>
        <v/>
      </c>
      <c r="BJ7" s="336" t="str">
        <f>IFERROR(IF(AO7="","",IF(AQ7="Dubai",IF(AO7="Plan1",VLOOKUP(BE7,Deviation!$B$39:$C$40,2,FALSE),IF(AO7="Plan2",VLOOKUP(BE7,Deviation!$B$42:$C$43,2,FALSE),IF(AO7="Plan5",VLOOKUP(BE7,Deviation!$B$48:$C$49,2,FALSE),VLOOKUP(BE7,Deviation!$B$45:$C$46,2,FALSE)))),IF(AO7="Plan1",VLOOKUP(BE7,Deviation!$E$39:$F$40,2,FALSE),IF(AO7="Plan2",VLOOKUP(BE7,Deviation!$E$42:$F$43,2,FALSE),VLOOKUP(BE7,Deviation!$E$45:$F$46,2,FALSE))))),0)</f>
        <v/>
      </c>
      <c r="BK7" s="336" t="str">
        <f>IFERROR(IF(AO7="","",IF(AQ7="Dubai",IF(OR(AO7="Plan1",AO7="Plan2"),VLOOKUP(BF7,Deviation!$B$15:$D$18,2,FALSE),VLOOKUP(BF7,Deviation!$B$15:$D$18,3,FALSE)),IF(OR(AO7="Plan1",AO7="Plan2"),VLOOKUP(BF7,Deviation!$E$15:$G$18,2,FALSE),VLOOKUP(BF7,Deviation!$E$15:$G$18,3,FALSE)))),0)</f>
        <v/>
      </c>
      <c r="BL7" s="334" t="str">
        <f>IFERROR(IF(AO7="","",IF(AQ7="Dubai",VLOOKUP(BG7,Deviation!$B$24:$C$26,2,FALSE),100%)),0)</f>
        <v/>
      </c>
    </row>
    <row r="8" spans="1:65" ht="14.25" x14ac:dyDescent="0.2">
      <c r="A8" s="59">
        <v>3</v>
      </c>
      <c r="B8" s="298"/>
      <c r="C8" s="299"/>
      <c r="D8" s="298"/>
      <c r="E8" s="298"/>
      <c r="F8" s="298"/>
      <c r="G8" s="298"/>
      <c r="H8" s="298"/>
      <c r="I8" s="503"/>
      <c r="J8" s="80" t="str">
        <f>IFERROR(ROUNDDOWN(IF(C8="","",(MAX((eff_date-Additions!C8)/365.25,0))),0),"")</f>
        <v/>
      </c>
      <c r="K8" s="59" t="str">
        <f>IF(F8="","",IF(G8="Dubai",HLOOKUP(F8,Inputs!$C$26:$M$28,3,0),HLOOKUP(F8,Inputs!$C$45:$M$46,2,0)))</f>
        <v/>
      </c>
      <c r="L8" s="335" t="str">
        <f t="shared" si="0"/>
        <v/>
      </c>
      <c r="M8" s="335">
        <f t="shared" si="1"/>
        <v>0</v>
      </c>
      <c r="N8" s="335" t="str">
        <f t="shared" si="2"/>
        <v/>
      </c>
      <c r="O8" s="335">
        <f t="shared" si="3"/>
        <v>0</v>
      </c>
      <c r="P8" s="104"/>
      <c r="Q8" s="105">
        <f t="shared" si="16"/>
        <v>0</v>
      </c>
      <c r="R8" s="59" t="b">
        <f t="shared" si="4"/>
        <v>0</v>
      </c>
      <c r="S8" s="102" t="str">
        <f t="shared" si="17"/>
        <v>x</v>
      </c>
      <c r="T8" s="102" t="str">
        <f t="shared" si="5"/>
        <v>x</v>
      </c>
      <c r="U8" s="102" t="str">
        <f t="shared" si="6"/>
        <v>x</v>
      </c>
      <c r="V8" s="102" t="str">
        <f t="shared" si="7"/>
        <v>x</v>
      </c>
      <c r="W8" s="102" t="str">
        <f t="shared" si="8"/>
        <v>x</v>
      </c>
      <c r="X8" s="102" t="str">
        <f>IF(ISERROR(MATCH(G8,'Inputs Mapping'!$T$4:$T$5,0)),"x","")</f>
        <v>x</v>
      </c>
      <c r="Y8" s="102" t="str">
        <f>IF(ISERROR(MATCH(AE8,'Inputs Mapping'!$U$4:$U$5,0)),"x","")</f>
        <v>x</v>
      </c>
      <c r="Z8" s="102" t="str">
        <f>IF(ISERROR(MATCH(AF8,'Inputs Mapping'!$V$4:$V$5,0)),"x","")</f>
        <v>x</v>
      </c>
      <c r="AA8" s="102" t="str">
        <f>IF(ISERROR(MATCH(F8,'Inputs Mapping'!$W$4:$W$8,0)),"x","")</f>
        <v>x</v>
      </c>
      <c r="AB8" s="102" t="str">
        <f t="shared" si="9"/>
        <v/>
      </c>
      <c r="AC8" s="102" t="str">
        <f t="shared" si="10"/>
        <v/>
      </c>
      <c r="AD8" s="102" t="str">
        <f t="shared" si="11"/>
        <v/>
      </c>
      <c r="AE8" s="102" t="str">
        <f t="shared" si="18"/>
        <v/>
      </c>
      <c r="AF8" s="102" t="str">
        <f t="shared" si="19"/>
        <v/>
      </c>
      <c r="AG8" s="102" t="str">
        <f t="shared" si="20"/>
        <v>x</v>
      </c>
      <c r="AK8" s="95" t="str">
        <f t="shared" si="12"/>
        <v/>
      </c>
      <c r="AL8" s="59" t="str">
        <f>IF(J8="","",VLOOKUP(J8,'Inputs Mapping'!$T$27:$V$30,3))</f>
        <v/>
      </c>
      <c r="AM8" s="59" t="str">
        <f>IF(J8="","",VLOOKUP(J8,'Inputs Mapping'!$T$17:$V$24,3))</f>
        <v/>
      </c>
      <c r="AN8" s="59" t="str">
        <f t="shared" si="13"/>
        <v/>
      </c>
      <c r="AO8" s="102" t="str">
        <f t="shared" si="14"/>
        <v/>
      </c>
      <c r="AP8" s="102" t="str">
        <f>IF(F8="","",IF(G8="Dubai",HLOOKUP(F8,Inputs!$C$26:$M$36,5,0),HLOOKUP(F8,Inputs!$C$45:$M$49,5,0)))</f>
        <v/>
      </c>
      <c r="AQ8" s="102">
        <f t="shared" si="15"/>
        <v>0</v>
      </c>
      <c r="AR8" s="59" t="str">
        <f>IF(AM8="","",IF(AQ8="Dubai",VLOOKUP(AM8,'Inputs Mapping'!$V$17:$W$24,2,0),VLOOKUP(AL8,'Inputs Mapping'!$V$27:$W$30,2,0)))</f>
        <v/>
      </c>
      <c r="AS8" s="333">
        <f>IFERROR(IF($AQ8="","",HLOOKUP($AQ8&amp;RIGHT($AO8,1),'input for formula'!$B$16:$I$20,3,0)),0)</f>
        <v>0</v>
      </c>
      <c r="AT8" s="80">
        <f>IFERROR(IF($AQ8="","",HLOOKUP($AQ8&amp;$F8,'input for formula'!$B$22:$M$25,2,0)),0)</f>
        <v>0</v>
      </c>
      <c r="AU8" s="333">
        <f>IFERROR(IF($AQ8="","",HLOOKUP($AQ8&amp;RIGHT($AO8,1),'input for formula'!$B$16:$I$20,4,0)),0)</f>
        <v>0</v>
      </c>
      <c r="AV8" s="80">
        <f>IFERROR(IF($AQ8="","",HLOOKUP($AQ8&amp;$F8,'input for formula'!$B$22:$M$25,3,0)),0)</f>
        <v>0</v>
      </c>
      <c r="AW8" s="333">
        <f>IFERROR(IF($AQ8="","",HLOOKUP($AQ8&amp;RIGHT($AO8,1),'input for formula'!$B$16:$I$20,5,0)),0)</f>
        <v>0</v>
      </c>
      <c r="AX8" s="80">
        <f>IFERROR(IF($AQ8="","",HLOOKUP($AQ8&amp;$F8,'input for formula'!$B$22:$M$25,4,0)),0)</f>
        <v>0</v>
      </c>
      <c r="AY8" s="333">
        <f>IFERROR(IF($AQ8="","",IF(Additions!$AQ8="Abu Dhabi",VLOOKUP(Additions!$AP8,'input for formula'!$A$28:$C$41,3,0),VLOOKUP(Additions!$AP8,'input for formula'!$A$28:$C$41,2,0))),0)*IFERROR(1+IF(AQ8="Dubai",VLOOKUP(F8,'Quotation for Dubai Plans'!$V$6:$X$12,3,FALSE),VLOOKUP(F8,'Quotation for Abu Dhabi Plans'!$W$6:$Y$12,3,FALSE)),0)</f>
        <v>0</v>
      </c>
      <c r="AZ8" s="80" t="str">
        <f t="shared" si="21"/>
        <v/>
      </c>
      <c r="BA8" s="106" t="str">
        <f>IFERROR(IF(AO8="","",IF(AQ8="Dubai",HLOOKUP((AO8&amp;AP8),Deviation!$B$7:$S$8,2,0)*BI8*BK8*BL8*BJ8,HLOOKUP((AO8&amp;AP8),Deviation!$B$9:$K$10,2,0)*BI8*BK8*BL8*BJ8)),0)</f>
        <v/>
      </c>
      <c r="BB8" s="107" t="e">
        <f>IF(AO8="","",IFERROR(IF(AO8="","",IF(AQ8="Dubai",HLOOKUP(BC8,'input for formula'!$B$3:$F$10,AR8,FALSE), IF(AND(H8="Employee",AQ8="Abu Dhabi"),HLOOKUP(BC8,'input for formula'!$I$3:$K$7,AR8,FALSE),HLOOKUP(BC8,'input for formula'!$M$3:$O$7,AR8,FALSE)))*BA8+AS8*AT8+AU8*AV8+AW8*AX8),0)*$BC$3)*IF(Inputs!$C$19&gt;100,(1+$BC$2),1)</f>
        <v>#VALUE!</v>
      </c>
      <c r="BC8" s="95" t="str">
        <f t="shared" si="22"/>
        <v/>
      </c>
      <c r="BD8" s="334" t="str">
        <f>IF(F8="","",IF(G8="Dubai",HLOOKUP(F8,Inputs!$C$26:$M$37,9,0),HLOOKUP(F8,Inputs!$C$45:$M$56,9,0)))</f>
        <v/>
      </c>
      <c r="BE8" s="335" t="str">
        <f>IF(F8="","",IF(G8="Dubai",HLOOKUP(F8,Inputs!$C$26:$M$37,10,0),HLOOKUP(F8,Inputs!$C$45:$M$56,10,0)))</f>
        <v/>
      </c>
      <c r="BF8" s="335" t="str">
        <f>IF(F8="","",IF(G8="Dubai",HLOOKUP(F8,Inputs!$C$26:$M$37,11,0),HLOOKUP(F8,Inputs!$C$45:$M$56,11,0)))</f>
        <v/>
      </c>
      <c r="BG8" s="334" t="str">
        <f>IF(F8="","",IF(G8="Dubai",HLOOKUP(F8,Inputs!$C$26:$M$37,12,0),HLOOKUP(F8,Inputs!$C$45:$M$56,12,0)))</f>
        <v/>
      </c>
      <c r="BI8" s="334" t="str">
        <f>IFERROR(IF(AO8="","",IF(AQ8="Dubai",IF(OR(AO8="Plan1",AO8="Plan2"),VLOOKUP(BD8,Deviation!$B$31:$D$33,2,FALSE),VLOOKUP(BD8,Deviation!$B$31:$D$33,3,FALSE)),IF(OR(AO8="Plan1",AO8="Plan2"),VLOOKUP(BD8,Deviation!$E$31:$G$33,2,FALSE),VLOOKUP(BD8,Deviation!$E$31:$G$33,3,FALSE)))),0)</f>
        <v/>
      </c>
      <c r="BJ8" s="336" t="str">
        <f>IFERROR(IF(AO8="","",IF(AQ8="Dubai",IF(AO8="Plan1",VLOOKUP(BE8,Deviation!$B$39:$C$40,2,FALSE),IF(AO8="Plan2",VLOOKUP(BE8,Deviation!$B$42:$C$43,2,FALSE),IF(AO8="Plan5",VLOOKUP(BE8,Deviation!$B$48:$C$49,2,FALSE),VLOOKUP(BE8,Deviation!$B$45:$C$46,2,FALSE)))),IF(AO8="Plan1",VLOOKUP(BE8,Deviation!$E$39:$F$40,2,FALSE),IF(AO8="Plan2",VLOOKUP(BE8,Deviation!$E$42:$F$43,2,FALSE),VLOOKUP(BE8,Deviation!$E$45:$F$46,2,FALSE))))),0)</f>
        <v/>
      </c>
      <c r="BK8" s="336" t="str">
        <f>IFERROR(IF(AO8="","",IF(AQ8="Dubai",IF(OR(AO8="Plan1",AO8="Plan2"),VLOOKUP(BF8,Deviation!$B$15:$D$18,2,FALSE),VLOOKUP(BF8,Deviation!$B$15:$D$18,3,FALSE)),IF(OR(AO8="Plan1",AO8="Plan2"),VLOOKUP(BF8,Deviation!$E$15:$G$18,2,FALSE),VLOOKUP(BF8,Deviation!$E$15:$G$18,3,FALSE)))),0)</f>
        <v/>
      </c>
      <c r="BL8" s="334" t="str">
        <f>IFERROR(IF(AO8="","",IF(AQ8="Dubai",VLOOKUP(BG8,Deviation!$B$24:$C$26,2,FALSE),100%)),0)</f>
        <v/>
      </c>
    </row>
    <row r="9" spans="1:65" ht="14.25" x14ac:dyDescent="0.2">
      <c r="A9" s="59">
        <v>4</v>
      </c>
      <c r="B9" s="298"/>
      <c r="C9" s="299"/>
      <c r="D9" s="298"/>
      <c r="E9" s="298"/>
      <c r="F9" s="298"/>
      <c r="G9" s="298"/>
      <c r="H9" s="298"/>
      <c r="I9" s="503"/>
      <c r="J9" s="80" t="str">
        <f>IFERROR(ROUNDDOWN(IF(C9="","",(MAX((eff_date-Additions!C9)/365.25,0))),0),"")</f>
        <v/>
      </c>
      <c r="K9" s="59" t="str">
        <f>IF(F9="","",IF(G9="Dubai",HLOOKUP(F9,Inputs!$C$26:$M$28,3,0),HLOOKUP(F9,Inputs!$C$45:$M$46,2,0)))</f>
        <v/>
      </c>
      <c r="L9" s="335" t="str">
        <f t="shared" si="0"/>
        <v/>
      </c>
      <c r="M9" s="335">
        <f t="shared" si="1"/>
        <v>0</v>
      </c>
      <c r="N9" s="335" t="str">
        <f t="shared" si="2"/>
        <v/>
      </c>
      <c r="O9" s="335">
        <f t="shared" si="3"/>
        <v>0</v>
      </c>
      <c r="P9" s="104"/>
      <c r="Q9" s="105">
        <f t="shared" si="16"/>
        <v>0</v>
      </c>
      <c r="R9" s="59" t="b">
        <f t="shared" si="4"/>
        <v>0</v>
      </c>
      <c r="S9" s="102" t="str">
        <f t="shared" si="17"/>
        <v>x</v>
      </c>
      <c r="T9" s="102" t="str">
        <f t="shared" si="5"/>
        <v>x</v>
      </c>
      <c r="U9" s="102" t="str">
        <f t="shared" si="6"/>
        <v>x</v>
      </c>
      <c r="V9" s="102" t="str">
        <f t="shared" si="7"/>
        <v>x</v>
      </c>
      <c r="W9" s="102" t="str">
        <f t="shared" si="8"/>
        <v>x</v>
      </c>
      <c r="X9" s="102" t="str">
        <f>IF(ISERROR(MATCH(G9,'Inputs Mapping'!$T$4:$T$5,0)),"x","")</f>
        <v>x</v>
      </c>
      <c r="Y9" s="102" t="str">
        <f>IF(ISERROR(MATCH(AE9,'Inputs Mapping'!$U$4:$U$5,0)),"x","")</f>
        <v>x</v>
      </c>
      <c r="Z9" s="102" t="str">
        <f>IF(ISERROR(MATCH(AF9,'Inputs Mapping'!$V$4:$V$5,0)),"x","")</f>
        <v>x</v>
      </c>
      <c r="AA9" s="102" t="str">
        <f>IF(ISERROR(MATCH(F9,'Inputs Mapping'!$W$4:$W$8,0)),"x","")</f>
        <v>x</v>
      </c>
      <c r="AB9" s="102" t="str">
        <f t="shared" si="9"/>
        <v/>
      </c>
      <c r="AC9" s="102" t="str">
        <f t="shared" si="10"/>
        <v/>
      </c>
      <c r="AD9" s="102" t="str">
        <f t="shared" si="11"/>
        <v/>
      </c>
      <c r="AE9" s="102" t="str">
        <f t="shared" si="18"/>
        <v/>
      </c>
      <c r="AF9" s="102" t="str">
        <f t="shared" si="19"/>
        <v/>
      </c>
      <c r="AG9" s="102" t="str">
        <f t="shared" si="20"/>
        <v>x</v>
      </c>
      <c r="AK9" s="95" t="str">
        <f t="shared" si="12"/>
        <v/>
      </c>
      <c r="AL9" s="59" t="str">
        <f>IF(J9="","",VLOOKUP(J9,'Inputs Mapping'!$T$27:$V$30,3))</f>
        <v/>
      </c>
      <c r="AM9" s="59" t="str">
        <f>IF(J9="","",VLOOKUP(J9,'Inputs Mapping'!$T$17:$V$24,3))</f>
        <v/>
      </c>
      <c r="AN9" s="59" t="str">
        <f t="shared" si="13"/>
        <v/>
      </c>
      <c r="AO9" s="102" t="str">
        <f t="shared" si="14"/>
        <v/>
      </c>
      <c r="AP9" s="102" t="str">
        <f>IF(F9="","",IF(G9="Dubai",HLOOKUP(F9,Inputs!$C$26:$M$36,5,0),HLOOKUP(F9,Inputs!$C$45:$M$49,5,0)))</f>
        <v/>
      </c>
      <c r="AQ9" s="102">
        <f t="shared" si="15"/>
        <v>0</v>
      </c>
      <c r="AR9" s="59" t="str">
        <f>IF(AM9="","",IF(AQ9="Dubai",VLOOKUP(AM9,'Inputs Mapping'!$V$17:$W$24,2,0),VLOOKUP(AL9,'Inputs Mapping'!$V$27:$W$30,2,0)))</f>
        <v/>
      </c>
      <c r="AS9" s="333">
        <f>IFERROR(IF($AQ9="","",HLOOKUP($AQ9&amp;RIGHT($AO9,1),'input for formula'!$B$16:$I$20,3,0)),0)</f>
        <v>0</v>
      </c>
      <c r="AT9" s="80">
        <f>IFERROR(IF($AQ9="","",HLOOKUP($AQ9&amp;$F9,'input for formula'!$B$22:$M$25,2,0)),0)</f>
        <v>0</v>
      </c>
      <c r="AU9" s="333">
        <f>IFERROR(IF($AQ9="","",HLOOKUP($AQ9&amp;RIGHT($AO9,1),'input for formula'!$B$16:$I$20,4,0)),0)</f>
        <v>0</v>
      </c>
      <c r="AV9" s="80">
        <f>IFERROR(IF($AQ9="","",HLOOKUP($AQ9&amp;$F9,'input for formula'!$B$22:$M$25,3,0)),0)</f>
        <v>0</v>
      </c>
      <c r="AW9" s="333">
        <f>IFERROR(IF($AQ9="","",HLOOKUP($AQ9&amp;RIGHT($AO9,1),'input for formula'!$B$16:$I$20,5,0)),0)</f>
        <v>0</v>
      </c>
      <c r="AX9" s="80">
        <f>IFERROR(IF($AQ9="","",HLOOKUP($AQ9&amp;$F9,'input for formula'!$B$22:$M$25,4,0)),0)</f>
        <v>0</v>
      </c>
      <c r="AY9" s="333">
        <f>IFERROR(IF($AQ9="","",IF(Additions!$AQ9="Abu Dhabi",VLOOKUP(Additions!$AP9,'input for formula'!$A$28:$C$41,3,0),VLOOKUP(Additions!$AP9,'input for formula'!$A$28:$C$41,2,0))),0)*IFERROR(1+IF(AQ9="Dubai",VLOOKUP(F9,'Quotation for Dubai Plans'!$V$6:$X$12,3,FALSE),VLOOKUP(F9,'Quotation for Abu Dhabi Plans'!$W$6:$Y$12,3,FALSE)),0)</f>
        <v>0</v>
      </c>
      <c r="AZ9" s="80" t="str">
        <f t="shared" si="21"/>
        <v/>
      </c>
      <c r="BA9" s="106" t="str">
        <f>IFERROR(IF(AO9="","",IF(AQ9="Dubai",HLOOKUP((AO9&amp;AP9),Deviation!$B$7:$S$8,2,0)*BI9*BK9*BL9*BJ9,HLOOKUP((AO9&amp;AP9),Deviation!$B$9:$K$10,2,0)*BI9*BK9*BL9*BJ9)),0)</f>
        <v/>
      </c>
      <c r="BB9" s="107" t="e">
        <f>IF(AO9="","",IFERROR(IF(AO9="","",IF(AQ9="Dubai",HLOOKUP(BC9,'input for formula'!$B$3:$F$10,AR9,FALSE), IF(AND(H9="Employee",AQ9="Abu Dhabi"),HLOOKUP(BC9,'input for formula'!$I$3:$K$7,AR9,FALSE),HLOOKUP(BC9,'input for formula'!$M$3:$O$7,AR9,FALSE)))*BA9+AS9*AT9+AU9*AV9+AW9*AX9),0)*$BC$3)*IF(Inputs!$C$19&gt;100,(1+$BC$2),1)</f>
        <v>#VALUE!</v>
      </c>
      <c r="BC9" s="95" t="str">
        <f t="shared" si="22"/>
        <v/>
      </c>
      <c r="BD9" s="334" t="str">
        <f>IF(F9="","",IF(G9="Dubai",HLOOKUP(F9,Inputs!$C$26:$M$37,9,0),HLOOKUP(F9,Inputs!$C$45:$M$56,9,0)))</f>
        <v/>
      </c>
      <c r="BE9" s="335" t="str">
        <f>IF(F9="","",IF(G9="Dubai",HLOOKUP(F9,Inputs!$C$26:$M$37,10,0),HLOOKUP(F9,Inputs!$C$45:$M$56,10,0)))</f>
        <v/>
      </c>
      <c r="BF9" s="335" t="str">
        <f>IF(F9="","",IF(G9="Dubai",HLOOKUP(F9,Inputs!$C$26:$M$37,11,0),HLOOKUP(F9,Inputs!$C$45:$M$56,11,0)))</f>
        <v/>
      </c>
      <c r="BG9" s="334" t="str">
        <f>IF(F9="","",IF(G9="Dubai",HLOOKUP(F9,Inputs!$C$26:$M$37,12,0),HLOOKUP(F9,Inputs!$C$45:$M$56,12,0)))</f>
        <v/>
      </c>
      <c r="BI9" s="334" t="str">
        <f>IFERROR(IF(AO9="","",IF(AQ9="Dubai",IF(OR(AO9="Plan1",AO9="Plan2"),VLOOKUP(BD9,Deviation!$B$31:$D$33,2,FALSE),VLOOKUP(BD9,Deviation!$B$31:$D$33,3,FALSE)),IF(OR(AO9="Plan1",AO9="Plan2"),VLOOKUP(BD9,Deviation!$E$31:$G$33,2,FALSE),VLOOKUP(BD9,Deviation!$E$31:$G$33,3,FALSE)))),0)</f>
        <v/>
      </c>
      <c r="BJ9" s="336" t="str">
        <f>IFERROR(IF(AO9="","",IF(AQ9="Dubai",IF(AO9="Plan1",VLOOKUP(BE9,Deviation!$B$39:$C$40,2,FALSE),IF(AO9="Plan2",VLOOKUP(BE9,Deviation!$B$42:$C$43,2,FALSE),IF(AO9="Plan5",VLOOKUP(BE9,Deviation!$B$48:$C$49,2,FALSE),VLOOKUP(BE9,Deviation!$B$45:$C$46,2,FALSE)))),IF(AO9="Plan1",VLOOKUP(BE9,Deviation!$E$39:$F$40,2,FALSE),IF(AO9="Plan2",VLOOKUP(BE9,Deviation!$E$42:$F$43,2,FALSE),VLOOKUP(BE9,Deviation!$E$45:$F$46,2,FALSE))))),0)</f>
        <v/>
      </c>
      <c r="BK9" s="336" t="str">
        <f>IFERROR(IF(AO9="","",IF(AQ9="Dubai",IF(OR(AO9="Plan1",AO9="Plan2"),VLOOKUP(BF9,Deviation!$B$15:$D$18,2,FALSE),VLOOKUP(BF9,Deviation!$B$15:$D$18,3,FALSE)),IF(OR(AO9="Plan1",AO9="Plan2"),VLOOKUP(BF9,Deviation!$E$15:$G$18,2,FALSE),VLOOKUP(BF9,Deviation!$E$15:$G$18,3,FALSE)))),0)</f>
        <v/>
      </c>
      <c r="BL9" s="334" t="str">
        <f>IFERROR(IF(AO9="","",IF(AQ9="Dubai",VLOOKUP(BG9,Deviation!$B$24:$C$26,2,FALSE),100%)),0)</f>
        <v/>
      </c>
    </row>
    <row r="10" spans="1:65" ht="14.25" x14ac:dyDescent="0.2">
      <c r="A10" s="59">
        <v>5</v>
      </c>
      <c r="B10" s="298"/>
      <c r="C10" s="299"/>
      <c r="D10" s="298"/>
      <c r="E10" s="298"/>
      <c r="F10" s="298"/>
      <c r="G10" s="298"/>
      <c r="H10" s="298"/>
      <c r="I10" s="503"/>
      <c r="J10" s="80" t="str">
        <f>IFERROR(ROUNDDOWN(IF(C10="","",(MAX((eff_date-Additions!C10)/365.25,0))),0),"")</f>
        <v/>
      </c>
      <c r="K10" s="59" t="str">
        <f>IF(F10="","",IF(G10="Dubai",HLOOKUP(F10,Inputs!$C$26:$M$28,3,0),HLOOKUP(F10,Inputs!$C$45:$M$46,2,0)))</f>
        <v/>
      </c>
      <c r="L10" s="335" t="str">
        <f t="shared" si="0"/>
        <v/>
      </c>
      <c r="M10" s="335">
        <f t="shared" si="1"/>
        <v>0</v>
      </c>
      <c r="N10" s="335" t="str">
        <f t="shared" si="2"/>
        <v/>
      </c>
      <c r="O10" s="335">
        <f t="shared" si="3"/>
        <v>0</v>
      </c>
      <c r="P10" s="104"/>
      <c r="Q10" s="105">
        <f t="shared" si="16"/>
        <v>0</v>
      </c>
      <c r="R10" s="59" t="b">
        <f t="shared" si="4"/>
        <v>0</v>
      </c>
      <c r="S10" s="102" t="str">
        <f t="shared" si="17"/>
        <v>x</v>
      </c>
      <c r="T10" s="102" t="str">
        <f t="shared" si="5"/>
        <v>x</v>
      </c>
      <c r="U10" s="102" t="str">
        <f t="shared" si="6"/>
        <v>x</v>
      </c>
      <c r="V10" s="102" t="str">
        <f t="shared" si="7"/>
        <v>x</v>
      </c>
      <c r="W10" s="102" t="str">
        <f t="shared" si="8"/>
        <v>x</v>
      </c>
      <c r="X10" s="102" t="str">
        <f>IF(ISERROR(MATCH(G10,'Inputs Mapping'!$T$4:$T$5,0)),"x","")</f>
        <v>x</v>
      </c>
      <c r="Y10" s="102" t="str">
        <f>IF(ISERROR(MATCH(AE10,'Inputs Mapping'!$U$4:$U$5,0)),"x","")</f>
        <v>x</v>
      </c>
      <c r="Z10" s="102" t="str">
        <f>IF(ISERROR(MATCH(AF10,'Inputs Mapping'!$V$4:$V$5,0)),"x","")</f>
        <v>x</v>
      </c>
      <c r="AA10" s="102" t="str">
        <f>IF(ISERROR(MATCH(F10,'Inputs Mapping'!$W$4:$W$8,0)),"x","")</f>
        <v>x</v>
      </c>
      <c r="AB10" s="102" t="str">
        <f t="shared" si="9"/>
        <v/>
      </c>
      <c r="AC10" s="102" t="str">
        <f t="shared" si="10"/>
        <v/>
      </c>
      <c r="AD10" s="102" t="str">
        <f t="shared" si="11"/>
        <v/>
      </c>
      <c r="AE10" s="102" t="str">
        <f t="shared" si="18"/>
        <v/>
      </c>
      <c r="AF10" s="102" t="str">
        <f t="shared" si="19"/>
        <v/>
      </c>
      <c r="AG10" s="102" t="str">
        <f t="shared" si="20"/>
        <v>x</v>
      </c>
      <c r="AK10" s="95" t="str">
        <f t="shared" si="12"/>
        <v/>
      </c>
      <c r="AL10" s="59" t="str">
        <f>IF(J10="","",VLOOKUP(J10,'Inputs Mapping'!$T$27:$V$30,3))</f>
        <v/>
      </c>
      <c r="AM10" s="59" t="str">
        <f>IF(J10="","",VLOOKUP(J10,'Inputs Mapping'!$T$17:$V$24,3))</f>
        <v/>
      </c>
      <c r="AN10" s="59" t="str">
        <f t="shared" si="13"/>
        <v/>
      </c>
      <c r="AO10" s="102" t="str">
        <f t="shared" si="14"/>
        <v/>
      </c>
      <c r="AP10" s="102" t="str">
        <f>IF(F10="","",IF(G10="Dubai",HLOOKUP(F10,Inputs!$C$26:$M$36,5,0),HLOOKUP(F10,Inputs!$C$45:$M$49,5,0)))</f>
        <v/>
      </c>
      <c r="AQ10" s="102">
        <f t="shared" si="15"/>
        <v>0</v>
      </c>
      <c r="AR10" s="59" t="str">
        <f>IF(AM10="","",IF(AQ10="Dubai",VLOOKUP(AM10,'Inputs Mapping'!$V$17:$W$24,2,0),VLOOKUP(AL10,'Inputs Mapping'!$V$27:$W$30,2,0)))</f>
        <v/>
      </c>
      <c r="AS10" s="333">
        <f>IFERROR(IF($AQ10="","",HLOOKUP($AQ10&amp;RIGHT($AO10,1),'input for formula'!$B$16:$I$20,3,0)),0)</f>
        <v>0</v>
      </c>
      <c r="AT10" s="80">
        <f>IFERROR(IF($AQ10="","",HLOOKUP($AQ10&amp;$F10,'input for formula'!$B$22:$M$25,2,0)),0)</f>
        <v>0</v>
      </c>
      <c r="AU10" s="333">
        <f>IFERROR(IF($AQ10="","",HLOOKUP($AQ10&amp;RIGHT($AO10,1),'input for formula'!$B$16:$I$20,4,0)),0)</f>
        <v>0</v>
      </c>
      <c r="AV10" s="80">
        <f>IFERROR(IF($AQ10="","",HLOOKUP($AQ10&amp;$F10,'input for formula'!$B$22:$M$25,3,0)),0)</f>
        <v>0</v>
      </c>
      <c r="AW10" s="333">
        <f>IFERROR(IF($AQ10="","",HLOOKUP($AQ10&amp;RIGHT($AO10,1),'input for formula'!$B$16:$I$20,5,0)),0)</f>
        <v>0</v>
      </c>
      <c r="AX10" s="80">
        <f>IFERROR(IF($AQ10="","",HLOOKUP($AQ10&amp;$F10,'input for formula'!$B$22:$M$25,4,0)),0)</f>
        <v>0</v>
      </c>
      <c r="AY10" s="333">
        <f>IFERROR(IF($AQ10="","",IF(Additions!$AQ10="Abu Dhabi",VLOOKUP(Additions!$AP10,'input for formula'!$A$28:$C$41,3,0),VLOOKUP(Additions!$AP10,'input for formula'!$A$28:$C$41,2,0))),0)*IFERROR(1+IF(AQ10="Dubai",VLOOKUP(F10,'Quotation for Dubai Plans'!$V$6:$X$12,3,FALSE),VLOOKUP(F10,'Quotation for Abu Dhabi Plans'!$W$6:$Y$12,3,FALSE)),0)</f>
        <v>0</v>
      </c>
      <c r="AZ10" s="80" t="str">
        <f t="shared" si="21"/>
        <v/>
      </c>
      <c r="BA10" s="106" t="str">
        <f>IFERROR(IF(AO10="","",IF(AQ10="Dubai",HLOOKUP((AO10&amp;AP10),Deviation!$B$7:$S$8,2,0)*BI10*BK10*BL10*BJ10,HLOOKUP((AO10&amp;AP10),Deviation!$B$9:$K$10,2,0)*BI10*BK10*BL10*BJ10)),0)</f>
        <v/>
      </c>
      <c r="BB10" s="107" t="e">
        <f>IF(AO10="","",IFERROR(IF(AO10="","",IF(AQ10="Dubai",HLOOKUP(BC10,'input for formula'!$B$3:$F$10,AR10,FALSE), IF(AND(H10="Employee",AQ10="Abu Dhabi"),HLOOKUP(BC10,'input for formula'!$I$3:$K$7,AR10,FALSE),HLOOKUP(BC10,'input for formula'!$M$3:$O$7,AR10,FALSE)))*BA10+AS10*AT10+AU10*AV10+AW10*AX10),0)*$BC$3)*IF(Inputs!$C$19&gt;100,(1+$BC$2),1)</f>
        <v>#VALUE!</v>
      </c>
      <c r="BC10" s="95" t="str">
        <f t="shared" si="22"/>
        <v/>
      </c>
      <c r="BD10" s="334" t="str">
        <f>IF(F10="","",IF(G10="Dubai",HLOOKUP(F10,Inputs!$C$26:$M$37,9,0),HLOOKUP(F10,Inputs!$C$45:$M$56,9,0)))</f>
        <v/>
      </c>
      <c r="BE10" s="335" t="str">
        <f>IF(F10="","",IF(G10="Dubai",HLOOKUP(F10,Inputs!$C$26:$M$37,10,0),HLOOKUP(F10,Inputs!$C$45:$M$56,10,0)))</f>
        <v/>
      </c>
      <c r="BF10" s="335" t="str">
        <f>IF(F10="","",IF(G10="Dubai",HLOOKUP(F10,Inputs!$C$26:$M$37,11,0),HLOOKUP(F10,Inputs!$C$45:$M$56,11,0)))</f>
        <v/>
      </c>
      <c r="BG10" s="334" t="str">
        <f>IF(F10="","",IF(G10="Dubai",HLOOKUP(F10,Inputs!$C$26:$M$37,12,0),HLOOKUP(F10,Inputs!$C$45:$M$56,12,0)))</f>
        <v/>
      </c>
      <c r="BI10" s="334" t="str">
        <f>IFERROR(IF(AO10="","",IF(AQ10="Dubai",IF(OR(AO10="Plan1",AO10="Plan2"),VLOOKUP(BD10,Deviation!$B$31:$D$33,2,FALSE),VLOOKUP(BD10,Deviation!$B$31:$D$33,3,FALSE)),IF(OR(AO10="Plan1",AO10="Plan2"),VLOOKUP(BD10,Deviation!$E$31:$G$33,2,FALSE),VLOOKUP(BD10,Deviation!$E$31:$G$33,3,FALSE)))),0)</f>
        <v/>
      </c>
      <c r="BJ10" s="336" t="str">
        <f>IFERROR(IF(AO10="","",IF(AQ10="Dubai",IF(AO10="Plan1",VLOOKUP(BE10,Deviation!$B$39:$C$40,2,FALSE),IF(AO10="Plan2",VLOOKUP(BE10,Deviation!$B$42:$C$43,2,FALSE),IF(AO10="Plan5",VLOOKUP(BE10,Deviation!$B$48:$C$49,2,FALSE),VLOOKUP(BE10,Deviation!$B$45:$C$46,2,FALSE)))),IF(AO10="Plan1",VLOOKUP(BE10,Deviation!$E$39:$F$40,2,FALSE),IF(AO10="Plan2",VLOOKUP(BE10,Deviation!$E$42:$F$43,2,FALSE),VLOOKUP(BE10,Deviation!$E$45:$F$46,2,FALSE))))),0)</f>
        <v/>
      </c>
      <c r="BK10" s="336" t="str">
        <f>IFERROR(IF(AO10="","",IF(AQ10="Dubai",IF(OR(AO10="Plan1",AO10="Plan2"),VLOOKUP(BF10,Deviation!$B$15:$D$18,2,FALSE),VLOOKUP(BF10,Deviation!$B$15:$D$18,3,FALSE)),IF(OR(AO10="Plan1",AO10="Plan2"),VLOOKUP(BF10,Deviation!$E$15:$G$18,2,FALSE),VLOOKUP(BF10,Deviation!$E$15:$G$18,3,FALSE)))),0)</f>
        <v/>
      </c>
      <c r="BL10" s="334" t="str">
        <f>IFERROR(IF(AO10="","",IF(AQ10="Dubai",VLOOKUP(BG10,Deviation!$B$24:$C$26,2,FALSE),100%)),0)</f>
        <v/>
      </c>
    </row>
    <row r="11" spans="1:65" ht="14.25" x14ac:dyDescent="0.2">
      <c r="A11" s="59">
        <v>6</v>
      </c>
      <c r="B11" s="298"/>
      <c r="C11" s="299"/>
      <c r="D11" s="298"/>
      <c r="E11" s="298"/>
      <c r="F11" s="298"/>
      <c r="G11" s="298"/>
      <c r="H11" s="298"/>
      <c r="I11" s="503"/>
      <c r="J11" s="80" t="str">
        <f>IFERROR(ROUNDDOWN(IF(C11="","",(MAX((eff_date-Additions!C11)/365.25,0))),0),"")</f>
        <v/>
      </c>
      <c r="K11" s="59" t="str">
        <f>IF(F11="","",IF(G11="Dubai",HLOOKUP(F11,Inputs!$C$26:$M$28,3,0),HLOOKUP(F11,Inputs!$C$45:$M$46,2,0)))</f>
        <v/>
      </c>
      <c r="L11" s="335" t="str">
        <f t="shared" si="0"/>
        <v/>
      </c>
      <c r="M11" s="335">
        <f t="shared" si="1"/>
        <v>0</v>
      </c>
      <c r="N11" s="335" t="str">
        <f t="shared" si="2"/>
        <v/>
      </c>
      <c r="O11" s="335">
        <f t="shared" si="3"/>
        <v>0</v>
      </c>
      <c r="P11" s="104"/>
      <c r="Q11" s="105">
        <f t="shared" si="16"/>
        <v>0</v>
      </c>
      <c r="R11" s="59" t="b">
        <f t="shared" si="4"/>
        <v>0</v>
      </c>
      <c r="S11" s="102" t="str">
        <f t="shared" si="17"/>
        <v>x</v>
      </c>
      <c r="T11" s="102" t="str">
        <f t="shared" si="5"/>
        <v>x</v>
      </c>
      <c r="U11" s="102" t="str">
        <f t="shared" si="6"/>
        <v>x</v>
      </c>
      <c r="V11" s="102" t="str">
        <f t="shared" si="7"/>
        <v>x</v>
      </c>
      <c r="W11" s="102" t="str">
        <f t="shared" si="8"/>
        <v>x</v>
      </c>
      <c r="X11" s="102" t="str">
        <f>IF(ISERROR(MATCH(G11,'Inputs Mapping'!$T$4:$T$5,0)),"x","")</f>
        <v>x</v>
      </c>
      <c r="Y11" s="102" t="str">
        <f>IF(ISERROR(MATCH(AE11,'Inputs Mapping'!$U$4:$U$5,0)),"x","")</f>
        <v>x</v>
      </c>
      <c r="Z11" s="102" t="str">
        <f>IF(ISERROR(MATCH(AF11,'Inputs Mapping'!$V$4:$V$5,0)),"x","")</f>
        <v>x</v>
      </c>
      <c r="AA11" s="102" t="str">
        <f>IF(ISERROR(MATCH(F11,'Inputs Mapping'!$W$4:$W$8,0)),"x","")</f>
        <v>x</v>
      </c>
      <c r="AB11" s="102" t="str">
        <f t="shared" si="9"/>
        <v/>
      </c>
      <c r="AC11" s="102" t="str">
        <f t="shared" si="10"/>
        <v/>
      </c>
      <c r="AD11" s="102" t="str">
        <f t="shared" si="11"/>
        <v/>
      </c>
      <c r="AE11" s="102" t="str">
        <f t="shared" si="18"/>
        <v/>
      </c>
      <c r="AF11" s="102" t="str">
        <f t="shared" si="19"/>
        <v/>
      </c>
      <c r="AG11" s="102" t="str">
        <f t="shared" si="20"/>
        <v>x</v>
      </c>
      <c r="AK11" s="95" t="str">
        <f t="shared" si="12"/>
        <v/>
      </c>
      <c r="AL11" s="59" t="str">
        <f>IF(J11="","",VLOOKUP(J11,'Inputs Mapping'!$T$27:$V$30,3))</f>
        <v/>
      </c>
      <c r="AM11" s="59" t="str">
        <f>IF(J11="","",VLOOKUP(J11,'Inputs Mapping'!$T$17:$V$24,3))</f>
        <v/>
      </c>
      <c r="AN11" s="59" t="str">
        <f t="shared" si="13"/>
        <v/>
      </c>
      <c r="AO11" s="102" t="str">
        <f t="shared" si="14"/>
        <v/>
      </c>
      <c r="AP11" s="102" t="str">
        <f>IF(F11="","",IF(G11="Dubai",HLOOKUP(F11,Inputs!$C$26:$M$36,5,0),HLOOKUP(F11,Inputs!$C$45:$M$49,5,0)))</f>
        <v/>
      </c>
      <c r="AQ11" s="102">
        <f t="shared" si="15"/>
        <v>0</v>
      </c>
      <c r="AR11" s="59" t="str">
        <f>IF(AM11="","",IF(AQ11="Dubai",VLOOKUP(AM11,'Inputs Mapping'!$V$17:$W$24,2,0),VLOOKUP(AL11,'Inputs Mapping'!$V$27:$W$30,2,0)))</f>
        <v/>
      </c>
      <c r="AS11" s="333">
        <f>IFERROR(IF($AQ11="","",HLOOKUP($AQ11&amp;RIGHT($AO11,1),'input for formula'!$B$16:$I$20,3,0)),0)</f>
        <v>0</v>
      </c>
      <c r="AT11" s="80">
        <f>IFERROR(IF($AQ11="","",HLOOKUP($AQ11&amp;$F11,'input for formula'!$B$22:$M$25,2,0)),0)</f>
        <v>0</v>
      </c>
      <c r="AU11" s="333">
        <f>IFERROR(IF($AQ11="","",HLOOKUP($AQ11&amp;RIGHT($AO11,1),'input for formula'!$B$16:$I$20,4,0)),0)</f>
        <v>0</v>
      </c>
      <c r="AV11" s="80">
        <f>IFERROR(IF($AQ11="","",HLOOKUP($AQ11&amp;$F11,'input for formula'!$B$22:$M$25,3,0)),0)</f>
        <v>0</v>
      </c>
      <c r="AW11" s="333">
        <f>IFERROR(IF($AQ11="","",HLOOKUP($AQ11&amp;RIGHT($AO11,1),'input for formula'!$B$16:$I$20,5,0)),0)</f>
        <v>0</v>
      </c>
      <c r="AX11" s="80">
        <f>IFERROR(IF($AQ11="","",HLOOKUP($AQ11&amp;$F11,'input for formula'!$B$22:$M$25,4,0)),0)</f>
        <v>0</v>
      </c>
      <c r="AY11" s="333">
        <f>IFERROR(IF($AQ11="","",IF(Additions!$AQ11="Abu Dhabi",VLOOKUP(Additions!$AP11,'input for formula'!$A$28:$C$41,3,0),VLOOKUP(Additions!$AP11,'input for formula'!$A$28:$C$41,2,0))),0)*IFERROR(1+IF(AQ11="Dubai",VLOOKUP(F11,'Quotation for Dubai Plans'!$V$6:$X$12,3,FALSE),VLOOKUP(F11,'Quotation for Abu Dhabi Plans'!$W$6:$Y$12,3,FALSE)),0)</f>
        <v>0</v>
      </c>
      <c r="AZ11" s="80" t="str">
        <f t="shared" si="21"/>
        <v/>
      </c>
      <c r="BA11" s="106" t="str">
        <f>IFERROR(IF(AO11="","",IF(AQ11="Dubai",HLOOKUP((AO11&amp;AP11),Deviation!$B$7:$S$8,2,0)*BI11*BK11*BL11*BJ11,HLOOKUP((AO11&amp;AP11),Deviation!$B$9:$K$10,2,0)*BI11*BK11*BL11*BJ11)),0)</f>
        <v/>
      </c>
      <c r="BB11" s="107" t="e">
        <f>IF(AO11="","",IFERROR(IF(AO11="","",IF(AQ11="Dubai",HLOOKUP(BC11,'input for formula'!$B$3:$F$10,AR11,FALSE), IF(AND(H11="Employee",AQ11="Abu Dhabi"),HLOOKUP(BC11,'input for formula'!$I$3:$K$7,AR11,FALSE),HLOOKUP(BC11,'input for formula'!$M$3:$O$7,AR11,FALSE)))*BA11+AS11*AT11+AU11*AV11+AW11*AX11),0)*$BC$3)*IF(Inputs!$C$19&gt;100,(1+$BC$2),1)</f>
        <v>#VALUE!</v>
      </c>
      <c r="BC11" s="95" t="str">
        <f t="shared" si="22"/>
        <v/>
      </c>
      <c r="BD11" s="334" t="str">
        <f>IF(F11="","",IF(G11="Dubai",HLOOKUP(F11,Inputs!$C$26:$M$37,9,0),HLOOKUP(F11,Inputs!$C$45:$M$56,9,0)))</f>
        <v/>
      </c>
      <c r="BE11" s="335" t="str">
        <f>IF(F11="","",IF(G11="Dubai",HLOOKUP(F11,Inputs!$C$26:$M$37,10,0),HLOOKUP(F11,Inputs!$C$45:$M$56,10,0)))</f>
        <v/>
      </c>
      <c r="BF11" s="335" t="str">
        <f>IF(F11="","",IF(G11="Dubai",HLOOKUP(F11,Inputs!$C$26:$M$37,11,0),HLOOKUP(F11,Inputs!$C$45:$M$56,11,0)))</f>
        <v/>
      </c>
      <c r="BG11" s="334" t="str">
        <f>IF(F11="","",IF(G11="Dubai",HLOOKUP(F11,Inputs!$C$26:$M$37,12,0),HLOOKUP(F11,Inputs!$C$45:$M$56,12,0)))</f>
        <v/>
      </c>
      <c r="BI11" s="334" t="str">
        <f>IFERROR(IF(AO11="","",IF(AQ11="Dubai",IF(OR(AO11="Plan1",AO11="Plan2"),VLOOKUP(BD11,Deviation!$B$31:$D$33,2,FALSE),VLOOKUP(BD11,Deviation!$B$31:$D$33,3,FALSE)),IF(OR(AO11="Plan1",AO11="Plan2"),VLOOKUP(BD11,Deviation!$E$31:$G$33,2,FALSE),VLOOKUP(BD11,Deviation!$E$31:$G$33,3,FALSE)))),0)</f>
        <v/>
      </c>
      <c r="BJ11" s="336" t="str">
        <f>IFERROR(IF(AO11="","",IF(AQ11="Dubai",IF(AO11="Plan1",VLOOKUP(BE11,Deviation!$B$39:$C$40,2,FALSE),IF(AO11="Plan2",VLOOKUP(BE11,Deviation!$B$42:$C$43,2,FALSE),IF(AO11="Plan5",VLOOKUP(BE11,Deviation!$B$48:$C$49,2,FALSE),VLOOKUP(BE11,Deviation!$B$45:$C$46,2,FALSE)))),IF(AO11="Plan1",VLOOKUP(BE11,Deviation!$E$39:$F$40,2,FALSE),IF(AO11="Plan2",VLOOKUP(BE11,Deviation!$E$42:$F$43,2,FALSE),VLOOKUP(BE11,Deviation!$E$45:$F$46,2,FALSE))))),0)</f>
        <v/>
      </c>
      <c r="BK11" s="336" t="str">
        <f>IFERROR(IF(AO11="","",IF(AQ11="Dubai",IF(OR(AO11="Plan1",AO11="Plan2"),VLOOKUP(BF11,Deviation!$B$15:$D$18,2,FALSE),VLOOKUP(BF11,Deviation!$B$15:$D$18,3,FALSE)),IF(OR(AO11="Plan1",AO11="Plan2"),VLOOKUP(BF11,Deviation!$E$15:$G$18,2,FALSE),VLOOKUP(BF11,Deviation!$E$15:$G$18,3,FALSE)))),0)</f>
        <v/>
      </c>
      <c r="BL11" s="334" t="str">
        <f>IFERROR(IF(AO11="","",IF(AQ11="Dubai",VLOOKUP(BG11,Deviation!$B$24:$C$26,2,FALSE),100%)),0)</f>
        <v/>
      </c>
    </row>
    <row r="12" spans="1:65" ht="14.25" x14ac:dyDescent="0.2">
      <c r="A12" s="59">
        <v>7</v>
      </c>
      <c r="B12" s="298"/>
      <c r="C12" s="299"/>
      <c r="D12" s="298"/>
      <c r="E12" s="298"/>
      <c r="F12" s="298"/>
      <c r="G12" s="298"/>
      <c r="H12" s="298"/>
      <c r="I12" s="503"/>
      <c r="J12" s="80" t="str">
        <f>IFERROR(ROUNDDOWN(IF(C12="","",(MAX((eff_date-Additions!C12)/365.25,0))),0),"")</f>
        <v/>
      </c>
      <c r="K12" s="59" t="str">
        <f>IF(F12="","",IF(G12="Dubai",HLOOKUP(F12,Inputs!$C$26:$M$28,3,0),HLOOKUP(F12,Inputs!$C$45:$M$46,2,0)))</f>
        <v/>
      </c>
      <c r="L12" s="335" t="str">
        <f t="shared" si="0"/>
        <v/>
      </c>
      <c r="M12" s="335">
        <f t="shared" si="1"/>
        <v>0</v>
      </c>
      <c r="N12" s="335" t="str">
        <f t="shared" si="2"/>
        <v/>
      </c>
      <c r="O12" s="335">
        <f t="shared" si="3"/>
        <v>0</v>
      </c>
      <c r="P12" s="104"/>
      <c r="Q12" s="105">
        <f t="shared" si="16"/>
        <v>0</v>
      </c>
      <c r="R12" s="59" t="b">
        <f t="shared" si="4"/>
        <v>0</v>
      </c>
      <c r="S12" s="102" t="str">
        <f t="shared" si="17"/>
        <v>x</v>
      </c>
      <c r="T12" s="102" t="str">
        <f t="shared" si="5"/>
        <v>x</v>
      </c>
      <c r="U12" s="102" t="str">
        <f t="shared" si="6"/>
        <v>x</v>
      </c>
      <c r="V12" s="102" t="str">
        <f t="shared" si="7"/>
        <v>x</v>
      </c>
      <c r="W12" s="102" t="str">
        <f t="shared" si="8"/>
        <v>x</v>
      </c>
      <c r="X12" s="102" t="str">
        <f>IF(ISERROR(MATCH(G12,'Inputs Mapping'!$T$4:$T$5,0)),"x","")</f>
        <v>x</v>
      </c>
      <c r="Y12" s="102" t="str">
        <f>IF(ISERROR(MATCH(AE12,'Inputs Mapping'!$U$4:$U$5,0)),"x","")</f>
        <v>x</v>
      </c>
      <c r="Z12" s="102" t="str">
        <f>IF(ISERROR(MATCH(AF12,'Inputs Mapping'!$V$4:$V$5,0)),"x","")</f>
        <v>x</v>
      </c>
      <c r="AA12" s="102" t="str">
        <f>IF(ISERROR(MATCH(F12,'Inputs Mapping'!$W$4:$W$8,0)),"x","")</f>
        <v>x</v>
      </c>
      <c r="AB12" s="102" t="str">
        <f t="shared" si="9"/>
        <v/>
      </c>
      <c r="AC12" s="102" t="str">
        <f t="shared" si="10"/>
        <v/>
      </c>
      <c r="AD12" s="102" t="str">
        <f t="shared" si="11"/>
        <v/>
      </c>
      <c r="AE12" s="102" t="str">
        <f t="shared" si="18"/>
        <v/>
      </c>
      <c r="AF12" s="102" t="str">
        <f t="shared" si="19"/>
        <v/>
      </c>
      <c r="AG12" s="102" t="str">
        <f t="shared" si="20"/>
        <v>x</v>
      </c>
      <c r="AK12" s="95" t="str">
        <f t="shared" si="12"/>
        <v/>
      </c>
      <c r="AL12" s="59" t="str">
        <f>IF(J12="","",VLOOKUP(J12,'Inputs Mapping'!$T$27:$V$30,3))</f>
        <v/>
      </c>
      <c r="AM12" s="59" t="str">
        <f>IF(J12="","",VLOOKUP(J12,'Inputs Mapping'!$T$17:$V$24,3))</f>
        <v/>
      </c>
      <c r="AN12" s="59" t="str">
        <f t="shared" si="13"/>
        <v/>
      </c>
      <c r="AO12" s="102" t="str">
        <f t="shared" si="14"/>
        <v/>
      </c>
      <c r="AP12" s="102" t="str">
        <f>IF(F12="","",IF(G12="Dubai",HLOOKUP(F12,Inputs!$C$26:$M$36,5,0),HLOOKUP(F12,Inputs!$C$45:$M$49,5,0)))</f>
        <v/>
      </c>
      <c r="AQ12" s="102">
        <f t="shared" si="15"/>
        <v>0</v>
      </c>
      <c r="AR12" s="59" t="str">
        <f>IF(AM12="","",IF(AQ12="Dubai",VLOOKUP(AM12,'Inputs Mapping'!$V$17:$W$24,2,0),VLOOKUP(AL12,'Inputs Mapping'!$V$27:$W$30,2,0)))</f>
        <v/>
      </c>
      <c r="AS12" s="333">
        <f>IFERROR(IF($AQ12="","",HLOOKUP($AQ12&amp;RIGHT($AO12,1),'input for formula'!$B$16:$I$20,3,0)),0)</f>
        <v>0</v>
      </c>
      <c r="AT12" s="80">
        <f>IFERROR(IF($AQ12="","",HLOOKUP($AQ12&amp;$F12,'input for formula'!$B$22:$M$25,2,0)),0)</f>
        <v>0</v>
      </c>
      <c r="AU12" s="333">
        <f>IFERROR(IF($AQ12="","",HLOOKUP($AQ12&amp;RIGHT($AO12,1),'input for formula'!$B$16:$I$20,4,0)),0)</f>
        <v>0</v>
      </c>
      <c r="AV12" s="80">
        <f>IFERROR(IF($AQ12="","",HLOOKUP($AQ12&amp;$F12,'input for formula'!$B$22:$M$25,3,0)),0)</f>
        <v>0</v>
      </c>
      <c r="AW12" s="333">
        <f>IFERROR(IF($AQ12="","",HLOOKUP($AQ12&amp;RIGHT($AO12,1),'input for formula'!$B$16:$I$20,5,0)),0)</f>
        <v>0</v>
      </c>
      <c r="AX12" s="80">
        <f>IFERROR(IF($AQ12="","",HLOOKUP($AQ12&amp;$F12,'input for formula'!$B$22:$M$25,4,0)),0)</f>
        <v>0</v>
      </c>
      <c r="AY12" s="333">
        <f>IFERROR(IF($AQ12="","",IF(Additions!$AQ12="Abu Dhabi",VLOOKUP(Additions!$AP12,'input for formula'!$A$28:$C$41,3,0),VLOOKUP(Additions!$AP12,'input for formula'!$A$28:$C$41,2,0))),0)*IFERROR(1+IF(AQ12="Dubai",VLOOKUP(F12,'Quotation for Dubai Plans'!$V$6:$X$12,3,FALSE),VLOOKUP(F12,'Quotation for Abu Dhabi Plans'!$W$6:$Y$12,3,FALSE)),0)</f>
        <v>0</v>
      </c>
      <c r="AZ12" s="80" t="str">
        <f t="shared" si="21"/>
        <v/>
      </c>
      <c r="BA12" s="106" t="str">
        <f>IFERROR(IF(AO12="","",IF(AQ12="Dubai",HLOOKUP((AO12&amp;AP12),Deviation!$B$7:$S$8,2,0)*BI12*BK12*BL12*BJ12,HLOOKUP((AO12&amp;AP12),Deviation!$B$9:$K$10,2,0)*BI12*BK12*BL12*BJ12)),0)</f>
        <v/>
      </c>
      <c r="BB12" s="107" t="e">
        <f>IF(AO12="","",IFERROR(IF(AO12="","",IF(AQ12="Dubai",HLOOKUP(BC12,'input for formula'!$B$3:$F$10,AR12,FALSE), IF(AND(H12="Employee",AQ12="Abu Dhabi"),HLOOKUP(BC12,'input for formula'!$I$3:$K$7,AR12,FALSE),HLOOKUP(BC12,'input for formula'!$M$3:$O$7,AR12,FALSE)))*BA12+AS12*AT12+AU12*AV12+AW12*AX12),0)*$BC$3)*IF(Inputs!$C$19&gt;100,(1+$BC$2),1)</f>
        <v>#VALUE!</v>
      </c>
      <c r="BC12" s="95" t="str">
        <f t="shared" si="22"/>
        <v/>
      </c>
      <c r="BD12" s="334" t="str">
        <f>IF(F12="","",IF(G12="Dubai",HLOOKUP(F12,Inputs!$C$26:$M$37,9,0),HLOOKUP(F12,Inputs!$C$45:$M$56,9,0)))</f>
        <v/>
      </c>
      <c r="BE12" s="335" t="str">
        <f>IF(F12="","",IF(G12="Dubai",HLOOKUP(F12,Inputs!$C$26:$M$37,10,0),HLOOKUP(F12,Inputs!$C$45:$M$56,10,0)))</f>
        <v/>
      </c>
      <c r="BF12" s="335" t="str">
        <f>IF(F12="","",IF(G12="Dubai",HLOOKUP(F12,Inputs!$C$26:$M$37,11,0),HLOOKUP(F12,Inputs!$C$45:$M$56,11,0)))</f>
        <v/>
      </c>
      <c r="BG12" s="334" t="str">
        <f>IF(F12="","",IF(G12="Dubai",HLOOKUP(F12,Inputs!$C$26:$M$37,12,0),HLOOKUP(F12,Inputs!$C$45:$M$56,12,0)))</f>
        <v/>
      </c>
      <c r="BI12" s="334" t="str">
        <f>IFERROR(IF(AO12="","",IF(AQ12="Dubai",IF(OR(AO12="Plan1",AO12="Plan2"),VLOOKUP(BD12,Deviation!$B$31:$D$33,2,FALSE),VLOOKUP(BD12,Deviation!$B$31:$D$33,3,FALSE)),IF(OR(AO12="Plan1",AO12="Plan2"),VLOOKUP(BD12,Deviation!$E$31:$G$33,2,FALSE),VLOOKUP(BD12,Deviation!$E$31:$G$33,3,FALSE)))),0)</f>
        <v/>
      </c>
      <c r="BJ12" s="336" t="str">
        <f>IFERROR(IF(AO12="","",IF(AQ12="Dubai",IF(AO12="Plan1",VLOOKUP(BE12,Deviation!$B$39:$C$40,2,FALSE),IF(AO12="Plan2",VLOOKUP(BE12,Deviation!$B$42:$C$43,2,FALSE),IF(AO12="Plan5",VLOOKUP(BE12,Deviation!$B$48:$C$49,2,FALSE),VLOOKUP(BE12,Deviation!$B$45:$C$46,2,FALSE)))),IF(AO12="Plan1",VLOOKUP(BE12,Deviation!$E$39:$F$40,2,FALSE),IF(AO12="Plan2",VLOOKUP(BE12,Deviation!$E$42:$F$43,2,FALSE),VLOOKUP(BE12,Deviation!$E$45:$F$46,2,FALSE))))),0)</f>
        <v/>
      </c>
      <c r="BK12" s="336" t="str">
        <f>IFERROR(IF(AO12="","",IF(AQ12="Dubai",IF(OR(AO12="Plan1",AO12="Plan2"),VLOOKUP(BF12,Deviation!$B$15:$D$18,2,FALSE),VLOOKUP(BF12,Deviation!$B$15:$D$18,3,FALSE)),IF(OR(AO12="Plan1",AO12="Plan2"),VLOOKUP(BF12,Deviation!$E$15:$G$18,2,FALSE),VLOOKUP(BF12,Deviation!$E$15:$G$18,3,FALSE)))),0)</f>
        <v/>
      </c>
      <c r="BL12" s="334" t="str">
        <f>IFERROR(IF(AO12="","",IF(AQ12="Dubai",VLOOKUP(BG12,Deviation!$B$24:$C$26,2,FALSE),100%)),0)</f>
        <v/>
      </c>
    </row>
    <row r="13" spans="1:65" ht="14.25" x14ac:dyDescent="0.2">
      <c r="A13" s="59">
        <v>8</v>
      </c>
      <c r="B13" s="298"/>
      <c r="C13" s="299"/>
      <c r="D13" s="298"/>
      <c r="E13" s="298"/>
      <c r="F13" s="298"/>
      <c r="G13" s="298"/>
      <c r="H13" s="298"/>
      <c r="I13" s="503"/>
      <c r="J13" s="80" t="str">
        <f>IFERROR(ROUNDDOWN(IF(C13="","",(MAX((eff_date-Additions!C13)/365.25,0))),0),"")</f>
        <v/>
      </c>
      <c r="K13" s="59" t="str">
        <f>IF(F13="","",IF(G13="Dubai",HLOOKUP(F13,Inputs!$C$26:$M$28,3,0),HLOOKUP(F13,Inputs!$C$45:$M$46,2,0)))</f>
        <v/>
      </c>
      <c r="L13" s="335" t="str">
        <f t="shared" si="0"/>
        <v/>
      </c>
      <c r="M13" s="335">
        <f t="shared" si="1"/>
        <v>0</v>
      </c>
      <c r="N13" s="335" t="str">
        <f t="shared" si="2"/>
        <v/>
      </c>
      <c r="O13" s="335">
        <f t="shared" si="3"/>
        <v>0</v>
      </c>
      <c r="P13" s="104"/>
      <c r="Q13" s="105">
        <f t="shared" si="16"/>
        <v>0</v>
      </c>
      <c r="R13" s="59" t="b">
        <f t="shared" si="4"/>
        <v>0</v>
      </c>
      <c r="S13" s="102" t="str">
        <f t="shared" si="17"/>
        <v>x</v>
      </c>
      <c r="T13" s="102" t="str">
        <f t="shared" si="5"/>
        <v>x</v>
      </c>
      <c r="U13" s="102" t="str">
        <f t="shared" si="6"/>
        <v>x</v>
      </c>
      <c r="V13" s="102" t="str">
        <f t="shared" si="7"/>
        <v>x</v>
      </c>
      <c r="W13" s="102" t="str">
        <f t="shared" si="8"/>
        <v>x</v>
      </c>
      <c r="X13" s="102" t="str">
        <f>IF(ISERROR(MATCH(G13,'Inputs Mapping'!$T$4:$T$5,0)),"x","")</f>
        <v>x</v>
      </c>
      <c r="Y13" s="102" t="str">
        <f>IF(ISERROR(MATCH(AE13,'Inputs Mapping'!$U$4:$U$5,0)),"x","")</f>
        <v>x</v>
      </c>
      <c r="Z13" s="102" t="str">
        <f>IF(ISERROR(MATCH(AF13,'Inputs Mapping'!$V$4:$V$5,0)),"x","")</f>
        <v>x</v>
      </c>
      <c r="AA13" s="102" t="str">
        <f>IF(ISERROR(MATCH(F13,'Inputs Mapping'!$W$4:$W$8,0)),"x","")</f>
        <v>x</v>
      </c>
      <c r="AB13" s="102" t="str">
        <f t="shared" si="9"/>
        <v/>
      </c>
      <c r="AC13" s="102" t="str">
        <f t="shared" si="10"/>
        <v/>
      </c>
      <c r="AD13" s="102" t="str">
        <f t="shared" si="11"/>
        <v/>
      </c>
      <c r="AE13" s="102" t="str">
        <f t="shared" si="18"/>
        <v/>
      </c>
      <c r="AF13" s="102" t="str">
        <f t="shared" si="19"/>
        <v/>
      </c>
      <c r="AG13" s="102" t="str">
        <f t="shared" si="20"/>
        <v>x</v>
      </c>
      <c r="AK13" s="95" t="str">
        <f t="shared" si="12"/>
        <v/>
      </c>
      <c r="AL13" s="59" t="str">
        <f>IF(J13="","",VLOOKUP(J13,'Inputs Mapping'!$T$27:$V$30,3))</f>
        <v/>
      </c>
      <c r="AM13" s="59" t="str">
        <f>IF(J13="","",VLOOKUP(J13,'Inputs Mapping'!$T$17:$V$24,3))</f>
        <v/>
      </c>
      <c r="AN13" s="59" t="str">
        <f t="shared" si="13"/>
        <v/>
      </c>
      <c r="AO13" s="102" t="str">
        <f t="shared" si="14"/>
        <v/>
      </c>
      <c r="AP13" s="102" t="str">
        <f>IF(F13="","",IF(G13="Dubai",HLOOKUP(F13,Inputs!$C$26:$M$36,5,0),HLOOKUP(F13,Inputs!$C$45:$M$49,5,0)))</f>
        <v/>
      </c>
      <c r="AQ13" s="102">
        <f t="shared" si="15"/>
        <v>0</v>
      </c>
      <c r="AR13" s="59" t="str">
        <f>IF(AM13="","",IF(AQ13="Dubai",VLOOKUP(AM13,'Inputs Mapping'!$V$17:$W$24,2,0),VLOOKUP(AL13,'Inputs Mapping'!$V$27:$W$30,2,0)))</f>
        <v/>
      </c>
      <c r="AS13" s="333">
        <f>IFERROR(IF($AQ13="","",HLOOKUP($AQ13&amp;RIGHT($AO13,1),'input for formula'!$B$16:$I$20,3,0)),0)</f>
        <v>0</v>
      </c>
      <c r="AT13" s="80">
        <f>IFERROR(IF($AQ13="","",HLOOKUP($AQ13&amp;$F13,'input for formula'!$B$22:$M$25,2,0)),0)</f>
        <v>0</v>
      </c>
      <c r="AU13" s="333">
        <f>IFERROR(IF($AQ13="","",HLOOKUP($AQ13&amp;RIGHT($AO13,1),'input for formula'!$B$16:$I$20,4,0)),0)</f>
        <v>0</v>
      </c>
      <c r="AV13" s="80">
        <f>IFERROR(IF($AQ13="","",HLOOKUP($AQ13&amp;$F13,'input for formula'!$B$22:$M$25,3,0)),0)</f>
        <v>0</v>
      </c>
      <c r="AW13" s="333">
        <f>IFERROR(IF($AQ13="","",HLOOKUP($AQ13&amp;RIGHT($AO13,1),'input for formula'!$B$16:$I$20,5,0)),0)</f>
        <v>0</v>
      </c>
      <c r="AX13" s="80">
        <f>IFERROR(IF($AQ13="","",HLOOKUP($AQ13&amp;$F13,'input for formula'!$B$22:$M$25,4,0)),0)</f>
        <v>0</v>
      </c>
      <c r="AY13" s="333">
        <f>IFERROR(IF($AQ13="","",IF(Additions!$AQ13="Abu Dhabi",VLOOKUP(Additions!$AP13,'input for formula'!$A$28:$C$41,3,0),VLOOKUP(Additions!$AP13,'input for formula'!$A$28:$C$41,2,0))),0)*IFERROR(1+IF(AQ13="Dubai",VLOOKUP(F13,'Quotation for Dubai Plans'!$V$6:$X$12,3,FALSE),VLOOKUP(F13,'Quotation for Abu Dhabi Plans'!$W$6:$Y$12,3,FALSE)),0)</f>
        <v>0</v>
      </c>
      <c r="AZ13" s="80" t="str">
        <f t="shared" si="21"/>
        <v/>
      </c>
      <c r="BA13" s="106" t="str">
        <f>IFERROR(IF(AO13="","",IF(AQ13="Dubai",HLOOKUP((AO13&amp;AP13),Deviation!$B$7:$S$8,2,0)*BI13*BK13*BL13*BJ13,HLOOKUP((AO13&amp;AP13),Deviation!$B$9:$K$10,2,0)*BI13*BK13*BL13*BJ13)),0)</f>
        <v/>
      </c>
      <c r="BB13" s="107" t="e">
        <f>IF(AO13="","",IFERROR(IF(AO13="","",IF(AQ13="Dubai",HLOOKUP(BC13,'input for formula'!$B$3:$F$10,AR13,FALSE), IF(AND(H13="Employee",AQ13="Abu Dhabi"),HLOOKUP(BC13,'input for formula'!$I$3:$K$7,AR13,FALSE),HLOOKUP(BC13,'input for formula'!$M$3:$O$7,AR13,FALSE)))*BA13+AS13*AT13+AU13*AV13+AW13*AX13),0)*$BC$3)*IF(Inputs!$C$19&gt;100,(1+$BC$2),1)</f>
        <v>#VALUE!</v>
      </c>
      <c r="BC13" s="95" t="str">
        <f t="shared" si="22"/>
        <v/>
      </c>
      <c r="BD13" s="334" t="str">
        <f>IF(F13="","",IF(G13="Dubai",HLOOKUP(F13,Inputs!$C$26:$M$37,9,0),HLOOKUP(F13,Inputs!$C$45:$M$56,9,0)))</f>
        <v/>
      </c>
      <c r="BE13" s="335" t="str">
        <f>IF(F13="","",IF(G13="Dubai",HLOOKUP(F13,Inputs!$C$26:$M$37,10,0),HLOOKUP(F13,Inputs!$C$45:$M$56,10,0)))</f>
        <v/>
      </c>
      <c r="BF13" s="335" t="str">
        <f>IF(F13="","",IF(G13="Dubai",HLOOKUP(F13,Inputs!$C$26:$M$37,11,0),HLOOKUP(F13,Inputs!$C$45:$M$56,11,0)))</f>
        <v/>
      </c>
      <c r="BG13" s="334" t="str">
        <f>IF(F13="","",IF(G13="Dubai",HLOOKUP(F13,Inputs!$C$26:$M$37,12,0),HLOOKUP(F13,Inputs!$C$45:$M$56,12,0)))</f>
        <v/>
      </c>
      <c r="BI13" s="334" t="str">
        <f>IFERROR(IF(AO13="","",IF(AQ13="Dubai",IF(OR(AO13="Plan1",AO13="Plan2"),VLOOKUP(BD13,Deviation!$B$31:$D$33,2,FALSE),VLOOKUP(BD13,Deviation!$B$31:$D$33,3,FALSE)),IF(OR(AO13="Plan1",AO13="Plan2"),VLOOKUP(BD13,Deviation!$E$31:$G$33,2,FALSE),VLOOKUP(BD13,Deviation!$E$31:$G$33,3,FALSE)))),0)</f>
        <v/>
      </c>
      <c r="BJ13" s="336" t="str">
        <f>IFERROR(IF(AO13="","",IF(AQ13="Dubai",IF(AO13="Plan1",VLOOKUP(BE13,Deviation!$B$39:$C$40,2,FALSE),IF(AO13="Plan2",VLOOKUP(BE13,Deviation!$B$42:$C$43,2,FALSE),IF(AO13="Plan5",VLOOKUP(BE13,Deviation!$B$48:$C$49,2,FALSE),VLOOKUP(BE13,Deviation!$B$45:$C$46,2,FALSE)))),IF(AO13="Plan1",VLOOKUP(BE13,Deviation!$E$39:$F$40,2,FALSE),IF(AO13="Plan2",VLOOKUP(BE13,Deviation!$E$42:$F$43,2,FALSE),VLOOKUP(BE13,Deviation!$E$45:$F$46,2,FALSE))))),0)</f>
        <v/>
      </c>
      <c r="BK13" s="336" t="str">
        <f>IFERROR(IF(AO13="","",IF(AQ13="Dubai",IF(OR(AO13="Plan1",AO13="Plan2"),VLOOKUP(BF13,Deviation!$B$15:$D$18,2,FALSE),VLOOKUP(BF13,Deviation!$B$15:$D$18,3,FALSE)),IF(OR(AO13="Plan1",AO13="Plan2"),VLOOKUP(BF13,Deviation!$E$15:$G$18,2,FALSE),VLOOKUP(BF13,Deviation!$E$15:$G$18,3,FALSE)))),0)</f>
        <v/>
      </c>
      <c r="BL13" s="334" t="str">
        <f>IFERROR(IF(AO13="","",IF(AQ13="Dubai",VLOOKUP(BG13,Deviation!$B$24:$C$26,2,FALSE),100%)),0)</f>
        <v/>
      </c>
    </row>
    <row r="14" spans="1:65" ht="14.25" x14ac:dyDescent="0.2">
      <c r="A14" s="59">
        <v>9</v>
      </c>
      <c r="B14" s="298"/>
      <c r="C14" s="299"/>
      <c r="D14" s="298"/>
      <c r="E14" s="298"/>
      <c r="F14" s="298"/>
      <c r="G14" s="298"/>
      <c r="H14" s="298"/>
      <c r="I14" s="503"/>
      <c r="J14" s="80" t="str">
        <f>IFERROR(ROUNDDOWN(IF(C14="","",(MAX((eff_date-Additions!C14)/365.25,0))),0),"")</f>
        <v/>
      </c>
      <c r="K14" s="59" t="str">
        <f>IF(F14="","",IF(G14="Dubai",HLOOKUP(F14,Inputs!$C$26:$M$28,3,0),HLOOKUP(F14,Inputs!$C$45:$M$46,2,0)))</f>
        <v/>
      </c>
      <c r="L14" s="335" t="str">
        <f t="shared" si="0"/>
        <v/>
      </c>
      <c r="M14" s="335">
        <f t="shared" si="1"/>
        <v>0</v>
      </c>
      <c r="N14" s="335" t="str">
        <f t="shared" si="2"/>
        <v/>
      </c>
      <c r="O14" s="335">
        <f t="shared" si="3"/>
        <v>0</v>
      </c>
      <c r="P14" s="104"/>
      <c r="Q14" s="105">
        <f t="shared" si="16"/>
        <v>0</v>
      </c>
      <c r="R14" s="59" t="b">
        <f t="shared" si="4"/>
        <v>0</v>
      </c>
      <c r="S14" s="102" t="str">
        <f t="shared" si="17"/>
        <v>x</v>
      </c>
      <c r="T14" s="102" t="str">
        <f t="shared" si="5"/>
        <v>x</v>
      </c>
      <c r="U14" s="102" t="str">
        <f t="shared" si="6"/>
        <v>x</v>
      </c>
      <c r="V14" s="102" t="str">
        <f t="shared" si="7"/>
        <v>x</v>
      </c>
      <c r="W14" s="102" t="str">
        <f t="shared" si="8"/>
        <v>x</v>
      </c>
      <c r="X14" s="102" t="str">
        <f>IF(ISERROR(MATCH(G14,'Inputs Mapping'!$T$4:$T$5,0)),"x","")</f>
        <v>x</v>
      </c>
      <c r="Y14" s="102" t="str">
        <f>IF(ISERROR(MATCH(AE14,'Inputs Mapping'!$U$4:$U$5,0)),"x","")</f>
        <v>x</v>
      </c>
      <c r="Z14" s="102" t="str">
        <f>IF(ISERROR(MATCH(AF14,'Inputs Mapping'!$V$4:$V$5,0)),"x","")</f>
        <v>x</v>
      </c>
      <c r="AA14" s="102" t="str">
        <f>IF(ISERROR(MATCH(F14,'Inputs Mapping'!$W$4:$W$8,0)),"x","")</f>
        <v>x</v>
      </c>
      <c r="AB14" s="102" t="str">
        <f t="shared" si="9"/>
        <v/>
      </c>
      <c r="AC14" s="102" t="str">
        <f t="shared" si="10"/>
        <v/>
      </c>
      <c r="AD14" s="102" t="str">
        <f t="shared" si="11"/>
        <v/>
      </c>
      <c r="AE14" s="102" t="str">
        <f t="shared" si="18"/>
        <v/>
      </c>
      <c r="AF14" s="102" t="str">
        <f t="shared" si="19"/>
        <v/>
      </c>
      <c r="AG14" s="102" t="str">
        <f t="shared" si="20"/>
        <v>x</v>
      </c>
      <c r="AK14" s="95" t="str">
        <f t="shared" si="12"/>
        <v/>
      </c>
      <c r="AL14" s="59" t="str">
        <f>IF(J14="","",VLOOKUP(J14,'Inputs Mapping'!$T$27:$V$30,3))</f>
        <v/>
      </c>
      <c r="AM14" s="59" t="str">
        <f>IF(J14="","",VLOOKUP(J14,'Inputs Mapping'!$T$17:$V$24,3))</f>
        <v/>
      </c>
      <c r="AN14" s="59" t="str">
        <f t="shared" si="13"/>
        <v/>
      </c>
      <c r="AO14" s="102" t="str">
        <f t="shared" si="14"/>
        <v/>
      </c>
      <c r="AP14" s="102" t="str">
        <f>IF(F14="","",IF(G14="Dubai",HLOOKUP(F14,Inputs!$C$26:$M$36,5,0),HLOOKUP(F14,Inputs!$C$45:$M$49,5,0)))</f>
        <v/>
      </c>
      <c r="AQ14" s="102">
        <f t="shared" si="15"/>
        <v>0</v>
      </c>
      <c r="AR14" s="59" t="str">
        <f>IF(AM14="","",IF(AQ14="Dubai",VLOOKUP(AM14,'Inputs Mapping'!$V$17:$W$24,2,0),VLOOKUP(AL14,'Inputs Mapping'!$V$27:$W$30,2,0)))</f>
        <v/>
      </c>
      <c r="AS14" s="333">
        <f>IFERROR(IF($AQ14="","",HLOOKUP($AQ14&amp;RIGHT($AO14,1),'input for formula'!$B$16:$I$20,3,0)),0)</f>
        <v>0</v>
      </c>
      <c r="AT14" s="80">
        <f>IFERROR(IF($AQ14="","",HLOOKUP($AQ14&amp;$F14,'input for formula'!$B$22:$M$25,2,0)),0)</f>
        <v>0</v>
      </c>
      <c r="AU14" s="333">
        <f>IFERROR(IF($AQ14="","",HLOOKUP($AQ14&amp;RIGHT($AO14,1),'input for formula'!$B$16:$I$20,4,0)),0)</f>
        <v>0</v>
      </c>
      <c r="AV14" s="80">
        <f>IFERROR(IF($AQ14="","",HLOOKUP($AQ14&amp;$F14,'input for formula'!$B$22:$M$25,3,0)),0)</f>
        <v>0</v>
      </c>
      <c r="AW14" s="333">
        <f>IFERROR(IF($AQ14="","",HLOOKUP($AQ14&amp;RIGHT($AO14,1),'input for formula'!$B$16:$I$20,5,0)),0)</f>
        <v>0</v>
      </c>
      <c r="AX14" s="80">
        <f>IFERROR(IF($AQ14="","",HLOOKUP($AQ14&amp;$F14,'input for formula'!$B$22:$M$25,4,0)),0)</f>
        <v>0</v>
      </c>
      <c r="AY14" s="333">
        <f>IFERROR(IF($AQ14="","",IF(Additions!$AQ14="Abu Dhabi",VLOOKUP(Additions!$AP14,'input for formula'!$A$28:$C$41,3,0),VLOOKUP(Additions!$AP14,'input for formula'!$A$28:$C$41,2,0))),0)*IFERROR(1+IF(AQ14="Dubai",VLOOKUP(F14,'Quotation for Dubai Plans'!$V$6:$X$12,3,FALSE),VLOOKUP(F14,'Quotation for Abu Dhabi Plans'!$W$6:$Y$12,3,FALSE)),0)</f>
        <v>0</v>
      </c>
      <c r="AZ14" s="80" t="str">
        <f t="shared" si="21"/>
        <v/>
      </c>
      <c r="BA14" s="106" t="str">
        <f>IFERROR(IF(AO14="","",IF(AQ14="Dubai",HLOOKUP((AO14&amp;AP14),Deviation!$B$7:$S$8,2,0)*BI14*BK14*BL14*BJ14,HLOOKUP((AO14&amp;AP14),Deviation!$B$9:$K$10,2,0)*BI14*BK14*BL14*BJ14)),0)</f>
        <v/>
      </c>
      <c r="BB14" s="107" t="e">
        <f>IF(AO14="","",IFERROR(IF(AO14="","",IF(AQ14="Dubai",HLOOKUP(BC14,'input for formula'!$B$3:$F$10,AR14,FALSE), IF(AND(H14="Employee",AQ14="Abu Dhabi"),HLOOKUP(BC14,'input for formula'!$I$3:$K$7,AR14,FALSE),HLOOKUP(BC14,'input for formula'!$M$3:$O$7,AR14,FALSE)))*BA14+AS14*AT14+AU14*AV14+AW14*AX14),0)*$BC$3)*IF(Inputs!$C$19&gt;100,(1+$BC$2),1)</f>
        <v>#VALUE!</v>
      </c>
      <c r="BC14" s="95" t="str">
        <f t="shared" si="22"/>
        <v/>
      </c>
      <c r="BD14" s="334" t="str">
        <f>IF(F14="","",IF(G14="Dubai",HLOOKUP(F14,Inputs!$C$26:$M$37,9,0),HLOOKUP(F14,Inputs!$C$45:$M$56,9,0)))</f>
        <v/>
      </c>
      <c r="BE14" s="335" t="str">
        <f>IF(F14="","",IF(G14="Dubai",HLOOKUP(F14,Inputs!$C$26:$M$37,10,0),HLOOKUP(F14,Inputs!$C$45:$M$56,10,0)))</f>
        <v/>
      </c>
      <c r="BF14" s="335" t="str">
        <f>IF(F14="","",IF(G14="Dubai",HLOOKUP(F14,Inputs!$C$26:$M$37,11,0),HLOOKUP(F14,Inputs!$C$45:$M$56,11,0)))</f>
        <v/>
      </c>
      <c r="BG14" s="334" t="str">
        <f>IF(F14="","",IF(G14="Dubai",HLOOKUP(F14,Inputs!$C$26:$M$37,12,0),HLOOKUP(F14,Inputs!$C$45:$M$56,12,0)))</f>
        <v/>
      </c>
      <c r="BI14" s="334" t="str">
        <f>IFERROR(IF(AO14="","",IF(AQ14="Dubai",IF(OR(AO14="Plan1",AO14="Plan2"),VLOOKUP(BD14,Deviation!$B$31:$D$33,2,FALSE),VLOOKUP(BD14,Deviation!$B$31:$D$33,3,FALSE)),IF(OR(AO14="Plan1",AO14="Plan2"),VLOOKUP(BD14,Deviation!$E$31:$G$33,2,FALSE),VLOOKUP(BD14,Deviation!$E$31:$G$33,3,FALSE)))),0)</f>
        <v/>
      </c>
      <c r="BJ14" s="336" t="str">
        <f>IFERROR(IF(AO14="","",IF(AQ14="Dubai",IF(AO14="Plan1",VLOOKUP(BE14,Deviation!$B$39:$C$40,2,FALSE),IF(AO14="Plan2",VLOOKUP(BE14,Deviation!$B$42:$C$43,2,FALSE),IF(AO14="Plan5",VLOOKUP(BE14,Deviation!$B$48:$C$49,2,FALSE),VLOOKUP(BE14,Deviation!$B$45:$C$46,2,FALSE)))),IF(AO14="Plan1",VLOOKUP(BE14,Deviation!$E$39:$F$40,2,FALSE),IF(AO14="Plan2",VLOOKUP(BE14,Deviation!$E$42:$F$43,2,FALSE),VLOOKUP(BE14,Deviation!$E$45:$F$46,2,FALSE))))),0)</f>
        <v/>
      </c>
      <c r="BK14" s="336" t="str">
        <f>IFERROR(IF(AO14="","",IF(AQ14="Dubai",IF(OR(AO14="Plan1",AO14="Plan2"),VLOOKUP(BF14,Deviation!$B$15:$D$18,2,FALSE),VLOOKUP(BF14,Deviation!$B$15:$D$18,3,FALSE)),IF(OR(AO14="Plan1",AO14="Plan2"),VLOOKUP(BF14,Deviation!$E$15:$G$18,2,FALSE),VLOOKUP(BF14,Deviation!$E$15:$G$18,3,FALSE)))),0)</f>
        <v/>
      </c>
      <c r="BL14" s="334" t="str">
        <f>IFERROR(IF(AO14="","",IF(AQ14="Dubai",VLOOKUP(BG14,Deviation!$B$24:$C$26,2,FALSE),100%)),0)</f>
        <v/>
      </c>
    </row>
    <row r="15" spans="1:65" ht="14.25" x14ac:dyDescent="0.2">
      <c r="A15" s="59">
        <v>10</v>
      </c>
      <c r="B15" s="298"/>
      <c r="C15" s="299"/>
      <c r="D15" s="298"/>
      <c r="E15" s="298"/>
      <c r="F15" s="298"/>
      <c r="G15" s="298"/>
      <c r="H15" s="298"/>
      <c r="I15" s="503"/>
      <c r="J15" s="80" t="str">
        <f>IFERROR(ROUNDDOWN(IF(C15="","",(MAX((eff_date-Additions!C15)/365.25,0))),0),"")</f>
        <v/>
      </c>
      <c r="K15" s="59" t="str">
        <f>IF(F15="","",IF(G15="Dubai",HLOOKUP(F15,Inputs!$C$26:$M$28,3,0),HLOOKUP(F15,Inputs!$C$45:$M$46,2,0)))</f>
        <v/>
      </c>
      <c r="L15" s="335" t="str">
        <f t="shared" si="0"/>
        <v/>
      </c>
      <c r="M15" s="335">
        <f t="shared" si="1"/>
        <v>0</v>
      </c>
      <c r="N15" s="335" t="str">
        <f t="shared" si="2"/>
        <v/>
      </c>
      <c r="O15" s="335">
        <f t="shared" si="3"/>
        <v>0</v>
      </c>
      <c r="P15" s="104"/>
      <c r="Q15" s="105">
        <f t="shared" si="16"/>
        <v>0</v>
      </c>
      <c r="R15" s="59" t="b">
        <f t="shared" si="4"/>
        <v>0</v>
      </c>
      <c r="S15" s="102" t="str">
        <f t="shared" si="17"/>
        <v>x</v>
      </c>
      <c r="T15" s="102" t="str">
        <f t="shared" si="5"/>
        <v>x</v>
      </c>
      <c r="U15" s="102" t="str">
        <f t="shared" si="6"/>
        <v>x</v>
      </c>
      <c r="V15" s="102" t="str">
        <f t="shared" si="7"/>
        <v>x</v>
      </c>
      <c r="W15" s="102" t="str">
        <f t="shared" si="8"/>
        <v>x</v>
      </c>
      <c r="X15" s="102" t="str">
        <f>IF(ISERROR(MATCH(G15,'Inputs Mapping'!$T$4:$T$5,0)),"x","")</f>
        <v>x</v>
      </c>
      <c r="Y15" s="102" t="str">
        <f>IF(ISERROR(MATCH(AE15,'Inputs Mapping'!$U$4:$U$5,0)),"x","")</f>
        <v>x</v>
      </c>
      <c r="Z15" s="102" t="str">
        <f>IF(ISERROR(MATCH(AF15,'Inputs Mapping'!$V$4:$V$5,0)),"x","")</f>
        <v>x</v>
      </c>
      <c r="AA15" s="102" t="str">
        <f>IF(ISERROR(MATCH(F15,'Inputs Mapping'!$W$4:$W$8,0)),"x","")</f>
        <v>x</v>
      </c>
      <c r="AB15" s="102" t="str">
        <f t="shared" si="9"/>
        <v/>
      </c>
      <c r="AC15" s="102" t="str">
        <f t="shared" si="10"/>
        <v/>
      </c>
      <c r="AD15" s="102" t="str">
        <f t="shared" si="11"/>
        <v/>
      </c>
      <c r="AE15" s="102" t="str">
        <f t="shared" si="18"/>
        <v/>
      </c>
      <c r="AF15" s="102" t="str">
        <f t="shared" si="19"/>
        <v/>
      </c>
      <c r="AG15" s="102" t="str">
        <f t="shared" si="20"/>
        <v>x</v>
      </c>
      <c r="AK15" s="95" t="str">
        <f t="shared" si="12"/>
        <v/>
      </c>
      <c r="AL15" s="59" t="str">
        <f>IF(J15="","",VLOOKUP(J15,'Inputs Mapping'!$T$27:$V$30,3))</f>
        <v/>
      </c>
      <c r="AM15" s="59" t="str">
        <f>IF(J15="","",VLOOKUP(J15,'Inputs Mapping'!$T$17:$V$24,3))</f>
        <v/>
      </c>
      <c r="AN15" s="59" t="str">
        <f t="shared" si="13"/>
        <v/>
      </c>
      <c r="AO15" s="102" t="str">
        <f t="shared" si="14"/>
        <v/>
      </c>
      <c r="AP15" s="102" t="str">
        <f>IF(F15="","",IF(G15="Dubai",HLOOKUP(F15,Inputs!$C$26:$M$36,5,0),HLOOKUP(F15,Inputs!$C$45:$M$49,5,0)))</f>
        <v/>
      </c>
      <c r="AQ15" s="102">
        <f t="shared" si="15"/>
        <v>0</v>
      </c>
      <c r="AR15" s="59" t="str">
        <f>IF(AM15="","",IF(AQ15="Dubai",VLOOKUP(AM15,'Inputs Mapping'!$V$17:$W$24,2,0),VLOOKUP(AL15,'Inputs Mapping'!$V$27:$W$30,2,0)))</f>
        <v/>
      </c>
      <c r="AS15" s="333">
        <f>IFERROR(IF($AQ15="","",HLOOKUP($AQ15&amp;RIGHT($AO15,1),'input for formula'!$B$16:$I$20,3,0)),0)</f>
        <v>0</v>
      </c>
      <c r="AT15" s="80">
        <f>IFERROR(IF($AQ15="","",HLOOKUP($AQ15&amp;$F15,'input for formula'!$B$22:$M$25,2,0)),0)</f>
        <v>0</v>
      </c>
      <c r="AU15" s="333">
        <f>IFERROR(IF($AQ15="","",HLOOKUP($AQ15&amp;RIGHT($AO15,1),'input for formula'!$B$16:$I$20,4,0)),0)</f>
        <v>0</v>
      </c>
      <c r="AV15" s="80">
        <f>IFERROR(IF($AQ15="","",HLOOKUP($AQ15&amp;$F15,'input for formula'!$B$22:$M$25,3,0)),0)</f>
        <v>0</v>
      </c>
      <c r="AW15" s="333">
        <f>IFERROR(IF($AQ15="","",HLOOKUP($AQ15&amp;RIGHT($AO15,1),'input for formula'!$B$16:$I$20,5,0)),0)</f>
        <v>0</v>
      </c>
      <c r="AX15" s="80">
        <f>IFERROR(IF($AQ15="","",HLOOKUP($AQ15&amp;$F15,'input for formula'!$B$22:$M$25,4,0)),0)</f>
        <v>0</v>
      </c>
      <c r="AY15" s="333">
        <f>IFERROR(IF($AQ15="","",IF(Additions!$AQ15="Abu Dhabi",VLOOKUP(Additions!$AP15,'input for formula'!$A$28:$C$41,3,0),VLOOKUP(Additions!$AP15,'input for formula'!$A$28:$C$41,2,0))),0)*IFERROR(1+IF(AQ15="Dubai",VLOOKUP(F15,'Quotation for Dubai Plans'!$V$6:$X$12,3,FALSE),VLOOKUP(F15,'Quotation for Abu Dhabi Plans'!$W$6:$Y$12,3,FALSE)),0)</f>
        <v>0</v>
      </c>
      <c r="AZ15" s="80" t="str">
        <f t="shared" si="21"/>
        <v/>
      </c>
      <c r="BA15" s="106" t="str">
        <f>IFERROR(IF(AO15="","",IF(AQ15="Dubai",HLOOKUP((AO15&amp;AP15),Deviation!$B$7:$S$8,2,0)*BI15*BK15*BL15*BJ15,HLOOKUP((AO15&amp;AP15),Deviation!$B$9:$K$10,2,0)*BI15*BK15*BL15*BJ15)),0)</f>
        <v/>
      </c>
      <c r="BB15" s="107" t="e">
        <f>IF(AO15="","",IFERROR(IF(AO15="","",IF(AQ15="Dubai",HLOOKUP(BC15,'input for formula'!$B$3:$F$10,AR15,FALSE), IF(AND(H15="Employee",AQ15="Abu Dhabi"),HLOOKUP(BC15,'input for formula'!$I$3:$K$7,AR15,FALSE),HLOOKUP(BC15,'input for formula'!$M$3:$O$7,AR15,FALSE)))*BA15+AS15*AT15+AU15*AV15+AW15*AX15),0)*$BC$3)*IF(Inputs!$C$19&gt;100,(1+$BC$2),1)</f>
        <v>#VALUE!</v>
      </c>
      <c r="BC15" s="95" t="str">
        <f t="shared" si="22"/>
        <v/>
      </c>
      <c r="BD15" s="334" t="str">
        <f>IF(F15="","",IF(G15="Dubai",HLOOKUP(F15,Inputs!$C$26:$M$37,9,0),HLOOKUP(F15,Inputs!$C$45:$M$56,9,0)))</f>
        <v/>
      </c>
      <c r="BE15" s="335" t="str">
        <f>IF(F15="","",IF(G15="Dubai",HLOOKUP(F15,Inputs!$C$26:$M$37,10,0),HLOOKUP(F15,Inputs!$C$45:$M$56,10,0)))</f>
        <v/>
      </c>
      <c r="BF15" s="335" t="str">
        <f>IF(F15="","",IF(G15="Dubai",HLOOKUP(F15,Inputs!$C$26:$M$37,11,0),HLOOKUP(F15,Inputs!$C$45:$M$56,11,0)))</f>
        <v/>
      </c>
      <c r="BG15" s="334" t="str">
        <f>IF(F15="","",IF(G15="Dubai",HLOOKUP(F15,Inputs!$C$26:$M$37,12,0),HLOOKUP(F15,Inputs!$C$45:$M$56,12,0)))</f>
        <v/>
      </c>
      <c r="BI15" s="334" t="str">
        <f>IFERROR(IF(AO15="","",IF(AQ15="Dubai",IF(OR(AO15="Plan1",AO15="Plan2"),VLOOKUP(BD15,Deviation!$B$31:$D$33,2,FALSE),VLOOKUP(BD15,Deviation!$B$31:$D$33,3,FALSE)),IF(OR(AO15="Plan1",AO15="Plan2"),VLOOKUP(BD15,Deviation!$E$31:$G$33,2,FALSE),VLOOKUP(BD15,Deviation!$E$31:$G$33,3,FALSE)))),0)</f>
        <v/>
      </c>
      <c r="BJ15" s="336" t="str">
        <f>IFERROR(IF(AO15="","",IF(AQ15="Dubai",IF(AO15="Plan1",VLOOKUP(BE15,Deviation!$B$39:$C$40,2,FALSE),IF(AO15="Plan2",VLOOKUP(BE15,Deviation!$B$42:$C$43,2,FALSE),IF(AO15="Plan5",VLOOKUP(BE15,Deviation!$B$48:$C$49,2,FALSE),VLOOKUP(BE15,Deviation!$B$45:$C$46,2,FALSE)))),IF(AO15="Plan1",VLOOKUP(BE15,Deviation!$E$39:$F$40,2,FALSE),IF(AO15="Plan2",VLOOKUP(BE15,Deviation!$E$42:$F$43,2,FALSE),VLOOKUP(BE15,Deviation!$E$45:$F$46,2,FALSE))))),0)</f>
        <v/>
      </c>
      <c r="BK15" s="336" t="str">
        <f>IFERROR(IF(AO15="","",IF(AQ15="Dubai",IF(OR(AO15="Plan1",AO15="Plan2"),VLOOKUP(BF15,Deviation!$B$15:$D$18,2,FALSE),VLOOKUP(BF15,Deviation!$B$15:$D$18,3,FALSE)),IF(OR(AO15="Plan1",AO15="Plan2"),VLOOKUP(BF15,Deviation!$E$15:$G$18,2,FALSE),VLOOKUP(BF15,Deviation!$E$15:$G$18,3,FALSE)))),0)</f>
        <v/>
      </c>
      <c r="BL15" s="334" t="str">
        <f>IFERROR(IF(AO15="","",IF(AQ15="Dubai",VLOOKUP(BG15,Deviation!$B$24:$C$26,2,FALSE),100%)),0)</f>
        <v/>
      </c>
    </row>
    <row r="16" spans="1:65" ht="14.25" x14ac:dyDescent="0.2">
      <c r="A16" s="59">
        <v>11</v>
      </c>
      <c r="B16" s="298"/>
      <c r="C16" s="299"/>
      <c r="D16" s="298"/>
      <c r="E16" s="298"/>
      <c r="F16" s="298"/>
      <c r="G16" s="298"/>
      <c r="H16" s="298"/>
      <c r="I16" s="503"/>
      <c r="J16" s="80" t="str">
        <f>IFERROR(ROUNDDOWN(IF(C16="","",(MAX((eff_date-Additions!C16)/365.25,0))),0),"")</f>
        <v/>
      </c>
      <c r="K16" s="59" t="str">
        <f>IF(F16="","",IF(G16="Dubai",HLOOKUP(F16,Inputs!$C$26:$M$28,3,0),HLOOKUP(F16,Inputs!$C$45:$M$46,2,0)))</f>
        <v/>
      </c>
      <c r="L16" s="335" t="str">
        <f t="shared" si="0"/>
        <v/>
      </c>
      <c r="M16" s="335">
        <f t="shared" si="1"/>
        <v>0</v>
      </c>
      <c r="N16" s="335" t="str">
        <f t="shared" si="2"/>
        <v/>
      </c>
      <c r="O16" s="335">
        <f t="shared" si="3"/>
        <v>0</v>
      </c>
      <c r="P16" s="104"/>
      <c r="Q16" s="105">
        <f t="shared" si="16"/>
        <v>0</v>
      </c>
      <c r="R16" s="59" t="b">
        <f t="shared" si="4"/>
        <v>0</v>
      </c>
      <c r="S16" s="102" t="str">
        <f t="shared" si="17"/>
        <v>x</v>
      </c>
      <c r="T16" s="102" t="str">
        <f t="shared" si="5"/>
        <v>x</v>
      </c>
      <c r="U16" s="102" t="str">
        <f t="shared" si="6"/>
        <v>x</v>
      </c>
      <c r="V16" s="102" t="str">
        <f t="shared" si="7"/>
        <v>x</v>
      </c>
      <c r="W16" s="102" t="str">
        <f t="shared" si="8"/>
        <v>x</v>
      </c>
      <c r="X16" s="102" t="str">
        <f>IF(ISERROR(MATCH(G16,'Inputs Mapping'!$T$4:$T$5,0)),"x","")</f>
        <v>x</v>
      </c>
      <c r="Y16" s="102" t="str">
        <f>IF(ISERROR(MATCH(AE16,'Inputs Mapping'!$U$4:$U$5,0)),"x","")</f>
        <v>x</v>
      </c>
      <c r="Z16" s="102" t="str">
        <f>IF(ISERROR(MATCH(AF16,'Inputs Mapping'!$V$4:$V$5,0)),"x","")</f>
        <v>x</v>
      </c>
      <c r="AA16" s="102" t="str">
        <f>IF(ISERROR(MATCH(F16,'Inputs Mapping'!$W$4:$W$8,0)),"x","")</f>
        <v>x</v>
      </c>
      <c r="AB16" s="102" t="str">
        <f t="shared" si="9"/>
        <v/>
      </c>
      <c r="AC16" s="102" t="str">
        <f t="shared" si="10"/>
        <v/>
      </c>
      <c r="AD16" s="102" t="str">
        <f t="shared" si="11"/>
        <v/>
      </c>
      <c r="AE16" s="102" t="str">
        <f t="shared" si="18"/>
        <v/>
      </c>
      <c r="AF16" s="102" t="str">
        <f t="shared" si="19"/>
        <v/>
      </c>
      <c r="AG16" s="102" t="str">
        <f t="shared" si="20"/>
        <v>x</v>
      </c>
      <c r="AK16" s="95" t="str">
        <f t="shared" si="12"/>
        <v/>
      </c>
      <c r="AL16" s="59" t="str">
        <f>IF(J16="","",VLOOKUP(J16,'Inputs Mapping'!$T$27:$V$30,3))</f>
        <v/>
      </c>
      <c r="AM16" s="59" t="str">
        <f>IF(J16="","",VLOOKUP(J16,'Inputs Mapping'!$T$17:$V$24,3))</f>
        <v/>
      </c>
      <c r="AN16" s="59" t="str">
        <f t="shared" si="13"/>
        <v/>
      </c>
      <c r="AO16" s="102" t="str">
        <f t="shared" si="14"/>
        <v/>
      </c>
      <c r="AP16" s="102" t="str">
        <f>IF(F16="","",IF(G16="Dubai",HLOOKUP(F16,Inputs!$C$26:$M$36,5,0),HLOOKUP(F16,Inputs!$C$45:$M$49,5,0)))</f>
        <v/>
      </c>
      <c r="AQ16" s="102">
        <f t="shared" si="15"/>
        <v>0</v>
      </c>
      <c r="AR16" s="59" t="str">
        <f>IF(AM16="","",IF(AQ16="Dubai",VLOOKUP(AM16,'Inputs Mapping'!$V$17:$W$24,2,0),VLOOKUP(AL16,'Inputs Mapping'!$V$27:$W$30,2,0)))</f>
        <v/>
      </c>
      <c r="AS16" s="333">
        <f>IFERROR(IF($AQ16="","",HLOOKUP($AQ16&amp;RIGHT($AO16,1),'input for formula'!$B$16:$I$20,3,0)),0)</f>
        <v>0</v>
      </c>
      <c r="AT16" s="80">
        <f>IFERROR(IF($AQ16="","",HLOOKUP($AQ16&amp;$F16,'input for formula'!$B$22:$M$25,2,0)),0)</f>
        <v>0</v>
      </c>
      <c r="AU16" s="333">
        <f>IFERROR(IF($AQ16="","",HLOOKUP($AQ16&amp;RIGHT($AO16,1),'input for formula'!$B$16:$I$20,4,0)),0)</f>
        <v>0</v>
      </c>
      <c r="AV16" s="80">
        <f>IFERROR(IF($AQ16="","",HLOOKUP($AQ16&amp;$F16,'input for formula'!$B$22:$M$25,3,0)),0)</f>
        <v>0</v>
      </c>
      <c r="AW16" s="333">
        <f>IFERROR(IF($AQ16="","",HLOOKUP($AQ16&amp;RIGHT($AO16,1),'input for formula'!$B$16:$I$20,5,0)),0)</f>
        <v>0</v>
      </c>
      <c r="AX16" s="80">
        <f>IFERROR(IF($AQ16="","",HLOOKUP($AQ16&amp;$F16,'input for formula'!$B$22:$M$25,4,0)),0)</f>
        <v>0</v>
      </c>
      <c r="AY16" s="333">
        <f>IFERROR(IF($AQ16="","",IF(Additions!$AQ16="Abu Dhabi",VLOOKUP(Additions!$AP16,'input for formula'!$A$28:$C$41,3,0),VLOOKUP(Additions!$AP16,'input for formula'!$A$28:$C$41,2,0))),0)*IFERROR(1+IF(AQ16="Dubai",VLOOKUP(F16,'Quotation for Dubai Plans'!$V$6:$X$12,3,FALSE),VLOOKUP(F16,'Quotation for Abu Dhabi Plans'!$W$6:$Y$12,3,FALSE)),0)</f>
        <v>0</v>
      </c>
      <c r="AZ16" s="80" t="str">
        <f t="shared" si="21"/>
        <v/>
      </c>
      <c r="BA16" s="106" t="str">
        <f>IFERROR(IF(AO16="","",IF(AQ16="Dubai",HLOOKUP((AO16&amp;AP16),Deviation!$B$7:$S$8,2,0)*BI16*BK16*BL16*BJ16,HLOOKUP((AO16&amp;AP16),Deviation!$B$9:$K$10,2,0)*BI16*BK16*BL16*BJ16)),0)</f>
        <v/>
      </c>
      <c r="BB16" s="107" t="e">
        <f>IF(AO16="","",IFERROR(IF(AO16="","",IF(AQ16="Dubai",HLOOKUP(BC16,'input for formula'!$B$3:$F$10,AR16,FALSE), IF(AND(H16="Employee",AQ16="Abu Dhabi"),HLOOKUP(BC16,'input for formula'!$I$3:$K$7,AR16,FALSE),HLOOKUP(BC16,'input for formula'!$M$3:$O$7,AR16,FALSE)))*BA16+AS16*AT16+AU16*AV16+AW16*AX16),0)*$BC$3)*IF(Inputs!$C$19&gt;100,(1+$BC$2),1)</f>
        <v>#VALUE!</v>
      </c>
      <c r="BC16" s="95" t="str">
        <f t="shared" si="22"/>
        <v/>
      </c>
      <c r="BD16" s="334" t="str">
        <f>IF(F16="","",IF(G16="Dubai",HLOOKUP(F16,Inputs!$C$26:$M$37,9,0),HLOOKUP(F16,Inputs!$C$45:$M$56,9,0)))</f>
        <v/>
      </c>
      <c r="BE16" s="335" t="str">
        <f>IF(F16="","",IF(G16="Dubai",HLOOKUP(F16,Inputs!$C$26:$M$37,10,0),HLOOKUP(F16,Inputs!$C$45:$M$56,10,0)))</f>
        <v/>
      </c>
      <c r="BF16" s="335" t="str">
        <f>IF(F16="","",IF(G16="Dubai",HLOOKUP(F16,Inputs!$C$26:$M$37,11,0),HLOOKUP(F16,Inputs!$C$45:$M$56,11,0)))</f>
        <v/>
      </c>
      <c r="BG16" s="334" t="str">
        <f>IF(F16="","",IF(G16="Dubai",HLOOKUP(F16,Inputs!$C$26:$M$37,12,0),HLOOKUP(F16,Inputs!$C$45:$M$56,12,0)))</f>
        <v/>
      </c>
      <c r="BI16" s="334" t="str">
        <f>IFERROR(IF(AO16="","",IF(AQ16="Dubai",IF(OR(AO16="Plan1",AO16="Plan2"),VLOOKUP(BD16,Deviation!$B$31:$D$33,2,FALSE),VLOOKUP(BD16,Deviation!$B$31:$D$33,3,FALSE)),IF(OR(AO16="Plan1",AO16="Plan2"),VLOOKUP(BD16,Deviation!$E$31:$G$33,2,FALSE),VLOOKUP(BD16,Deviation!$E$31:$G$33,3,FALSE)))),0)</f>
        <v/>
      </c>
      <c r="BJ16" s="336" t="str">
        <f>IFERROR(IF(AO16="","",IF(AQ16="Dubai",IF(AO16="Plan1",VLOOKUP(BE16,Deviation!$B$39:$C$40,2,FALSE),IF(AO16="Plan2",VLOOKUP(BE16,Deviation!$B$42:$C$43,2,FALSE),IF(AO16="Plan5",VLOOKUP(BE16,Deviation!$B$48:$C$49,2,FALSE),VLOOKUP(BE16,Deviation!$B$45:$C$46,2,FALSE)))),IF(AO16="Plan1",VLOOKUP(BE16,Deviation!$E$39:$F$40,2,FALSE),IF(AO16="Plan2",VLOOKUP(BE16,Deviation!$E$42:$F$43,2,FALSE),VLOOKUP(BE16,Deviation!$E$45:$F$46,2,FALSE))))),0)</f>
        <v/>
      </c>
      <c r="BK16" s="336" t="str">
        <f>IFERROR(IF(AO16="","",IF(AQ16="Dubai",IF(OR(AO16="Plan1",AO16="Plan2"),VLOOKUP(BF16,Deviation!$B$15:$D$18,2,FALSE),VLOOKUP(BF16,Deviation!$B$15:$D$18,3,FALSE)),IF(OR(AO16="Plan1",AO16="Plan2"),VLOOKUP(BF16,Deviation!$E$15:$G$18,2,FALSE),VLOOKUP(BF16,Deviation!$E$15:$G$18,3,FALSE)))),0)</f>
        <v/>
      </c>
      <c r="BL16" s="334" t="str">
        <f>IFERROR(IF(AO16="","",IF(AQ16="Dubai",VLOOKUP(BG16,Deviation!$B$24:$C$26,2,FALSE),100%)),0)</f>
        <v/>
      </c>
    </row>
    <row r="17" spans="1:64" ht="14.25" x14ac:dyDescent="0.2">
      <c r="A17" s="59">
        <v>12</v>
      </c>
      <c r="B17" s="298"/>
      <c r="C17" s="299"/>
      <c r="D17" s="298"/>
      <c r="E17" s="298"/>
      <c r="F17" s="298"/>
      <c r="G17" s="298"/>
      <c r="H17" s="298"/>
      <c r="I17" s="503"/>
      <c r="J17" s="80" t="str">
        <f>IFERROR(ROUNDDOWN(IF(C17="","",(MAX((eff_date-Additions!C17)/365.25,0))),0),"")</f>
        <v/>
      </c>
      <c r="K17" s="59" t="str">
        <f>IF(F17="","",IF(G17="Dubai",HLOOKUP(F17,Inputs!$C$26:$M$28,3,0),HLOOKUP(F17,Inputs!$C$45:$M$46,2,0)))</f>
        <v/>
      </c>
      <c r="L17" s="335" t="str">
        <f t="shared" si="0"/>
        <v/>
      </c>
      <c r="M17" s="335">
        <f t="shared" si="1"/>
        <v>0</v>
      </c>
      <c r="N17" s="335" t="str">
        <f t="shared" si="2"/>
        <v/>
      </c>
      <c r="O17" s="335">
        <f t="shared" si="3"/>
        <v>0</v>
      </c>
      <c r="P17" s="104"/>
      <c r="Q17" s="105">
        <f t="shared" si="16"/>
        <v>0</v>
      </c>
      <c r="R17" s="59" t="b">
        <f t="shared" si="4"/>
        <v>0</v>
      </c>
      <c r="S17" s="102" t="str">
        <f t="shared" si="17"/>
        <v>x</v>
      </c>
      <c r="T17" s="102" t="str">
        <f t="shared" si="5"/>
        <v>x</v>
      </c>
      <c r="U17" s="102" t="str">
        <f t="shared" si="6"/>
        <v>x</v>
      </c>
      <c r="V17" s="102" t="str">
        <f t="shared" si="7"/>
        <v>x</v>
      </c>
      <c r="W17" s="102" t="str">
        <f t="shared" si="8"/>
        <v>x</v>
      </c>
      <c r="X17" s="102" t="str">
        <f>IF(ISERROR(MATCH(G17,'Inputs Mapping'!$T$4:$T$5,0)),"x","")</f>
        <v>x</v>
      </c>
      <c r="Y17" s="102" t="str">
        <f>IF(ISERROR(MATCH(AE17,'Inputs Mapping'!$U$4:$U$5,0)),"x","")</f>
        <v>x</v>
      </c>
      <c r="Z17" s="102" t="str">
        <f>IF(ISERROR(MATCH(AF17,'Inputs Mapping'!$V$4:$V$5,0)),"x","")</f>
        <v>x</v>
      </c>
      <c r="AA17" s="102" t="str">
        <f>IF(ISERROR(MATCH(F17,'Inputs Mapping'!$W$4:$W$8,0)),"x","")</f>
        <v>x</v>
      </c>
      <c r="AB17" s="102" t="str">
        <f t="shared" si="9"/>
        <v/>
      </c>
      <c r="AC17" s="102" t="str">
        <f t="shared" si="10"/>
        <v/>
      </c>
      <c r="AD17" s="102" t="str">
        <f t="shared" si="11"/>
        <v/>
      </c>
      <c r="AE17" s="102" t="str">
        <f t="shared" si="18"/>
        <v/>
      </c>
      <c r="AF17" s="102" t="str">
        <f t="shared" si="19"/>
        <v/>
      </c>
      <c r="AG17" s="102" t="str">
        <f t="shared" si="20"/>
        <v>x</v>
      </c>
      <c r="AK17" s="95" t="str">
        <f t="shared" si="12"/>
        <v/>
      </c>
      <c r="AL17" s="59" t="str">
        <f>IF(J17="","",VLOOKUP(J17,'Inputs Mapping'!$T$27:$V$30,3))</f>
        <v/>
      </c>
      <c r="AM17" s="59" t="str">
        <f>IF(J17="","",VLOOKUP(J17,'Inputs Mapping'!$T$17:$V$24,3))</f>
        <v/>
      </c>
      <c r="AN17" s="59" t="str">
        <f t="shared" si="13"/>
        <v/>
      </c>
      <c r="AO17" s="102" t="str">
        <f t="shared" si="14"/>
        <v/>
      </c>
      <c r="AP17" s="102" t="str">
        <f>IF(F17="","",IF(G17="Dubai",HLOOKUP(F17,Inputs!$C$26:$M$36,5,0),HLOOKUP(F17,Inputs!$C$45:$M$49,5,0)))</f>
        <v/>
      </c>
      <c r="AQ17" s="102">
        <f t="shared" si="15"/>
        <v>0</v>
      </c>
      <c r="AR17" s="59" t="str">
        <f>IF(AM17="","",IF(AQ17="Dubai",VLOOKUP(AM17,'Inputs Mapping'!$V$17:$W$24,2,0),VLOOKUP(AL17,'Inputs Mapping'!$V$27:$W$30,2,0)))</f>
        <v/>
      </c>
      <c r="AS17" s="333">
        <f>IFERROR(IF($AQ17="","",HLOOKUP($AQ17&amp;RIGHT($AO17,1),'input for formula'!$B$16:$I$20,3,0)),0)</f>
        <v>0</v>
      </c>
      <c r="AT17" s="80">
        <f>IFERROR(IF($AQ17="","",HLOOKUP($AQ17&amp;$F17,'input for formula'!$B$22:$M$25,2,0)),0)</f>
        <v>0</v>
      </c>
      <c r="AU17" s="333">
        <f>IFERROR(IF($AQ17="","",HLOOKUP($AQ17&amp;RIGHT($AO17,1),'input for formula'!$B$16:$I$20,4,0)),0)</f>
        <v>0</v>
      </c>
      <c r="AV17" s="80">
        <f>IFERROR(IF($AQ17="","",HLOOKUP($AQ17&amp;$F17,'input for formula'!$B$22:$M$25,3,0)),0)</f>
        <v>0</v>
      </c>
      <c r="AW17" s="333">
        <f>IFERROR(IF($AQ17="","",HLOOKUP($AQ17&amp;RIGHT($AO17,1),'input for formula'!$B$16:$I$20,5,0)),0)</f>
        <v>0</v>
      </c>
      <c r="AX17" s="80">
        <f>IFERROR(IF($AQ17="","",HLOOKUP($AQ17&amp;$F17,'input for formula'!$B$22:$M$25,4,0)),0)</f>
        <v>0</v>
      </c>
      <c r="AY17" s="333">
        <f>IFERROR(IF($AQ17="","",IF(Additions!$AQ17="Abu Dhabi",VLOOKUP(Additions!$AP17,'input for formula'!$A$28:$C$41,3,0),VLOOKUP(Additions!$AP17,'input for formula'!$A$28:$C$41,2,0))),0)*IFERROR(1+IF(AQ17="Dubai",VLOOKUP(F17,'Quotation for Dubai Plans'!$V$6:$X$12,3,FALSE),VLOOKUP(F17,'Quotation for Abu Dhabi Plans'!$W$6:$Y$12,3,FALSE)),0)</f>
        <v>0</v>
      </c>
      <c r="AZ17" s="80" t="str">
        <f t="shared" si="21"/>
        <v/>
      </c>
      <c r="BA17" s="106" t="str">
        <f>IFERROR(IF(AO17="","",IF(AQ17="Dubai",HLOOKUP((AO17&amp;AP17),Deviation!$B$7:$S$8,2,0)*BI17*BK17*BL17*BJ17,HLOOKUP((AO17&amp;AP17),Deviation!$B$9:$K$10,2,0)*BI17*BK17*BL17*BJ17)),0)</f>
        <v/>
      </c>
      <c r="BB17" s="107" t="e">
        <f>IF(AO17="","",IFERROR(IF(AO17="","",IF(AQ17="Dubai",HLOOKUP(BC17,'input for formula'!$B$3:$F$10,AR17,FALSE), IF(AND(H17="Employee",AQ17="Abu Dhabi"),HLOOKUP(BC17,'input for formula'!$I$3:$K$7,AR17,FALSE),HLOOKUP(BC17,'input for formula'!$M$3:$O$7,AR17,FALSE)))*BA17+AS17*AT17+AU17*AV17+AW17*AX17),0)*$BC$3)*IF(Inputs!$C$19&gt;100,(1+$BC$2),1)</f>
        <v>#VALUE!</v>
      </c>
      <c r="BC17" s="95" t="str">
        <f t="shared" si="22"/>
        <v/>
      </c>
      <c r="BD17" s="334" t="str">
        <f>IF(F17="","",IF(G17="Dubai",HLOOKUP(F17,Inputs!$C$26:$M$37,9,0),HLOOKUP(F17,Inputs!$C$45:$M$56,9,0)))</f>
        <v/>
      </c>
      <c r="BE17" s="335" t="str">
        <f>IF(F17="","",IF(G17="Dubai",HLOOKUP(F17,Inputs!$C$26:$M$37,10,0),HLOOKUP(F17,Inputs!$C$45:$M$56,10,0)))</f>
        <v/>
      </c>
      <c r="BF17" s="335" t="str">
        <f>IF(F17="","",IF(G17="Dubai",HLOOKUP(F17,Inputs!$C$26:$M$37,11,0),HLOOKUP(F17,Inputs!$C$45:$M$56,11,0)))</f>
        <v/>
      </c>
      <c r="BG17" s="334" t="str">
        <f>IF(F17="","",IF(G17="Dubai",HLOOKUP(F17,Inputs!$C$26:$M$37,12,0),HLOOKUP(F17,Inputs!$C$45:$M$56,12,0)))</f>
        <v/>
      </c>
      <c r="BI17" s="334" t="str">
        <f>IFERROR(IF(AO17="","",IF(AQ17="Dubai",IF(OR(AO17="Plan1",AO17="Plan2"),VLOOKUP(BD17,Deviation!$B$31:$D$33,2,FALSE),VLOOKUP(BD17,Deviation!$B$31:$D$33,3,FALSE)),IF(OR(AO17="Plan1",AO17="Plan2"),VLOOKUP(BD17,Deviation!$E$31:$G$33,2,FALSE),VLOOKUP(BD17,Deviation!$E$31:$G$33,3,FALSE)))),0)</f>
        <v/>
      </c>
      <c r="BJ17" s="336" t="str">
        <f>IFERROR(IF(AO17="","",IF(AQ17="Dubai",IF(AO17="Plan1",VLOOKUP(BE17,Deviation!$B$39:$C$40,2,FALSE),IF(AO17="Plan2",VLOOKUP(BE17,Deviation!$B$42:$C$43,2,FALSE),IF(AO17="Plan5",VLOOKUP(BE17,Deviation!$B$48:$C$49,2,FALSE),VLOOKUP(BE17,Deviation!$B$45:$C$46,2,FALSE)))),IF(AO17="Plan1",VLOOKUP(BE17,Deviation!$E$39:$F$40,2,FALSE),IF(AO17="Plan2",VLOOKUP(BE17,Deviation!$E$42:$F$43,2,FALSE),VLOOKUP(BE17,Deviation!$E$45:$F$46,2,FALSE))))),0)</f>
        <v/>
      </c>
      <c r="BK17" s="336" t="str">
        <f>IFERROR(IF(AO17="","",IF(AQ17="Dubai",IF(OR(AO17="Plan1",AO17="Plan2"),VLOOKUP(BF17,Deviation!$B$15:$D$18,2,FALSE),VLOOKUP(BF17,Deviation!$B$15:$D$18,3,FALSE)),IF(OR(AO17="Plan1",AO17="Plan2"),VLOOKUP(BF17,Deviation!$E$15:$G$18,2,FALSE),VLOOKUP(BF17,Deviation!$E$15:$G$18,3,FALSE)))),0)</f>
        <v/>
      </c>
      <c r="BL17" s="334" t="str">
        <f>IFERROR(IF(AO17="","",IF(AQ17="Dubai",VLOOKUP(BG17,Deviation!$B$24:$C$26,2,FALSE),100%)),0)</f>
        <v/>
      </c>
    </row>
    <row r="18" spans="1:64" ht="14.25" x14ac:dyDescent="0.2">
      <c r="A18" s="59">
        <v>13</v>
      </c>
      <c r="B18" s="298"/>
      <c r="C18" s="299"/>
      <c r="D18" s="298"/>
      <c r="E18" s="298"/>
      <c r="F18" s="298"/>
      <c r="G18" s="298"/>
      <c r="H18" s="298"/>
      <c r="I18" s="503"/>
      <c r="J18" s="80" t="str">
        <f>IFERROR(ROUNDDOWN(IF(C18="","",(MAX((eff_date-Additions!C18)/365.25,0))),0),"")</f>
        <v/>
      </c>
      <c r="K18" s="59" t="str">
        <f>IF(F18="","",IF(G18="Dubai",HLOOKUP(F18,Inputs!$C$26:$M$28,3,0),HLOOKUP(F18,Inputs!$C$45:$M$46,2,0)))</f>
        <v/>
      </c>
      <c r="L18" s="335" t="str">
        <f t="shared" si="0"/>
        <v/>
      </c>
      <c r="M18" s="335">
        <f t="shared" si="1"/>
        <v>0</v>
      </c>
      <c r="N18" s="335" t="str">
        <f t="shared" si="2"/>
        <v/>
      </c>
      <c r="O18" s="335">
        <f t="shared" si="3"/>
        <v>0</v>
      </c>
      <c r="P18" s="104"/>
      <c r="Q18" s="105">
        <f t="shared" si="16"/>
        <v>0</v>
      </c>
      <c r="R18" s="59" t="b">
        <f t="shared" si="4"/>
        <v>0</v>
      </c>
      <c r="S18" s="102" t="str">
        <f t="shared" si="17"/>
        <v>x</v>
      </c>
      <c r="T18" s="102" t="str">
        <f t="shared" si="5"/>
        <v>x</v>
      </c>
      <c r="U18" s="102" t="str">
        <f t="shared" si="6"/>
        <v>x</v>
      </c>
      <c r="V18" s="102" t="str">
        <f t="shared" si="7"/>
        <v>x</v>
      </c>
      <c r="W18" s="102" t="str">
        <f t="shared" si="8"/>
        <v>x</v>
      </c>
      <c r="X18" s="102" t="str">
        <f>IF(ISERROR(MATCH(G18,'Inputs Mapping'!$T$4:$T$5,0)),"x","")</f>
        <v>x</v>
      </c>
      <c r="Y18" s="102" t="str">
        <f>IF(ISERROR(MATCH(AE18,'Inputs Mapping'!$U$4:$U$5,0)),"x","")</f>
        <v>x</v>
      </c>
      <c r="Z18" s="102" t="str">
        <f>IF(ISERROR(MATCH(AF18,'Inputs Mapping'!$V$4:$V$5,0)),"x","")</f>
        <v>x</v>
      </c>
      <c r="AA18" s="102" t="str">
        <f>IF(ISERROR(MATCH(F18,'Inputs Mapping'!$W$4:$W$8,0)),"x","")</f>
        <v>x</v>
      </c>
      <c r="AB18" s="102" t="str">
        <f t="shared" si="9"/>
        <v/>
      </c>
      <c r="AC18" s="102" t="str">
        <f t="shared" si="10"/>
        <v/>
      </c>
      <c r="AD18" s="102" t="str">
        <f t="shared" si="11"/>
        <v/>
      </c>
      <c r="AE18" s="102" t="str">
        <f t="shared" si="18"/>
        <v/>
      </c>
      <c r="AF18" s="102" t="str">
        <f t="shared" si="19"/>
        <v/>
      </c>
      <c r="AG18" s="102" t="str">
        <f t="shared" si="20"/>
        <v>x</v>
      </c>
      <c r="AK18" s="95" t="str">
        <f t="shared" si="12"/>
        <v/>
      </c>
      <c r="AL18" s="59" t="str">
        <f>IF(J18="","",VLOOKUP(J18,'Inputs Mapping'!$T$27:$V$30,3))</f>
        <v/>
      </c>
      <c r="AM18" s="59" t="str">
        <f>IF(J18="","",VLOOKUP(J18,'Inputs Mapping'!$T$17:$V$24,3))</f>
        <v/>
      </c>
      <c r="AN18" s="59" t="str">
        <f t="shared" si="13"/>
        <v/>
      </c>
      <c r="AO18" s="102" t="str">
        <f t="shared" si="14"/>
        <v/>
      </c>
      <c r="AP18" s="102" t="str">
        <f>IF(F18="","",IF(G18="Dubai",HLOOKUP(F18,Inputs!$C$26:$M$36,5,0),HLOOKUP(F18,Inputs!$C$45:$M$49,5,0)))</f>
        <v/>
      </c>
      <c r="AQ18" s="102">
        <f t="shared" si="15"/>
        <v>0</v>
      </c>
      <c r="AR18" s="59" t="str">
        <f>IF(AM18="","",IF(AQ18="Dubai",VLOOKUP(AM18,'Inputs Mapping'!$V$17:$W$24,2,0),VLOOKUP(AL18,'Inputs Mapping'!$V$27:$W$30,2,0)))</f>
        <v/>
      </c>
      <c r="AS18" s="333">
        <f>IFERROR(IF($AQ18="","",HLOOKUP($AQ18&amp;RIGHT($AO18,1),'input for formula'!$B$16:$I$20,3,0)),0)</f>
        <v>0</v>
      </c>
      <c r="AT18" s="80">
        <f>IFERROR(IF($AQ18="","",HLOOKUP($AQ18&amp;$F18,'input for formula'!$B$22:$M$25,2,0)),0)</f>
        <v>0</v>
      </c>
      <c r="AU18" s="333">
        <f>IFERROR(IF($AQ18="","",HLOOKUP($AQ18&amp;RIGHT($AO18,1),'input for formula'!$B$16:$I$20,4,0)),0)</f>
        <v>0</v>
      </c>
      <c r="AV18" s="80">
        <f>IFERROR(IF($AQ18="","",HLOOKUP($AQ18&amp;$F18,'input for formula'!$B$22:$M$25,3,0)),0)</f>
        <v>0</v>
      </c>
      <c r="AW18" s="333">
        <f>IFERROR(IF($AQ18="","",HLOOKUP($AQ18&amp;RIGHT($AO18,1),'input for formula'!$B$16:$I$20,5,0)),0)</f>
        <v>0</v>
      </c>
      <c r="AX18" s="80">
        <f>IFERROR(IF($AQ18="","",HLOOKUP($AQ18&amp;$F18,'input for formula'!$B$22:$M$25,4,0)),0)</f>
        <v>0</v>
      </c>
      <c r="AY18" s="333">
        <f>IFERROR(IF($AQ18="","",IF(Additions!$AQ18="Abu Dhabi",VLOOKUP(Additions!$AP18,'input for formula'!$A$28:$C$41,3,0),VLOOKUP(Additions!$AP18,'input for formula'!$A$28:$C$41,2,0))),0)*IFERROR(1+IF(AQ18="Dubai",VLOOKUP(F18,'Quotation for Dubai Plans'!$V$6:$X$12,3,FALSE),VLOOKUP(F18,'Quotation for Abu Dhabi Plans'!$W$6:$Y$12,3,FALSE)),0)</f>
        <v>0</v>
      </c>
      <c r="AZ18" s="80" t="str">
        <f t="shared" si="21"/>
        <v/>
      </c>
      <c r="BA18" s="106" t="str">
        <f>IFERROR(IF(AO18="","",IF(AQ18="Dubai",HLOOKUP((AO18&amp;AP18),Deviation!$B$7:$S$8,2,0)*BI18*BK18*BL18*BJ18,HLOOKUP((AO18&amp;AP18),Deviation!$B$9:$K$10,2,0)*BI18*BK18*BL18*BJ18)),0)</f>
        <v/>
      </c>
      <c r="BB18" s="107" t="e">
        <f>IF(AO18="","",IFERROR(IF(AO18="","",IF(AQ18="Dubai",HLOOKUP(BC18,'input for formula'!$B$3:$F$10,AR18,FALSE), IF(AND(H18="Employee",AQ18="Abu Dhabi"),HLOOKUP(BC18,'input for formula'!$I$3:$K$7,AR18,FALSE),HLOOKUP(BC18,'input for formula'!$M$3:$O$7,AR18,FALSE)))*BA18+AS18*AT18+AU18*AV18+AW18*AX18),0)*$BC$3)*IF(Inputs!$C$19&gt;100,(1+$BC$2),1)</f>
        <v>#VALUE!</v>
      </c>
      <c r="BC18" s="95" t="str">
        <f t="shared" si="22"/>
        <v/>
      </c>
      <c r="BD18" s="334" t="str">
        <f>IF(F18="","",IF(G18="Dubai",HLOOKUP(F18,Inputs!$C$26:$M$37,9,0),HLOOKUP(F18,Inputs!$C$45:$M$56,9,0)))</f>
        <v/>
      </c>
      <c r="BE18" s="335" t="str">
        <f>IF(F18="","",IF(G18="Dubai",HLOOKUP(F18,Inputs!$C$26:$M$37,10,0),HLOOKUP(F18,Inputs!$C$45:$M$56,10,0)))</f>
        <v/>
      </c>
      <c r="BF18" s="335" t="str">
        <f>IF(F18="","",IF(G18="Dubai",HLOOKUP(F18,Inputs!$C$26:$M$37,11,0),HLOOKUP(F18,Inputs!$C$45:$M$56,11,0)))</f>
        <v/>
      </c>
      <c r="BG18" s="334" t="str">
        <f>IF(F18="","",IF(G18="Dubai",HLOOKUP(F18,Inputs!$C$26:$M$37,12,0),HLOOKUP(F18,Inputs!$C$45:$M$56,12,0)))</f>
        <v/>
      </c>
      <c r="BI18" s="334" t="str">
        <f>IFERROR(IF(AO18="","",IF(AQ18="Dubai",IF(OR(AO18="Plan1",AO18="Plan2"),VLOOKUP(BD18,Deviation!$B$31:$D$33,2,FALSE),VLOOKUP(BD18,Deviation!$B$31:$D$33,3,FALSE)),IF(OR(AO18="Plan1",AO18="Plan2"),VLOOKUP(BD18,Deviation!$E$31:$G$33,2,FALSE),VLOOKUP(BD18,Deviation!$E$31:$G$33,3,FALSE)))),0)</f>
        <v/>
      </c>
      <c r="BJ18" s="336" t="str">
        <f>IFERROR(IF(AO18="","",IF(AQ18="Dubai",IF(AO18="Plan1",VLOOKUP(BE18,Deviation!$B$39:$C$40,2,FALSE),IF(AO18="Plan2",VLOOKUP(BE18,Deviation!$B$42:$C$43,2,FALSE),IF(AO18="Plan5",VLOOKUP(BE18,Deviation!$B$48:$C$49,2,FALSE),VLOOKUP(BE18,Deviation!$B$45:$C$46,2,FALSE)))),IF(AO18="Plan1",VLOOKUP(BE18,Deviation!$E$39:$F$40,2,FALSE),IF(AO18="Plan2",VLOOKUP(BE18,Deviation!$E$42:$F$43,2,FALSE),VLOOKUP(BE18,Deviation!$E$45:$F$46,2,FALSE))))),0)</f>
        <v/>
      </c>
      <c r="BK18" s="336" t="str">
        <f>IFERROR(IF(AO18="","",IF(AQ18="Dubai",IF(OR(AO18="Plan1",AO18="Plan2"),VLOOKUP(BF18,Deviation!$B$15:$D$18,2,FALSE),VLOOKUP(BF18,Deviation!$B$15:$D$18,3,FALSE)),IF(OR(AO18="Plan1",AO18="Plan2"),VLOOKUP(BF18,Deviation!$E$15:$G$18,2,FALSE),VLOOKUP(BF18,Deviation!$E$15:$G$18,3,FALSE)))),0)</f>
        <v/>
      </c>
      <c r="BL18" s="334" t="str">
        <f>IFERROR(IF(AO18="","",IF(AQ18="Dubai",VLOOKUP(BG18,Deviation!$B$24:$C$26,2,FALSE),100%)),0)</f>
        <v/>
      </c>
    </row>
    <row r="19" spans="1:64" ht="14.25" x14ac:dyDescent="0.2">
      <c r="A19" s="59">
        <v>14</v>
      </c>
      <c r="B19" s="298"/>
      <c r="C19" s="299"/>
      <c r="D19" s="298"/>
      <c r="E19" s="298"/>
      <c r="F19" s="298"/>
      <c r="G19" s="298"/>
      <c r="H19" s="298"/>
      <c r="I19" s="503"/>
      <c r="J19" s="80" t="str">
        <f>IFERROR(ROUNDDOWN(IF(C19="","",(MAX((eff_date-Additions!C19)/365.25,0))),0),"")</f>
        <v/>
      </c>
      <c r="K19" s="59" t="str">
        <f>IF(F19="","",IF(G19="Dubai",HLOOKUP(F19,Inputs!$C$26:$M$28,3,0),HLOOKUP(F19,Inputs!$C$45:$M$46,2,0)))</f>
        <v/>
      </c>
      <c r="L19" s="335" t="str">
        <f t="shared" si="0"/>
        <v/>
      </c>
      <c r="M19" s="335">
        <f t="shared" si="1"/>
        <v>0</v>
      </c>
      <c r="N19" s="335" t="str">
        <f t="shared" si="2"/>
        <v/>
      </c>
      <c r="O19" s="335">
        <f t="shared" si="3"/>
        <v>0</v>
      </c>
      <c r="P19" s="104"/>
      <c r="Q19" s="105">
        <f t="shared" si="16"/>
        <v>0</v>
      </c>
      <c r="R19" s="59" t="b">
        <f t="shared" si="4"/>
        <v>0</v>
      </c>
      <c r="S19" s="102" t="str">
        <f t="shared" si="17"/>
        <v>x</v>
      </c>
      <c r="T19" s="102" t="str">
        <f t="shared" si="5"/>
        <v>x</v>
      </c>
      <c r="U19" s="102" t="str">
        <f t="shared" si="6"/>
        <v>x</v>
      </c>
      <c r="V19" s="102" t="str">
        <f t="shared" si="7"/>
        <v>x</v>
      </c>
      <c r="W19" s="102" t="str">
        <f t="shared" si="8"/>
        <v>x</v>
      </c>
      <c r="X19" s="102" t="str">
        <f>IF(ISERROR(MATCH(G19,'Inputs Mapping'!$T$4:$T$5,0)),"x","")</f>
        <v>x</v>
      </c>
      <c r="Y19" s="102" t="str">
        <f>IF(ISERROR(MATCH(AE19,'Inputs Mapping'!$U$4:$U$5,0)),"x","")</f>
        <v>x</v>
      </c>
      <c r="Z19" s="102" t="str">
        <f>IF(ISERROR(MATCH(AF19,'Inputs Mapping'!$V$4:$V$5,0)),"x","")</f>
        <v>x</v>
      </c>
      <c r="AA19" s="102" t="str">
        <f>IF(ISERROR(MATCH(F19,'Inputs Mapping'!$W$4:$W$8,0)),"x","")</f>
        <v>x</v>
      </c>
      <c r="AB19" s="102" t="str">
        <f t="shared" si="9"/>
        <v/>
      </c>
      <c r="AC19" s="102" t="str">
        <f t="shared" si="10"/>
        <v/>
      </c>
      <c r="AD19" s="102" t="str">
        <f t="shared" si="11"/>
        <v/>
      </c>
      <c r="AE19" s="102" t="str">
        <f t="shared" si="18"/>
        <v/>
      </c>
      <c r="AF19" s="102" t="str">
        <f t="shared" si="19"/>
        <v/>
      </c>
      <c r="AG19" s="102" t="str">
        <f t="shared" si="20"/>
        <v>x</v>
      </c>
      <c r="AK19" s="95" t="str">
        <f t="shared" si="12"/>
        <v/>
      </c>
      <c r="AL19" s="59" t="str">
        <f>IF(J19="","",VLOOKUP(J19,'Inputs Mapping'!$T$27:$V$30,3))</f>
        <v/>
      </c>
      <c r="AM19" s="59" t="str">
        <f>IF(J19="","",VLOOKUP(J19,'Inputs Mapping'!$T$17:$V$24,3))</f>
        <v/>
      </c>
      <c r="AN19" s="59" t="str">
        <f t="shared" si="13"/>
        <v/>
      </c>
      <c r="AO19" s="102" t="str">
        <f t="shared" si="14"/>
        <v/>
      </c>
      <c r="AP19" s="102" t="str">
        <f>IF(F19="","",IF(G19="Dubai",HLOOKUP(F19,Inputs!$C$26:$M$36,5,0),HLOOKUP(F19,Inputs!$C$45:$M$49,5,0)))</f>
        <v/>
      </c>
      <c r="AQ19" s="102">
        <f t="shared" si="15"/>
        <v>0</v>
      </c>
      <c r="AR19" s="59" t="str">
        <f>IF(AM19="","",IF(AQ19="Dubai",VLOOKUP(AM19,'Inputs Mapping'!$V$17:$W$24,2,0),VLOOKUP(AL19,'Inputs Mapping'!$V$27:$W$30,2,0)))</f>
        <v/>
      </c>
      <c r="AS19" s="333">
        <f>IFERROR(IF($AQ19="","",HLOOKUP($AQ19&amp;RIGHT($AO19,1),'input for formula'!$B$16:$I$20,3,0)),0)</f>
        <v>0</v>
      </c>
      <c r="AT19" s="80">
        <f>IFERROR(IF($AQ19="","",HLOOKUP($AQ19&amp;$F19,'input for formula'!$B$22:$M$25,2,0)),0)</f>
        <v>0</v>
      </c>
      <c r="AU19" s="333">
        <f>IFERROR(IF($AQ19="","",HLOOKUP($AQ19&amp;RIGHT($AO19,1),'input for formula'!$B$16:$I$20,4,0)),0)</f>
        <v>0</v>
      </c>
      <c r="AV19" s="80">
        <f>IFERROR(IF($AQ19="","",HLOOKUP($AQ19&amp;$F19,'input for formula'!$B$22:$M$25,3,0)),0)</f>
        <v>0</v>
      </c>
      <c r="AW19" s="333">
        <f>IFERROR(IF($AQ19="","",HLOOKUP($AQ19&amp;RIGHT($AO19,1),'input for formula'!$B$16:$I$20,5,0)),0)</f>
        <v>0</v>
      </c>
      <c r="AX19" s="80">
        <f>IFERROR(IF($AQ19="","",HLOOKUP($AQ19&amp;$F19,'input for formula'!$B$22:$M$25,4,0)),0)</f>
        <v>0</v>
      </c>
      <c r="AY19" s="333">
        <f>IFERROR(IF($AQ19="","",IF(Additions!$AQ19="Abu Dhabi",VLOOKUP(Additions!$AP19,'input for formula'!$A$28:$C$41,3,0),VLOOKUP(Additions!$AP19,'input for formula'!$A$28:$C$41,2,0))),0)*IFERROR(1+IF(AQ19="Dubai",VLOOKUP(F19,'Quotation for Dubai Plans'!$V$6:$X$12,3,FALSE),VLOOKUP(F19,'Quotation for Abu Dhabi Plans'!$W$6:$Y$12,3,FALSE)),0)</f>
        <v>0</v>
      </c>
      <c r="AZ19" s="80" t="str">
        <f t="shared" si="21"/>
        <v/>
      </c>
      <c r="BA19" s="106" t="str">
        <f>IFERROR(IF(AO19="","",IF(AQ19="Dubai",HLOOKUP((AO19&amp;AP19),Deviation!$B$7:$S$8,2,0)*BI19*BK19*BL19*BJ19,HLOOKUP((AO19&amp;AP19),Deviation!$B$9:$K$10,2,0)*BI19*BK19*BL19*BJ19)),0)</f>
        <v/>
      </c>
      <c r="BB19" s="107" t="e">
        <f>IF(AO19="","",IFERROR(IF(AO19="","",IF(AQ19="Dubai",HLOOKUP(BC19,'input for formula'!$B$3:$F$10,AR19,FALSE), IF(AND(H19="Employee",AQ19="Abu Dhabi"),HLOOKUP(BC19,'input for formula'!$I$3:$K$7,AR19,FALSE),HLOOKUP(BC19,'input for formula'!$M$3:$O$7,AR19,FALSE)))*BA19+AS19*AT19+AU19*AV19+AW19*AX19),0)*$BC$3)*IF(Inputs!$C$19&gt;100,(1+$BC$2),1)</f>
        <v>#VALUE!</v>
      </c>
      <c r="BC19" s="95" t="str">
        <f t="shared" si="22"/>
        <v/>
      </c>
      <c r="BD19" s="334" t="str">
        <f>IF(F19="","",IF(G19="Dubai",HLOOKUP(F19,Inputs!$C$26:$M$37,9,0),HLOOKUP(F19,Inputs!$C$45:$M$56,9,0)))</f>
        <v/>
      </c>
      <c r="BE19" s="335" t="str">
        <f>IF(F19="","",IF(G19="Dubai",HLOOKUP(F19,Inputs!$C$26:$M$37,10,0),HLOOKUP(F19,Inputs!$C$45:$M$56,10,0)))</f>
        <v/>
      </c>
      <c r="BF19" s="335" t="str">
        <f>IF(F19="","",IF(G19="Dubai",HLOOKUP(F19,Inputs!$C$26:$M$37,11,0),HLOOKUP(F19,Inputs!$C$45:$M$56,11,0)))</f>
        <v/>
      </c>
      <c r="BG19" s="334" t="str">
        <f>IF(F19="","",IF(G19="Dubai",HLOOKUP(F19,Inputs!$C$26:$M$37,12,0),HLOOKUP(F19,Inputs!$C$45:$M$56,12,0)))</f>
        <v/>
      </c>
      <c r="BI19" s="334" t="str">
        <f>IFERROR(IF(AO19="","",IF(AQ19="Dubai",IF(OR(AO19="Plan1",AO19="Plan2"),VLOOKUP(BD19,Deviation!$B$31:$D$33,2,FALSE),VLOOKUP(BD19,Deviation!$B$31:$D$33,3,FALSE)),IF(OR(AO19="Plan1",AO19="Plan2"),VLOOKUP(BD19,Deviation!$E$31:$G$33,2,FALSE),VLOOKUP(BD19,Deviation!$E$31:$G$33,3,FALSE)))),0)</f>
        <v/>
      </c>
      <c r="BJ19" s="336" t="str">
        <f>IFERROR(IF(AO19="","",IF(AQ19="Dubai",IF(AO19="Plan1",VLOOKUP(BE19,Deviation!$B$39:$C$40,2,FALSE),IF(AO19="Plan2",VLOOKUP(BE19,Deviation!$B$42:$C$43,2,FALSE),IF(AO19="Plan5",VLOOKUP(BE19,Deviation!$B$48:$C$49,2,FALSE),VLOOKUP(BE19,Deviation!$B$45:$C$46,2,FALSE)))),IF(AO19="Plan1",VLOOKUP(BE19,Deviation!$E$39:$F$40,2,FALSE),IF(AO19="Plan2",VLOOKUP(BE19,Deviation!$E$42:$F$43,2,FALSE),VLOOKUP(BE19,Deviation!$E$45:$F$46,2,FALSE))))),0)</f>
        <v/>
      </c>
      <c r="BK19" s="336" t="str">
        <f>IFERROR(IF(AO19="","",IF(AQ19="Dubai",IF(OR(AO19="Plan1",AO19="Plan2"),VLOOKUP(BF19,Deviation!$B$15:$D$18,2,FALSE),VLOOKUP(BF19,Deviation!$B$15:$D$18,3,FALSE)),IF(OR(AO19="Plan1",AO19="Plan2"),VLOOKUP(BF19,Deviation!$E$15:$G$18,2,FALSE),VLOOKUP(BF19,Deviation!$E$15:$G$18,3,FALSE)))),0)</f>
        <v/>
      </c>
      <c r="BL19" s="334" t="str">
        <f>IFERROR(IF(AO19="","",IF(AQ19="Dubai",VLOOKUP(BG19,Deviation!$B$24:$C$26,2,FALSE),100%)),0)</f>
        <v/>
      </c>
    </row>
    <row r="20" spans="1:64" ht="14.25" x14ac:dyDescent="0.2">
      <c r="A20" s="59">
        <v>15</v>
      </c>
      <c r="B20" s="298"/>
      <c r="C20" s="299"/>
      <c r="D20" s="298"/>
      <c r="E20" s="298"/>
      <c r="F20" s="298"/>
      <c r="G20" s="298"/>
      <c r="H20" s="298"/>
      <c r="I20" s="503"/>
      <c r="J20" s="80" t="str">
        <f>IFERROR(ROUNDDOWN(IF(C20="","",(MAX((eff_date-Additions!C20)/365.25,0))),0),"")</f>
        <v/>
      </c>
      <c r="K20" s="59" t="str">
        <f>IF(F20="","",IF(G20="Dubai",HLOOKUP(F20,Inputs!$C$26:$M$28,3,0),HLOOKUP(F20,Inputs!$C$45:$M$46,2,0)))</f>
        <v/>
      </c>
      <c r="L20" s="335" t="str">
        <f t="shared" si="0"/>
        <v/>
      </c>
      <c r="M20" s="335">
        <f t="shared" si="1"/>
        <v>0</v>
      </c>
      <c r="N20" s="335" t="str">
        <f t="shared" si="2"/>
        <v/>
      </c>
      <c r="O20" s="335">
        <f t="shared" si="3"/>
        <v>0</v>
      </c>
      <c r="P20" s="104"/>
      <c r="Q20" s="105">
        <f t="shared" si="16"/>
        <v>0</v>
      </c>
      <c r="R20" s="59" t="b">
        <f t="shared" si="4"/>
        <v>0</v>
      </c>
      <c r="S20" s="102" t="str">
        <f t="shared" si="17"/>
        <v>x</v>
      </c>
      <c r="T20" s="102" t="str">
        <f t="shared" si="5"/>
        <v>x</v>
      </c>
      <c r="U20" s="102" t="str">
        <f t="shared" si="6"/>
        <v>x</v>
      </c>
      <c r="V20" s="102" t="str">
        <f t="shared" si="7"/>
        <v>x</v>
      </c>
      <c r="W20" s="102" t="str">
        <f t="shared" si="8"/>
        <v>x</v>
      </c>
      <c r="X20" s="102" t="str">
        <f>IF(ISERROR(MATCH(G20,'Inputs Mapping'!$T$4:$T$5,0)),"x","")</f>
        <v>x</v>
      </c>
      <c r="Y20" s="102" t="str">
        <f>IF(ISERROR(MATCH(AE20,'Inputs Mapping'!$U$4:$U$5,0)),"x","")</f>
        <v>x</v>
      </c>
      <c r="Z20" s="102" t="str">
        <f>IF(ISERROR(MATCH(AF20,'Inputs Mapping'!$V$4:$V$5,0)),"x","")</f>
        <v>x</v>
      </c>
      <c r="AA20" s="102" t="str">
        <f>IF(ISERROR(MATCH(F20,'Inputs Mapping'!$W$4:$W$8,0)),"x","")</f>
        <v>x</v>
      </c>
      <c r="AB20" s="102" t="str">
        <f t="shared" si="9"/>
        <v/>
      </c>
      <c r="AC20" s="102" t="str">
        <f t="shared" si="10"/>
        <v/>
      </c>
      <c r="AD20" s="102" t="str">
        <f t="shared" si="11"/>
        <v/>
      </c>
      <c r="AE20" s="102" t="str">
        <f t="shared" si="18"/>
        <v/>
      </c>
      <c r="AF20" s="102" t="str">
        <f t="shared" si="19"/>
        <v/>
      </c>
      <c r="AG20" s="102" t="str">
        <f t="shared" si="20"/>
        <v>x</v>
      </c>
      <c r="AK20" s="95" t="str">
        <f t="shared" si="12"/>
        <v/>
      </c>
      <c r="AL20" s="59" t="str">
        <f>IF(J20="","",VLOOKUP(J20,'Inputs Mapping'!$T$27:$V$30,3))</f>
        <v/>
      </c>
      <c r="AM20" s="59" t="str">
        <f>IF(J20="","",VLOOKUP(J20,'Inputs Mapping'!$T$17:$V$24,3))</f>
        <v/>
      </c>
      <c r="AN20" s="59" t="str">
        <f t="shared" si="13"/>
        <v/>
      </c>
      <c r="AO20" s="102" t="str">
        <f t="shared" si="14"/>
        <v/>
      </c>
      <c r="AP20" s="102" t="str">
        <f>IF(F20="","",IF(G20="Dubai",HLOOKUP(F20,Inputs!$C$26:$M$36,5,0),HLOOKUP(F20,Inputs!$C$45:$M$49,5,0)))</f>
        <v/>
      </c>
      <c r="AQ20" s="102">
        <f t="shared" si="15"/>
        <v>0</v>
      </c>
      <c r="AR20" s="59" t="str">
        <f>IF(AM20="","",IF(AQ20="Dubai",VLOOKUP(AM20,'Inputs Mapping'!$V$17:$W$24,2,0),VLOOKUP(AL20,'Inputs Mapping'!$V$27:$W$30,2,0)))</f>
        <v/>
      </c>
      <c r="AS20" s="333">
        <f>IFERROR(IF($AQ20="","",HLOOKUP($AQ20&amp;RIGHT($AO20,1),'input for formula'!$B$16:$I$20,3,0)),0)</f>
        <v>0</v>
      </c>
      <c r="AT20" s="80">
        <f>IFERROR(IF($AQ20="","",HLOOKUP($AQ20&amp;$F20,'input for formula'!$B$22:$M$25,2,0)),0)</f>
        <v>0</v>
      </c>
      <c r="AU20" s="333">
        <f>IFERROR(IF($AQ20="","",HLOOKUP($AQ20&amp;RIGHT($AO20,1),'input for formula'!$B$16:$I$20,4,0)),0)</f>
        <v>0</v>
      </c>
      <c r="AV20" s="80">
        <f>IFERROR(IF($AQ20="","",HLOOKUP($AQ20&amp;$F20,'input for formula'!$B$22:$M$25,3,0)),0)</f>
        <v>0</v>
      </c>
      <c r="AW20" s="333">
        <f>IFERROR(IF($AQ20="","",HLOOKUP($AQ20&amp;RIGHT($AO20,1),'input for formula'!$B$16:$I$20,5,0)),0)</f>
        <v>0</v>
      </c>
      <c r="AX20" s="80">
        <f>IFERROR(IF($AQ20="","",HLOOKUP($AQ20&amp;$F20,'input for formula'!$B$22:$M$25,4,0)),0)</f>
        <v>0</v>
      </c>
      <c r="AY20" s="333">
        <f>IFERROR(IF($AQ20="","",IF(Additions!$AQ20="Abu Dhabi",VLOOKUP(Additions!$AP20,'input for formula'!$A$28:$C$41,3,0),VLOOKUP(Additions!$AP20,'input for formula'!$A$28:$C$41,2,0))),0)*IFERROR(1+IF(AQ20="Dubai",VLOOKUP(F20,'Quotation for Dubai Plans'!$V$6:$X$12,3,FALSE),VLOOKUP(F20,'Quotation for Abu Dhabi Plans'!$W$6:$Y$12,3,FALSE)),0)</f>
        <v>0</v>
      </c>
      <c r="AZ20" s="80" t="str">
        <f t="shared" si="21"/>
        <v/>
      </c>
      <c r="BA20" s="106" t="str">
        <f>IFERROR(IF(AO20="","",IF(AQ20="Dubai",HLOOKUP((AO20&amp;AP20),Deviation!$B$7:$S$8,2,0)*BI20*BK20*BL20*BJ20,HLOOKUP((AO20&amp;AP20),Deviation!$B$9:$K$10,2,0)*BI20*BK20*BL20*BJ20)),0)</f>
        <v/>
      </c>
      <c r="BB20" s="107" t="e">
        <f>IF(AO20="","",IFERROR(IF(AO20="","",IF(AQ20="Dubai",HLOOKUP(BC20,'input for formula'!$B$3:$F$10,AR20,FALSE), IF(AND(H20="Employee",AQ20="Abu Dhabi"),HLOOKUP(BC20,'input for formula'!$I$3:$K$7,AR20,FALSE),HLOOKUP(BC20,'input for formula'!$M$3:$O$7,AR20,FALSE)))*BA20+AS20*AT20+AU20*AV20+AW20*AX20),0)*$BC$3)*IF(Inputs!$C$19&gt;100,(1+$BC$2),1)</f>
        <v>#VALUE!</v>
      </c>
      <c r="BC20" s="95" t="str">
        <f t="shared" si="22"/>
        <v/>
      </c>
      <c r="BD20" s="334" t="str">
        <f>IF(F20="","",IF(G20="Dubai",HLOOKUP(F20,Inputs!$C$26:$M$37,9,0),HLOOKUP(F20,Inputs!$C$45:$M$56,9,0)))</f>
        <v/>
      </c>
      <c r="BE20" s="335" t="str">
        <f>IF(F20="","",IF(G20="Dubai",HLOOKUP(F20,Inputs!$C$26:$M$37,10,0),HLOOKUP(F20,Inputs!$C$45:$M$56,10,0)))</f>
        <v/>
      </c>
      <c r="BF20" s="335" t="str">
        <f>IF(F20="","",IF(G20="Dubai",HLOOKUP(F20,Inputs!$C$26:$M$37,11,0),HLOOKUP(F20,Inputs!$C$45:$M$56,11,0)))</f>
        <v/>
      </c>
      <c r="BG20" s="334" t="str">
        <f>IF(F20="","",IF(G20="Dubai",HLOOKUP(F20,Inputs!$C$26:$M$37,12,0),HLOOKUP(F20,Inputs!$C$45:$M$56,12,0)))</f>
        <v/>
      </c>
      <c r="BI20" s="334" t="str">
        <f>IFERROR(IF(AO20="","",IF(AQ20="Dubai",IF(OR(AO20="Plan1",AO20="Plan2"),VLOOKUP(BD20,Deviation!$B$31:$D$33,2,FALSE),VLOOKUP(BD20,Deviation!$B$31:$D$33,3,FALSE)),IF(OR(AO20="Plan1",AO20="Plan2"),VLOOKUP(BD20,Deviation!$E$31:$G$33,2,FALSE),VLOOKUP(BD20,Deviation!$E$31:$G$33,3,FALSE)))),0)</f>
        <v/>
      </c>
      <c r="BJ20" s="336" t="str">
        <f>IFERROR(IF(AO20="","",IF(AQ20="Dubai",IF(AO20="Plan1",VLOOKUP(BE20,Deviation!$B$39:$C$40,2,FALSE),IF(AO20="Plan2",VLOOKUP(BE20,Deviation!$B$42:$C$43,2,FALSE),IF(AO20="Plan5",VLOOKUP(BE20,Deviation!$B$48:$C$49,2,FALSE),VLOOKUP(BE20,Deviation!$B$45:$C$46,2,FALSE)))),IF(AO20="Plan1",VLOOKUP(BE20,Deviation!$E$39:$F$40,2,FALSE),IF(AO20="Plan2",VLOOKUP(BE20,Deviation!$E$42:$F$43,2,FALSE),VLOOKUP(BE20,Deviation!$E$45:$F$46,2,FALSE))))),0)</f>
        <v/>
      </c>
      <c r="BK20" s="336" t="str">
        <f>IFERROR(IF(AO20="","",IF(AQ20="Dubai",IF(OR(AO20="Plan1",AO20="Plan2"),VLOOKUP(BF20,Deviation!$B$15:$D$18,2,FALSE),VLOOKUP(BF20,Deviation!$B$15:$D$18,3,FALSE)),IF(OR(AO20="Plan1",AO20="Plan2"),VLOOKUP(BF20,Deviation!$E$15:$G$18,2,FALSE),VLOOKUP(BF20,Deviation!$E$15:$G$18,3,FALSE)))),0)</f>
        <v/>
      </c>
      <c r="BL20" s="334" t="str">
        <f>IFERROR(IF(AO20="","",IF(AQ20="Dubai",VLOOKUP(BG20,Deviation!$B$24:$C$26,2,FALSE),100%)),0)</f>
        <v/>
      </c>
    </row>
    <row r="21" spans="1:64" ht="14.25" x14ac:dyDescent="0.2">
      <c r="A21" s="59">
        <v>16</v>
      </c>
      <c r="B21" s="298"/>
      <c r="C21" s="299"/>
      <c r="D21" s="298"/>
      <c r="E21" s="298"/>
      <c r="F21" s="298"/>
      <c r="G21" s="298"/>
      <c r="H21" s="298"/>
      <c r="I21" s="503"/>
      <c r="J21" s="80" t="str">
        <f>IFERROR(ROUNDDOWN(IF(C21="","",(MAX((eff_date-Additions!C21)/365.25,0))),0),"")</f>
        <v/>
      </c>
      <c r="K21" s="59" t="str">
        <f>IF(F21="","",IF(G21="Dubai",HLOOKUP(F21,Inputs!$C$26:$M$28,3,0),HLOOKUP(F21,Inputs!$C$45:$M$46,2,0)))</f>
        <v/>
      </c>
      <c r="L21" s="335" t="str">
        <f t="shared" si="0"/>
        <v/>
      </c>
      <c r="M21" s="335">
        <f t="shared" si="1"/>
        <v>0</v>
      </c>
      <c r="N21" s="335" t="str">
        <f t="shared" si="2"/>
        <v/>
      </c>
      <c r="O21" s="335">
        <f t="shared" si="3"/>
        <v>0</v>
      </c>
      <c r="P21" s="104"/>
      <c r="Q21" s="105">
        <f t="shared" si="16"/>
        <v>0</v>
      </c>
      <c r="R21" s="59" t="b">
        <f t="shared" si="4"/>
        <v>0</v>
      </c>
      <c r="S21" s="102" t="str">
        <f t="shared" si="17"/>
        <v>x</v>
      </c>
      <c r="T21" s="102" t="str">
        <f t="shared" si="5"/>
        <v>x</v>
      </c>
      <c r="U21" s="102" t="str">
        <f t="shared" si="6"/>
        <v>x</v>
      </c>
      <c r="V21" s="102" t="str">
        <f t="shared" si="7"/>
        <v>x</v>
      </c>
      <c r="W21" s="102" t="str">
        <f t="shared" si="8"/>
        <v>x</v>
      </c>
      <c r="X21" s="102" t="str">
        <f>IF(ISERROR(MATCH(G21,'Inputs Mapping'!$T$4:$T$5,0)),"x","")</f>
        <v>x</v>
      </c>
      <c r="Y21" s="102" t="str">
        <f>IF(ISERROR(MATCH(AE21,'Inputs Mapping'!$U$4:$U$5,0)),"x","")</f>
        <v>x</v>
      </c>
      <c r="Z21" s="102" t="str">
        <f>IF(ISERROR(MATCH(AF21,'Inputs Mapping'!$V$4:$V$5,0)),"x","")</f>
        <v>x</v>
      </c>
      <c r="AA21" s="102" t="str">
        <f>IF(ISERROR(MATCH(F21,'Inputs Mapping'!$W$4:$W$8,0)),"x","")</f>
        <v>x</v>
      </c>
      <c r="AB21" s="102" t="str">
        <f t="shared" si="9"/>
        <v/>
      </c>
      <c r="AC21" s="102" t="str">
        <f t="shared" si="10"/>
        <v/>
      </c>
      <c r="AD21" s="102" t="str">
        <f t="shared" si="11"/>
        <v/>
      </c>
      <c r="AE21" s="102" t="str">
        <f t="shared" si="18"/>
        <v/>
      </c>
      <c r="AF21" s="102" t="str">
        <f t="shared" si="19"/>
        <v/>
      </c>
      <c r="AG21" s="102" t="str">
        <f t="shared" si="20"/>
        <v>x</v>
      </c>
      <c r="AK21" s="95" t="str">
        <f t="shared" si="12"/>
        <v/>
      </c>
      <c r="AL21" s="59" t="str">
        <f>IF(J21="","",VLOOKUP(J21,'Inputs Mapping'!$T$27:$V$30,3))</f>
        <v/>
      </c>
      <c r="AM21" s="59" t="str">
        <f>IF(J21="","",VLOOKUP(J21,'Inputs Mapping'!$T$17:$V$24,3))</f>
        <v/>
      </c>
      <c r="AN21" s="59" t="str">
        <f t="shared" si="13"/>
        <v/>
      </c>
      <c r="AO21" s="102" t="str">
        <f t="shared" si="14"/>
        <v/>
      </c>
      <c r="AP21" s="102" t="str">
        <f>IF(F21="","",IF(G21="Dubai",HLOOKUP(F21,Inputs!$C$26:$M$36,5,0),HLOOKUP(F21,Inputs!$C$45:$M$49,5,0)))</f>
        <v/>
      </c>
      <c r="AQ21" s="102">
        <f t="shared" si="15"/>
        <v>0</v>
      </c>
      <c r="AR21" s="59" t="str">
        <f>IF(AM21="","",IF(AQ21="Dubai",VLOOKUP(AM21,'Inputs Mapping'!$V$17:$W$24,2,0),VLOOKUP(AL21,'Inputs Mapping'!$V$27:$W$30,2,0)))</f>
        <v/>
      </c>
      <c r="AS21" s="333">
        <f>IFERROR(IF($AQ21="","",HLOOKUP($AQ21&amp;RIGHT($AO21,1),'input for formula'!$B$16:$I$20,3,0)),0)</f>
        <v>0</v>
      </c>
      <c r="AT21" s="80">
        <f>IFERROR(IF($AQ21="","",HLOOKUP($AQ21&amp;$F21,'input for formula'!$B$22:$M$25,2,0)),0)</f>
        <v>0</v>
      </c>
      <c r="AU21" s="333">
        <f>IFERROR(IF($AQ21="","",HLOOKUP($AQ21&amp;RIGHT($AO21,1),'input for formula'!$B$16:$I$20,4,0)),0)</f>
        <v>0</v>
      </c>
      <c r="AV21" s="80">
        <f>IFERROR(IF($AQ21="","",HLOOKUP($AQ21&amp;$F21,'input for formula'!$B$22:$M$25,3,0)),0)</f>
        <v>0</v>
      </c>
      <c r="AW21" s="333">
        <f>IFERROR(IF($AQ21="","",HLOOKUP($AQ21&amp;RIGHT($AO21,1),'input for formula'!$B$16:$I$20,5,0)),0)</f>
        <v>0</v>
      </c>
      <c r="AX21" s="80">
        <f>IFERROR(IF($AQ21="","",HLOOKUP($AQ21&amp;$F21,'input for formula'!$B$22:$M$25,4,0)),0)</f>
        <v>0</v>
      </c>
      <c r="AY21" s="333">
        <f>IFERROR(IF($AQ21="","",IF(Additions!$AQ21="Abu Dhabi",VLOOKUP(Additions!$AP21,'input for formula'!$A$28:$C$41,3,0),VLOOKUP(Additions!$AP21,'input for formula'!$A$28:$C$41,2,0))),0)*IFERROR(1+IF(AQ21="Dubai",VLOOKUP(F21,'Quotation for Dubai Plans'!$V$6:$X$12,3,FALSE),VLOOKUP(F21,'Quotation for Abu Dhabi Plans'!$W$6:$Y$12,3,FALSE)),0)</f>
        <v>0</v>
      </c>
      <c r="AZ21" s="80" t="str">
        <f t="shared" si="21"/>
        <v/>
      </c>
      <c r="BA21" s="106" t="str">
        <f>IFERROR(IF(AO21="","",IF(AQ21="Dubai",HLOOKUP((AO21&amp;AP21),Deviation!$B$7:$S$8,2,0)*BI21*BK21*BL21*BJ21,HLOOKUP((AO21&amp;AP21),Deviation!$B$9:$K$10,2,0)*BI21*BK21*BL21*BJ21)),0)</f>
        <v/>
      </c>
      <c r="BB21" s="107" t="e">
        <f>IF(AO21="","",IFERROR(IF(AO21="","",IF(AQ21="Dubai",HLOOKUP(BC21,'input for formula'!$B$3:$F$10,AR21,FALSE), IF(AND(H21="Employee",AQ21="Abu Dhabi"),HLOOKUP(BC21,'input for formula'!$I$3:$K$7,AR21,FALSE),HLOOKUP(BC21,'input for formula'!$M$3:$O$7,AR21,FALSE)))*BA21+AS21*AT21+AU21*AV21+AW21*AX21),0)*$BC$3)*IF(Inputs!$C$19&gt;100,(1+$BC$2),1)</f>
        <v>#VALUE!</v>
      </c>
      <c r="BC21" s="95" t="str">
        <f t="shared" si="22"/>
        <v/>
      </c>
      <c r="BD21" s="334" t="str">
        <f>IF(F21="","",IF(G21="Dubai",HLOOKUP(F21,Inputs!$C$26:$M$37,9,0),HLOOKUP(F21,Inputs!$C$45:$M$56,9,0)))</f>
        <v/>
      </c>
      <c r="BE21" s="335" t="str">
        <f>IF(F21="","",IF(G21="Dubai",HLOOKUP(F21,Inputs!$C$26:$M$37,10,0),HLOOKUP(F21,Inputs!$C$45:$M$56,10,0)))</f>
        <v/>
      </c>
      <c r="BF21" s="335" t="str">
        <f>IF(F21="","",IF(G21="Dubai",HLOOKUP(F21,Inputs!$C$26:$M$37,11,0),HLOOKUP(F21,Inputs!$C$45:$M$56,11,0)))</f>
        <v/>
      </c>
      <c r="BG21" s="334" t="str">
        <f>IF(F21="","",IF(G21="Dubai",HLOOKUP(F21,Inputs!$C$26:$M$37,12,0),HLOOKUP(F21,Inputs!$C$45:$M$56,12,0)))</f>
        <v/>
      </c>
      <c r="BI21" s="334" t="str">
        <f>IFERROR(IF(AO21="","",IF(AQ21="Dubai",IF(OR(AO21="Plan1",AO21="Plan2"),VLOOKUP(BD21,Deviation!$B$31:$D$33,2,FALSE),VLOOKUP(BD21,Deviation!$B$31:$D$33,3,FALSE)),IF(OR(AO21="Plan1",AO21="Plan2"),VLOOKUP(BD21,Deviation!$E$31:$G$33,2,FALSE),VLOOKUP(BD21,Deviation!$E$31:$G$33,3,FALSE)))),0)</f>
        <v/>
      </c>
      <c r="BJ21" s="336" t="str">
        <f>IFERROR(IF(AO21="","",IF(AQ21="Dubai",IF(AO21="Plan1",VLOOKUP(BE21,Deviation!$B$39:$C$40,2,FALSE),IF(AO21="Plan2",VLOOKUP(BE21,Deviation!$B$42:$C$43,2,FALSE),IF(AO21="Plan5",VLOOKUP(BE21,Deviation!$B$48:$C$49,2,FALSE),VLOOKUP(BE21,Deviation!$B$45:$C$46,2,FALSE)))),IF(AO21="Plan1",VLOOKUP(BE21,Deviation!$E$39:$F$40,2,FALSE),IF(AO21="Plan2",VLOOKUP(BE21,Deviation!$E$42:$F$43,2,FALSE),VLOOKUP(BE21,Deviation!$E$45:$F$46,2,FALSE))))),0)</f>
        <v/>
      </c>
      <c r="BK21" s="336" t="str">
        <f>IFERROR(IF(AO21="","",IF(AQ21="Dubai",IF(OR(AO21="Plan1",AO21="Plan2"),VLOOKUP(BF21,Deviation!$B$15:$D$18,2,FALSE),VLOOKUP(BF21,Deviation!$B$15:$D$18,3,FALSE)),IF(OR(AO21="Plan1",AO21="Plan2"),VLOOKUP(BF21,Deviation!$E$15:$G$18,2,FALSE),VLOOKUP(BF21,Deviation!$E$15:$G$18,3,FALSE)))),0)</f>
        <v/>
      </c>
      <c r="BL21" s="334" t="str">
        <f>IFERROR(IF(AO21="","",IF(AQ21="Dubai",VLOOKUP(BG21,Deviation!$B$24:$C$26,2,FALSE),100%)),0)</f>
        <v/>
      </c>
    </row>
    <row r="22" spans="1:64" ht="14.25" x14ac:dyDescent="0.2">
      <c r="A22" s="59">
        <v>17</v>
      </c>
      <c r="B22" s="298"/>
      <c r="C22" s="299"/>
      <c r="D22" s="298"/>
      <c r="E22" s="298"/>
      <c r="F22" s="298"/>
      <c r="G22" s="298"/>
      <c r="H22" s="298"/>
      <c r="I22" s="503"/>
      <c r="J22" s="80" t="str">
        <f>IFERROR(ROUNDDOWN(IF(C22="","",(MAX((eff_date-Additions!C22)/365.25,0))),0),"")</f>
        <v/>
      </c>
      <c r="K22" s="59" t="str">
        <f>IF(F22="","",IF(G22="Dubai",HLOOKUP(F22,Inputs!$C$26:$M$28,3,0),HLOOKUP(F22,Inputs!$C$45:$M$46,2,0)))</f>
        <v/>
      </c>
      <c r="L22" s="335" t="str">
        <f t="shared" si="0"/>
        <v/>
      </c>
      <c r="M22" s="335">
        <f t="shared" si="1"/>
        <v>0</v>
      </c>
      <c r="N22" s="335" t="str">
        <f t="shared" si="2"/>
        <v/>
      </c>
      <c r="O22" s="335">
        <f t="shared" si="3"/>
        <v>0</v>
      </c>
      <c r="P22" s="104"/>
      <c r="Q22" s="105">
        <f t="shared" si="16"/>
        <v>0</v>
      </c>
      <c r="R22" s="59" t="b">
        <f t="shared" si="4"/>
        <v>0</v>
      </c>
      <c r="S22" s="102" t="str">
        <f t="shared" si="17"/>
        <v>x</v>
      </c>
      <c r="T22" s="102" t="str">
        <f t="shared" si="5"/>
        <v>x</v>
      </c>
      <c r="U22" s="102" t="str">
        <f t="shared" si="6"/>
        <v>x</v>
      </c>
      <c r="V22" s="102" t="str">
        <f t="shared" si="7"/>
        <v>x</v>
      </c>
      <c r="W22" s="102" t="str">
        <f t="shared" si="8"/>
        <v>x</v>
      </c>
      <c r="X22" s="102" t="str">
        <f>IF(ISERROR(MATCH(G22,'Inputs Mapping'!$T$4:$T$5,0)),"x","")</f>
        <v>x</v>
      </c>
      <c r="Y22" s="102" t="str">
        <f>IF(ISERROR(MATCH(AE22,'Inputs Mapping'!$U$4:$U$5,0)),"x","")</f>
        <v>x</v>
      </c>
      <c r="Z22" s="102" t="str">
        <f>IF(ISERROR(MATCH(AF22,'Inputs Mapping'!$V$4:$V$5,0)),"x","")</f>
        <v>x</v>
      </c>
      <c r="AA22" s="102" t="str">
        <f>IF(ISERROR(MATCH(F22,'Inputs Mapping'!$W$4:$W$8,0)),"x","")</f>
        <v>x</v>
      </c>
      <c r="AB22" s="102" t="str">
        <f t="shared" si="9"/>
        <v/>
      </c>
      <c r="AC22" s="102" t="str">
        <f t="shared" si="10"/>
        <v/>
      </c>
      <c r="AD22" s="102" t="str">
        <f t="shared" si="11"/>
        <v/>
      </c>
      <c r="AE22" s="102" t="str">
        <f t="shared" si="18"/>
        <v/>
      </c>
      <c r="AF22" s="102" t="str">
        <f t="shared" si="19"/>
        <v/>
      </c>
      <c r="AG22" s="102" t="str">
        <f t="shared" si="20"/>
        <v>x</v>
      </c>
      <c r="AK22" s="95" t="str">
        <f t="shared" si="12"/>
        <v/>
      </c>
      <c r="AL22" s="59" t="str">
        <f>IF(J22="","",VLOOKUP(J22,'Inputs Mapping'!$T$27:$V$30,3))</f>
        <v/>
      </c>
      <c r="AM22" s="59" t="str">
        <f>IF(J22="","",VLOOKUP(J22,'Inputs Mapping'!$T$17:$V$24,3))</f>
        <v/>
      </c>
      <c r="AN22" s="59" t="str">
        <f t="shared" si="13"/>
        <v/>
      </c>
      <c r="AO22" s="102" t="str">
        <f t="shared" si="14"/>
        <v/>
      </c>
      <c r="AP22" s="102" t="str">
        <f>IF(F22="","",IF(G22="Dubai",HLOOKUP(F22,Inputs!$C$26:$M$36,5,0),HLOOKUP(F22,Inputs!$C$45:$M$49,5,0)))</f>
        <v/>
      </c>
      <c r="AQ22" s="102">
        <f t="shared" si="15"/>
        <v>0</v>
      </c>
      <c r="AR22" s="59" t="str">
        <f>IF(AM22="","",IF(AQ22="Dubai",VLOOKUP(AM22,'Inputs Mapping'!$V$17:$W$24,2,0),VLOOKUP(AL22,'Inputs Mapping'!$V$27:$W$30,2,0)))</f>
        <v/>
      </c>
      <c r="AS22" s="333">
        <f>IFERROR(IF($AQ22="","",HLOOKUP($AQ22&amp;RIGHT($AO22,1),'input for formula'!$B$16:$I$20,3,0)),0)</f>
        <v>0</v>
      </c>
      <c r="AT22" s="80">
        <f>IFERROR(IF($AQ22="","",HLOOKUP($AQ22&amp;$F22,'input for formula'!$B$22:$M$25,2,0)),0)</f>
        <v>0</v>
      </c>
      <c r="AU22" s="333">
        <f>IFERROR(IF($AQ22="","",HLOOKUP($AQ22&amp;RIGHT($AO22,1),'input for formula'!$B$16:$I$20,4,0)),0)</f>
        <v>0</v>
      </c>
      <c r="AV22" s="80">
        <f>IFERROR(IF($AQ22="","",HLOOKUP($AQ22&amp;$F22,'input for formula'!$B$22:$M$25,3,0)),0)</f>
        <v>0</v>
      </c>
      <c r="AW22" s="333">
        <f>IFERROR(IF($AQ22="","",HLOOKUP($AQ22&amp;RIGHT($AO22,1),'input for formula'!$B$16:$I$20,5,0)),0)</f>
        <v>0</v>
      </c>
      <c r="AX22" s="80">
        <f>IFERROR(IF($AQ22="","",HLOOKUP($AQ22&amp;$F22,'input for formula'!$B$22:$M$25,4,0)),0)</f>
        <v>0</v>
      </c>
      <c r="AY22" s="333">
        <f>IFERROR(IF($AQ22="","",IF(Additions!$AQ22="Abu Dhabi",VLOOKUP(Additions!$AP22,'input for formula'!$A$28:$C$41,3,0),VLOOKUP(Additions!$AP22,'input for formula'!$A$28:$C$41,2,0))),0)*IFERROR(1+IF(AQ22="Dubai",VLOOKUP(F22,'Quotation for Dubai Plans'!$V$6:$X$12,3,FALSE),VLOOKUP(F22,'Quotation for Abu Dhabi Plans'!$W$6:$Y$12,3,FALSE)),0)</f>
        <v>0</v>
      </c>
      <c r="AZ22" s="80" t="str">
        <f t="shared" si="21"/>
        <v/>
      </c>
      <c r="BA22" s="106" t="str">
        <f>IFERROR(IF(AO22="","",IF(AQ22="Dubai",HLOOKUP((AO22&amp;AP22),Deviation!$B$7:$S$8,2,0)*BI22*BK22*BL22*BJ22,HLOOKUP((AO22&amp;AP22),Deviation!$B$9:$K$10,2,0)*BI22*BK22*BL22*BJ22)),0)</f>
        <v/>
      </c>
      <c r="BB22" s="107" t="e">
        <f>IF(AO22="","",IFERROR(IF(AO22="","",IF(AQ22="Dubai",HLOOKUP(BC22,'input for formula'!$B$3:$F$10,AR22,FALSE), IF(AND(H22="Employee",AQ22="Abu Dhabi"),HLOOKUP(BC22,'input for formula'!$I$3:$K$7,AR22,FALSE),HLOOKUP(BC22,'input for formula'!$M$3:$O$7,AR22,FALSE)))*BA22+AS22*AT22+AU22*AV22+AW22*AX22),0)*$BC$3)*IF(Inputs!$C$19&gt;100,(1+$BC$2),1)</f>
        <v>#VALUE!</v>
      </c>
      <c r="BC22" s="95" t="str">
        <f t="shared" si="22"/>
        <v/>
      </c>
      <c r="BD22" s="334" t="str">
        <f>IF(F22="","",IF(G22="Dubai",HLOOKUP(F22,Inputs!$C$26:$M$37,9,0),HLOOKUP(F22,Inputs!$C$45:$M$56,9,0)))</f>
        <v/>
      </c>
      <c r="BE22" s="335" t="str">
        <f>IF(F22="","",IF(G22="Dubai",HLOOKUP(F22,Inputs!$C$26:$M$37,10,0),HLOOKUP(F22,Inputs!$C$45:$M$56,10,0)))</f>
        <v/>
      </c>
      <c r="BF22" s="335" t="str">
        <f>IF(F22="","",IF(G22="Dubai",HLOOKUP(F22,Inputs!$C$26:$M$37,11,0),HLOOKUP(F22,Inputs!$C$45:$M$56,11,0)))</f>
        <v/>
      </c>
      <c r="BG22" s="334" t="str">
        <f>IF(F22="","",IF(G22="Dubai",HLOOKUP(F22,Inputs!$C$26:$M$37,12,0),HLOOKUP(F22,Inputs!$C$45:$M$56,12,0)))</f>
        <v/>
      </c>
      <c r="BI22" s="334" t="str">
        <f>IFERROR(IF(AO22="","",IF(AQ22="Dubai",IF(OR(AO22="Plan1",AO22="Plan2"),VLOOKUP(BD22,Deviation!$B$31:$D$33,2,FALSE),VLOOKUP(BD22,Deviation!$B$31:$D$33,3,FALSE)),IF(OR(AO22="Plan1",AO22="Plan2"),VLOOKUP(BD22,Deviation!$E$31:$G$33,2,FALSE),VLOOKUP(BD22,Deviation!$E$31:$G$33,3,FALSE)))),0)</f>
        <v/>
      </c>
      <c r="BJ22" s="336" t="str">
        <f>IFERROR(IF(AO22="","",IF(AQ22="Dubai",IF(AO22="Plan1",VLOOKUP(BE22,Deviation!$B$39:$C$40,2,FALSE),IF(AO22="Plan2",VLOOKUP(BE22,Deviation!$B$42:$C$43,2,FALSE),IF(AO22="Plan5",VLOOKUP(BE22,Deviation!$B$48:$C$49,2,FALSE),VLOOKUP(BE22,Deviation!$B$45:$C$46,2,FALSE)))),IF(AO22="Plan1",VLOOKUP(BE22,Deviation!$E$39:$F$40,2,FALSE),IF(AO22="Plan2",VLOOKUP(BE22,Deviation!$E$42:$F$43,2,FALSE),VLOOKUP(BE22,Deviation!$E$45:$F$46,2,FALSE))))),0)</f>
        <v/>
      </c>
      <c r="BK22" s="336" t="str">
        <f>IFERROR(IF(AO22="","",IF(AQ22="Dubai",IF(OR(AO22="Plan1",AO22="Plan2"),VLOOKUP(BF22,Deviation!$B$15:$D$18,2,FALSE),VLOOKUP(BF22,Deviation!$B$15:$D$18,3,FALSE)),IF(OR(AO22="Plan1",AO22="Plan2"),VLOOKUP(BF22,Deviation!$E$15:$G$18,2,FALSE),VLOOKUP(BF22,Deviation!$E$15:$G$18,3,FALSE)))),0)</f>
        <v/>
      </c>
      <c r="BL22" s="334" t="str">
        <f>IFERROR(IF(AO22="","",IF(AQ22="Dubai",VLOOKUP(BG22,Deviation!$B$24:$C$26,2,FALSE),100%)),0)</f>
        <v/>
      </c>
    </row>
    <row r="23" spans="1:64" ht="14.25" x14ac:dyDescent="0.2">
      <c r="A23" s="59">
        <v>18</v>
      </c>
      <c r="B23" s="298"/>
      <c r="C23" s="299"/>
      <c r="D23" s="298"/>
      <c r="E23" s="298"/>
      <c r="F23" s="298"/>
      <c r="G23" s="298"/>
      <c r="H23" s="298"/>
      <c r="I23" s="503"/>
      <c r="J23" s="80" t="str">
        <f>IFERROR(ROUNDDOWN(IF(C23="","",(MAX((eff_date-Additions!C23)/365.25,0))),0),"")</f>
        <v/>
      </c>
      <c r="K23" s="59" t="str">
        <f>IF(F23="","",IF(G23="Dubai",HLOOKUP(F23,Inputs!$C$26:$M$28,3,0),HLOOKUP(F23,Inputs!$C$45:$M$46,2,0)))</f>
        <v/>
      </c>
      <c r="L23" s="335" t="str">
        <f t="shared" si="0"/>
        <v/>
      </c>
      <c r="M23" s="335">
        <f t="shared" si="1"/>
        <v>0</v>
      </c>
      <c r="N23" s="335" t="str">
        <f t="shared" si="2"/>
        <v/>
      </c>
      <c r="O23" s="335">
        <f t="shared" si="3"/>
        <v>0</v>
      </c>
      <c r="P23" s="104"/>
      <c r="Q23" s="105">
        <f t="shared" si="16"/>
        <v>0</v>
      </c>
      <c r="R23" s="59" t="b">
        <f t="shared" si="4"/>
        <v>0</v>
      </c>
      <c r="S23" s="102" t="str">
        <f t="shared" si="17"/>
        <v>x</v>
      </c>
      <c r="T23" s="102" t="str">
        <f t="shared" si="5"/>
        <v>x</v>
      </c>
      <c r="U23" s="102" t="str">
        <f t="shared" si="6"/>
        <v>x</v>
      </c>
      <c r="V23" s="102" t="str">
        <f t="shared" si="7"/>
        <v>x</v>
      </c>
      <c r="W23" s="102" t="str">
        <f t="shared" si="8"/>
        <v>x</v>
      </c>
      <c r="X23" s="102" t="str">
        <f>IF(ISERROR(MATCH(G23,'Inputs Mapping'!$T$4:$T$5,0)),"x","")</f>
        <v>x</v>
      </c>
      <c r="Y23" s="102" t="str">
        <f>IF(ISERROR(MATCH(AE23,'Inputs Mapping'!$U$4:$U$5,0)),"x","")</f>
        <v>x</v>
      </c>
      <c r="Z23" s="102" t="str">
        <f>IF(ISERROR(MATCH(AF23,'Inputs Mapping'!$V$4:$V$5,0)),"x","")</f>
        <v>x</v>
      </c>
      <c r="AA23" s="102" t="str">
        <f>IF(ISERROR(MATCH(F23,'Inputs Mapping'!$W$4:$W$8,0)),"x","")</f>
        <v>x</v>
      </c>
      <c r="AB23" s="102" t="str">
        <f t="shared" si="9"/>
        <v/>
      </c>
      <c r="AC23" s="102" t="str">
        <f t="shared" si="10"/>
        <v/>
      </c>
      <c r="AD23" s="102" t="str">
        <f t="shared" si="11"/>
        <v/>
      </c>
      <c r="AE23" s="102" t="str">
        <f t="shared" si="18"/>
        <v/>
      </c>
      <c r="AF23" s="102" t="str">
        <f t="shared" si="19"/>
        <v/>
      </c>
      <c r="AG23" s="102" t="str">
        <f t="shared" si="20"/>
        <v>x</v>
      </c>
      <c r="AK23" s="95" t="str">
        <f t="shared" si="12"/>
        <v/>
      </c>
      <c r="AL23" s="59" t="str">
        <f>IF(J23="","",VLOOKUP(J23,'Inputs Mapping'!$T$27:$V$30,3))</f>
        <v/>
      </c>
      <c r="AM23" s="59" t="str">
        <f>IF(J23="","",VLOOKUP(J23,'Inputs Mapping'!$T$17:$V$24,3))</f>
        <v/>
      </c>
      <c r="AN23" s="59" t="str">
        <f t="shared" si="13"/>
        <v/>
      </c>
      <c r="AO23" s="102" t="str">
        <f t="shared" si="14"/>
        <v/>
      </c>
      <c r="AP23" s="102" t="str">
        <f>IF(F23="","",IF(G23="Dubai",HLOOKUP(F23,Inputs!$C$26:$M$36,5,0),HLOOKUP(F23,Inputs!$C$45:$M$49,5,0)))</f>
        <v/>
      </c>
      <c r="AQ23" s="102">
        <f t="shared" si="15"/>
        <v>0</v>
      </c>
      <c r="AR23" s="59" t="str">
        <f>IF(AM23="","",IF(AQ23="Dubai",VLOOKUP(AM23,'Inputs Mapping'!$V$17:$W$24,2,0),VLOOKUP(AL23,'Inputs Mapping'!$V$27:$W$30,2,0)))</f>
        <v/>
      </c>
      <c r="AS23" s="333">
        <f>IFERROR(IF($AQ23="","",HLOOKUP($AQ23&amp;RIGHT($AO23,1),'input for formula'!$B$16:$I$20,3,0)),0)</f>
        <v>0</v>
      </c>
      <c r="AT23" s="80">
        <f>IFERROR(IF($AQ23="","",HLOOKUP($AQ23&amp;$F23,'input for formula'!$B$22:$M$25,2,0)),0)</f>
        <v>0</v>
      </c>
      <c r="AU23" s="333">
        <f>IFERROR(IF($AQ23="","",HLOOKUP($AQ23&amp;RIGHT($AO23,1),'input for formula'!$B$16:$I$20,4,0)),0)</f>
        <v>0</v>
      </c>
      <c r="AV23" s="80">
        <f>IFERROR(IF($AQ23="","",HLOOKUP($AQ23&amp;$F23,'input for formula'!$B$22:$M$25,3,0)),0)</f>
        <v>0</v>
      </c>
      <c r="AW23" s="333">
        <f>IFERROR(IF($AQ23="","",HLOOKUP($AQ23&amp;RIGHT($AO23,1),'input for formula'!$B$16:$I$20,5,0)),0)</f>
        <v>0</v>
      </c>
      <c r="AX23" s="80">
        <f>IFERROR(IF($AQ23="","",HLOOKUP($AQ23&amp;$F23,'input for formula'!$B$22:$M$25,4,0)),0)</f>
        <v>0</v>
      </c>
      <c r="AY23" s="333">
        <f>IFERROR(IF($AQ23="","",IF(Additions!$AQ23="Abu Dhabi",VLOOKUP(Additions!$AP23,'input for formula'!$A$28:$C$41,3,0),VLOOKUP(Additions!$AP23,'input for formula'!$A$28:$C$41,2,0))),0)*IFERROR(1+IF(AQ23="Dubai",VLOOKUP(F23,'Quotation for Dubai Plans'!$V$6:$X$12,3,FALSE),VLOOKUP(F23,'Quotation for Abu Dhabi Plans'!$W$6:$Y$12,3,FALSE)),0)</f>
        <v>0</v>
      </c>
      <c r="AZ23" s="80" t="str">
        <f t="shared" si="21"/>
        <v/>
      </c>
      <c r="BA23" s="106" t="str">
        <f>IFERROR(IF(AO23="","",IF(AQ23="Dubai",HLOOKUP((AO23&amp;AP23),Deviation!$B$7:$S$8,2,0)*BI23*BK23*BL23*BJ23,HLOOKUP((AO23&amp;AP23),Deviation!$B$9:$K$10,2,0)*BI23*BK23*BL23*BJ23)),0)</f>
        <v/>
      </c>
      <c r="BB23" s="107" t="e">
        <f>IF(AO23="","",IFERROR(IF(AO23="","",IF(AQ23="Dubai",HLOOKUP(BC23,'input for formula'!$B$3:$F$10,AR23,FALSE), IF(AND(H23="Employee",AQ23="Abu Dhabi"),HLOOKUP(BC23,'input for formula'!$I$3:$K$7,AR23,FALSE),HLOOKUP(BC23,'input for formula'!$M$3:$O$7,AR23,FALSE)))*BA23+AS23*AT23+AU23*AV23+AW23*AX23),0)*$BC$3)*IF(Inputs!$C$19&gt;100,(1+$BC$2),1)</f>
        <v>#VALUE!</v>
      </c>
      <c r="BC23" s="95" t="str">
        <f t="shared" si="22"/>
        <v/>
      </c>
      <c r="BD23" s="334" t="str">
        <f>IF(F23="","",IF(G23="Dubai",HLOOKUP(F23,Inputs!$C$26:$M$37,9,0),HLOOKUP(F23,Inputs!$C$45:$M$56,9,0)))</f>
        <v/>
      </c>
      <c r="BE23" s="335" t="str">
        <f>IF(F23="","",IF(G23="Dubai",HLOOKUP(F23,Inputs!$C$26:$M$37,10,0),HLOOKUP(F23,Inputs!$C$45:$M$56,10,0)))</f>
        <v/>
      </c>
      <c r="BF23" s="335" t="str">
        <f>IF(F23="","",IF(G23="Dubai",HLOOKUP(F23,Inputs!$C$26:$M$37,11,0),HLOOKUP(F23,Inputs!$C$45:$M$56,11,0)))</f>
        <v/>
      </c>
      <c r="BG23" s="334" t="str">
        <f>IF(F23="","",IF(G23="Dubai",HLOOKUP(F23,Inputs!$C$26:$M$37,12,0),HLOOKUP(F23,Inputs!$C$45:$M$56,12,0)))</f>
        <v/>
      </c>
      <c r="BI23" s="334" t="str">
        <f>IFERROR(IF(AO23="","",IF(AQ23="Dubai",IF(OR(AO23="Plan1",AO23="Plan2"),VLOOKUP(BD23,Deviation!$B$31:$D$33,2,FALSE),VLOOKUP(BD23,Deviation!$B$31:$D$33,3,FALSE)),IF(OR(AO23="Plan1",AO23="Plan2"),VLOOKUP(BD23,Deviation!$E$31:$G$33,2,FALSE),VLOOKUP(BD23,Deviation!$E$31:$G$33,3,FALSE)))),0)</f>
        <v/>
      </c>
      <c r="BJ23" s="336" t="str">
        <f>IFERROR(IF(AO23="","",IF(AQ23="Dubai",IF(AO23="Plan1",VLOOKUP(BE23,Deviation!$B$39:$C$40,2,FALSE),IF(AO23="Plan2",VLOOKUP(BE23,Deviation!$B$42:$C$43,2,FALSE),IF(AO23="Plan5",VLOOKUP(BE23,Deviation!$B$48:$C$49,2,FALSE),VLOOKUP(BE23,Deviation!$B$45:$C$46,2,FALSE)))),IF(AO23="Plan1",VLOOKUP(BE23,Deviation!$E$39:$F$40,2,FALSE),IF(AO23="Plan2",VLOOKUP(BE23,Deviation!$E$42:$F$43,2,FALSE),VLOOKUP(BE23,Deviation!$E$45:$F$46,2,FALSE))))),0)</f>
        <v/>
      </c>
      <c r="BK23" s="336" t="str">
        <f>IFERROR(IF(AO23="","",IF(AQ23="Dubai",IF(OR(AO23="Plan1",AO23="Plan2"),VLOOKUP(BF23,Deviation!$B$15:$D$18,2,FALSE),VLOOKUP(BF23,Deviation!$B$15:$D$18,3,FALSE)),IF(OR(AO23="Plan1",AO23="Plan2"),VLOOKUP(BF23,Deviation!$E$15:$G$18,2,FALSE),VLOOKUP(BF23,Deviation!$E$15:$G$18,3,FALSE)))),0)</f>
        <v/>
      </c>
      <c r="BL23" s="334" t="str">
        <f>IFERROR(IF(AO23="","",IF(AQ23="Dubai",VLOOKUP(BG23,Deviation!$B$24:$C$26,2,FALSE),100%)),0)</f>
        <v/>
      </c>
    </row>
    <row r="24" spans="1:64" ht="14.25" x14ac:dyDescent="0.2">
      <c r="A24" s="59">
        <v>19</v>
      </c>
      <c r="B24" s="298"/>
      <c r="C24" s="299"/>
      <c r="D24" s="298"/>
      <c r="E24" s="298"/>
      <c r="F24" s="298"/>
      <c r="G24" s="298"/>
      <c r="H24" s="298"/>
      <c r="I24" s="503"/>
      <c r="J24" s="80" t="str">
        <f>IFERROR(ROUNDDOWN(IF(C24="","",(MAX((eff_date-Additions!C24)/365.25,0))),0),"")</f>
        <v/>
      </c>
      <c r="K24" s="59" t="str">
        <f>IF(F24="","",IF(G24="Dubai",HLOOKUP(F24,Inputs!$C$26:$M$28,3,0),HLOOKUP(F24,Inputs!$C$45:$M$46,2,0)))</f>
        <v/>
      </c>
      <c r="L24" s="335" t="str">
        <f t="shared" si="0"/>
        <v/>
      </c>
      <c r="M24" s="335">
        <f t="shared" si="1"/>
        <v>0</v>
      </c>
      <c r="N24" s="335" t="str">
        <f t="shared" si="2"/>
        <v/>
      </c>
      <c r="O24" s="335">
        <f t="shared" si="3"/>
        <v>0</v>
      </c>
      <c r="P24" s="104"/>
      <c r="Q24" s="105">
        <f t="shared" si="16"/>
        <v>0</v>
      </c>
      <c r="R24" s="59" t="b">
        <f t="shared" si="4"/>
        <v>0</v>
      </c>
      <c r="S24" s="102" t="str">
        <f t="shared" si="17"/>
        <v>x</v>
      </c>
      <c r="T24" s="102" t="str">
        <f t="shared" si="5"/>
        <v>x</v>
      </c>
      <c r="U24" s="102" t="str">
        <f t="shared" si="6"/>
        <v>x</v>
      </c>
      <c r="V24" s="102" t="str">
        <f t="shared" si="7"/>
        <v>x</v>
      </c>
      <c r="W24" s="102" t="str">
        <f t="shared" si="8"/>
        <v>x</v>
      </c>
      <c r="X24" s="102" t="str">
        <f>IF(ISERROR(MATCH(G24,'Inputs Mapping'!$T$4:$T$5,0)),"x","")</f>
        <v>x</v>
      </c>
      <c r="Y24" s="102" t="str">
        <f>IF(ISERROR(MATCH(AE24,'Inputs Mapping'!$U$4:$U$5,0)),"x","")</f>
        <v>x</v>
      </c>
      <c r="Z24" s="102" t="str">
        <f>IF(ISERROR(MATCH(AF24,'Inputs Mapping'!$V$4:$V$5,0)),"x","")</f>
        <v>x</v>
      </c>
      <c r="AA24" s="102" t="str">
        <f>IF(ISERROR(MATCH(F24,'Inputs Mapping'!$W$4:$W$8,0)),"x","")</f>
        <v>x</v>
      </c>
      <c r="AB24" s="102" t="str">
        <f t="shared" si="9"/>
        <v/>
      </c>
      <c r="AC24" s="102" t="str">
        <f t="shared" si="10"/>
        <v/>
      </c>
      <c r="AD24" s="102" t="str">
        <f t="shared" si="11"/>
        <v/>
      </c>
      <c r="AE24" s="102" t="str">
        <f t="shared" si="18"/>
        <v/>
      </c>
      <c r="AF24" s="102" t="str">
        <f t="shared" si="19"/>
        <v/>
      </c>
      <c r="AG24" s="102" t="str">
        <f t="shared" si="20"/>
        <v>x</v>
      </c>
      <c r="AK24" s="95" t="str">
        <f t="shared" si="12"/>
        <v/>
      </c>
      <c r="AL24" s="59" t="str">
        <f>IF(J24="","",VLOOKUP(J24,'Inputs Mapping'!$T$27:$V$30,3))</f>
        <v/>
      </c>
      <c r="AM24" s="59" t="str">
        <f>IF(J24="","",VLOOKUP(J24,'Inputs Mapping'!$T$17:$V$24,3))</f>
        <v/>
      </c>
      <c r="AN24" s="59" t="str">
        <f t="shared" si="13"/>
        <v/>
      </c>
      <c r="AO24" s="102" t="str">
        <f t="shared" si="14"/>
        <v/>
      </c>
      <c r="AP24" s="102" t="str">
        <f>IF(F24="","",IF(G24="Dubai",HLOOKUP(F24,Inputs!$C$26:$M$36,5,0),HLOOKUP(F24,Inputs!$C$45:$M$49,5,0)))</f>
        <v/>
      </c>
      <c r="AQ24" s="102">
        <f t="shared" si="15"/>
        <v>0</v>
      </c>
      <c r="AR24" s="59" t="str">
        <f>IF(AM24="","",IF(AQ24="Dubai",VLOOKUP(AM24,'Inputs Mapping'!$V$17:$W$24,2,0),VLOOKUP(AL24,'Inputs Mapping'!$V$27:$W$30,2,0)))</f>
        <v/>
      </c>
      <c r="AS24" s="333">
        <f>IFERROR(IF($AQ24="","",HLOOKUP($AQ24&amp;RIGHT($AO24,1),'input for formula'!$B$16:$I$20,3,0)),0)</f>
        <v>0</v>
      </c>
      <c r="AT24" s="80">
        <f>IFERROR(IF($AQ24="","",HLOOKUP($AQ24&amp;$F24,'input for formula'!$B$22:$M$25,2,0)),0)</f>
        <v>0</v>
      </c>
      <c r="AU24" s="333">
        <f>IFERROR(IF($AQ24="","",HLOOKUP($AQ24&amp;RIGHT($AO24,1),'input for formula'!$B$16:$I$20,4,0)),0)</f>
        <v>0</v>
      </c>
      <c r="AV24" s="80">
        <f>IFERROR(IF($AQ24="","",HLOOKUP($AQ24&amp;$F24,'input for formula'!$B$22:$M$25,3,0)),0)</f>
        <v>0</v>
      </c>
      <c r="AW24" s="333">
        <f>IFERROR(IF($AQ24="","",HLOOKUP($AQ24&amp;RIGHT($AO24,1),'input for formula'!$B$16:$I$20,5,0)),0)</f>
        <v>0</v>
      </c>
      <c r="AX24" s="80">
        <f>IFERROR(IF($AQ24="","",HLOOKUP($AQ24&amp;$F24,'input for formula'!$B$22:$M$25,4,0)),0)</f>
        <v>0</v>
      </c>
      <c r="AY24" s="333">
        <f>IFERROR(IF($AQ24="","",IF(Additions!$AQ24="Abu Dhabi",VLOOKUP(Additions!$AP24,'input for formula'!$A$28:$C$41,3,0),VLOOKUP(Additions!$AP24,'input for formula'!$A$28:$C$41,2,0))),0)*IFERROR(1+IF(AQ24="Dubai",VLOOKUP(F24,'Quotation for Dubai Plans'!$V$6:$X$12,3,FALSE),VLOOKUP(F24,'Quotation for Abu Dhabi Plans'!$W$6:$Y$12,3,FALSE)),0)</f>
        <v>0</v>
      </c>
      <c r="AZ24" s="80" t="str">
        <f t="shared" si="21"/>
        <v/>
      </c>
      <c r="BA24" s="106" t="str">
        <f>IFERROR(IF(AO24="","",IF(AQ24="Dubai",HLOOKUP((AO24&amp;AP24),Deviation!$B$7:$S$8,2,0)*BI24*BK24*BL24*BJ24,HLOOKUP((AO24&amp;AP24),Deviation!$B$9:$K$10,2,0)*BI24*BK24*BL24*BJ24)),0)</f>
        <v/>
      </c>
      <c r="BB24" s="107" t="e">
        <f>IF(AO24="","",IFERROR(IF(AO24="","",IF(AQ24="Dubai",HLOOKUP(BC24,'input for formula'!$B$3:$F$10,AR24,FALSE), IF(AND(H24="Employee",AQ24="Abu Dhabi"),HLOOKUP(BC24,'input for formula'!$I$3:$K$7,AR24,FALSE),HLOOKUP(BC24,'input for formula'!$M$3:$O$7,AR24,FALSE)))*BA24+AS24*AT24+AU24*AV24+AW24*AX24),0)*$BC$3)*IF(Inputs!$C$19&gt;100,(1+$BC$2),1)</f>
        <v>#VALUE!</v>
      </c>
      <c r="BC24" s="95" t="str">
        <f t="shared" si="22"/>
        <v/>
      </c>
      <c r="BD24" s="334" t="str">
        <f>IF(F24="","",IF(G24="Dubai",HLOOKUP(F24,Inputs!$C$26:$M$37,9,0),HLOOKUP(F24,Inputs!$C$45:$M$56,9,0)))</f>
        <v/>
      </c>
      <c r="BE24" s="335" t="str">
        <f>IF(F24="","",IF(G24="Dubai",HLOOKUP(F24,Inputs!$C$26:$M$37,10,0),HLOOKUP(F24,Inputs!$C$45:$M$56,10,0)))</f>
        <v/>
      </c>
      <c r="BF24" s="335" t="str">
        <f>IF(F24="","",IF(G24="Dubai",HLOOKUP(F24,Inputs!$C$26:$M$37,11,0),HLOOKUP(F24,Inputs!$C$45:$M$56,11,0)))</f>
        <v/>
      </c>
      <c r="BG24" s="334" t="str">
        <f>IF(F24="","",IF(G24="Dubai",HLOOKUP(F24,Inputs!$C$26:$M$37,12,0),HLOOKUP(F24,Inputs!$C$45:$M$56,12,0)))</f>
        <v/>
      </c>
      <c r="BI24" s="334" t="str">
        <f>IFERROR(IF(AO24="","",IF(AQ24="Dubai",IF(OR(AO24="Plan1",AO24="Plan2"),VLOOKUP(BD24,Deviation!$B$31:$D$33,2,FALSE),VLOOKUP(BD24,Deviation!$B$31:$D$33,3,FALSE)),IF(OR(AO24="Plan1",AO24="Plan2"),VLOOKUP(BD24,Deviation!$E$31:$G$33,2,FALSE),VLOOKUP(BD24,Deviation!$E$31:$G$33,3,FALSE)))),0)</f>
        <v/>
      </c>
      <c r="BJ24" s="336" t="str">
        <f>IFERROR(IF(AO24="","",IF(AQ24="Dubai",IF(AO24="Plan1",VLOOKUP(BE24,Deviation!$B$39:$C$40,2,FALSE),IF(AO24="Plan2",VLOOKUP(BE24,Deviation!$B$42:$C$43,2,FALSE),IF(AO24="Plan5",VLOOKUP(BE24,Deviation!$B$48:$C$49,2,FALSE),VLOOKUP(BE24,Deviation!$B$45:$C$46,2,FALSE)))),IF(AO24="Plan1",VLOOKUP(BE24,Deviation!$E$39:$F$40,2,FALSE),IF(AO24="Plan2",VLOOKUP(BE24,Deviation!$E$42:$F$43,2,FALSE),VLOOKUP(BE24,Deviation!$E$45:$F$46,2,FALSE))))),0)</f>
        <v/>
      </c>
      <c r="BK24" s="336" t="str">
        <f>IFERROR(IF(AO24="","",IF(AQ24="Dubai",IF(OR(AO24="Plan1",AO24="Plan2"),VLOOKUP(BF24,Deviation!$B$15:$D$18,2,FALSE),VLOOKUP(BF24,Deviation!$B$15:$D$18,3,FALSE)),IF(OR(AO24="Plan1",AO24="Plan2"),VLOOKUP(BF24,Deviation!$E$15:$G$18,2,FALSE),VLOOKUP(BF24,Deviation!$E$15:$G$18,3,FALSE)))),0)</f>
        <v/>
      </c>
      <c r="BL24" s="334" t="str">
        <f>IFERROR(IF(AO24="","",IF(AQ24="Dubai",VLOOKUP(BG24,Deviation!$B$24:$C$26,2,FALSE),100%)),0)</f>
        <v/>
      </c>
    </row>
    <row r="25" spans="1:64" ht="14.25" x14ac:dyDescent="0.2">
      <c r="A25" s="59">
        <v>20</v>
      </c>
      <c r="B25" s="298"/>
      <c r="C25" s="299"/>
      <c r="D25" s="298"/>
      <c r="E25" s="298"/>
      <c r="F25" s="298"/>
      <c r="G25" s="298"/>
      <c r="H25" s="298"/>
      <c r="I25" s="503"/>
      <c r="J25" s="80" t="str">
        <f>IFERROR(ROUNDDOWN(IF(C25="","",(MAX((eff_date-Additions!C25)/365.25,0))),0),"")</f>
        <v/>
      </c>
      <c r="K25" s="59" t="str">
        <f>IF(F25="","",IF(G25="Dubai",HLOOKUP(F25,Inputs!$C$26:$M$28,3,0),HLOOKUP(F25,Inputs!$C$45:$M$46,2,0)))</f>
        <v/>
      </c>
      <c r="L25" s="335" t="str">
        <f t="shared" si="0"/>
        <v/>
      </c>
      <c r="M25" s="335">
        <f t="shared" si="1"/>
        <v>0</v>
      </c>
      <c r="N25" s="335" t="str">
        <f t="shared" si="2"/>
        <v/>
      </c>
      <c r="O25" s="335">
        <f t="shared" si="3"/>
        <v>0</v>
      </c>
      <c r="P25" s="104"/>
      <c r="Q25" s="105">
        <f t="shared" si="16"/>
        <v>0</v>
      </c>
      <c r="R25" s="59" t="b">
        <f t="shared" si="4"/>
        <v>0</v>
      </c>
      <c r="S25" s="102" t="str">
        <f t="shared" si="17"/>
        <v>x</v>
      </c>
      <c r="T25" s="102" t="str">
        <f t="shared" si="5"/>
        <v>x</v>
      </c>
      <c r="U25" s="102" t="str">
        <f t="shared" si="6"/>
        <v>x</v>
      </c>
      <c r="V25" s="102" t="str">
        <f t="shared" si="7"/>
        <v>x</v>
      </c>
      <c r="W25" s="102" t="str">
        <f t="shared" si="8"/>
        <v>x</v>
      </c>
      <c r="X25" s="102" t="str">
        <f>IF(ISERROR(MATCH(G25,'Inputs Mapping'!$T$4:$T$5,0)),"x","")</f>
        <v>x</v>
      </c>
      <c r="Y25" s="102" t="str">
        <f>IF(ISERROR(MATCH(AE25,'Inputs Mapping'!$U$4:$U$5,0)),"x","")</f>
        <v>x</v>
      </c>
      <c r="Z25" s="102" t="str">
        <f>IF(ISERROR(MATCH(AF25,'Inputs Mapping'!$V$4:$V$5,0)),"x","")</f>
        <v>x</v>
      </c>
      <c r="AA25" s="102" t="str">
        <f>IF(ISERROR(MATCH(F25,'Inputs Mapping'!$W$4:$W$8,0)),"x","")</f>
        <v>x</v>
      </c>
      <c r="AB25" s="102" t="str">
        <f t="shared" si="9"/>
        <v/>
      </c>
      <c r="AC25" s="102" t="str">
        <f t="shared" si="10"/>
        <v/>
      </c>
      <c r="AD25" s="102" t="str">
        <f t="shared" si="11"/>
        <v/>
      </c>
      <c r="AE25" s="102" t="str">
        <f t="shared" si="18"/>
        <v/>
      </c>
      <c r="AF25" s="102" t="str">
        <f t="shared" si="19"/>
        <v/>
      </c>
      <c r="AG25" s="102" t="str">
        <f t="shared" si="20"/>
        <v>x</v>
      </c>
      <c r="AK25" s="95" t="str">
        <f t="shared" si="12"/>
        <v/>
      </c>
      <c r="AL25" s="59" t="str">
        <f>IF(J25="","",VLOOKUP(J25,'Inputs Mapping'!$T$27:$V$30,3))</f>
        <v/>
      </c>
      <c r="AM25" s="59" t="str">
        <f>IF(J25="","",VLOOKUP(J25,'Inputs Mapping'!$T$17:$V$24,3))</f>
        <v/>
      </c>
      <c r="AN25" s="59" t="str">
        <f t="shared" si="13"/>
        <v/>
      </c>
      <c r="AO25" s="102" t="str">
        <f t="shared" si="14"/>
        <v/>
      </c>
      <c r="AP25" s="102" t="str">
        <f>IF(F25="","",IF(G25="Dubai",HLOOKUP(F25,Inputs!$C$26:$M$36,5,0),HLOOKUP(F25,Inputs!$C$45:$M$49,5,0)))</f>
        <v/>
      </c>
      <c r="AQ25" s="102">
        <f t="shared" si="15"/>
        <v>0</v>
      </c>
      <c r="AR25" s="59" t="str">
        <f>IF(AM25="","",IF(AQ25="Dubai",VLOOKUP(AM25,'Inputs Mapping'!$V$17:$W$24,2,0),VLOOKUP(AL25,'Inputs Mapping'!$V$27:$W$30,2,0)))</f>
        <v/>
      </c>
      <c r="AS25" s="333">
        <f>IFERROR(IF($AQ25="","",HLOOKUP($AQ25&amp;RIGHT($AO25,1),'input for formula'!$B$16:$I$20,3,0)),0)</f>
        <v>0</v>
      </c>
      <c r="AT25" s="80">
        <f>IFERROR(IF($AQ25="","",HLOOKUP($AQ25&amp;$F25,'input for formula'!$B$22:$M$25,2,0)),0)</f>
        <v>0</v>
      </c>
      <c r="AU25" s="333">
        <f>IFERROR(IF($AQ25="","",HLOOKUP($AQ25&amp;RIGHT($AO25,1),'input for formula'!$B$16:$I$20,4,0)),0)</f>
        <v>0</v>
      </c>
      <c r="AV25" s="80">
        <f>IFERROR(IF($AQ25="","",HLOOKUP($AQ25&amp;$F25,'input for formula'!$B$22:$M$25,3,0)),0)</f>
        <v>0</v>
      </c>
      <c r="AW25" s="333">
        <f>IFERROR(IF($AQ25="","",HLOOKUP($AQ25&amp;RIGHT($AO25,1),'input for formula'!$B$16:$I$20,5,0)),0)</f>
        <v>0</v>
      </c>
      <c r="AX25" s="80">
        <f>IFERROR(IF($AQ25="","",HLOOKUP($AQ25&amp;$F25,'input for formula'!$B$22:$M$25,4,0)),0)</f>
        <v>0</v>
      </c>
      <c r="AY25" s="333">
        <f>IFERROR(IF($AQ25="","",IF(Additions!$AQ25="Abu Dhabi",VLOOKUP(Additions!$AP25,'input for formula'!$A$28:$C$41,3,0),VLOOKUP(Additions!$AP25,'input for formula'!$A$28:$C$41,2,0))),0)*IFERROR(1+IF(AQ25="Dubai",VLOOKUP(F25,'Quotation for Dubai Plans'!$V$6:$X$12,3,FALSE),VLOOKUP(F25,'Quotation for Abu Dhabi Plans'!$W$6:$Y$12,3,FALSE)),0)</f>
        <v>0</v>
      </c>
      <c r="AZ25" s="80" t="str">
        <f t="shared" si="21"/>
        <v/>
      </c>
      <c r="BA25" s="106" t="str">
        <f>IFERROR(IF(AO25="","",IF(AQ25="Dubai",HLOOKUP((AO25&amp;AP25),Deviation!$B$7:$S$8,2,0)*BI25*BK25*BL25*BJ25,HLOOKUP((AO25&amp;AP25),Deviation!$B$9:$K$10,2,0)*BI25*BK25*BL25*BJ25)),0)</f>
        <v/>
      </c>
      <c r="BB25" s="107" t="e">
        <f>IF(AO25="","",IFERROR(IF(AO25="","",IF(AQ25="Dubai",HLOOKUP(BC25,'input for formula'!$B$3:$F$10,AR25,FALSE), IF(AND(H25="Employee",AQ25="Abu Dhabi"),HLOOKUP(BC25,'input for formula'!$I$3:$K$7,AR25,FALSE),HLOOKUP(BC25,'input for formula'!$M$3:$O$7,AR25,FALSE)))*BA25+AS25*AT25+AU25*AV25+AW25*AX25),0)*$BC$3)*IF(Inputs!$C$19&gt;100,(1+$BC$2),1)</f>
        <v>#VALUE!</v>
      </c>
      <c r="BC25" s="95" t="str">
        <f t="shared" si="22"/>
        <v/>
      </c>
      <c r="BD25" s="334" t="str">
        <f>IF(F25="","",IF(G25="Dubai",HLOOKUP(F25,Inputs!$C$26:$M$37,9,0),HLOOKUP(F25,Inputs!$C$45:$M$56,9,0)))</f>
        <v/>
      </c>
      <c r="BE25" s="335" t="str">
        <f>IF(F25="","",IF(G25="Dubai",HLOOKUP(F25,Inputs!$C$26:$M$37,10,0),HLOOKUP(F25,Inputs!$C$45:$M$56,10,0)))</f>
        <v/>
      </c>
      <c r="BF25" s="335" t="str">
        <f>IF(F25="","",IF(G25="Dubai",HLOOKUP(F25,Inputs!$C$26:$M$37,11,0),HLOOKUP(F25,Inputs!$C$45:$M$56,11,0)))</f>
        <v/>
      </c>
      <c r="BG25" s="334" t="str">
        <f>IF(F25="","",IF(G25="Dubai",HLOOKUP(F25,Inputs!$C$26:$M$37,12,0),HLOOKUP(F25,Inputs!$C$45:$M$56,12,0)))</f>
        <v/>
      </c>
      <c r="BI25" s="334" t="str">
        <f>IFERROR(IF(AO25="","",IF(AQ25="Dubai",IF(OR(AO25="Plan1",AO25="Plan2"),VLOOKUP(BD25,Deviation!$B$31:$D$33,2,FALSE),VLOOKUP(BD25,Deviation!$B$31:$D$33,3,FALSE)),IF(OR(AO25="Plan1",AO25="Plan2"),VLOOKUP(BD25,Deviation!$E$31:$G$33,2,FALSE),VLOOKUP(BD25,Deviation!$E$31:$G$33,3,FALSE)))),0)</f>
        <v/>
      </c>
      <c r="BJ25" s="336" t="str">
        <f>IFERROR(IF(AO25="","",IF(AQ25="Dubai",IF(AO25="Plan1",VLOOKUP(BE25,Deviation!$B$39:$C$40,2,FALSE),IF(AO25="Plan2",VLOOKUP(BE25,Deviation!$B$42:$C$43,2,FALSE),IF(AO25="Plan5",VLOOKUP(BE25,Deviation!$B$48:$C$49,2,FALSE),VLOOKUP(BE25,Deviation!$B$45:$C$46,2,FALSE)))),IF(AO25="Plan1",VLOOKUP(BE25,Deviation!$E$39:$F$40,2,FALSE),IF(AO25="Plan2",VLOOKUP(BE25,Deviation!$E$42:$F$43,2,FALSE),VLOOKUP(BE25,Deviation!$E$45:$F$46,2,FALSE))))),0)</f>
        <v/>
      </c>
      <c r="BK25" s="336" t="str">
        <f>IFERROR(IF(AO25="","",IF(AQ25="Dubai",IF(OR(AO25="Plan1",AO25="Plan2"),VLOOKUP(BF25,Deviation!$B$15:$D$18,2,FALSE),VLOOKUP(BF25,Deviation!$B$15:$D$18,3,FALSE)),IF(OR(AO25="Plan1",AO25="Plan2"),VLOOKUP(BF25,Deviation!$E$15:$G$18,2,FALSE),VLOOKUP(BF25,Deviation!$E$15:$G$18,3,FALSE)))),0)</f>
        <v/>
      </c>
      <c r="BL25" s="334" t="str">
        <f>IFERROR(IF(AO25="","",IF(AQ25="Dubai",VLOOKUP(BG25,Deviation!$B$24:$C$26,2,FALSE),100%)),0)</f>
        <v/>
      </c>
    </row>
    <row r="26" spans="1:64" ht="14.25" x14ac:dyDescent="0.2">
      <c r="A26" s="59">
        <v>21</v>
      </c>
      <c r="B26" s="298"/>
      <c r="C26" s="299"/>
      <c r="D26" s="298"/>
      <c r="E26" s="298"/>
      <c r="F26" s="298"/>
      <c r="G26" s="298"/>
      <c r="H26" s="298"/>
      <c r="I26" s="503"/>
      <c r="J26" s="80" t="str">
        <f>IFERROR(ROUNDDOWN(IF(C26="","",(MAX((eff_date-Additions!C26)/365.25,0))),0),"")</f>
        <v/>
      </c>
      <c r="K26" s="59" t="str">
        <f>IF(F26="","",IF(G26="Dubai",HLOOKUP(F26,Inputs!$C$26:$M$28,3,0),HLOOKUP(F26,Inputs!$C$45:$M$46,2,0)))</f>
        <v/>
      </c>
      <c r="L26" s="335" t="str">
        <f t="shared" si="0"/>
        <v/>
      </c>
      <c r="M26" s="335">
        <f t="shared" si="1"/>
        <v>0</v>
      </c>
      <c r="N26" s="335" t="str">
        <f t="shared" si="2"/>
        <v/>
      </c>
      <c r="O26" s="335">
        <f t="shared" si="3"/>
        <v>0</v>
      </c>
      <c r="P26" s="104"/>
      <c r="Q26" s="105">
        <f t="shared" si="16"/>
        <v>0</v>
      </c>
      <c r="R26" s="59" t="b">
        <f t="shared" si="4"/>
        <v>0</v>
      </c>
      <c r="S26" s="102" t="str">
        <f t="shared" si="17"/>
        <v>x</v>
      </c>
      <c r="T26" s="102" t="str">
        <f t="shared" si="5"/>
        <v>x</v>
      </c>
      <c r="U26" s="102" t="str">
        <f t="shared" si="6"/>
        <v>x</v>
      </c>
      <c r="V26" s="102" t="str">
        <f t="shared" si="7"/>
        <v>x</v>
      </c>
      <c r="W26" s="102" t="str">
        <f t="shared" si="8"/>
        <v>x</v>
      </c>
      <c r="X26" s="102" t="str">
        <f>IF(ISERROR(MATCH(G26,'Inputs Mapping'!$T$4:$T$5,0)),"x","")</f>
        <v>x</v>
      </c>
      <c r="Y26" s="102" t="str">
        <f>IF(ISERROR(MATCH(AE26,'Inputs Mapping'!$U$4:$U$5,0)),"x","")</f>
        <v>x</v>
      </c>
      <c r="Z26" s="102" t="str">
        <f>IF(ISERROR(MATCH(AF26,'Inputs Mapping'!$V$4:$V$5,0)),"x","")</f>
        <v>x</v>
      </c>
      <c r="AA26" s="102" t="str">
        <f>IF(ISERROR(MATCH(F26,'Inputs Mapping'!$W$4:$W$8,0)),"x","")</f>
        <v>x</v>
      </c>
      <c r="AB26" s="102" t="str">
        <f t="shared" si="9"/>
        <v/>
      </c>
      <c r="AC26" s="102" t="str">
        <f t="shared" si="10"/>
        <v/>
      </c>
      <c r="AD26" s="102" t="str">
        <f t="shared" si="11"/>
        <v/>
      </c>
      <c r="AE26" s="102" t="str">
        <f t="shared" si="18"/>
        <v/>
      </c>
      <c r="AF26" s="102" t="str">
        <f t="shared" si="19"/>
        <v/>
      </c>
      <c r="AG26" s="102" t="str">
        <f t="shared" si="20"/>
        <v>x</v>
      </c>
      <c r="AK26" s="95" t="str">
        <f t="shared" si="12"/>
        <v/>
      </c>
      <c r="AL26" s="59" t="str">
        <f>IF(J26="","",VLOOKUP(J26,'Inputs Mapping'!$T$27:$V$30,3))</f>
        <v/>
      </c>
      <c r="AM26" s="59" t="str">
        <f>IF(J26="","",VLOOKUP(J26,'Inputs Mapping'!$T$17:$V$24,3))</f>
        <v/>
      </c>
      <c r="AN26" s="59" t="str">
        <f t="shared" si="13"/>
        <v/>
      </c>
      <c r="AO26" s="102" t="str">
        <f t="shared" si="14"/>
        <v/>
      </c>
      <c r="AP26" s="102" t="str">
        <f>IF(F26="","",IF(G26="Dubai",HLOOKUP(F26,Inputs!$C$26:$M$36,5,0),HLOOKUP(F26,Inputs!$C$45:$M$49,5,0)))</f>
        <v/>
      </c>
      <c r="AQ26" s="102">
        <f t="shared" si="15"/>
        <v>0</v>
      </c>
      <c r="AR26" s="59" t="str">
        <f>IF(AM26="","",IF(AQ26="Dubai",VLOOKUP(AM26,'Inputs Mapping'!$V$17:$W$24,2,0),VLOOKUP(AL26,'Inputs Mapping'!$V$27:$W$30,2,0)))</f>
        <v/>
      </c>
      <c r="AS26" s="333">
        <f>IFERROR(IF($AQ26="","",HLOOKUP($AQ26&amp;RIGHT($AO26,1),'input for formula'!$B$16:$I$20,3,0)),0)</f>
        <v>0</v>
      </c>
      <c r="AT26" s="80">
        <f>IFERROR(IF($AQ26="","",HLOOKUP($AQ26&amp;$F26,'input for formula'!$B$22:$M$25,2,0)),0)</f>
        <v>0</v>
      </c>
      <c r="AU26" s="333">
        <f>IFERROR(IF($AQ26="","",HLOOKUP($AQ26&amp;RIGHT($AO26,1),'input for formula'!$B$16:$I$20,4,0)),0)</f>
        <v>0</v>
      </c>
      <c r="AV26" s="80">
        <f>IFERROR(IF($AQ26="","",HLOOKUP($AQ26&amp;$F26,'input for formula'!$B$22:$M$25,3,0)),0)</f>
        <v>0</v>
      </c>
      <c r="AW26" s="333">
        <f>IFERROR(IF($AQ26="","",HLOOKUP($AQ26&amp;RIGHT($AO26,1),'input for formula'!$B$16:$I$20,5,0)),0)</f>
        <v>0</v>
      </c>
      <c r="AX26" s="80">
        <f>IFERROR(IF($AQ26="","",HLOOKUP($AQ26&amp;$F26,'input for formula'!$B$22:$M$25,4,0)),0)</f>
        <v>0</v>
      </c>
      <c r="AY26" s="333">
        <f>IFERROR(IF($AQ26="","",IF(Additions!$AQ26="Abu Dhabi",VLOOKUP(Additions!$AP26,'input for formula'!$A$28:$C$41,3,0),VLOOKUP(Additions!$AP26,'input for formula'!$A$28:$C$41,2,0))),0)*IFERROR(1+IF(AQ26="Dubai",VLOOKUP(F26,'Quotation for Dubai Plans'!$V$6:$X$12,3,FALSE),VLOOKUP(F26,'Quotation for Abu Dhabi Plans'!$W$6:$Y$12,3,FALSE)),0)</f>
        <v>0</v>
      </c>
      <c r="AZ26" s="80" t="str">
        <f t="shared" si="21"/>
        <v/>
      </c>
      <c r="BA26" s="106" t="str">
        <f>IFERROR(IF(AO26="","",IF(AQ26="Dubai",HLOOKUP((AO26&amp;AP26),Deviation!$B$7:$S$8,2,0)*BI26*BK26*BL26*BJ26,HLOOKUP((AO26&amp;AP26),Deviation!$B$9:$K$10,2,0)*BI26*BK26*BL26*BJ26)),0)</f>
        <v/>
      </c>
      <c r="BB26" s="107" t="e">
        <f>IF(AO26="","",IFERROR(IF(AO26="","",IF(AQ26="Dubai",HLOOKUP(BC26,'input for formula'!$B$3:$F$10,AR26,FALSE), IF(AND(H26="Employee",AQ26="Abu Dhabi"),HLOOKUP(BC26,'input for formula'!$I$3:$K$7,AR26,FALSE),HLOOKUP(BC26,'input for formula'!$M$3:$O$7,AR26,FALSE)))*BA26+AS26*AT26+AU26*AV26+AW26*AX26),0)*$BC$3)*IF(Inputs!$C$19&gt;100,(1+$BC$2),1)</f>
        <v>#VALUE!</v>
      </c>
      <c r="BC26" s="95" t="str">
        <f t="shared" si="22"/>
        <v/>
      </c>
      <c r="BD26" s="334" t="str">
        <f>IF(F26="","",IF(G26="Dubai",HLOOKUP(F26,Inputs!$C$26:$M$37,9,0),HLOOKUP(F26,Inputs!$C$45:$M$56,9,0)))</f>
        <v/>
      </c>
      <c r="BE26" s="335" t="str">
        <f>IF(F26="","",IF(G26="Dubai",HLOOKUP(F26,Inputs!$C$26:$M$37,10,0),HLOOKUP(F26,Inputs!$C$45:$M$56,10,0)))</f>
        <v/>
      </c>
      <c r="BF26" s="335" t="str">
        <f>IF(F26="","",IF(G26="Dubai",HLOOKUP(F26,Inputs!$C$26:$M$37,11,0),HLOOKUP(F26,Inputs!$C$45:$M$56,11,0)))</f>
        <v/>
      </c>
      <c r="BG26" s="334" t="str">
        <f>IF(F26="","",IF(G26="Dubai",HLOOKUP(F26,Inputs!$C$26:$M$37,12,0),HLOOKUP(F26,Inputs!$C$45:$M$56,12,0)))</f>
        <v/>
      </c>
      <c r="BI26" s="334" t="str">
        <f>IFERROR(IF(AO26="","",IF(AQ26="Dubai",IF(OR(AO26="Plan1",AO26="Plan2"),VLOOKUP(BD26,Deviation!$B$31:$D$33,2,FALSE),VLOOKUP(BD26,Deviation!$B$31:$D$33,3,FALSE)),IF(OR(AO26="Plan1",AO26="Plan2"),VLOOKUP(BD26,Deviation!$E$31:$G$33,2,FALSE),VLOOKUP(BD26,Deviation!$E$31:$G$33,3,FALSE)))),0)</f>
        <v/>
      </c>
      <c r="BJ26" s="336" t="str">
        <f>IFERROR(IF(AO26="","",IF(AQ26="Dubai",IF(AO26="Plan1",VLOOKUP(BE26,Deviation!$B$39:$C$40,2,FALSE),IF(AO26="Plan2",VLOOKUP(BE26,Deviation!$B$42:$C$43,2,FALSE),IF(AO26="Plan5",VLOOKUP(BE26,Deviation!$B$48:$C$49,2,FALSE),VLOOKUP(BE26,Deviation!$B$45:$C$46,2,FALSE)))),IF(AO26="Plan1",VLOOKUP(BE26,Deviation!$E$39:$F$40,2,FALSE),IF(AO26="Plan2",VLOOKUP(BE26,Deviation!$E$42:$F$43,2,FALSE),VLOOKUP(BE26,Deviation!$E$45:$F$46,2,FALSE))))),0)</f>
        <v/>
      </c>
      <c r="BK26" s="336" t="str">
        <f>IFERROR(IF(AO26="","",IF(AQ26="Dubai",IF(OR(AO26="Plan1",AO26="Plan2"),VLOOKUP(BF26,Deviation!$B$15:$D$18,2,FALSE),VLOOKUP(BF26,Deviation!$B$15:$D$18,3,FALSE)),IF(OR(AO26="Plan1",AO26="Plan2"),VLOOKUP(BF26,Deviation!$E$15:$G$18,2,FALSE),VLOOKUP(BF26,Deviation!$E$15:$G$18,3,FALSE)))),0)</f>
        <v/>
      </c>
      <c r="BL26" s="334" t="str">
        <f>IFERROR(IF(AO26="","",IF(AQ26="Dubai",VLOOKUP(BG26,Deviation!$B$24:$C$26,2,FALSE),100%)),0)</f>
        <v/>
      </c>
    </row>
    <row r="27" spans="1:64" ht="14.25" x14ac:dyDescent="0.2">
      <c r="A27" s="59">
        <v>22</v>
      </c>
      <c r="B27" s="298"/>
      <c r="C27" s="299"/>
      <c r="D27" s="298"/>
      <c r="E27" s="298"/>
      <c r="F27" s="298"/>
      <c r="G27" s="298"/>
      <c r="H27" s="298"/>
      <c r="I27" s="503"/>
      <c r="J27" s="80" t="str">
        <f>IFERROR(ROUNDDOWN(IF(C27="","",(MAX((eff_date-Additions!C27)/365.25,0))),0),"")</f>
        <v/>
      </c>
      <c r="K27" s="59" t="str">
        <f>IF(F27="","",IF(G27="Dubai",HLOOKUP(F27,Inputs!$C$26:$M$28,3,0),HLOOKUP(F27,Inputs!$C$45:$M$46,2,0)))</f>
        <v/>
      </c>
      <c r="L27" s="335" t="str">
        <f t="shared" si="0"/>
        <v/>
      </c>
      <c r="M27" s="335">
        <f t="shared" si="1"/>
        <v>0</v>
      </c>
      <c r="N27" s="335" t="str">
        <f t="shared" si="2"/>
        <v/>
      </c>
      <c r="O27" s="335">
        <f t="shared" si="3"/>
        <v>0</v>
      </c>
      <c r="P27" s="104"/>
      <c r="Q27" s="105">
        <f t="shared" si="16"/>
        <v>0</v>
      </c>
      <c r="R27" s="59" t="b">
        <f t="shared" si="4"/>
        <v>0</v>
      </c>
      <c r="S27" s="102" t="str">
        <f t="shared" si="17"/>
        <v>x</v>
      </c>
      <c r="T27" s="102" t="str">
        <f t="shared" si="5"/>
        <v>x</v>
      </c>
      <c r="U27" s="102" t="str">
        <f t="shared" si="6"/>
        <v>x</v>
      </c>
      <c r="V27" s="102" t="str">
        <f t="shared" si="7"/>
        <v>x</v>
      </c>
      <c r="W27" s="102" t="str">
        <f t="shared" si="8"/>
        <v>x</v>
      </c>
      <c r="X27" s="102" t="str">
        <f>IF(ISERROR(MATCH(G27,'Inputs Mapping'!$T$4:$T$5,0)),"x","")</f>
        <v>x</v>
      </c>
      <c r="Y27" s="102" t="str">
        <f>IF(ISERROR(MATCH(AE27,'Inputs Mapping'!$U$4:$U$5,0)),"x","")</f>
        <v>x</v>
      </c>
      <c r="Z27" s="102" t="str">
        <f>IF(ISERROR(MATCH(AF27,'Inputs Mapping'!$V$4:$V$5,0)),"x","")</f>
        <v>x</v>
      </c>
      <c r="AA27" s="102" t="str">
        <f>IF(ISERROR(MATCH(F27,'Inputs Mapping'!$W$4:$W$8,0)),"x","")</f>
        <v>x</v>
      </c>
      <c r="AB27" s="102" t="str">
        <f t="shared" si="9"/>
        <v/>
      </c>
      <c r="AC27" s="102" t="str">
        <f t="shared" si="10"/>
        <v/>
      </c>
      <c r="AD27" s="102" t="str">
        <f t="shared" si="11"/>
        <v/>
      </c>
      <c r="AE27" s="102" t="str">
        <f t="shared" si="18"/>
        <v/>
      </c>
      <c r="AF27" s="102" t="str">
        <f t="shared" si="19"/>
        <v/>
      </c>
      <c r="AG27" s="102" t="str">
        <f t="shared" si="20"/>
        <v>x</v>
      </c>
      <c r="AK27" s="95" t="str">
        <f t="shared" si="12"/>
        <v/>
      </c>
      <c r="AL27" s="59" t="str">
        <f>IF(J27="","",VLOOKUP(J27,'Inputs Mapping'!$T$27:$V$30,3))</f>
        <v/>
      </c>
      <c r="AM27" s="59" t="str">
        <f>IF(J27="","",VLOOKUP(J27,'Inputs Mapping'!$T$17:$V$24,3))</f>
        <v/>
      </c>
      <c r="AN27" s="59" t="str">
        <f t="shared" si="13"/>
        <v/>
      </c>
      <c r="AO27" s="102" t="str">
        <f t="shared" si="14"/>
        <v/>
      </c>
      <c r="AP27" s="102" t="str">
        <f>IF(F27="","",IF(G27="Dubai",HLOOKUP(F27,Inputs!$C$26:$M$36,5,0),HLOOKUP(F27,Inputs!$C$45:$M$49,5,0)))</f>
        <v/>
      </c>
      <c r="AQ27" s="102">
        <f t="shared" si="15"/>
        <v>0</v>
      </c>
      <c r="AR27" s="59" t="str">
        <f>IF(AM27="","",IF(AQ27="Dubai",VLOOKUP(AM27,'Inputs Mapping'!$V$17:$W$24,2,0),VLOOKUP(AL27,'Inputs Mapping'!$V$27:$W$30,2,0)))</f>
        <v/>
      </c>
      <c r="AS27" s="333">
        <f>IFERROR(IF($AQ27="","",HLOOKUP($AQ27&amp;RIGHT($AO27,1),'input for formula'!$B$16:$I$20,3,0)),0)</f>
        <v>0</v>
      </c>
      <c r="AT27" s="80">
        <f>IFERROR(IF($AQ27="","",HLOOKUP($AQ27&amp;$F27,'input for formula'!$B$22:$M$25,2,0)),0)</f>
        <v>0</v>
      </c>
      <c r="AU27" s="333">
        <f>IFERROR(IF($AQ27="","",HLOOKUP($AQ27&amp;RIGHT($AO27,1),'input for formula'!$B$16:$I$20,4,0)),0)</f>
        <v>0</v>
      </c>
      <c r="AV27" s="80">
        <f>IFERROR(IF($AQ27="","",HLOOKUP($AQ27&amp;$F27,'input for formula'!$B$22:$M$25,3,0)),0)</f>
        <v>0</v>
      </c>
      <c r="AW27" s="333">
        <f>IFERROR(IF($AQ27="","",HLOOKUP($AQ27&amp;RIGHT($AO27,1),'input for formula'!$B$16:$I$20,5,0)),0)</f>
        <v>0</v>
      </c>
      <c r="AX27" s="80">
        <f>IFERROR(IF($AQ27="","",HLOOKUP($AQ27&amp;$F27,'input for formula'!$B$22:$M$25,4,0)),0)</f>
        <v>0</v>
      </c>
      <c r="AY27" s="333">
        <f>IFERROR(IF($AQ27="","",IF(Additions!$AQ27="Abu Dhabi",VLOOKUP(Additions!$AP27,'input for formula'!$A$28:$C$41,3,0),VLOOKUP(Additions!$AP27,'input for formula'!$A$28:$C$41,2,0))),0)*IFERROR(1+IF(AQ27="Dubai",VLOOKUP(F27,'Quotation for Dubai Plans'!$V$6:$X$12,3,FALSE),VLOOKUP(F27,'Quotation for Abu Dhabi Plans'!$W$6:$Y$12,3,FALSE)),0)</f>
        <v>0</v>
      </c>
      <c r="AZ27" s="80" t="str">
        <f t="shared" si="21"/>
        <v/>
      </c>
      <c r="BA27" s="106" t="str">
        <f>IFERROR(IF(AO27="","",IF(AQ27="Dubai",HLOOKUP((AO27&amp;AP27),Deviation!$B$7:$S$8,2,0)*BI27*BK27*BL27*BJ27,HLOOKUP((AO27&amp;AP27),Deviation!$B$9:$K$10,2,0)*BI27*BK27*BL27*BJ27)),0)</f>
        <v/>
      </c>
      <c r="BB27" s="107" t="e">
        <f>IF(AO27="","",IFERROR(IF(AO27="","",IF(AQ27="Dubai",HLOOKUP(BC27,'input for formula'!$B$3:$F$10,AR27,FALSE), IF(AND(H27="Employee",AQ27="Abu Dhabi"),HLOOKUP(BC27,'input for formula'!$I$3:$K$7,AR27,FALSE),HLOOKUP(BC27,'input for formula'!$M$3:$O$7,AR27,FALSE)))*BA27+AS27*AT27+AU27*AV27+AW27*AX27),0)*$BC$3)*IF(Inputs!$C$19&gt;100,(1+$BC$2),1)</f>
        <v>#VALUE!</v>
      </c>
      <c r="BC27" s="95" t="str">
        <f t="shared" si="22"/>
        <v/>
      </c>
      <c r="BD27" s="334" t="str">
        <f>IF(F27="","",IF(G27="Dubai",HLOOKUP(F27,Inputs!$C$26:$M$37,9,0),HLOOKUP(F27,Inputs!$C$45:$M$56,9,0)))</f>
        <v/>
      </c>
      <c r="BE27" s="335" t="str">
        <f>IF(F27="","",IF(G27="Dubai",HLOOKUP(F27,Inputs!$C$26:$M$37,10,0),HLOOKUP(F27,Inputs!$C$45:$M$56,10,0)))</f>
        <v/>
      </c>
      <c r="BF27" s="335" t="str">
        <f>IF(F27="","",IF(G27="Dubai",HLOOKUP(F27,Inputs!$C$26:$M$37,11,0),HLOOKUP(F27,Inputs!$C$45:$M$56,11,0)))</f>
        <v/>
      </c>
      <c r="BG27" s="334" t="str">
        <f>IF(F27="","",IF(G27="Dubai",HLOOKUP(F27,Inputs!$C$26:$M$37,12,0),HLOOKUP(F27,Inputs!$C$45:$M$56,12,0)))</f>
        <v/>
      </c>
      <c r="BI27" s="334" t="str">
        <f>IFERROR(IF(AO27="","",IF(AQ27="Dubai",IF(OR(AO27="Plan1",AO27="Plan2"),VLOOKUP(BD27,Deviation!$B$31:$D$33,2,FALSE),VLOOKUP(BD27,Deviation!$B$31:$D$33,3,FALSE)),IF(OR(AO27="Plan1",AO27="Plan2"),VLOOKUP(BD27,Deviation!$E$31:$G$33,2,FALSE),VLOOKUP(BD27,Deviation!$E$31:$G$33,3,FALSE)))),0)</f>
        <v/>
      </c>
      <c r="BJ27" s="336" t="str">
        <f>IFERROR(IF(AO27="","",IF(AQ27="Dubai",IF(AO27="Plan1",VLOOKUP(BE27,Deviation!$B$39:$C$40,2,FALSE),IF(AO27="Plan2",VLOOKUP(BE27,Deviation!$B$42:$C$43,2,FALSE),IF(AO27="Plan5",VLOOKUP(BE27,Deviation!$B$48:$C$49,2,FALSE),VLOOKUP(BE27,Deviation!$B$45:$C$46,2,FALSE)))),IF(AO27="Plan1",VLOOKUP(BE27,Deviation!$E$39:$F$40,2,FALSE),IF(AO27="Plan2",VLOOKUP(BE27,Deviation!$E$42:$F$43,2,FALSE),VLOOKUP(BE27,Deviation!$E$45:$F$46,2,FALSE))))),0)</f>
        <v/>
      </c>
      <c r="BK27" s="336" t="str">
        <f>IFERROR(IF(AO27="","",IF(AQ27="Dubai",IF(OR(AO27="Plan1",AO27="Plan2"),VLOOKUP(BF27,Deviation!$B$15:$D$18,2,FALSE),VLOOKUP(BF27,Deviation!$B$15:$D$18,3,FALSE)),IF(OR(AO27="Plan1",AO27="Plan2"),VLOOKUP(BF27,Deviation!$E$15:$G$18,2,FALSE),VLOOKUP(BF27,Deviation!$E$15:$G$18,3,FALSE)))),0)</f>
        <v/>
      </c>
      <c r="BL27" s="334" t="str">
        <f>IFERROR(IF(AO27="","",IF(AQ27="Dubai",VLOOKUP(BG27,Deviation!$B$24:$C$26,2,FALSE),100%)),0)</f>
        <v/>
      </c>
    </row>
    <row r="28" spans="1:64" ht="14.25" x14ac:dyDescent="0.2">
      <c r="A28" s="59">
        <v>23</v>
      </c>
      <c r="B28" s="298"/>
      <c r="C28" s="299"/>
      <c r="D28" s="298"/>
      <c r="E28" s="298"/>
      <c r="F28" s="298"/>
      <c r="G28" s="298"/>
      <c r="H28" s="298"/>
      <c r="I28" s="503"/>
      <c r="J28" s="80" t="str">
        <f>IFERROR(ROUNDDOWN(IF(C28="","",(MAX((eff_date-Additions!C28)/365.25,0))),0),"")</f>
        <v/>
      </c>
      <c r="K28" s="59" t="str">
        <f>IF(F28="","",IF(G28="Dubai",HLOOKUP(F28,Inputs!$C$26:$M$28,3,0),HLOOKUP(F28,Inputs!$C$45:$M$46,2,0)))</f>
        <v/>
      </c>
      <c r="L28" s="335" t="str">
        <f t="shared" si="0"/>
        <v/>
      </c>
      <c r="M28" s="335">
        <f t="shared" si="1"/>
        <v>0</v>
      </c>
      <c r="N28" s="335" t="str">
        <f t="shared" si="2"/>
        <v/>
      </c>
      <c r="O28" s="335">
        <f t="shared" si="3"/>
        <v>0</v>
      </c>
      <c r="P28" s="104"/>
      <c r="Q28" s="105">
        <f t="shared" si="16"/>
        <v>0</v>
      </c>
      <c r="R28" s="59" t="b">
        <f t="shared" si="4"/>
        <v>0</v>
      </c>
      <c r="S28" s="102" t="str">
        <f t="shared" si="17"/>
        <v>x</v>
      </c>
      <c r="T28" s="102" t="str">
        <f t="shared" si="5"/>
        <v>x</v>
      </c>
      <c r="U28" s="102" t="str">
        <f t="shared" si="6"/>
        <v>x</v>
      </c>
      <c r="V28" s="102" t="str">
        <f t="shared" si="7"/>
        <v>x</v>
      </c>
      <c r="W28" s="102" t="str">
        <f t="shared" si="8"/>
        <v>x</v>
      </c>
      <c r="X28" s="102" t="str">
        <f>IF(ISERROR(MATCH(G28,'Inputs Mapping'!$T$4:$T$5,0)),"x","")</f>
        <v>x</v>
      </c>
      <c r="Y28" s="102" t="str">
        <f>IF(ISERROR(MATCH(AE28,'Inputs Mapping'!$U$4:$U$5,0)),"x","")</f>
        <v>x</v>
      </c>
      <c r="Z28" s="102" t="str">
        <f>IF(ISERROR(MATCH(AF28,'Inputs Mapping'!$V$4:$V$5,0)),"x","")</f>
        <v>x</v>
      </c>
      <c r="AA28" s="102" t="str">
        <f>IF(ISERROR(MATCH(F28,'Inputs Mapping'!$W$4:$W$8,0)),"x","")</f>
        <v>x</v>
      </c>
      <c r="AB28" s="102" t="str">
        <f t="shared" si="9"/>
        <v/>
      </c>
      <c r="AC28" s="102" t="str">
        <f t="shared" si="10"/>
        <v/>
      </c>
      <c r="AD28" s="102" t="str">
        <f t="shared" si="11"/>
        <v/>
      </c>
      <c r="AE28" s="102" t="str">
        <f t="shared" si="18"/>
        <v/>
      </c>
      <c r="AF28" s="102" t="str">
        <f t="shared" si="19"/>
        <v/>
      </c>
      <c r="AG28" s="102" t="str">
        <f t="shared" si="20"/>
        <v>x</v>
      </c>
      <c r="AK28" s="95" t="str">
        <f t="shared" si="12"/>
        <v/>
      </c>
      <c r="AL28" s="59" t="str">
        <f>IF(J28="","",VLOOKUP(J28,'Inputs Mapping'!$T$27:$V$30,3))</f>
        <v/>
      </c>
      <c r="AM28" s="59" t="str">
        <f>IF(J28="","",VLOOKUP(J28,'Inputs Mapping'!$T$17:$V$24,3))</f>
        <v/>
      </c>
      <c r="AN28" s="59" t="str">
        <f t="shared" si="13"/>
        <v/>
      </c>
      <c r="AO28" s="102" t="str">
        <f t="shared" si="14"/>
        <v/>
      </c>
      <c r="AP28" s="102" t="str">
        <f>IF(F28="","",IF(G28="Dubai",HLOOKUP(F28,Inputs!$C$26:$M$36,5,0),HLOOKUP(F28,Inputs!$C$45:$M$49,5,0)))</f>
        <v/>
      </c>
      <c r="AQ28" s="102">
        <f t="shared" si="15"/>
        <v>0</v>
      </c>
      <c r="AR28" s="59" t="str">
        <f>IF(AM28="","",IF(AQ28="Dubai",VLOOKUP(AM28,'Inputs Mapping'!$V$17:$W$24,2,0),VLOOKUP(AL28,'Inputs Mapping'!$V$27:$W$30,2,0)))</f>
        <v/>
      </c>
      <c r="AS28" s="333">
        <f>IFERROR(IF($AQ28="","",HLOOKUP($AQ28&amp;RIGHT($AO28,1),'input for formula'!$B$16:$I$20,3,0)),0)</f>
        <v>0</v>
      </c>
      <c r="AT28" s="80">
        <f>IFERROR(IF($AQ28="","",HLOOKUP($AQ28&amp;$F28,'input for formula'!$B$22:$M$25,2,0)),0)</f>
        <v>0</v>
      </c>
      <c r="AU28" s="333">
        <f>IFERROR(IF($AQ28="","",HLOOKUP($AQ28&amp;RIGHT($AO28,1),'input for formula'!$B$16:$I$20,4,0)),0)</f>
        <v>0</v>
      </c>
      <c r="AV28" s="80">
        <f>IFERROR(IF($AQ28="","",HLOOKUP($AQ28&amp;$F28,'input for formula'!$B$22:$M$25,3,0)),0)</f>
        <v>0</v>
      </c>
      <c r="AW28" s="333">
        <f>IFERROR(IF($AQ28="","",HLOOKUP($AQ28&amp;RIGHT($AO28,1),'input for formula'!$B$16:$I$20,5,0)),0)</f>
        <v>0</v>
      </c>
      <c r="AX28" s="80">
        <f>IFERROR(IF($AQ28="","",HLOOKUP($AQ28&amp;$F28,'input for formula'!$B$22:$M$25,4,0)),0)</f>
        <v>0</v>
      </c>
      <c r="AY28" s="333">
        <f>IFERROR(IF($AQ28="","",IF(Additions!$AQ28="Abu Dhabi",VLOOKUP(Additions!$AP28,'input for formula'!$A$28:$C$41,3,0),VLOOKUP(Additions!$AP28,'input for formula'!$A$28:$C$41,2,0))),0)*IFERROR(1+IF(AQ28="Dubai",VLOOKUP(F28,'Quotation for Dubai Plans'!$V$6:$X$12,3,FALSE),VLOOKUP(F28,'Quotation for Abu Dhabi Plans'!$W$6:$Y$12,3,FALSE)),0)</f>
        <v>0</v>
      </c>
      <c r="AZ28" s="80" t="str">
        <f t="shared" si="21"/>
        <v/>
      </c>
      <c r="BA28" s="106" t="str">
        <f>IFERROR(IF(AO28="","",IF(AQ28="Dubai",HLOOKUP((AO28&amp;AP28),Deviation!$B$7:$S$8,2,0)*BI28*BK28*BL28*BJ28,HLOOKUP((AO28&amp;AP28),Deviation!$B$9:$K$10,2,0)*BI28*BK28*BL28*BJ28)),0)</f>
        <v/>
      </c>
      <c r="BB28" s="107" t="e">
        <f>IF(AO28="","",IFERROR(IF(AO28="","",IF(AQ28="Dubai",HLOOKUP(BC28,'input for formula'!$B$3:$F$10,AR28,FALSE), IF(AND(H28="Employee",AQ28="Abu Dhabi"),HLOOKUP(BC28,'input for formula'!$I$3:$K$7,AR28,FALSE),HLOOKUP(BC28,'input for formula'!$M$3:$O$7,AR28,FALSE)))*BA28+AS28*AT28+AU28*AV28+AW28*AX28),0)*$BC$3)*IF(Inputs!$C$19&gt;100,(1+$BC$2),1)</f>
        <v>#VALUE!</v>
      </c>
      <c r="BC28" s="95" t="str">
        <f t="shared" si="22"/>
        <v/>
      </c>
      <c r="BD28" s="334" t="str">
        <f>IF(F28="","",IF(G28="Dubai",HLOOKUP(F28,Inputs!$C$26:$M$37,9,0),HLOOKUP(F28,Inputs!$C$45:$M$56,9,0)))</f>
        <v/>
      </c>
      <c r="BE28" s="335" t="str">
        <f>IF(F28="","",IF(G28="Dubai",HLOOKUP(F28,Inputs!$C$26:$M$37,10,0),HLOOKUP(F28,Inputs!$C$45:$M$56,10,0)))</f>
        <v/>
      </c>
      <c r="BF28" s="335" t="str">
        <f>IF(F28="","",IF(G28="Dubai",HLOOKUP(F28,Inputs!$C$26:$M$37,11,0),HLOOKUP(F28,Inputs!$C$45:$M$56,11,0)))</f>
        <v/>
      </c>
      <c r="BG28" s="334" t="str">
        <f>IF(F28="","",IF(G28="Dubai",HLOOKUP(F28,Inputs!$C$26:$M$37,12,0),HLOOKUP(F28,Inputs!$C$45:$M$56,12,0)))</f>
        <v/>
      </c>
      <c r="BI28" s="334" t="str">
        <f>IFERROR(IF(AO28="","",IF(AQ28="Dubai",IF(OR(AO28="Plan1",AO28="Plan2"),VLOOKUP(BD28,Deviation!$B$31:$D$33,2,FALSE),VLOOKUP(BD28,Deviation!$B$31:$D$33,3,FALSE)),IF(OR(AO28="Plan1",AO28="Plan2"),VLOOKUP(BD28,Deviation!$E$31:$G$33,2,FALSE),VLOOKUP(BD28,Deviation!$E$31:$G$33,3,FALSE)))),0)</f>
        <v/>
      </c>
      <c r="BJ28" s="336" t="str">
        <f>IFERROR(IF(AO28="","",IF(AQ28="Dubai",IF(AO28="Plan1",VLOOKUP(BE28,Deviation!$B$39:$C$40,2,FALSE),IF(AO28="Plan2",VLOOKUP(BE28,Deviation!$B$42:$C$43,2,FALSE),IF(AO28="Plan5",VLOOKUP(BE28,Deviation!$B$48:$C$49,2,FALSE),VLOOKUP(BE28,Deviation!$B$45:$C$46,2,FALSE)))),IF(AO28="Plan1",VLOOKUP(BE28,Deviation!$E$39:$F$40,2,FALSE),IF(AO28="Plan2",VLOOKUP(BE28,Deviation!$E$42:$F$43,2,FALSE),VLOOKUP(BE28,Deviation!$E$45:$F$46,2,FALSE))))),0)</f>
        <v/>
      </c>
      <c r="BK28" s="336" t="str">
        <f>IFERROR(IF(AO28="","",IF(AQ28="Dubai",IF(OR(AO28="Plan1",AO28="Plan2"),VLOOKUP(BF28,Deviation!$B$15:$D$18,2,FALSE),VLOOKUP(BF28,Deviation!$B$15:$D$18,3,FALSE)),IF(OR(AO28="Plan1",AO28="Plan2"),VLOOKUP(BF28,Deviation!$E$15:$G$18,2,FALSE),VLOOKUP(BF28,Deviation!$E$15:$G$18,3,FALSE)))),0)</f>
        <v/>
      </c>
      <c r="BL28" s="334" t="str">
        <f>IFERROR(IF(AO28="","",IF(AQ28="Dubai",VLOOKUP(BG28,Deviation!$B$24:$C$26,2,FALSE),100%)),0)</f>
        <v/>
      </c>
    </row>
    <row r="29" spans="1:64" ht="14.25" x14ac:dyDescent="0.2">
      <c r="A29" s="59">
        <v>24</v>
      </c>
      <c r="B29" s="298"/>
      <c r="C29" s="299"/>
      <c r="D29" s="298"/>
      <c r="E29" s="298"/>
      <c r="F29" s="298"/>
      <c r="G29" s="298"/>
      <c r="H29" s="298"/>
      <c r="I29" s="503"/>
      <c r="J29" s="80" t="str">
        <f>IFERROR(ROUNDDOWN(IF(C29="","",(MAX((eff_date-Additions!C29)/365.25,0))),0),"")</f>
        <v/>
      </c>
      <c r="K29" s="59" t="str">
        <f>IF(F29="","",IF(G29="Dubai",HLOOKUP(F29,Inputs!$C$26:$M$28,3,0),HLOOKUP(F29,Inputs!$C$45:$M$46,2,0)))</f>
        <v/>
      </c>
      <c r="L29" s="335" t="str">
        <f t="shared" si="0"/>
        <v/>
      </c>
      <c r="M29" s="335">
        <f t="shared" si="1"/>
        <v>0</v>
      </c>
      <c r="N29" s="335" t="str">
        <f t="shared" si="2"/>
        <v/>
      </c>
      <c r="O29" s="335">
        <f t="shared" si="3"/>
        <v>0</v>
      </c>
      <c r="P29" s="104"/>
      <c r="Q29" s="105">
        <f t="shared" si="16"/>
        <v>0</v>
      </c>
      <c r="R29" s="59" t="b">
        <f t="shared" si="4"/>
        <v>0</v>
      </c>
      <c r="S29" s="102" t="str">
        <f t="shared" si="17"/>
        <v>x</v>
      </c>
      <c r="T29" s="102" t="str">
        <f t="shared" si="5"/>
        <v>x</v>
      </c>
      <c r="U29" s="102" t="str">
        <f t="shared" si="6"/>
        <v>x</v>
      </c>
      <c r="V29" s="102" t="str">
        <f t="shared" si="7"/>
        <v>x</v>
      </c>
      <c r="W29" s="102" t="str">
        <f t="shared" si="8"/>
        <v>x</v>
      </c>
      <c r="X29" s="102" t="str">
        <f>IF(ISERROR(MATCH(G29,'Inputs Mapping'!$T$4:$T$5,0)),"x","")</f>
        <v>x</v>
      </c>
      <c r="Y29" s="102" t="str">
        <f>IF(ISERROR(MATCH(AE29,'Inputs Mapping'!$U$4:$U$5,0)),"x","")</f>
        <v>x</v>
      </c>
      <c r="Z29" s="102" t="str">
        <f>IF(ISERROR(MATCH(AF29,'Inputs Mapping'!$V$4:$V$5,0)),"x","")</f>
        <v>x</v>
      </c>
      <c r="AA29" s="102" t="str">
        <f>IF(ISERROR(MATCH(F29,'Inputs Mapping'!$W$4:$W$8,0)),"x","")</f>
        <v>x</v>
      </c>
      <c r="AB29" s="102" t="str">
        <f t="shared" si="9"/>
        <v/>
      </c>
      <c r="AC29" s="102" t="str">
        <f t="shared" si="10"/>
        <v/>
      </c>
      <c r="AD29" s="102" t="str">
        <f t="shared" si="11"/>
        <v/>
      </c>
      <c r="AE29" s="102" t="str">
        <f t="shared" si="18"/>
        <v/>
      </c>
      <c r="AF29" s="102" t="str">
        <f t="shared" si="19"/>
        <v/>
      </c>
      <c r="AG29" s="102" t="str">
        <f t="shared" si="20"/>
        <v>x</v>
      </c>
      <c r="AK29" s="95" t="str">
        <f t="shared" si="12"/>
        <v/>
      </c>
      <c r="AL29" s="59" t="str">
        <f>IF(J29="","",VLOOKUP(J29,'Inputs Mapping'!$T$27:$V$30,3))</f>
        <v/>
      </c>
      <c r="AM29" s="59" t="str">
        <f>IF(J29="","",VLOOKUP(J29,'Inputs Mapping'!$T$17:$V$24,3))</f>
        <v/>
      </c>
      <c r="AN29" s="59" t="str">
        <f t="shared" si="13"/>
        <v/>
      </c>
      <c r="AO29" s="102" t="str">
        <f t="shared" si="14"/>
        <v/>
      </c>
      <c r="AP29" s="102" t="str">
        <f>IF(F29="","",IF(G29="Dubai",HLOOKUP(F29,Inputs!$C$26:$M$36,5,0),HLOOKUP(F29,Inputs!$C$45:$M$49,5,0)))</f>
        <v/>
      </c>
      <c r="AQ29" s="102">
        <f t="shared" si="15"/>
        <v>0</v>
      </c>
      <c r="AR29" s="59" t="str">
        <f>IF(AM29="","",IF(AQ29="Dubai",VLOOKUP(AM29,'Inputs Mapping'!$V$17:$W$24,2,0),VLOOKUP(AL29,'Inputs Mapping'!$V$27:$W$30,2,0)))</f>
        <v/>
      </c>
      <c r="AS29" s="333">
        <f>IFERROR(IF($AQ29="","",HLOOKUP($AQ29&amp;RIGHT($AO29,1),'input for formula'!$B$16:$I$20,3,0)),0)</f>
        <v>0</v>
      </c>
      <c r="AT29" s="80">
        <f>IFERROR(IF($AQ29="","",HLOOKUP($AQ29&amp;$F29,'input for formula'!$B$22:$M$25,2,0)),0)</f>
        <v>0</v>
      </c>
      <c r="AU29" s="333">
        <f>IFERROR(IF($AQ29="","",HLOOKUP($AQ29&amp;RIGHT($AO29,1),'input for formula'!$B$16:$I$20,4,0)),0)</f>
        <v>0</v>
      </c>
      <c r="AV29" s="80">
        <f>IFERROR(IF($AQ29="","",HLOOKUP($AQ29&amp;$F29,'input for formula'!$B$22:$M$25,3,0)),0)</f>
        <v>0</v>
      </c>
      <c r="AW29" s="333">
        <f>IFERROR(IF($AQ29="","",HLOOKUP($AQ29&amp;RIGHT($AO29,1),'input for formula'!$B$16:$I$20,5,0)),0)</f>
        <v>0</v>
      </c>
      <c r="AX29" s="80">
        <f>IFERROR(IF($AQ29="","",HLOOKUP($AQ29&amp;$F29,'input for formula'!$B$22:$M$25,4,0)),0)</f>
        <v>0</v>
      </c>
      <c r="AY29" s="333">
        <f>IFERROR(IF($AQ29="","",IF(Additions!$AQ29="Abu Dhabi",VLOOKUP(Additions!$AP29,'input for formula'!$A$28:$C$41,3,0),VLOOKUP(Additions!$AP29,'input for formula'!$A$28:$C$41,2,0))),0)*IFERROR(1+IF(AQ29="Dubai",VLOOKUP(F29,'Quotation for Dubai Plans'!$V$6:$X$12,3,FALSE),VLOOKUP(F29,'Quotation for Abu Dhabi Plans'!$W$6:$Y$12,3,FALSE)),0)</f>
        <v>0</v>
      </c>
      <c r="AZ29" s="80" t="str">
        <f t="shared" si="21"/>
        <v/>
      </c>
      <c r="BA29" s="106" t="str">
        <f>IFERROR(IF(AO29="","",IF(AQ29="Dubai",HLOOKUP((AO29&amp;AP29),Deviation!$B$7:$S$8,2,0)*BI29*BK29*BL29*BJ29,HLOOKUP((AO29&amp;AP29),Deviation!$B$9:$K$10,2,0)*BI29*BK29*BL29*BJ29)),0)</f>
        <v/>
      </c>
      <c r="BB29" s="107" t="e">
        <f>IF(AO29="","",IFERROR(IF(AO29="","",IF(AQ29="Dubai",HLOOKUP(BC29,'input for formula'!$B$3:$F$10,AR29,FALSE), IF(AND(H29="Employee",AQ29="Abu Dhabi"),HLOOKUP(BC29,'input for formula'!$I$3:$K$7,AR29,FALSE),HLOOKUP(BC29,'input for formula'!$M$3:$O$7,AR29,FALSE)))*BA29+AS29*AT29+AU29*AV29+AW29*AX29),0)*$BC$3)*IF(Inputs!$C$19&gt;100,(1+$BC$2),1)</f>
        <v>#VALUE!</v>
      </c>
      <c r="BC29" s="95" t="str">
        <f t="shared" si="22"/>
        <v/>
      </c>
      <c r="BD29" s="334" t="str">
        <f>IF(F29="","",IF(G29="Dubai",HLOOKUP(F29,Inputs!$C$26:$M$37,9,0),HLOOKUP(F29,Inputs!$C$45:$M$56,9,0)))</f>
        <v/>
      </c>
      <c r="BE29" s="335" t="str">
        <f>IF(F29="","",IF(G29="Dubai",HLOOKUP(F29,Inputs!$C$26:$M$37,10,0),HLOOKUP(F29,Inputs!$C$45:$M$56,10,0)))</f>
        <v/>
      </c>
      <c r="BF29" s="335" t="str">
        <f>IF(F29="","",IF(G29="Dubai",HLOOKUP(F29,Inputs!$C$26:$M$37,11,0),HLOOKUP(F29,Inputs!$C$45:$M$56,11,0)))</f>
        <v/>
      </c>
      <c r="BG29" s="334" t="str">
        <f>IF(F29="","",IF(G29="Dubai",HLOOKUP(F29,Inputs!$C$26:$M$37,12,0),HLOOKUP(F29,Inputs!$C$45:$M$56,12,0)))</f>
        <v/>
      </c>
      <c r="BI29" s="334" t="str">
        <f>IFERROR(IF(AO29="","",IF(AQ29="Dubai",IF(OR(AO29="Plan1",AO29="Plan2"),VLOOKUP(BD29,Deviation!$B$31:$D$33,2,FALSE),VLOOKUP(BD29,Deviation!$B$31:$D$33,3,FALSE)),IF(OR(AO29="Plan1",AO29="Plan2"),VLOOKUP(BD29,Deviation!$E$31:$G$33,2,FALSE),VLOOKUP(BD29,Deviation!$E$31:$G$33,3,FALSE)))),0)</f>
        <v/>
      </c>
      <c r="BJ29" s="336" t="str">
        <f>IFERROR(IF(AO29="","",IF(AQ29="Dubai",IF(AO29="Plan1",VLOOKUP(BE29,Deviation!$B$39:$C$40,2,FALSE),IF(AO29="Plan2",VLOOKUP(BE29,Deviation!$B$42:$C$43,2,FALSE),IF(AO29="Plan5",VLOOKUP(BE29,Deviation!$B$48:$C$49,2,FALSE),VLOOKUP(BE29,Deviation!$B$45:$C$46,2,FALSE)))),IF(AO29="Plan1",VLOOKUP(BE29,Deviation!$E$39:$F$40,2,FALSE),IF(AO29="Plan2",VLOOKUP(BE29,Deviation!$E$42:$F$43,2,FALSE),VLOOKUP(BE29,Deviation!$E$45:$F$46,2,FALSE))))),0)</f>
        <v/>
      </c>
      <c r="BK29" s="336" t="str">
        <f>IFERROR(IF(AO29="","",IF(AQ29="Dubai",IF(OR(AO29="Plan1",AO29="Plan2"),VLOOKUP(BF29,Deviation!$B$15:$D$18,2,FALSE),VLOOKUP(BF29,Deviation!$B$15:$D$18,3,FALSE)),IF(OR(AO29="Plan1",AO29="Plan2"),VLOOKUP(BF29,Deviation!$E$15:$G$18,2,FALSE),VLOOKUP(BF29,Deviation!$E$15:$G$18,3,FALSE)))),0)</f>
        <v/>
      </c>
      <c r="BL29" s="334" t="str">
        <f>IFERROR(IF(AO29="","",IF(AQ29="Dubai",VLOOKUP(BG29,Deviation!$B$24:$C$26,2,FALSE),100%)),0)</f>
        <v/>
      </c>
    </row>
    <row r="30" spans="1:64" ht="14.25" x14ac:dyDescent="0.2">
      <c r="A30" s="59">
        <v>25</v>
      </c>
      <c r="B30" s="298"/>
      <c r="C30" s="299"/>
      <c r="D30" s="298"/>
      <c r="E30" s="298"/>
      <c r="F30" s="298"/>
      <c r="G30" s="298"/>
      <c r="H30" s="298"/>
      <c r="I30" s="503"/>
      <c r="J30" s="80" t="str">
        <f>IFERROR(ROUNDDOWN(IF(C30="","",(MAX((eff_date-Additions!C30)/365.25,0))),0),"")</f>
        <v/>
      </c>
      <c r="K30" s="59" t="str">
        <f>IF(F30="","",IF(G30="Dubai",HLOOKUP(F30,Inputs!$C$26:$M$28,3,0),HLOOKUP(F30,Inputs!$C$45:$M$46,2,0)))</f>
        <v/>
      </c>
      <c r="L30" s="335" t="str">
        <f t="shared" si="0"/>
        <v/>
      </c>
      <c r="M30" s="335">
        <f t="shared" si="1"/>
        <v>0</v>
      </c>
      <c r="N30" s="335" t="str">
        <f t="shared" si="2"/>
        <v/>
      </c>
      <c r="O30" s="335">
        <f t="shared" si="3"/>
        <v>0</v>
      </c>
      <c r="P30" s="104"/>
      <c r="Q30" s="105">
        <f t="shared" si="16"/>
        <v>0</v>
      </c>
      <c r="R30" s="59" t="b">
        <f t="shared" si="4"/>
        <v>0</v>
      </c>
      <c r="S30" s="102" t="str">
        <f t="shared" si="17"/>
        <v>x</v>
      </c>
      <c r="T30" s="102" t="str">
        <f t="shared" si="5"/>
        <v>x</v>
      </c>
      <c r="U30" s="102" t="str">
        <f t="shared" si="6"/>
        <v>x</v>
      </c>
      <c r="V30" s="102" t="str">
        <f t="shared" si="7"/>
        <v>x</v>
      </c>
      <c r="W30" s="102" t="str">
        <f t="shared" si="8"/>
        <v>x</v>
      </c>
      <c r="X30" s="102" t="str">
        <f>IF(ISERROR(MATCH(G30,'Inputs Mapping'!$T$4:$T$5,0)),"x","")</f>
        <v>x</v>
      </c>
      <c r="Y30" s="102" t="str">
        <f>IF(ISERROR(MATCH(AE30,'Inputs Mapping'!$U$4:$U$5,0)),"x","")</f>
        <v>x</v>
      </c>
      <c r="Z30" s="102" t="str">
        <f>IF(ISERROR(MATCH(AF30,'Inputs Mapping'!$V$4:$V$5,0)),"x","")</f>
        <v>x</v>
      </c>
      <c r="AA30" s="102" t="str">
        <f>IF(ISERROR(MATCH(F30,'Inputs Mapping'!$W$4:$W$8,0)),"x","")</f>
        <v>x</v>
      </c>
      <c r="AB30" s="102" t="str">
        <f t="shared" si="9"/>
        <v/>
      </c>
      <c r="AC30" s="102" t="str">
        <f t="shared" si="10"/>
        <v/>
      </c>
      <c r="AD30" s="102" t="str">
        <f t="shared" si="11"/>
        <v/>
      </c>
      <c r="AE30" s="102" t="str">
        <f t="shared" si="18"/>
        <v/>
      </c>
      <c r="AF30" s="102" t="str">
        <f t="shared" si="19"/>
        <v/>
      </c>
      <c r="AG30" s="102" t="str">
        <f t="shared" si="20"/>
        <v>x</v>
      </c>
      <c r="AK30" s="95" t="str">
        <f t="shared" si="12"/>
        <v/>
      </c>
      <c r="AL30" s="59" t="str">
        <f>IF(J30="","",VLOOKUP(J30,'Inputs Mapping'!$T$27:$V$30,3))</f>
        <v/>
      </c>
      <c r="AM30" s="59" t="str">
        <f>IF(J30="","",VLOOKUP(J30,'Inputs Mapping'!$T$17:$V$24,3))</f>
        <v/>
      </c>
      <c r="AN30" s="59" t="str">
        <f t="shared" si="13"/>
        <v/>
      </c>
      <c r="AO30" s="102" t="str">
        <f t="shared" si="14"/>
        <v/>
      </c>
      <c r="AP30" s="102" t="str">
        <f>IF(F30="","",IF(G30="Dubai",HLOOKUP(F30,Inputs!$C$26:$M$36,5,0),HLOOKUP(F30,Inputs!$C$45:$M$49,5,0)))</f>
        <v/>
      </c>
      <c r="AQ30" s="102">
        <f t="shared" si="15"/>
        <v>0</v>
      </c>
      <c r="AR30" s="59" t="str">
        <f>IF(AM30="","",IF(AQ30="Dubai",VLOOKUP(AM30,'Inputs Mapping'!$V$17:$W$24,2,0),VLOOKUP(AL30,'Inputs Mapping'!$V$27:$W$30,2,0)))</f>
        <v/>
      </c>
      <c r="AS30" s="333">
        <f>IFERROR(IF($AQ30="","",HLOOKUP($AQ30&amp;RIGHT($AO30,1),'input for formula'!$B$16:$I$20,3,0)),0)</f>
        <v>0</v>
      </c>
      <c r="AT30" s="80">
        <f>IFERROR(IF($AQ30="","",HLOOKUP($AQ30&amp;$F30,'input for formula'!$B$22:$M$25,2,0)),0)</f>
        <v>0</v>
      </c>
      <c r="AU30" s="333">
        <f>IFERROR(IF($AQ30="","",HLOOKUP($AQ30&amp;RIGHT($AO30,1),'input for formula'!$B$16:$I$20,4,0)),0)</f>
        <v>0</v>
      </c>
      <c r="AV30" s="80">
        <f>IFERROR(IF($AQ30="","",HLOOKUP($AQ30&amp;$F30,'input for formula'!$B$22:$M$25,3,0)),0)</f>
        <v>0</v>
      </c>
      <c r="AW30" s="333">
        <f>IFERROR(IF($AQ30="","",HLOOKUP($AQ30&amp;RIGHT($AO30,1),'input for formula'!$B$16:$I$20,5,0)),0)</f>
        <v>0</v>
      </c>
      <c r="AX30" s="80">
        <f>IFERROR(IF($AQ30="","",HLOOKUP($AQ30&amp;$F30,'input for formula'!$B$22:$M$25,4,0)),0)</f>
        <v>0</v>
      </c>
      <c r="AY30" s="333">
        <f>IFERROR(IF($AQ30="","",IF(Additions!$AQ30="Abu Dhabi",VLOOKUP(Additions!$AP30,'input for formula'!$A$28:$C$41,3,0),VLOOKUP(Additions!$AP30,'input for formula'!$A$28:$C$41,2,0))),0)*IFERROR(1+IF(AQ30="Dubai",VLOOKUP(F30,'Quotation for Dubai Plans'!$V$6:$X$12,3,FALSE),VLOOKUP(F30,'Quotation for Abu Dhabi Plans'!$W$6:$Y$12,3,FALSE)),0)</f>
        <v>0</v>
      </c>
      <c r="AZ30" s="80" t="str">
        <f t="shared" si="21"/>
        <v/>
      </c>
      <c r="BA30" s="106" t="str">
        <f>IFERROR(IF(AO30="","",IF(AQ30="Dubai",HLOOKUP((AO30&amp;AP30),Deviation!$B$7:$S$8,2,0)*BI30*BK30*BL30*BJ30,HLOOKUP((AO30&amp;AP30),Deviation!$B$9:$K$10,2,0)*BI30*BK30*BL30*BJ30)),0)</f>
        <v/>
      </c>
      <c r="BB30" s="107" t="e">
        <f>IF(AO30="","",IFERROR(IF(AO30="","",IF(AQ30="Dubai",HLOOKUP(BC30,'input for formula'!$B$3:$F$10,AR30,FALSE), IF(AND(H30="Employee",AQ30="Abu Dhabi"),HLOOKUP(BC30,'input for formula'!$I$3:$K$7,AR30,FALSE),HLOOKUP(BC30,'input for formula'!$M$3:$O$7,AR30,FALSE)))*BA30+AS30*AT30+AU30*AV30+AW30*AX30),0)*$BC$3)*IF(Inputs!$C$19&gt;100,(1+$BC$2),1)</f>
        <v>#VALUE!</v>
      </c>
      <c r="BC30" s="95" t="str">
        <f t="shared" si="22"/>
        <v/>
      </c>
      <c r="BD30" s="334" t="str">
        <f>IF(F30="","",IF(G30="Dubai",HLOOKUP(F30,Inputs!$C$26:$M$37,9,0),HLOOKUP(F30,Inputs!$C$45:$M$56,9,0)))</f>
        <v/>
      </c>
      <c r="BE30" s="335" t="str">
        <f>IF(F30="","",IF(G30="Dubai",HLOOKUP(F30,Inputs!$C$26:$M$37,10,0),HLOOKUP(F30,Inputs!$C$45:$M$56,10,0)))</f>
        <v/>
      </c>
      <c r="BF30" s="335" t="str">
        <f>IF(F30="","",IF(G30="Dubai",HLOOKUP(F30,Inputs!$C$26:$M$37,11,0),HLOOKUP(F30,Inputs!$C$45:$M$56,11,0)))</f>
        <v/>
      </c>
      <c r="BG30" s="334" t="str">
        <f>IF(F30="","",IF(G30="Dubai",HLOOKUP(F30,Inputs!$C$26:$M$37,12,0),HLOOKUP(F30,Inputs!$C$45:$M$56,12,0)))</f>
        <v/>
      </c>
      <c r="BI30" s="334" t="str">
        <f>IFERROR(IF(AO30="","",IF(AQ30="Dubai",IF(OR(AO30="Plan1",AO30="Plan2"),VLOOKUP(BD30,Deviation!$B$31:$D$33,2,FALSE),VLOOKUP(BD30,Deviation!$B$31:$D$33,3,FALSE)),IF(OR(AO30="Plan1",AO30="Plan2"),VLOOKUP(BD30,Deviation!$E$31:$G$33,2,FALSE),VLOOKUP(BD30,Deviation!$E$31:$G$33,3,FALSE)))),0)</f>
        <v/>
      </c>
      <c r="BJ30" s="336" t="str">
        <f>IFERROR(IF(AO30="","",IF(AQ30="Dubai",IF(AO30="Plan1",VLOOKUP(BE30,Deviation!$B$39:$C$40,2,FALSE),IF(AO30="Plan2",VLOOKUP(BE30,Deviation!$B$42:$C$43,2,FALSE),IF(AO30="Plan5",VLOOKUP(BE30,Deviation!$B$48:$C$49,2,FALSE),VLOOKUP(BE30,Deviation!$B$45:$C$46,2,FALSE)))),IF(AO30="Plan1",VLOOKUP(BE30,Deviation!$E$39:$F$40,2,FALSE),IF(AO30="Plan2",VLOOKUP(BE30,Deviation!$E$42:$F$43,2,FALSE),VLOOKUP(BE30,Deviation!$E$45:$F$46,2,FALSE))))),0)</f>
        <v/>
      </c>
      <c r="BK30" s="336" t="str">
        <f>IFERROR(IF(AO30="","",IF(AQ30="Dubai",IF(OR(AO30="Plan1",AO30="Plan2"),VLOOKUP(BF30,Deviation!$B$15:$D$18,2,FALSE),VLOOKUP(BF30,Deviation!$B$15:$D$18,3,FALSE)),IF(OR(AO30="Plan1",AO30="Plan2"),VLOOKUP(BF30,Deviation!$E$15:$G$18,2,FALSE),VLOOKUP(BF30,Deviation!$E$15:$G$18,3,FALSE)))),0)</f>
        <v/>
      </c>
      <c r="BL30" s="334" t="str">
        <f>IFERROR(IF(AO30="","",IF(AQ30="Dubai",VLOOKUP(BG30,Deviation!$B$24:$C$26,2,FALSE),100%)),0)</f>
        <v/>
      </c>
    </row>
    <row r="31" spans="1:64" ht="14.25" x14ac:dyDescent="0.2">
      <c r="A31" s="59">
        <v>26</v>
      </c>
      <c r="B31" s="298"/>
      <c r="C31" s="299"/>
      <c r="D31" s="298"/>
      <c r="E31" s="298"/>
      <c r="F31" s="298"/>
      <c r="G31" s="298"/>
      <c r="H31" s="298"/>
      <c r="I31" s="503"/>
      <c r="J31" s="80" t="str">
        <f>IFERROR(ROUNDDOWN(IF(C31="","",(MAX((eff_date-Additions!C31)/365.25,0))),0),"")</f>
        <v/>
      </c>
      <c r="K31" s="59" t="str">
        <f>IF(F31="","",IF(G31="Dubai",HLOOKUP(F31,Inputs!$C$26:$M$28,3,0),HLOOKUP(F31,Inputs!$C$45:$M$46,2,0)))</f>
        <v/>
      </c>
      <c r="L31" s="335" t="str">
        <f t="shared" si="0"/>
        <v/>
      </c>
      <c r="M31" s="335">
        <f t="shared" si="1"/>
        <v>0</v>
      </c>
      <c r="N31" s="335" t="str">
        <f t="shared" si="2"/>
        <v/>
      </c>
      <c r="O31" s="335">
        <f t="shared" si="3"/>
        <v>0</v>
      </c>
      <c r="P31" s="104"/>
      <c r="Q31" s="105">
        <f t="shared" si="16"/>
        <v>0</v>
      </c>
      <c r="R31" s="59" t="b">
        <f t="shared" si="4"/>
        <v>0</v>
      </c>
      <c r="S31" s="102" t="str">
        <f t="shared" si="17"/>
        <v>x</v>
      </c>
      <c r="T31" s="102" t="str">
        <f t="shared" si="5"/>
        <v>x</v>
      </c>
      <c r="U31" s="102" t="str">
        <f t="shared" si="6"/>
        <v>x</v>
      </c>
      <c r="V31" s="102" t="str">
        <f t="shared" si="7"/>
        <v>x</v>
      </c>
      <c r="W31" s="102" t="str">
        <f t="shared" si="8"/>
        <v>x</v>
      </c>
      <c r="X31" s="102" t="str">
        <f>IF(ISERROR(MATCH(G31,'Inputs Mapping'!$T$4:$T$5,0)),"x","")</f>
        <v>x</v>
      </c>
      <c r="Y31" s="102" t="str">
        <f>IF(ISERROR(MATCH(AE31,'Inputs Mapping'!$U$4:$U$5,0)),"x","")</f>
        <v>x</v>
      </c>
      <c r="Z31" s="102" t="str">
        <f>IF(ISERROR(MATCH(AF31,'Inputs Mapping'!$V$4:$V$5,0)),"x","")</f>
        <v>x</v>
      </c>
      <c r="AA31" s="102" t="str">
        <f>IF(ISERROR(MATCH(F31,'Inputs Mapping'!$W$4:$W$8,0)),"x","")</f>
        <v>x</v>
      </c>
      <c r="AB31" s="102" t="str">
        <f t="shared" si="9"/>
        <v/>
      </c>
      <c r="AC31" s="102" t="str">
        <f t="shared" si="10"/>
        <v/>
      </c>
      <c r="AD31" s="102" t="str">
        <f t="shared" si="11"/>
        <v/>
      </c>
      <c r="AE31" s="102" t="str">
        <f t="shared" si="18"/>
        <v/>
      </c>
      <c r="AF31" s="102" t="str">
        <f t="shared" si="19"/>
        <v/>
      </c>
      <c r="AG31" s="102" t="str">
        <f t="shared" si="20"/>
        <v>x</v>
      </c>
      <c r="AK31" s="95" t="str">
        <f t="shared" si="12"/>
        <v/>
      </c>
      <c r="AL31" s="59" t="str">
        <f>IF(J31="","",VLOOKUP(J31,'Inputs Mapping'!$T$27:$V$30,3))</f>
        <v/>
      </c>
      <c r="AM31" s="59" t="str">
        <f>IF(J31="","",VLOOKUP(J31,'Inputs Mapping'!$T$17:$V$24,3))</f>
        <v/>
      </c>
      <c r="AN31" s="59" t="str">
        <f t="shared" si="13"/>
        <v/>
      </c>
      <c r="AO31" s="102" t="str">
        <f t="shared" si="14"/>
        <v/>
      </c>
      <c r="AP31" s="102" t="str">
        <f>IF(F31="","",IF(G31="Dubai",HLOOKUP(F31,Inputs!$C$26:$M$36,5,0),HLOOKUP(F31,Inputs!$C$45:$M$49,5,0)))</f>
        <v/>
      </c>
      <c r="AQ31" s="102">
        <f t="shared" si="15"/>
        <v>0</v>
      </c>
      <c r="AR31" s="59" t="str">
        <f>IF(AM31="","",IF(AQ31="Dubai",VLOOKUP(AM31,'Inputs Mapping'!$V$17:$W$24,2,0),VLOOKUP(AL31,'Inputs Mapping'!$V$27:$W$30,2,0)))</f>
        <v/>
      </c>
      <c r="AS31" s="333">
        <f>IFERROR(IF($AQ31="","",HLOOKUP($AQ31&amp;RIGHT($AO31,1),'input for formula'!$B$16:$I$20,3,0)),0)</f>
        <v>0</v>
      </c>
      <c r="AT31" s="80">
        <f>IFERROR(IF($AQ31="","",HLOOKUP($AQ31&amp;$F31,'input for formula'!$B$22:$M$25,2,0)),0)</f>
        <v>0</v>
      </c>
      <c r="AU31" s="333">
        <f>IFERROR(IF($AQ31="","",HLOOKUP($AQ31&amp;RIGHT($AO31,1),'input for formula'!$B$16:$I$20,4,0)),0)</f>
        <v>0</v>
      </c>
      <c r="AV31" s="80">
        <f>IFERROR(IF($AQ31="","",HLOOKUP($AQ31&amp;$F31,'input for formula'!$B$22:$M$25,3,0)),0)</f>
        <v>0</v>
      </c>
      <c r="AW31" s="333">
        <f>IFERROR(IF($AQ31="","",HLOOKUP($AQ31&amp;RIGHT($AO31,1),'input for formula'!$B$16:$I$20,5,0)),0)</f>
        <v>0</v>
      </c>
      <c r="AX31" s="80">
        <f>IFERROR(IF($AQ31="","",HLOOKUP($AQ31&amp;$F31,'input for formula'!$B$22:$M$25,4,0)),0)</f>
        <v>0</v>
      </c>
      <c r="AY31" s="333">
        <f>IFERROR(IF($AQ31="","",IF(Additions!$AQ31="Abu Dhabi",VLOOKUP(Additions!$AP31,'input for formula'!$A$28:$C$41,3,0),VLOOKUP(Additions!$AP31,'input for formula'!$A$28:$C$41,2,0))),0)*IFERROR(1+IF(AQ31="Dubai",VLOOKUP(F31,'Quotation for Dubai Plans'!$V$6:$X$12,3,FALSE),VLOOKUP(F31,'Quotation for Abu Dhabi Plans'!$W$6:$Y$12,3,FALSE)),0)</f>
        <v>0</v>
      </c>
      <c r="AZ31" s="80" t="str">
        <f t="shared" si="21"/>
        <v/>
      </c>
      <c r="BA31" s="106" t="str">
        <f>IFERROR(IF(AO31="","",IF(AQ31="Dubai",HLOOKUP((AO31&amp;AP31),Deviation!$B$7:$S$8,2,0)*BI31*BK31*BL31*BJ31,HLOOKUP((AO31&amp;AP31),Deviation!$B$9:$K$10,2,0)*BI31*BK31*BL31*BJ31)),0)</f>
        <v/>
      </c>
      <c r="BB31" s="107" t="e">
        <f>IF(AO31="","",IFERROR(IF(AO31="","",IF(AQ31="Dubai",HLOOKUP(BC31,'input for formula'!$B$3:$F$10,AR31,FALSE), IF(AND(H31="Employee",AQ31="Abu Dhabi"),HLOOKUP(BC31,'input for formula'!$I$3:$K$7,AR31,FALSE),HLOOKUP(BC31,'input for formula'!$M$3:$O$7,AR31,FALSE)))*BA31+AS31*AT31+AU31*AV31+AW31*AX31),0)*$BC$3)*IF(Inputs!$C$19&gt;100,(1+$BC$2),1)</f>
        <v>#VALUE!</v>
      </c>
      <c r="BC31" s="95" t="str">
        <f t="shared" si="22"/>
        <v/>
      </c>
      <c r="BD31" s="334" t="str">
        <f>IF(F31="","",IF(G31="Dubai",HLOOKUP(F31,Inputs!$C$26:$M$37,9,0),HLOOKUP(F31,Inputs!$C$45:$M$56,9,0)))</f>
        <v/>
      </c>
      <c r="BE31" s="335" t="str">
        <f>IF(F31="","",IF(G31="Dubai",HLOOKUP(F31,Inputs!$C$26:$M$37,10,0),HLOOKUP(F31,Inputs!$C$45:$M$56,10,0)))</f>
        <v/>
      </c>
      <c r="BF31" s="335" t="str">
        <f>IF(F31="","",IF(G31="Dubai",HLOOKUP(F31,Inputs!$C$26:$M$37,11,0),HLOOKUP(F31,Inputs!$C$45:$M$56,11,0)))</f>
        <v/>
      </c>
      <c r="BG31" s="334" t="str">
        <f>IF(F31="","",IF(G31="Dubai",HLOOKUP(F31,Inputs!$C$26:$M$37,12,0),HLOOKUP(F31,Inputs!$C$45:$M$56,12,0)))</f>
        <v/>
      </c>
      <c r="BI31" s="334" t="str">
        <f>IFERROR(IF(AO31="","",IF(AQ31="Dubai",IF(OR(AO31="Plan1",AO31="Plan2"),VLOOKUP(BD31,Deviation!$B$31:$D$33,2,FALSE),VLOOKUP(BD31,Deviation!$B$31:$D$33,3,FALSE)),IF(OR(AO31="Plan1",AO31="Plan2"),VLOOKUP(BD31,Deviation!$E$31:$G$33,2,FALSE),VLOOKUP(BD31,Deviation!$E$31:$G$33,3,FALSE)))),0)</f>
        <v/>
      </c>
      <c r="BJ31" s="336" t="str">
        <f>IFERROR(IF(AO31="","",IF(AQ31="Dubai",IF(AO31="Plan1",VLOOKUP(BE31,Deviation!$B$39:$C$40,2,FALSE),IF(AO31="Plan2",VLOOKUP(BE31,Deviation!$B$42:$C$43,2,FALSE),IF(AO31="Plan5",VLOOKUP(BE31,Deviation!$B$48:$C$49,2,FALSE),VLOOKUP(BE31,Deviation!$B$45:$C$46,2,FALSE)))),IF(AO31="Plan1",VLOOKUP(BE31,Deviation!$E$39:$F$40,2,FALSE),IF(AO31="Plan2",VLOOKUP(BE31,Deviation!$E$42:$F$43,2,FALSE),VLOOKUP(BE31,Deviation!$E$45:$F$46,2,FALSE))))),0)</f>
        <v/>
      </c>
      <c r="BK31" s="336" t="str">
        <f>IFERROR(IF(AO31="","",IF(AQ31="Dubai",IF(OR(AO31="Plan1",AO31="Plan2"),VLOOKUP(BF31,Deviation!$B$15:$D$18,2,FALSE),VLOOKUP(BF31,Deviation!$B$15:$D$18,3,FALSE)),IF(OR(AO31="Plan1",AO31="Plan2"),VLOOKUP(BF31,Deviation!$E$15:$G$18,2,FALSE),VLOOKUP(BF31,Deviation!$E$15:$G$18,3,FALSE)))),0)</f>
        <v/>
      </c>
      <c r="BL31" s="334" t="str">
        <f>IFERROR(IF(AO31="","",IF(AQ31="Dubai",VLOOKUP(BG31,Deviation!$B$24:$C$26,2,FALSE),100%)),0)</f>
        <v/>
      </c>
    </row>
    <row r="32" spans="1:64" ht="14.25" x14ac:dyDescent="0.2">
      <c r="A32" s="59">
        <v>27</v>
      </c>
      <c r="B32" s="298"/>
      <c r="C32" s="299"/>
      <c r="D32" s="298"/>
      <c r="E32" s="298"/>
      <c r="F32" s="298"/>
      <c r="G32" s="298"/>
      <c r="H32" s="298"/>
      <c r="I32" s="503"/>
      <c r="J32" s="80" t="str">
        <f>IFERROR(ROUNDDOWN(IF(C32="","",(MAX((eff_date-Additions!C32)/365.25,0))),0),"")</f>
        <v/>
      </c>
      <c r="K32" s="59" t="str">
        <f>IF(F32="","",IF(G32="Dubai",HLOOKUP(F32,Inputs!$C$26:$M$28,3,0),HLOOKUP(F32,Inputs!$C$45:$M$46,2,0)))</f>
        <v/>
      </c>
      <c r="L32" s="335" t="str">
        <f t="shared" si="0"/>
        <v/>
      </c>
      <c r="M32" s="335">
        <f t="shared" si="1"/>
        <v>0</v>
      </c>
      <c r="N32" s="335" t="str">
        <f t="shared" si="2"/>
        <v/>
      </c>
      <c r="O32" s="335">
        <f t="shared" si="3"/>
        <v>0</v>
      </c>
      <c r="P32" s="104"/>
      <c r="Q32" s="105">
        <f t="shared" si="16"/>
        <v>0</v>
      </c>
      <c r="R32" s="59" t="b">
        <f t="shared" si="4"/>
        <v>0</v>
      </c>
      <c r="S32" s="102" t="str">
        <f t="shared" si="17"/>
        <v>x</v>
      </c>
      <c r="T32" s="102" t="str">
        <f t="shared" si="5"/>
        <v>x</v>
      </c>
      <c r="U32" s="102" t="str">
        <f t="shared" si="6"/>
        <v>x</v>
      </c>
      <c r="V32" s="102" t="str">
        <f t="shared" si="7"/>
        <v>x</v>
      </c>
      <c r="W32" s="102" t="str">
        <f t="shared" si="8"/>
        <v>x</v>
      </c>
      <c r="X32" s="102" t="str">
        <f>IF(ISERROR(MATCH(G32,'Inputs Mapping'!$T$4:$T$5,0)),"x","")</f>
        <v>x</v>
      </c>
      <c r="Y32" s="102" t="str">
        <f>IF(ISERROR(MATCH(AE32,'Inputs Mapping'!$U$4:$U$5,0)),"x","")</f>
        <v>x</v>
      </c>
      <c r="Z32" s="102" t="str">
        <f>IF(ISERROR(MATCH(AF32,'Inputs Mapping'!$V$4:$V$5,0)),"x","")</f>
        <v>x</v>
      </c>
      <c r="AA32" s="102" t="str">
        <f>IF(ISERROR(MATCH(F32,'Inputs Mapping'!$W$4:$W$8,0)),"x","")</f>
        <v>x</v>
      </c>
      <c r="AB32" s="102" t="str">
        <f t="shared" si="9"/>
        <v/>
      </c>
      <c r="AC32" s="102" t="str">
        <f t="shared" si="10"/>
        <v/>
      </c>
      <c r="AD32" s="102" t="str">
        <f t="shared" si="11"/>
        <v/>
      </c>
      <c r="AE32" s="102" t="str">
        <f t="shared" si="18"/>
        <v/>
      </c>
      <c r="AF32" s="102" t="str">
        <f t="shared" si="19"/>
        <v/>
      </c>
      <c r="AG32" s="102" t="str">
        <f t="shared" si="20"/>
        <v>x</v>
      </c>
      <c r="AK32" s="95" t="str">
        <f t="shared" si="12"/>
        <v/>
      </c>
      <c r="AL32" s="59" t="str">
        <f>IF(J32="","",VLOOKUP(J32,'Inputs Mapping'!$T$27:$V$30,3))</f>
        <v/>
      </c>
      <c r="AM32" s="59" t="str">
        <f>IF(J32="","",VLOOKUP(J32,'Inputs Mapping'!$T$17:$V$24,3))</f>
        <v/>
      </c>
      <c r="AN32" s="59" t="str">
        <f t="shared" si="13"/>
        <v/>
      </c>
      <c r="AO32" s="102" t="str">
        <f t="shared" si="14"/>
        <v/>
      </c>
      <c r="AP32" s="102" t="str">
        <f>IF(F32="","",IF(G32="Dubai",HLOOKUP(F32,Inputs!$C$26:$M$36,5,0),HLOOKUP(F32,Inputs!$C$45:$M$49,5,0)))</f>
        <v/>
      </c>
      <c r="AQ32" s="102">
        <f t="shared" si="15"/>
        <v>0</v>
      </c>
      <c r="AR32" s="59" t="str">
        <f>IF(AM32="","",IF(AQ32="Dubai",VLOOKUP(AM32,'Inputs Mapping'!$V$17:$W$24,2,0),VLOOKUP(AL32,'Inputs Mapping'!$V$27:$W$30,2,0)))</f>
        <v/>
      </c>
      <c r="AS32" s="333">
        <f>IFERROR(IF($AQ32="","",HLOOKUP($AQ32&amp;RIGHT($AO32,1),'input for formula'!$B$16:$I$20,3,0)),0)</f>
        <v>0</v>
      </c>
      <c r="AT32" s="80">
        <f>IFERROR(IF($AQ32="","",HLOOKUP($AQ32&amp;$F32,'input for formula'!$B$22:$M$25,2,0)),0)</f>
        <v>0</v>
      </c>
      <c r="AU32" s="333">
        <f>IFERROR(IF($AQ32="","",HLOOKUP($AQ32&amp;RIGHT($AO32,1),'input for formula'!$B$16:$I$20,4,0)),0)</f>
        <v>0</v>
      </c>
      <c r="AV32" s="80">
        <f>IFERROR(IF($AQ32="","",HLOOKUP($AQ32&amp;$F32,'input for formula'!$B$22:$M$25,3,0)),0)</f>
        <v>0</v>
      </c>
      <c r="AW32" s="333">
        <f>IFERROR(IF($AQ32="","",HLOOKUP($AQ32&amp;RIGHT($AO32,1),'input for formula'!$B$16:$I$20,5,0)),0)</f>
        <v>0</v>
      </c>
      <c r="AX32" s="80">
        <f>IFERROR(IF($AQ32="","",HLOOKUP($AQ32&amp;$F32,'input for formula'!$B$22:$M$25,4,0)),0)</f>
        <v>0</v>
      </c>
      <c r="AY32" s="333">
        <f>IFERROR(IF($AQ32="","",IF(Additions!$AQ32="Abu Dhabi",VLOOKUP(Additions!$AP32,'input for formula'!$A$28:$C$41,3,0),VLOOKUP(Additions!$AP32,'input for formula'!$A$28:$C$41,2,0))),0)*IFERROR(1+IF(AQ32="Dubai",VLOOKUP(F32,'Quotation for Dubai Plans'!$V$6:$X$12,3,FALSE),VLOOKUP(F32,'Quotation for Abu Dhabi Plans'!$W$6:$Y$12,3,FALSE)),0)</f>
        <v>0</v>
      </c>
      <c r="AZ32" s="80" t="str">
        <f t="shared" si="21"/>
        <v/>
      </c>
      <c r="BA32" s="106" t="str">
        <f>IFERROR(IF(AO32="","",IF(AQ32="Dubai",HLOOKUP((AO32&amp;AP32),Deviation!$B$7:$S$8,2,0)*BI32*BK32*BL32*BJ32,HLOOKUP((AO32&amp;AP32),Deviation!$B$9:$K$10,2,0)*BI32*BK32*BL32*BJ32)),0)</f>
        <v/>
      </c>
      <c r="BB32" s="107" t="e">
        <f>IF(AO32="","",IFERROR(IF(AO32="","",IF(AQ32="Dubai",HLOOKUP(BC32,'input for formula'!$B$3:$F$10,AR32,FALSE), IF(AND(H32="Employee",AQ32="Abu Dhabi"),HLOOKUP(BC32,'input for formula'!$I$3:$K$7,AR32,FALSE),HLOOKUP(BC32,'input for formula'!$M$3:$O$7,AR32,FALSE)))*BA32+AS32*AT32+AU32*AV32+AW32*AX32),0)*$BC$3)*IF(Inputs!$C$19&gt;100,(1+$BC$2),1)</f>
        <v>#VALUE!</v>
      </c>
      <c r="BC32" s="95" t="str">
        <f t="shared" si="22"/>
        <v/>
      </c>
      <c r="BD32" s="334" t="str">
        <f>IF(F32="","",IF(G32="Dubai",HLOOKUP(F32,Inputs!$C$26:$M$37,9,0),HLOOKUP(F32,Inputs!$C$45:$M$56,9,0)))</f>
        <v/>
      </c>
      <c r="BE32" s="335" t="str">
        <f>IF(F32="","",IF(G32="Dubai",HLOOKUP(F32,Inputs!$C$26:$M$37,10,0),HLOOKUP(F32,Inputs!$C$45:$M$56,10,0)))</f>
        <v/>
      </c>
      <c r="BF32" s="335" t="str">
        <f>IF(F32="","",IF(G32="Dubai",HLOOKUP(F32,Inputs!$C$26:$M$37,11,0),HLOOKUP(F32,Inputs!$C$45:$M$56,11,0)))</f>
        <v/>
      </c>
      <c r="BG32" s="334" t="str">
        <f>IF(F32="","",IF(G32="Dubai",HLOOKUP(F32,Inputs!$C$26:$M$37,12,0),HLOOKUP(F32,Inputs!$C$45:$M$56,12,0)))</f>
        <v/>
      </c>
      <c r="BI32" s="334" t="str">
        <f>IFERROR(IF(AO32="","",IF(AQ32="Dubai",IF(OR(AO32="Plan1",AO32="Plan2"),VLOOKUP(BD32,Deviation!$B$31:$D$33,2,FALSE),VLOOKUP(BD32,Deviation!$B$31:$D$33,3,FALSE)),IF(OR(AO32="Plan1",AO32="Plan2"),VLOOKUP(BD32,Deviation!$E$31:$G$33,2,FALSE),VLOOKUP(BD32,Deviation!$E$31:$G$33,3,FALSE)))),0)</f>
        <v/>
      </c>
      <c r="BJ32" s="336" t="str">
        <f>IFERROR(IF(AO32="","",IF(AQ32="Dubai",IF(AO32="Plan1",VLOOKUP(BE32,Deviation!$B$39:$C$40,2,FALSE),IF(AO32="Plan2",VLOOKUP(BE32,Deviation!$B$42:$C$43,2,FALSE),IF(AO32="Plan5",VLOOKUP(BE32,Deviation!$B$48:$C$49,2,FALSE),VLOOKUP(BE32,Deviation!$B$45:$C$46,2,FALSE)))),IF(AO32="Plan1",VLOOKUP(BE32,Deviation!$E$39:$F$40,2,FALSE),IF(AO32="Plan2",VLOOKUP(BE32,Deviation!$E$42:$F$43,2,FALSE),VLOOKUP(BE32,Deviation!$E$45:$F$46,2,FALSE))))),0)</f>
        <v/>
      </c>
      <c r="BK32" s="336" t="str">
        <f>IFERROR(IF(AO32="","",IF(AQ32="Dubai",IF(OR(AO32="Plan1",AO32="Plan2"),VLOOKUP(BF32,Deviation!$B$15:$D$18,2,FALSE),VLOOKUP(BF32,Deviation!$B$15:$D$18,3,FALSE)),IF(OR(AO32="Plan1",AO32="Plan2"),VLOOKUP(BF32,Deviation!$E$15:$G$18,2,FALSE),VLOOKUP(BF32,Deviation!$E$15:$G$18,3,FALSE)))),0)</f>
        <v/>
      </c>
      <c r="BL32" s="334" t="str">
        <f>IFERROR(IF(AO32="","",IF(AQ32="Dubai",VLOOKUP(BG32,Deviation!$B$24:$C$26,2,FALSE),100%)),0)</f>
        <v/>
      </c>
    </row>
    <row r="33" spans="1:64" ht="14.25" x14ac:dyDescent="0.2">
      <c r="A33" s="59">
        <v>28</v>
      </c>
      <c r="B33" s="298"/>
      <c r="C33" s="299"/>
      <c r="D33" s="298"/>
      <c r="E33" s="298"/>
      <c r="F33" s="298"/>
      <c r="G33" s="298"/>
      <c r="H33" s="298"/>
      <c r="I33" s="503"/>
      <c r="J33" s="80" t="str">
        <f>IFERROR(ROUNDDOWN(IF(C33="","",(MAX((eff_date-Additions!C33)/365.25,0))),0),"")</f>
        <v/>
      </c>
      <c r="K33" s="59" t="str">
        <f>IF(F33="","",IF(G33="Dubai",HLOOKUP(F33,Inputs!$C$26:$M$28,3,0),HLOOKUP(F33,Inputs!$C$45:$M$46,2,0)))</f>
        <v/>
      </c>
      <c r="L33" s="335" t="str">
        <f t="shared" si="0"/>
        <v/>
      </c>
      <c r="M33" s="335">
        <f t="shared" si="1"/>
        <v>0</v>
      </c>
      <c r="N33" s="335" t="str">
        <f t="shared" si="2"/>
        <v/>
      </c>
      <c r="O33" s="335">
        <f t="shared" si="3"/>
        <v>0</v>
      </c>
      <c r="P33" s="104"/>
      <c r="Q33" s="105">
        <f t="shared" si="16"/>
        <v>0</v>
      </c>
      <c r="R33" s="59" t="b">
        <f t="shared" si="4"/>
        <v>0</v>
      </c>
      <c r="S33" s="102" t="str">
        <f t="shared" si="17"/>
        <v>x</v>
      </c>
      <c r="T33" s="102" t="str">
        <f t="shared" si="5"/>
        <v>x</v>
      </c>
      <c r="U33" s="102" t="str">
        <f t="shared" si="6"/>
        <v>x</v>
      </c>
      <c r="V33" s="102" t="str">
        <f t="shared" si="7"/>
        <v>x</v>
      </c>
      <c r="W33" s="102" t="str">
        <f t="shared" si="8"/>
        <v>x</v>
      </c>
      <c r="X33" s="102" t="str">
        <f>IF(ISERROR(MATCH(G33,'Inputs Mapping'!$T$4:$T$5,0)),"x","")</f>
        <v>x</v>
      </c>
      <c r="Y33" s="102" t="str">
        <f>IF(ISERROR(MATCH(AE33,'Inputs Mapping'!$U$4:$U$5,0)),"x","")</f>
        <v>x</v>
      </c>
      <c r="Z33" s="102" t="str">
        <f>IF(ISERROR(MATCH(AF33,'Inputs Mapping'!$V$4:$V$5,0)),"x","")</f>
        <v>x</v>
      </c>
      <c r="AA33" s="102" t="str">
        <f>IF(ISERROR(MATCH(F33,'Inputs Mapping'!$W$4:$W$8,0)),"x","")</f>
        <v>x</v>
      </c>
      <c r="AB33" s="102" t="str">
        <f t="shared" si="9"/>
        <v/>
      </c>
      <c r="AC33" s="102" t="str">
        <f t="shared" si="10"/>
        <v/>
      </c>
      <c r="AD33" s="102" t="str">
        <f t="shared" si="11"/>
        <v/>
      </c>
      <c r="AE33" s="102" t="str">
        <f t="shared" si="18"/>
        <v/>
      </c>
      <c r="AF33" s="102" t="str">
        <f t="shared" si="19"/>
        <v/>
      </c>
      <c r="AG33" s="102" t="str">
        <f t="shared" si="20"/>
        <v>x</v>
      </c>
      <c r="AK33" s="95" t="str">
        <f t="shared" si="12"/>
        <v/>
      </c>
      <c r="AL33" s="59" t="str">
        <f>IF(J33="","",VLOOKUP(J33,'Inputs Mapping'!$T$27:$V$30,3))</f>
        <v/>
      </c>
      <c r="AM33" s="59" t="str">
        <f>IF(J33="","",VLOOKUP(J33,'Inputs Mapping'!$T$17:$V$24,3))</f>
        <v/>
      </c>
      <c r="AN33" s="59" t="str">
        <f t="shared" si="13"/>
        <v/>
      </c>
      <c r="AO33" s="102" t="str">
        <f t="shared" si="14"/>
        <v/>
      </c>
      <c r="AP33" s="102" t="str">
        <f>IF(F33="","",IF(G33="Dubai",HLOOKUP(F33,Inputs!$C$26:$M$36,5,0),HLOOKUP(F33,Inputs!$C$45:$M$49,5,0)))</f>
        <v/>
      </c>
      <c r="AQ33" s="102">
        <f t="shared" si="15"/>
        <v>0</v>
      </c>
      <c r="AR33" s="59" t="str">
        <f>IF(AM33="","",IF(AQ33="Dubai",VLOOKUP(AM33,'Inputs Mapping'!$V$17:$W$24,2,0),VLOOKUP(AL33,'Inputs Mapping'!$V$27:$W$30,2,0)))</f>
        <v/>
      </c>
      <c r="AS33" s="333">
        <f>IFERROR(IF($AQ33="","",HLOOKUP($AQ33&amp;RIGHT($AO33,1),'input for formula'!$B$16:$I$20,3,0)),0)</f>
        <v>0</v>
      </c>
      <c r="AT33" s="80">
        <f>IFERROR(IF($AQ33="","",HLOOKUP($AQ33&amp;$F33,'input for formula'!$B$22:$M$25,2,0)),0)</f>
        <v>0</v>
      </c>
      <c r="AU33" s="333">
        <f>IFERROR(IF($AQ33="","",HLOOKUP($AQ33&amp;RIGHT($AO33,1),'input for formula'!$B$16:$I$20,4,0)),0)</f>
        <v>0</v>
      </c>
      <c r="AV33" s="80">
        <f>IFERROR(IF($AQ33="","",HLOOKUP($AQ33&amp;$F33,'input for formula'!$B$22:$M$25,3,0)),0)</f>
        <v>0</v>
      </c>
      <c r="AW33" s="333">
        <f>IFERROR(IF($AQ33="","",HLOOKUP($AQ33&amp;RIGHT($AO33,1),'input for formula'!$B$16:$I$20,5,0)),0)</f>
        <v>0</v>
      </c>
      <c r="AX33" s="80">
        <f>IFERROR(IF($AQ33="","",HLOOKUP($AQ33&amp;$F33,'input for formula'!$B$22:$M$25,4,0)),0)</f>
        <v>0</v>
      </c>
      <c r="AY33" s="333">
        <f>IFERROR(IF($AQ33="","",IF(Additions!$AQ33="Abu Dhabi",VLOOKUP(Additions!$AP33,'input for formula'!$A$28:$C$41,3,0),VLOOKUP(Additions!$AP33,'input for formula'!$A$28:$C$41,2,0))),0)*IFERROR(1+IF(AQ33="Dubai",VLOOKUP(F33,'Quotation for Dubai Plans'!$V$6:$X$12,3,FALSE),VLOOKUP(F33,'Quotation for Abu Dhabi Plans'!$W$6:$Y$12,3,FALSE)),0)</f>
        <v>0</v>
      </c>
      <c r="AZ33" s="80" t="str">
        <f t="shared" si="21"/>
        <v/>
      </c>
      <c r="BA33" s="106" t="str">
        <f>IFERROR(IF(AO33="","",IF(AQ33="Dubai",HLOOKUP((AO33&amp;AP33),Deviation!$B$7:$S$8,2,0)*BI33*BK33*BL33*BJ33,HLOOKUP((AO33&amp;AP33),Deviation!$B$9:$K$10,2,0)*BI33*BK33*BL33*BJ33)),0)</f>
        <v/>
      </c>
      <c r="BB33" s="107" t="e">
        <f>IF(AO33="","",IFERROR(IF(AO33="","",IF(AQ33="Dubai",HLOOKUP(BC33,'input for formula'!$B$3:$F$10,AR33,FALSE), IF(AND(H33="Employee",AQ33="Abu Dhabi"),HLOOKUP(BC33,'input for formula'!$I$3:$K$7,AR33,FALSE),HLOOKUP(BC33,'input for formula'!$M$3:$O$7,AR33,FALSE)))*BA33+AS33*AT33+AU33*AV33+AW33*AX33),0)*$BC$3)*IF(Inputs!$C$19&gt;100,(1+$BC$2),1)</f>
        <v>#VALUE!</v>
      </c>
      <c r="BC33" s="95" t="str">
        <f t="shared" si="22"/>
        <v/>
      </c>
      <c r="BD33" s="334" t="str">
        <f>IF(F33="","",IF(G33="Dubai",HLOOKUP(F33,Inputs!$C$26:$M$37,9,0),HLOOKUP(F33,Inputs!$C$45:$M$56,9,0)))</f>
        <v/>
      </c>
      <c r="BE33" s="335" t="str">
        <f>IF(F33="","",IF(G33="Dubai",HLOOKUP(F33,Inputs!$C$26:$M$37,10,0),HLOOKUP(F33,Inputs!$C$45:$M$56,10,0)))</f>
        <v/>
      </c>
      <c r="BF33" s="335" t="str">
        <f>IF(F33="","",IF(G33="Dubai",HLOOKUP(F33,Inputs!$C$26:$M$37,11,0),HLOOKUP(F33,Inputs!$C$45:$M$56,11,0)))</f>
        <v/>
      </c>
      <c r="BG33" s="334" t="str">
        <f>IF(F33="","",IF(G33="Dubai",HLOOKUP(F33,Inputs!$C$26:$M$37,12,0),HLOOKUP(F33,Inputs!$C$45:$M$56,12,0)))</f>
        <v/>
      </c>
      <c r="BI33" s="334" t="str">
        <f>IFERROR(IF(AO33="","",IF(AQ33="Dubai",IF(OR(AO33="Plan1",AO33="Plan2"),VLOOKUP(BD33,Deviation!$B$31:$D$33,2,FALSE),VLOOKUP(BD33,Deviation!$B$31:$D$33,3,FALSE)),IF(OR(AO33="Plan1",AO33="Plan2"),VLOOKUP(BD33,Deviation!$E$31:$G$33,2,FALSE),VLOOKUP(BD33,Deviation!$E$31:$G$33,3,FALSE)))),0)</f>
        <v/>
      </c>
      <c r="BJ33" s="336" t="str">
        <f>IFERROR(IF(AO33="","",IF(AQ33="Dubai",IF(AO33="Plan1",VLOOKUP(BE33,Deviation!$B$39:$C$40,2,FALSE),IF(AO33="Plan2",VLOOKUP(BE33,Deviation!$B$42:$C$43,2,FALSE),IF(AO33="Plan5",VLOOKUP(BE33,Deviation!$B$48:$C$49,2,FALSE),VLOOKUP(BE33,Deviation!$B$45:$C$46,2,FALSE)))),IF(AO33="Plan1",VLOOKUP(BE33,Deviation!$E$39:$F$40,2,FALSE),IF(AO33="Plan2",VLOOKUP(BE33,Deviation!$E$42:$F$43,2,FALSE),VLOOKUP(BE33,Deviation!$E$45:$F$46,2,FALSE))))),0)</f>
        <v/>
      </c>
      <c r="BK33" s="336" t="str">
        <f>IFERROR(IF(AO33="","",IF(AQ33="Dubai",IF(OR(AO33="Plan1",AO33="Plan2"),VLOOKUP(BF33,Deviation!$B$15:$D$18,2,FALSE),VLOOKUP(BF33,Deviation!$B$15:$D$18,3,FALSE)),IF(OR(AO33="Plan1",AO33="Plan2"),VLOOKUP(BF33,Deviation!$E$15:$G$18,2,FALSE),VLOOKUP(BF33,Deviation!$E$15:$G$18,3,FALSE)))),0)</f>
        <v/>
      </c>
      <c r="BL33" s="334" t="str">
        <f>IFERROR(IF(AO33="","",IF(AQ33="Dubai",VLOOKUP(BG33,Deviation!$B$24:$C$26,2,FALSE),100%)),0)</f>
        <v/>
      </c>
    </row>
    <row r="34" spans="1:64" ht="14.25" x14ac:dyDescent="0.2">
      <c r="A34" s="59">
        <v>29</v>
      </c>
      <c r="B34" s="298"/>
      <c r="C34" s="299"/>
      <c r="D34" s="298"/>
      <c r="E34" s="298"/>
      <c r="F34" s="298"/>
      <c r="G34" s="298"/>
      <c r="H34" s="298"/>
      <c r="I34" s="503"/>
      <c r="J34" s="80" t="str">
        <f>IFERROR(ROUNDDOWN(IF(C34="","",(MAX((eff_date-Additions!C34)/365.25,0))),0),"")</f>
        <v/>
      </c>
      <c r="K34" s="59" t="str">
        <f>IF(F34="","",IF(G34="Dubai",HLOOKUP(F34,Inputs!$C$26:$M$28,3,0),HLOOKUP(F34,Inputs!$C$45:$M$46,2,0)))</f>
        <v/>
      </c>
      <c r="L34" s="335" t="str">
        <f t="shared" si="0"/>
        <v/>
      </c>
      <c r="M34" s="335">
        <f t="shared" si="1"/>
        <v>0</v>
      </c>
      <c r="N34" s="335" t="str">
        <f t="shared" si="2"/>
        <v/>
      </c>
      <c r="O34" s="335">
        <f t="shared" si="3"/>
        <v>0</v>
      </c>
      <c r="P34" s="104"/>
      <c r="Q34" s="105">
        <f t="shared" si="16"/>
        <v>0</v>
      </c>
      <c r="R34" s="59" t="b">
        <f t="shared" si="4"/>
        <v>0</v>
      </c>
      <c r="S34" s="102" t="str">
        <f t="shared" si="17"/>
        <v>x</v>
      </c>
      <c r="T34" s="102" t="str">
        <f t="shared" si="5"/>
        <v>x</v>
      </c>
      <c r="U34" s="102" t="str">
        <f t="shared" si="6"/>
        <v>x</v>
      </c>
      <c r="V34" s="102" t="str">
        <f t="shared" si="7"/>
        <v>x</v>
      </c>
      <c r="W34" s="102" t="str">
        <f t="shared" si="8"/>
        <v>x</v>
      </c>
      <c r="X34" s="102" t="str">
        <f>IF(ISERROR(MATCH(G34,'Inputs Mapping'!$T$4:$T$5,0)),"x","")</f>
        <v>x</v>
      </c>
      <c r="Y34" s="102" t="str">
        <f>IF(ISERROR(MATCH(AE34,'Inputs Mapping'!$U$4:$U$5,0)),"x","")</f>
        <v>x</v>
      </c>
      <c r="Z34" s="102" t="str">
        <f>IF(ISERROR(MATCH(AF34,'Inputs Mapping'!$V$4:$V$5,0)),"x","")</f>
        <v>x</v>
      </c>
      <c r="AA34" s="102" t="str">
        <f>IF(ISERROR(MATCH(F34,'Inputs Mapping'!$W$4:$W$8,0)),"x","")</f>
        <v>x</v>
      </c>
      <c r="AB34" s="102" t="str">
        <f t="shared" si="9"/>
        <v/>
      </c>
      <c r="AC34" s="102" t="str">
        <f t="shared" si="10"/>
        <v/>
      </c>
      <c r="AD34" s="102" t="str">
        <f t="shared" si="11"/>
        <v/>
      </c>
      <c r="AE34" s="102" t="str">
        <f t="shared" si="18"/>
        <v/>
      </c>
      <c r="AF34" s="102" t="str">
        <f t="shared" si="19"/>
        <v/>
      </c>
      <c r="AG34" s="102" t="str">
        <f t="shared" si="20"/>
        <v>x</v>
      </c>
      <c r="AK34" s="95" t="str">
        <f t="shared" si="12"/>
        <v/>
      </c>
      <c r="AL34" s="59" t="str">
        <f>IF(J34="","",VLOOKUP(J34,'Inputs Mapping'!$T$27:$V$30,3))</f>
        <v/>
      </c>
      <c r="AM34" s="59" t="str">
        <f>IF(J34="","",VLOOKUP(J34,'Inputs Mapping'!$T$17:$V$24,3))</f>
        <v/>
      </c>
      <c r="AN34" s="59" t="str">
        <f t="shared" si="13"/>
        <v/>
      </c>
      <c r="AO34" s="102" t="str">
        <f t="shared" si="14"/>
        <v/>
      </c>
      <c r="AP34" s="102" t="str">
        <f>IF(F34="","",IF(G34="Dubai",HLOOKUP(F34,Inputs!$C$26:$M$36,5,0),HLOOKUP(F34,Inputs!$C$45:$M$49,5,0)))</f>
        <v/>
      </c>
      <c r="AQ34" s="102">
        <f t="shared" si="15"/>
        <v>0</v>
      </c>
      <c r="AR34" s="59" t="str">
        <f>IF(AM34="","",IF(AQ34="Dubai",VLOOKUP(AM34,'Inputs Mapping'!$V$17:$W$24,2,0),VLOOKUP(AL34,'Inputs Mapping'!$V$27:$W$30,2,0)))</f>
        <v/>
      </c>
      <c r="AS34" s="333">
        <f>IFERROR(IF($AQ34="","",HLOOKUP($AQ34&amp;RIGHT($AO34,1),'input for formula'!$B$16:$I$20,3,0)),0)</f>
        <v>0</v>
      </c>
      <c r="AT34" s="80">
        <f>IFERROR(IF($AQ34="","",HLOOKUP($AQ34&amp;$F34,'input for formula'!$B$22:$M$25,2,0)),0)</f>
        <v>0</v>
      </c>
      <c r="AU34" s="333">
        <f>IFERROR(IF($AQ34="","",HLOOKUP($AQ34&amp;RIGHT($AO34,1),'input for formula'!$B$16:$I$20,4,0)),0)</f>
        <v>0</v>
      </c>
      <c r="AV34" s="80">
        <f>IFERROR(IF($AQ34="","",HLOOKUP($AQ34&amp;$F34,'input for formula'!$B$22:$M$25,3,0)),0)</f>
        <v>0</v>
      </c>
      <c r="AW34" s="333">
        <f>IFERROR(IF($AQ34="","",HLOOKUP($AQ34&amp;RIGHT($AO34,1),'input for formula'!$B$16:$I$20,5,0)),0)</f>
        <v>0</v>
      </c>
      <c r="AX34" s="80">
        <f>IFERROR(IF($AQ34="","",HLOOKUP($AQ34&amp;$F34,'input for formula'!$B$22:$M$25,4,0)),0)</f>
        <v>0</v>
      </c>
      <c r="AY34" s="333">
        <f>IFERROR(IF($AQ34="","",IF(Additions!$AQ34="Abu Dhabi",VLOOKUP(Additions!$AP34,'input for formula'!$A$28:$C$41,3,0),VLOOKUP(Additions!$AP34,'input for formula'!$A$28:$C$41,2,0))),0)*IFERROR(1+IF(AQ34="Dubai",VLOOKUP(F34,'Quotation for Dubai Plans'!$V$6:$X$12,3,FALSE),VLOOKUP(F34,'Quotation for Abu Dhabi Plans'!$W$6:$Y$12,3,FALSE)),0)</f>
        <v>0</v>
      </c>
      <c r="AZ34" s="80" t="str">
        <f>AN34</f>
        <v/>
      </c>
      <c r="BA34" s="106" t="str">
        <f>IFERROR(IF(AO34="","",IF(AQ34="Dubai",HLOOKUP((AO34&amp;AP34),Deviation!$B$7:$S$8,2,0)*BI34*BK34*BL34*BJ34,HLOOKUP((AO34&amp;AP34),Deviation!$B$9:$K$10,2,0)*BI34*BK34*BL34*BJ34)),0)</f>
        <v/>
      </c>
      <c r="BB34" s="107" t="e">
        <f>IF(AO34="","",IFERROR(IF(AO34="","",IF(AQ34="Dubai",HLOOKUP(BC34,'input for formula'!$B$3:$F$10,AR34,FALSE), IF(AND(H34="Employee",AQ34="Abu Dhabi"),HLOOKUP(BC34,'input for formula'!$I$3:$K$7,AR34,FALSE),HLOOKUP(BC34,'input for formula'!$M$3:$O$7,AR34,FALSE)))*BA34+AS34*AT34+AU34*AV34+AW34*AX34),0)*$BC$3)*IF(Inputs!$C$19&gt;100,(1+$BC$2),1)</f>
        <v>#VALUE!</v>
      </c>
      <c r="BC34" s="95" t="str">
        <f t="shared" si="22"/>
        <v/>
      </c>
      <c r="BD34" s="334" t="str">
        <f>IF(F34="","",IF(G34="Dubai",HLOOKUP(F34,Inputs!$C$26:$M$37,9,0),HLOOKUP(F34,Inputs!$C$45:$M$56,9,0)))</f>
        <v/>
      </c>
      <c r="BE34" s="335" t="str">
        <f>IF(F34="","",IF(G34="Dubai",HLOOKUP(F34,Inputs!$C$26:$M$37,10,0),HLOOKUP(F34,Inputs!$C$45:$M$56,10,0)))</f>
        <v/>
      </c>
      <c r="BF34" s="335" t="str">
        <f>IF(F34="","",IF(G34="Dubai",HLOOKUP(F34,Inputs!$C$26:$M$37,11,0),HLOOKUP(F34,Inputs!$C$45:$M$56,11,0)))</f>
        <v/>
      </c>
      <c r="BG34" s="334" t="str">
        <f>IF(F34="","",IF(G34="Dubai",HLOOKUP(F34,Inputs!$C$26:$M$37,12,0),HLOOKUP(F34,Inputs!$C$45:$M$56,12,0)))</f>
        <v/>
      </c>
      <c r="BI34" s="334" t="str">
        <f>IFERROR(IF(AO34="","",IF(AQ34="Dubai",IF(OR(AO34="Plan1",AO34="Plan2"),VLOOKUP(BD34,Deviation!$B$31:$D$33,2,FALSE),VLOOKUP(BD34,Deviation!$B$31:$D$33,3,FALSE)),IF(OR(AO34="Plan1",AO34="Plan2"),VLOOKUP(BD34,Deviation!$E$31:$G$33,2,FALSE),VLOOKUP(BD34,Deviation!$E$31:$G$33,3,FALSE)))),0)</f>
        <v/>
      </c>
      <c r="BJ34" s="336" t="str">
        <f>IFERROR(IF(AO34="","",IF(AQ34="Dubai",IF(AO34="Plan1",VLOOKUP(BE34,Deviation!$B$39:$C$40,2,FALSE),IF(AO34="Plan2",VLOOKUP(BE34,Deviation!$B$42:$C$43,2,FALSE),IF(AO34="Plan5",VLOOKUP(BE34,Deviation!$B$48:$C$49,2,FALSE),VLOOKUP(BE34,Deviation!$B$45:$C$46,2,FALSE)))),IF(AO34="Plan1",VLOOKUP(BE34,Deviation!$E$39:$F$40,2,FALSE),IF(AO34="Plan2",VLOOKUP(BE34,Deviation!$E$42:$F$43,2,FALSE),VLOOKUP(BE34,Deviation!$E$45:$F$46,2,FALSE))))),0)</f>
        <v/>
      </c>
      <c r="BK34" s="336" t="str">
        <f>IFERROR(IF(AO34="","",IF(AQ34="Dubai",IF(OR(AO34="Plan1",AO34="Plan2"),VLOOKUP(BF34,Deviation!$B$15:$D$18,2,FALSE),VLOOKUP(BF34,Deviation!$B$15:$D$18,3,FALSE)),IF(OR(AO34="Plan1",AO34="Plan2"),VLOOKUP(BF34,Deviation!$E$15:$G$18,2,FALSE),VLOOKUP(BF34,Deviation!$E$15:$G$18,3,FALSE)))),0)</f>
        <v/>
      </c>
      <c r="BL34" s="334" t="str">
        <f>IFERROR(IF(AO34="","",IF(AQ34="Dubai",VLOOKUP(BG34,Deviation!$B$24:$C$26,2,FALSE),100%)),0)</f>
        <v/>
      </c>
    </row>
    <row r="35" spans="1:64" ht="14.25" x14ac:dyDescent="0.2">
      <c r="A35" s="59">
        <v>30</v>
      </c>
      <c r="B35" s="298"/>
      <c r="C35" s="299"/>
      <c r="D35" s="298"/>
      <c r="E35" s="298"/>
      <c r="F35" s="298"/>
      <c r="G35" s="298"/>
      <c r="H35" s="298"/>
      <c r="I35" s="503"/>
      <c r="J35" s="80" t="str">
        <f>IFERROR(ROUNDDOWN(IF(C35="","",(MAX((eff_date-Additions!C35)/365.25,0))),0),"")</f>
        <v/>
      </c>
      <c r="K35" s="59" t="str">
        <f>IF(F35="","",IF(G35="Dubai",HLOOKUP(F35,Inputs!$C$26:$M$28,3,0),HLOOKUP(F35,Inputs!$C$45:$M$46,2,0)))</f>
        <v/>
      </c>
      <c r="L35" s="335" t="str">
        <f t="shared" si="0"/>
        <v/>
      </c>
      <c r="M35" s="335">
        <f t="shared" si="1"/>
        <v>0</v>
      </c>
      <c r="N35" s="335" t="str">
        <f t="shared" si="2"/>
        <v/>
      </c>
      <c r="O35" s="335">
        <f t="shared" si="3"/>
        <v>0</v>
      </c>
      <c r="P35" s="104"/>
      <c r="Q35" s="105">
        <f t="shared" si="16"/>
        <v>0</v>
      </c>
      <c r="R35" s="59" t="b">
        <f t="shared" si="4"/>
        <v>0</v>
      </c>
      <c r="S35" s="102" t="str">
        <f t="shared" si="17"/>
        <v>x</v>
      </c>
      <c r="T35" s="102" t="str">
        <f t="shared" si="5"/>
        <v>x</v>
      </c>
      <c r="U35" s="102" t="str">
        <f t="shared" si="6"/>
        <v>x</v>
      </c>
      <c r="V35" s="102" t="str">
        <f t="shared" si="7"/>
        <v>x</v>
      </c>
      <c r="W35" s="102" t="str">
        <f t="shared" si="8"/>
        <v>x</v>
      </c>
      <c r="X35" s="102" t="str">
        <f>IF(ISERROR(MATCH(G35,'Inputs Mapping'!$T$4:$T$5,0)),"x","")</f>
        <v>x</v>
      </c>
      <c r="Y35" s="102" t="str">
        <f>IF(ISERROR(MATCH(AE35,'Inputs Mapping'!$U$4:$U$5,0)),"x","")</f>
        <v>x</v>
      </c>
      <c r="Z35" s="102" t="str">
        <f>IF(ISERROR(MATCH(AF35,'Inputs Mapping'!$V$4:$V$5,0)),"x","")</f>
        <v>x</v>
      </c>
      <c r="AA35" s="102" t="str">
        <f>IF(ISERROR(MATCH(F35,'Inputs Mapping'!$W$4:$W$8,0)),"x","")</f>
        <v>x</v>
      </c>
      <c r="AB35" s="102" t="str">
        <f t="shared" si="9"/>
        <v/>
      </c>
      <c r="AC35" s="102" t="str">
        <f t="shared" si="10"/>
        <v/>
      </c>
      <c r="AD35" s="102" t="str">
        <f t="shared" si="11"/>
        <v/>
      </c>
      <c r="AE35" s="102" t="str">
        <f t="shared" si="18"/>
        <v/>
      </c>
      <c r="AF35" s="102" t="str">
        <f t="shared" si="19"/>
        <v/>
      </c>
      <c r="AG35" s="102" t="str">
        <f t="shared" si="20"/>
        <v>x</v>
      </c>
      <c r="AK35" s="95" t="str">
        <f t="shared" si="12"/>
        <v/>
      </c>
      <c r="AL35" s="59" t="str">
        <f>IF(J35="","",VLOOKUP(J35,'Inputs Mapping'!$T$27:$V$30,3))</f>
        <v/>
      </c>
      <c r="AM35" s="59" t="str">
        <f>IF(J35="","",VLOOKUP(J35,'Inputs Mapping'!$T$17:$V$24,3))</f>
        <v/>
      </c>
      <c r="AN35" s="59" t="str">
        <f t="shared" si="13"/>
        <v/>
      </c>
      <c r="AO35" s="102" t="str">
        <f t="shared" si="14"/>
        <v/>
      </c>
      <c r="AP35" s="102" t="str">
        <f>IF(F35="","",IF(G35="Dubai",HLOOKUP(F35,Inputs!$C$26:$M$36,5,0),HLOOKUP(F35,Inputs!$C$45:$M$49,5,0)))</f>
        <v/>
      </c>
      <c r="AQ35" s="102">
        <f t="shared" si="15"/>
        <v>0</v>
      </c>
      <c r="AR35" s="59" t="str">
        <f>IF(AM35="","",IF(AQ35="Dubai",VLOOKUP(AM35,'Inputs Mapping'!$V$17:$W$24,2,0),VLOOKUP(AL35,'Inputs Mapping'!$V$27:$W$30,2,0)))</f>
        <v/>
      </c>
      <c r="AS35" s="333">
        <f>IFERROR(IF($AQ35="","",HLOOKUP($AQ35&amp;RIGHT($AO35,1),'input for formula'!$B$16:$I$20,3,0)),0)</f>
        <v>0</v>
      </c>
      <c r="AT35" s="80">
        <f>IFERROR(IF($AQ35="","",HLOOKUP($AQ35&amp;$F35,'input for formula'!$B$22:$M$25,2,0)),0)</f>
        <v>0</v>
      </c>
      <c r="AU35" s="333">
        <f>IFERROR(IF($AQ35="","",HLOOKUP($AQ35&amp;RIGHT($AO35,1),'input for formula'!$B$16:$I$20,4,0)),0)</f>
        <v>0</v>
      </c>
      <c r="AV35" s="80">
        <f>IFERROR(IF($AQ35="","",HLOOKUP($AQ35&amp;$F35,'input for formula'!$B$22:$M$25,3,0)),0)</f>
        <v>0</v>
      </c>
      <c r="AW35" s="333">
        <f>IFERROR(IF($AQ35="","",HLOOKUP($AQ35&amp;RIGHT($AO35,1),'input for formula'!$B$16:$I$20,5,0)),0)</f>
        <v>0</v>
      </c>
      <c r="AX35" s="80">
        <f>IFERROR(IF($AQ35="","",HLOOKUP($AQ35&amp;$F35,'input for formula'!$B$22:$M$25,4,0)),0)</f>
        <v>0</v>
      </c>
      <c r="AY35" s="333">
        <f>IFERROR(IF($AQ35="","",IF(Additions!$AQ35="Abu Dhabi",VLOOKUP(Additions!$AP35,'input for formula'!$A$28:$C$41,3,0),VLOOKUP(Additions!$AP35,'input for formula'!$A$28:$C$41,2,0))),0)*IFERROR(1+IF(AQ35="Dubai",VLOOKUP(F35,'Quotation for Dubai Plans'!$V$6:$X$12,3,FALSE),VLOOKUP(F35,'Quotation for Abu Dhabi Plans'!$W$6:$Y$12,3,FALSE)),0)</f>
        <v>0</v>
      </c>
      <c r="AZ35" s="80" t="str">
        <f>AN35</f>
        <v/>
      </c>
      <c r="BA35" s="106" t="str">
        <f>IFERROR(IF(AO35="","",IF(AQ35="Dubai",HLOOKUP((AO35&amp;AP35),Deviation!$B$7:$S$8,2,0)*BI35*BK35*BL35*BJ35,HLOOKUP((AO35&amp;AP35),Deviation!$B$9:$K$10,2,0)*BI35*BK35*BL35*BJ35)),0)</f>
        <v/>
      </c>
      <c r="BB35" s="107" t="e">
        <f>IF(AO35="","",IFERROR(IF(AO35="","",IF(AQ35="Dubai",HLOOKUP(BC35,'input for formula'!$B$3:$F$10,AR35,FALSE), IF(AND(H35="Employee",AQ35="Abu Dhabi"),HLOOKUP(BC35,'input for formula'!$I$3:$K$7,AR35,FALSE),HLOOKUP(BC35,'input for formula'!$M$3:$O$7,AR35,FALSE)))*BA35+AS35*AT35+AU35*AV35+AW35*AX35),0)*$BC$3)*IF(Inputs!$C$19&gt;100,(1+$BC$2),1)</f>
        <v>#VALUE!</v>
      </c>
      <c r="BC35" s="95" t="str">
        <f t="shared" si="22"/>
        <v/>
      </c>
      <c r="BD35" s="334" t="str">
        <f>IF(F35="","",IF(G35="Dubai",HLOOKUP(F35,Inputs!$C$26:$M$37,9,0),HLOOKUP(F35,Inputs!$C$45:$M$56,9,0)))</f>
        <v/>
      </c>
      <c r="BE35" s="335" t="str">
        <f>IF(F35="","",IF(G35="Dubai",HLOOKUP(F35,Inputs!$C$26:$M$37,10,0),HLOOKUP(F35,Inputs!$C$45:$M$56,10,0)))</f>
        <v/>
      </c>
      <c r="BF35" s="335" t="str">
        <f>IF(F35="","",IF(G35="Dubai",HLOOKUP(F35,Inputs!$C$26:$M$37,11,0),HLOOKUP(F35,Inputs!$C$45:$M$56,11,0)))</f>
        <v/>
      </c>
      <c r="BG35" s="334" t="str">
        <f>IF(F35="","",IF(G35="Dubai",HLOOKUP(F35,Inputs!$C$26:$M$37,12,0),HLOOKUP(F35,Inputs!$C$45:$M$56,12,0)))</f>
        <v/>
      </c>
      <c r="BI35" s="334" t="str">
        <f>IFERROR(IF(AO35="","",IF(AQ35="Dubai",IF(OR(AO35="Plan1",AO35="Plan2"),VLOOKUP(BD35,Deviation!$B$31:$D$33,2,FALSE),VLOOKUP(BD35,Deviation!$B$31:$D$33,3,FALSE)),IF(OR(AO35="Plan1",AO35="Plan2"),VLOOKUP(BD35,Deviation!$E$31:$G$33,2,FALSE),VLOOKUP(BD35,Deviation!$E$31:$G$33,3,FALSE)))),0)</f>
        <v/>
      </c>
      <c r="BJ35" s="336" t="str">
        <f>IFERROR(IF(AO35="","",IF(AQ35="Dubai",IF(AO35="Plan1",VLOOKUP(BE35,Deviation!$B$39:$C$40,2,FALSE),IF(AO35="Plan2",VLOOKUP(BE35,Deviation!$B$42:$C$43,2,FALSE),IF(AO35="Plan5",VLOOKUP(BE35,Deviation!$B$48:$C$49,2,FALSE),VLOOKUP(BE35,Deviation!$B$45:$C$46,2,FALSE)))),IF(AO35="Plan1",VLOOKUP(BE35,Deviation!$E$39:$F$40,2,FALSE),IF(AO35="Plan2",VLOOKUP(BE35,Deviation!$E$42:$F$43,2,FALSE),VLOOKUP(BE35,Deviation!$E$45:$F$46,2,FALSE))))),0)</f>
        <v/>
      </c>
      <c r="BK35" s="336" t="str">
        <f>IFERROR(IF(AO35="","",IF(AQ35="Dubai",IF(OR(AO35="Plan1",AO35="Plan2"),VLOOKUP(BF35,Deviation!$B$15:$D$18,2,FALSE),VLOOKUP(BF35,Deviation!$B$15:$D$18,3,FALSE)),IF(OR(AO35="Plan1",AO35="Plan2"),VLOOKUP(BF35,Deviation!$E$15:$G$18,2,FALSE),VLOOKUP(BF35,Deviation!$E$15:$G$18,3,FALSE)))),0)</f>
        <v/>
      </c>
      <c r="BL35" s="334" t="str">
        <f>IFERROR(IF(AO35="","",IF(AQ35="Dubai",VLOOKUP(BG35,Deviation!$B$24:$C$26,2,FALSE),100%)),0)</f>
        <v/>
      </c>
    </row>
    <row r="36" spans="1:64" ht="14.25" x14ac:dyDescent="0.2">
      <c r="A36" s="59">
        <v>31</v>
      </c>
      <c r="B36" s="298"/>
      <c r="C36" s="299"/>
      <c r="D36" s="298"/>
      <c r="E36" s="298"/>
      <c r="F36" s="298"/>
      <c r="G36" s="298"/>
      <c r="H36" s="298"/>
      <c r="I36" s="503"/>
      <c r="J36" s="80" t="str">
        <f>IFERROR(ROUNDDOWN(IF(C36="","",(MAX((eff_date-Additions!C36)/365.25,0))),0),"")</f>
        <v/>
      </c>
      <c r="K36" s="59" t="str">
        <f>IF(F36="","",IF(G36="Dubai",HLOOKUP(F36,Inputs!$C$26:$M$28,3,0),HLOOKUP(F36,Inputs!$C$45:$M$46,2,0)))</f>
        <v/>
      </c>
      <c r="L36" s="335" t="str">
        <f t="shared" si="0"/>
        <v/>
      </c>
      <c r="M36" s="335">
        <f t="shared" si="1"/>
        <v>0</v>
      </c>
      <c r="N36" s="335" t="str">
        <f t="shared" si="2"/>
        <v/>
      </c>
      <c r="O36" s="335">
        <f t="shared" si="3"/>
        <v>0</v>
      </c>
      <c r="P36" s="104"/>
      <c r="Q36" s="105">
        <f t="shared" si="16"/>
        <v>0</v>
      </c>
      <c r="R36" s="59" t="b">
        <f t="shared" si="4"/>
        <v>0</v>
      </c>
      <c r="S36" s="102" t="str">
        <f t="shared" si="17"/>
        <v>x</v>
      </c>
      <c r="T36" s="102" t="str">
        <f t="shared" si="5"/>
        <v>x</v>
      </c>
      <c r="U36" s="102" t="str">
        <f t="shared" si="6"/>
        <v>x</v>
      </c>
      <c r="V36" s="102" t="str">
        <f t="shared" si="7"/>
        <v>x</v>
      </c>
      <c r="W36" s="102" t="str">
        <f t="shared" si="8"/>
        <v>x</v>
      </c>
      <c r="X36" s="102" t="str">
        <f>IF(ISERROR(MATCH(G36,'Inputs Mapping'!$T$4:$T$5,0)),"x","")</f>
        <v>x</v>
      </c>
      <c r="Y36" s="102" t="str">
        <f>IF(ISERROR(MATCH(AE36,'Inputs Mapping'!$U$4:$U$5,0)),"x","")</f>
        <v>x</v>
      </c>
      <c r="Z36" s="102" t="str">
        <f>IF(ISERROR(MATCH(AF36,'Inputs Mapping'!$V$4:$V$5,0)),"x","")</f>
        <v>x</v>
      </c>
      <c r="AA36" s="102" t="str">
        <f>IF(ISERROR(MATCH(F36,'Inputs Mapping'!$W$4:$W$8,0)),"x","")</f>
        <v>x</v>
      </c>
      <c r="AB36" s="102" t="str">
        <f t="shared" si="9"/>
        <v/>
      </c>
      <c r="AC36" s="102" t="str">
        <f t="shared" si="10"/>
        <v/>
      </c>
      <c r="AD36" s="102" t="str">
        <f t="shared" si="11"/>
        <v/>
      </c>
      <c r="AE36" s="102" t="str">
        <f t="shared" si="18"/>
        <v/>
      </c>
      <c r="AF36" s="102" t="str">
        <f t="shared" si="19"/>
        <v/>
      </c>
      <c r="AG36" s="102" t="str">
        <f t="shared" si="20"/>
        <v>x</v>
      </c>
      <c r="AK36" s="95" t="str">
        <f t="shared" si="12"/>
        <v/>
      </c>
      <c r="AL36" s="59" t="str">
        <f>IF(J36="","",VLOOKUP(J36,'Inputs Mapping'!$T$27:$V$30,3))</f>
        <v/>
      </c>
      <c r="AM36" s="59" t="str">
        <f>IF(J36="","",VLOOKUP(J36,'Inputs Mapping'!$T$17:$V$24,3))</f>
        <v/>
      </c>
      <c r="AN36" s="59" t="str">
        <f t="shared" si="13"/>
        <v/>
      </c>
      <c r="AO36" s="102" t="str">
        <f t="shared" si="14"/>
        <v/>
      </c>
      <c r="AP36" s="102" t="str">
        <f>IF(F36="","",IF(G36="Dubai",HLOOKUP(F36,Inputs!$C$26:$M$36,5,0),HLOOKUP(F36,Inputs!$C$45:$M$49,5,0)))</f>
        <v/>
      </c>
      <c r="AQ36" s="102">
        <f t="shared" si="15"/>
        <v>0</v>
      </c>
      <c r="AR36" s="59" t="str">
        <f>IF(AM36="","",IF(AQ36="Dubai",VLOOKUP(AM36,'Inputs Mapping'!$V$17:$W$24,2,0),VLOOKUP(AL36,'Inputs Mapping'!$V$27:$W$30,2,0)))</f>
        <v/>
      </c>
      <c r="AS36" s="333">
        <f>IFERROR(IF($AQ36="","",HLOOKUP($AQ36&amp;RIGHT($AO36,1),'input for formula'!$B$16:$I$20,3,0)),0)</f>
        <v>0</v>
      </c>
      <c r="AT36" s="80">
        <f>IFERROR(IF($AQ36="","",HLOOKUP($AQ36&amp;$F36,'input for formula'!$B$22:$M$25,2,0)),0)</f>
        <v>0</v>
      </c>
      <c r="AU36" s="333">
        <f>IFERROR(IF($AQ36="","",HLOOKUP($AQ36&amp;RIGHT($AO36,1),'input for formula'!$B$16:$I$20,4,0)),0)</f>
        <v>0</v>
      </c>
      <c r="AV36" s="80">
        <f>IFERROR(IF($AQ36="","",HLOOKUP($AQ36&amp;$F36,'input for formula'!$B$22:$M$25,3,0)),0)</f>
        <v>0</v>
      </c>
      <c r="AW36" s="333">
        <f>IFERROR(IF($AQ36="","",HLOOKUP($AQ36&amp;RIGHT($AO36,1),'input for formula'!$B$16:$I$20,5,0)),0)</f>
        <v>0</v>
      </c>
      <c r="AX36" s="80">
        <f>IFERROR(IF($AQ36="","",HLOOKUP($AQ36&amp;$F36,'input for formula'!$B$22:$M$25,4,0)),0)</f>
        <v>0</v>
      </c>
      <c r="AY36" s="333">
        <f>IFERROR(IF($AQ36="","",IF(Additions!$AQ36="Abu Dhabi",VLOOKUP(Additions!$AP36,'input for formula'!$A$28:$C$41,3,0),VLOOKUP(Additions!$AP36,'input for formula'!$A$28:$C$41,2,0))),0)*IFERROR(1+IF(AQ36="Dubai",VLOOKUP(F36,'Quotation for Dubai Plans'!$V$6:$X$12,3,FALSE),VLOOKUP(F36,'Quotation for Abu Dhabi Plans'!$W$6:$Y$12,3,FALSE)),0)</f>
        <v>0</v>
      </c>
      <c r="AZ36" s="80" t="str">
        <f t="shared" ref="AZ36:AZ99" si="23">AN36</f>
        <v/>
      </c>
      <c r="BA36" s="106" t="str">
        <f>IFERROR(IF(AO36="","",IF(AQ36="Dubai",HLOOKUP((AO36&amp;AP36),Deviation!$B$7:$S$8,2,0)*BI36*BK36*BL36*BJ36,HLOOKUP((AO36&amp;AP36),Deviation!$B$9:$K$10,2,0)*BI36*BK36*BL36*BJ36)),0)</f>
        <v/>
      </c>
      <c r="BB36" s="107" t="e">
        <f>IF(AO36="","",IFERROR(IF(AO36="","",IF(AQ36="Dubai",HLOOKUP(BC36,'input for formula'!$B$3:$F$10,AR36,FALSE), IF(AND(H36="Employee",AQ36="Abu Dhabi"),HLOOKUP(BC36,'input for formula'!$I$3:$K$7,AR36,FALSE),HLOOKUP(BC36,'input for formula'!$M$3:$O$7,AR36,FALSE)))*BA36+AS36*AT36+AU36*AV36+AW36*AX36),0)*$BC$3)*IF(Inputs!$C$19&gt;100,(1+$BC$2),1)</f>
        <v>#VALUE!</v>
      </c>
      <c r="BC36" s="95" t="str">
        <f t="shared" si="22"/>
        <v/>
      </c>
      <c r="BD36" s="334" t="str">
        <f>IF(F36="","",IF(G36="Dubai",HLOOKUP(F36,Inputs!$C$26:$M$37,9,0),HLOOKUP(F36,Inputs!$C$45:$M$56,9,0)))</f>
        <v/>
      </c>
      <c r="BE36" s="335" t="str">
        <f>IF(F36="","",IF(G36="Dubai",HLOOKUP(F36,Inputs!$C$26:$M$37,10,0),HLOOKUP(F36,Inputs!$C$45:$M$56,10,0)))</f>
        <v/>
      </c>
      <c r="BF36" s="335" t="str">
        <f>IF(F36="","",IF(G36="Dubai",HLOOKUP(F36,Inputs!$C$26:$M$37,11,0),HLOOKUP(F36,Inputs!$C$45:$M$56,11,0)))</f>
        <v/>
      </c>
      <c r="BG36" s="334" t="str">
        <f>IF(F36="","",IF(G36="Dubai",HLOOKUP(F36,Inputs!$C$26:$M$37,12,0),HLOOKUP(F36,Inputs!$C$45:$M$56,12,0)))</f>
        <v/>
      </c>
      <c r="BI36" s="334" t="str">
        <f>IFERROR(IF(AO36="","",IF(AQ36="Dubai",IF(OR(AO36="Plan1",AO36="Plan2"),VLOOKUP(BD36,Deviation!$B$31:$D$33,2,FALSE),VLOOKUP(BD36,Deviation!$B$31:$D$33,3,FALSE)),IF(OR(AO36="Plan1",AO36="Plan2"),VLOOKUP(BD36,Deviation!$E$31:$G$33,2,FALSE),VLOOKUP(BD36,Deviation!$E$31:$G$33,3,FALSE)))),0)</f>
        <v/>
      </c>
      <c r="BJ36" s="336" t="str">
        <f>IFERROR(IF(AO36="","",IF(AQ36="Dubai",IF(AO36="Plan1",VLOOKUP(BE36,Deviation!$B$39:$C$40,2,FALSE),IF(AO36="Plan2",VLOOKUP(BE36,Deviation!$B$42:$C$43,2,FALSE),IF(AO36="Plan5",VLOOKUP(BE36,Deviation!$B$48:$C$49,2,FALSE),VLOOKUP(BE36,Deviation!$B$45:$C$46,2,FALSE)))),IF(AO36="Plan1",VLOOKUP(BE36,Deviation!$E$39:$F$40,2,FALSE),IF(AO36="Plan2",VLOOKUP(BE36,Deviation!$E$42:$F$43,2,FALSE),VLOOKUP(BE36,Deviation!$E$45:$F$46,2,FALSE))))),0)</f>
        <v/>
      </c>
      <c r="BK36" s="336" t="str">
        <f>IFERROR(IF(AO36="","",IF(AQ36="Dubai",IF(OR(AO36="Plan1",AO36="Plan2"),VLOOKUP(BF36,Deviation!$B$15:$D$18,2,FALSE),VLOOKUP(BF36,Deviation!$B$15:$D$18,3,FALSE)),IF(OR(AO36="Plan1",AO36="Plan2"),VLOOKUP(BF36,Deviation!$E$15:$G$18,2,FALSE),VLOOKUP(BF36,Deviation!$E$15:$G$18,3,FALSE)))),0)</f>
        <v/>
      </c>
      <c r="BL36" s="334" t="str">
        <f>IFERROR(IF(AO36="","",IF(AQ36="Dubai",VLOOKUP(BG36,Deviation!$B$24:$C$26,2,FALSE),100%)),0)</f>
        <v/>
      </c>
    </row>
    <row r="37" spans="1:64" ht="14.25" x14ac:dyDescent="0.2">
      <c r="A37" s="59">
        <v>32</v>
      </c>
      <c r="B37" s="298"/>
      <c r="C37" s="299"/>
      <c r="D37" s="298"/>
      <c r="E37" s="298"/>
      <c r="F37" s="298"/>
      <c r="G37" s="298"/>
      <c r="H37" s="298"/>
      <c r="I37" s="503"/>
      <c r="J37" s="80" t="str">
        <f>IFERROR(ROUNDDOWN(IF(C37="","",(MAX((eff_date-Additions!C37)/365.25,0))),0),"")</f>
        <v/>
      </c>
      <c r="K37" s="59" t="str">
        <f>IF(F37="","",IF(G37="Dubai",HLOOKUP(F37,Inputs!$C$26:$M$28,3,0),HLOOKUP(F37,Inputs!$C$45:$M$46,2,0)))</f>
        <v/>
      </c>
      <c r="L37" s="335" t="str">
        <f t="shared" si="0"/>
        <v/>
      </c>
      <c r="M37" s="335">
        <f t="shared" si="1"/>
        <v>0</v>
      </c>
      <c r="N37" s="335" t="str">
        <f t="shared" si="2"/>
        <v/>
      </c>
      <c r="O37" s="335">
        <f t="shared" si="3"/>
        <v>0</v>
      </c>
      <c r="P37" s="104"/>
      <c r="Q37" s="105">
        <f t="shared" si="16"/>
        <v>0</v>
      </c>
      <c r="R37" s="59" t="b">
        <f t="shared" si="4"/>
        <v>0</v>
      </c>
      <c r="S37" s="102" t="str">
        <f t="shared" si="17"/>
        <v>x</v>
      </c>
      <c r="T37" s="102" t="str">
        <f t="shared" si="5"/>
        <v>x</v>
      </c>
      <c r="U37" s="102" t="str">
        <f t="shared" si="6"/>
        <v>x</v>
      </c>
      <c r="V37" s="102" t="str">
        <f t="shared" si="7"/>
        <v>x</v>
      </c>
      <c r="W37" s="102" t="str">
        <f t="shared" si="8"/>
        <v>x</v>
      </c>
      <c r="X37" s="102" t="str">
        <f>IF(ISERROR(MATCH(G37,'Inputs Mapping'!$T$4:$T$5,0)),"x","")</f>
        <v>x</v>
      </c>
      <c r="Y37" s="102" t="str">
        <f>IF(ISERROR(MATCH(AE37,'Inputs Mapping'!$U$4:$U$5,0)),"x","")</f>
        <v>x</v>
      </c>
      <c r="Z37" s="102" t="str">
        <f>IF(ISERROR(MATCH(AF37,'Inputs Mapping'!$V$4:$V$5,0)),"x","")</f>
        <v>x</v>
      </c>
      <c r="AA37" s="102" t="str">
        <f>IF(ISERROR(MATCH(F37,'Inputs Mapping'!$W$4:$W$8,0)),"x","")</f>
        <v>x</v>
      </c>
      <c r="AB37" s="102" t="str">
        <f t="shared" si="9"/>
        <v/>
      </c>
      <c r="AC37" s="102" t="str">
        <f t="shared" si="10"/>
        <v/>
      </c>
      <c r="AD37" s="102" t="str">
        <f t="shared" si="11"/>
        <v/>
      </c>
      <c r="AE37" s="102" t="str">
        <f t="shared" si="18"/>
        <v/>
      </c>
      <c r="AF37" s="102" t="str">
        <f t="shared" si="19"/>
        <v/>
      </c>
      <c r="AG37" s="102" t="str">
        <f t="shared" si="20"/>
        <v>x</v>
      </c>
      <c r="AK37" s="95" t="str">
        <f t="shared" si="12"/>
        <v/>
      </c>
      <c r="AL37" s="59" t="str">
        <f>IF(J37="","",VLOOKUP(J37,'Inputs Mapping'!$T$27:$V$30,3))</f>
        <v/>
      </c>
      <c r="AM37" s="59" t="str">
        <f>IF(J37="","",VLOOKUP(J37,'Inputs Mapping'!$T$17:$V$24,3))</f>
        <v/>
      </c>
      <c r="AN37" s="59" t="str">
        <f t="shared" si="13"/>
        <v/>
      </c>
      <c r="AO37" s="102" t="str">
        <f t="shared" si="14"/>
        <v/>
      </c>
      <c r="AP37" s="102" t="str">
        <f>IF(F37="","",IF(G37="Dubai",HLOOKUP(F37,Inputs!$C$26:$M$36,5,0),HLOOKUP(F37,Inputs!$C$45:$M$49,5,0)))</f>
        <v/>
      </c>
      <c r="AQ37" s="102">
        <f t="shared" si="15"/>
        <v>0</v>
      </c>
      <c r="AR37" s="59" t="str">
        <f>IF(AM37="","",IF(AQ37="Dubai",VLOOKUP(AM37,'Inputs Mapping'!$V$17:$W$24,2,0),VLOOKUP(AL37,'Inputs Mapping'!$V$27:$W$30,2,0)))</f>
        <v/>
      </c>
      <c r="AS37" s="333">
        <f>IFERROR(IF($AQ37="","",HLOOKUP($AQ37&amp;RIGHT($AO37,1),'input for formula'!$B$16:$I$20,3,0)),0)</f>
        <v>0</v>
      </c>
      <c r="AT37" s="80">
        <f>IFERROR(IF($AQ37="","",HLOOKUP($AQ37&amp;$F37,'input for formula'!$B$22:$M$25,2,0)),0)</f>
        <v>0</v>
      </c>
      <c r="AU37" s="333">
        <f>IFERROR(IF($AQ37="","",HLOOKUP($AQ37&amp;RIGHT($AO37,1),'input for formula'!$B$16:$I$20,4,0)),0)</f>
        <v>0</v>
      </c>
      <c r="AV37" s="80">
        <f>IFERROR(IF($AQ37="","",HLOOKUP($AQ37&amp;$F37,'input for formula'!$B$22:$M$25,3,0)),0)</f>
        <v>0</v>
      </c>
      <c r="AW37" s="333">
        <f>IFERROR(IF($AQ37="","",HLOOKUP($AQ37&amp;RIGHT($AO37,1),'input for formula'!$B$16:$I$20,5,0)),0)</f>
        <v>0</v>
      </c>
      <c r="AX37" s="80">
        <f>IFERROR(IF($AQ37="","",HLOOKUP($AQ37&amp;$F37,'input for formula'!$B$22:$M$25,4,0)),0)</f>
        <v>0</v>
      </c>
      <c r="AY37" s="333">
        <f>IFERROR(IF($AQ37="","",IF(Additions!$AQ37="Abu Dhabi",VLOOKUP(Additions!$AP37,'input for formula'!$A$28:$C$41,3,0),VLOOKUP(Additions!$AP37,'input for formula'!$A$28:$C$41,2,0))),0)*IFERROR(1+IF(AQ37="Dubai",VLOOKUP(F37,'Quotation for Dubai Plans'!$V$6:$X$12,3,FALSE),VLOOKUP(F37,'Quotation for Abu Dhabi Plans'!$W$6:$Y$12,3,FALSE)),0)</f>
        <v>0</v>
      </c>
      <c r="AZ37" s="80" t="str">
        <f t="shared" si="23"/>
        <v/>
      </c>
      <c r="BA37" s="106" t="str">
        <f>IFERROR(IF(AO37="","",IF(AQ37="Dubai",HLOOKUP((AO37&amp;AP37),Deviation!$B$7:$S$8,2,0)*BI37*BK37*BL37*BJ37,HLOOKUP((AO37&amp;AP37),Deviation!$B$9:$K$10,2,0)*BI37*BK37*BL37*BJ37)),0)</f>
        <v/>
      </c>
      <c r="BB37" s="107" t="e">
        <f>IF(AO37="","",IFERROR(IF(AO37="","",IF(AQ37="Dubai",HLOOKUP(BC37,'input for formula'!$B$3:$F$10,AR37,FALSE), IF(AND(H37="Employee",AQ37="Abu Dhabi"),HLOOKUP(BC37,'input for formula'!$I$3:$K$7,AR37,FALSE),HLOOKUP(BC37,'input for formula'!$M$3:$O$7,AR37,FALSE)))*BA37+AS37*AT37+AU37*AV37+AW37*AX37),0)*$BC$3)*IF(Inputs!$C$19&gt;100,(1+$BC$2),1)</f>
        <v>#VALUE!</v>
      </c>
      <c r="BC37" s="95" t="str">
        <f t="shared" si="22"/>
        <v/>
      </c>
      <c r="BD37" s="334" t="str">
        <f>IF(F37="","",IF(G37="Dubai",HLOOKUP(F37,Inputs!$C$26:$M$37,9,0),HLOOKUP(F37,Inputs!$C$45:$M$56,9,0)))</f>
        <v/>
      </c>
      <c r="BE37" s="335" t="str">
        <f>IF(F37="","",IF(G37="Dubai",HLOOKUP(F37,Inputs!$C$26:$M$37,10,0),HLOOKUP(F37,Inputs!$C$45:$M$56,10,0)))</f>
        <v/>
      </c>
      <c r="BF37" s="335" t="str">
        <f>IF(F37="","",IF(G37="Dubai",HLOOKUP(F37,Inputs!$C$26:$M$37,11,0),HLOOKUP(F37,Inputs!$C$45:$M$56,11,0)))</f>
        <v/>
      </c>
      <c r="BG37" s="334" t="str">
        <f>IF(F37="","",IF(G37="Dubai",HLOOKUP(F37,Inputs!$C$26:$M$37,12,0),HLOOKUP(F37,Inputs!$C$45:$M$56,12,0)))</f>
        <v/>
      </c>
      <c r="BI37" s="334" t="str">
        <f>IFERROR(IF(AO37="","",IF(AQ37="Dubai",IF(OR(AO37="Plan1",AO37="Plan2"),VLOOKUP(BD37,Deviation!$B$31:$D$33,2,FALSE),VLOOKUP(BD37,Deviation!$B$31:$D$33,3,FALSE)),IF(OR(AO37="Plan1",AO37="Plan2"),VLOOKUP(BD37,Deviation!$E$31:$G$33,2,FALSE),VLOOKUP(BD37,Deviation!$E$31:$G$33,3,FALSE)))),0)</f>
        <v/>
      </c>
      <c r="BJ37" s="336" t="str">
        <f>IFERROR(IF(AO37="","",IF(AQ37="Dubai",IF(AO37="Plan1",VLOOKUP(BE37,Deviation!$B$39:$C$40,2,FALSE),IF(AO37="Plan2",VLOOKUP(BE37,Deviation!$B$42:$C$43,2,FALSE),IF(AO37="Plan5",VLOOKUP(BE37,Deviation!$B$48:$C$49,2,FALSE),VLOOKUP(BE37,Deviation!$B$45:$C$46,2,FALSE)))),IF(AO37="Plan1",VLOOKUP(BE37,Deviation!$E$39:$F$40,2,FALSE),IF(AO37="Plan2",VLOOKUP(BE37,Deviation!$E$42:$F$43,2,FALSE),VLOOKUP(BE37,Deviation!$E$45:$F$46,2,FALSE))))),0)</f>
        <v/>
      </c>
      <c r="BK37" s="336" t="str">
        <f>IFERROR(IF(AO37="","",IF(AQ37="Dubai",IF(OR(AO37="Plan1",AO37="Plan2"),VLOOKUP(BF37,Deviation!$B$15:$D$18,2,FALSE),VLOOKUP(BF37,Deviation!$B$15:$D$18,3,FALSE)),IF(OR(AO37="Plan1",AO37="Plan2"),VLOOKUP(BF37,Deviation!$E$15:$G$18,2,FALSE),VLOOKUP(BF37,Deviation!$E$15:$G$18,3,FALSE)))),0)</f>
        <v/>
      </c>
      <c r="BL37" s="334" t="str">
        <f>IFERROR(IF(AO37="","",IF(AQ37="Dubai",VLOOKUP(BG37,Deviation!$B$24:$C$26,2,FALSE),100%)),0)</f>
        <v/>
      </c>
    </row>
    <row r="38" spans="1:64" ht="14.25" x14ac:dyDescent="0.2">
      <c r="A38" s="59">
        <v>33</v>
      </c>
      <c r="B38" s="298"/>
      <c r="C38" s="299"/>
      <c r="D38" s="298"/>
      <c r="E38" s="298"/>
      <c r="F38" s="298"/>
      <c r="G38" s="298"/>
      <c r="H38" s="298"/>
      <c r="I38" s="503"/>
      <c r="J38" s="80" t="str">
        <f>IFERROR(ROUNDDOWN(IF(C38="","",(MAX((eff_date-Additions!C38)/365.25,0))),0),"")</f>
        <v/>
      </c>
      <c r="K38" s="59" t="str">
        <f>IF(F38="","",IF(G38="Dubai",HLOOKUP(F38,Inputs!$C$26:$M$28,3,0),HLOOKUP(F38,Inputs!$C$45:$M$46,2,0)))</f>
        <v/>
      </c>
      <c r="L38" s="335" t="str">
        <f t="shared" ref="L38:L69" si="24">IF(OR(AG38="x",AD38="x",J38&gt;69),"",IFERROR(BB38/(1-Loadings),""))</f>
        <v/>
      </c>
      <c r="M38" s="335">
        <f t="shared" ref="M38:M69" si="25">IFERROR((AY38*AZ38)/(1-Loadings),0)</f>
        <v>0</v>
      </c>
      <c r="N38" s="335" t="str">
        <f t="shared" ref="N38:N69" si="26">IF(OR(AG38="x",AD38="x",J38&gt;69),"",IFERROR(BB38/(1-Loadings)*IFERROR(((end_date-I38+1)/365),0),""))</f>
        <v/>
      </c>
      <c r="O38" s="335">
        <f t="shared" ref="O38:O69" si="27">IFERROR((AY38*AZ38)/(1-Loadings),0)*IFERROR(((end_date-I38+1)/365),0)</f>
        <v>0</v>
      </c>
      <c r="P38" s="104"/>
      <c r="Q38" s="105">
        <f t="shared" si="16"/>
        <v>0</v>
      </c>
      <c r="R38" s="59" t="b">
        <f t="shared" si="4"/>
        <v>0</v>
      </c>
      <c r="S38" s="102" t="str">
        <f t="shared" si="17"/>
        <v>x</v>
      </c>
      <c r="T38" s="102" t="str">
        <f t="shared" ref="T38:T69" si="28">IF(ISBLANK(D38),"x","")</f>
        <v>x</v>
      </c>
      <c r="U38" s="102" t="str">
        <f t="shared" ref="U38:U69" si="29">IF(ISBLANK(E38),"x","")</f>
        <v>x</v>
      </c>
      <c r="V38" s="102" t="str">
        <f t="shared" ref="V38:V69" si="30">IF(ISBLANK(F38),"x","")</f>
        <v>x</v>
      </c>
      <c r="W38" s="102" t="str">
        <f t="shared" ref="W38:W69" si="31">IF(ISBLANK(G38),"x","")</f>
        <v>x</v>
      </c>
      <c r="X38" s="102" t="str">
        <f>IF(ISERROR(MATCH(G38,'Inputs Mapping'!$T$4:$T$5,0)),"x","")</f>
        <v>x</v>
      </c>
      <c r="Y38" s="102" t="str">
        <f>IF(ISERROR(MATCH(AE38,'Inputs Mapping'!$U$4:$U$5,0)),"x","")</f>
        <v>x</v>
      </c>
      <c r="Z38" s="102" t="str">
        <f>IF(ISERROR(MATCH(AF38,'Inputs Mapping'!$V$4:$V$5,0)),"x","")</f>
        <v>x</v>
      </c>
      <c r="AA38" s="102" t="str">
        <f>IF(ISERROR(MATCH(F38,'Inputs Mapping'!$W$4:$W$8,0)),"x","")</f>
        <v>x</v>
      </c>
      <c r="AB38" s="102" t="str">
        <f t="shared" si="9"/>
        <v/>
      </c>
      <c r="AC38" s="102" t="str">
        <f t="shared" si="10"/>
        <v/>
      </c>
      <c r="AD38" s="102" t="str">
        <f t="shared" ref="AD38:AD69" si="32">IF(ISBLANK(C38),"",IF(ISERROR(J38),"",IF(AND(eff_date-C38&lt;0,C38&lt;&gt;""),"x","")))</f>
        <v/>
      </c>
      <c r="AE38" s="102" t="str">
        <f t="shared" si="18"/>
        <v/>
      </c>
      <c r="AF38" s="102" t="str">
        <f t="shared" si="19"/>
        <v/>
      </c>
      <c r="AG38" s="102" t="str">
        <f t="shared" si="20"/>
        <v>x</v>
      </c>
      <c r="AK38" s="95" t="str">
        <f t="shared" si="12"/>
        <v/>
      </c>
      <c r="AL38" s="59" t="str">
        <f>IF(J38="","",VLOOKUP(J38,'Inputs Mapping'!$T$27:$V$30,3))</f>
        <v/>
      </c>
      <c r="AM38" s="59" t="str">
        <f>IF(J38="","",VLOOKUP(J38,'Inputs Mapping'!$T$17:$V$24,3))</f>
        <v/>
      </c>
      <c r="AN38" s="59" t="str">
        <f t="shared" si="13"/>
        <v/>
      </c>
      <c r="AO38" s="102" t="str">
        <f t="shared" si="14"/>
        <v/>
      </c>
      <c r="AP38" s="102" t="str">
        <f>IF(F38="","",IF(G38="Dubai",HLOOKUP(F38,Inputs!$C$26:$M$36,5,0),HLOOKUP(F38,Inputs!$C$45:$M$49,5,0)))</f>
        <v/>
      </c>
      <c r="AQ38" s="102">
        <f t="shared" si="15"/>
        <v>0</v>
      </c>
      <c r="AR38" s="59" t="str">
        <f>IF(AM38="","",IF(AQ38="Dubai",VLOOKUP(AM38,'Inputs Mapping'!$V$17:$W$24,2,0),VLOOKUP(AL38,'Inputs Mapping'!$V$27:$W$30,2,0)))</f>
        <v/>
      </c>
      <c r="AS38" s="333">
        <f>IFERROR(IF($AQ38="","",HLOOKUP($AQ38&amp;RIGHT($AO38,1),'input for formula'!$B$16:$I$20,3,0)),0)</f>
        <v>0</v>
      </c>
      <c r="AT38" s="80">
        <f>IFERROR(IF($AQ38="","",HLOOKUP($AQ38&amp;$F38,'input for formula'!$B$22:$M$25,2,0)),0)</f>
        <v>0</v>
      </c>
      <c r="AU38" s="333">
        <f>IFERROR(IF($AQ38="","",HLOOKUP($AQ38&amp;RIGHT($AO38,1),'input for formula'!$B$16:$I$20,4,0)),0)</f>
        <v>0</v>
      </c>
      <c r="AV38" s="80">
        <f>IFERROR(IF($AQ38="","",HLOOKUP($AQ38&amp;$F38,'input for formula'!$B$22:$M$25,3,0)),0)</f>
        <v>0</v>
      </c>
      <c r="AW38" s="333">
        <f>IFERROR(IF($AQ38="","",HLOOKUP($AQ38&amp;RIGHT($AO38,1),'input for formula'!$B$16:$I$20,5,0)),0)</f>
        <v>0</v>
      </c>
      <c r="AX38" s="80">
        <f>IFERROR(IF($AQ38="","",HLOOKUP($AQ38&amp;$F38,'input for formula'!$B$22:$M$25,4,0)),0)</f>
        <v>0</v>
      </c>
      <c r="AY38" s="333">
        <f>IFERROR(IF($AQ38="","",IF(Additions!$AQ38="Abu Dhabi",VLOOKUP(Additions!$AP38,'input for formula'!$A$28:$C$41,3,0),VLOOKUP(Additions!$AP38,'input for formula'!$A$28:$C$41,2,0))),0)*IFERROR(1+IF(AQ38="Dubai",VLOOKUP(F38,'Quotation for Dubai Plans'!$V$6:$X$12,3,FALSE),VLOOKUP(F38,'Quotation for Abu Dhabi Plans'!$W$6:$Y$12,3,FALSE)),0)</f>
        <v>0</v>
      </c>
      <c r="AZ38" s="80" t="str">
        <f t="shared" si="23"/>
        <v/>
      </c>
      <c r="BA38" s="106" t="str">
        <f>IFERROR(IF(AO38="","",IF(AQ38="Dubai",HLOOKUP((AO38&amp;AP38),Deviation!$B$7:$S$8,2,0)*BI38*BK38*BL38*BJ38,HLOOKUP((AO38&amp;AP38),Deviation!$B$9:$K$10,2,0)*BI38*BK38*BL38*BJ38)),0)</f>
        <v/>
      </c>
      <c r="BB38" s="107" t="e">
        <f>IF(AO38="","",IFERROR(IF(AO38="","",IF(AQ38="Dubai",HLOOKUP(BC38,'input for formula'!$B$3:$F$10,AR38,FALSE), IF(AND(H38="Employee",AQ38="Abu Dhabi"),HLOOKUP(BC38,'input for formula'!$I$3:$K$7,AR38,FALSE),HLOOKUP(BC38,'input for formula'!$M$3:$O$7,AR38,FALSE)))*BA38+AS38*AT38+AU38*AV38+AW38*AX38),0)*$BC$3)*IF(Inputs!$C$19&gt;100,(1+$BC$2),1)</f>
        <v>#VALUE!</v>
      </c>
      <c r="BC38" s="95" t="str">
        <f t="shared" si="22"/>
        <v/>
      </c>
      <c r="BD38" s="334" t="str">
        <f>IF(F38="","",IF(G38="Dubai",HLOOKUP(F38,Inputs!$C$26:$M$37,9,0),HLOOKUP(F38,Inputs!$C$45:$M$56,9,0)))</f>
        <v/>
      </c>
      <c r="BE38" s="335" t="str">
        <f>IF(F38="","",IF(G38="Dubai",HLOOKUP(F38,Inputs!$C$26:$M$37,10,0),HLOOKUP(F38,Inputs!$C$45:$M$56,10,0)))</f>
        <v/>
      </c>
      <c r="BF38" s="335" t="str">
        <f>IF(F38="","",IF(G38="Dubai",HLOOKUP(F38,Inputs!$C$26:$M$37,11,0),HLOOKUP(F38,Inputs!$C$45:$M$56,11,0)))</f>
        <v/>
      </c>
      <c r="BG38" s="334" t="str">
        <f>IF(F38="","",IF(G38="Dubai",HLOOKUP(F38,Inputs!$C$26:$M$37,12,0),HLOOKUP(F38,Inputs!$C$45:$M$56,12,0)))</f>
        <v/>
      </c>
      <c r="BI38" s="334" t="str">
        <f>IFERROR(IF(AO38="","",IF(AQ38="Dubai",IF(OR(AO38="Plan1",AO38="Plan2"),VLOOKUP(BD38,Deviation!$B$31:$D$33,2,FALSE),VLOOKUP(BD38,Deviation!$B$31:$D$33,3,FALSE)),IF(OR(AO38="Plan1",AO38="Plan2"),VLOOKUP(BD38,Deviation!$E$31:$G$33,2,FALSE),VLOOKUP(BD38,Deviation!$E$31:$G$33,3,FALSE)))),0)</f>
        <v/>
      </c>
      <c r="BJ38" s="336" t="str">
        <f>IFERROR(IF(AO38="","",IF(AQ38="Dubai",IF(AO38="Plan1",VLOOKUP(BE38,Deviation!$B$39:$C$40,2,FALSE),IF(AO38="Plan2",VLOOKUP(BE38,Deviation!$B$42:$C$43,2,FALSE),IF(AO38="Plan5",VLOOKUP(BE38,Deviation!$B$48:$C$49,2,FALSE),VLOOKUP(BE38,Deviation!$B$45:$C$46,2,FALSE)))),IF(AO38="Plan1",VLOOKUP(BE38,Deviation!$E$39:$F$40,2,FALSE),IF(AO38="Plan2",VLOOKUP(BE38,Deviation!$E$42:$F$43,2,FALSE),VLOOKUP(BE38,Deviation!$E$45:$F$46,2,FALSE))))),0)</f>
        <v/>
      </c>
      <c r="BK38" s="336" t="str">
        <f>IFERROR(IF(AO38="","",IF(AQ38="Dubai",IF(OR(AO38="Plan1",AO38="Plan2"),VLOOKUP(BF38,Deviation!$B$15:$D$18,2,FALSE),VLOOKUP(BF38,Deviation!$B$15:$D$18,3,FALSE)),IF(OR(AO38="Plan1",AO38="Plan2"),VLOOKUP(BF38,Deviation!$E$15:$G$18,2,FALSE),VLOOKUP(BF38,Deviation!$E$15:$G$18,3,FALSE)))),0)</f>
        <v/>
      </c>
      <c r="BL38" s="334" t="str">
        <f>IFERROR(IF(AO38="","",IF(AQ38="Dubai",VLOOKUP(BG38,Deviation!$B$24:$C$26,2,FALSE),100%)),0)</f>
        <v/>
      </c>
    </row>
    <row r="39" spans="1:64" ht="14.25" x14ac:dyDescent="0.2">
      <c r="A39" s="59">
        <v>34</v>
      </c>
      <c r="B39" s="298"/>
      <c r="C39" s="299"/>
      <c r="D39" s="298"/>
      <c r="E39" s="298"/>
      <c r="F39" s="298"/>
      <c r="G39" s="298"/>
      <c r="H39" s="298"/>
      <c r="I39" s="503"/>
      <c r="J39" s="80" t="str">
        <f>IFERROR(ROUNDDOWN(IF(C39="","",(MAX((eff_date-Additions!C39)/365.25,0))),0),"")</f>
        <v/>
      </c>
      <c r="K39" s="59" t="str">
        <f>IF(F39="","",IF(G39="Dubai",HLOOKUP(F39,Inputs!$C$26:$M$28,3,0),HLOOKUP(F39,Inputs!$C$45:$M$46,2,0)))</f>
        <v/>
      </c>
      <c r="L39" s="335" t="str">
        <f t="shared" si="24"/>
        <v/>
      </c>
      <c r="M39" s="335">
        <f t="shared" si="25"/>
        <v>0</v>
      </c>
      <c r="N39" s="335" t="str">
        <f t="shared" si="26"/>
        <v/>
      </c>
      <c r="O39" s="335">
        <f t="shared" si="27"/>
        <v>0</v>
      </c>
      <c r="P39" s="104"/>
      <c r="Q39" s="105">
        <f t="shared" si="16"/>
        <v>0</v>
      </c>
      <c r="R39" s="59" t="b">
        <f t="shared" si="4"/>
        <v>0</v>
      </c>
      <c r="S39" s="102" t="str">
        <f t="shared" si="17"/>
        <v>x</v>
      </c>
      <c r="T39" s="102" t="str">
        <f t="shared" si="28"/>
        <v>x</v>
      </c>
      <c r="U39" s="102" t="str">
        <f t="shared" si="29"/>
        <v>x</v>
      </c>
      <c r="V39" s="102" t="str">
        <f t="shared" si="30"/>
        <v>x</v>
      </c>
      <c r="W39" s="102" t="str">
        <f t="shared" si="31"/>
        <v>x</v>
      </c>
      <c r="X39" s="102" t="str">
        <f>IF(ISERROR(MATCH(G39,'Inputs Mapping'!$T$4:$T$5,0)),"x","")</f>
        <v>x</v>
      </c>
      <c r="Y39" s="102" t="str">
        <f>IF(ISERROR(MATCH(AE39,'Inputs Mapping'!$U$4:$U$5,0)),"x","")</f>
        <v>x</v>
      </c>
      <c r="Z39" s="102" t="str">
        <f>IF(ISERROR(MATCH(AF39,'Inputs Mapping'!$V$4:$V$5,0)),"x","")</f>
        <v>x</v>
      </c>
      <c r="AA39" s="102" t="str">
        <f>IF(ISERROR(MATCH(F39,'Inputs Mapping'!$W$4:$W$8,0)),"x","")</f>
        <v>x</v>
      </c>
      <c r="AB39" s="102" t="str">
        <f t="shared" si="9"/>
        <v/>
      </c>
      <c r="AC39" s="102" t="str">
        <f t="shared" si="10"/>
        <v/>
      </c>
      <c r="AD39" s="102" t="str">
        <f t="shared" si="32"/>
        <v/>
      </c>
      <c r="AE39" s="102" t="str">
        <f t="shared" si="18"/>
        <v/>
      </c>
      <c r="AF39" s="102" t="str">
        <f t="shared" si="19"/>
        <v/>
      </c>
      <c r="AG39" s="102" t="str">
        <f t="shared" si="20"/>
        <v>x</v>
      </c>
      <c r="AK39" s="95" t="str">
        <f t="shared" si="12"/>
        <v/>
      </c>
      <c r="AL39" s="59" t="str">
        <f>IF(J39="","",VLOOKUP(J39,'Inputs Mapping'!$T$27:$V$30,3))</f>
        <v/>
      </c>
      <c r="AM39" s="59" t="str">
        <f>IF(J39="","",VLOOKUP(J39,'Inputs Mapping'!$T$17:$V$24,3))</f>
        <v/>
      </c>
      <c r="AN39" s="59" t="str">
        <f t="shared" si="13"/>
        <v/>
      </c>
      <c r="AO39" s="102" t="str">
        <f t="shared" si="14"/>
        <v/>
      </c>
      <c r="AP39" s="102" t="str">
        <f>IF(F39="","",IF(G39="Dubai",HLOOKUP(F39,Inputs!$C$26:$M$36,5,0),HLOOKUP(F39,Inputs!$C$45:$M$49,5,0)))</f>
        <v/>
      </c>
      <c r="AQ39" s="102">
        <f t="shared" si="15"/>
        <v>0</v>
      </c>
      <c r="AR39" s="59" t="str">
        <f>IF(AM39="","",IF(AQ39="Dubai",VLOOKUP(AM39,'Inputs Mapping'!$V$17:$W$24,2,0),VLOOKUP(AL39,'Inputs Mapping'!$V$27:$W$30,2,0)))</f>
        <v/>
      </c>
      <c r="AS39" s="333">
        <f>IFERROR(IF($AQ39="","",HLOOKUP($AQ39&amp;RIGHT($AO39,1),'input for formula'!$B$16:$I$20,3,0)),0)</f>
        <v>0</v>
      </c>
      <c r="AT39" s="80">
        <f>IFERROR(IF($AQ39="","",HLOOKUP($AQ39&amp;$F39,'input for formula'!$B$22:$M$25,2,0)),0)</f>
        <v>0</v>
      </c>
      <c r="AU39" s="333">
        <f>IFERROR(IF($AQ39="","",HLOOKUP($AQ39&amp;RIGHT($AO39,1),'input for formula'!$B$16:$I$20,4,0)),0)</f>
        <v>0</v>
      </c>
      <c r="AV39" s="80">
        <f>IFERROR(IF($AQ39="","",HLOOKUP($AQ39&amp;$F39,'input for formula'!$B$22:$M$25,3,0)),0)</f>
        <v>0</v>
      </c>
      <c r="AW39" s="333">
        <f>IFERROR(IF($AQ39="","",HLOOKUP($AQ39&amp;RIGHT($AO39,1),'input for formula'!$B$16:$I$20,5,0)),0)</f>
        <v>0</v>
      </c>
      <c r="AX39" s="80">
        <f>IFERROR(IF($AQ39="","",HLOOKUP($AQ39&amp;$F39,'input for formula'!$B$22:$M$25,4,0)),0)</f>
        <v>0</v>
      </c>
      <c r="AY39" s="333">
        <f>IFERROR(IF($AQ39="","",IF(Additions!$AQ39="Abu Dhabi",VLOOKUP(Additions!$AP39,'input for formula'!$A$28:$C$41,3,0),VLOOKUP(Additions!$AP39,'input for formula'!$A$28:$C$41,2,0))),0)*IFERROR(1+IF(AQ39="Dubai",VLOOKUP(F39,'Quotation for Dubai Plans'!$V$6:$X$12,3,FALSE),VLOOKUP(F39,'Quotation for Abu Dhabi Plans'!$W$6:$Y$12,3,FALSE)),0)</f>
        <v>0</v>
      </c>
      <c r="AZ39" s="80" t="str">
        <f t="shared" si="23"/>
        <v/>
      </c>
      <c r="BA39" s="106" t="str">
        <f>IFERROR(IF(AO39="","",IF(AQ39="Dubai",HLOOKUP((AO39&amp;AP39),Deviation!$B$7:$S$8,2,0)*BI39*BK39*BL39*BJ39,HLOOKUP((AO39&amp;AP39),Deviation!$B$9:$K$10,2,0)*BI39*BK39*BL39*BJ39)),0)</f>
        <v/>
      </c>
      <c r="BB39" s="107" t="e">
        <f>IF(AO39="","",IFERROR(IF(AO39="","",IF(AQ39="Dubai",HLOOKUP(BC39,'input for formula'!$B$3:$F$10,AR39,FALSE), IF(AND(H39="Employee",AQ39="Abu Dhabi"),HLOOKUP(BC39,'input for formula'!$I$3:$K$7,AR39,FALSE),HLOOKUP(BC39,'input for formula'!$M$3:$O$7,AR39,FALSE)))*BA39+AS39*AT39+AU39*AV39+AW39*AX39),0)*$BC$3)*IF(Inputs!$C$19&gt;100,(1+$BC$2),1)</f>
        <v>#VALUE!</v>
      </c>
      <c r="BC39" s="95" t="str">
        <f t="shared" si="22"/>
        <v/>
      </c>
      <c r="BD39" s="334" t="str">
        <f>IF(F39="","",IF(G39="Dubai",HLOOKUP(F39,Inputs!$C$26:$M$37,9,0),HLOOKUP(F39,Inputs!$C$45:$M$56,9,0)))</f>
        <v/>
      </c>
      <c r="BE39" s="335" t="str">
        <f>IF(F39="","",IF(G39="Dubai",HLOOKUP(F39,Inputs!$C$26:$M$37,10,0),HLOOKUP(F39,Inputs!$C$45:$M$56,10,0)))</f>
        <v/>
      </c>
      <c r="BF39" s="335" t="str">
        <f>IF(F39="","",IF(G39="Dubai",HLOOKUP(F39,Inputs!$C$26:$M$37,11,0),HLOOKUP(F39,Inputs!$C$45:$M$56,11,0)))</f>
        <v/>
      </c>
      <c r="BG39" s="334" t="str">
        <f>IF(F39="","",IF(G39="Dubai",HLOOKUP(F39,Inputs!$C$26:$M$37,12,0),HLOOKUP(F39,Inputs!$C$45:$M$56,12,0)))</f>
        <v/>
      </c>
      <c r="BI39" s="334" t="str">
        <f>IFERROR(IF(AO39="","",IF(AQ39="Dubai",IF(OR(AO39="Plan1",AO39="Plan2"),VLOOKUP(BD39,Deviation!$B$31:$D$33,2,FALSE),VLOOKUP(BD39,Deviation!$B$31:$D$33,3,FALSE)),IF(OR(AO39="Plan1",AO39="Plan2"),VLOOKUP(BD39,Deviation!$E$31:$G$33,2,FALSE),VLOOKUP(BD39,Deviation!$E$31:$G$33,3,FALSE)))),0)</f>
        <v/>
      </c>
      <c r="BJ39" s="336" t="str">
        <f>IFERROR(IF(AO39="","",IF(AQ39="Dubai",IF(AO39="Plan1",VLOOKUP(BE39,Deviation!$B$39:$C$40,2,FALSE),IF(AO39="Plan2",VLOOKUP(BE39,Deviation!$B$42:$C$43,2,FALSE),IF(AO39="Plan5",VLOOKUP(BE39,Deviation!$B$48:$C$49,2,FALSE),VLOOKUP(BE39,Deviation!$B$45:$C$46,2,FALSE)))),IF(AO39="Plan1",VLOOKUP(BE39,Deviation!$E$39:$F$40,2,FALSE),IF(AO39="Plan2",VLOOKUP(BE39,Deviation!$E$42:$F$43,2,FALSE),VLOOKUP(BE39,Deviation!$E$45:$F$46,2,FALSE))))),0)</f>
        <v/>
      </c>
      <c r="BK39" s="336" t="str">
        <f>IFERROR(IF(AO39="","",IF(AQ39="Dubai",IF(OR(AO39="Plan1",AO39="Plan2"),VLOOKUP(BF39,Deviation!$B$15:$D$18,2,FALSE),VLOOKUP(BF39,Deviation!$B$15:$D$18,3,FALSE)),IF(OR(AO39="Plan1",AO39="Plan2"),VLOOKUP(BF39,Deviation!$E$15:$G$18,2,FALSE),VLOOKUP(BF39,Deviation!$E$15:$G$18,3,FALSE)))),0)</f>
        <v/>
      </c>
      <c r="BL39" s="334" t="str">
        <f>IFERROR(IF(AO39="","",IF(AQ39="Dubai",VLOOKUP(BG39,Deviation!$B$24:$C$26,2,FALSE),100%)),0)</f>
        <v/>
      </c>
    </row>
    <row r="40" spans="1:64" ht="14.25" x14ac:dyDescent="0.2">
      <c r="A40" s="59">
        <v>35</v>
      </c>
      <c r="B40" s="298"/>
      <c r="C40" s="299"/>
      <c r="D40" s="298"/>
      <c r="E40" s="298"/>
      <c r="F40" s="298"/>
      <c r="G40" s="298"/>
      <c r="H40" s="298"/>
      <c r="I40" s="503"/>
      <c r="J40" s="80" t="str">
        <f>IFERROR(ROUNDDOWN(IF(C40="","",(MAX((eff_date-Additions!C40)/365.25,0))),0),"")</f>
        <v/>
      </c>
      <c r="K40" s="59" t="str">
        <f>IF(F40="","",IF(G40="Dubai",HLOOKUP(F40,Inputs!$C$26:$M$28,3,0),HLOOKUP(F40,Inputs!$C$45:$M$46,2,0)))</f>
        <v/>
      </c>
      <c r="L40" s="335" t="str">
        <f t="shared" si="24"/>
        <v/>
      </c>
      <c r="M40" s="335">
        <f t="shared" si="25"/>
        <v>0</v>
      </c>
      <c r="N40" s="335" t="str">
        <f t="shared" si="26"/>
        <v/>
      </c>
      <c r="O40" s="335">
        <f t="shared" si="27"/>
        <v>0</v>
      </c>
      <c r="P40" s="104"/>
      <c r="Q40" s="105">
        <f t="shared" si="16"/>
        <v>0</v>
      </c>
      <c r="R40" s="59" t="b">
        <f t="shared" si="4"/>
        <v>0</v>
      </c>
      <c r="S40" s="102" t="str">
        <f t="shared" si="17"/>
        <v>x</v>
      </c>
      <c r="T40" s="102" t="str">
        <f t="shared" si="28"/>
        <v>x</v>
      </c>
      <c r="U40" s="102" t="str">
        <f t="shared" si="29"/>
        <v>x</v>
      </c>
      <c r="V40" s="102" t="str">
        <f t="shared" si="30"/>
        <v>x</v>
      </c>
      <c r="W40" s="102" t="str">
        <f t="shared" si="31"/>
        <v>x</v>
      </c>
      <c r="X40" s="102" t="str">
        <f>IF(ISERROR(MATCH(G40,'Inputs Mapping'!$T$4:$T$5,0)),"x","")</f>
        <v>x</v>
      </c>
      <c r="Y40" s="102" t="str">
        <f>IF(ISERROR(MATCH(AE40,'Inputs Mapping'!$U$4:$U$5,0)),"x","")</f>
        <v>x</v>
      </c>
      <c r="Z40" s="102" t="str">
        <f>IF(ISERROR(MATCH(AF40,'Inputs Mapping'!$V$4:$V$5,0)),"x","")</f>
        <v>x</v>
      </c>
      <c r="AA40" s="102" t="str">
        <f>IF(ISERROR(MATCH(F40,'Inputs Mapping'!$W$4:$W$8,0)),"x","")</f>
        <v>x</v>
      </c>
      <c r="AB40" s="102" t="str">
        <f t="shared" si="9"/>
        <v/>
      </c>
      <c r="AC40" s="102" t="str">
        <f t="shared" si="10"/>
        <v/>
      </c>
      <c r="AD40" s="102" t="str">
        <f t="shared" si="32"/>
        <v/>
      </c>
      <c r="AE40" s="102" t="str">
        <f t="shared" si="18"/>
        <v/>
      </c>
      <c r="AF40" s="102" t="str">
        <f t="shared" si="19"/>
        <v/>
      </c>
      <c r="AG40" s="102" t="str">
        <f t="shared" si="20"/>
        <v>x</v>
      </c>
      <c r="AK40" s="95" t="str">
        <f t="shared" si="12"/>
        <v/>
      </c>
      <c r="AL40" s="59" t="str">
        <f>IF(J40="","",VLOOKUP(J40,'Inputs Mapping'!$T$27:$V$30,3))</f>
        <v/>
      </c>
      <c r="AM40" s="59" t="str">
        <f>IF(J40="","",VLOOKUP(J40,'Inputs Mapping'!$T$17:$V$24,3))</f>
        <v/>
      </c>
      <c r="AN40" s="59" t="str">
        <f t="shared" si="13"/>
        <v/>
      </c>
      <c r="AO40" s="102" t="str">
        <f t="shared" si="14"/>
        <v/>
      </c>
      <c r="AP40" s="102" t="str">
        <f>IF(F40="","",IF(G40="Dubai",HLOOKUP(F40,Inputs!$C$26:$M$36,5,0),HLOOKUP(F40,Inputs!$C$45:$M$49,5,0)))</f>
        <v/>
      </c>
      <c r="AQ40" s="102">
        <f t="shared" si="15"/>
        <v>0</v>
      </c>
      <c r="AR40" s="59" t="str">
        <f>IF(AM40="","",IF(AQ40="Dubai",VLOOKUP(AM40,'Inputs Mapping'!$V$17:$W$24,2,0),VLOOKUP(AL40,'Inputs Mapping'!$V$27:$W$30,2,0)))</f>
        <v/>
      </c>
      <c r="AS40" s="333">
        <f>IFERROR(IF($AQ40="","",HLOOKUP($AQ40&amp;RIGHT($AO40,1),'input for formula'!$B$16:$I$20,3,0)),0)</f>
        <v>0</v>
      </c>
      <c r="AT40" s="80">
        <f>IFERROR(IF($AQ40="","",HLOOKUP($AQ40&amp;$F40,'input for formula'!$B$22:$M$25,2,0)),0)</f>
        <v>0</v>
      </c>
      <c r="AU40" s="333">
        <f>IFERROR(IF($AQ40="","",HLOOKUP($AQ40&amp;RIGHT($AO40,1),'input for formula'!$B$16:$I$20,4,0)),0)</f>
        <v>0</v>
      </c>
      <c r="AV40" s="80">
        <f>IFERROR(IF($AQ40="","",HLOOKUP($AQ40&amp;$F40,'input for formula'!$B$22:$M$25,3,0)),0)</f>
        <v>0</v>
      </c>
      <c r="AW40" s="333">
        <f>IFERROR(IF($AQ40="","",HLOOKUP($AQ40&amp;RIGHT($AO40,1),'input for formula'!$B$16:$I$20,5,0)),0)</f>
        <v>0</v>
      </c>
      <c r="AX40" s="80">
        <f>IFERROR(IF($AQ40="","",HLOOKUP($AQ40&amp;$F40,'input for formula'!$B$22:$M$25,4,0)),0)</f>
        <v>0</v>
      </c>
      <c r="AY40" s="333">
        <f>IFERROR(IF($AQ40="","",IF(Additions!$AQ40="Abu Dhabi",VLOOKUP(Additions!$AP40,'input for formula'!$A$28:$C$41,3,0),VLOOKUP(Additions!$AP40,'input for formula'!$A$28:$C$41,2,0))),0)*IFERROR(1+IF(AQ40="Dubai",VLOOKUP(F40,'Quotation for Dubai Plans'!$V$6:$X$12,3,FALSE),VLOOKUP(F40,'Quotation for Abu Dhabi Plans'!$W$6:$Y$12,3,FALSE)),0)</f>
        <v>0</v>
      </c>
      <c r="AZ40" s="80" t="str">
        <f t="shared" si="23"/>
        <v/>
      </c>
      <c r="BA40" s="106" t="str">
        <f>IFERROR(IF(AO40="","",IF(AQ40="Dubai",HLOOKUP((AO40&amp;AP40),Deviation!$B$7:$S$8,2,0)*BI40*BK40*BL40*BJ40,HLOOKUP((AO40&amp;AP40),Deviation!$B$9:$K$10,2,0)*BI40*BK40*BL40*BJ40)),0)</f>
        <v/>
      </c>
      <c r="BB40" s="107" t="e">
        <f>IF(AO40="","",IFERROR(IF(AO40="","",IF(AQ40="Dubai",HLOOKUP(BC40,'input for formula'!$B$3:$F$10,AR40,FALSE), IF(AND(H40="Employee",AQ40="Abu Dhabi"),HLOOKUP(BC40,'input for formula'!$I$3:$K$7,AR40,FALSE),HLOOKUP(BC40,'input for formula'!$M$3:$O$7,AR40,FALSE)))*BA40+AS40*AT40+AU40*AV40+AW40*AX40),0)*$BC$3)*IF(Inputs!$C$19&gt;100,(1+$BC$2),1)</f>
        <v>#VALUE!</v>
      </c>
      <c r="BC40" s="95" t="str">
        <f t="shared" si="22"/>
        <v/>
      </c>
      <c r="BD40" s="334" t="str">
        <f>IF(F40="","",IF(G40="Dubai",HLOOKUP(F40,Inputs!$C$26:$M$37,9,0),HLOOKUP(F40,Inputs!$C$45:$M$56,9,0)))</f>
        <v/>
      </c>
      <c r="BE40" s="335" t="str">
        <f>IF(F40="","",IF(G40="Dubai",HLOOKUP(F40,Inputs!$C$26:$M$37,10,0),HLOOKUP(F40,Inputs!$C$45:$M$56,10,0)))</f>
        <v/>
      </c>
      <c r="BF40" s="335" t="str">
        <f>IF(F40="","",IF(G40="Dubai",HLOOKUP(F40,Inputs!$C$26:$M$37,11,0),HLOOKUP(F40,Inputs!$C$45:$M$56,11,0)))</f>
        <v/>
      </c>
      <c r="BG40" s="334" t="str">
        <f>IF(F40="","",IF(G40="Dubai",HLOOKUP(F40,Inputs!$C$26:$M$37,12,0),HLOOKUP(F40,Inputs!$C$45:$M$56,12,0)))</f>
        <v/>
      </c>
      <c r="BI40" s="334" t="str">
        <f>IFERROR(IF(AO40="","",IF(AQ40="Dubai",IF(OR(AO40="Plan1",AO40="Plan2"),VLOOKUP(BD40,Deviation!$B$31:$D$33,2,FALSE),VLOOKUP(BD40,Deviation!$B$31:$D$33,3,FALSE)),IF(OR(AO40="Plan1",AO40="Plan2"),VLOOKUP(BD40,Deviation!$E$31:$G$33,2,FALSE),VLOOKUP(BD40,Deviation!$E$31:$G$33,3,FALSE)))),0)</f>
        <v/>
      </c>
      <c r="BJ40" s="336" t="str">
        <f>IFERROR(IF(AO40="","",IF(AQ40="Dubai",IF(AO40="Plan1",VLOOKUP(BE40,Deviation!$B$39:$C$40,2,FALSE),IF(AO40="Plan2",VLOOKUP(BE40,Deviation!$B$42:$C$43,2,FALSE),IF(AO40="Plan5",VLOOKUP(BE40,Deviation!$B$48:$C$49,2,FALSE),VLOOKUP(BE40,Deviation!$B$45:$C$46,2,FALSE)))),IF(AO40="Plan1",VLOOKUP(BE40,Deviation!$E$39:$F$40,2,FALSE),IF(AO40="Plan2",VLOOKUP(BE40,Deviation!$E$42:$F$43,2,FALSE),VLOOKUP(BE40,Deviation!$E$45:$F$46,2,FALSE))))),0)</f>
        <v/>
      </c>
      <c r="BK40" s="336" t="str">
        <f>IFERROR(IF(AO40="","",IF(AQ40="Dubai",IF(OR(AO40="Plan1",AO40="Plan2"),VLOOKUP(BF40,Deviation!$B$15:$D$18,2,FALSE),VLOOKUP(BF40,Deviation!$B$15:$D$18,3,FALSE)),IF(OR(AO40="Plan1",AO40="Plan2"),VLOOKUP(BF40,Deviation!$E$15:$G$18,2,FALSE),VLOOKUP(BF40,Deviation!$E$15:$G$18,3,FALSE)))),0)</f>
        <v/>
      </c>
      <c r="BL40" s="334" t="str">
        <f>IFERROR(IF(AO40="","",IF(AQ40="Dubai",VLOOKUP(BG40,Deviation!$B$24:$C$26,2,FALSE),100%)),0)</f>
        <v/>
      </c>
    </row>
    <row r="41" spans="1:64" ht="14.25" x14ac:dyDescent="0.2">
      <c r="A41" s="59">
        <v>36</v>
      </c>
      <c r="B41" s="298"/>
      <c r="C41" s="299"/>
      <c r="D41" s="298"/>
      <c r="E41" s="298"/>
      <c r="F41" s="298"/>
      <c r="G41" s="298"/>
      <c r="H41" s="298"/>
      <c r="I41" s="503"/>
      <c r="J41" s="80" t="str">
        <f>IFERROR(ROUNDDOWN(IF(C41="","",(MAX((eff_date-Additions!C41)/365.25,0))),0),"")</f>
        <v/>
      </c>
      <c r="K41" s="59" t="str">
        <f>IF(F41="","",IF(G41="Dubai",HLOOKUP(F41,Inputs!$C$26:$M$28,3,0),HLOOKUP(F41,Inputs!$C$45:$M$46,2,0)))</f>
        <v/>
      </c>
      <c r="L41" s="335" t="str">
        <f t="shared" si="24"/>
        <v/>
      </c>
      <c r="M41" s="335">
        <f t="shared" si="25"/>
        <v>0</v>
      </c>
      <c r="N41" s="335" t="str">
        <f t="shared" si="26"/>
        <v/>
      </c>
      <c r="O41" s="335">
        <f t="shared" si="27"/>
        <v>0</v>
      </c>
      <c r="P41" s="104"/>
      <c r="Q41" s="105">
        <f t="shared" si="16"/>
        <v>0</v>
      </c>
      <c r="R41" s="59" t="b">
        <f t="shared" si="4"/>
        <v>0</v>
      </c>
      <c r="S41" s="102" t="str">
        <f t="shared" si="17"/>
        <v>x</v>
      </c>
      <c r="T41" s="102" t="str">
        <f t="shared" si="28"/>
        <v>x</v>
      </c>
      <c r="U41" s="102" t="str">
        <f t="shared" si="29"/>
        <v>x</v>
      </c>
      <c r="V41" s="102" t="str">
        <f t="shared" si="30"/>
        <v>x</v>
      </c>
      <c r="W41" s="102" t="str">
        <f t="shared" si="31"/>
        <v>x</v>
      </c>
      <c r="X41" s="102" t="str">
        <f>IF(ISERROR(MATCH(G41,'Inputs Mapping'!$T$4:$T$5,0)),"x","")</f>
        <v>x</v>
      </c>
      <c r="Y41" s="102" t="str">
        <f>IF(ISERROR(MATCH(AE41,'Inputs Mapping'!$U$4:$U$5,0)),"x","")</f>
        <v>x</v>
      </c>
      <c r="Z41" s="102" t="str">
        <f>IF(ISERROR(MATCH(AF41,'Inputs Mapping'!$V$4:$V$5,0)),"x","")</f>
        <v>x</v>
      </c>
      <c r="AA41" s="102" t="str">
        <f>IF(ISERROR(MATCH(F41,'Inputs Mapping'!$W$4:$W$8,0)),"x","")</f>
        <v>x</v>
      </c>
      <c r="AB41" s="102" t="str">
        <f t="shared" si="9"/>
        <v/>
      </c>
      <c r="AC41" s="102" t="str">
        <f t="shared" si="10"/>
        <v/>
      </c>
      <c r="AD41" s="102" t="str">
        <f t="shared" si="32"/>
        <v/>
      </c>
      <c r="AE41" s="102" t="str">
        <f t="shared" si="18"/>
        <v/>
      </c>
      <c r="AF41" s="102" t="str">
        <f t="shared" si="19"/>
        <v/>
      </c>
      <c r="AG41" s="102" t="str">
        <f t="shared" si="20"/>
        <v>x</v>
      </c>
      <c r="AK41" s="95" t="str">
        <f t="shared" si="12"/>
        <v/>
      </c>
      <c r="AL41" s="59" t="str">
        <f>IF(J41="","",VLOOKUP(J41,'Inputs Mapping'!$T$27:$V$30,3))</f>
        <v/>
      </c>
      <c r="AM41" s="59" t="str">
        <f>IF(J41="","",VLOOKUP(J41,'Inputs Mapping'!$T$17:$V$24,3))</f>
        <v/>
      </c>
      <c r="AN41" s="59" t="str">
        <f t="shared" si="13"/>
        <v/>
      </c>
      <c r="AO41" s="102" t="str">
        <f t="shared" si="14"/>
        <v/>
      </c>
      <c r="AP41" s="102" t="str">
        <f>IF(F41="","",IF(G41="Dubai",HLOOKUP(F41,Inputs!$C$26:$M$36,5,0),HLOOKUP(F41,Inputs!$C$45:$M$49,5,0)))</f>
        <v/>
      </c>
      <c r="AQ41" s="102">
        <f t="shared" si="15"/>
        <v>0</v>
      </c>
      <c r="AR41" s="59" t="str">
        <f>IF(AM41="","",IF(AQ41="Dubai",VLOOKUP(AM41,'Inputs Mapping'!$V$17:$W$24,2,0),VLOOKUP(AL41,'Inputs Mapping'!$V$27:$W$30,2,0)))</f>
        <v/>
      </c>
      <c r="AS41" s="333">
        <f>IFERROR(IF($AQ41="","",HLOOKUP($AQ41&amp;RIGHT($AO41,1),'input for formula'!$B$16:$I$20,3,0)),0)</f>
        <v>0</v>
      </c>
      <c r="AT41" s="80">
        <f>IFERROR(IF($AQ41="","",HLOOKUP($AQ41&amp;$F41,'input for formula'!$B$22:$M$25,2,0)),0)</f>
        <v>0</v>
      </c>
      <c r="AU41" s="333">
        <f>IFERROR(IF($AQ41="","",HLOOKUP($AQ41&amp;RIGHT($AO41,1),'input for formula'!$B$16:$I$20,4,0)),0)</f>
        <v>0</v>
      </c>
      <c r="AV41" s="80">
        <f>IFERROR(IF($AQ41="","",HLOOKUP($AQ41&amp;$F41,'input for formula'!$B$22:$M$25,3,0)),0)</f>
        <v>0</v>
      </c>
      <c r="AW41" s="333">
        <f>IFERROR(IF($AQ41="","",HLOOKUP($AQ41&amp;RIGHT($AO41,1),'input for formula'!$B$16:$I$20,5,0)),0)</f>
        <v>0</v>
      </c>
      <c r="AX41" s="80">
        <f>IFERROR(IF($AQ41="","",HLOOKUP($AQ41&amp;$F41,'input for formula'!$B$22:$M$25,4,0)),0)</f>
        <v>0</v>
      </c>
      <c r="AY41" s="333">
        <f>IFERROR(IF($AQ41="","",IF(Additions!$AQ41="Abu Dhabi",VLOOKUP(Additions!$AP41,'input for formula'!$A$28:$C$41,3,0),VLOOKUP(Additions!$AP41,'input for formula'!$A$28:$C$41,2,0))),0)*IFERROR(1+IF(AQ41="Dubai",VLOOKUP(F41,'Quotation for Dubai Plans'!$V$6:$X$12,3,FALSE),VLOOKUP(F41,'Quotation for Abu Dhabi Plans'!$W$6:$Y$12,3,FALSE)),0)</f>
        <v>0</v>
      </c>
      <c r="AZ41" s="80" t="str">
        <f t="shared" si="23"/>
        <v/>
      </c>
      <c r="BA41" s="106" t="str">
        <f>IFERROR(IF(AO41="","",IF(AQ41="Dubai",HLOOKUP((AO41&amp;AP41),Deviation!$B$7:$S$8,2,0)*BI41*BK41*BL41*BJ41,HLOOKUP((AO41&amp;AP41),Deviation!$B$9:$K$10,2,0)*BI41*BK41*BL41*BJ41)),0)</f>
        <v/>
      </c>
      <c r="BB41" s="107" t="e">
        <f>IF(AO41="","",IFERROR(IF(AO41="","",IF(AQ41="Dubai",HLOOKUP(BC41,'input for formula'!$B$3:$F$10,AR41,FALSE), IF(AND(H41="Employee",AQ41="Abu Dhabi"),HLOOKUP(BC41,'input for formula'!$I$3:$K$7,AR41,FALSE),HLOOKUP(BC41,'input for formula'!$M$3:$O$7,AR41,FALSE)))*BA41+AS41*AT41+AU41*AV41+AW41*AX41),0)*$BC$3)*IF(Inputs!$C$19&gt;100,(1+$BC$2),1)</f>
        <v>#VALUE!</v>
      </c>
      <c r="BC41" s="95" t="str">
        <f t="shared" si="22"/>
        <v/>
      </c>
      <c r="BD41" s="334" t="str">
        <f>IF(F41="","",IF(G41="Dubai",HLOOKUP(F41,Inputs!$C$26:$M$37,9,0),HLOOKUP(F41,Inputs!$C$45:$M$56,9,0)))</f>
        <v/>
      </c>
      <c r="BE41" s="335" t="str">
        <f>IF(F41="","",IF(G41="Dubai",HLOOKUP(F41,Inputs!$C$26:$M$37,10,0),HLOOKUP(F41,Inputs!$C$45:$M$56,10,0)))</f>
        <v/>
      </c>
      <c r="BF41" s="335" t="str">
        <f>IF(F41="","",IF(G41="Dubai",HLOOKUP(F41,Inputs!$C$26:$M$37,11,0),HLOOKUP(F41,Inputs!$C$45:$M$56,11,0)))</f>
        <v/>
      </c>
      <c r="BG41" s="334" t="str">
        <f>IF(F41="","",IF(G41="Dubai",HLOOKUP(F41,Inputs!$C$26:$M$37,12,0),HLOOKUP(F41,Inputs!$C$45:$M$56,12,0)))</f>
        <v/>
      </c>
      <c r="BI41" s="334" t="str">
        <f>IFERROR(IF(AO41="","",IF(AQ41="Dubai",IF(OR(AO41="Plan1",AO41="Plan2"),VLOOKUP(BD41,Deviation!$B$31:$D$33,2,FALSE),VLOOKUP(BD41,Deviation!$B$31:$D$33,3,FALSE)),IF(OR(AO41="Plan1",AO41="Plan2"),VLOOKUP(BD41,Deviation!$E$31:$G$33,2,FALSE),VLOOKUP(BD41,Deviation!$E$31:$G$33,3,FALSE)))),0)</f>
        <v/>
      </c>
      <c r="BJ41" s="336" t="str">
        <f>IFERROR(IF(AO41="","",IF(AQ41="Dubai",IF(AO41="Plan1",VLOOKUP(BE41,Deviation!$B$39:$C$40,2,FALSE),IF(AO41="Plan2",VLOOKUP(BE41,Deviation!$B$42:$C$43,2,FALSE),IF(AO41="Plan5",VLOOKUP(BE41,Deviation!$B$48:$C$49,2,FALSE),VLOOKUP(BE41,Deviation!$B$45:$C$46,2,FALSE)))),IF(AO41="Plan1",VLOOKUP(BE41,Deviation!$E$39:$F$40,2,FALSE),IF(AO41="Plan2",VLOOKUP(BE41,Deviation!$E$42:$F$43,2,FALSE),VLOOKUP(BE41,Deviation!$E$45:$F$46,2,FALSE))))),0)</f>
        <v/>
      </c>
      <c r="BK41" s="336" t="str">
        <f>IFERROR(IF(AO41="","",IF(AQ41="Dubai",IF(OR(AO41="Plan1",AO41="Plan2"),VLOOKUP(BF41,Deviation!$B$15:$D$18,2,FALSE),VLOOKUP(BF41,Deviation!$B$15:$D$18,3,FALSE)),IF(OR(AO41="Plan1",AO41="Plan2"),VLOOKUP(BF41,Deviation!$E$15:$G$18,2,FALSE),VLOOKUP(BF41,Deviation!$E$15:$G$18,3,FALSE)))),0)</f>
        <v/>
      </c>
      <c r="BL41" s="334" t="str">
        <f>IFERROR(IF(AO41="","",IF(AQ41="Dubai",VLOOKUP(BG41,Deviation!$B$24:$C$26,2,FALSE),100%)),0)</f>
        <v/>
      </c>
    </row>
    <row r="42" spans="1:64" ht="14.25" x14ac:dyDescent="0.2">
      <c r="A42" s="59">
        <v>37</v>
      </c>
      <c r="B42" s="298"/>
      <c r="C42" s="299"/>
      <c r="D42" s="298"/>
      <c r="E42" s="298"/>
      <c r="F42" s="298"/>
      <c r="G42" s="298"/>
      <c r="H42" s="298"/>
      <c r="I42" s="503"/>
      <c r="J42" s="80" t="str">
        <f>IFERROR(ROUNDDOWN(IF(C42="","",(MAX((eff_date-Additions!C42)/365.25,0))),0),"")</f>
        <v/>
      </c>
      <c r="K42" s="59" t="str">
        <f>IF(F42="","",IF(G42="Dubai",HLOOKUP(F42,Inputs!$C$26:$M$28,3,0),HLOOKUP(F42,Inputs!$C$45:$M$46,2,0)))</f>
        <v/>
      </c>
      <c r="L42" s="335" t="str">
        <f t="shared" si="24"/>
        <v/>
      </c>
      <c r="M42" s="335">
        <f t="shared" si="25"/>
        <v>0</v>
      </c>
      <c r="N42" s="335" t="str">
        <f t="shared" si="26"/>
        <v/>
      </c>
      <c r="O42" s="335">
        <f t="shared" si="27"/>
        <v>0</v>
      </c>
      <c r="P42" s="104"/>
      <c r="Q42" s="105">
        <f t="shared" si="16"/>
        <v>0</v>
      </c>
      <c r="R42" s="59" t="b">
        <f t="shared" si="4"/>
        <v>0</v>
      </c>
      <c r="S42" s="102" t="str">
        <f t="shared" si="17"/>
        <v>x</v>
      </c>
      <c r="T42" s="102" t="str">
        <f t="shared" si="28"/>
        <v>x</v>
      </c>
      <c r="U42" s="102" t="str">
        <f t="shared" si="29"/>
        <v>x</v>
      </c>
      <c r="V42" s="102" t="str">
        <f t="shared" si="30"/>
        <v>x</v>
      </c>
      <c r="W42" s="102" t="str">
        <f t="shared" si="31"/>
        <v>x</v>
      </c>
      <c r="X42" s="102" t="str">
        <f>IF(ISERROR(MATCH(G42,'Inputs Mapping'!$T$4:$T$5,0)),"x","")</f>
        <v>x</v>
      </c>
      <c r="Y42" s="102" t="str">
        <f>IF(ISERROR(MATCH(AE42,'Inputs Mapping'!$U$4:$U$5,0)),"x","")</f>
        <v>x</v>
      </c>
      <c r="Z42" s="102" t="str">
        <f>IF(ISERROR(MATCH(AF42,'Inputs Mapping'!$V$4:$V$5,0)),"x","")</f>
        <v>x</v>
      </c>
      <c r="AA42" s="102" t="str">
        <f>IF(ISERROR(MATCH(F42,'Inputs Mapping'!$W$4:$W$8,0)),"x","")</f>
        <v>x</v>
      </c>
      <c r="AB42" s="102" t="str">
        <f t="shared" si="9"/>
        <v/>
      </c>
      <c r="AC42" s="102" t="str">
        <f t="shared" si="10"/>
        <v/>
      </c>
      <c r="AD42" s="102" t="str">
        <f t="shared" si="32"/>
        <v/>
      </c>
      <c r="AE42" s="102" t="str">
        <f t="shared" si="18"/>
        <v/>
      </c>
      <c r="AF42" s="102" t="str">
        <f t="shared" si="19"/>
        <v/>
      </c>
      <c r="AG42" s="102" t="str">
        <f t="shared" si="20"/>
        <v>x</v>
      </c>
      <c r="AK42" s="95" t="str">
        <f t="shared" si="12"/>
        <v/>
      </c>
      <c r="AL42" s="59" t="str">
        <f>IF(J42="","",VLOOKUP(J42,'Inputs Mapping'!$T$27:$V$30,3))</f>
        <v/>
      </c>
      <c r="AM42" s="59" t="str">
        <f>IF(J42="","",VLOOKUP(J42,'Inputs Mapping'!$T$17:$V$24,3))</f>
        <v/>
      </c>
      <c r="AN42" s="59" t="str">
        <f t="shared" si="13"/>
        <v/>
      </c>
      <c r="AO42" s="102" t="str">
        <f t="shared" si="14"/>
        <v/>
      </c>
      <c r="AP42" s="102" t="str">
        <f>IF(F42="","",IF(G42="Dubai",HLOOKUP(F42,Inputs!$C$26:$M$36,5,0),HLOOKUP(F42,Inputs!$C$45:$M$49,5,0)))</f>
        <v/>
      </c>
      <c r="AQ42" s="102">
        <f t="shared" si="15"/>
        <v>0</v>
      </c>
      <c r="AR42" s="59" t="str">
        <f>IF(AM42="","",IF(AQ42="Dubai",VLOOKUP(AM42,'Inputs Mapping'!$V$17:$W$24,2,0),VLOOKUP(AL42,'Inputs Mapping'!$V$27:$W$30,2,0)))</f>
        <v/>
      </c>
      <c r="AS42" s="333">
        <f>IFERROR(IF($AQ42="","",HLOOKUP($AQ42&amp;RIGHT($AO42,1),'input for formula'!$B$16:$I$20,3,0)),0)</f>
        <v>0</v>
      </c>
      <c r="AT42" s="80">
        <f>IFERROR(IF($AQ42="","",HLOOKUP($AQ42&amp;$F42,'input for formula'!$B$22:$M$25,2,0)),0)</f>
        <v>0</v>
      </c>
      <c r="AU42" s="333">
        <f>IFERROR(IF($AQ42="","",HLOOKUP($AQ42&amp;RIGHT($AO42,1),'input for formula'!$B$16:$I$20,4,0)),0)</f>
        <v>0</v>
      </c>
      <c r="AV42" s="80">
        <f>IFERROR(IF($AQ42="","",HLOOKUP($AQ42&amp;$F42,'input for formula'!$B$22:$M$25,3,0)),0)</f>
        <v>0</v>
      </c>
      <c r="AW42" s="333">
        <f>IFERROR(IF($AQ42="","",HLOOKUP($AQ42&amp;RIGHT($AO42,1),'input for formula'!$B$16:$I$20,5,0)),0)</f>
        <v>0</v>
      </c>
      <c r="AX42" s="80">
        <f>IFERROR(IF($AQ42="","",HLOOKUP($AQ42&amp;$F42,'input for formula'!$B$22:$M$25,4,0)),0)</f>
        <v>0</v>
      </c>
      <c r="AY42" s="333">
        <f>IFERROR(IF($AQ42="","",IF(Additions!$AQ42="Abu Dhabi",VLOOKUP(Additions!$AP42,'input for formula'!$A$28:$C$41,3,0),VLOOKUP(Additions!$AP42,'input for formula'!$A$28:$C$41,2,0))),0)*IFERROR(1+IF(AQ42="Dubai",VLOOKUP(F42,'Quotation for Dubai Plans'!$V$6:$X$12,3,FALSE),VLOOKUP(F42,'Quotation for Abu Dhabi Plans'!$W$6:$Y$12,3,FALSE)),0)</f>
        <v>0</v>
      </c>
      <c r="AZ42" s="80" t="str">
        <f t="shared" si="23"/>
        <v/>
      </c>
      <c r="BA42" s="106" t="str">
        <f>IFERROR(IF(AO42="","",IF(AQ42="Dubai",HLOOKUP((AO42&amp;AP42),Deviation!$B$7:$S$8,2,0)*BI42*BK42*BL42*BJ42,HLOOKUP((AO42&amp;AP42),Deviation!$B$9:$K$10,2,0)*BI42*BK42*BL42*BJ42)),0)</f>
        <v/>
      </c>
      <c r="BB42" s="107" t="e">
        <f>IF(AO42="","",IFERROR(IF(AO42="","",IF(AQ42="Dubai",HLOOKUP(BC42,'input for formula'!$B$3:$F$10,AR42,FALSE), IF(AND(H42="Employee",AQ42="Abu Dhabi"),HLOOKUP(BC42,'input for formula'!$I$3:$K$7,AR42,FALSE),HLOOKUP(BC42,'input for formula'!$M$3:$O$7,AR42,FALSE)))*BA42+AS42*AT42+AU42*AV42+AW42*AX42),0)*$BC$3)*IF(Inputs!$C$19&gt;100,(1+$BC$2),1)</f>
        <v>#VALUE!</v>
      </c>
      <c r="BC42" s="95" t="str">
        <f t="shared" si="22"/>
        <v/>
      </c>
      <c r="BD42" s="334" t="str">
        <f>IF(F42="","",IF(G42="Dubai",HLOOKUP(F42,Inputs!$C$26:$M$37,9,0),HLOOKUP(F42,Inputs!$C$45:$M$56,9,0)))</f>
        <v/>
      </c>
      <c r="BE42" s="335" t="str">
        <f>IF(F42="","",IF(G42="Dubai",HLOOKUP(F42,Inputs!$C$26:$M$37,10,0),HLOOKUP(F42,Inputs!$C$45:$M$56,10,0)))</f>
        <v/>
      </c>
      <c r="BF42" s="335" t="str">
        <f>IF(F42="","",IF(G42="Dubai",HLOOKUP(F42,Inputs!$C$26:$M$37,11,0),HLOOKUP(F42,Inputs!$C$45:$M$56,11,0)))</f>
        <v/>
      </c>
      <c r="BG42" s="334" t="str">
        <f>IF(F42="","",IF(G42="Dubai",HLOOKUP(F42,Inputs!$C$26:$M$37,12,0),HLOOKUP(F42,Inputs!$C$45:$M$56,12,0)))</f>
        <v/>
      </c>
      <c r="BI42" s="334" t="str">
        <f>IFERROR(IF(AO42="","",IF(AQ42="Dubai",IF(OR(AO42="Plan1",AO42="Plan2"),VLOOKUP(BD42,Deviation!$B$31:$D$33,2,FALSE),VLOOKUP(BD42,Deviation!$B$31:$D$33,3,FALSE)),IF(OR(AO42="Plan1",AO42="Plan2"),VLOOKUP(BD42,Deviation!$E$31:$G$33,2,FALSE),VLOOKUP(BD42,Deviation!$E$31:$G$33,3,FALSE)))),0)</f>
        <v/>
      </c>
      <c r="BJ42" s="336" t="str">
        <f>IFERROR(IF(AO42="","",IF(AQ42="Dubai",IF(AO42="Plan1",VLOOKUP(BE42,Deviation!$B$39:$C$40,2,FALSE),IF(AO42="Plan2",VLOOKUP(BE42,Deviation!$B$42:$C$43,2,FALSE),IF(AO42="Plan5",VLOOKUP(BE42,Deviation!$B$48:$C$49,2,FALSE),VLOOKUP(BE42,Deviation!$B$45:$C$46,2,FALSE)))),IF(AO42="Plan1",VLOOKUP(BE42,Deviation!$E$39:$F$40,2,FALSE),IF(AO42="Plan2",VLOOKUP(BE42,Deviation!$E$42:$F$43,2,FALSE),VLOOKUP(BE42,Deviation!$E$45:$F$46,2,FALSE))))),0)</f>
        <v/>
      </c>
      <c r="BK42" s="336" t="str">
        <f>IFERROR(IF(AO42="","",IF(AQ42="Dubai",IF(OR(AO42="Plan1",AO42="Plan2"),VLOOKUP(BF42,Deviation!$B$15:$D$18,2,FALSE),VLOOKUP(BF42,Deviation!$B$15:$D$18,3,FALSE)),IF(OR(AO42="Plan1",AO42="Plan2"),VLOOKUP(BF42,Deviation!$E$15:$G$18,2,FALSE),VLOOKUP(BF42,Deviation!$E$15:$G$18,3,FALSE)))),0)</f>
        <v/>
      </c>
      <c r="BL42" s="334" t="str">
        <f>IFERROR(IF(AO42="","",IF(AQ42="Dubai",VLOOKUP(BG42,Deviation!$B$24:$C$26,2,FALSE),100%)),0)</f>
        <v/>
      </c>
    </row>
    <row r="43" spans="1:64" ht="14.25" x14ac:dyDescent="0.2">
      <c r="A43" s="59">
        <v>38</v>
      </c>
      <c r="B43" s="298"/>
      <c r="C43" s="299"/>
      <c r="D43" s="298"/>
      <c r="E43" s="298"/>
      <c r="F43" s="298"/>
      <c r="G43" s="298"/>
      <c r="H43" s="298"/>
      <c r="I43" s="503"/>
      <c r="J43" s="80" t="str">
        <f>IFERROR(ROUNDDOWN(IF(C43="","",(MAX((eff_date-Additions!C43)/365.25,0))),0),"")</f>
        <v/>
      </c>
      <c r="K43" s="59" t="str">
        <f>IF(F43="","",IF(G43="Dubai",HLOOKUP(F43,Inputs!$C$26:$M$28,3,0),HLOOKUP(F43,Inputs!$C$45:$M$46,2,0)))</f>
        <v/>
      </c>
      <c r="L43" s="335" t="str">
        <f t="shared" si="24"/>
        <v/>
      </c>
      <c r="M43" s="335">
        <f t="shared" si="25"/>
        <v>0</v>
      </c>
      <c r="N43" s="335" t="str">
        <f t="shared" si="26"/>
        <v/>
      </c>
      <c r="O43" s="335">
        <f t="shared" si="27"/>
        <v>0</v>
      </c>
      <c r="P43" s="104"/>
      <c r="Q43" s="105">
        <f t="shared" si="16"/>
        <v>0</v>
      </c>
      <c r="R43" s="59" t="b">
        <f t="shared" si="4"/>
        <v>0</v>
      </c>
      <c r="S43" s="102" t="str">
        <f t="shared" si="17"/>
        <v>x</v>
      </c>
      <c r="T43" s="102" t="str">
        <f t="shared" si="28"/>
        <v>x</v>
      </c>
      <c r="U43" s="102" t="str">
        <f t="shared" si="29"/>
        <v>x</v>
      </c>
      <c r="V43" s="102" t="str">
        <f t="shared" si="30"/>
        <v>x</v>
      </c>
      <c r="W43" s="102" t="str">
        <f t="shared" si="31"/>
        <v>x</v>
      </c>
      <c r="X43" s="102" t="str">
        <f>IF(ISERROR(MATCH(G43,'Inputs Mapping'!$T$4:$T$5,0)),"x","")</f>
        <v>x</v>
      </c>
      <c r="Y43" s="102" t="str">
        <f>IF(ISERROR(MATCH(AE43,'Inputs Mapping'!$U$4:$U$5,0)),"x","")</f>
        <v>x</v>
      </c>
      <c r="Z43" s="102" t="str">
        <f>IF(ISERROR(MATCH(AF43,'Inputs Mapping'!$V$4:$V$5,0)),"x","")</f>
        <v>x</v>
      </c>
      <c r="AA43" s="102" t="str">
        <f>IF(ISERROR(MATCH(F43,'Inputs Mapping'!$W$4:$W$8,0)),"x","")</f>
        <v>x</v>
      </c>
      <c r="AB43" s="102" t="str">
        <f t="shared" si="9"/>
        <v/>
      </c>
      <c r="AC43" s="102" t="str">
        <f t="shared" si="10"/>
        <v/>
      </c>
      <c r="AD43" s="102" t="str">
        <f t="shared" si="32"/>
        <v/>
      </c>
      <c r="AE43" s="102" t="str">
        <f t="shared" si="18"/>
        <v/>
      </c>
      <c r="AF43" s="102" t="str">
        <f t="shared" si="19"/>
        <v/>
      </c>
      <c r="AG43" s="102" t="str">
        <f t="shared" si="20"/>
        <v>x</v>
      </c>
      <c r="AK43" s="95" t="str">
        <f t="shared" si="12"/>
        <v/>
      </c>
      <c r="AL43" s="59" t="str">
        <f>IF(J43="","",VLOOKUP(J43,'Inputs Mapping'!$T$27:$V$30,3))</f>
        <v/>
      </c>
      <c r="AM43" s="59" t="str">
        <f>IF(J43="","",VLOOKUP(J43,'Inputs Mapping'!$T$17:$V$24,3))</f>
        <v/>
      </c>
      <c r="AN43" s="59" t="str">
        <f t="shared" si="13"/>
        <v/>
      </c>
      <c r="AO43" s="102" t="str">
        <f t="shared" si="14"/>
        <v/>
      </c>
      <c r="AP43" s="102" t="str">
        <f>IF(F43="","",IF(G43="Dubai",HLOOKUP(F43,Inputs!$C$26:$M$36,5,0),HLOOKUP(F43,Inputs!$C$45:$M$49,5,0)))</f>
        <v/>
      </c>
      <c r="AQ43" s="102">
        <f t="shared" si="15"/>
        <v>0</v>
      </c>
      <c r="AR43" s="59" t="str">
        <f>IF(AM43="","",IF(AQ43="Dubai",VLOOKUP(AM43,'Inputs Mapping'!$V$17:$W$24,2,0),VLOOKUP(AL43,'Inputs Mapping'!$V$27:$W$30,2,0)))</f>
        <v/>
      </c>
      <c r="AS43" s="333">
        <f>IFERROR(IF($AQ43="","",HLOOKUP($AQ43&amp;RIGHT($AO43,1),'input for formula'!$B$16:$I$20,3,0)),0)</f>
        <v>0</v>
      </c>
      <c r="AT43" s="80">
        <f>IFERROR(IF($AQ43="","",HLOOKUP($AQ43&amp;$F43,'input for formula'!$B$22:$M$25,2,0)),0)</f>
        <v>0</v>
      </c>
      <c r="AU43" s="333">
        <f>IFERROR(IF($AQ43="","",HLOOKUP($AQ43&amp;RIGHT($AO43,1),'input for formula'!$B$16:$I$20,4,0)),0)</f>
        <v>0</v>
      </c>
      <c r="AV43" s="80">
        <f>IFERROR(IF($AQ43="","",HLOOKUP($AQ43&amp;$F43,'input for formula'!$B$22:$M$25,3,0)),0)</f>
        <v>0</v>
      </c>
      <c r="AW43" s="333">
        <f>IFERROR(IF($AQ43="","",HLOOKUP($AQ43&amp;RIGHT($AO43,1),'input for formula'!$B$16:$I$20,5,0)),0)</f>
        <v>0</v>
      </c>
      <c r="AX43" s="80">
        <f>IFERROR(IF($AQ43="","",HLOOKUP($AQ43&amp;$F43,'input for formula'!$B$22:$M$25,4,0)),0)</f>
        <v>0</v>
      </c>
      <c r="AY43" s="333">
        <f>IFERROR(IF($AQ43="","",IF(Additions!$AQ43="Abu Dhabi",VLOOKUP(Additions!$AP43,'input for formula'!$A$28:$C$41,3,0),VLOOKUP(Additions!$AP43,'input for formula'!$A$28:$C$41,2,0))),0)*IFERROR(1+IF(AQ43="Dubai",VLOOKUP(F43,'Quotation for Dubai Plans'!$V$6:$X$12,3,FALSE),VLOOKUP(F43,'Quotation for Abu Dhabi Plans'!$W$6:$Y$12,3,FALSE)),0)</f>
        <v>0</v>
      </c>
      <c r="AZ43" s="80" t="str">
        <f t="shared" si="23"/>
        <v/>
      </c>
      <c r="BA43" s="106" t="str">
        <f>IFERROR(IF(AO43="","",IF(AQ43="Dubai",HLOOKUP((AO43&amp;AP43),Deviation!$B$7:$S$8,2,0)*BI43*BK43*BL43*BJ43,HLOOKUP((AO43&amp;AP43),Deviation!$B$9:$K$10,2,0)*BI43*BK43*BL43*BJ43)),0)</f>
        <v/>
      </c>
      <c r="BB43" s="107" t="e">
        <f>IF(AO43="","",IFERROR(IF(AO43="","",IF(AQ43="Dubai",HLOOKUP(BC43,'input for formula'!$B$3:$F$10,AR43,FALSE), IF(AND(H43="Employee",AQ43="Abu Dhabi"),HLOOKUP(BC43,'input for formula'!$I$3:$K$7,AR43,FALSE),HLOOKUP(BC43,'input for formula'!$M$3:$O$7,AR43,FALSE)))*BA43+AS43*AT43+AU43*AV43+AW43*AX43),0)*$BC$3)*IF(Inputs!$C$19&gt;100,(1+$BC$2),1)</f>
        <v>#VALUE!</v>
      </c>
      <c r="BC43" s="95" t="str">
        <f t="shared" si="22"/>
        <v/>
      </c>
      <c r="BD43" s="334" t="str">
        <f>IF(F43="","",IF(G43="Dubai",HLOOKUP(F43,Inputs!$C$26:$M$37,9,0),HLOOKUP(F43,Inputs!$C$45:$M$56,9,0)))</f>
        <v/>
      </c>
      <c r="BE43" s="335" t="str">
        <f>IF(F43="","",IF(G43="Dubai",HLOOKUP(F43,Inputs!$C$26:$M$37,10,0),HLOOKUP(F43,Inputs!$C$45:$M$56,10,0)))</f>
        <v/>
      </c>
      <c r="BF43" s="335" t="str">
        <f>IF(F43="","",IF(G43="Dubai",HLOOKUP(F43,Inputs!$C$26:$M$37,11,0),HLOOKUP(F43,Inputs!$C$45:$M$56,11,0)))</f>
        <v/>
      </c>
      <c r="BG43" s="334" t="str">
        <f>IF(F43="","",IF(G43="Dubai",HLOOKUP(F43,Inputs!$C$26:$M$37,12,0),HLOOKUP(F43,Inputs!$C$45:$M$56,12,0)))</f>
        <v/>
      </c>
      <c r="BI43" s="334" t="str">
        <f>IFERROR(IF(AO43="","",IF(AQ43="Dubai",IF(OR(AO43="Plan1",AO43="Plan2"),VLOOKUP(BD43,Deviation!$B$31:$D$33,2,FALSE),VLOOKUP(BD43,Deviation!$B$31:$D$33,3,FALSE)),IF(OR(AO43="Plan1",AO43="Plan2"),VLOOKUP(BD43,Deviation!$E$31:$G$33,2,FALSE),VLOOKUP(BD43,Deviation!$E$31:$G$33,3,FALSE)))),0)</f>
        <v/>
      </c>
      <c r="BJ43" s="336" t="str">
        <f>IFERROR(IF(AO43="","",IF(AQ43="Dubai",IF(AO43="Plan1",VLOOKUP(BE43,Deviation!$B$39:$C$40,2,FALSE),IF(AO43="Plan2",VLOOKUP(BE43,Deviation!$B$42:$C$43,2,FALSE),IF(AO43="Plan5",VLOOKUP(BE43,Deviation!$B$48:$C$49,2,FALSE),VLOOKUP(BE43,Deviation!$B$45:$C$46,2,FALSE)))),IF(AO43="Plan1",VLOOKUP(BE43,Deviation!$E$39:$F$40,2,FALSE),IF(AO43="Plan2",VLOOKUP(BE43,Deviation!$E$42:$F$43,2,FALSE),VLOOKUP(BE43,Deviation!$E$45:$F$46,2,FALSE))))),0)</f>
        <v/>
      </c>
      <c r="BK43" s="336" t="str">
        <f>IFERROR(IF(AO43="","",IF(AQ43="Dubai",IF(OR(AO43="Plan1",AO43="Plan2"),VLOOKUP(BF43,Deviation!$B$15:$D$18,2,FALSE),VLOOKUP(BF43,Deviation!$B$15:$D$18,3,FALSE)),IF(OR(AO43="Plan1",AO43="Plan2"),VLOOKUP(BF43,Deviation!$E$15:$G$18,2,FALSE),VLOOKUP(BF43,Deviation!$E$15:$G$18,3,FALSE)))),0)</f>
        <v/>
      </c>
      <c r="BL43" s="334" t="str">
        <f>IFERROR(IF(AO43="","",IF(AQ43="Dubai",VLOOKUP(BG43,Deviation!$B$24:$C$26,2,FALSE),100%)),0)</f>
        <v/>
      </c>
    </row>
    <row r="44" spans="1:64" ht="14.25" x14ac:dyDescent="0.2">
      <c r="A44" s="59">
        <v>39</v>
      </c>
      <c r="B44" s="298"/>
      <c r="C44" s="299"/>
      <c r="D44" s="298"/>
      <c r="E44" s="298"/>
      <c r="F44" s="298"/>
      <c r="G44" s="298"/>
      <c r="H44" s="298"/>
      <c r="I44" s="503"/>
      <c r="J44" s="80" t="str">
        <f>IFERROR(ROUNDDOWN(IF(C44="","",(MAX((eff_date-Additions!C44)/365.25,0))),0),"")</f>
        <v/>
      </c>
      <c r="K44" s="59" t="str">
        <f>IF(F44="","",IF(G44="Dubai",HLOOKUP(F44,Inputs!$C$26:$M$28,3,0),HLOOKUP(F44,Inputs!$C$45:$M$46,2,0)))</f>
        <v/>
      </c>
      <c r="L44" s="335" t="str">
        <f t="shared" si="24"/>
        <v/>
      </c>
      <c r="M44" s="335">
        <f t="shared" si="25"/>
        <v>0</v>
      </c>
      <c r="N44" s="335" t="str">
        <f t="shared" si="26"/>
        <v/>
      </c>
      <c r="O44" s="335">
        <f t="shared" si="27"/>
        <v>0</v>
      </c>
      <c r="P44" s="104"/>
      <c r="Q44" s="105">
        <f t="shared" si="16"/>
        <v>0</v>
      </c>
      <c r="R44" s="59" t="b">
        <f t="shared" si="4"/>
        <v>0</v>
      </c>
      <c r="S44" s="102" t="str">
        <f t="shared" si="17"/>
        <v>x</v>
      </c>
      <c r="T44" s="102" t="str">
        <f t="shared" si="28"/>
        <v>x</v>
      </c>
      <c r="U44" s="102" t="str">
        <f t="shared" si="29"/>
        <v>x</v>
      </c>
      <c r="V44" s="102" t="str">
        <f t="shared" si="30"/>
        <v>x</v>
      </c>
      <c r="W44" s="102" t="str">
        <f t="shared" si="31"/>
        <v>x</v>
      </c>
      <c r="X44" s="102" t="str">
        <f>IF(ISERROR(MATCH(G44,'Inputs Mapping'!$T$4:$T$5,0)),"x","")</f>
        <v>x</v>
      </c>
      <c r="Y44" s="102" t="str">
        <f>IF(ISERROR(MATCH(AE44,'Inputs Mapping'!$U$4:$U$5,0)),"x","")</f>
        <v>x</v>
      </c>
      <c r="Z44" s="102" t="str">
        <f>IF(ISERROR(MATCH(AF44,'Inputs Mapping'!$V$4:$V$5,0)),"x","")</f>
        <v>x</v>
      </c>
      <c r="AA44" s="102" t="str">
        <f>IF(ISERROR(MATCH(F44,'Inputs Mapping'!$W$4:$W$8,0)),"x","")</f>
        <v>x</v>
      </c>
      <c r="AB44" s="102" t="str">
        <f t="shared" si="9"/>
        <v/>
      </c>
      <c r="AC44" s="102" t="str">
        <f t="shared" si="10"/>
        <v/>
      </c>
      <c r="AD44" s="102" t="str">
        <f t="shared" si="32"/>
        <v/>
      </c>
      <c r="AE44" s="102" t="str">
        <f t="shared" si="18"/>
        <v/>
      </c>
      <c r="AF44" s="102" t="str">
        <f t="shared" si="19"/>
        <v/>
      </c>
      <c r="AG44" s="102" t="str">
        <f t="shared" si="20"/>
        <v>x</v>
      </c>
      <c r="AK44" s="95" t="str">
        <f t="shared" si="12"/>
        <v/>
      </c>
      <c r="AL44" s="59" t="str">
        <f>IF(J44="","",VLOOKUP(J44,'Inputs Mapping'!$T$27:$V$30,3))</f>
        <v/>
      </c>
      <c r="AM44" s="59" t="str">
        <f>IF(J44="","",VLOOKUP(J44,'Inputs Mapping'!$T$17:$V$24,3))</f>
        <v/>
      </c>
      <c r="AN44" s="59" t="str">
        <f t="shared" si="13"/>
        <v/>
      </c>
      <c r="AO44" s="102" t="str">
        <f t="shared" si="14"/>
        <v/>
      </c>
      <c r="AP44" s="102" t="str">
        <f>IF(F44="","",IF(G44="Dubai",HLOOKUP(F44,Inputs!$C$26:$M$36,5,0),HLOOKUP(F44,Inputs!$C$45:$M$49,5,0)))</f>
        <v/>
      </c>
      <c r="AQ44" s="102">
        <f t="shared" si="15"/>
        <v>0</v>
      </c>
      <c r="AR44" s="59" t="str">
        <f>IF(AM44="","",IF(AQ44="Dubai",VLOOKUP(AM44,'Inputs Mapping'!$V$17:$W$24,2,0),VLOOKUP(AL44,'Inputs Mapping'!$V$27:$W$30,2,0)))</f>
        <v/>
      </c>
      <c r="AS44" s="333">
        <f>IFERROR(IF($AQ44="","",HLOOKUP($AQ44&amp;RIGHT($AO44,1),'input for formula'!$B$16:$I$20,3,0)),0)</f>
        <v>0</v>
      </c>
      <c r="AT44" s="80">
        <f>IFERROR(IF($AQ44="","",HLOOKUP($AQ44&amp;$F44,'input for formula'!$B$22:$M$25,2,0)),0)</f>
        <v>0</v>
      </c>
      <c r="AU44" s="333">
        <f>IFERROR(IF($AQ44="","",HLOOKUP($AQ44&amp;RIGHT($AO44,1),'input for formula'!$B$16:$I$20,4,0)),0)</f>
        <v>0</v>
      </c>
      <c r="AV44" s="80">
        <f>IFERROR(IF($AQ44="","",HLOOKUP($AQ44&amp;$F44,'input for formula'!$B$22:$M$25,3,0)),0)</f>
        <v>0</v>
      </c>
      <c r="AW44" s="333">
        <f>IFERROR(IF($AQ44="","",HLOOKUP($AQ44&amp;RIGHT($AO44,1),'input for formula'!$B$16:$I$20,5,0)),0)</f>
        <v>0</v>
      </c>
      <c r="AX44" s="80">
        <f>IFERROR(IF($AQ44="","",HLOOKUP($AQ44&amp;$F44,'input for formula'!$B$22:$M$25,4,0)),0)</f>
        <v>0</v>
      </c>
      <c r="AY44" s="333">
        <f>IFERROR(IF($AQ44="","",IF(Additions!$AQ44="Abu Dhabi",VLOOKUP(Additions!$AP44,'input for formula'!$A$28:$C$41,3,0),VLOOKUP(Additions!$AP44,'input for formula'!$A$28:$C$41,2,0))),0)*IFERROR(1+IF(AQ44="Dubai",VLOOKUP(F44,'Quotation for Dubai Plans'!$V$6:$X$12,3,FALSE),VLOOKUP(F44,'Quotation for Abu Dhabi Plans'!$W$6:$Y$12,3,FALSE)),0)</f>
        <v>0</v>
      </c>
      <c r="AZ44" s="80" t="str">
        <f t="shared" si="23"/>
        <v/>
      </c>
      <c r="BA44" s="106" t="str">
        <f>IFERROR(IF(AO44="","",IF(AQ44="Dubai",HLOOKUP((AO44&amp;AP44),Deviation!$B$7:$S$8,2,0)*BI44*BK44*BL44*BJ44,HLOOKUP((AO44&amp;AP44),Deviation!$B$9:$K$10,2,0)*BI44*BK44*BL44*BJ44)),0)</f>
        <v/>
      </c>
      <c r="BB44" s="107" t="e">
        <f>IF(AO44="","",IFERROR(IF(AO44="","",IF(AQ44="Dubai",HLOOKUP(BC44,'input for formula'!$B$3:$F$10,AR44,FALSE), IF(AND(H44="Employee",AQ44="Abu Dhabi"),HLOOKUP(BC44,'input for formula'!$I$3:$K$7,AR44,FALSE),HLOOKUP(BC44,'input for formula'!$M$3:$O$7,AR44,FALSE)))*BA44+AS44*AT44+AU44*AV44+AW44*AX44),0)*$BC$3)*IF(Inputs!$C$19&gt;100,(1+$BC$2),1)</f>
        <v>#VALUE!</v>
      </c>
      <c r="BC44" s="95" t="str">
        <f t="shared" si="22"/>
        <v/>
      </c>
      <c r="BD44" s="334" t="str">
        <f>IF(F44="","",IF(G44="Dubai",HLOOKUP(F44,Inputs!$C$26:$M$37,9,0),HLOOKUP(F44,Inputs!$C$45:$M$56,9,0)))</f>
        <v/>
      </c>
      <c r="BE44" s="335" t="str">
        <f>IF(F44="","",IF(G44="Dubai",HLOOKUP(F44,Inputs!$C$26:$M$37,10,0),HLOOKUP(F44,Inputs!$C$45:$M$56,10,0)))</f>
        <v/>
      </c>
      <c r="BF44" s="335" t="str">
        <f>IF(F44="","",IF(G44="Dubai",HLOOKUP(F44,Inputs!$C$26:$M$37,11,0),HLOOKUP(F44,Inputs!$C$45:$M$56,11,0)))</f>
        <v/>
      </c>
      <c r="BG44" s="334" t="str">
        <f>IF(F44="","",IF(G44="Dubai",HLOOKUP(F44,Inputs!$C$26:$M$37,12,0),HLOOKUP(F44,Inputs!$C$45:$M$56,12,0)))</f>
        <v/>
      </c>
      <c r="BI44" s="334" t="str">
        <f>IFERROR(IF(AO44="","",IF(AQ44="Dubai",IF(OR(AO44="Plan1",AO44="Plan2"),VLOOKUP(BD44,Deviation!$B$31:$D$33,2,FALSE),VLOOKUP(BD44,Deviation!$B$31:$D$33,3,FALSE)),IF(OR(AO44="Plan1",AO44="Plan2"),VLOOKUP(BD44,Deviation!$E$31:$G$33,2,FALSE),VLOOKUP(BD44,Deviation!$E$31:$G$33,3,FALSE)))),0)</f>
        <v/>
      </c>
      <c r="BJ44" s="336" t="str">
        <f>IFERROR(IF(AO44="","",IF(AQ44="Dubai",IF(AO44="Plan1",VLOOKUP(BE44,Deviation!$B$39:$C$40,2,FALSE),IF(AO44="Plan2",VLOOKUP(BE44,Deviation!$B$42:$C$43,2,FALSE),IF(AO44="Plan5",VLOOKUP(BE44,Deviation!$B$48:$C$49,2,FALSE),VLOOKUP(BE44,Deviation!$B$45:$C$46,2,FALSE)))),IF(AO44="Plan1",VLOOKUP(BE44,Deviation!$E$39:$F$40,2,FALSE),IF(AO44="Plan2",VLOOKUP(BE44,Deviation!$E$42:$F$43,2,FALSE),VLOOKUP(BE44,Deviation!$E$45:$F$46,2,FALSE))))),0)</f>
        <v/>
      </c>
      <c r="BK44" s="336" t="str">
        <f>IFERROR(IF(AO44="","",IF(AQ44="Dubai",IF(OR(AO44="Plan1",AO44="Plan2"),VLOOKUP(BF44,Deviation!$B$15:$D$18,2,FALSE),VLOOKUP(BF44,Deviation!$B$15:$D$18,3,FALSE)),IF(OR(AO44="Plan1",AO44="Plan2"),VLOOKUP(BF44,Deviation!$E$15:$G$18,2,FALSE),VLOOKUP(BF44,Deviation!$E$15:$G$18,3,FALSE)))),0)</f>
        <v/>
      </c>
      <c r="BL44" s="334" t="str">
        <f>IFERROR(IF(AO44="","",IF(AQ44="Dubai",VLOOKUP(BG44,Deviation!$B$24:$C$26,2,FALSE),100%)),0)</f>
        <v/>
      </c>
    </row>
    <row r="45" spans="1:64" ht="14.25" x14ac:dyDescent="0.2">
      <c r="A45" s="59">
        <v>40</v>
      </c>
      <c r="B45" s="298"/>
      <c r="C45" s="299"/>
      <c r="D45" s="298"/>
      <c r="E45" s="298"/>
      <c r="F45" s="298"/>
      <c r="G45" s="298"/>
      <c r="H45" s="298"/>
      <c r="I45" s="503"/>
      <c r="J45" s="80" t="str">
        <f>IFERROR(ROUNDDOWN(IF(C45="","",(MAX((eff_date-Additions!C45)/365.25,0))),0),"")</f>
        <v/>
      </c>
      <c r="K45" s="59" t="str">
        <f>IF(F45="","",IF(G45="Dubai",HLOOKUP(F45,Inputs!$C$26:$M$28,3,0),HLOOKUP(F45,Inputs!$C$45:$M$46,2,0)))</f>
        <v/>
      </c>
      <c r="L45" s="335" t="str">
        <f t="shared" si="24"/>
        <v/>
      </c>
      <c r="M45" s="335">
        <f t="shared" si="25"/>
        <v>0</v>
      </c>
      <c r="N45" s="335" t="str">
        <f t="shared" si="26"/>
        <v/>
      </c>
      <c r="O45" s="335">
        <f t="shared" si="27"/>
        <v>0</v>
      </c>
      <c r="P45" s="104"/>
      <c r="Q45" s="105">
        <f t="shared" si="16"/>
        <v>0</v>
      </c>
      <c r="R45" s="59" t="b">
        <f t="shared" si="4"/>
        <v>0</v>
      </c>
      <c r="S45" s="102" t="str">
        <f t="shared" si="17"/>
        <v>x</v>
      </c>
      <c r="T45" s="102" t="str">
        <f t="shared" si="28"/>
        <v>x</v>
      </c>
      <c r="U45" s="102" t="str">
        <f t="shared" si="29"/>
        <v>x</v>
      </c>
      <c r="V45" s="102" t="str">
        <f t="shared" si="30"/>
        <v>x</v>
      </c>
      <c r="W45" s="102" t="str">
        <f t="shared" si="31"/>
        <v>x</v>
      </c>
      <c r="X45" s="102" t="str">
        <f>IF(ISERROR(MATCH(G45,'Inputs Mapping'!$T$4:$T$5,0)),"x","")</f>
        <v>x</v>
      </c>
      <c r="Y45" s="102" t="str">
        <f>IF(ISERROR(MATCH(AE45,'Inputs Mapping'!$U$4:$U$5,0)),"x","")</f>
        <v>x</v>
      </c>
      <c r="Z45" s="102" t="str">
        <f>IF(ISERROR(MATCH(AF45,'Inputs Mapping'!$V$4:$V$5,0)),"x","")</f>
        <v>x</v>
      </c>
      <c r="AA45" s="102" t="str">
        <f>IF(ISERROR(MATCH(F45,'Inputs Mapping'!$W$4:$W$8,0)),"x","")</f>
        <v>x</v>
      </c>
      <c r="AB45" s="102" t="str">
        <f t="shared" si="9"/>
        <v/>
      </c>
      <c r="AC45" s="102" t="str">
        <f t="shared" si="10"/>
        <v/>
      </c>
      <c r="AD45" s="102" t="str">
        <f t="shared" si="32"/>
        <v/>
      </c>
      <c r="AE45" s="102" t="str">
        <f t="shared" si="18"/>
        <v/>
      </c>
      <c r="AF45" s="102" t="str">
        <f t="shared" si="19"/>
        <v/>
      </c>
      <c r="AG45" s="102" t="str">
        <f t="shared" si="20"/>
        <v>x</v>
      </c>
      <c r="AK45" s="95" t="str">
        <f t="shared" si="12"/>
        <v/>
      </c>
      <c r="AL45" s="59" t="str">
        <f>IF(J45="","",VLOOKUP(J45,'Inputs Mapping'!$T$27:$V$30,3))</f>
        <v/>
      </c>
      <c r="AM45" s="59" t="str">
        <f>IF(J45="","",VLOOKUP(J45,'Inputs Mapping'!$T$17:$V$24,3))</f>
        <v/>
      </c>
      <c r="AN45" s="59" t="str">
        <f t="shared" si="13"/>
        <v/>
      </c>
      <c r="AO45" s="102" t="str">
        <f t="shared" si="14"/>
        <v/>
      </c>
      <c r="AP45" s="102" t="str">
        <f>IF(F45="","",IF(G45="Dubai",HLOOKUP(F45,Inputs!$C$26:$M$36,5,0),HLOOKUP(F45,Inputs!$C$45:$M$49,5,0)))</f>
        <v/>
      </c>
      <c r="AQ45" s="102">
        <f t="shared" si="15"/>
        <v>0</v>
      </c>
      <c r="AR45" s="59" t="str">
        <f>IF(AM45="","",IF(AQ45="Dubai",VLOOKUP(AM45,'Inputs Mapping'!$V$17:$W$24,2,0),VLOOKUP(AL45,'Inputs Mapping'!$V$27:$W$30,2,0)))</f>
        <v/>
      </c>
      <c r="AS45" s="333">
        <f>IFERROR(IF($AQ45="","",HLOOKUP($AQ45&amp;RIGHT($AO45,1),'input for formula'!$B$16:$I$20,3,0)),0)</f>
        <v>0</v>
      </c>
      <c r="AT45" s="80">
        <f>IFERROR(IF($AQ45="","",HLOOKUP($AQ45&amp;$F45,'input for formula'!$B$22:$M$25,2,0)),0)</f>
        <v>0</v>
      </c>
      <c r="AU45" s="333">
        <f>IFERROR(IF($AQ45="","",HLOOKUP($AQ45&amp;RIGHT($AO45,1),'input for formula'!$B$16:$I$20,4,0)),0)</f>
        <v>0</v>
      </c>
      <c r="AV45" s="80">
        <f>IFERROR(IF($AQ45="","",HLOOKUP($AQ45&amp;$F45,'input for formula'!$B$22:$M$25,3,0)),0)</f>
        <v>0</v>
      </c>
      <c r="AW45" s="333">
        <f>IFERROR(IF($AQ45="","",HLOOKUP($AQ45&amp;RIGHT($AO45,1),'input for formula'!$B$16:$I$20,5,0)),0)</f>
        <v>0</v>
      </c>
      <c r="AX45" s="80">
        <f>IFERROR(IF($AQ45="","",HLOOKUP($AQ45&amp;$F45,'input for formula'!$B$22:$M$25,4,0)),0)</f>
        <v>0</v>
      </c>
      <c r="AY45" s="333">
        <f>IFERROR(IF($AQ45="","",IF(Additions!$AQ45="Abu Dhabi",VLOOKUP(Additions!$AP45,'input for formula'!$A$28:$C$41,3,0),VLOOKUP(Additions!$AP45,'input for formula'!$A$28:$C$41,2,0))),0)*IFERROR(1+IF(AQ45="Dubai",VLOOKUP(F45,'Quotation for Dubai Plans'!$V$6:$X$12,3,FALSE),VLOOKUP(F45,'Quotation for Abu Dhabi Plans'!$W$6:$Y$12,3,FALSE)),0)</f>
        <v>0</v>
      </c>
      <c r="AZ45" s="80" t="str">
        <f t="shared" si="23"/>
        <v/>
      </c>
      <c r="BA45" s="106" t="str">
        <f>IFERROR(IF(AO45="","",IF(AQ45="Dubai",HLOOKUP((AO45&amp;AP45),Deviation!$B$7:$S$8,2,0)*BI45*BK45*BL45*BJ45,HLOOKUP((AO45&amp;AP45),Deviation!$B$9:$K$10,2,0)*BI45*BK45*BL45*BJ45)),0)</f>
        <v/>
      </c>
      <c r="BB45" s="107" t="e">
        <f>IF(AO45="","",IFERROR(IF(AO45="","",IF(AQ45="Dubai",HLOOKUP(BC45,'input for formula'!$B$3:$F$10,AR45,FALSE), IF(AND(H45="Employee",AQ45="Abu Dhabi"),HLOOKUP(BC45,'input for formula'!$I$3:$K$7,AR45,FALSE),HLOOKUP(BC45,'input for formula'!$M$3:$O$7,AR45,FALSE)))*BA45+AS45*AT45+AU45*AV45+AW45*AX45),0)*$BC$3)*IF(Inputs!$C$19&gt;100,(1+$BC$2),1)</f>
        <v>#VALUE!</v>
      </c>
      <c r="BC45" s="95" t="str">
        <f t="shared" si="22"/>
        <v/>
      </c>
      <c r="BD45" s="334" t="str">
        <f>IF(F45="","",IF(G45="Dubai",HLOOKUP(F45,Inputs!$C$26:$M$37,9,0),HLOOKUP(F45,Inputs!$C$45:$M$56,9,0)))</f>
        <v/>
      </c>
      <c r="BE45" s="335" t="str">
        <f>IF(F45="","",IF(G45="Dubai",HLOOKUP(F45,Inputs!$C$26:$M$37,10,0),HLOOKUP(F45,Inputs!$C$45:$M$56,10,0)))</f>
        <v/>
      </c>
      <c r="BF45" s="335" t="str">
        <f>IF(F45="","",IF(G45="Dubai",HLOOKUP(F45,Inputs!$C$26:$M$37,11,0),HLOOKUP(F45,Inputs!$C$45:$M$56,11,0)))</f>
        <v/>
      </c>
      <c r="BG45" s="334" t="str">
        <f>IF(F45="","",IF(G45="Dubai",HLOOKUP(F45,Inputs!$C$26:$M$37,12,0),HLOOKUP(F45,Inputs!$C$45:$M$56,12,0)))</f>
        <v/>
      </c>
      <c r="BI45" s="334" t="str">
        <f>IFERROR(IF(AO45="","",IF(AQ45="Dubai",IF(OR(AO45="Plan1",AO45="Plan2"),VLOOKUP(BD45,Deviation!$B$31:$D$33,2,FALSE),VLOOKUP(BD45,Deviation!$B$31:$D$33,3,FALSE)),IF(OR(AO45="Plan1",AO45="Plan2"),VLOOKUP(BD45,Deviation!$E$31:$G$33,2,FALSE),VLOOKUP(BD45,Deviation!$E$31:$G$33,3,FALSE)))),0)</f>
        <v/>
      </c>
      <c r="BJ45" s="336" t="str">
        <f>IFERROR(IF(AO45="","",IF(AQ45="Dubai",IF(AO45="Plan1",VLOOKUP(BE45,Deviation!$B$39:$C$40,2,FALSE),IF(AO45="Plan2",VLOOKUP(BE45,Deviation!$B$42:$C$43,2,FALSE),IF(AO45="Plan5",VLOOKUP(BE45,Deviation!$B$48:$C$49,2,FALSE),VLOOKUP(BE45,Deviation!$B$45:$C$46,2,FALSE)))),IF(AO45="Plan1",VLOOKUP(BE45,Deviation!$E$39:$F$40,2,FALSE),IF(AO45="Plan2",VLOOKUP(BE45,Deviation!$E$42:$F$43,2,FALSE),VLOOKUP(BE45,Deviation!$E$45:$F$46,2,FALSE))))),0)</f>
        <v/>
      </c>
      <c r="BK45" s="336" t="str">
        <f>IFERROR(IF(AO45="","",IF(AQ45="Dubai",IF(OR(AO45="Plan1",AO45="Plan2"),VLOOKUP(BF45,Deviation!$B$15:$D$18,2,FALSE),VLOOKUP(BF45,Deviation!$B$15:$D$18,3,FALSE)),IF(OR(AO45="Plan1",AO45="Plan2"),VLOOKUP(BF45,Deviation!$E$15:$G$18,2,FALSE),VLOOKUP(BF45,Deviation!$E$15:$G$18,3,FALSE)))),0)</f>
        <v/>
      </c>
      <c r="BL45" s="334" t="str">
        <f>IFERROR(IF(AO45="","",IF(AQ45="Dubai",VLOOKUP(BG45,Deviation!$B$24:$C$26,2,FALSE),100%)),0)</f>
        <v/>
      </c>
    </row>
    <row r="46" spans="1:64" ht="14.25" x14ac:dyDescent="0.2">
      <c r="A46" s="59">
        <v>41</v>
      </c>
      <c r="B46" s="298"/>
      <c r="C46" s="299"/>
      <c r="D46" s="298"/>
      <c r="E46" s="298"/>
      <c r="F46" s="298"/>
      <c r="G46" s="298"/>
      <c r="H46" s="298"/>
      <c r="I46" s="503"/>
      <c r="J46" s="80" t="str">
        <f>IFERROR(ROUNDDOWN(IF(C46="","",(MAX((eff_date-Additions!C46)/365.25,0))),0),"")</f>
        <v/>
      </c>
      <c r="K46" s="59" t="str">
        <f>IF(F46="","",IF(G46="Dubai",HLOOKUP(F46,Inputs!$C$26:$M$28,3,0),HLOOKUP(F46,Inputs!$C$45:$M$46,2,0)))</f>
        <v/>
      </c>
      <c r="L46" s="335" t="str">
        <f t="shared" si="24"/>
        <v/>
      </c>
      <c r="M46" s="335">
        <f t="shared" si="25"/>
        <v>0</v>
      </c>
      <c r="N46" s="335" t="str">
        <f t="shared" si="26"/>
        <v/>
      </c>
      <c r="O46" s="335">
        <f t="shared" si="27"/>
        <v>0</v>
      </c>
      <c r="P46" s="104"/>
      <c r="Q46" s="105">
        <f t="shared" si="16"/>
        <v>0</v>
      </c>
      <c r="R46" s="59" t="b">
        <f t="shared" si="4"/>
        <v>0</v>
      </c>
      <c r="S46" s="102" t="str">
        <f t="shared" si="17"/>
        <v>x</v>
      </c>
      <c r="T46" s="102" t="str">
        <f t="shared" si="28"/>
        <v>x</v>
      </c>
      <c r="U46" s="102" t="str">
        <f t="shared" si="29"/>
        <v>x</v>
      </c>
      <c r="V46" s="102" t="str">
        <f t="shared" si="30"/>
        <v>x</v>
      </c>
      <c r="W46" s="102" t="str">
        <f t="shared" si="31"/>
        <v>x</v>
      </c>
      <c r="X46" s="102" t="str">
        <f>IF(ISERROR(MATCH(G46,'Inputs Mapping'!$T$4:$T$5,0)),"x","")</f>
        <v>x</v>
      </c>
      <c r="Y46" s="102" t="str">
        <f>IF(ISERROR(MATCH(AE46,'Inputs Mapping'!$U$4:$U$5,0)),"x","")</f>
        <v>x</v>
      </c>
      <c r="Z46" s="102" t="str">
        <f>IF(ISERROR(MATCH(AF46,'Inputs Mapping'!$V$4:$V$5,0)),"x","")</f>
        <v>x</v>
      </c>
      <c r="AA46" s="102" t="str">
        <f>IF(ISERROR(MATCH(F46,'Inputs Mapping'!$W$4:$W$8,0)),"x","")</f>
        <v>x</v>
      </c>
      <c r="AB46" s="102" t="str">
        <f t="shared" si="9"/>
        <v/>
      </c>
      <c r="AC46" s="102" t="str">
        <f t="shared" si="10"/>
        <v/>
      </c>
      <c r="AD46" s="102" t="str">
        <f t="shared" si="32"/>
        <v/>
      </c>
      <c r="AE46" s="102" t="str">
        <f t="shared" si="18"/>
        <v/>
      </c>
      <c r="AF46" s="102" t="str">
        <f t="shared" si="19"/>
        <v/>
      </c>
      <c r="AG46" s="102" t="str">
        <f t="shared" si="20"/>
        <v>x</v>
      </c>
      <c r="AK46" s="95" t="str">
        <f t="shared" si="12"/>
        <v/>
      </c>
      <c r="AL46" s="59" t="str">
        <f>IF(J46="","",VLOOKUP(J46,'Inputs Mapping'!$T$27:$V$30,3))</f>
        <v/>
      </c>
      <c r="AM46" s="59" t="str">
        <f>IF(J46="","",VLOOKUP(J46,'Inputs Mapping'!$T$17:$V$24,3))</f>
        <v/>
      </c>
      <c r="AN46" s="59" t="str">
        <f t="shared" si="13"/>
        <v/>
      </c>
      <c r="AO46" s="102" t="str">
        <f t="shared" si="14"/>
        <v/>
      </c>
      <c r="AP46" s="102" t="str">
        <f>IF(F46="","",IF(G46="Dubai",HLOOKUP(F46,Inputs!$C$26:$M$36,5,0),HLOOKUP(F46,Inputs!$C$45:$M$49,5,0)))</f>
        <v/>
      </c>
      <c r="AQ46" s="102">
        <f t="shared" si="15"/>
        <v>0</v>
      </c>
      <c r="AR46" s="59" t="str">
        <f>IF(AM46="","",IF(AQ46="Dubai",VLOOKUP(AM46,'Inputs Mapping'!$V$17:$W$24,2,0),VLOOKUP(AL46,'Inputs Mapping'!$V$27:$W$30,2,0)))</f>
        <v/>
      </c>
      <c r="AS46" s="333">
        <f>IFERROR(IF($AQ46="","",HLOOKUP($AQ46&amp;RIGHT($AO46,1),'input for formula'!$B$16:$I$20,3,0)),0)</f>
        <v>0</v>
      </c>
      <c r="AT46" s="80">
        <f>IFERROR(IF($AQ46="","",HLOOKUP($AQ46&amp;$F46,'input for formula'!$B$22:$M$25,2,0)),0)</f>
        <v>0</v>
      </c>
      <c r="AU46" s="333">
        <f>IFERROR(IF($AQ46="","",HLOOKUP($AQ46&amp;RIGHT($AO46,1),'input for formula'!$B$16:$I$20,4,0)),0)</f>
        <v>0</v>
      </c>
      <c r="AV46" s="80">
        <f>IFERROR(IF($AQ46="","",HLOOKUP($AQ46&amp;$F46,'input for formula'!$B$22:$M$25,3,0)),0)</f>
        <v>0</v>
      </c>
      <c r="AW46" s="333">
        <f>IFERROR(IF($AQ46="","",HLOOKUP($AQ46&amp;RIGHT($AO46,1),'input for formula'!$B$16:$I$20,5,0)),0)</f>
        <v>0</v>
      </c>
      <c r="AX46" s="80">
        <f>IFERROR(IF($AQ46="","",HLOOKUP($AQ46&amp;$F46,'input for formula'!$B$22:$M$25,4,0)),0)</f>
        <v>0</v>
      </c>
      <c r="AY46" s="333">
        <f>IFERROR(IF($AQ46="","",IF(Additions!$AQ46="Abu Dhabi",VLOOKUP(Additions!$AP46,'input for formula'!$A$28:$C$41,3,0),VLOOKUP(Additions!$AP46,'input for formula'!$A$28:$C$41,2,0))),0)*IFERROR(1+IF(AQ46="Dubai",VLOOKUP(F46,'Quotation for Dubai Plans'!$V$6:$X$12,3,FALSE),VLOOKUP(F46,'Quotation for Abu Dhabi Plans'!$W$6:$Y$12,3,FALSE)),0)</f>
        <v>0</v>
      </c>
      <c r="AZ46" s="80" t="str">
        <f t="shared" si="23"/>
        <v/>
      </c>
      <c r="BA46" s="106" t="str">
        <f>IFERROR(IF(AO46="","",IF(AQ46="Dubai",HLOOKUP((AO46&amp;AP46),Deviation!$B$7:$S$8,2,0)*BI46*BK46*BL46*BJ46,HLOOKUP((AO46&amp;AP46),Deviation!$B$9:$K$10,2,0)*BI46*BK46*BL46*BJ46)),0)</f>
        <v/>
      </c>
      <c r="BB46" s="107" t="e">
        <f>IF(AO46="","",IFERROR(IF(AO46="","",IF(AQ46="Dubai",HLOOKUP(BC46,'input for formula'!$B$3:$F$10,AR46,FALSE), IF(AND(H46="Employee",AQ46="Abu Dhabi"),HLOOKUP(BC46,'input for formula'!$I$3:$K$7,AR46,FALSE),HLOOKUP(BC46,'input for formula'!$M$3:$O$7,AR46,FALSE)))*BA46+AS46*AT46+AU46*AV46+AW46*AX46),0)*$BC$3)*IF(Inputs!$C$19&gt;100,(1+$BC$2),1)</f>
        <v>#VALUE!</v>
      </c>
      <c r="BC46" s="95" t="str">
        <f t="shared" si="22"/>
        <v/>
      </c>
      <c r="BD46" s="334" t="str">
        <f>IF(F46="","",IF(G46="Dubai",HLOOKUP(F46,Inputs!$C$26:$M$37,9,0),HLOOKUP(F46,Inputs!$C$45:$M$56,9,0)))</f>
        <v/>
      </c>
      <c r="BE46" s="335" t="str">
        <f>IF(F46="","",IF(G46="Dubai",HLOOKUP(F46,Inputs!$C$26:$M$37,10,0),HLOOKUP(F46,Inputs!$C$45:$M$56,10,0)))</f>
        <v/>
      </c>
      <c r="BF46" s="335" t="str">
        <f>IF(F46="","",IF(G46="Dubai",HLOOKUP(F46,Inputs!$C$26:$M$37,11,0),HLOOKUP(F46,Inputs!$C$45:$M$56,11,0)))</f>
        <v/>
      </c>
      <c r="BG46" s="334" t="str">
        <f>IF(F46="","",IF(G46="Dubai",HLOOKUP(F46,Inputs!$C$26:$M$37,12,0),HLOOKUP(F46,Inputs!$C$45:$M$56,12,0)))</f>
        <v/>
      </c>
      <c r="BI46" s="334" t="str">
        <f>IFERROR(IF(AO46="","",IF(AQ46="Dubai",IF(OR(AO46="Plan1",AO46="Plan2"),VLOOKUP(BD46,Deviation!$B$31:$D$33,2,FALSE),VLOOKUP(BD46,Deviation!$B$31:$D$33,3,FALSE)),IF(OR(AO46="Plan1",AO46="Plan2"),VLOOKUP(BD46,Deviation!$E$31:$G$33,2,FALSE),VLOOKUP(BD46,Deviation!$E$31:$G$33,3,FALSE)))),0)</f>
        <v/>
      </c>
      <c r="BJ46" s="336" t="str">
        <f>IFERROR(IF(AO46="","",IF(AQ46="Dubai",IF(AO46="Plan1",VLOOKUP(BE46,Deviation!$B$39:$C$40,2,FALSE),IF(AO46="Plan2",VLOOKUP(BE46,Deviation!$B$42:$C$43,2,FALSE),IF(AO46="Plan5",VLOOKUP(BE46,Deviation!$B$48:$C$49,2,FALSE),VLOOKUP(BE46,Deviation!$B$45:$C$46,2,FALSE)))),IF(AO46="Plan1",VLOOKUP(BE46,Deviation!$E$39:$F$40,2,FALSE),IF(AO46="Plan2",VLOOKUP(BE46,Deviation!$E$42:$F$43,2,FALSE),VLOOKUP(BE46,Deviation!$E$45:$F$46,2,FALSE))))),0)</f>
        <v/>
      </c>
      <c r="BK46" s="336" t="str">
        <f>IFERROR(IF(AO46="","",IF(AQ46="Dubai",IF(OR(AO46="Plan1",AO46="Plan2"),VLOOKUP(BF46,Deviation!$B$15:$D$18,2,FALSE),VLOOKUP(BF46,Deviation!$B$15:$D$18,3,FALSE)),IF(OR(AO46="Plan1",AO46="Plan2"),VLOOKUP(BF46,Deviation!$E$15:$G$18,2,FALSE),VLOOKUP(BF46,Deviation!$E$15:$G$18,3,FALSE)))),0)</f>
        <v/>
      </c>
      <c r="BL46" s="334" t="str">
        <f>IFERROR(IF(AO46="","",IF(AQ46="Dubai",VLOOKUP(BG46,Deviation!$B$24:$C$26,2,FALSE),100%)),0)</f>
        <v/>
      </c>
    </row>
    <row r="47" spans="1:64" ht="14.25" x14ac:dyDescent="0.2">
      <c r="A47" s="59">
        <v>42</v>
      </c>
      <c r="B47" s="298"/>
      <c r="C47" s="299"/>
      <c r="D47" s="298"/>
      <c r="E47" s="298"/>
      <c r="F47" s="298"/>
      <c r="G47" s="298"/>
      <c r="H47" s="298"/>
      <c r="I47" s="503"/>
      <c r="J47" s="80" t="str">
        <f>IFERROR(ROUNDDOWN(IF(C47="","",(MAX((eff_date-Additions!C47)/365.25,0))),0),"")</f>
        <v/>
      </c>
      <c r="K47" s="59" t="str">
        <f>IF(F47="","",IF(G47="Dubai",HLOOKUP(F47,Inputs!$C$26:$M$28,3,0),HLOOKUP(F47,Inputs!$C$45:$M$46,2,0)))</f>
        <v/>
      </c>
      <c r="L47" s="335" t="str">
        <f t="shared" si="24"/>
        <v/>
      </c>
      <c r="M47" s="335">
        <f t="shared" si="25"/>
        <v>0</v>
      </c>
      <c r="N47" s="335" t="str">
        <f t="shared" si="26"/>
        <v/>
      </c>
      <c r="O47" s="335">
        <f t="shared" si="27"/>
        <v>0</v>
      </c>
      <c r="P47" s="104"/>
      <c r="Q47" s="105">
        <f t="shared" si="16"/>
        <v>0</v>
      </c>
      <c r="R47" s="59" t="b">
        <f t="shared" si="4"/>
        <v>0</v>
      </c>
      <c r="S47" s="102" t="str">
        <f t="shared" si="17"/>
        <v>x</v>
      </c>
      <c r="T47" s="102" t="str">
        <f t="shared" si="28"/>
        <v>x</v>
      </c>
      <c r="U47" s="102" t="str">
        <f t="shared" si="29"/>
        <v>x</v>
      </c>
      <c r="V47" s="102" t="str">
        <f t="shared" si="30"/>
        <v>x</v>
      </c>
      <c r="W47" s="102" t="str">
        <f t="shared" si="31"/>
        <v>x</v>
      </c>
      <c r="X47" s="102" t="str">
        <f>IF(ISERROR(MATCH(G47,'Inputs Mapping'!$T$4:$T$5,0)),"x","")</f>
        <v>x</v>
      </c>
      <c r="Y47" s="102" t="str">
        <f>IF(ISERROR(MATCH(AE47,'Inputs Mapping'!$U$4:$U$5,0)),"x","")</f>
        <v>x</v>
      </c>
      <c r="Z47" s="102" t="str">
        <f>IF(ISERROR(MATCH(AF47,'Inputs Mapping'!$V$4:$V$5,0)),"x","")</f>
        <v>x</v>
      </c>
      <c r="AA47" s="102" t="str">
        <f>IF(ISERROR(MATCH(F47,'Inputs Mapping'!$W$4:$W$8,0)),"x","")</f>
        <v>x</v>
      </c>
      <c r="AB47" s="102" t="str">
        <f t="shared" si="9"/>
        <v/>
      </c>
      <c r="AC47" s="102" t="str">
        <f t="shared" si="10"/>
        <v/>
      </c>
      <c r="AD47" s="102" t="str">
        <f t="shared" si="32"/>
        <v/>
      </c>
      <c r="AE47" s="102" t="str">
        <f t="shared" si="18"/>
        <v/>
      </c>
      <c r="AF47" s="102" t="str">
        <f t="shared" si="19"/>
        <v/>
      </c>
      <c r="AG47" s="102" t="str">
        <f t="shared" si="20"/>
        <v>x</v>
      </c>
      <c r="AK47" s="95" t="str">
        <f t="shared" si="12"/>
        <v/>
      </c>
      <c r="AL47" s="59" t="str">
        <f>IF(J47="","",VLOOKUP(J47,'Inputs Mapping'!$T$27:$V$30,3))</f>
        <v/>
      </c>
      <c r="AM47" s="59" t="str">
        <f>IF(J47="","",VLOOKUP(J47,'Inputs Mapping'!$T$17:$V$24,3))</f>
        <v/>
      </c>
      <c r="AN47" s="59" t="str">
        <f t="shared" si="13"/>
        <v/>
      </c>
      <c r="AO47" s="102" t="str">
        <f t="shared" si="14"/>
        <v/>
      </c>
      <c r="AP47" s="102" t="str">
        <f>IF(F47="","",IF(G47="Dubai",HLOOKUP(F47,Inputs!$C$26:$M$36,5,0),HLOOKUP(F47,Inputs!$C$45:$M$49,5,0)))</f>
        <v/>
      </c>
      <c r="AQ47" s="102">
        <f t="shared" si="15"/>
        <v>0</v>
      </c>
      <c r="AR47" s="59" t="str">
        <f>IF(AM47="","",IF(AQ47="Dubai",VLOOKUP(AM47,'Inputs Mapping'!$V$17:$W$24,2,0),VLOOKUP(AL47,'Inputs Mapping'!$V$27:$W$30,2,0)))</f>
        <v/>
      </c>
      <c r="AS47" s="333">
        <f>IFERROR(IF($AQ47="","",HLOOKUP($AQ47&amp;RIGHT($AO47,1),'input for formula'!$B$16:$I$20,3,0)),0)</f>
        <v>0</v>
      </c>
      <c r="AT47" s="80">
        <f>IFERROR(IF($AQ47="","",HLOOKUP($AQ47&amp;$F47,'input for formula'!$B$22:$M$25,2,0)),0)</f>
        <v>0</v>
      </c>
      <c r="AU47" s="333">
        <f>IFERROR(IF($AQ47="","",HLOOKUP($AQ47&amp;RIGHT($AO47,1),'input for formula'!$B$16:$I$20,4,0)),0)</f>
        <v>0</v>
      </c>
      <c r="AV47" s="80">
        <f>IFERROR(IF($AQ47="","",HLOOKUP($AQ47&amp;$F47,'input for formula'!$B$22:$M$25,3,0)),0)</f>
        <v>0</v>
      </c>
      <c r="AW47" s="333">
        <f>IFERROR(IF($AQ47="","",HLOOKUP($AQ47&amp;RIGHT($AO47,1),'input for formula'!$B$16:$I$20,5,0)),0)</f>
        <v>0</v>
      </c>
      <c r="AX47" s="80">
        <f>IFERROR(IF($AQ47="","",HLOOKUP($AQ47&amp;$F47,'input for formula'!$B$22:$M$25,4,0)),0)</f>
        <v>0</v>
      </c>
      <c r="AY47" s="333">
        <f>IFERROR(IF($AQ47="","",IF(Additions!$AQ47="Abu Dhabi",VLOOKUP(Additions!$AP47,'input for formula'!$A$28:$C$41,3,0),VLOOKUP(Additions!$AP47,'input for formula'!$A$28:$C$41,2,0))),0)*IFERROR(1+IF(AQ47="Dubai",VLOOKUP(F47,'Quotation for Dubai Plans'!$V$6:$X$12,3,FALSE),VLOOKUP(F47,'Quotation for Abu Dhabi Plans'!$W$6:$Y$12,3,FALSE)),0)</f>
        <v>0</v>
      </c>
      <c r="AZ47" s="80" t="str">
        <f t="shared" si="23"/>
        <v/>
      </c>
      <c r="BA47" s="106" t="str">
        <f>IFERROR(IF(AO47="","",IF(AQ47="Dubai",HLOOKUP((AO47&amp;AP47),Deviation!$B$7:$S$8,2,0)*BI47*BK47*BL47*BJ47,HLOOKUP((AO47&amp;AP47),Deviation!$B$9:$K$10,2,0)*BI47*BK47*BL47*BJ47)),0)</f>
        <v/>
      </c>
      <c r="BB47" s="107" t="e">
        <f>IF(AO47="","",IFERROR(IF(AO47="","",IF(AQ47="Dubai",HLOOKUP(BC47,'input for formula'!$B$3:$F$10,AR47,FALSE), IF(AND(H47="Employee",AQ47="Abu Dhabi"),HLOOKUP(BC47,'input for formula'!$I$3:$K$7,AR47,FALSE),HLOOKUP(BC47,'input for formula'!$M$3:$O$7,AR47,FALSE)))*BA47+AS47*AT47+AU47*AV47+AW47*AX47),0)*$BC$3)*IF(Inputs!$C$19&gt;100,(1+$BC$2),1)</f>
        <v>#VALUE!</v>
      </c>
      <c r="BC47" s="95" t="str">
        <f t="shared" si="22"/>
        <v/>
      </c>
      <c r="BD47" s="334" t="str">
        <f>IF(F47="","",IF(G47="Dubai",HLOOKUP(F47,Inputs!$C$26:$M$37,9,0),HLOOKUP(F47,Inputs!$C$45:$M$56,9,0)))</f>
        <v/>
      </c>
      <c r="BE47" s="335" t="str">
        <f>IF(F47="","",IF(G47="Dubai",HLOOKUP(F47,Inputs!$C$26:$M$37,10,0),HLOOKUP(F47,Inputs!$C$45:$M$56,10,0)))</f>
        <v/>
      </c>
      <c r="BF47" s="335" t="str">
        <f>IF(F47="","",IF(G47="Dubai",HLOOKUP(F47,Inputs!$C$26:$M$37,11,0),HLOOKUP(F47,Inputs!$C$45:$M$56,11,0)))</f>
        <v/>
      </c>
      <c r="BG47" s="334" t="str">
        <f>IF(F47="","",IF(G47="Dubai",HLOOKUP(F47,Inputs!$C$26:$M$37,12,0),HLOOKUP(F47,Inputs!$C$45:$M$56,12,0)))</f>
        <v/>
      </c>
      <c r="BI47" s="334" t="str">
        <f>IFERROR(IF(AO47="","",IF(AQ47="Dubai",IF(OR(AO47="Plan1",AO47="Plan2"),VLOOKUP(BD47,Deviation!$B$31:$D$33,2,FALSE),VLOOKUP(BD47,Deviation!$B$31:$D$33,3,FALSE)),IF(OR(AO47="Plan1",AO47="Plan2"),VLOOKUP(BD47,Deviation!$E$31:$G$33,2,FALSE),VLOOKUP(BD47,Deviation!$E$31:$G$33,3,FALSE)))),0)</f>
        <v/>
      </c>
      <c r="BJ47" s="336" t="str">
        <f>IFERROR(IF(AO47="","",IF(AQ47="Dubai",IF(AO47="Plan1",VLOOKUP(BE47,Deviation!$B$39:$C$40,2,FALSE),IF(AO47="Plan2",VLOOKUP(BE47,Deviation!$B$42:$C$43,2,FALSE),IF(AO47="Plan5",VLOOKUP(BE47,Deviation!$B$48:$C$49,2,FALSE),VLOOKUP(BE47,Deviation!$B$45:$C$46,2,FALSE)))),IF(AO47="Plan1",VLOOKUP(BE47,Deviation!$E$39:$F$40,2,FALSE),IF(AO47="Plan2",VLOOKUP(BE47,Deviation!$E$42:$F$43,2,FALSE),VLOOKUP(BE47,Deviation!$E$45:$F$46,2,FALSE))))),0)</f>
        <v/>
      </c>
      <c r="BK47" s="336" t="str">
        <f>IFERROR(IF(AO47="","",IF(AQ47="Dubai",IF(OR(AO47="Plan1",AO47="Plan2"),VLOOKUP(BF47,Deviation!$B$15:$D$18,2,FALSE),VLOOKUP(BF47,Deviation!$B$15:$D$18,3,FALSE)),IF(OR(AO47="Plan1",AO47="Plan2"),VLOOKUP(BF47,Deviation!$E$15:$G$18,2,FALSE),VLOOKUP(BF47,Deviation!$E$15:$G$18,3,FALSE)))),0)</f>
        <v/>
      </c>
      <c r="BL47" s="334" t="str">
        <f>IFERROR(IF(AO47="","",IF(AQ47="Dubai",VLOOKUP(BG47,Deviation!$B$24:$C$26,2,FALSE),100%)),0)</f>
        <v/>
      </c>
    </row>
    <row r="48" spans="1:64" ht="14.25" x14ac:dyDescent="0.2">
      <c r="A48" s="59">
        <v>43</v>
      </c>
      <c r="B48" s="298"/>
      <c r="C48" s="299"/>
      <c r="D48" s="298"/>
      <c r="E48" s="298"/>
      <c r="F48" s="298"/>
      <c r="G48" s="298"/>
      <c r="H48" s="298"/>
      <c r="I48" s="503"/>
      <c r="J48" s="80" t="str">
        <f>IFERROR(ROUNDDOWN(IF(C48="","",(MAX((eff_date-Additions!C48)/365.25,0))),0),"")</f>
        <v/>
      </c>
      <c r="K48" s="59" t="str">
        <f>IF(F48="","",IF(G48="Dubai",HLOOKUP(F48,Inputs!$C$26:$M$28,3,0),HLOOKUP(F48,Inputs!$C$45:$M$46,2,0)))</f>
        <v/>
      </c>
      <c r="L48" s="335" t="str">
        <f t="shared" si="24"/>
        <v/>
      </c>
      <c r="M48" s="335">
        <f t="shared" si="25"/>
        <v>0</v>
      </c>
      <c r="N48" s="335" t="str">
        <f t="shared" si="26"/>
        <v/>
      </c>
      <c r="O48" s="335">
        <f t="shared" si="27"/>
        <v>0</v>
      </c>
      <c r="P48" s="104"/>
      <c r="Q48" s="105">
        <f t="shared" si="16"/>
        <v>0</v>
      </c>
      <c r="R48" s="59" t="b">
        <f t="shared" si="4"/>
        <v>0</v>
      </c>
      <c r="S48" s="102" t="str">
        <f t="shared" si="17"/>
        <v>x</v>
      </c>
      <c r="T48" s="102" t="str">
        <f t="shared" si="28"/>
        <v>x</v>
      </c>
      <c r="U48" s="102" t="str">
        <f t="shared" si="29"/>
        <v>x</v>
      </c>
      <c r="V48" s="102" t="str">
        <f t="shared" si="30"/>
        <v>x</v>
      </c>
      <c r="W48" s="102" t="str">
        <f t="shared" si="31"/>
        <v>x</v>
      </c>
      <c r="X48" s="102" t="str">
        <f>IF(ISERROR(MATCH(G48,'Inputs Mapping'!$T$4:$T$5,0)),"x","")</f>
        <v>x</v>
      </c>
      <c r="Y48" s="102" t="str">
        <f>IF(ISERROR(MATCH(AE48,'Inputs Mapping'!$U$4:$U$5,0)),"x","")</f>
        <v>x</v>
      </c>
      <c r="Z48" s="102" t="str">
        <f>IF(ISERROR(MATCH(AF48,'Inputs Mapping'!$V$4:$V$5,0)),"x","")</f>
        <v>x</v>
      </c>
      <c r="AA48" s="102" t="str">
        <f>IF(ISERROR(MATCH(F48,'Inputs Mapping'!$W$4:$W$8,0)),"x","")</f>
        <v>x</v>
      </c>
      <c r="AB48" s="102" t="str">
        <f t="shared" si="9"/>
        <v/>
      </c>
      <c r="AC48" s="102" t="str">
        <f t="shared" si="10"/>
        <v/>
      </c>
      <c r="AD48" s="102" t="str">
        <f t="shared" si="32"/>
        <v/>
      </c>
      <c r="AE48" s="102" t="str">
        <f t="shared" si="18"/>
        <v/>
      </c>
      <c r="AF48" s="102" t="str">
        <f t="shared" si="19"/>
        <v/>
      </c>
      <c r="AG48" s="102" t="str">
        <f t="shared" si="20"/>
        <v>x</v>
      </c>
      <c r="AK48" s="95" t="str">
        <f t="shared" si="12"/>
        <v/>
      </c>
      <c r="AL48" s="59" t="str">
        <f>IF(J48="","",VLOOKUP(J48,'Inputs Mapping'!$T$27:$V$30,3))</f>
        <v/>
      </c>
      <c r="AM48" s="59" t="str">
        <f>IF(J48="","",VLOOKUP(J48,'Inputs Mapping'!$T$17:$V$24,3))</f>
        <v/>
      </c>
      <c r="AN48" s="59" t="str">
        <f t="shared" si="13"/>
        <v/>
      </c>
      <c r="AO48" s="102" t="str">
        <f t="shared" si="14"/>
        <v/>
      </c>
      <c r="AP48" s="102" t="str">
        <f>IF(F48="","",IF(G48="Dubai",HLOOKUP(F48,Inputs!$C$26:$M$36,5,0),HLOOKUP(F48,Inputs!$C$45:$M$49,5,0)))</f>
        <v/>
      </c>
      <c r="AQ48" s="102">
        <f t="shared" si="15"/>
        <v>0</v>
      </c>
      <c r="AR48" s="59" t="str">
        <f>IF(AM48="","",IF(AQ48="Dubai",VLOOKUP(AM48,'Inputs Mapping'!$V$17:$W$24,2,0),VLOOKUP(AL48,'Inputs Mapping'!$V$27:$W$30,2,0)))</f>
        <v/>
      </c>
      <c r="AS48" s="333">
        <f>IFERROR(IF($AQ48="","",HLOOKUP($AQ48&amp;RIGHT($AO48,1),'input for formula'!$B$16:$I$20,3,0)),0)</f>
        <v>0</v>
      </c>
      <c r="AT48" s="80">
        <f>IFERROR(IF($AQ48="","",HLOOKUP($AQ48&amp;$F48,'input for formula'!$B$22:$M$25,2,0)),0)</f>
        <v>0</v>
      </c>
      <c r="AU48" s="333">
        <f>IFERROR(IF($AQ48="","",HLOOKUP($AQ48&amp;RIGHT($AO48,1),'input for formula'!$B$16:$I$20,4,0)),0)</f>
        <v>0</v>
      </c>
      <c r="AV48" s="80">
        <f>IFERROR(IF($AQ48="","",HLOOKUP($AQ48&amp;$F48,'input for formula'!$B$22:$M$25,3,0)),0)</f>
        <v>0</v>
      </c>
      <c r="AW48" s="333">
        <f>IFERROR(IF($AQ48="","",HLOOKUP($AQ48&amp;RIGHT($AO48,1),'input for formula'!$B$16:$I$20,5,0)),0)</f>
        <v>0</v>
      </c>
      <c r="AX48" s="80">
        <f>IFERROR(IF($AQ48="","",HLOOKUP($AQ48&amp;$F48,'input for formula'!$B$22:$M$25,4,0)),0)</f>
        <v>0</v>
      </c>
      <c r="AY48" s="333">
        <f>IFERROR(IF($AQ48="","",IF(Additions!$AQ48="Abu Dhabi",VLOOKUP(Additions!$AP48,'input for formula'!$A$28:$C$41,3,0),VLOOKUP(Additions!$AP48,'input for formula'!$A$28:$C$41,2,0))),0)*IFERROR(1+IF(AQ48="Dubai",VLOOKUP(F48,'Quotation for Dubai Plans'!$V$6:$X$12,3,FALSE),VLOOKUP(F48,'Quotation for Abu Dhabi Plans'!$W$6:$Y$12,3,FALSE)),0)</f>
        <v>0</v>
      </c>
      <c r="AZ48" s="80" t="str">
        <f t="shared" si="23"/>
        <v/>
      </c>
      <c r="BA48" s="106" t="str">
        <f>IFERROR(IF(AO48="","",IF(AQ48="Dubai",HLOOKUP((AO48&amp;AP48),Deviation!$B$7:$S$8,2,0)*BI48*BK48*BL48*BJ48,HLOOKUP((AO48&amp;AP48),Deviation!$B$9:$K$10,2,0)*BI48*BK48*BL48*BJ48)),0)</f>
        <v/>
      </c>
      <c r="BB48" s="107" t="e">
        <f>IF(AO48="","",IFERROR(IF(AO48="","",IF(AQ48="Dubai",HLOOKUP(BC48,'input for formula'!$B$3:$F$10,AR48,FALSE), IF(AND(H48="Employee",AQ48="Abu Dhabi"),HLOOKUP(BC48,'input for formula'!$I$3:$K$7,AR48,FALSE),HLOOKUP(BC48,'input for formula'!$M$3:$O$7,AR48,FALSE)))*BA48+AS48*AT48+AU48*AV48+AW48*AX48),0)*$BC$3)*IF(Inputs!$C$19&gt;100,(1+$BC$2),1)</f>
        <v>#VALUE!</v>
      </c>
      <c r="BC48" s="95" t="str">
        <f t="shared" si="22"/>
        <v/>
      </c>
      <c r="BD48" s="334" t="str">
        <f>IF(F48="","",IF(G48="Dubai",HLOOKUP(F48,Inputs!$C$26:$M$37,9,0),HLOOKUP(F48,Inputs!$C$45:$M$56,9,0)))</f>
        <v/>
      </c>
      <c r="BE48" s="335" t="str">
        <f>IF(F48="","",IF(G48="Dubai",HLOOKUP(F48,Inputs!$C$26:$M$37,10,0),HLOOKUP(F48,Inputs!$C$45:$M$56,10,0)))</f>
        <v/>
      </c>
      <c r="BF48" s="335" t="str">
        <f>IF(F48="","",IF(G48="Dubai",HLOOKUP(F48,Inputs!$C$26:$M$37,11,0),HLOOKUP(F48,Inputs!$C$45:$M$56,11,0)))</f>
        <v/>
      </c>
      <c r="BG48" s="334" t="str">
        <f>IF(F48="","",IF(G48="Dubai",HLOOKUP(F48,Inputs!$C$26:$M$37,12,0),HLOOKUP(F48,Inputs!$C$45:$M$56,12,0)))</f>
        <v/>
      </c>
      <c r="BI48" s="334" t="str">
        <f>IFERROR(IF(AO48="","",IF(AQ48="Dubai",IF(OR(AO48="Plan1",AO48="Plan2"),VLOOKUP(BD48,Deviation!$B$31:$D$33,2,FALSE),VLOOKUP(BD48,Deviation!$B$31:$D$33,3,FALSE)),IF(OR(AO48="Plan1",AO48="Plan2"),VLOOKUP(BD48,Deviation!$E$31:$G$33,2,FALSE),VLOOKUP(BD48,Deviation!$E$31:$G$33,3,FALSE)))),0)</f>
        <v/>
      </c>
      <c r="BJ48" s="336" t="str">
        <f>IFERROR(IF(AO48="","",IF(AQ48="Dubai",IF(AO48="Plan1",VLOOKUP(BE48,Deviation!$B$39:$C$40,2,FALSE),IF(AO48="Plan2",VLOOKUP(BE48,Deviation!$B$42:$C$43,2,FALSE),IF(AO48="Plan5",VLOOKUP(BE48,Deviation!$B$48:$C$49,2,FALSE),VLOOKUP(BE48,Deviation!$B$45:$C$46,2,FALSE)))),IF(AO48="Plan1",VLOOKUP(BE48,Deviation!$E$39:$F$40,2,FALSE),IF(AO48="Plan2",VLOOKUP(BE48,Deviation!$E$42:$F$43,2,FALSE),VLOOKUP(BE48,Deviation!$E$45:$F$46,2,FALSE))))),0)</f>
        <v/>
      </c>
      <c r="BK48" s="336" t="str">
        <f>IFERROR(IF(AO48="","",IF(AQ48="Dubai",IF(OR(AO48="Plan1",AO48="Plan2"),VLOOKUP(BF48,Deviation!$B$15:$D$18,2,FALSE),VLOOKUP(BF48,Deviation!$B$15:$D$18,3,FALSE)),IF(OR(AO48="Plan1",AO48="Plan2"),VLOOKUP(BF48,Deviation!$E$15:$G$18,2,FALSE),VLOOKUP(BF48,Deviation!$E$15:$G$18,3,FALSE)))),0)</f>
        <v/>
      </c>
      <c r="BL48" s="334" t="str">
        <f>IFERROR(IF(AO48="","",IF(AQ48="Dubai",VLOOKUP(BG48,Deviation!$B$24:$C$26,2,FALSE),100%)),0)</f>
        <v/>
      </c>
    </row>
    <row r="49" spans="1:64" ht="14.25" x14ac:dyDescent="0.2">
      <c r="A49" s="59">
        <v>44</v>
      </c>
      <c r="B49" s="298"/>
      <c r="C49" s="299"/>
      <c r="D49" s="298"/>
      <c r="E49" s="298"/>
      <c r="F49" s="298"/>
      <c r="G49" s="298"/>
      <c r="H49" s="298"/>
      <c r="I49" s="503"/>
      <c r="J49" s="80" t="str">
        <f>IFERROR(ROUNDDOWN(IF(C49="","",(MAX((eff_date-Additions!C49)/365.25,0))),0),"")</f>
        <v/>
      </c>
      <c r="K49" s="59" t="str">
        <f>IF(F49="","",IF(G49="Dubai",HLOOKUP(F49,Inputs!$C$26:$M$28,3,0),HLOOKUP(F49,Inputs!$C$45:$M$46,2,0)))</f>
        <v/>
      </c>
      <c r="L49" s="335" t="str">
        <f t="shared" si="24"/>
        <v/>
      </c>
      <c r="M49" s="335">
        <f t="shared" si="25"/>
        <v>0</v>
      </c>
      <c r="N49" s="335" t="str">
        <f t="shared" si="26"/>
        <v/>
      </c>
      <c r="O49" s="335">
        <f t="shared" si="27"/>
        <v>0</v>
      </c>
      <c r="P49" s="104"/>
      <c r="Q49" s="105">
        <f t="shared" si="16"/>
        <v>0</v>
      </c>
      <c r="R49" s="59" t="b">
        <f t="shared" si="4"/>
        <v>0</v>
      </c>
      <c r="S49" s="102" t="str">
        <f t="shared" si="17"/>
        <v>x</v>
      </c>
      <c r="T49" s="102" t="str">
        <f t="shared" si="28"/>
        <v>x</v>
      </c>
      <c r="U49" s="102" t="str">
        <f t="shared" si="29"/>
        <v>x</v>
      </c>
      <c r="V49" s="102" t="str">
        <f t="shared" si="30"/>
        <v>x</v>
      </c>
      <c r="W49" s="102" t="str">
        <f t="shared" si="31"/>
        <v>x</v>
      </c>
      <c r="X49" s="102" t="str">
        <f>IF(ISERROR(MATCH(G49,'Inputs Mapping'!$T$4:$T$5,0)),"x","")</f>
        <v>x</v>
      </c>
      <c r="Y49" s="102" t="str">
        <f>IF(ISERROR(MATCH(AE49,'Inputs Mapping'!$U$4:$U$5,0)),"x","")</f>
        <v>x</v>
      </c>
      <c r="Z49" s="102" t="str">
        <f>IF(ISERROR(MATCH(AF49,'Inputs Mapping'!$V$4:$V$5,0)),"x","")</f>
        <v>x</v>
      </c>
      <c r="AA49" s="102" t="str">
        <f>IF(ISERROR(MATCH(F49,'Inputs Mapping'!$W$4:$W$8,0)),"x","")</f>
        <v>x</v>
      </c>
      <c r="AB49" s="102" t="str">
        <f t="shared" si="9"/>
        <v/>
      </c>
      <c r="AC49" s="102" t="str">
        <f t="shared" si="10"/>
        <v/>
      </c>
      <c r="AD49" s="102" t="str">
        <f t="shared" si="32"/>
        <v/>
      </c>
      <c r="AE49" s="102" t="str">
        <f t="shared" si="18"/>
        <v/>
      </c>
      <c r="AF49" s="102" t="str">
        <f t="shared" si="19"/>
        <v/>
      </c>
      <c r="AG49" s="102" t="str">
        <f t="shared" si="20"/>
        <v>x</v>
      </c>
      <c r="AK49" s="95" t="str">
        <f t="shared" si="12"/>
        <v/>
      </c>
      <c r="AL49" s="59" t="str">
        <f>IF(J49="","",VLOOKUP(J49,'Inputs Mapping'!$T$27:$V$30,3))</f>
        <v/>
      </c>
      <c r="AM49" s="59" t="str">
        <f>IF(J49="","",VLOOKUP(J49,'Inputs Mapping'!$T$17:$V$24,3))</f>
        <v/>
      </c>
      <c r="AN49" s="59" t="str">
        <f t="shared" si="13"/>
        <v/>
      </c>
      <c r="AO49" s="102" t="str">
        <f t="shared" si="14"/>
        <v/>
      </c>
      <c r="AP49" s="102" t="str">
        <f>IF(F49="","",IF(G49="Dubai",HLOOKUP(F49,Inputs!$C$26:$M$36,5,0),HLOOKUP(F49,Inputs!$C$45:$M$49,5,0)))</f>
        <v/>
      </c>
      <c r="AQ49" s="102">
        <f t="shared" si="15"/>
        <v>0</v>
      </c>
      <c r="AR49" s="59" t="str">
        <f>IF(AM49="","",IF(AQ49="Dubai",VLOOKUP(AM49,'Inputs Mapping'!$V$17:$W$24,2,0),VLOOKUP(AL49,'Inputs Mapping'!$V$27:$W$30,2,0)))</f>
        <v/>
      </c>
      <c r="AS49" s="333">
        <f>IFERROR(IF($AQ49="","",HLOOKUP($AQ49&amp;RIGHT($AO49,1),'input for formula'!$B$16:$I$20,3,0)),0)</f>
        <v>0</v>
      </c>
      <c r="AT49" s="80">
        <f>IFERROR(IF($AQ49="","",HLOOKUP($AQ49&amp;$F49,'input for formula'!$B$22:$M$25,2,0)),0)</f>
        <v>0</v>
      </c>
      <c r="AU49" s="333">
        <f>IFERROR(IF($AQ49="","",HLOOKUP($AQ49&amp;RIGHT($AO49,1),'input for formula'!$B$16:$I$20,4,0)),0)</f>
        <v>0</v>
      </c>
      <c r="AV49" s="80">
        <f>IFERROR(IF($AQ49="","",HLOOKUP($AQ49&amp;$F49,'input for formula'!$B$22:$M$25,3,0)),0)</f>
        <v>0</v>
      </c>
      <c r="AW49" s="333">
        <f>IFERROR(IF($AQ49="","",HLOOKUP($AQ49&amp;RIGHT($AO49,1),'input for formula'!$B$16:$I$20,5,0)),0)</f>
        <v>0</v>
      </c>
      <c r="AX49" s="80">
        <f>IFERROR(IF($AQ49="","",HLOOKUP($AQ49&amp;$F49,'input for formula'!$B$22:$M$25,4,0)),0)</f>
        <v>0</v>
      </c>
      <c r="AY49" s="333">
        <f>IFERROR(IF($AQ49="","",IF(Additions!$AQ49="Abu Dhabi",VLOOKUP(Additions!$AP49,'input for formula'!$A$28:$C$41,3,0),VLOOKUP(Additions!$AP49,'input for formula'!$A$28:$C$41,2,0))),0)*IFERROR(1+IF(AQ49="Dubai",VLOOKUP(F49,'Quotation for Dubai Plans'!$V$6:$X$12,3,FALSE),VLOOKUP(F49,'Quotation for Abu Dhabi Plans'!$W$6:$Y$12,3,FALSE)),0)</f>
        <v>0</v>
      </c>
      <c r="AZ49" s="80" t="str">
        <f t="shared" si="23"/>
        <v/>
      </c>
      <c r="BA49" s="106" t="str">
        <f>IFERROR(IF(AO49="","",IF(AQ49="Dubai",HLOOKUP((AO49&amp;AP49),Deviation!$B$7:$S$8,2,0)*BI49*BK49*BL49*BJ49,HLOOKUP((AO49&amp;AP49),Deviation!$B$9:$K$10,2,0)*BI49*BK49*BL49*BJ49)),0)</f>
        <v/>
      </c>
      <c r="BB49" s="107" t="e">
        <f>IF(AO49="","",IFERROR(IF(AO49="","",IF(AQ49="Dubai",HLOOKUP(BC49,'input for formula'!$B$3:$F$10,AR49,FALSE), IF(AND(H49="Employee",AQ49="Abu Dhabi"),HLOOKUP(BC49,'input for formula'!$I$3:$K$7,AR49,FALSE),HLOOKUP(BC49,'input for formula'!$M$3:$O$7,AR49,FALSE)))*BA49+AS49*AT49+AU49*AV49+AW49*AX49),0)*$BC$3)*IF(Inputs!$C$19&gt;100,(1+$BC$2),1)</f>
        <v>#VALUE!</v>
      </c>
      <c r="BC49" s="95" t="str">
        <f t="shared" si="22"/>
        <v/>
      </c>
      <c r="BD49" s="334" t="str">
        <f>IF(F49="","",IF(G49="Dubai",HLOOKUP(F49,Inputs!$C$26:$M$37,9,0),HLOOKUP(F49,Inputs!$C$45:$M$56,9,0)))</f>
        <v/>
      </c>
      <c r="BE49" s="335" t="str">
        <f>IF(F49="","",IF(G49="Dubai",HLOOKUP(F49,Inputs!$C$26:$M$37,10,0),HLOOKUP(F49,Inputs!$C$45:$M$56,10,0)))</f>
        <v/>
      </c>
      <c r="BF49" s="335" t="str">
        <f>IF(F49="","",IF(G49="Dubai",HLOOKUP(F49,Inputs!$C$26:$M$37,11,0),HLOOKUP(F49,Inputs!$C$45:$M$56,11,0)))</f>
        <v/>
      </c>
      <c r="BG49" s="334" t="str">
        <f>IF(F49="","",IF(G49="Dubai",HLOOKUP(F49,Inputs!$C$26:$M$37,12,0),HLOOKUP(F49,Inputs!$C$45:$M$56,12,0)))</f>
        <v/>
      </c>
      <c r="BI49" s="334" t="str">
        <f>IFERROR(IF(AO49="","",IF(AQ49="Dubai",IF(OR(AO49="Plan1",AO49="Plan2"),VLOOKUP(BD49,Deviation!$B$31:$D$33,2,FALSE),VLOOKUP(BD49,Deviation!$B$31:$D$33,3,FALSE)),IF(OR(AO49="Plan1",AO49="Plan2"),VLOOKUP(BD49,Deviation!$E$31:$G$33,2,FALSE),VLOOKUP(BD49,Deviation!$E$31:$G$33,3,FALSE)))),0)</f>
        <v/>
      </c>
      <c r="BJ49" s="336" t="str">
        <f>IFERROR(IF(AO49="","",IF(AQ49="Dubai",IF(AO49="Plan1",VLOOKUP(BE49,Deviation!$B$39:$C$40,2,FALSE),IF(AO49="Plan2",VLOOKUP(BE49,Deviation!$B$42:$C$43,2,FALSE),IF(AO49="Plan5",VLOOKUP(BE49,Deviation!$B$48:$C$49,2,FALSE),VLOOKUP(BE49,Deviation!$B$45:$C$46,2,FALSE)))),IF(AO49="Plan1",VLOOKUP(BE49,Deviation!$E$39:$F$40,2,FALSE),IF(AO49="Plan2",VLOOKUP(BE49,Deviation!$E$42:$F$43,2,FALSE),VLOOKUP(BE49,Deviation!$E$45:$F$46,2,FALSE))))),0)</f>
        <v/>
      </c>
      <c r="BK49" s="336" t="str">
        <f>IFERROR(IF(AO49="","",IF(AQ49="Dubai",IF(OR(AO49="Plan1",AO49="Plan2"),VLOOKUP(BF49,Deviation!$B$15:$D$18,2,FALSE),VLOOKUP(BF49,Deviation!$B$15:$D$18,3,FALSE)),IF(OR(AO49="Plan1",AO49="Plan2"),VLOOKUP(BF49,Deviation!$E$15:$G$18,2,FALSE),VLOOKUP(BF49,Deviation!$E$15:$G$18,3,FALSE)))),0)</f>
        <v/>
      </c>
      <c r="BL49" s="334" t="str">
        <f>IFERROR(IF(AO49="","",IF(AQ49="Dubai",VLOOKUP(BG49,Deviation!$B$24:$C$26,2,FALSE),100%)),0)</f>
        <v/>
      </c>
    </row>
    <row r="50" spans="1:64" ht="14.25" x14ac:dyDescent="0.2">
      <c r="A50" s="59">
        <v>45</v>
      </c>
      <c r="B50" s="298"/>
      <c r="C50" s="299"/>
      <c r="D50" s="298"/>
      <c r="E50" s="298"/>
      <c r="F50" s="298"/>
      <c r="G50" s="298"/>
      <c r="H50" s="298"/>
      <c r="I50" s="503"/>
      <c r="J50" s="80" t="str">
        <f>IFERROR(ROUNDDOWN(IF(C50="","",(MAX((eff_date-Additions!C50)/365.25,0))),0),"")</f>
        <v/>
      </c>
      <c r="K50" s="59" t="str">
        <f>IF(F50="","",IF(G50="Dubai",HLOOKUP(F50,Inputs!$C$26:$M$28,3,0),HLOOKUP(F50,Inputs!$C$45:$M$46,2,0)))</f>
        <v/>
      </c>
      <c r="L50" s="335" t="str">
        <f t="shared" si="24"/>
        <v/>
      </c>
      <c r="M50" s="335">
        <f t="shared" si="25"/>
        <v>0</v>
      </c>
      <c r="N50" s="335" t="str">
        <f t="shared" si="26"/>
        <v/>
      </c>
      <c r="O50" s="335">
        <f t="shared" si="27"/>
        <v>0</v>
      </c>
      <c r="P50" s="104"/>
      <c r="Q50" s="105">
        <f t="shared" si="16"/>
        <v>0</v>
      </c>
      <c r="R50" s="59" t="b">
        <f t="shared" si="4"/>
        <v>0</v>
      </c>
      <c r="S50" s="102" t="str">
        <f t="shared" si="17"/>
        <v>x</v>
      </c>
      <c r="T50" s="102" t="str">
        <f t="shared" si="28"/>
        <v>x</v>
      </c>
      <c r="U50" s="102" t="str">
        <f t="shared" si="29"/>
        <v>x</v>
      </c>
      <c r="V50" s="102" t="str">
        <f t="shared" si="30"/>
        <v>x</v>
      </c>
      <c r="W50" s="102" t="str">
        <f t="shared" si="31"/>
        <v>x</v>
      </c>
      <c r="X50" s="102" t="str">
        <f>IF(ISERROR(MATCH(G50,'Inputs Mapping'!$T$4:$T$5,0)),"x","")</f>
        <v>x</v>
      </c>
      <c r="Y50" s="102" t="str">
        <f>IF(ISERROR(MATCH(AE50,'Inputs Mapping'!$U$4:$U$5,0)),"x","")</f>
        <v>x</v>
      </c>
      <c r="Z50" s="102" t="str">
        <f>IF(ISERROR(MATCH(AF50,'Inputs Mapping'!$V$4:$V$5,0)),"x","")</f>
        <v>x</v>
      </c>
      <c r="AA50" s="102" t="str">
        <f>IF(ISERROR(MATCH(F50,'Inputs Mapping'!$W$4:$W$8,0)),"x","")</f>
        <v>x</v>
      </c>
      <c r="AB50" s="102" t="str">
        <f t="shared" si="9"/>
        <v/>
      </c>
      <c r="AC50" s="102" t="str">
        <f t="shared" si="10"/>
        <v/>
      </c>
      <c r="AD50" s="102" t="str">
        <f t="shared" si="32"/>
        <v/>
      </c>
      <c r="AE50" s="102" t="str">
        <f t="shared" si="18"/>
        <v/>
      </c>
      <c r="AF50" s="102" t="str">
        <f t="shared" si="19"/>
        <v/>
      </c>
      <c r="AG50" s="102" t="str">
        <f t="shared" si="20"/>
        <v>x</v>
      </c>
      <c r="AK50" s="95" t="str">
        <f t="shared" si="12"/>
        <v/>
      </c>
      <c r="AL50" s="59" t="str">
        <f>IF(J50="","",VLOOKUP(J50,'Inputs Mapping'!$T$27:$V$30,3))</f>
        <v/>
      </c>
      <c r="AM50" s="59" t="str">
        <f>IF(J50="","",VLOOKUP(J50,'Inputs Mapping'!$T$17:$V$24,3))</f>
        <v/>
      </c>
      <c r="AN50" s="59" t="str">
        <f t="shared" si="13"/>
        <v/>
      </c>
      <c r="AO50" s="102" t="str">
        <f t="shared" si="14"/>
        <v/>
      </c>
      <c r="AP50" s="102" t="str">
        <f>IF(F50="","",IF(G50="Dubai",HLOOKUP(F50,Inputs!$C$26:$M$36,5,0),HLOOKUP(F50,Inputs!$C$45:$M$49,5,0)))</f>
        <v/>
      </c>
      <c r="AQ50" s="102">
        <f t="shared" si="15"/>
        <v>0</v>
      </c>
      <c r="AR50" s="59" t="str">
        <f>IF(AM50="","",IF(AQ50="Dubai",VLOOKUP(AM50,'Inputs Mapping'!$V$17:$W$24,2,0),VLOOKUP(AL50,'Inputs Mapping'!$V$27:$W$30,2,0)))</f>
        <v/>
      </c>
      <c r="AS50" s="333">
        <f>IFERROR(IF($AQ50="","",HLOOKUP($AQ50&amp;RIGHT($AO50,1),'input for formula'!$B$16:$I$20,3,0)),0)</f>
        <v>0</v>
      </c>
      <c r="AT50" s="80">
        <f>IFERROR(IF($AQ50="","",HLOOKUP($AQ50&amp;$F50,'input for formula'!$B$22:$M$25,2,0)),0)</f>
        <v>0</v>
      </c>
      <c r="AU50" s="333">
        <f>IFERROR(IF($AQ50="","",HLOOKUP($AQ50&amp;RIGHT($AO50,1),'input for formula'!$B$16:$I$20,4,0)),0)</f>
        <v>0</v>
      </c>
      <c r="AV50" s="80">
        <f>IFERROR(IF($AQ50="","",HLOOKUP($AQ50&amp;$F50,'input for formula'!$B$22:$M$25,3,0)),0)</f>
        <v>0</v>
      </c>
      <c r="AW50" s="333">
        <f>IFERROR(IF($AQ50="","",HLOOKUP($AQ50&amp;RIGHT($AO50,1),'input for formula'!$B$16:$I$20,5,0)),0)</f>
        <v>0</v>
      </c>
      <c r="AX50" s="80">
        <f>IFERROR(IF($AQ50="","",HLOOKUP($AQ50&amp;$F50,'input for formula'!$B$22:$M$25,4,0)),0)</f>
        <v>0</v>
      </c>
      <c r="AY50" s="333">
        <f>IFERROR(IF($AQ50="","",IF(Additions!$AQ50="Abu Dhabi",VLOOKUP(Additions!$AP50,'input for formula'!$A$28:$C$41,3,0),VLOOKUP(Additions!$AP50,'input for formula'!$A$28:$C$41,2,0))),0)*IFERROR(1+IF(AQ50="Dubai",VLOOKUP(F50,'Quotation for Dubai Plans'!$V$6:$X$12,3,FALSE),VLOOKUP(F50,'Quotation for Abu Dhabi Plans'!$W$6:$Y$12,3,FALSE)),0)</f>
        <v>0</v>
      </c>
      <c r="AZ50" s="80" t="str">
        <f t="shared" si="23"/>
        <v/>
      </c>
      <c r="BA50" s="106" t="str">
        <f>IFERROR(IF(AO50="","",IF(AQ50="Dubai",HLOOKUP((AO50&amp;AP50),Deviation!$B$7:$S$8,2,0)*BI50*BK50*BL50*BJ50,HLOOKUP((AO50&amp;AP50),Deviation!$B$9:$K$10,2,0)*BI50*BK50*BL50*BJ50)),0)</f>
        <v/>
      </c>
      <c r="BB50" s="107" t="e">
        <f>IF(AO50="","",IFERROR(IF(AO50="","",IF(AQ50="Dubai",HLOOKUP(BC50,'input for formula'!$B$3:$F$10,AR50,FALSE), IF(AND(H50="Employee",AQ50="Abu Dhabi"),HLOOKUP(BC50,'input for formula'!$I$3:$K$7,AR50,FALSE),HLOOKUP(BC50,'input for formula'!$M$3:$O$7,AR50,FALSE)))*BA50+AS50*AT50+AU50*AV50+AW50*AX50),0)*$BC$3)*IF(Inputs!$C$19&gt;100,(1+$BC$2),1)</f>
        <v>#VALUE!</v>
      </c>
      <c r="BC50" s="95" t="str">
        <f t="shared" si="22"/>
        <v/>
      </c>
      <c r="BD50" s="334" t="str">
        <f>IF(F50="","",IF(G50="Dubai",HLOOKUP(F50,Inputs!$C$26:$M$37,9,0),HLOOKUP(F50,Inputs!$C$45:$M$56,9,0)))</f>
        <v/>
      </c>
      <c r="BE50" s="335" t="str">
        <f>IF(F50="","",IF(G50="Dubai",HLOOKUP(F50,Inputs!$C$26:$M$37,10,0),HLOOKUP(F50,Inputs!$C$45:$M$56,10,0)))</f>
        <v/>
      </c>
      <c r="BF50" s="335" t="str">
        <f>IF(F50="","",IF(G50="Dubai",HLOOKUP(F50,Inputs!$C$26:$M$37,11,0),HLOOKUP(F50,Inputs!$C$45:$M$56,11,0)))</f>
        <v/>
      </c>
      <c r="BG50" s="334" t="str">
        <f>IF(F50="","",IF(G50="Dubai",HLOOKUP(F50,Inputs!$C$26:$M$37,12,0),HLOOKUP(F50,Inputs!$C$45:$M$56,12,0)))</f>
        <v/>
      </c>
      <c r="BI50" s="334" t="str">
        <f>IFERROR(IF(AO50="","",IF(AQ50="Dubai",IF(OR(AO50="Plan1",AO50="Plan2"),VLOOKUP(BD50,Deviation!$B$31:$D$33,2,FALSE),VLOOKUP(BD50,Deviation!$B$31:$D$33,3,FALSE)),IF(OR(AO50="Plan1",AO50="Plan2"),VLOOKUP(BD50,Deviation!$E$31:$G$33,2,FALSE),VLOOKUP(BD50,Deviation!$E$31:$G$33,3,FALSE)))),0)</f>
        <v/>
      </c>
      <c r="BJ50" s="336" t="str">
        <f>IFERROR(IF(AO50="","",IF(AQ50="Dubai",IF(AO50="Plan1",VLOOKUP(BE50,Deviation!$B$39:$C$40,2,FALSE),IF(AO50="Plan2",VLOOKUP(BE50,Deviation!$B$42:$C$43,2,FALSE),IF(AO50="Plan5",VLOOKUP(BE50,Deviation!$B$48:$C$49,2,FALSE),VLOOKUP(BE50,Deviation!$B$45:$C$46,2,FALSE)))),IF(AO50="Plan1",VLOOKUP(BE50,Deviation!$E$39:$F$40,2,FALSE),IF(AO50="Plan2",VLOOKUP(BE50,Deviation!$E$42:$F$43,2,FALSE),VLOOKUP(BE50,Deviation!$E$45:$F$46,2,FALSE))))),0)</f>
        <v/>
      </c>
      <c r="BK50" s="336" t="str">
        <f>IFERROR(IF(AO50="","",IF(AQ50="Dubai",IF(OR(AO50="Plan1",AO50="Plan2"),VLOOKUP(BF50,Deviation!$B$15:$D$18,2,FALSE),VLOOKUP(BF50,Deviation!$B$15:$D$18,3,FALSE)),IF(OR(AO50="Plan1",AO50="Plan2"),VLOOKUP(BF50,Deviation!$E$15:$G$18,2,FALSE),VLOOKUP(BF50,Deviation!$E$15:$G$18,3,FALSE)))),0)</f>
        <v/>
      </c>
      <c r="BL50" s="334" t="str">
        <f>IFERROR(IF(AO50="","",IF(AQ50="Dubai",VLOOKUP(BG50,Deviation!$B$24:$C$26,2,FALSE),100%)),0)</f>
        <v/>
      </c>
    </row>
    <row r="51" spans="1:64" ht="14.25" x14ac:dyDescent="0.2">
      <c r="A51" s="59">
        <v>46</v>
      </c>
      <c r="B51" s="298"/>
      <c r="C51" s="299"/>
      <c r="D51" s="298"/>
      <c r="E51" s="298"/>
      <c r="F51" s="298"/>
      <c r="G51" s="298"/>
      <c r="H51" s="298"/>
      <c r="I51" s="298"/>
      <c r="J51" s="80" t="str">
        <f>IFERROR(ROUNDDOWN(IF(C51="","",(MAX((eff_date-Additions!C51)/365.25,0))),0),"")</f>
        <v/>
      </c>
      <c r="K51" s="59" t="str">
        <f>IF(F51="","",IF(G51="Dubai",HLOOKUP(F51,Inputs!$C$26:$M$28,3,0),HLOOKUP(F51,Inputs!$C$45:$M$46,2,0)))</f>
        <v/>
      </c>
      <c r="L51" s="335" t="str">
        <f t="shared" si="24"/>
        <v/>
      </c>
      <c r="M51" s="335">
        <f t="shared" si="25"/>
        <v>0</v>
      </c>
      <c r="N51" s="335" t="str">
        <f t="shared" si="26"/>
        <v/>
      </c>
      <c r="O51" s="335">
        <f t="shared" si="27"/>
        <v>0</v>
      </c>
      <c r="P51" s="104"/>
      <c r="Q51" s="105">
        <f t="shared" si="16"/>
        <v>0</v>
      </c>
      <c r="R51" s="59" t="b">
        <f t="shared" si="4"/>
        <v>0</v>
      </c>
      <c r="S51" s="102" t="str">
        <f t="shared" si="17"/>
        <v>x</v>
      </c>
      <c r="T51" s="102" t="str">
        <f t="shared" si="28"/>
        <v>x</v>
      </c>
      <c r="U51" s="102" t="str">
        <f t="shared" si="29"/>
        <v>x</v>
      </c>
      <c r="V51" s="102" t="str">
        <f t="shared" si="30"/>
        <v>x</v>
      </c>
      <c r="W51" s="102" t="str">
        <f t="shared" si="31"/>
        <v>x</v>
      </c>
      <c r="X51" s="102" t="str">
        <f>IF(ISERROR(MATCH(G51,'Inputs Mapping'!$T$4:$T$5,0)),"x","")</f>
        <v>x</v>
      </c>
      <c r="Y51" s="102" t="str">
        <f>IF(ISERROR(MATCH(AE51,'Inputs Mapping'!$U$4:$U$5,0)),"x","")</f>
        <v>x</v>
      </c>
      <c r="Z51" s="102" t="str">
        <f>IF(ISERROR(MATCH(AF51,'Inputs Mapping'!$V$4:$V$5,0)),"x","")</f>
        <v>x</v>
      </c>
      <c r="AA51" s="102" t="str">
        <f>IF(ISERROR(MATCH(F51,'Inputs Mapping'!$W$4:$W$8,0)),"x","")</f>
        <v>x</v>
      </c>
      <c r="AB51" s="102" t="str">
        <f t="shared" si="9"/>
        <v/>
      </c>
      <c r="AC51" s="102" t="str">
        <f t="shared" si="10"/>
        <v/>
      </c>
      <c r="AD51" s="102" t="str">
        <f t="shared" si="32"/>
        <v/>
      </c>
      <c r="AE51" s="102" t="str">
        <f t="shared" si="18"/>
        <v/>
      </c>
      <c r="AF51" s="102" t="str">
        <f t="shared" si="19"/>
        <v/>
      </c>
      <c r="AG51" s="102" t="str">
        <f t="shared" si="20"/>
        <v>x</v>
      </c>
      <c r="AK51" s="95" t="str">
        <f t="shared" si="12"/>
        <v/>
      </c>
      <c r="AL51" s="59" t="str">
        <f>IF(J51="","",VLOOKUP(J51,'Inputs Mapping'!$T$27:$V$30,3))</f>
        <v/>
      </c>
      <c r="AM51" s="59" t="str">
        <f>IF(J51="","",VLOOKUP(J51,'Inputs Mapping'!$T$17:$V$24,3))</f>
        <v/>
      </c>
      <c r="AN51" s="59" t="str">
        <f t="shared" si="13"/>
        <v/>
      </c>
      <c r="AO51" s="102" t="str">
        <f t="shared" si="14"/>
        <v/>
      </c>
      <c r="AP51" s="102" t="str">
        <f>IF(F51="","",IF(G51="Dubai",HLOOKUP(F51,Inputs!$C$26:$M$36,5,0),HLOOKUP(F51,Inputs!$C$45:$M$49,5,0)))</f>
        <v/>
      </c>
      <c r="AQ51" s="102">
        <f t="shared" si="15"/>
        <v>0</v>
      </c>
      <c r="AR51" s="59" t="str">
        <f>IF(AM51="","",IF(AQ51="Dubai",VLOOKUP(AM51,'Inputs Mapping'!$V$17:$W$24,2,0),VLOOKUP(AL51,'Inputs Mapping'!$V$27:$W$30,2,0)))</f>
        <v/>
      </c>
      <c r="AS51" s="333">
        <f>IFERROR(IF($AQ51="","",HLOOKUP($AQ51&amp;RIGHT($AO51,1),'input for formula'!$B$16:$I$20,3,0)),0)</f>
        <v>0</v>
      </c>
      <c r="AT51" s="80">
        <f>IFERROR(IF($AQ51="","",HLOOKUP($AQ51&amp;$F51,'input for formula'!$B$22:$M$25,2,0)),0)</f>
        <v>0</v>
      </c>
      <c r="AU51" s="333">
        <f>IFERROR(IF($AQ51="","",HLOOKUP($AQ51&amp;RIGHT($AO51,1),'input for formula'!$B$16:$I$20,4,0)),0)</f>
        <v>0</v>
      </c>
      <c r="AV51" s="80">
        <f>IFERROR(IF($AQ51="","",HLOOKUP($AQ51&amp;$F51,'input for formula'!$B$22:$M$25,3,0)),0)</f>
        <v>0</v>
      </c>
      <c r="AW51" s="333">
        <f>IFERROR(IF($AQ51="","",HLOOKUP($AQ51&amp;RIGHT($AO51,1),'input for formula'!$B$16:$I$20,5,0)),0)</f>
        <v>0</v>
      </c>
      <c r="AX51" s="80">
        <f>IFERROR(IF($AQ51="","",HLOOKUP($AQ51&amp;$F51,'input for formula'!$B$22:$M$25,4,0)),0)</f>
        <v>0</v>
      </c>
      <c r="AY51" s="333">
        <f>IFERROR(IF($AQ51="","",IF(Additions!$AQ51="Abu Dhabi",VLOOKUP(Additions!$AP51,'input for formula'!$A$28:$C$41,3,0),VLOOKUP(Additions!$AP51,'input for formula'!$A$28:$C$41,2,0))),0)*IFERROR(1+IF(AQ51="Dubai",VLOOKUP(F51,'Quotation for Dubai Plans'!$V$6:$X$12,3,FALSE),VLOOKUP(F51,'Quotation for Abu Dhabi Plans'!$W$6:$Y$12,3,FALSE)),0)</f>
        <v>0</v>
      </c>
      <c r="AZ51" s="80" t="str">
        <f t="shared" si="23"/>
        <v/>
      </c>
      <c r="BA51" s="106" t="str">
        <f>IFERROR(IF(AO51="","",IF(AQ51="Dubai",HLOOKUP((AO51&amp;AP51),Deviation!$B$7:$S$8,2,0)*BI51*BK51*BL51*BJ51,HLOOKUP((AO51&amp;AP51),Deviation!$B$9:$K$10,2,0)*BI51*BK51*BL51*BJ51)),0)</f>
        <v/>
      </c>
      <c r="BB51" s="107" t="e">
        <f>IF(AO51="","",IFERROR(IF(AO51="","",IF(AQ51="Dubai",HLOOKUP(BC51,'input for formula'!$B$3:$F$10,AR51,FALSE), IF(AND(H51="Employee",AQ51="Abu Dhabi"),HLOOKUP(BC51,'input for formula'!$I$3:$K$7,AR51,FALSE),HLOOKUP(BC51,'input for formula'!$M$3:$O$7,AR51,FALSE)))*BA51+AS51*AT51+AU51*AV51+AW51*AX51),0)*$BC$3)*IF(Inputs!$C$19&gt;100,(1+$BC$2),1)</f>
        <v>#VALUE!</v>
      </c>
      <c r="BC51" s="95" t="str">
        <f t="shared" si="22"/>
        <v/>
      </c>
      <c r="BD51" s="334" t="str">
        <f>IF(F51="","",IF(G51="Dubai",HLOOKUP(F51,Inputs!$C$26:$M$37,9,0),HLOOKUP(F51,Inputs!$C$45:$M$56,9,0)))</f>
        <v/>
      </c>
      <c r="BE51" s="335" t="str">
        <f>IF(F51="","",IF(G51="Dubai",HLOOKUP(F51,Inputs!$C$26:$M$37,10,0),HLOOKUP(F51,Inputs!$C$45:$M$56,10,0)))</f>
        <v/>
      </c>
      <c r="BF51" s="335" t="str">
        <f>IF(F51="","",IF(G51="Dubai",HLOOKUP(F51,Inputs!$C$26:$M$37,11,0),HLOOKUP(F51,Inputs!$C$45:$M$56,11,0)))</f>
        <v/>
      </c>
      <c r="BG51" s="334" t="str">
        <f>IF(F51="","",IF(G51="Dubai",HLOOKUP(F51,Inputs!$C$26:$M$37,12,0),HLOOKUP(F51,Inputs!$C$45:$M$56,12,0)))</f>
        <v/>
      </c>
      <c r="BI51" s="334" t="str">
        <f>IFERROR(IF(AO51="","",IF(AQ51="Dubai",IF(OR(AO51="Plan1",AO51="Plan2"),VLOOKUP(BD51,Deviation!$B$31:$D$33,2,FALSE),VLOOKUP(BD51,Deviation!$B$31:$D$33,3,FALSE)),IF(OR(AO51="Plan1",AO51="Plan2"),VLOOKUP(BD51,Deviation!$E$31:$G$33,2,FALSE),VLOOKUP(BD51,Deviation!$E$31:$G$33,3,FALSE)))),0)</f>
        <v/>
      </c>
      <c r="BJ51" s="336" t="str">
        <f>IFERROR(IF(AO51="","",IF(AQ51="Dubai",IF(AO51="Plan1",VLOOKUP(BE51,Deviation!$B$39:$C$40,2,FALSE),IF(AO51="Plan2",VLOOKUP(BE51,Deviation!$B$42:$C$43,2,FALSE),IF(AO51="Plan5",VLOOKUP(BE51,Deviation!$B$48:$C$49,2,FALSE),VLOOKUP(BE51,Deviation!$B$45:$C$46,2,FALSE)))),IF(AO51="Plan1",VLOOKUP(BE51,Deviation!$E$39:$F$40,2,FALSE),IF(AO51="Plan2",VLOOKUP(BE51,Deviation!$E$42:$F$43,2,FALSE),VLOOKUP(BE51,Deviation!$E$45:$F$46,2,FALSE))))),0)</f>
        <v/>
      </c>
      <c r="BK51" s="336" t="str">
        <f>IFERROR(IF(AO51="","",IF(AQ51="Dubai",IF(OR(AO51="Plan1",AO51="Plan2"),VLOOKUP(BF51,Deviation!$B$15:$D$18,2,FALSE),VLOOKUP(BF51,Deviation!$B$15:$D$18,3,FALSE)),IF(OR(AO51="Plan1",AO51="Plan2"),VLOOKUP(BF51,Deviation!$E$15:$G$18,2,FALSE),VLOOKUP(BF51,Deviation!$E$15:$G$18,3,FALSE)))),0)</f>
        <v/>
      </c>
      <c r="BL51" s="334" t="str">
        <f>IFERROR(IF(AO51="","",IF(AQ51="Dubai",VLOOKUP(BG51,Deviation!$B$24:$C$26,2,FALSE),100%)),0)</f>
        <v/>
      </c>
    </row>
    <row r="52" spans="1:64" ht="14.25" x14ac:dyDescent="0.2">
      <c r="A52" s="59">
        <v>47</v>
      </c>
      <c r="B52" s="298"/>
      <c r="C52" s="299"/>
      <c r="D52" s="298"/>
      <c r="E52" s="298"/>
      <c r="F52" s="298"/>
      <c r="G52" s="298"/>
      <c r="H52" s="298"/>
      <c r="I52" s="298"/>
      <c r="J52" s="80" t="str">
        <f>IFERROR(ROUNDDOWN(IF(C52="","",(MAX((eff_date-Additions!C52)/365.25,0))),0),"")</f>
        <v/>
      </c>
      <c r="K52" s="59" t="str">
        <f>IF(F52="","",IF(G52="Dubai",HLOOKUP(F52,Inputs!$C$26:$M$28,3,0),HLOOKUP(F52,Inputs!$C$45:$M$46,2,0)))</f>
        <v/>
      </c>
      <c r="L52" s="335" t="str">
        <f t="shared" si="24"/>
        <v/>
      </c>
      <c r="M52" s="335">
        <f t="shared" si="25"/>
        <v>0</v>
      </c>
      <c r="N52" s="335" t="str">
        <f t="shared" si="26"/>
        <v/>
      </c>
      <c r="O52" s="335">
        <f t="shared" si="27"/>
        <v>0</v>
      </c>
      <c r="P52" s="104"/>
      <c r="Q52" s="105">
        <f t="shared" si="16"/>
        <v>0</v>
      </c>
      <c r="R52" s="59" t="b">
        <f t="shared" si="4"/>
        <v>0</v>
      </c>
      <c r="S52" s="102" t="str">
        <f t="shared" si="17"/>
        <v>x</v>
      </c>
      <c r="T52" s="102" t="str">
        <f t="shared" si="28"/>
        <v>x</v>
      </c>
      <c r="U52" s="102" t="str">
        <f t="shared" si="29"/>
        <v>x</v>
      </c>
      <c r="V52" s="102" t="str">
        <f t="shared" si="30"/>
        <v>x</v>
      </c>
      <c r="W52" s="102" t="str">
        <f t="shared" si="31"/>
        <v>x</v>
      </c>
      <c r="X52" s="102" t="str">
        <f>IF(ISERROR(MATCH(G52,'Inputs Mapping'!$T$4:$T$5,0)),"x","")</f>
        <v>x</v>
      </c>
      <c r="Y52" s="102" t="str">
        <f>IF(ISERROR(MATCH(AE52,'Inputs Mapping'!$U$4:$U$5,0)),"x","")</f>
        <v>x</v>
      </c>
      <c r="Z52" s="102" t="str">
        <f>IF(ISERROR(MATCH(AF52,'Inputs Mapping'!$V$4:$V$5,0)),"x","")</f>
        <v>x</v>
      </c>
      <c r="AA52" s="102" t="str">
        <f>IF(ISERROR(MATCH(F52,'Inputs Mapping'!$W$4:$W$8,0)),"x","")</f>
        <v>x</v>
      </c>
      <c r="AB52" s="102" t="str">
        <f t="shared" si="9"/>
        <v/>
      </c>
      <c r="AC52" s="102" t="str">
        <f t="shared" si="10"/>
        <v/>
      </c>
      <c r="AD52" s="102" t="str">
        <f t="shared" si="32"/>
        <v/>
      </c>
      <c r="AE52" s="102" t="str">
        <f t="shared" si="18"/>
        <v/>
      </c>
      <c r="AF52" s="102" t="str">
        <f t="shared" si="19"/>
        <v/>
      </c>
      <c r="AG52" s="102" t="str">
        <f t="shared" si="20"/>
        <v>x</v>
      </c>
      <c r="AK52" s="95" t="str">
        <f t="shared" si="12"/>
        <v/>
      </c>
      <c r="AL52" s="59" t="str">
        <f>IF(J52="","",VLOOKUP(J52,'Inputs Mapping'!$T$27:$V$30,3))</f>
        <v/>
      </c>
      <c r="AM52" s="59" t="str">
        <f>IF(J52="","",VLOOKUP(J52,'Inputs Mapping'!$T$17:$V$24,3))</f>
        <v/>
      </c>
      <c r="AN52" s="59" t="str">
        <f t="shared" si="13"/>
        <v/>
      </c>
      <c r="AO52" s="102" t="str">
        <f t="shared" si="14"/>
        <v/>
      </c>
      <c r="AP52" s="102" t="str">
        <f>IF(F52="","",IF(G52="Dubai",HLOOKUP(F52,Inputs!$C$26:$M$36,5,0),HLOOKUP(F52,Inputs!$C$45:$M$49,5,0)))</f>
        <v/>
      </c>
      <c r="AQ52" s="102">
        <f t="shared" si="15"/>
        <v>0</v>
      </c>
      <c r="AR52" s="59" t="str">
        <f>IF(AM52="","",IF(AQ52="Dubai",VLOOKUP(AM52,'Inputs Mapping'!$V$17:$W$24,2,0),VLOOKUP(AL52,'Inputs Mapping'!$V$27:$W$30,2,0)))</f>
        <v/>
      </c>
      <c r="AS52" s="333">
        <f>IFERROR(IF($AQ52="","",HLOOKUP($AQ52&amp;RIGHT($AO52,1),'input for formula'!$B$16:$I$20,3,0)),0)</f>
        <v>0</v>
      </c>
      <c r="AT52" s="80">
        <f>IFERROR(IF($AQ52="","",HLOOKUP($AQ52&amp;$F52,'input for formula'!$B$22:$M$25,2,0)),0)</f>
        <v>0</v>
      </c>
      <c r="AU52" s="333">
        <f>IFERROR(IF($AQ52="","",HLOOKUP($AQ52&amp;RIGHT($AO52,1),'input for formula'!$B$16:$I$20,4,0)),0)</f>
        <v>0</v>
      </c>
      <c r="AV52" s="80">
        <f>IFERROR(IF($AQ52="","",HLOOKUP($AQ52&amp;$F52,'input for formula'!$B$22:$M$25,3,0)),0)</f>
        <v>0</v>
      </c>
      <c r="AW52" s="333">
        <f>IFERROR(IF($AQ52="","",HLOOKUP($AQ52&amp;RIGHT($AO52,1),'input for formula'!$B$16:$I$20,5,0)),0)</f>
        <v>0</v>
      </c>
      <c r="AX52" s="80">
        <f>IFERROR(IF($AQ52="","",HLOOKUP($AQ52&amp;$F52,'input for formula'!$B$22:$M$25,4,0)),0)</f>
        <v>0</v>
      </c>
      <c r="AY52" s="333">
        <f>IFERROR(IF($AQ52="","",IF(Additions!$AQ52="Abu Dhabi",VLOOKUP(Additions!$AP52,'input for formula'!$A$28:$C$41,3,0),VLOOKUP(Additions!$AP52,'input for formula'!$A$28:$C$41,2,0))),0)*IFERROR(1+IF(AQ52="Dubai",VLOOKUP(F52,'Quotation for Dubai Plans'!$V$6:$X$12,3,FALSE),VLOOKUP(F52,'Quotation for Abu Dhabi Plans'!$W$6:$Y$12,3,FALSE)),0)</f>
        <v>0</v>
      </c>
      <c r="AZ52" s="80" t="str">
        <f t="shared" si="23"/>
        <v/>
      </c>
      <c r="BA52" s="106" t="str">
        <f>IFERROR(IF(AO52="","",IF(AQ52="Dubai",HLOOKUP((AO52&amp;AP52),Deviation!$B$7:$S$8,2,0)*BI52*BK52*BL52*BJ52,HLOOKUP((AO52&amp;AP52),Deviation!$B$9:$K$10,2,0)*BI52*BK52*BL52*BJ52)),0)</f>
        <v/>
      </c>
      <c r="BB52" s="107" t="e">
        <f>IF(AO52="","",IFERROR(IF(AO52="","",IF(AQ52="Dubai",HLOOKUP(BC52,'input for formula'!$B$3:$F$10,AR52,FALSE), IF(AND(H52="Employee",AQ52="Abu Dhabi"),HLOOKUP(BC52,'input for formula'!$I$3:$K$7,AR52,FALSE),HLOOKUP(BC52,'input for formula'!$M$3:$O$7,AR52,FALSE)))*BA52+AS52*AT52+AU52*AV52+AW52*AX52),0)*$BC$3)*IF(Inputs!$C$19&gt;100,(1+$BC$2),1)</f>
        <v>#VALUE!</v>
      </c>
      <c r="BC52" s="95" t="str">
        <f t="shared" si="22"/>
        <v/>
      </c>
      <c r="BD52" s="334" t="str">
        <f>IF(F52="","",IF(G52="Dubai",HLOOKUP(F52,Inputs!$C$26:$M$37,9,0),HLOOKUP(F52,Inputs!$C$45:$M$56,9,0)))</f>
        <v/>
      </c>
      <c r="BE52" s="335" t="str">
        <f>IF(F52="","",IF(G52="Dubai",HLOOKUP(F52,Inputs!$C$26:$M$37,10,0),HLOOKUP(F52,Inputs!$C$45:$M$56,10,0)))</f>
        <v/>
      </c>
      <c r="BF52" s="335" t="str">
        <f>IF(F52="","",IF(G52="Dubai",HLOOKUP(F52,Inputs!$C$26:$M$37,11,0),HLOOKUP(F52,Inputs!$C$45:$M$56,11,0)))</f>
        <v/>
      </c>
      <c r="BG52" s="334" t="str">
        <f>IF(F52="","",IF(G52="Dubai",HLOOKUP(F52,Inputs!$C$26:$M$37,12,0),HLOOKUP(F52,Inputs!$C$45:$M$56,12,0)))</f>
        <v/>
      </c>
      <c r="BI52" s="334" t="str">
        <f>IFERROR(IF(AO52="","",IF(AQ52="Dubai",IF(OR(AO52="Plan1",AO52="Plan2"),VLOOKUP(BD52,Deviation!$B$31:$D$33,2,FALSE),VLOOKUP(BD52,Deviation!$B$31:$D$33,3,FALSE)),IF(OR(AO52="Plan1",AO52="Plan2"),VLOOKUP(BD52,Deviation!$E$31:$G$33,2,FALSE),VLOOKUP(BD52,Deviation!$E$31:$G$33,3,FALSE)))),0)</f>
        <v/>
      </c>
      <c r="BJ52" s="336" t="str">
        <f>IFERROR(IF(AO52="","",IF(AQ52="Dubai",IF(AO52="Plan1",VLOOKUP(BE52,Deviation!$B$39:$C$40,2,FALSE),IF(AO52="Plan2",VLOOKUP(BE52,Deviation!$B$42:$C$43,2,FALSE),IF(AO52="Plan5",VLOOKUP(BE52,Deviation!$B$48:$C$49,2,FALSE),VLOOKUP(BE52,Deviation!$B$45:$C$46,2,FALSE)))),IF(AO52="Plan1",VLOOKUP(BE52,Deviation!$E$39:$F$40,2,FALSE),IF(AO52="Plan2",VLOOKUP(BE52,Deviation!$E$42:$F$43,2,FALSE),VLOOKUP(BE52,Deviation!$E$45:$F$46,2,FALSE))))),0)</f>
        <v/>
      </c>
      <c r="BK52" s="336" t="str">
        <f>IFERROR(IF(AO52="","",IF(AQ52="Dubai",IF(OR(AO52="Plan1",AO52="Plan2"),VLOOKUP(BF52,Deviation!$B$15:$D$18,2,FALSE),VLOOKUP(BF52,Deviation!$B$15:$D$18,3,FALSE)),IF(OR(AO52="Plan1",AO52="Plan2"),VLOOKUP(BF52,Deviation!$E$15:$G$18,2,FALSE),VLOOKUP(BF52,Deviation!$E$15:$G$18,3,FALSE)))),0)</f>
        <v/>
      </c>
      <c r="BL52" s="334" t="str">
        <f>IFERROR(IF(AO52="","",IF(AQ52="Dubai",VLOOKUP(BG52,Deviation!$B$24:$C$26,2,FALSE),100%)),0)</f>
        <v/>
      </c>
    </row>
    <row r="53" spans="1:64" ht="14.25" x14ac:dyDescent="0.2">
      <c r="A53" s="59">
        <v>48</v>
      </c>
      <c r="B53" s="298"/>
      <c r="C53" s="299"/>
      <c r="D53" s="298"/>
      <c r="E53" s="298"/>
      <c r="F53" s="298"/>
      <c r="G53" s="298"/>
      <c r="H53" s="298"/>
      <c r="I53" s="298"/>
      <c r="J53" s="80" t="str">
        <f>IFERROR(ROUNDDOWN(IF(C53="","",(MAX((eff_date-Additions!C53)/365.25,0))),0),"")</f>
        <v/>
      </c>
      <c r="K53" s="59" t="str">
        <f>IF(F53="","",IF(G53="Dubai",HLOOKUP(F53,Inputs!$C$26:$M$28,3,0),HLOOKUP(F53,Inputs!$C$45:$M$46,2,0)))</f>
        <v/>
      </c>
      <c r="L53" s="335" t="str">
        <f t="shared" si="24"/>
        <v/>
      </c>
      <c r="M53" s="335">
        <f t="shared" si="25"/>
        <v>0</v>
      </c>
      <c r="N53" s="335" t="str">
        <f t="shared" si="26"/>
        <v/>
      </c>
      <c r="O53" s="335">
        <f t="shared" si="27"/>
        <v>0</v>
      </c>
      <c r="P53" s="104"/>
      <c r="Q53" s="105">
        <f t="shared" si="16"/>
        <v>0</v>
      </c>
      <c r="R53" s="59" t="b">
        <f t="shared" si="4"/>
        <v>0</v>
      </c>
      <c r="S53" s="102" t="str">
        <f t="shared" si="17"/>
        <v>x</v>
      </c>
      <c r="T53" s="102" t="str">
        <f t="shared" si="28"/>
        <v>x</v>
      </c>
      <c r="U53" s="102" t="str">
        <f t="shared" si="29"/>
        <v>x</v>
      </c>
      <c r="V53" s="102" t="str">
        <f t="shared" si="30"/>
        <v>x</v>
      </c>
      <c r="W53" s="102" t="str">
        <f t="shared" si="31"/>
        <v>x</v>
      </c>
      <c r="X53" s="102" t="str">
        <f>IF(ISERROR(MATCH(G53,'Inputs Mapping'!$T$4:$T$5,0)),"x","")</f>
        <v>x</v>
      </c>
      <c r="Y53" s="102" t="str">
        <f>IF(ISERROR(MATCH(AE53,'Inputs Mapping'!$U$4:$U$5,0)),"x","")</f>
        <v>x</v>
      </c>
      <c r="Z53" s="102" t="str">
        <f>IF(ISERROR(MATCH(AF53,'Inputs Mapping'!$V$4:$V$5,0)),"x","")</f>
        <v>x</v>
      </c>
      <c r="AA53" s="102" t="str">
        <f>IF(ISERROR(MATCH(F53,'Inputs Mapping'!$W$4:$W$8,0)),"x","")</f>
        <v>x</v>
      </c>
      <c r="AB53" s="102" t="str">
        <f t="shared" si="9"/>
        <v/>
      </c>
      <c r="AC53" s="102" t="str">
        <f t="shared" si="10"/>
        <v/>
      </c>
      <c r="AD53" s="102" t="str">
        <f t="shared" si="32"/>
        <v/>
      </c>
      <c r="AE53" s="102" t="str">
        <f t="shared" si="18"/>
        <v/>
      </c>
      <c r="AF53" s="102" t="str">
        <f t="shared" si="19"/>
        <v/>
      </c>
      <c r="AG53" s="102" t="str">
        <f t="shared" si="20"/>
        <v>x</v>
      </c>
      <c r="AK53" s="95" t="str">
        <f t="shared" si="12"/>
        <v/>
      </c>
      <c r="AL53" s="59" t="str">
        <f>IF(J53="","",VLOOKUP(J53,'Inputs Mapping'!$T$27:$V$30,3))</f>
        <v/>
      </c>
      <c r="AM53" s="59" t="str">
        <f>IF(J53="","",VLOOKUP(J53,'Inputs Mapping'!$T$17:$V$24,3))</f>
        <v/>
      </c>
      <c r="AN53" s="59" t="str">
        <f t="shared" si="13"/>
        <v/>
      </c>
      <c r="AO53" s="102" t="str">
        <f t="shared" si="14"/>
        <v/>
      </c>
      <c r="AP53" s="102" t="str">
        <f>IF(F53="","",IF(G53="Dubai",HLOOKUP(F53,Inputs!$C$26:$M$36,5,0),HLOOKUP(F53,Inputs!$C$45:$M$49,5,0)))</f>
        <v/>
      </c>
      <c r="AQ53" s="102">
        <f t="shared" si="15"/>
        <v>0</v>
      </c>
      <c r="AR53" s="59" t="str">
        <f>IF(AM53="","",IF(AQ53="Dubai",VLOOKUP(AM53,'Inputs Mapping'!$V$17:$W$24,2,0),VLOOKUP(AL53,'Inputs Mapping'!$V$27:$W$30,2,0)))</f>
        <v/>
      </c>
      <c r="AS53" s="333">
        <f>IFERROR(IF($AQ53="","",HLOOKUP($AQ53&amp;RIGHT($AO53,1),'input for formula'!$B$16:$I$20,3,0)),0)</f>
        <v>0</v>
      </c>
      <c r="AT53" s="80">
        <f>IFERROR(IF($AQ53="","",HLOOKUP($AQ53&amp;$F53,'input for formula'!$B$22:$M$25,2,0)),0)</f>
        <v>0</v>
      </c>
      <c r="AU53" s="333">
        <f>IFERROR(IF($AQ53="","",HLOOKUP($AQ53&amp;RIGHT($AO53,1),'input for formula'!$B$16:$I$20,4,0)),0)</f>
        <v>0</v>
      </c>
      <c r="AV53" s="80">
        <f>IFERROR(IF($AQ53="","",HLOOKUP($AQ53&amp;$F53,'input for formula'!$B$22:$M$25,3,0)),0)</f>
        <v>0</v>
      </c>
      <c r="AW53" s="333">
        <f>IFERROR(IF($AQ53="","",HLOOKUP($AQ53&amp;RIGHT($AO53,1),'input for formula'!$B$16:$I$20,5,0)),0)</f>
        <v>0</v>
      </c>
      <c r="AX53" s="80">
        <f>IFERROR(IF($AQ53="","",HLOOKUP($AQ53&amp;$F53,'input for formula'!$B$22:$M$25,4,0)),0)</f>
        <v>0</v>
      </c>
      <c r="AY53" s="333">
        <f>IFERROR(IF($AQ53="","",IF(Additions!$AQ53="Abu Dhabi",VLOOKUP(Additions!$AP53,'input for formula'!$A$28:$C$41,3,0),VLOOKUP(Additions!$AP53,'input for formula'!$A$28:$C$41,2,0))),0)*IFERROR(1+IF(AQ53="Dubai",VLOOKUP(F53,'Quotation for Dubai Plans'!$V$6:$X$12,3,FALSE),VLOOKUP(F53,'Quotation for Abu Dhabi Plans'!$W$6:$Y$12,3,FALSE)),0)</f>
        <v>0</v>
      </c>
      <c r="AZ53" s="80" t="str">
        <f t="shared" si="23"/>
        <v/>
      </c>
      <c r="BA53" s="106" t="str">
        <f>IFERROR(IF(AO53="","",IF(AQ53="Dubai",HLOOKUP((AO53&amp;AP53),Deviation!$B$7:$S$8,2,0)*BI53*BK53*BL53*BJ53,HLOOKUP((AO53&amp;AP53),Deviation!$B$9:$K$10,2,0)*BI53*BK53*BL53*BJ53)),0)</f>
        <v/>
      </c>
      <c r="BB53" s="107" t="e">
        <f>IF(AO53="","",IFERROR(IF(AO53="","",IF(AQ53="Dubai",HLOOKUP(BC53,'input for formula'!$B$3:$F$10,AR53,FALSE), IF(AND(H53="Employee",AQ53="Abu Dhabi"),HLOOKUP(BC53,'input for formula'!$I$3:$K$7,AR53,FALSE),HLOOKUP(BC53,'input for formula'!$M$3:$O$7,AR53,FALSE)))*BA53+AS53*AT53+AU53*AV53+AW53*AX53),0)*$BC$3)*IF(Inputs!$C$19&gt;100,(1+$BC$2),1)</f>
        <v>#VALUE!</v>
      </c>
      <c r="BC53" s="95" t="str">
        <f t="shared" si="22"/>
        <v/>
      </c>
      <c r="BD53" s="334" t="str">
        <f>IF(F53="","",IF(G53="Dubai",HLOOKUP(F53,Inputs!$C$26:$M$37,9,0),HLOOKUP(F53,Inputs!$C$45:$M$56,9,0)))</f>
        <v/>
      </c>
      <c r="BE53" s="335" t="str">
        <f>IF(F53="","",IF(G53="Dubai",HLOOKUP(F53,Inputs!$C$26:$M$37,10,0),HLOOKUP(F53,Inputs!$C$45:$M$56,10,0)))</f>
        <v/>
      </c>
      <c r="BF53" s="335" t="str">
        <f>IF(F53="","",IF(G53="Dubai",HLOOKUP(F53,Inputs!$C$26:$M$37,11,0),HLOOKUP(F53,Inputs!$C$45:$M$56,11,0)))</f>
        <v/>
      </c>
      <c r="BG53" s="334" t="str">
        <f>IF(F53="","",IF(G53="Dubai",HLOOKUP(F53,Inputs!$C$26:$M$37,12,0),HLOOKUP(F53,Inputs!$C$45:$M$56,12,0)))</f>
        <v/>
      </c>
      <c r="BI53" s="334" t="str">
        <f>IFERROR(IF(AO53="","",IF(AQ53="Dubai",IF(OR(AO53="Plan1",AO53="Plan2"),VLOOKUP(BD53,Deviation!$B$31:$D$33,2,FALSE),VLOOKUP(BD53,Deviation!$B$31:$D$33,3,FALSE)),IF(OR(AO53="Plan1",AO53="Plan2"),VLOOKUP(BD53,Deviation!$E$31:$G$33,2,FALSE),VLOOKUP(BD53,Deviation!$E$31:$G$33,3,FALSE)))),0)</f>
        <v/>
      </c>
      <c r="BJ53" s="336" t="str">
        <f>IFERROR(IF(AO53="","",IF(AQ53="Dubai",IF(AO53="Plan1",VLOOKUP(BE53,Deviation!$B$39:$C$40,2,FALSE),IF(AO53="Plan2",VLOOKUP(BE53,Deviation!$B$42:$C$43,2,FALSE),IF(AO53="Plan5",VLOOKUP(BE53,Deviation!$B$48:$C$49,2,FALSE),VLOOKUP(BE53,Deviation!$B$45:$C$46,2,FALSE)))),IF(AO53="Plan1",VLOOKUP(BE53,Deviation!$E$39:$F$40,2,FALSE),IF(AO53="Plan2",VLOOKUP(BE53,Deviation!$E$42:$F$43,2,FALSE),VLOOKUP(BE53,Deviation!$E$45:$F$46,2,FALSE))))),0)</f>
        <v/>
      </c>
      <c r="BK53" s="336" t="str">
        <f>IFERROR(IF(AO53="","",IF(AQ53="Dubai",IF(OR(AO53="Plan1",AO53="Plan2"),VLOOKUP(BF53,Deviation!$B$15:$D$18,2,FALSE),VLOOKUP(BF53,Deviation!$B$15:$D$18,3,FALSE)),IF(OR(AO53="Plan1",AO53="Plan2"),VLOOKUP(BF53,Deviation!$E$15:$G$18,2,FALSE),VLOOKUP(BF53,Deviation!$E$15:$G$18,3,FALSE)))),0)</f>
        <v/>
      </c>
      <c r="BL53" s="334" t="str">
        <f>IFERROR(IF(AO53="","",IF(AQ53="Dubai",VLOOKUP(BG53,Deviation!$B$24:$C$26,2,FALSE),100%)),0)</f>
        <v/>
      </c>
    </row>
    <row r="54" spans="1:64" ht="14.25" x14ac:dyDescent="0.2">
      <c r="A54" s="59">
        <v>49</v>
      </c>
      <c r="B54" s="298"/>
      <c r="C54" s="299"/>
      <c r="D54" s="298"/>
      <c r="E54" s="298"/>
      <c r="F54" s="298"/>
      <c r="G54" s="298"/>
      <c r="H54" s="298"/>
      <c r="I54" s="298"/>
      <c r="J54" s="80" t="str">
        <f>IFERROR(ROUNDDOWN(IF(C54="","",(MAX((eff_date-Additions!C54)/365.25,0))),0),"")</f>
        <v/>
      </c>
      <c r="K54" s="59" t="str">
        <f>IF(F54="","",IF(G54="Dubai",HLOOKUP(F54,Inputs!$C$26:$M$28,3,0),HLOOKUP(F54,Inputs!$C$45:$M$46,2,0)))</f>
        <v/>
      </c>
      <c r="L54" s="335" t="str">
        <f t="shared" si="24"/>
        <v/>
      </c>
      <c r="M54" s="335">
        <f t="shared" si="25"/>
        <v>0</v>
      </c>
      <c r="N54" s="335" t="str">
        <f t="shared" si="26"/>
        <v/>
      </c>
      <c r="O54" s="335">
        <f t="shared" si="27"/>
        <v>0</v>
      </c>
      <c r="P54" s="104"/>
      <c r="Q54" s="105">
        <f t="shared" si="16"/>
        <v>0</v>
      </c>
      <c r="R54" s="59" t="b">
        <f t="shared" si="4"/>
        <v>0</v>
      </c>
      <c r="S54" s="102" t="str">
        <f t="shared" si="17"/>
        <v>x</v>
      </c>
      <c r="T54" s="102" t="str">
        <f t="shared" si="28"/>
        <v>x</v>
      </c>
      <c r="U54" s="102" t="str">
        <f t="shared" si="29"/>
        <v>x</v>
      </c>
      <c r="V54" s="102" t="str">
        <f t="shared" si="30"/>
        <v>x</v>
      </c>
      <c r="W54" s="102" t="str">
        <f t="shared" si="31"/>
        <v>x</v>
      </c>
      <c r="X54" s="102" t="str">
        <f>IF(ISERROR(MATCH(G54,'Inputs Mapping'!$T$4:$T$5,0)),"x","")</f>
        <v>x</v>
      </c>
      <c r="Y54" s="102" t="str">
        <f>IF(ISERROR(MATCH(AE54,'Inputs Mapping'!$U$4:$U$5,0)),"x","")</f>
        <v>x</v>
      </c>
      <c r="Z54" s="102" t="str">
        <f>IF(ISERROR(MATCH(AF54,'Inputs Mapping'!$V$4:$V$5,0)),"x","")</f>
        <v>x</v>
      </c>
      <c r="AA54" s="102" t="str">
        <f>IF(ISERROR(MATCH(F54,'Inputs Mapping'!$W$4:$W$8,0)),"x","")</f>
        <v>x</v>
      </c>
      <c r="AB54" s="102" t="str">
        <f t="shared" si="9"/>
        <v/>
      </c>
      <c r="AC54" s="102" t="str">
        <f t="shared" si="10"/>
        <v/>
      </c>
      <c r="AD54" s="102" t="str">
        <f t="shared" si="32"/>
        <v/>
      </c>
      <c r="AE54" s="102" t="str">
        <f t="shared" si="18"/>
        <v/>
      </c>
      <c r="AF54" s="102" t="str">
        <f t="shared" si="19"/>
        <v/>
      </c>
      <c r="AG54" s="102" t="str">
        <f t="shared" si="20"/>
        <v>x</v>
      </c>
      <c r="AK54" s="95" t="str">
        <f t="shared" si="12"/>
        <v/>
      </c>
      <c r="AL54" s="59" t="str">
        <f>IF(J54="","",VLOOKUP(J54,'Inputs Mapping'!$T$27:$V$30,3))</f>
        <v/>
      </c>
      <c r="AM54" s="59" t="str">
        <f>IF(J54="","",VLOOKUP(J54,'Inputs Mapping'!$T$17:$V$24,3))</f>
        <v/>
      </c>
      <c r="AN54" s="59" t="str">
        <f t="shared" si="13"/>
        <v/>
      </c>
      <c r="AO54" s="102" t="str">
        <f t="shared" si="14"/>
        <v/>
      </c>
      <c r="AP54" s="102" t="str">
        <f>IF(F54="","",IF(G54="Dubai",HLOOKUP(F54,Inputs!$C$26:$M$36,5,0),HLOOKUP(F54,Inputs!$C$45:$M$49,5,0)))</f>
        <v/>
      </c>
      <c r="AQ54" s="102">
        <f t="shared" si="15"/>
        <v>0</v>
      </c>
      <c r="AR54" s="59" t="str">
        <f>IF(AM54="","",IF(AQ54="Dubai",VLOOKUP(AM54,'Inputs Mapping'!$V$17:$W$24,2,0),VLOOKUP(AL54,'Inputs Mapping'!$V$27:$W$30,2,0)))</f>
        <v/>
      </c>
      <c r="AS54" s="333">
        <f>IFERROR(IF($AQ54="","",HLOOKUP($AQ54&amp;RIGHT($AO54,1),'input for formula'!$B$16:$I$20,3,0)),0)</f>
        <v>0</v>
      </c>
      <c r="AT54" s="80">
        <f>IFERROR(IF($AQ54="","",HLOOKUP($AQ54&amp;$F54,'input for formula'!$B$22:$M$25,2,0)),0)</f>
        <v>0</v>
      </c>
      <c r="AU54" s="333">
        <f>IFERROR(IF($AQ54="","",HLOOKUP($AQ54&amp;RIGHT($AO54,1),'input for formula'!$B$16:$I$20,4,0)),0)</f>
        <v>0</v>
      </c>
      <c r="AV54" s="80">
        <f>IFERROR(IF($AQ54="","",HLOOKUP($AQ54&amp;$F54,'input for formula'!$B$22:$M$25,3,0)),0)</f>
        <v>0</v>
      </c>
      <c r="AW54" s="333">
        <f>IFERROR(IF($AQ54="","",HLOOKUP($AQ54&amp;RIGHT($AO54,1),'input for formula'!$B$16:$I$20,5,0)),0)</f>
        <v>0</v>
      </c>
      <c r="AX54" s="80">
        <f>IFERROR(IF($AQ54="","",HLOOKUP($AQ54&amp;$F54,'input for formula'!$B$22:$M$25,4,0)),0)</f>
        <v>0</v>
      </c>
      <c r="AY54" s="333">
        <f>IFERROR(IF($AQ54="","",IF(Additions!$AQ54="Abu Dhabi",VLOOKUP(Additions!$AP54,'input for formula'!$A$28:$C$41,3,0),VLOOKUP(Additions!$AP54,'input for formula'!$A$28:$C$41,2,0))),0)*IFERROR(1+IF(AQ54="Dubai",VLOOKUP(F54,'Quotation for Dubai Plans'!$V$6:$X$12,3,FALSE),VLOOKUP(F54,'Quotation for Abu Dhabi Plans'!$W$6:$Y$12,3,FALSE)),0)</f>
        <v>0</v>
      </c>
      <c r="AZ54" s="80" t="str">
        <f t="shared" si="23"/>
        <v/>
      </c>
      <c r="BA54" s="106" t="str">
        <f>IFERROR(IF(AO54="","",IF(AQ54="Dubai",HLOOKUP((AO54&amp;AP54),Deviation!$B$7:$S$8,2,0)*BI54*BK54*BL54*BJ54,HLOOKUP((AO54&amp;AP54),Deviation!$B$9:$K$10,2,0)*BI54*BK54*BL54*BJ54)),0)</f>
        <v/>
      </c>
      <c r="BB54" s="107" t="e">
        <f>IF(AO54="","",IFERROR(IF(AO54="","",IF(AQ54="Dubai",HLOOKUP(BC54,'input for formula'!$B$3:$F$10,AR54,FALSE), IF(AND(H54="Employee",AQ54="Abu Dhabi"),HLOOKUP(BC54,'input for formula'!$I$3:$K$7,AR54,FALSE),HLOOKUP(BC54,'input for formula'!$M$3:$O$7,AR54,FALSE)))*BA54+AS54*AT54+AU54*AV54+AW54*AX54),0)*$BC$3)*IF(Inputs!$C$19&gt;100,(1+$BC$2),1)</f>
        <v>#VALUE!</v>
      </c>
      <c r="BC54" s="95" t="str">
        <f t="shared" si="22"/>
        <v/>
      </c>
      <c r="BD54" s="334" t="str">
        <f>IF(F54="","",IF(G54="Dubai",HLOOKUP(F54,Inputs!$C$26:$M$37,9,0),HLOOKUP(F54,Inputs!$C$45:$M$56,9,0)))</f>
        <v/>
      </c>
      <c r="BE54" s="335" t="str">
        <f>IF(F54="","",IF(G54="Dubai",HLOOKUP(F54,Inputs!$C$26:$M$37,10,0),HLOOKUP(F54,Inputs!$C$45:$M$56,10,0)))</f>
        <v/>
      </c>
      <c r="BF54" s="335" t="str">
        <f>IF(F54="","",IF(G54="Dubai",HLOOKUP(F54,Inputs!$C$26:$M$37,11,0),HLOOKUP(F54,Inputs!$C$45:$M$56,11,0)))</f>
        <v/>
      </c>
      <c r="BG54" s="334" t="str">
        <f>IF(F54="","",IF(G54="Dubai",HLOOKUP(F54,Inputs!$C$26:$M$37,12,0),HLOOKUP(F54,Inputs!$C$45:$M$56,12,0)))</f>
        <v/>
      </c>
      <c r="BI54" s="334" t="str">
        <f>IFERROR(IF(AO54="","",IF(AQ54="Dubai",IF(OR(AO54="Plan1",AO54="Plan2"),VLOOKUP(BD54,Deviation!$B$31:$D$33,2,FALSE),VLOOKUP(BD54,Deviation!$B$31:$D$33,3,FALSE)),IF(OR(AO54="Plan1",AO54="Plan2"),VLOOKUP(BD54,Deviation!$E$31:$G$33,2,FALSE),VLOOKUP(BD54,Deviation!$E$31:$G$33,3,FALSE)))),0)</f>
        <v/>
      </c>
      <c r="BJ54" s="336" t="str">
        <f>IFERROR(IF(AO54="","",IF(AQ54="Dubai",IF(AO54="Plan1",VLOOKUP(BE54,Deviation!$B$39:$C$40,2,FALSE),IF(AO54="Plan2",VLOOKUP(BE54,Deviation!$B$42:$C$43,2,FALSE),IF(AO54="Plan5",VLOOKUP(BE54,Deviation!$B$48:$C$49,2,FALSE),VLOOKUP(BE54,Deviation!$B$45:$C$46,2,FALSE)))),IF(AO54="Plan1",VLOOKUP(BE54,Deviation!$E$39:$F$40,2,FALSE),IF(AO54="Plan2",VLOOKUP(BE54,Deviation!$E$42:$F$43,2,FALSE),VLOOKUP(BE54,Deviation!$E$45:$F$46,2,FALSE))))),0)</f>
        <v/>
      </c>
      <c r="BK54" s="336" t="str">
        <f>IFERROR(IF(AO54="","",IF(AQ54="Dubai",IF(OR(AO54="Plan1",AO54="Plan2"),VLOOKUP(BF54,Deviation!$B$15:$D$18,2,FALSE),VLOOKUP(BF54,Deviation!$B$15:$D$18,3,FALSE)),IF(OR(AO54="Plan1",AO54="Plan2"),VLOOKUP(BF54,Deviation!$E$15:$G$18,2,FALSE),VLOOKUP(BF54,Deviation!$E$15:$G$18,3,FALSE)))),0)</f>
        <v/>
      </c>
      <c r="BL54" s="334" t="str">
        <f>IFERROR(IF(AO54="","",IF(AQ54="Dubai",VLOOKUP(BG54,Deviation!$B$24:$C$26,2,FALSE),100%)),0)</f>
        <v/>
      </c>
    </row>
    <row r="55" spans="1:64" ht="14.25" x14ac:dyDescent="0.2">
      <c r="A55" s="59">
        <v>50</v>
      </c>
      <c r="B55" s="298"/>
      <c r="C55" s="299"/>
      <c r="D55" s="298"/>
      <c r="E55" s="298"/>
      <c r="F55" s="298"/>
      <c r="G55" s="298"/>
      <c r="H55" s="298"/>
      <c r="I55" s="298"/>
      <c r="J55" s="80" t="str">
        <f>IFERROR(ROUNDDOWN(IF(C55="","",(MAX((eff_date-Additions!C55)/365.25,0))),0),"")</f>
        <v/>
      </c>
      <c r="K55" s="59" t="str">
        <f>IF(F55="","",IF(G55="Dubai",HLOOKUP(F55,Inputs!$C$26:$M$28,3,0),HLOOKUP(F55,Inputs!$C$45:$M$46,2,0)))</f>
        <v/>
      </c>
      <c r="L55" s="335" t="str">
        <f t="shared" si="24"/>
        <v/>
      </c>
      <c r="M55" s="335">
        <f t="shared" si="25"/>
        <v>0</v>
      </c>
      <c r="N55" s="335" t="str">
        <f t="shared" si="26"/>
        <v/>
      </c>
      <c r="O55" s="335">
        <f t="shared" si="27"/>
        <v>0</v>
      </c>
      <c r="P55" s="104"/>
      <c r="Q55" s="105">
        <f t="shared" si="16"/>
        <v>0</v>
      </c>
      <c r="R55" s="59" t="b">
        <f t="shared" si="4"/>
        <v>0</v>
      </c>
      <c r="S55" s="102" t="str">
        <f t="shared" si="17"/>
        <v>x</v>
      </c>
      <c r="T55" s="102" t="str">
        <f t="shared" si="28"/>
        <v>x</v>
      </c>
      <c r="U55" s="102" t="str">
        <f t="shared" si="29"/>
        <v>x</v>
      </c>
      <c r="V55" s="102" t="str">
        <f t="shared" si="30"/>
        <v>x</v>
      </c>
      <c r="W55" s="102" t="str">
        <f t="shared" si="31"/>
        <v>x</v>
      </c>
      <c r="X55" s="102" t="str">
        <f>IF(ISERROR(MATCH(G55,'Inputs Mapping'!$T$4:$T$5,0)),"x","")</f>
        <v>x</v>
      </c>
      <c r="Y55" s="102" t="str">
        <f>IF(ISERROR(MATCH(AE55,'Inputs Mapping'!$U$4:$U$5,0)),"x","")</f>
        <v>x</v>
      </c>
      <c r="Z55" s="102" t="str">
        <f>IF(ISERROR(MATCH(AF55,'Inputs Mapping'!$V$4:$V$5,0)),"x","")</f>
        <v>x</v>
      </c>
      <c r="AA55" s="102" t="str">
        <f>IF(ISERROR(MATCH(F55,'Inputs Mapping'!$W$4:$W$8,0)),"x","")</f>
        <v>x</v>
      </c>
      <c r="AB55" s="102" t="str">
        <f t="shared" si="9"/>
        <v/>
      </c>
      <c r="AC55" s="102" t="str">
        <f t="shared" si="10"/>
        <v/>
      </c>
      <c r="AD55" s="102" t="str">
        <f t="shared" si="32"/>
        <v/>
      </c>
      <c r="AE55" s="102" t="str">
        <f t="shared" si="18"/>
        <v/>
      </c>
      <c r="AF55" s="102" t="str">
        <f t="shared" si="19"/>
        <v/>
      </c>
      <c r="AG55" s="102" t="str">
        <f t="shared" si="20"/>
        <v>x</v>
      </c>
      <c r="AK55" s="95" t="str">
        <f t="shared" si="12"/>
        <v/>
      </c>
      <c r="AL55" s="59" t="str">
        <f>IF(J55="","",VLOOKUP(J55,'Inputs Mapping'!$T$27:$V$30,3))</f>
        <v/>
      </c>
      <c r="AM55" s="59" t="str">
        <f>IF(J55="","",VLOOKUP(J55,'Inputs Mapping'!$T$17:$V$24,3))</f>
        <v/>
      </c>
      <c r="AN55" s="59" t="str">
        <f t="shared" si="13"/>
        <v/>
      </c>
      <c r="AO55" s="102" t="str">
        <f t="shared" si="14"/>
        <v/>
      </c>
      <c r="AP55" s="102" t="str">
        <f>IF(F55="","",IF(G55="Dubai",HLOOKUP(F55,Inputs!$C$26:$M$36,5,0),HLOOKUP(F55,Inputs!$C$45:$M$49,5,0)))</f>
        <v/>
      </c>
      <c r="AQ55" s="102">
        <f t="shared" si="15"/>
        <v>0</v>
      </c>
      <c r="AR55" s="59" t="str">
        <f>IF(AM55="","",IF(AQ55="Dubai",VLOOKUP(AM55,'Inputs Mapping'!$V$17:$W$24,2,0),VLOOKUP(AL55,'Inputs Mapping'!$V$27:$W$30,2,0)))</f>
        <v/>
      </c>
      <c r="AS55" s="333">
        <f>IFERROR(IF($AQ55="","",HLOOKUP($AQ55&amp;RIGHT($AO55,1),'input for formula'!$B$16:$I$20,3,0)),0)</f>
        <v>0</v>
      </c>
      <c r="AT55" s="80">
        <f>IFERROR(IF($AQ55="","",HLOOKUP($AQ55&amp;$F55,'input for formula'!$B$22:$M$25,2,0)),0)</f>
        <v>0</v>
      </c>
      <c r="AU55" s="333">
        <f>IFERROR(IF($AQ55="","",HLOOKUP($AQ55&amp;RIGHT($AO55,1),'input for formula'!$B$16:$I$20,4,0)),0)</f>
        <v>0</v>
      </c>
      <c r="AV55" s="80">
        <f>IFERROR(IF($AQ55="","",HLOOKUP($AQ55&amp;$F55,'input for formula'!$B$22:$M$25,3,0)),0)</f>
        <v>0</v>
      </c>
      <c r="AW55" s="333">
        <f>IFERROR(IF($AQ55="","",HLOOKUP($AQ55&amp;RIGHT($AO55,1),'input for formula'!$B$16:$I$20,5,0)),0)</f>
        <v>0</v>
      </c>
      <c r="AX55" s="80">
        <f>IFERROR(IF($AQ55="","",HLOOKUP($AQ55&amp;$F55,'input for formula'!$B$22:$M$25,4,0)),0)</f>
        <v>0</v>
      </c>
      <c r="AY55" s="333">
        <f>IFERROR(IF($AQ55="","",IF(Additions!$AQ55="Abu Dhabi",VLOOKUP(Additions!$AP55,'input for formula'!$A$28:$C$41,3,0),VLOOKUP(Additions!$AP55,'input for formula'!$A$28:$C$41,2,0))),0)*IFERROR(1+IF(AQ55="Dubai",VLOOKUP(F55,'Quotation for Dubai Plans'!$V$6:$X$12,3,FALSE),VLOOKUP(F55,'Quotation for Abu Dhabi Plans'!$W$6:$Y$12,3,FALSE)),0)</f>
        <v>0</v>
      </c>
      <c r="AZ55" s="80" t="str">
        <f t="shared" si="23"/>
        <v/>
      </c>
      <c r="BA55" s="106" t="str">
        <f>IFERROR(IF(AO55="","",IF(AQ55="Dubai",HLOOKUP((AO55&amp;AP55),Deviation!$B$7:$S$8,2,0)*BI55*BK55*BL55*BJ55,HLOOKUP((AO55&amp;AP55),Deviation!$B$9:$K$10,2,0)*BI55*BK55*BL55*BJ55)),0)</f>
        <v/>
      </c>
      <c r="BB55" s="107" t="e">
        <f>IF(AO55="","",IFERROR(IF(AO55="","",IF(AQ55="Dubai",HLOOKUP(BC55,'input for formula'!$B$3:$F$10,AR55,FALSE), IF(AND(H55="Employee",AQ55="Abu Dhabi"),HLOOKUP(BC55,'input for formula'!$I$3:$K$7,AR55,FALSE),HLOOKUP(BC55,'input for formula'!$M$3:$O$7,AR55,FALSE)))*BA55+AS55*AT55+AU55*AV55+AW55*AX55),0)*$BC$3)*IF(Inputs!$C$19&gt;100,(1+$BC$2),1)</f>
        <v>#VALUE!</v>
      </c>
      <c r="BC55" s="95" t="str">
        <f t="shared" si="22"/>
        <v/>
      </c>
      <c r="BD55" s="334" t="str">
        <f>IF(F55="","",IF(G55="Dubai",HLOOKUP(F55,Inputs!$C$26:$M$37,9,0),HLOOKUP(F55,Inputs!$C$45:$M$56,9,0)))</f>
        <v/>
      </c>
      <c r="BE55" s="335" t="str">
        <f>IF(F55="","",IF(G55="Dubai",HLOOKUP(F55,Inputs!$C$26:$M$37,10,0),HLOOKUP(F55,Inputs!$C$45:$M$56,10,0)))</f>
        <v/>
      </c>
      <c r="BF55" s="335" t="str">
        <f>IF(F55="","",IF(G55="Dubai",HLOOKUP(F55,Inputs!$C$26:$M$37,11,0),HLOOKUP(F55,Inputs!$C$45:$M$56,11,0)))</f>
        <v/>
      </c>
      <c r="BG55" s="334" t="str">
        <f>IF(F55="","",IF(G55="Dubai",HLOOKUP(F55,Inputs!$C$26:$M$37,12,0),HLOOKUP(F55,Inputs!$C$45:$M$56,12,0)))</f>
        <v/>
      </c>
      <c r="BI55" s="334" t="str">
        <f>IFERROR(IF(AO55="","",IF(AQ55="Dubai",IF(OR(AO55="Plan1",AO55="Plan2"),VLOOKUP(BD55,Deviation!$B$31:$D$33,2,FALSE),VLOOKUP(BD55,Deviation!$B$31:$D$33,3,FALSE)),IF(OR(AO55="Plan1",AO55="Plan2"),VLOOKUP(BD55,Deviation!$E$31:$G$33,2,FALSE),VLOOKUP(BD55,Deviation!$E$31:$G$33,3,FALSE)))),0)</f>
        <v/>
      </c>
      <c r="BJ55" s="336" t="str">
        <f>IFERROR(IF(AO55="","",IF(AQ55="Dubai",IF(AO55="Plan1",VLOOKUP(BE55,Deviation!$B$39:$C$40,2,FALSE),IF(AO55="Plan2",VLOOKUP(BE55,Deviation!$B$42:$C$43,2,FALSE),IF(AO55="Plan5",VLOOKUP(BE55,Deviation!$B$48:$C$49,2,FALSE),VLOOKUP(BE55,Deviation!$B$45:$C$46,2,FALSE)))),IF(AO55="Plan1",VLOOKUP(BE55,Deviation!$E$39:$F$40,2,FALSE),IF(AO55="Plan2",VLOOKUP(BE55,Deviation!$E$42:$F$43,2,FALSE),VLOOKUP(BE55,Deviation!$E$45:$F$46,2,FALSE))))),0)</f>
        <v/>
      </c>
      <c r="BK55" s="336" t="str">
        <f>IFERROR(IF(AO55="","",IF(AQ55="Dubai",IF(OR(AO55="Plan1",AO55="Plan2"),VLOOKUP(BF55,Deviation!$B$15:$D$18,2,FALSE),VLOOKUP(BF55,Deviation!$B$15:$D$18,3,FALSE)),IF(OR(AO55="Plan1",AO55="Plan2"),VLOOKUP(BF55,Deviation!$E$15:$G$18,2,FALSE),VLOOKUP(BF55,Deviation!$E$15:$G$18,3,FALSE)))),0)</f>
        <v/>
      </c>
      <c r="BL55" s="334" t="str">
        <f>IFERROR(IF(AO55="","",IF(AQ55="Dubai",VLOOKUP(BG55,Deviation!$B$24:$C$26,2,FALSE),100%)),0)</f>
        <v/>
      </c>
    </row>
    <row r="56" spans="1:64" ht="14.25" x14ac:dyDescent="0.2">
      <c r="A56" s="59">
        <v>51</v>
      </c>
      <c r="B56" s="298"/>
      <c r="C56" s="299"/>
      <c r="D56" s="298"/>
      <c r="E56" s="298"/>
      <c r="F56" s="298"/>
      <c r="G56" s="298"/>
      <c r="H56" s="298"/>
      <c r="I56" s="298"/>
      <c r="J56" s="80" t="str">
        <f>IFERROR(ROUNDDOWN(IF(C56="","",(MAX((eff_date-Additions!C56)/365.25,0))),0),"")</f>
        <v/>
      </c>
      <c r="K56" s="59" t="str">
        <f>IF(F56="","",IF(G56="Dubai",HLOOKUP(F56,Inputs!$C$26:$M$28,3,0),HLOOKUP(F56,Inputs!$C$45:$M$46,2,0)))</f>
        <v/>
      </c>
      <c r="L56" s="335" t="str">
        <f t="shared" si="24"/>
        <v/>
      </c>
      <c r="M56" s="335">
        <f t="shared" si="25"/>
        <v>0</v>
      </c>
      <c r="N56" s="335" t="str">
        <f t="shared" si="26"/>
        <v/>
      </c>
      <c r="O56" s="335">
        <f t="shared" si="27"/>
        <v>0</v>
      </c>
      <c r="P56" s="104"/>
      <c r="Q56" s="105">
        <f t="shared" si="16"/>
        <v>0</v>
      </c>
      <c r="R56" s="59" t="b">
        <f t="shared" si="4"/>
        <v>0</v>
      </c>
      <c r="S56" s="102" t="str">
        <f t="shared" si="17"/>
        <v>x</v>
      </c>
      <c r="T56" s="102" t="str">
        <f t="shared" si="28"/>
        <v>x</v>
      </c>
      <c r="U56" s="102" t="str">
        <f t="shared" si="29"/>
        <v>x</v>
      </c>
      <c r="V56" s="102" t="str">
        <f t="shared" si="30"/>
        <v>x</v>
      </c>
      <c r="W56" s="102" t="str">
        <f t="shared" si="31"/>
        <v>x</v>
      </c>
      <c r="X56" s="102" t="str">
        <f>IF(ISERROR(MATCH(G56,'Inputs Mapping'!$T$4:$T$5,0)),"x","")</f>
        <v>x</v>
      </c>
      <c r="Y56" s="102" t="str">
        <f>IF(ISERROR(MATCH(AE56,'Inputs Mapping'!$U$4:$U$5,0)),"x","")</f>
        <v>x</v>
      </c>
      <c r="Z56" s="102" t="str">
        <f>IF(ISERROR(MATCH(AF56,'Inputs Mapping'!$V$4:$V$5,0)),"x","")</f>
        <v>x</v>
      </c>
      <c r="AA56" s="102" t="str">
        <f>IF(ISERROR(MATCH(F56,'Inputs Mapping'!$W$4:$W$8,0)),"x","")</f>
        <v>x</v>
      </c>
      <c r="AB56" s="102" t="str">
        <f t="shared" si="9"/>
        <v/>
      </c>
      <c r="AC56" s="102" t="str">
        <f t="shared" si="10"/>
        <v/>
      </c>
      <c r="AD56" s="102" t="str">
        <f t="shared" si="32"/>
        <v/>
      </c>
      <c r="AE56" s="102" t="str">
        <f t="shared" si="18"/>
        <v/>
      </c>
      <c r="AF56" s="102" t="str">
        <f t="shared" si="19"/>
        <v/>
      </c>
      <c r="AG56" s="102" t="str">
        <f t="shared" si="20"/>
        <v>x</v>
      </c>
      <c r="AK56" s="95" t="str">
        <f t="shared" si="12"/>
        <v/>
      </c>
      <c r="AL56" s="59" t="str">
        <f>IF(J56="","",VLOOKUP(J56,'Inputs Mapping'!$T$27:$V$30,3))</f>
        <v/>
      </c>
      <c r="AM56" s="59" t="str">
        <f>IF(J56="","",VLOOKUP(J56,'Inputs Mapping'!$T$17:$V$24,3))</f>
        <v/>
      </c>
      <c r="AN56" s="59" t="str">
        <f t="shared" si="13"/>
        <v/>
      </c>
      <c r="AO56" s="102" t="str">
        <f t="shared" si="14"/>
        <v/>
      </c>
      <c r="AP56" s="102" t="str">
        <f>IF(F56="","",IF(G56="Dubai",HLOOKUP(F56,Inputs!$C$26:$M$36,5,0),HLOOKUP(F56,Inputs!$C$45:$M$49,5,0)))</f>
        <v/>
      </c>
      <c r="AQ56" s="102">
        <f t="shared" si="15"/>
        <v>0</v>
      </c>
      <c r="AR56" s="59" t="str">
        <f>IF(AM56="","",IF(AQ56="Dubai",VLOOKUP(AM56,'Inputs Mapping'!$V$17:$W$24,2,0),VLOOKUP(AL56,'Inputs Mapping'!$V$27:$W$30,2,0)))</f>
        <v/>
      </c>
      <c r="AS56" s="333">
        <f>IFERROR(IF($AQ56="","",HLOOKUP($AQ56&amp;RIGHT($AO56,1),'input for formula'!$B$16:$I$20,3,0)),0)</f>
        <v>0</v>
      </c>
      <c r="AT56" s="80">
        <f>IFERROR(IF($AQ56="","",HLOOKUP($AQ56&amp;$F56,'input for formula'!$B$22:$M$25,2,0)),0)</f>
        <v>0</v>
      </c>
      <c r="AU56" s="333">
        <f>IFERROR(IF($AQ56="","",HLOOKUP($AQ56&amp;RIGHT($AO56,1),'input for formula'!$B$16:$I$20,4,0)),0)</f>
        <v>0</v>
      </c>
      <c r="AV56" s="80">
        <f>IFERROR(IF($AQ56="","",HLOOKUP($AQ56&amp;$F56,'input for formula'!$B$22:$M$25,3,0)),0)</f>
        <v>0</v>
      </c>
      <c r="AW56" s="333">
        <f>IFERROR(IF($AQ56="","",HLOOKUP($AQ56&amp;RIGHT($AO56,1),'input for formula'!$B$16:$I$20,5,0)),0)</f>
        <v>0</v>
      </c>
      <c r="AX56" s="80">
        <f>IFERROR(IF($AQ56="","",HLOOKUP($AQ56&amp;$F56,'input for formula'!$B$22:$M$25,4,0)),0)</f>
        <v>0</v>
      </c>
      <c r="AY56" s="333">
        <f>IFERROR(IF($AQ56="","",IF(Additions!$AQ56="Abu Dhabi",VLOOKUP(Additions!$AP56,'input for formula'!$A$28:$C$41,3,0),VLOOKUP(Additions!$AP56,'input for formula'!$A$28:$C$41,2,0))),0)*IFERROR(1+IF(AQ56="Dubai",VLOOKUP(F56,'Quotation for Dubai Plans'!$V$6:$X$12,3,FALSE),VLOOKUP(F56,'Quotation for Abu Dhabi Plans'!$W$6:$Y$12,3,FALSE)),0)</f>
        <v>0</v>
      </c>
      <c r="AZ56" s="80" t="str">
        <f t="shared" si="23"/>
        <v/>
      </c>
      <c r="BA56" s="106" t="str">
        <f>IFERROR(IF(AO56="","",IF(AQ56="Dubai",HLOOKUP((AO56&amp;AP56),Deviation!$B$7:$S$8,2,0)*BI56*BK56*BL56*BJ56,HLOOKUP((AO56&amp;AP56),Deviation!$B$9:$K$10,2,0)*BI56*BK56*BL56*BJ56)),0)</f>
        <v/>
      </c>
      <c r="BB56" s="107" t="e">
        <f>IF(AO56="","",IFERROR(IF(AO56="","",IF(AQ56="Dubai",HLOOKUP(BC56,'input for formula'!$B$3:$F$10,AR56,FALSE), IF(AND(H56="Employee",AQ56="Abu Dhabi"),HLOOKUP(BC56,'input for formula'!$I$3:$K$7,AR56,FALSE),HLOOKUP(BC56,'input for formula'!$M$3:$O$7,AR56,FALSE)))*BA56+AS56*AT56+AU56*AV56+AW56*AX56),0)*$BC$3)*IF(Inputs!$C$19&gt;100,(1+$BC$2),1)</f>
        <v>#VALUE!</v>
      </c>
      <c r="BC56" s="95" t="str">
        <f t="shared" si="22"/>
        <v/>
      </c>
      <c r="BD56" s="334" t="str">
        <f>IF(F56="","",IF(G56="Dubai",HLOOKUP(F56,Inputs!$C$26:$M$37,9,0),HLOOKUP(F56,Inputs!$C$45:$M$56,9,0)))</f>
        <v/>
      </c>
      <c r="BE56" s="335" t="str">
        <f>IF(F56="","",IF(G56="Dubai",HLOOKUP(F56,Inputs!$C$26:$M$37,10,0),HLOOKUP(F56,Inputs!$C$45:$M$56,10,0)))</f>
        <v/>
      </c>
      <c r="BF56" s="335" t="str">
        <f>IF(F56="","",IF(G56="Dubai",HLOOKUP(F56,Inputs!$C$26:$M$37,11,0),HLOOKUP(F56,Inputs!$C$45:$M$56,11,0)))</f>
        <v/>
      </c>
      <c r="BG56" s="334" t="str">
        <f>IF(F56="","",IF(G56="Dubai",HLOOKUP(F56,Inputs!$C$26:$M$37,12,0),HLOOKUP(F56,Inputs!$C$45:$M$56,12,0)))</f>
        <v/>
      </c>
      <c r="BI56" s="334" t="str">
        <f>IFERROR(IF(AO56="","",IF(AQ56="Dubai",IF(OR(AO56="Plan1",AO56="Plan2"),VLOOKUP(BD56,Deviation!$B$31:$D$33,2,FALSE),VLOOKUP(BD56,Deviation!$B$31:$D$33,3,FALSE)),IF(OR(AO56="Plan1",AO56="Plan2"),VLOOKUP(BD56,Deviation!$E$31:$G$33,2,FALSE),VLOOKUP(BD56,Deviation!$E$31:$G$33,3,FALSE)))),0)</f>
        <v/>
      </c>
      <c r="BJ56" s="336" t="str">
        <f>IFERROR(IF(AO56="","",IF(AQ56="Dubai",IF(AO56="Plan1",VLOOKUP(BE56,Deviation!$B$39:$C$40,2,FALSE),IF(AO56="Plan2",VLOOKUP(BE56,Deviation!$B$42:$C$43,2,FALSE),IF(AO56="Plan5",VLOOKUP(BE56,Deviation!$B$48:$C$49,2,FALSE),VLOOKUP(BE56,Deviation!$B$45:$C$46,2,FALSE)))),IF(AO56="Plan1",VLOOKUP(BE56,Deviation!$E$39:$F$40,2,FALSE),IF(AO56="Plan2",VLOOKUP(BE56,Deviation!$E$42:$F$43,2,FALSE),VLOOKUP(BE56,Deviation!$E$45:$F$46,2,FALSE))))),0)</f>
        <v/>
      </c>
      <c r="BK56" s="336" t="str">
        <f>IFERROR(IF(AO56="","",IF(AQ56="Dubai",IF(OR(AO56="Plan1",AO56="Plan2"),VLOOKUP(BF56,Deviation!$B$15:$D$18,2,FALSE),VLOOKUP(BF56,Deviation!$B$15:$D$18,3,FALSE)),IF(OR(AO56="Plan1",AO56="Plan2"),VLOOKUP(BF56,Deviation!$E$15:$G$18,2,FALSE),VLOOKUP(BF56,Deviation!$E$15:$G$18,3,FALSE)))),0)</f>
        <v/>
      </c>
      <c r="BL56" s="334" t="str">
        <f>IFERROR(IF(AO56="","",IF(AQ56="Dubai",VLOOKUP(BG56,Deviation!$B$24:$C$26,2,FALSE),100%)),0)</f>
        <v/>
      </c>
    </row>
    <row r="57" spans="1:64" ht="14.25" x14ac:dyDescent="0.2">
      <c r="A57" s="59">
        <v>52</v>
      </c>
      <c r="B57" s="298"/>
      <c r="C57" s="299"/>
      <c r="D57" s="298"/>
      <c r="E57" s="298"/>
      <c r="F57" s="298"/>
      <c r="G57" s="298"/>
      <c r="H57" s="298"/>
      <c r="I57" s="298"/>
      <c r="J57" s="80" t="str">
        <f>IFERROR(ROUNDDOWN(IF(C57="","",(MAX((eff_date-Additions!C57)/365.25,0))),0),"")</f>
        <v/>
      </c>
      <c r="K57" s="59" t="str">
        <f>IF(F57="","",IF(G57="Dubai",HLOOKUP(F57,Inputs!$C$26:$M$28,3,0),HLOOKUP(F57,Inputs!$C$45:$M$46,2,0)))</f>
        <v/>
      </c>
      <c r="L57" s="335" t="str">
        <f t="shared" si="24"/>
        <v/>
      </c>
      <c r="M57" s="335">
        <f t="shared" si="25"/>
        <v>0</v>
      </c>
      <c r="N57" s="335" t="str">
        <f t="shared" si="26"/>
        <v/>
      </c>
      <c r="O57" s="335">
        <f t="shared" si="27"/>
        <v>0</v>
      </c>
      <c r="P57" s="104"/>
      <c r="Q57" s="105">
        <f t="shared" si="16"/>
        <v>0</v>
      </c>
      <c r="R57" s="59" t="b">
        <f t="shared" si="4"/>
        <v>0</v>
      </c>
      <c r="S57" s="102" t="str">
        <f t="shared" si="17"/>
        <v>x</v>
      </c>
      <c r="T57" s="102" t="str">
        <f t="shared" si="28"/>
        <v>x</v>
      </c>
      <c r="U57" s="102" t="str">
        <f t="shared" si="29"/>
        <v>x</v>
      </c>
      <c r="V57" s="102" t="str">
        <f t="shared" si="30"/>
        <v>x</v>
      </c>
      <c r="W57" s="102" t="str">
        <f t="shared" si="31"/>
        <v>x</v>
      </c>
      <c r="X57" s="102" t="str">
        <f>IF(ISERROR(MATCH(G57,'Inputs Mapping'!$T$4:$T$5,0)),"x","")</f>
        <v>x</v>
      </c>
      <c r="Y57" s="102" t="str">
        <f>IF(ISERROR(MATCH(AE57,'Inputs Mapping'!$U$4:$U$5,0)),"x","")</f>
        <v>x</v>
      </c>
      <c r="Z57" s="102" t="str">
        <f>IF(ISERROR(MATCH(AF57,'Inputs Mapping'!$V$4:$V$5,0)),"x","")</f>
        <v>x</v>
      </c>
      <c r="AA57" s="102" t="str">
        <f>IF(ISERROR(MATCH(F57,'Inputs Mapping'!$W$4:$W$8,0)),"x","")</f>
        <v>x</v>
      </c>
      <c r="AB57" s="102" t="str">
        <f t="shared" si="9"/>
        <v/>
      </c>
      <c r="AC57" s="102" t="str">
        <f t="shared" si="10"/>
        <v/>
      </c>
      <c r="AD57" s="102" t="str">
        <f t="shared" si="32"/>
        <v/>
      </c>
      <c r="AE57" s="102" t="str">
        <f t="shared" si="18"/>
        <v/>
      </c>
      <c r="AF57" s="102" t="str">
        <f t="shared" si="19"/>
        <v/>
      </c>
      <c r="AG57" s="102" t="str">
        <f t="shared" si="20"/>
        <v>x</v>
      </c>
      <c r="AK57" s="95" t="str">
        <f t="shared" si="12"/>
        <v/>
      </c>
      <c r="AL57" s="59" t="str">
        <f>IF(J57="","",VLOOKUP(J57,'Inputs Mapping'!$T$27:$V$30,3))</f>
        <v/>
      </c>
      <c r="AM57" s="59" t="str">
        <f>IF(J57="","",VLOOKUP(J57,'Inputs Mapping'!$T$17:$V$24,3))</f>
        <v/>
      </c>
      <c r="AN57" s="59" t="str">
        <f t="shared" si="13"/>
        <v/>
      </c>
      <c r="AO57" s="102" t="str">
        <f t="shared" si="14"/>
        <v/>
      </c>
      <c r="AP57" s="102" t="str">
        <f>IF(F57="","",IF(G57="Dubai",HLOOKUP(F57,Inputs!$C$26:$M$36,5,0),HLOOKUP(F57,Inputs!$C$45:$M$49,5,0)))</f>
        <v/>
      </c>
      <c r="AQ57" s="102">
        <f t="shared" si="15"/>
        <v>0</v>
      </c>
      <c r="AR57" s="59" t="str">
        <f>IF(AM57="","",IF(AQ57="Dubai",VLOOKUP(AM57,'Inputs Mapping'!$V$17:$W$24,2,0),VLOOKUP(AL57,'Inputs Mapping'!$V$27:$W$30,2,0)))</f>
        <v/>
      </c>
      <c r="AS57" s="333">
        <f>IFERROR(IF($AQ57="","",HLOOKUP($AQ57&amp;RIGHT($AO57,1),'input for formula'!$B$16:$I$20,3,0)),0)</f>
        <v>0</v>
      </c>
      <c r="AT57" s="80">
        <f>IFERROR(IF($AQ57="","",HLOOKUP($AQ57&amp;$F57,'input for formula'!$B$22:$M$25,2,0)),0)</f>
        <v>0</v>
      </c>
      <c r="AU57" s="333">
        <f>IFERROR(IF($AQ57="","",HLOOKUP($AQ57&amp;RIGHT($AO57,1),'input for formula'!$B$16:$I$20,4,0)),0)</f>
        <v>0</v>
      </c>
      <c r="AV57" s="80">
        <f>IFERROR(IF($AQ57="","",HLOOKUP($AQ57&amp;$F57,'input for formula'!$B$22:$M$25,3,0)),0)</f>
        <v>0</v>
      </c>
      <c r="AW57" s="333">
        <f>IFERROR(IF($AQ57="","",HLOOKUP($AQ57&amp;RIGHT($AO57,1),'input for formula'!$B$16:$I$20,5,0)),0)</f>
        <v>0</v>
      </c>
      <c r="AX57" s="80">
        <f>IFERROR(IF($AQ57="","",HLOOKUP($AQ57&amp;$F57,'input for formula'!$B$22:$M$25,4,0)),0)</f>
        <v>0</v>
      </c>
      <c r="AY57" s="333">
        <f>IFERROR(IF($AQ57="","",IF(Additions!$AQ57="Abu Dhabi",VLOOKUP(Additions!$AP57,'input for formula'!$A$28:$C$41,3,0),VLOOKUP(Additions!$AP57,'input for formula'!$A$28:$C$41,2,0))),0)*IFERROR(1+IF(AQ57="Dubai",VLOOKUP(F57,'Quotation for Dubai Plans'!$V$6:$X$12,3,FALSE),VLOOKUP(F57,'Quotation for Abu Dhabi Plans'!$W$6:$Y$12,3,FALSE)),0)</f>
        <v>0</v>
      </c>
      <c r="AZ57" s="80" t="str">
        <f t="shared" si="23"/>
        <v/>
      </c>
      <c r="BA57" s="106" t="str">
        <f>IFERROR(IF(AO57="","",IF(AQ57="Dubai",HLOOKUP((AO57&amp;AP57),Deviation!$B$7:$S$8,2,0)*BI57*BK57*BL57*BJ57,HLOOKUP((AO57&amp;AP57),Deviation!$B$9:$K$10,2,0)*BI57*BK57*BL57*BJ57)),0)</f>
        <v/>
      </c>
      <c r="BB57" s="107" t="e">
        <f>IF(AO57="","",IFERROR(IF(AO57="","",IF(AQ57="Dubai",HLOOKUP(BC57,'input for formula'!$B$3:$F$10,AR57,FALSE), IF(AND(H57="Employee",AQ57="Abu Dhabi"),HLOOKUP(BC57,'input for formula'!$I$3:$K$7,AR57,FALSE),HLOOKUP(BC57,'input for formula'!$M$3:$O$7,AR57,FALSE)))*BA57+AS57*AT57+AU57*AV57+AW57*AX57),0)*$BC$3)*IF(Inputs!$C$19&gt;100,(1+$BC$2),1)</f>
        <v>#VALUE!</v>
      </c>
      <c r="BC57" s="95" t="str">
        <f t="shared" si="22"/>
        <v/>
      </c>
      <c r="BD57" s="334" t="str">
        <f>IF(F57="","",IF(G57="Dubai",HLOOKUP(F57,Inputs!$C$26:$M$37,9,0),HLOOKUP(F57,Inputs!$C$45:$M$56,9,0)))</f>
        <v/>
      </c>
      <c r="BE57" s="335" t="str">
        <f>IF(F57="","",IF(G57="Dubai",HLOOKUP(F57,Inputs!$C$26:$M$37,10,0),HLOOKUP(F57,Inputs!$C$45:$M$56,10,0)))</f>
        <v/>
      </c>
      <c r="BF57" s="335" t="str">
        <f>IF(F57="","",IF(G57="Dubai",HLOOKUP(F57,Inputs!$C$26:$M$37,11,0),HLOOKUP(F57,Inputs!$C$45:$M$56,11,0)))</f>
        <v/>
      </c>
      <c r="BG57" s="334" t="str">
        <f>IF(F57="","",IF(G57="Dubai",HLOOKUP(F57,Inputs!$C$26:$M$37,12,0),HLOOKUP(F57,Inputs!$C$45:$M$56,12,0)))</f>
        <v/>
      </c>
      <c r="BI57" s="334" t="str">
        <f>IFERROR(IF(AO57="","",IF(AQ57="Dubai",IF(OR(AO57="Plan1",AO57="Plan2"),VLOOKUP(BD57,Deviation!$B$31:$D$33,2,FALSE),VLOOKUP(BD57,Deviation!$B$31:$D$33,3,FALSE)),IF(OR(AO57="Plan1",AO57="Plan2"),VLOOKUP(BD57,Deviation!$E$31:$G$33,2,FALSE),VLOOKUP(BD57,Deviation!$E$31:$G$33,3,FALSE)))),0)</f>
        <v/>
      </c>
      <c r="BJ57" s="336" t="str">
        <f>IFERROR(IF(AO57="","",IF(AQ57="Dubai",IF(AO57="Plan1",VLOOKUP(BE57,Deviation!$B$39:$C$40,2,FALSE),IF(AO57="Plan2",VLOOKUP(BE57,Deviation!$B$42:$C$43,2,FALSE),IF(AO57="Plan5",VLOOKUP(BE57,Deviation!$B$48:$C$49,2,FALSE),VLOOKUP(BE57,Deviation!$B$45:$C$46,2,FALSE)))),IF(AO57="Plan1",VLOOKUP(BE57,Deviation!$E$39:$F$40,2,FALSE),IF(AO57="Plan2",VLOOKUP(BE57,Deviation!$E$42:$F$43,2,FALSE),VLOOKUP(BE57,Deviation!$E$45:$F$46,2,FALSE))))),0)</f>
        <v/>
      </c>
      <c r="BK57" s="336" t="str">
        <f>IFERROR(IF(AO57="","",IF(AQ57="Dubai",IF(OR(AO57="Plan1",AO57="Plan2"),VLOOKUP(BF57,Deviation!$B$15:$D$18,2,FALSE),VLOOKUP(BF57,Deviation!$B$15:$D$18,3,FALSE)),IF(OR(AO57="Plan1",AO57="Plan2"),VLOOKUP(BF57,Deviation!$E$15:$G$18,2,FALSE),VLOOKUP(BF57,Deviation!$E$15:$G$18,3,FALSE)))),0)</f>
        <v/>
      </c>
      <c r="BL57" s="334" t="str">
        <f>IFERROR(IF(AO57="","",IF(AQ57="Dubai",VLOOKUP(BG57,Deviation!$B$24:$C$26,2,FALSE),100%)),0)</f>
        <v/>
      </c>
    </row>
    <row r="58" spans="1:64" ht="14.25" x14ac:dyDescent="0.2">
      <c r="A58" s="59">
        <v>53</v>
      </c>
      <c r="B58" s="298"/>
      <c r="C58" s="299"/>
      <c r="D58" s="298"/>
      <c r="E58" s="298"/>
      <c r="F58" s="298"/>
      <c r="G58" s="298"/>
      <c r="H58" s="298"/>
      <c r="I58" s="298"/>
      <c r="J58" s="80" t="str">
        <f>IFERROR(ROUNDDOWN(IF(C58="","",(MAX((eff_date-Additions!C58)/365.25,0))),0),"")</f>
        <v/>
      </c>
      <c r="K58" s="59" t="str">
        <f>IF(F58="","",IF(G58="Dubai",HLOOKUP(F58,Inputs!$C$26:$M$28,3,0),HLOOKUP(F58,Inputs!$C$45:$M$46,2,0)))</f>
        <v/>
      </c>
      <c r="L58" s="335" t="str">
        <f t="shared" si="24"/>
        <v/>
      </c>
      <c r="M58" s="335">
        <f t="shared" si="25"/>
        <v>0</v>
      </c>
      <c r="N58" s="335" t="str">
        <f t="shared" si="26"/>
        <v/>
      </c>
      <c r="O58" s="335">
        <f t="shared" si="27"/>
        <v>0</v>
      </c>
      <c r="P58" s="104"/>
      <c r="Q58" s="105">
        <f t="shared" si="16"/>
        <v>0</v>
      </c>
      <c r="R58" s="59" t="b">
        <f t="shared" si="4"/>
        <v>0</v>
      </c>
      <c r="S58" s="102" t="str">
        <f t="shared" si="17"/>
        <v>x</v>
      </c>
      <c r="T58" s="102" t="str">
        <f t="shared" si="28"/>
        <v>x</v>
      </c>
      <c r="U58" s="102" t="str">
        <f t="shared" si="29"/>
        <v>x</v>
      </c>
      <c r="V58" s="102" t="str">
        <f t="shared" si="30"/>
        <v>x</v>
      </c>
      <c r="W58" s="102" t="str">
        <f t="shared" si="31"/>
        <v>x</v>
      </c>
      <c r="X58" s="102" t="str">
        <f>IF(ISERROR(MATCH(G58,'Inputs Mapping'!$T$4:$T$5,0)),"x","")</f>
        <v>x</v>
      </c>
      <c r="Y58" s="102" t="str">
        <f>IF(ISERROR(MATCH(AE58,'Inputs Mapping'!$U$4:$U$5,0)),"x","")</f>
        <v>x</v>
      </c>
      <c r="Z58" s="102" t="str">
        <f>IF(ISERROR(MATCH(AF58,'Inputs Mapping'!$V$4:$V$5,0)),"x","")</f>
        <v>x</v>
      </c>
      <c r="AA58" s="102" t="str">
        <f>IF(ISERROR(MATCH(F58,'Inputs Mapping'!$W$4:$W$8,0)),"x","")</f>
        <v>x</v>
      </c>
      <c r="AB58" s="102" t="str">
        <f t="shared" si="9"/>
        <v/>
      </c>
      <c r="AC58" s="102" t="str">
        <f t="shared" si="10"/>
        <v/>
      </c>
      <c r="AD58" s="102" t="str">
        <f t="shared" si="32"/>
        <v/>
      </c>
      <c r="AE58" s="102" t="str">
        <f t="shared" si="18"/>
        <v/>
      </c>
      <c r="AF58" s="102" t="str">
        <f t="shared" si="19"/>
        <v/>
      </c>
      <c r="AG58" s="102" t="str">
        <f t="shared" si="20"/>
        <v>x</v>
      </c>
      <c r="AK58" s="95" t="str">
        <f t="shared" si="12"/>
        <v/>
      </c>
      <c r="AL58" s="59" t="str">
        <f>IF(J58="","",VLOOKUP(J58,'Inputs Mapping'!$T$27:$V$30,3))</f>
        <v/>
      </c>
      <c r="AM58" s="59" t="str">
        <f>IF(J58="","",VLOOKUP(J58,'Inputs Mapping'!$T$17:$V$24,3))</f>
        <v/>
      </c>
      <c r="AN58" s="59" t="str">
        <f t="shared" si="13"/>
        <v/>
      </c>
      <c r="AO58" s="102" t="str">
        <f t="shared" si="14"/>
        <v/>
      </c>
      <c r="AP58" s="102" t="str">
        <f>IF(F58="","",IF(G58="Dubai",HLOOKUP(F58,Inputs!$C$26:$M$36,5,0),HLOOKUP(F58,Inputs!$C$45:$M$49,5,0)))</f>
        <v/>
      </c>
      <c r="AQ58" s="102">
        <f t="shared" si="15"/>
        <v>0</v>
      </c>
      <c r="AR58" s="59" t="str">
        <f>IF(AM58="","",IF(AQ58="Dubai",VLOOKUP(AM58,'Inputs Mapping'!$V$17:$W$24,2,0),VLOOKUP(AL58,'Inputs Mapping'!$V$27:$W$30,2,0)))</f>
        <v/>
      </c>
      <c r="AS58" s="333">
        <f>IFERROR(IF($AQ58="","",HLOOKUP($AQ58&amp;RIGHT($AO58,1),'input for formula'!$B$16:$I$20,3,0)),0)</f>
        <v>0</v>
      </c>
      <c r="AT58" s="80">
        <f>IFERROR(IF($AQ58="","",HLOOKUP($AQ58&amp;$F58,'input for formula'!$B$22:$M$25,2,0)),0)</f>
        <v>0</v>
      </c>
      <c r="AU58" s="333">
        <f>IFERROR(IF($AQ58="","",HLOOKUP($AQ58&amp;RIGHT($AO58,1),'input for formula'!$B$16:$I$20,4,0)),0)</f>
        <v>0</v>
      </c>
      <c r="AV58" s="80">
        <f>IFERROR(IF($AQ58="","",HLOOKUP($AQ58&amp;$F58,'input for formula'!$B$22:$M$25,3,0)),0)</f>
        <v>0</v>
      </c>
      <c r="AW58" s="333">
        <f>IFERROR(IF($AQ58="","",HLOOKUP($AQ58&amp;RIGHT($AO58,1),'input for formula'!$B$16:$I$20,5,0)),0)</f>
        <v>0</v>
      </c>
      <c r="AX58" s="80">
        <f>IFERROR(IF($AQ58="","",HLOOKUP($AQ58&amp;$F58,'input for formula'!$B$22:$M$25,4,0)),0)</f>
        <v>0</v>
      </c>
      <c r="AY58" s="333">
        <f>IFERROR(IF($AQ58="","",IF(Additions!$AQ58="Abu Dhabi",VLOOKUP(Additions!$AP58,'input for formula'!$A$28:$C$41,3,0),VLOOKUP(Additions!$AP58,'input for formula'!$A$28:$C$41,2,0))),0)*IFERROR(1+IF(AQ58="Dubai",VLOOKUP(F58,'Quotation for Dubai Plans'!$V$6:$X$12,3,FALSE),VLOOKUP(F58,'Quotation for Abu Dhabi Plans'!$W$6:$Y$12,3,FALSE)),0)</f>
        <v>0</v>
      </c>
      <c r="AZ58" s="80" t="str">
        <f t="shared" si="23"/>
        <v/>
      </c>
      <c r="BA58" s="106" t="str">
        <f>IFERROR(IF(AO58="","",IF(AQ58="Dubai",HLOOKUP((AO58&amp;AP58),Deviation!$B$7:$S$8,2,0)*BI58*BK58*BL58*BJ58,HLOOKUP((AO58&amp;AP58),Deviation!$B$9:$K$10,2,0)*BI58*BK58*BL58*BJ58)),0)</f>
        <v/>
      </c>
      <c r="BB58" s="107" t="e">
        <f>IF(AO58="","",IFERROR(IF(AO58="","",IF(AQ58="Dubai",HLOOKUP(BC58,'input for formula'!$B$3:$F$10,AR58,FALSE), IF(AND(H58="Employee",AQ58="Abu Dhabi"),HLOOKUP(BC58,'input for formula'!$I$3:$K$7,AR58,FALSE),HLOOKUP(BC58,'input for formula'!$M$3:$O$7,AR58,FALSE)))*BA58+AS58*AT58+AU58*AV58+AW58*AX58),0)*$BC$3)*IF(Inputs!$C$19&gt;100,(1+$BC$2),1)</f>
        <v>#VALUE!</v>
      </c>
      <c r="BC58" s="95" t="str">
        <f t="shared" si="22"/>
        <v/>
      </c>
      <c r="BD58" s="334" t="str">
        <f>IF(F58="","",IF(G58="Dubai",HLOOKUP(F58,Inputs!$C$26:$M$37,9,0),HLOOKUP(F58,Inputs!$C$45:$M$56,9,0)))</f>
        <v/>
      </c>
      <c r="BE58" s="335" t="str">
        <f>IF(F58="","",IF(G58="Dubai",HLOOKUP(F58,Inputs!$C$26:$M$37,10,0),HLOOKUP(F58,Inputs!$C$45:$M$56,10,0)))</f>
        <v/>
      </c>
      <c r="BF58" s="335" t="str">
        <f>IF(F58="","",IF(G58="Dubai",HLOOKUP(F58,Inputs!$C$26:$M$37,11,0),HLOOKUP(F58,Inputs!$C$45:$M$56,11,0)))</f>
        <v/>
      </c>
      <c r="BG58" s="334" t="str">
        <f>IF(F58="","",IF(G58="Dubai",HLOOKUP(F58,Inputs!$C$26:$M$37,12,0),HLOOKUP(F58,Inputs!$C$45:$M$56,12,0)))</f>
        <v/>
      </c>
      <c r="BI58" s="334" t="str">
        <f>IFERROR(IF(AO58="","",IF(AQ58="Dubai",IF(OR(AO58="Plan1",AO58="Plan2"),VLOOKUP(BD58,Deviation!$B$31:$D$33,2,FALSE),VLOOKUP(BD58,Deviation!$B$31:$D$33,3,FALSE)),IF(OR(AO58="Plan1",AO58="Plan2"),VLOOKUP(BD58,Deviation!$E$31:$G$33,2,FALSE),VLOOKUP(BD58,Deviation!$E$31:$G$33,3,FALSE)))),0)</f>
        <v/>
      </c>
      <c r="BJ58" s="336" t="str">
        <f>IFERROR(IF(AO58="","",IF(AQ58="Dubai",IF(AO58="Plan1",VLOOKUP(BE58,Deviation!$B$39:$C$40,2,FALSE),IF(AO58="Plan2",VLOOKUP(BE58,Deviation!$B$42:$C$43,2,FALSE),IF(AO58="Plan5",VLOOKUP(BE58,Deviation!$B$48:$C$49,2,FALSE),VLOOKUP(BE58,Deviation!$B$45:$C$46,2,FALSE)))),IF(AO58="Plan1",VLOOKUP(BE58,Deviation!$E$39:$F$40,2,FALSE),IF(AO58="Plan2",VLOOKUP(BE58,Deviation!$E$42:$F$43,2,FALSE),VLOOKUP(BE58,Deviation!$E$45:$F$46,2,FALSE))))),0)</f>
        <v/>
      </c>
      <c r="BK58" s="336" t="str">
        <f>IFERROR(IF(AO58="","",IF(AQ58="Dubai",IF(OR(AO58="Plan1",AO58="Plan2"),VLOOKUP(BF58,Deviation!$B$15:$D$18,2,FALSE),VLOOKUP(BF58,Deviation!$B$15:$D$18,3,FALSE)),IF(OR(AO58="Plan1",AO58="Plan2"),VLOOKUP(BF58,Deviation!$E$15:$G$18,2,FALSE),VLOOKUP(BF58,Deviation!$E$15:$G$18,3,FALSE)))),0)</f>
        <v/>
      </c>
      <c r="BL58" s="334" t="str">
        <f>IFERROR(IF(AO58="","",IF(AQ58="Dubai",VLOOKUP(BG58,Deviation!$B$24:$C$26,2,FALSE),100%)),0)</f>
        <v/>
      </c>
    </row>
    <row r="59" spans="1:64" ht="14.25" x14ac:dyDescent="0.2">
      <c r="A59" s="59">
        <v>54</v>
      </c>
      <c r="B59" s="298"/>
      <c r="C59" s="299"/>
      <c r="D59" s="298"/>
      <c r="E59" s="298"/>
      <c r="F59" s="298"/>
      <c r="G59" s="298"/>
      <c r="H59" s="298"/>
      <c r="I59" s="298"/>
      <c r="J59" s="80" t="str">
        <f>IFERROR(ROUNDDOWN(IF(C59="","",(MAX((eff_date-Additions!C59)/365.25,0))),0),"")</f>
        <v/>
      </c>
      <c r="K59" s="59" t="str">
        <f>IF(F59="","",IF(G59="Dubai",HLOOKUP(F59,Inputs!$C$26:$M$28,3,0),HLOOKUP(F59,Inputs!$C$45:$M$46,2,0)))</f>
        <v/>
      </c>
      <c r="L59" s="335" t="str">
        <f t="shared" si="24"/>
        <v/>
      </c>
      <c r="M59" s="335">
        <f t="shared" si="25"/>
        <v>0</v>
      </c>
      <c r="N59" s="335" t="str">
        <f t="shared" si="26"/>
        <v/>
      </c>
      <c r="O59" s="335">
        <f t="shared" si="27"/>
        <v>0</v>
      </c>
      <c r="P59" s="104"/>
      <c r="Q59" s="105">
        <f t="shared" si="16"/>
        <v>0</v>
      </c>
      <c r="R59" s="59" t="b">
        <f t="shared" si="4"/>
        <v>0</v>
      </c>
      <c r="S59" s="102" t="str">
        <f t="shared" si="17"/>
        <v>x</v>
      </c>
      <c r="T59" s="102" t="str">
        <f t="shared" si="28"/>
        <v>x</v>
      </c>
      <c r="U59" s="102" t="str">
        <f t="shared" si="29"/>
        <v>x</v>
      </c>
      <c r="V59" s="102" t="str">
        <f t="shared" si="30"/>
        <v>x</v>
      </c>
      <c r="W59" s="102" t="str">
        <f t="shared" si="31"/>
        <v>x</v>
      </c>
      <c r="X59" s="102" t="str">
        <f>IF(ISERROR(MATCH(G59,'Inputs Mapping'!$T$4:$T$5,0)),"x","")</f>
        <v>x</v>
      </c>
      <c r="Y59" s="102" t="str">
        <f>IF(ISERROR(MATCH(AE59,'Inputs Mapping'!$U$4:$U$5,0)),"x","")</f>
        <v>x</v>
      </c>
      <c r="Z59" s="102" t="str">
        <f>IF(ISERROR(MATCH(AF59,'Inputs Mapping'!$V$4:$V$5,0)),"x","")</f>
        <v>x</v>
      </c>
      <c r="AA59" s="102" t="str">
        <f>IF(ISERROR(MATCH(F59,'Inputs Mapping'!$W$4:$W$8,0)),"x","")</f>
        <v>x</v>
      </c>
      <c r="AB59" s="102" t="str">
        <f t="shared" si="9"/>
        <v/>
      </c>
      <c r="AC59" s="102" t="str">
        <f t="shared" si="10"/>
        <v/>
      </c>
      <c r="AD59" s="102" t="str">
        <f t="shared" si="32"/>
        <v/>
      </c>
      <c r="AE59" s="102" t="str">
        <f t="shared" si="18"/>
        <v/>
      </c>
      <c r="AF59" s="102" t="str">
        <f t="shared" si="19"/>
        <v/>
      </c>
      <c r="AG59" s="102" t="str">
        <f t="shared" si="20"/>
        <v>x</v>
      </c>
      <c r="AK59" s="95" t="str">
        <f t="shared" si="12"/>
        <v/>
      </c>
      <c r="AL59" s="59" t="str">
        <f>IF(J59="","",VLOOKUP(J59,'Inputs Mapping'!$T$27:$V$30,3))</f>
        <v/>
      </c>
      <c r="AM59" s="59" t="str">
        <f>IF(J59="","",VLOOKUP(J59,'Inputs Mapping'!$T$17:$V$24,3))</f>
        <v/>
      </c>
      <c r="AN59" s="59" t="str">
        <f t="shared" si="13"/>
        <v/>
      </c>
      <c r="AO59" s="102" t="str">
        <f t="shared" si="14"/>
        <v/>
      </c>
      <c r="AP59" s="102" t="str">
        <f>IF(F59="","",IF(G59="Dubai",HLOOKUP(F59,Inputs!$C$26:$M$36,5,0),HLOOKUP(F59,Inputs!$C$45:$M$49,5,0)))</f>
        <v/>
      </c>
      <c r="AQ59" s="102">
        <f t="shared" si="15"/>
        <v>0</v>
      </c>
      <c r="AR59" s="59" t="str">
        <f>IF(AM59="","",IF(AQ59="Dubai",VLOOKUP(AM59,'Inputs Mapping'!$V$17:$W$24,2,0),VLOOKUP(AL59,'Inputs Mapping'!$V$27:$W$30,2,0)))</f>
        <v/>
      </c>
      <c r="AS59" s="333">
        <f>IFERROR(IF($AQ59="","",HLOOKUP($AQ59&amp;RIGHT($AO59,1),'input for formula'!$B$16:$I$20,3,0)),0)</f>
        <v>0</v>
      </c>
      <c r="AT59" s="80">
        <f>IFERROR(IF($AQ59="","",HLOOKUP($AQ59&amp;$F59,'input for formula'!$B$22:$M$25,2,0)),0)</f>
        <v>0</v>
      </c>
      <c r="AU59" s="333">
        <f>IFERROR(IF($AQ59="","",HLOOKUP($AQ59&amp;RIGHT($AO59,1),'input for formula'!$B$16:$I$20,4,0)),0)</f>
        <v>0</v>
      </c>
      <c r="AV59" s="80">
        <f>IFERROR(IF($AQ59="","",HLOOKUP($AQ59&amp;$F59,'input for formula'!$B$22:$M$25,3,0)),0)</f>
        <v>0</v>
      </c>
      <c r="AW59" s="333">
        <f>IFERROR(IF($AQ59="","",HLOOKUP($AQ59&amp;RIGHT($AO59,1),'input for formula'!$B$16:$I$20,5,0)),0)</f>
        <v>0</v>
      </c>
      <c r="AX59" s="80">
        <f>IFERROR(IF($AQ59="","",HLOOKUP($AQ59&amp;$F59,'input for formula'!$B$22:$M$25,4,0)),0)</f>
        <v>0</v>
      </c>
      <c r="AY59" s="333">
        <f>IFERROR(IF($AQ59="","",IF(Additions!$AQ59="Abu Dhabi",VLOOKUP(Additions!$AP59,'input for formula'!$A$28:$C$41,3,0),VLOOKUP(Additions!$AP59,'input for formula'!$A$28:$C$41,2,0))),0)*IFERROR(1+IF(AQ59="Dubai",VLOOKUP(F59,'Quotation for Dubai Plans'!$V$6:$X$12,3,FALSE),VLOOKUP(F59,'Quotation for Abu Dhabi Plans'!$W$6:$Y$12,3,FALSE)),0)</f>
        <v>0</v>
      </c>
      <c r="AZ59" s="80" t="str">
        <f t="shared" si="23"/>
        <v/>
      </c>
      <c r="BA59" s="106" t="str">
        <f>IFERROR(IF(AO59="","",IF(AQ59="Dubai",HLOOKUP((AO59&amp;AP59),Deviation!$B$7:$S$8,2,0)*BI59*BK59*BL59*BJ59,HLOOKUP((AO59&amp;AP59),Deviation!$B$9:$K$10,2,0)*BI59*BK59*BL59*BJ59)),0)</f>
        <v/>
      </c>
      <c r="BB59" s="107" t="e">
        <f>IF(AO59="","",IFERROR(IF(AO59="","",IF(AQ59="Dubai",HLOOKUP(BC59,'input for formula'!$B$3:$F$10,AR59,FALSE), IF(AND(H59="Employee",AQ59="Abu Dhabi"),HLOOKUP(BC59,'input for formula'!$I$3:$K$7,AR59,FALSE),HLOOKUP(BC59,'input for formula'!$M$3:$O$7,AR59,FALSE)))*BA59+AS59*AT59+AU59*AV59+AW59*AX59),0)*$BC$3)*IF(Inputs!$C$19&gt;100,(1+$BC$2),1)</f>
        <v>#VALUE!</v>
      </c>
      <c r="BC59" s="95" t="str">
        <f t="shared" si="22"/>
        <v/>
      </c>
      <c r="BD59" s="334" t="str">
        <f>IF(F59="","",IF(G59="Dubai",HLOOKUP(F59,Inputs!$C$26:$M$37,9,0),HLOOKUP(F59,Inputs!$C$45:$M$56,9,0)))</f>
        <v/>
      </c>
      <c r="BE59" s="335" t="str">
        <f>IF(F59="","",IF(G59="Dubai",HLOOKUP(F59,Inputs!$C$26:$M$37,10,0),HLOOKUP(F59,Inputs!$C$45:$M$56,10,0)))</f>
        <v/>
      </c>
      <c r="BF59" s="335" t="str">
        <f>IF(F59="","",IF(G59="Dubai",HLOOKUP(F59,Inputs!$C$26:$M$37,11,0),HLOOKUP(F59,Inputs!$C$45:$M$56,11,0)))</f>
        <v/>
      </c>
      <c r="BG59" s="334" t="str">
        <f>IF(F59="","",IF(G59="Dubai",HLOOKUP(F59,Inputs!$C$26:$M$37,12,0),HLOOKUP(F59,Inputs!$C$45:$M$56,12,0)))</f>
        <v/>
      </c>
      <c r="BI59" s="334" t="str">
        <f>IFERROR(IF(AO59="","",IF(AQ59="Dubai",IF(OR(AO59="Plan1",AO59="Plan2"),VLOOKUP(BD59,Deviation!$B$31:$D$33,2,FALSE),VLOOKUP(BD59,Deviation!$B$31:$D$33,3,FALSE)),IF(OR(AO59="Plan1",AO59="Plan2"),VLOOKUP(BD59,Deviation!$E$31:$G$33,2,FALSE),VLOOKUP(BD59,Deviation!$E$31:$G$33,3,FALSE)))),0)</f>
        <v/>
      </c>
      <c r="BJ59" s="336" t="str">
        <f>IFERROR(IF(AO59="","",IF(AQ59="Dubai",IF(AO59="Plan1",VLOOKUP(BE59,Deviation!$B$39:$C$40,2,FALSE),IF(AO59="Plan2",VLOOKUP(BE59,Deviation!$B$42:$C$43,2,FALSE),IF(AO59="Plan5",VLOOKUP(BE59,Deviation!$B$48:$C$49,2,FALSE),VLOOKUP(BE59,Deviation!$B$45:$C$46,2,FALSE)))),IF(AO59="Plan1",VLOOKUP(BE59,Deviation!$E$39:$F$40,2,FALSE),IF(AO59="Plan2",VLOOKUP(BE59,Deviation!$E$42:$F$43,2,FALSE),VLOOKUP(BE59,Deviation!$E$45:$F$46,2,FALSE))))),0)</f>
        <v/>
      </c>
      <c r="BK59" s="336" t="str">
        <f>IFERROR(IF(AO59="","",IF(AQ59="Dubai",IF(OR(AO59="Plan1",AO59="Plan2"),VLOOKUP(BF59,Deviation!$B$15:$D$18,2,FALSE),VLOOKUP(BF59,Deviation!$B$15:$D$18,3,FALSE)),IF(OR(AO59="Plan1",AO59="Plan2"),VLOOKUP(BF59,Deviation!$E$15:$G$18,2,FALSE),VLOOKUP(BF59,Deviation!$E$15:$G$18,3,FALSE)))),0)</f>
        <v/>
      </c>
      <c r="BL59" s="334" t="str">
        <f>IFERROR(IF(AO59="","",IF(AQ59="Dubai",VLOOKUP(BG59,Deviation!$B$24:$C$26,2,FALSE),100%)),0)</f>
        <v/>
      </c>
    </row>
    <row r="60" spans="1:64" ht="14.25" x14ac:dyDescent="0.2">
      <c r="A60" s="59">
        <v>55</v>
      </c>
      <c r="B60" s="298"/>
      <c r="C60" s="299"/>
      <c r="D60" s="298"/>
      <c r="E60" s="298"/>
      <c r="F60" s="298"/>
      <c r="G60" s="298"/>
      <c r="H60" s="298"/>
      <c r="I60" s="298"/>
      <c r="J60" s="80" t="str">
        <f>IFERROR(ROUNDDOWN(IF(C60="","",(MAX((eff_date-Additions!C60)/365.25,0))),0),"")</f>
        <v/>
      </c>
      <c r="K60" s="59" t="str">
        <f>IF(F60="","",IF(G60="Dubai",HLOOKUP(F60,Inputs!$C$26:$M$28,3,0),HLOOKUP(F60,Inputs!$C$45:$M$46,2,0)))</f>
        <v/>
      </c>
      <c r="L60" s="335" t="str">
        <f t="shared" si="24"/>
        <v/>
      </c>
      <c r="M60" s="335">
        <f t="shared" si="25"/>
        <v>0</v>
      </c>
      <c r="N60" s="335" t="str">
        <f t="shared" si="26"/>
        <v/>
      </c>
      <c r="O60" s="335">
        <f t="shared" si="27"/>
        <v>0</v>
      </c>
      <c r="P60" s="104"/>
      <c r="Q60" s="105">
        <f t="shared" si="16"/>
        <v>0</v>
      </c>
      <c r="R60" s="59" t="b">
        <f t="shared" si="4"/>
        <v>0</v>
      </c>
      <c r="S60" s="102" t="str">
        <f t="shared" si="17"/>
        <v>x</v>
      </c>
      <c r="T60" s="102" t="str">
        <f t="shared" si="28"/>
        <v>x</v>
      </c>
      <c r="U60" s="102" t="str">
        <f t="shared" si="29"/>
        <v>x</v>
      </c>
      <c r="V60" s="102" t="str">
        <f t="shared" si="30"/>
        <v>x</v>
      </c>
      <c r="W60" s="102" t="str">
        <f t="shared" si="31"/>
        <v>x</v>
      </c>
      <c r="X60" s="102" t="str">
        <f>IF(ISERROR(MATCH(G60,'Inputs Mapping'!$T$4:$T$5,0)),"x","")</f>
        <v>x</v>
      </c>
      <c r="Y60" s="102" t="str">
        <f>IF(ISERROR(MATCH(AE60,'Inputs Mapping'!$U$4:$U$5,0)),"x","")</f>
        <v>x</v>
      </c>
      <c r="Z60" s="102" t="str">
        <f>IF(ISERROR(MATCH(AF60,'Inputs Mapping'!$V$4:$V$5,0)),"x","")</f>
        <v>x</v>
      </c>
      <c r="AA60" s="102" t="str">
        <f>IF(ISERROR(MATCH(F60,'Inputs Mapping'!$W$4:$W$8,0)),"x","")</f>
        <v>x</v>
      </c>
      <c r="AB60" s="102" t="str">
        <f t="shared" si="9"/>
        <v/>
      </c>
      <c r="AC60" s="102" t="str">
        <f t="shared" si="10"/>
        <v/>
      </c>
      <c r="AD60" s="102" t="str">
        <f t="shared" si="32"/>
        <v/>
      </c>
      <c r="AE60" s="102" t="str">
        <f t="shared" si="18"/>
        <v/>
      </c>
      <c r="AF60" s="102" t="str">
        <f t="shared" si="19"/>
        <v/>
      </c>
      <c r="AG60" s="102" t="str">
        <f t="shared" si="20"/>
        <v>x</v>
      </c>
      <c r="AK60" s="95" t="str">
        <f t="shared" si="12"/>
        <v/>
      </c>
      <c r="AL60" s="59" t="str">
        <f>IF(J60="","",VLOOKUP(J60,'Inputs Mapping'!$T$27:$V$30,3))</f>
        <v/>
      </c>
      <c r="AM60" s="59" t="str">
        <f>IF(J60="","",VLOOKUP(J60,'Inputs Mapping'!$T$17:$V$24,3))</f>
        <v/>
      </c>
      <c r="AN60" s="59" t="str">
        <f t="shared" si="13"/>
        <v/>
      </c>
      <c r="AO60" s="102" t="str">
        <f t="shared" si="14"/>
        <v/>
      </c>
      <c r="AP60" s="102" t="str">
        <f>IF(F60="","",IF(G60="Dubai",HLOOKUP(F60,Inputs!$C$26:$M$36,5,0),HLOOKUP(F60,Inputs!$C$45:$M$49,5,0)))</f>
        <v/>
      </c>
      <c r="AQ60" s="102">
        <f t="shared" si="15"/>
        <v>0</v>
      </c>
      <c r="AR60" s="59" t="str">
        <f>IF(AM60="","",IF(AQ60="Dubai",VLOOKUP(AM60,'Inputs Mapping'!$V$17:$W$24,2,0),VLOOKUP(AL60,'Inputs Mapping'!$V$27:$W$30,2,0)))</f>
        <v/>
      </c>
      <c r="AS60" s="333">
        <f>IFERROR(IF($AQ60="","",HLOOKUP($AQ60&amp;RIGHT($AO60,1),'input for formula'!$B$16:$I$20,3,0)),0)</f>
        <v>0</v>
      </c>
      <c r="AT60" s="80">
        <f>IFERROR(IF($AQ60="","",HLOOKUP($AQ60&amp;$F60,'input for formula'!$B$22:$M$25,2,0)),0)</f>
        <v>0</v>
      </c>
      <c r="AU60" s="333">
        <f>IFERROR(IF($AQ60="","",HLOOKUP($AQ60&amp;RIGHT($AO60,1),'input for formula'!$B$16:$I$20,4,0)),0)</f>
        <v>0</v>
      </c>
      <c r="AV60" s="80">
        <f>IFERROR(IF($AQ60="","",HLOOKUP($AQ60&amp;$F60,'input for formula'!$B$22:$M$25,3,0)),0)</f>
        <v>0</v>
      </c>
      <c r="AW60" s="333">
        <f>IFERROR(IF($AQ60="","",HLOOKUP($AQ60&amp;RIGHT($AO60,1),'input for formula'!$B$16:$I$20,5,0)),0)</f>
        <v>0</v>
      </c>
      <c r="AX60" s="80">
        <f>IFERROR(IF($AQ60="","",HLOOKUP($AQ60&amp;$F60,'input for formula'!$B$22:$M$25,4,0)),0)</f>
        <v>0</v>
      </c>
      <c r="AY60" s="333">
        <f>IFERROR(IF($AQ60="","",IF(Additions!$AQ60="Abu Dhabi",VLOOKUP(Additions!$AP60,'input for formula'!$A$28:$C$41,3,0),VLOOKUP(Additions!$AP60,'input for formula'!$A$28:$C$41,2,0))),0)*IFERROR(1+IF(AQ60="Dubai",VLOOKUP(F60,'Quotation for Dubai Plans'!$V$6:$X$12,3,FALSE),VLOOKUP(F60,'Quotation for Abu Dhabi Plans'!$W$6:$Y$12,3,FALSE)),0)</f>
        <v>0</v>
      </c>
      <c r="AZ60" s="80" t="str">
        <f t="shared" si="23"/>
        <v/>
      </c>
      <c r="BA60" s="106" t="str">
        <f>IFERROR(IF(AO60="","",IF(AQ60="Dubai",HLOOKUP((AO60&amp;AP60),Deviation!$B$7:$S$8,2,0)*BI60*BK60*BL60*BJ60,HLOOKUP((AO60&amp;AP60),Deviation!$B$9:$K$10,2,0)*BI60*BK60*BL60*BJ60)),0)</f>
        <v/>
      </c>
      <c r="BB60" s="107" t="e">
        <f>IF(AO60="","",IFERROR(IF(AO60="","",IF(AQ60="Dubai",HLOOKUP(BC60,'input for formula'!$B$3:$F$10,AR60,FALSE), IF(AND(H60="Employee",AQ60="Abu Dhabi"),HLOOKUP(BC60,'input for formula'!$I$3:$K$7,AR60,FALSE),HLOOKUP(BC60,'input for formula'!$M$3:$O$7,AR60,FALSE)))*BA60+AS60*AT60+AU60*AV60+AW60*AX60),0)*$BC$3)*IF(Inputs!$C$19&gt;100,(1+$BC$2),1)</f>
        <v>#VALUE!</v>
      </c>
      <c r="BC60" s="95" t="str">
        <f t="shared" si="22"/>
        <v/>
      </c>
      <c r="BD60" s="334" t="str">
        <f>IF(F60="","",IF(G60="Dubai",HLOOKUP(F60,Inputs!$C$26:$M$37,9,0),HLOOKUP(F60,Inputs!$C$45:$M$56,9,0)))</f>
        <v/>
      </c>
      <c r="BE60" s="335" t="str">
        <f>IF(F60="","",IF(G60="Dubai",HLOOKUP(F60,Inputs!$C$26:$M$37,10,0),HLOOKUP(F60,Inputs!$C$45:$M$56,10,0)))</f>
        <v/>
      </c>
      <c r="BF60" s="335" t="str">
        <f>IF(F60="","",IF(G60="Dubai",HLOOKUP(F60,Inputs!$C$26:$M$37,11,0),HLOOKUP(F60,Inputs!$C$45:$M$56,11,0)))</f>
        <v/>
      </c>
      <c r="BG60" s="334" t="str">
        <f>IF(F60="","",IF(G60="Dubai",HLOOKUP(F60,Inputs!$C$26:$M$37,12,0),HLOOKUP(F60,Inputs!$C$45:$M$56,12,0)))</f>
        <v/>
      </c>
      <c r="BI60" s="334" t="str">
        <f>IFERROR(IF(AO60="","",IF(AQ60="Dubai",IF(OR(AO60="Plan1",AO60="Plan2"),VLOOKUP(BD60,Deviation!$B$31:$D$33,2,FALSE),VLOOKUP(BD60,Deviation!$B$31:$D$33,3,FALSE)),IF(OR(AO60="Plan1",AO60="Plan2"),VLOOKUP(BD60,Deviation!$E$31:$G$33,2,FALSE),VLOOKUP(BD60,Deviation!$E$31:$G$33,3,FALSE)))),0)</f>
        <v/>
      </c>
      <c r="BJ60" s="336" t="str">
        <f>IFERROR(IF(AO60="","",IF(AQ60="Dubai",IF(AO60="Plan1",VLOOKUP(BE60,Deviation!$B$39:$C$40,2,FALSE),IF(AO60="Plan2",VLOOKUP(BE60,Deviation!$B$42:$C$43,2,FALSE),IF(AO60="Plan5",VLOOKUP(BE60,Deviation!$B$48:$C$49,2,FALSE),VLOOKUP(BE60,Deviation!$B$45:$C$46,2,FALSE)))),IF(AO60="Plan1",VLOOKUP(BE60,Deviation!$E$39:$F$40,2,FALSE),IF(AO60="Plan2",VLOOKUP(BE60,Deviation!$E$42:$F$43,2,FALSE),VLOOKUP(BE60,Deviation!$E$45:$F$46,2,FALSE))))),0)</f>
        <v/>
      </c>
      <c r="BK60" s="336" t="str">
        <f>IFERROR(IF(AO60="","",IF(AQ60="Dubai",IF(OR(AO60="Plan1",AO60="Plan2"),VLOOKUP(BF60,Deviation!$B$15:$D$18,2,FALSE),VLOOKUP(BF60,Deviation!$B$15:$D$18,3,FALSE)),IF(OR(AO60="Plan1",AO60="Plan2"),VLOOKUP(BF60,Deviation!$E$15:$G$18,2,FALSE),VLOOKUP(BF60,Deviation!$E$15:$G$18,3,FALSE)))),0)</f>
        <v/>
      </c>
      <c r="BL60" s="334" t="str">
        <f>IFERROR(IF(AO60="","",IF(AQ60="Dubai",VLOOKUP(BG60,Deviation!$B$24:$C$26,2,FALSE),100%)),0)</f>
        <v/>
      </c>
    </row>
    <row r="61" spans="1:64" ht="14.25" x14ac:dyDescent="0.2">
      <c r="A61" s="59">
        <v>56</v>
      </c>
      <c r="B61" s="298"/>
      <c r="C61" s="299"/>
      <c r="D61" s="298"/>
      <c r="E61" s="298"/>
      <c r="F61" s="298"/>
      <c r="G61" s="298"/>
      <c r="H61" s="298"/>
      <c r="I61" s="298"/>
      <c r="J61" s="80" t="str">
        <f>IFERROR(ROUNDDOWN(IF(C61="","",(MAX((eff_date-Additions!C61)/365.25,0))),0),"")</f>
        <v/>
      </c>
      <c r="K61" s="59" t="str">
        <f>IF(F61="","",IF(G61="Dubai",HLOOKUP(F61,Inputs!$C$26:$M$28,3,0),HLOOKUP(F61,Inputs!$C$45:$M$46,2,0)))</f>
        <v/>
      </c>
      <c r="L61" s="335" t="str">
        <f t="shared" si="24"/>
        <v/>
      </c>
      <c r="M61" s="335">
        <f t="shared" si="25"/>
        <v>0</v>
      </c>
      <c r="N61" s="335" t="str">
        <f t="shared" si="26"/>
        <v/>
      </c>
      <c r="O61" s="335">
        <f t="shared" si="27"/>
        <v>0</v>
      </c>
      <c r="P61" s="104"/>
      <c r="Q61" s="105">
        <f t="shared" si="16"/>
        <v>0</v>
      </c>
      <c r="R61" s="59" t="b">
        <f t="shared" si="4"/>
        <v>0</v>
      </c>
      <c r="S61" s="102" t="str">
        <f t="shared" si="17"/>
        <v>x</v>
      </c>
      <c r="T61" s="102" t="str">
        <f t="shared" si="28"/>
        <v>x</v>
      </c>
      <c r="U61" s="102" t="str">
        <f t="shared" si="29"/>
        <v>x</v>
      </c>
      <c r="V61" s="102" t="str">
        <f t="shared" si="30"/>
        <v>x</v>
      </c>
      <c r="W61" s="102" t="str">
        <f t="shared" si="31"/>
        <v>x</v>
      </c>
      <c r="X61" s="102" t="str">
        <f>IF(ISERROR(MATCH(G61,'Inputs Mapping'!$T$4:$T$5,0)),"x","")</f>
        <v>x</v>
      </c>
      <c r="Y61" s="102" t="str">
        <f>IF(ISERROR(MATCH(AE61,'Inputs Mapping'!$U$4:$U$5,0)),"x","")</f>
        <v>x</v>
      </c>
      <c r="Z61" s="102" t="str">
        <f>IF(ISERROR(MATCH(AF61,'Inputs Mapping'!$V$4:$V$5,0)),"x","")</f>
        <v>x</v>
      </c>
      <c r="AA61" s="102" t="str">
        <f>IF(ISERROR(MATCH(F61,'Inputs Mapping'!$W$4:$W$8,0)),"x","")</f>
        <v>x</v>
      </c>
      <c r="AB61" s="102" t="str">
        <f t="shared" si="9"/>
        <v/>
      </c>
      <c r="AC61" s="102" t="str">
        <f t="shared" si="10"/>
        <v/>
      </c>
      <c r="AD61" s="102" t="str">
        <f t="shared" si="32"/>
        <v/>
      </c>
      <c r="AE61" s="102" t="str">
        <f t="shared" si="18"/>
        <v/>
      </c>
      <c r="AF61" s="102" t="str">
        <f t="shared" si="19"/>
        <v/>
      </c>
      <c r="AG61" s="102" t="str">
        <f t="shared" si="20"/>
        <v>x</v>
      </c>
      <c r="AK61" s="95" t="str">
        <f t="shared" si="12"/>
        <v/>
      </c>
      <c r="AL61" s="59" t="str">
        <f>IF(J61="","",VLOOKUP(J61,'Inputs Mapping'!$T$27:$V$30,3))</f>
        <v/>
      </c>
      <c r="AM61" s="59" t="str">
        <f>IF(J61="","",VLOOKUP(J61,'Inputs Mapping'!$T$17:$V$24,3))</f>
        <v/>
      </c>
      <c r="AN61" s="59" t="str">
        <f t="shared" si="13"/>
        <v/>
      </c>
      <c r="AO61" s="102" t="str">
        <f t="shared" si="14"/>
        <v/>
      </c>
      <c r="AP61" s="102" t="str">
        <f>IF(F61="","",IF(G61="Dubai",HLOOKUP(F61,Inputs!$C$26:$M$36,5,0),HLOOKUP(F61,Inputs!$C$45:$M$49,5,0)))</f>
        <v/>
      </c>
      <c r="AQ61" s="102">
        <f t="shared" si="15"/>
        <v>0</v>
      </c>
      <c r="AR61" s="59" t="str">
        <f>IF(AM61="","",IF(AQ61="Dubai",VLOOKUP(AM61,'Inputs Mapping'!$V$17:$W$24,2,0),VLOOKUP(AL61,'Inputs Mapping'!$V$27:$W$30,2,0)))</f>
        <v/>
      </c>
      <c r="AS61" s="333">
        <f>IFERROR(IF($AQ61="","",HLOOKUP($AQ61&amp;RIGHT($AO61,1),'input for formula'!$B$16:$I$20,3,0)),0)</f>
        <v>0</v>
      </c>
      <c r="AT61" s="80">
        <f>IFERROR(IF($AQ61="","",HLOOKUP($AQ61&amp;$F61,'input for formula'!$B$22:$M$25,2,0)),0)</f>
        <v>0</v>
      </c>
      <c r="AU61" s="333">
        <f>IFERROR(IF($AQ61="","",HLOOKUP($AQ61&amp;RIGHT($AO61,1),'input for formula'!$B$16:$I$20,4,0)),0)</f>
        <v>0</v>
      </c>
      <c r="AV61" s="80">
        <f>IFERROR(IF($AQ61="","",HLOOKUP($AQ61&amp;$F61,'input for formula'!$B$22:$M$25,3,0)),0)</f>
        <v>0</v>
      </c>
      <c r="AW61" s="333">
        <f>IFERROR(IF($AQ61="","",HLOOKUP($AQ61&amp;RIGHT($AO61,1),'input for formula'!$B$16:$I$20,5,0)),0)</f>
        <v>0</v>
      </c>
      <c r="AX61" s="80">
        <f>IFERROR(IF($AQ61="","",HLOOKUP($AQ61&amp;$F61,'input for formula'!$B$22:$M$25,4,0)),0)</f>
        <v>0</v>
      </c>
      <c r="AY61" s="333">
        <f>IFERROR(IF($AQ61="","",IF(Additions!$AQ61="Abu Dhabi",VLOOKUP(Additions!$AP61,'input for formula'!$A$28:$C$41,3,0),VLOOKUP(Additions!$AP61,'input for formula'!$A$28:$C$41,2,0))),0)*IFERROR(1+IF(AQ61="Dubai",VLOOKUP(F61,'Quotation for Dubai Plans'!$V$6:$X$12,3,FALSE),VLOOKUP(F61,'Quotation for Abu Dhabi Plans'!$W$6:$Y$12,3,FALSE)),0)</f>
        <v>0</v>
      </c>
      <c r="AZ61" s="80" t="str">
        <f t="shared" si="23"/>
        <v/>
      </c>
      <c r="BA61" s="106" t="str">
        <f>IFERROR(IF(AO61="","",IF(AQ61="Dubai",HLOOKUP((AO61&amp;AP61),Deviation!$B$7:$S$8,2,0)*BI61*BK61*BL61*BJ61,HLOOKUP((AO61&amp;AP61),Deviation!$B$9:$K$10,2,0)*BI61*BK61*BL61*BJ61)),0)</f>
        <v/>
      </c>
      <c r="BB61" s="107" t="e">
        <f>IF(AO61="","",IFERROR(IF(AO61="","",IF(AQ61="Dubai",HLOOKUP(BC61,'input for formula'!$B$3:$F$10,AR61,FALSE), IF(AND(H61="Employee",AQ61="Abu Dhabi"),HLOOKUP(BC61,'input for formula'!$I$3:$K$7,AR61,FALSE),HLOOKUP(BC61,'input for formula'!$M$3:$O$7,AR61,FALSE)))*BA61+AS61*AT61+AU61*AV61+AW61*AX61),0)*$BC$3)*IF(Inputs!$C$19&gt;100,(1+$BC$2),1)</f>
        <v>#VALUE!</v>
      </c>
      <c r="BC61" s="95" t="str">
        <f t="shared" si="22"/>
        <v/>
      </c>
      <c r="BD61" s="334" t="str">
        <f>IF(F61="","",IF(G61="Dubai",HLOOKUP(F61,Inputs!$C$26:$M$37,9,0),HLOOKUP(F61,Inputs!$C$45:$M$56,9,0)))</f>
        <v/>
      </c>
      <c r="BE61" s="335" t="str">
        <f>IF(F61="","",IF(G61="Dubai",HLOOKUP(F61,Inputs!$C$26:$M$37,10,0),HLOOKUP(F61,Inputs!$C$45:$M$56,10,0)))</f>
        <v/>
      </c>
      <c r="BF61" s="335" t="str">
        <f>IF(F61="","",IF(G61="Dubai",HLOOKUP(F61,Inputs!$C$26:$M$37,11,0),HLOOKUP(F61,Inputs!$C$45:$M$56,11,0)))</f>
        <v/>
      </c>
      <c r="BG61" s="334" t="str">
        <f>IF(F61="","",IF(G61="Dubai",HLOOKUP(F61,Inputs!$C$26:$M$37,12,0),HLOOKUP(F61,Inputs!$C$45:$M$56,12,0)))</f>
        <v/>
      </c>
      <c r="BI61" s="334" t="str">
        <f>IFERROR(IF(AO61="","",IF(AQ61="Dubai",IF(OR(AO61="Plan1",AO61="Plan2"),VLOOKUP(BD61,Deviation!$B$31:$D$33,2,FALSE),VLOOKUP(BD61,Deviation!$B$31:$D$33,3,FALSE)),IF(OR(AO61="Plan1",AO61="Plan2"),VLOOKUP(BD61,Deviation!$E$31:$G$33,2,FALSE),VLOOKUP(BD61,Deviation!$E$31:$G$33,3,FALSE)))),0)</f>
        <v/>
      </c>
      <c r="BJ61" s="336" t="str">
        <f>IFERROR(IF(AO61="","",IF(AQ61="Dubai",IF(AO61="Plan1",VLOOKUP(BE61,Deviation!$B$39:$C$40,2,FALSE),IF(AO61="Plan2",VLOOKUP(BE61,Deviation!$B$42:$C$43,2,FALSE),IF(AO61="Plan5",VLOOKUP(BE61,Deviation!$B$48:$C$49,2,FALSE),VLOOKUP(BE61,Deviation!$B$45:$C$46,2,FALSE)))),IF(AO61="Plan1",VLOOKUP(BE61,Deviation!$E$39:$F$40,2,FALSE),IF(AO61="Plan2",VLOOKUP(BE61,Deviation!$E$42:$F$43,2,FALSE),VLOOKUP(BE61,Deviation!$E$45:$F$46,2,FALSE))))),0)</f>
        <v/>
      </c>
      <c r="BK61" s="336" t="str">
        <f>IFERROR(IF(AO61="","",IF(AQ61="Dubai",IF(OR(AO61="Plan1",AO61="Plan2"),VLOOKUP(BF61,Deviation!$B$15:$D$18,2,FALSE),VLOOKUP(BF61,Deviation!$B$15:$D$18,3,FALSE)),IF(OR(AO61="Plan1",AO61="Plan2"),VLOOKUP(BF61,Deviation!$E$15:$G$18,2,FALSE),VLOOKUP(BF61,Deviation!$E$15:$G$18,3,FALSE)))),0)</f>
        <v/>
      </c>
      <c r="BL61" s="334" t="str">
        <f>IFERROR(IF(AO61="","",IF(AQ61="Dubai",VLOOKUP(BG61,Deviation!$B$24:$C$26,2,FALSE),100%)),0)</f>
        <v/>
      </c>
    </row>
    <row r="62" spans="1:64" ht="14.25" x14ac:dyDescent="0.2">
      <c r="A62" s="59">
        <v>57</v>
      </c>
      <c r="B62" s="298"/>
      <c r="C62" s="299"/>
      <c r="D62" s="298"/>
      <c r="E62" s="298"/>
      <c r="F62" s="298"/>
      <c r="G62" s="298"/>
      <c r="H62" s="298"/>
      <c r="I62" s="298"/>
      <c r="J62" s="80" t="str">
        <f>IFERROR(ROUNDDOWN(IF(C62="","",(MAX((eff_date-Additions!C62)/365.25,0))),0),"")</f>
        <v/>
      </c>
      <c r="K62" s="59" t="str">
        <f>IF(F62="","",IF(G62="Dubai",HLOOKUP(F62,Inputs!$C$26:$M$28,3,0),HLOOKUP(F62,Inputs!$C$45:$M$46,2,0)))</f>
        <v/>
      </c>
      <c r="L62" s="335" t="str">
        <f t="shared" si="24"/>
        <v/>
      </c>
      <c r="M62" s="335">
        <f t="shared" si="25"/>
        <v>0</v>
      </c>
      <c r="N62" s="335" t="str">
        <f t="shared" si="26"/>
        <v/>
      </c>
      <c r="O62" s="335">
        <f t="shared" si="27"/>
        <v>0</v>
      </c>
      <c r="P62" s="104"/>
      <c r="Q62" s="105">
        <f t="shared" si="16"/>
        <v>0</v>
      </c>
      <c r="R62" s="59" t="b">
        <f t="shared" si="4"/>
        <v>0</v>
      </c>
      <c r="S62" s="102" t="str">
        <f t="shared" si="17"/>
        <v>x</v>
      </c>
      <c r="T62" s="102" t="str">
        <f t="shared" si="28"/>
        <v>x</v>
      </c>
      <c r="U62" s="102" t="str">
        <f t="shared" si="29"/>
        <v>x</v>
      </c>
      <c r="V62" s="102" t="str">
        <f t="shared" si="30"/>
        <v>x</v>
      </c>
      <c r="W62" s="102" t="str">
        <f t="shared" si="31"/>
        <v>x</v>
      </c>
      <c r="X62" s="102" t="str">
        <f>IF(ISERROR(MATCH(G62,'Inputs Mapping'!$T$4:$T$5,0)),"x","")</f>
        <v>x</v>
      </c>
      <c r="Y62" s="102" t="str">
        <f>IF(ISERROR(MATCH(AE62,'Inputs Mapping'!$U$4:$U$5,0)),"x","")</f>
        <v>x</v>
      </c>
      <c r="Z62" s="102" t="str">
        <f>IF(ISERROR(MATCH(AF62,'Inputs Mapping'!$V$4:$V$5,0)),"x","")</f>
        <v>x</v>
      </c>
      <c r="AA62" s="102" t="str">
        <f>IF(ISERROR(MATCH(F62,'Inputs Mapping'!$W$4:$W$8,0)),"x","")</f>
        <v>x</v>
      </c>
      <c r="AB62" s="102" t="str">
        <f t="shared" si="9"/>
        <v/>
      </c>
      <c r="AC62" s="102" t="str">
        <f t="shared" si="10"/>
        <v/>
      </c>
      <c r="AD62" s="102" t="str">
        <f t="shared" si="32"/>
        <v/>
      </c>
      <c r="AE62" s="102" t="str">
        <f t="shared" si="18"/>
        <v/>
      </c>
      <c r="AF62" s="102" t="str">
        <f t="shared" si="19"/>
        <v/>
      </c>
      <c r="AG62" s="102" t="str">
        <f t="shared" si="20"/>
        <v>x</v>
      </c>
      <c r="AK62" s="95" t="str">
        <f t="shared" si="12"/>
        <v/>
      </c>
      <c r="AL62" s="59" t="str">
        <f>IF(J62="","",VLOOKUP(J62,'Inputs Mapping'!$T$27:$V$30,3))</f>
        <v/>
      </c>
      <c r="AM62" s="59" t="str">
        <f>IF(J62="","",VLOOKUP(J62,'Inputs Mapping'!$T$17:$V$24,3))</f>
        <v/>
      </c>
      <c r="AN62" s="59" t="str">
        <f t="shared" si="13"/>
        <v/>
      </c>
      <c r="AO62" s="102" t="str">
        <f t="shared" si="14"/>
        <v/>
      </c>
      <c r="AP62" s="102" t="str">
        <f>IF(F62="","",IF(G62="Dubai",HLOOKUP(F62,Inputs!$C$26:$M$36,5,0),HLOOKUP(F62,Inputs!$C$45:$M$49,5,0)))</f>
        <v/>
      </c>
      <c r="AQ62" s="102">
        <f t="shared" si="15"/>
        <v>0</v>
      </c>
      <c r="AR62" s="59" t="str">
        <f>IF(AM62="","",IF(AQ62="Dubai",VLOOKUP(AM62,'Inputs Mapping'!$V$17:$W$24,2,0),VLOOKUP(AL62,'Inputs Mapping'!$V$27:$W$30,2,0)))</f>
        <v/>
      </c>
      <c r="AS62" s="333">
        <f>IFERROR(IF($AQ62="","",HLOOKUP($AQ62&amp;RIGHT($AO62,1),'input for formula'!$B$16:$I$20,3,0)),0)</f>
        <v>0</v>
      </c>
      <c r="AT62" s="80">
        <f>IFERROR(IF($AQ62="","",HLOOKUP($AQ62&amp;$F62,'input for formula'!$B$22:$M$25,2,0)),0)</f>
        <v>0</v>
      </c>
      <c r="AU62" s="333">
        <f>IFERROR(IF($AQ62="","",HLOOKUP($AQ62&amp;RIGHT($AO62,1),'input for formula'!$B$16:$I$20,4,0)),0)</f>
        <v>0</v>
      </c>
      <c r="AV62" s="80">
        <f>IFERROR(IF($AQ62="","",HLOOKUP($AQ62&amp;$F62,'input for formula'!$B$22:$M$25,3,0)),0)</f>
        <v>0</v>
      </c>
      <c r="AW62" s="333">
        <f>IFERROR(IF($AQ62="","",HLOOKUP($AQ62&amp;RIGHT($AO62,1),'input for formula'!$B$16:$I$20,5,0)),0)</f>
        <v>0</v>
      </c>
      <c r="AX62" s="80">
        <f>IFERROR(IF($AQ62="","",HLOOKUP($AQ62&amp;$F62,'input for formula'!$B$22:$M$25,4,0)),0)</f>
        <v>0</v>
      </c>
      <c r="AY62" s="333">
        <f>IFERROR(IF($AQ62="","",IF(Additions!$AQ62="Abu Dhabi",VLOOKUP(Additions!$AP62,'input for formula'!$A$28:$C$41,3,0),VLOOKUP(Additions!$AP62,'input for formula'!$A$28:$C$41,2,0))),0)*IFERROR(1+IF(AQ62="Dubai",VLOOKUP(F62,'Quotation for Dubai Plans'!$V$6:$X$12,3,FALSE),VLOOKUP(F62,'Quotation for Abu Dhabi Plans'!$W$6:$Y$12,3,FALSE)),0)</f>
        <v>0</v>
      </c>
      <c r="AZ62" s="80" t="str">
        <f t="shared" si="23"/>
        <v/>
      </c>
      <c r="BA62" s="106" t="str">
        <f>IFERROR(IF(AO62="","",IF(AQ62="Dubai",HLOOKUP((AO62&amp;AP62),Deviation!$B$7:$S$8,2,0)*BI62*BK62*BL62*BJ62,HLOOKUP((AO62&amp;AP62),Deviation!$B$9:$K$10,2,0)*BI62*BK62*BL62*BJ62)),0)</f>
        <v/>
      </c>
      <c r="BB62" s="107" t="e">
        <f>IF(AO62="","",IFERROR(IF(AO62="","",IF(AQ62="Dubai",HLOOKUP(BC62,'input for formula'!$B$3:$F$10,AR62,FALSE), IF(AND(H62="Employee",AQ62="Abu Dhabi"),HLOOKUP(BC62,'input for formula'!$I$3:$K$7,AR62,FALSE),HLOOKUP(BC62,'input for formula'!$M$3:$O$7,AR62,FALSE)))*BA62+AS62*AT62+AU62*AV62+AW62*AX62),0)*$BC$3)*IF(Inputs!$C$19&gt;100,(1+$BC$2),1)</f>
        <v>#VALUE!</v>
      </c>
      <c r="BC62" s="95" t="str">
        <f t="shared" si="22"/>
        <v/>
      </c>
      <c r="BD62" s="334" t="str">
        <f>IF(F62="","",IF(G62="Dubai",HLOOKUP(F62,Inputs!$C$26:$M$37,9,0),HLOOKUP(F62,Inputs!$C$45:$M$56,9,0)))</f>
        <v/>
      </c>
      <c r="BE62" s="335" t="str">
        <f>IF(F62="","",IF(G62="Dubai",HLOOKUP(F62,Inputs!$C$26:$M$37,10,0),HLOOKUP(F62,Inputs!$C$45:$M$56,10,0)))</f>
        <v/>
      </c>
      <c r="BF62" s="335" t="str">
        <f>IF(F62="","",IF(G62="Dubai",HLOOKUP(F62,Inputs!$C$26:$M$37,11,0),HLOOKUP(F62,Inputs!$C$45:$M$56,11,0)))</f>
        <v/>
      </c>
      <c r="BG62" s="334" t="str">
        <f>IF(F62="","",IF(G62="Dubai",HLOOKUP(F62,Inputs!$C$26:$M$37,12,0),HLOOKUP(F62,Inputs!$C$45:$M$56,12,0)))</f>
        <v/>
      </c>
      <c r="BI62" s="334" t="str">
        <f>IFERROR(IF(AO62="","",IF(AQ62="Dubai",IF(OR(AO62="Plan1",AO62="Plan2"),VLOOKUP(BD62,Deviation!$B$31:$D$33,2,FALSE),VLOOKUP(BD62,Deviation!$B$31:$D$33,3,FALSE)),IF(OR(AO62="Plan1",AO62="Plan2"),VLOOKUP(BD62,Deviation!$E$31:$G$33,2,FALSE),VLOOKUP(BD62,Deviation!$E$31:$G$33,3,FALSE)))),0)</f>
        <v/>
      </c>
      <c r="BJ62" s="336" t="str">
        <f>IFERROR(IF(AO62="","",IF(AQ62="Dubai",IF(AO62="Plan1",VLOOKUP(BE62,Deviation!$B$39:$C$40,2,FALSE),IF(AO62="Plan2",VLOOKUP(BE62,Deviation!$B$42:$C$43,2,FALSE),IF(AO62="Plan5",VLOOKUP(BE62,Deviation!$B$48:$C$49,2,FALSE),VLOOKUP(BE62,Deviation!$B$45:$C$46,2,FALSE)))),IF(AO62="Plan1",VLOOKUP(BE62,Deviation!$E$39:$F$40,2,FALSE),IF(AO62="Plan2",VLOOKUP(BE62,Deviation!$E$42:$F$43,2,FALSE),VLOOKUP(BE62,Deviation!$E$45:$F$46,2,FALSE))))),0)</f>
        <v/>
      </c>
      <c r="BK62" s="336" t="str">
        <f>IFERROR(IF(AO62="","",IF(AQ62="Dubai",IF(OR(AO62="Plan1",AO62="Plan2"),VLOOKUP(BF62,Deviation!$B$15:$D$18,2,FALSE),VLOOKUP(BF62,Deviation!$B$15:$D$18,3,FALSE)),IF(OR(AO62="Plan1",AO62="Plan2"),VLOOKUP(BF62,Deviation!$E$15:$G$18,2,FALSE),VLOOKUP(BF62,Deviation!$E$15:$G$18,3,FALSE)))),0)</f>
        <v/>
      </c>
      <c r="BL62" s="334" t="str">
        <f>IFERROR(IF(AO62="","",IF(AQ62="Dubai",VLOOKUP(BG62,Deviation!$B$24:$C$26,2,FALSE),100%)),0)</f>
        <v/>
      </c>
    </row>
    <row r="63" spans="1:64" ht="14.25" x14ac:dyDescent="0.2">
      <c r="A63" s="59">
        <v>58</v>
      </c>
      <c r="B63" s="298"/>
      <c r="C63" s="299"/>
      <c r="D63" s="298"/>
      <c r="E63" s="298"/>
      <c r="F63" s="298"/>
      <c r="G63" s="298"/>
      <c r="H63" s="298"/>
      <c r="I63" s="298"/>
      <c r="J63" s="80" t="str">
        <f>IFERROR(ROUNDDOWN(IF(C63="","",(MAX((eff_date-Additions!C63)/365.25,0))),0),"")</f>
        <v/>
      </c>
      <c r="K63" s="59" t="str">
        <f>IF(F63="","",IF(G63="Dubai",HLOOKUP(F63,Inputs!$C$26:$M$28,3,0),HLOOKUP(F63,Inputs!$C$45:$M$46,2,0)))</f>
        <v/>
      </c>
      <c r="L63" s="335" t="str">
        <f t="shared" si="24"/>
        <v/>
      </c>
      <c r="M63" s="335">
        <f t="shared" si="25"/>
        <v>0</v>
      </c>
      <c r="N63" s="335" t="str">
        <f t="shared" si="26"/>
        <v/>
      </c>
      <c r="O63" s="335">
        <f t="shared" si="27"/>
        <v>0</v>
      </c>
      <c r="P63" s="104"/>
      <c r="Q63" s="105">
        <f t="shared" si="16"/>
        <v>0</v>
      </c>
      <c r="R63" s="59" t="b">
        <f t="shared" si="4"/>
        <v>0</v>
      </c>
      <c r="S63" s="102" t="str">
        <f t="shared" si="17"/>
        <v>x</v>
      </c>
      <c r="T63" s="102" t="str">
        <f t="shared" si="28"/>
        <v>x</v>
      </c>
      <c r="U63" s="102" t="str">
        <f t="shared" si="29"/>
        <v>x</v>
      </c>
      <c r="V63" s="102" t="str">
        <f t="shared" si="30"/>
        <v>x</v>
      </c>
      <c r="W63" s="102" t="str">
        <f t="shared" si="31"/>
        <v>x</v>
      </c>
      <c r="X63" s="102" t="str">
        <f>IF(ISERROR(MATCH(G63,'Inputs Mapping'!$T$4:$T$5,0)),"x","")</f>
        <v>x</v>
      </c>
      <c r="Y63" s="102" t="str">
        <f>IF(ISERROR(MATCH(AE63,'Inputs Mapping'!$U$4:$U$5,0)),"x","")</f>
        <v>x</v>
      </c>
      <c r="Z63" s="102" t="str">
        <f>IF(ISERROR(MATCH(AF63,'Inputs Mapping'!$V$4:$V$5,0)),"x","")</f>
        <v>x</v>
      </c>
      <c r="AA63" s="102" t="str">
        <f>IF(ISERROR(MATCH(F63,'Inputs Mapping'!$W$4:$W$8,0)),"x","")</f>
        <v>x</v>
      </c>
      <c r="AB63" s="102" t="str">
        <f t="shared" si="9"/>
        <v/>
      </c>
      <c r="AC63" s="102" t="str">
        <f t="shared" si="10"/>
        <v/>
      </c>
      <c r="AD63" s="102" t="str">
        <f t="shared" si="32"/>
        <v/>
      </c>
      <c r="AE63" s="102" t="str">
        <f t="shared" si="18"/>
        <v/>
      </c>
      <c r="AF63" s="102" t="str">
        <f t="shared" si="19"/>
        <v/>
      </c>
      <c r="AG63" s="102" t="str">
        <f t="shared" si="20"/>
        <v>x</v>
      </c>
      <c r="AK63" s="95" t="str">
        <f t="shared" si="12"/>
        <v/>
      </c>
      <c r="AL63" s="59" t="str">
        <f>IF(J63="","",VLOOKUP(J63,'Inputs Mapping'!$T$27:$V$30,3))</f>
        <v/>
      </c>
      <c r="AM63" s="59" t="str">
        <f>IF(J63="","",VLOOKUP(J63,'Inputs Mapping'!$T$17:$V$24,3))</f>
        <v/>
      </c>
      <c r="AN63" s="59" t="str">
        <f t="shared" si="13"/>
        <v/>
      </c>
      <c r="AO63" s="102" t="str">
        <f t="shared" si="14"/>
        <v/>
      </c>
      <c r="AP63" s="102" t="str">
        <f>IF(F63="","",IF(G63="Dubai",HLOOKUP(F63,Inputs!$C$26:$M$36,5,0),HLOOKUP(F63,Inputs!$C$45:$M$49,5,0)))</f>
        <v/>
      </c>
      <c r="AQ63" s="102">
        <f t="shared" si="15"/>
        <v>0</v>
      </c>
      <c r="AR63" s="59" t="str">
        <f>IF(AM63="","",IF(AQ63="Dubai",VLOOKUP(AM63,'Inputs Mapping'!$V$17:$W$24,2,0),VLOOKUP(AL63,'Inputs Mapping'!$V$27:$W$30,2,0)))</f>
        <v/>
      </c>
      <c r="AS63" s="333">
        <f>IFERROR(IF($AQ63="","",HLOOKUP($AQ63&amp;RIGHT($AO63,1),'input for formula'!$B$16:$I$20,3,0)),0)</f>
        <v>0</v>
      </c>
      <c r="AT63" s="80">
        <f>IFERROR(IF($AQ63="","",HLOOKUP($AQ63&amp;$F63,'input for formula'!$B$22:$M$25,2,0)),0)</f>
        <v>0</v>
      </c>
      <c r="AU63" s="333">
        <f>IFERROR(IF($AQ63="","",HLOOKUP($AQ63&amp;RIGHT($AO63,1),'input for formula'!$B$16:$I$20,4,0)),0)</f>
        <v>0</v>
      </c>
      <c r="AV63" s="80">
        <f>IFERROR(IF($AQ63="","",HLOOKUP($AQ63&amp;$F63,'input for formula'!$B$22:$M$25,3,0)),0)</f>
        <v>0</v>
      </c>
      <c r="AW63" s="333">
        <f>IFERROR(IF($AQ63="","",HLOOKUP($AQ63&amp;RIGHT($AO63,1),'input for formula'!$B$16:$I$20,5,0)),0)</f>
        <v>0</v>
      </c>
      <c r="AX63" s="80">
        <f>IFERROR(IF($AQ63="","",HLOOKUP($AQ63&amp;$F63,'input for formula'!$B$22:$M$25,4,0)),0)</f>
        <v>0</v>
      </c>
      <c r="AY63" s="333">
        <f>IFERROR(IF($AQ63="","",IF(Additions!$AQ63="Abu Dhabi",VLOOKUP(Additions!$AP63,'input for formula'!$A$28:$C$41,3,0),VLOOKUP(Additions!$AP63,'input for formula'!$A$28:$C$41,2,0))),0)*IFERROR(1+IF(AQ63="Dubai",VLOOKUP(F63,'Quotation for Dubai Plans'!$V$6:$X$12,3,FALSE),VLOOKUP(F63,'Quotation for Abu Dhabi Plans'!$W$6:$Y$12,3,FALSE)),0)</f>
        <v>0</v>
      </c>
      <c r="AZ63" s="80" t="str">
        <f t="shared" si="23"/>
        <v/>
      </c>
      <c r="BA63" s="106" t="str">
        <f>IFERROR(IF(AO63="","",IF(AQ63="Dubai",HLOOKUP((AO63&amp;AP63),Deviation!$B$7:$S$8,2,0)*BI63*BK63*BL63*BJ63,HLOOKUP((AO63&amp;AP63),Deviation!$B$9:$K$10,2,0)*BI63*BK63*BL63*BJ63)),0)</f>
        <v/>
      </c>
      <c r="BB63" s="107" t="e">
        <f>IF(AO63="","",IFERROR(IF(AO63="","",IF(AQ63="Dubai",HLOOKUP(BC63,'input for formula'!$B$3:$F$10,AR63,FALSE), IF(AND(H63="Employee",AQ63="Abu Dhabi"),HLOOKUP(BC63,'input for formula'!$I$3:$K$7,AR63,FALSE),HLOOKUP(BC63,'input for formula'!$M$3:$O$7,AR63,FALSE)))*BA63+AS63*AT63+AU63*AV63+AW63*AX63),0)*$BC$3)*IF(Inputs!$C$19&gt;100,(1+$BC$2),1)</f>
        <v>#VALUE!</v>
      </c>
      <c r="BC63" s="95" t="str">
        <f t="shared" si="22"/>
        <v/>
      </c>
      <c r="BD63" s="334" t="str">
        <f>IF(F63="","",IF(G63="Dubai",HLOOKUP(F63,Inputs!$C$26:$M$37,9,0),HLOOKUP(F63,Inputs!$C$45:$M$56,9,0)))</f>
        <v/>
      </c>
      <c r="BE63" s="335" t="str">
        <f>IF(F63="","",IF(G63="Dubai",HLOOKUP(F63,Inputs!$C$26:$M$37,10,0),HLOOKUP(F63,Inputs!$C$45:$M$56,10,0)))</f>
        <v/>
      </c>
      <c r="BF63" s="335" t="str">
        <f>IF(F63="","",IF(G63="Dubai",HLOOKUP(F63,Inputs!$C$26:$M$37,11,0),HLOOKUP(F63,Inputs!$C$45:$M$56,11,0)))</f>
        <v/>
      </c>
      <c r="BG63" s="334" t="str">
        <f>IF(F63="","",IF(G63="Dubai",HLOOKUP(F63,Inputs!$C$26:$M$37,12,0),HLOOKUP(F63,Inputs!$C$45:$M$56,12,0)))</f>
        <v/>
      </c>
      <c r="BI63" s="334" t="str">
        <f>IFERROR(IF(AO63="","",IF(AQ63="Dubai",IF(OR(AO63="Plan1",AO63="Plan2"),VLOOKUP(BD63,Deviation!$B$31:$D$33,2,FALSE),VLOOKUP(BD63,Deviation!$B$31:$D$33,3,FALSE)),IF(OR(AO63="Plan1",AO63="Plan2"),VLOOKUP(BD63,Deviation!$E$31:$G$33,2,FALSE),VLOOKUP(BD63,Deviation!$E$31:$G$33,3,FALSE)))),0)</f>
        <v/>
      </c>
      <c r="BJ63" s="336" t="str">
        <f>IFERROR(IF(AO63="","",IF(AQ63="Dubai",IF(AO63="Plan1",VLOOKUP(BE63,Deviation!$B$39:$C$40,2,FALSE),IF(AO63="Plan2",VLOOKUP(BE63,Deviation!$B$42:$C$43,2,FALSE),IF(AO63="Plan5",VLOOKUP(BE63,Deviation!$B$48:$C$49,2,FALSE),VLOOKUP(BE63,Deviation!$B$45:$C$46,2,FALSE)))),IF(AO63="Plan1",VLOOKUP(BE63,Deviation!$E$39:$F$40,2,FALSE),IF(AO63="Plan2",VLOOKUP(BE63,Deviation!$E$42:$F$43,2,FALSE),VLOOKUP(BE63,Deviation!$E$45:$F$46,2,FALSE))))),0)</f>
        <v/>
      </c>
      <c r="BK63" s="336" t="str">
        <f>IFERROR(IF(AO63="","",IF(AQ63="Dubai",IF(OR(AO63="Plan1",AO63="Plan2"),VLOOKUP(BF63,Deviation!$B$15:$D$18,2,FALSE),VLOOKUP(BF63,Deviation!$B$15:$D$18,3,FALSE)),IF(OR(AO63="Plan1",AO63="Plan2"),VLOOKUP(BF63,Deviation!$E$15:$G$18,2,FALSE),VLOOKUP(BF63,Deviation!$E$15:$G$18,3,FALSE)))),0)</f>
        <v/>
      </c>
      <c r="BL63" s="334" t="str">
        <f>IFERROR(IF(AO63="","",IF(AQ63="Dubai",VLOOKUP(BG63,Deviation!$B$24:$C$26,2,FALSE),100%)),0)</f>
        <v/>
      </c>
    </row>
    <row r="64" spans="1:64" ht="14.25" x14ac:dyDescent="0.2">
      <c r="A64" s="59">
        <v>59</v>
      </c>
      <c r="B64" s="298"/>
      <c r="C64" s="299"/>
      <c r="D64" s="298"/>
      <c r="E64" s="298"/>
      <c r="F64" s="298"/>
      <c r="G64" s="298"/>
      <c r="H64" s="298"/>
      <c r="I64" s="298"/>
      <c r="J64" s="80" t="str">
        <f>IFERROR(ROUNDDOWN(IF(C64="","",(MAX((eff_date-Additions!C64)/365.25,0))),0),"")</f>
        <v/>
      </c>
      <c r="K64" s="59" t="str">
        <f>IF(F64="","",IF(G64="Dubai",HLOOKUP(F64,Inputs!$C$26:$M$28,3,0),HLOOKUP(F64,Inputs!$C$45:$M$46,2,0)))</f>
        <v/>
      </c>
      <c r="L64" s="335" t="str">
        <f t="shared" si="24"/>
        <v/>
      </c>
      <c r="M64" s="335">
        <f t="shared" si="25"/>
        <v>0</v>
      </c>
      <c r="N64" s="335" t="str">
        <f t="shared" si="26"/>
        <v/>
      </c>
      <c r="O64" s="335">
        <f t="shared" si="27"/>
        <v>0</v>
      </c>
      <c r="P64" s="104"/>
      <c r="Q64" s="105">
        <f t="shared" si="16"/>
        <v>0</v>
      </c>
      <c r="R64" s="59" t="b">
        <f t="shared" si="4"/>
        <v>0</v>
      </c>
      <c r="S64" s="102" t="str">
        <f t="shared" si="17"/>
        <v>x</v>
      </c>
      <c r="T64" s="102" t="str">
        <f t="shared" si="28"/>
        <v>x</v>
      </c>
      <c r="U64" s="102" t="str">
        <f t="shared" si="29"/>
        <v>x</v>
      </c>
      <c r="V64" s="102" t="str">
        <f t="shared" si="30"/>
        <v>x</v>
      </c>
      <c r="W64" s="102" t="str">
        <f t="shared" si="31"/>
        <v>x</v>
      </c>
      <c r="X64" s="102" t="str">
        <f>IF(ISERROR(MATCH(G64,'Inputs Mapping'!$T$4:$T$5,0)),"x","")</f>
        <v>x</v>
      </c>
      <c r="Y64" s="102" t="str">
        <f>IF(ISERROR(MATCH(AE64,'Inputs Mapping'!$U$4:$U$5,0)),"x","")</f>
        <v>x</v>
      </c>
      <c r="Z64" s="102" t="str">
        <f>IF(ISERROR(MATCH(AF64,'Inputs Mapping'!$V$4:$V$5,0)),"x","")</f>
        <v>x</v>
      </c>
      <c r="AA64" s="102" t="str">
        <f>IF(ISERROR(MATCH(F64,'Inputs Mapping'!$W$4:$W$8,0)),"x","")</f>
        <v>x</v>
      </c>
      <c r="AB64" s="102" t="str">
        <f t="shared" si="9"/>
        <v/>
      </c>
      <c r="AC64" s="102" t="str">
        <f t="shared" si="10"/>
        <v/>
      </c>
      <c r="AD64" s="102" t="str">
        <f t="shared" si="32"/>
        <v/>
      </c>
      <c r="AE64" s="102" t="str">
        <f t="shared" si="18"/>
        <v/>
      </c>
      <c r="AF64" s="102" t="str">
        <f t="shared" si="19"/>
        <v/>
      </c>
      <c r="AG64" s="102" t="str">
        <f t="shared" si="20"/>
        <v>x</v>
      </c>
      <c r="AK64" s="95" t="str">
        <f t="shared" si="12"/>
        <v/>
      </c>
      <c r="AL64" s="59" t="str">
        <f>IF(J64="","",VLOOKUP(J64,'Inputs Mapping'!$T$27:$V$30,3))</f>
        <v/>
      </c>
      <c r="AM64" s="59" t="str">
        <f>IF(J64="","",VLOOKUP(J64,'Inputs Mapping'!$T$17:$V$24,3))</f>
        <v/>
      </c>
      <c r="AN64" s="59" t="str">
        <f t="shared" si="13"/>
        <v/>
      </c>
      <c r="AO64" s="102" t="str">
        <f t="shared" si="14"/>
        <v/>
      </c>
      <c r="AP64" s="102" t="str">
        <f>IF(F64="","",IF(G64="Dubai",HLOOKUP(F64,Inputs!$C$26:$M$36,5,0),HLOOKUP(F64,Inputs!$C$45:$M$49,5,0)))</f>
        <v/>
      </c>
      <c r="AQ64" s="102">
        <f t="shared" si="15"/>
        <v>0</v>
      </c>
      <c r="AR64" s="59" t="str">
        <f>IF(AM64="","",IF(AQ64="Dubai",VLOOKUP(AM64,'Inputs Mapping'!$V$17:$W$24,2,0),VLOOKUP(AL64,'Inputs Mapping'!$V$27:$W$30,2,0)))</f>
        <v/>
      </c>
      <c r="AS64" s="333">
        <f>IFERROR(IF($AQ64="","",HLOOKUP($AQ64&amp;RIGHT($AO64,1),'input for formula'!$B$16:$I$20,3,0)),0)</f>
        <v>0</v>
      </c>
      <c r="AT64" s="80">
        <f>IFERROR(IF($AQ64="","",HLOOKUP($AQ64&amp;$F64,'input for formula'!$B$22:$M$25,2,0)),0)</f>
        <v>0</v>
      </c>
      <c r="AU64" s="333">
        <f>IFERROR(IF($AQ64="","",HLOOKUP($AQ64&amp;RIGHT($AO64,1),'input for formula'!$B$16:$I$20,4,0)),0)</f>
        <v>0</v>
      </c>
      <c r="AV64" s="80">
        <f>IFERROR(IF($AQ64="","",HLOOKUP($AQ64&amp;$F64,'input for formula'!$B$22:$M$25,3,0)),0)</f>
        <v>0</v>
      </c>
      <c r="AW64" s="333">
        <f>IFERROR(IF($AQ64="","",HLOOKUP($AQ64&amp;RIGHT($AO64,1),'input for formula'!$B$16:$I$20,5,0)),0)</f>
        <v>0</v>
      </c>
      <c r="AX64" s="80">
        <f>IFERROR(IF($AQ64="","",HLOOKUP($AQ64&amp;$F64,'input for formula'!$B$22:$M$25,4,0)),0)</f>
        <v>0</v>
      </c>
      <c r="AY64" s="333">
        <f>IFERROR(IF($AQ64="","",IF(Additions!$AQ64="Abu Dhabi",VLOOKUP(Additions!$AP64,'input for formula'!$A$28:$C$41,3,0),VLOOKUP(Additions!$AP64,'input for formula'!$A$28:$C$41,2,0))),0)*IFERROR(1+IF(AQ64="Dubai",VLOOKUP(F64,'Quotation for Dubai Plans'!$V$6:$X$12,3,FALSE),VLOOKUP(F64,'Quotation for Abu Dhabi Plans'!$W$6:$Y$12,3,FALSE)),0)</f>
        <v>0</v>
      </c>
      <c r="AZ64" s="80" t="str">
        <f t="shared" si="23"/>
        <v/>
      </c>
      <c r="BA64" s="106" t="str">
        <f>IFERROR(IF(AO64="","",IF(AQ64="Dubai",HLOOKUP((AO64&amp;AP64),Deviation!$B$7:$S$8,2,0)*BI64*BK64*BL64*BJ64,HLOOKUP((AO64&amp;AP64),Deviation!$B$9:$K$10,2,0)*BI64*BK64*BL64*BJ64)),0)</f>
        <v/>
      </c>
      <c r="BB64" s="107" t="e">
        <f>IF(AO64="","",IFERROR(IF(AO64="","",IF(AQ64="Dubai",HLOOKUP(BC64,'input for formula'!$B$3:$F$10,AR64,FALSE), IF(AND(H64="Employee",AQ64="Abu Dhabi"),HLOOKUP(BC64,'input for formula'!$I$3:$K$7,AR64,FALSE),HLOOKUP(BC64,'input for formula'!$M$3:$O$7,AR64,FALSE)))*BA64+AS64*AT64+AU64*AV64+AW64*AX64),0)*$BC$3)*IF(Inputs!$C$19&gt;100,(1+$BC$2),1)</f>
        <v>#VALUE!</v>
      </c>
      <c r="BC64" s="95" t="str">
        <f t="shared" si="22"/>
        <v/>
      </c>
      <c r="BD64" s="334" t="str">
        <f>IF(F64="","",IF(G64="Dubai",HLOOKUP(F64,Inputs!$C$26:$M$37,9,0),HLOOKUP(F64,Inputs!$C$45:$M$56,9,0)))</f>
        <v/>
      </c>
      <c r="BE64" s="335" t="str">
        <f>IF(F64="","",IF(G64="Dubai",HLOOKUP(F64,Inputs!$C$26:$M$37,10,0),HLOOKUP(F64,Inputs!$C$45:$M$56,10,0)))</f>
        <v/>
      </c>
      <c r="BF64" s="335" t="str">
        <f>IF(F64="","",IF(G64="Dubai",HLOOKUP(F64,Inputs!$C$26:$M$37,11,0),HLOOKUP(F64,Inputs!$C$45:$M$56,11,0)))</f>
        <v/>
      </c>
      <c r="BG64" s="334" t="str">
        <f>IF(F64="","",IF(G64="Dubai",HLOOKUP(F64,Inputs!$C$26:$M$37,12,0),HLOOKUP(F64,Inputs!$C$45:$M$56,12,0)))</f>
        <v/>
      </c>
      <c r="BI64" s="334" t="str">
        <f>IFERROR(IF(AO64="","",IF(AQ64="Dubai",IF(OR(AO64="Plan1",AO64="Plan2"),VLOOKUP(BD64,Deviation!$B$31:$D$33,2,FALSE),VLOOKUP(BD64,Deviation!$B$31:$D$33,3,FALSE)),IF(OR(AO64="Plan1",AO64="Plan2"),VLOOKUP(BD64,Deviation!$E$31:$G$33,2,FALSE),VLOOKUP(BD64,Deviation!$E$31:$G$33,3,FALSE)))),0)</f>
        <v/>
      </c>
      <c r="BJ64" s="336" t="str">
        <f>IFERROR(IF(AO64="","",IF(AQ64="Dubai",IF(AO64="Plan1",VLOOKUP(BE64,Deviation!$B$39:$C$40,2,FALSE),IF(AO64="Plan2",VLOOKUP(BE64,Deviation!$B$42:$C$43,2,FALSE),IF(AO64="Plan5",VLOOKUP(BE64,Deviation!$B$48:$C$49,2,FALSE),VLOOKUP(BE64,Deviation!$B$45:$C$46,2,FALSE)))),IF(AO64="Plan1",VLOOKUP(BE64,Deviation!$E$39:$F$40,2,FALSE),IF(AO64="Plan2",VLOOKUP(BE64,Deviation!$E$42:$F$43,2,FALSE),VLOOKUP(BE64,Deviation!$E$45:$F$46,2,FALSE))))),0)</f>
        <v/>
      </c>
      <c r="BK64" s="336" t="str">
        <f>IFERROR(IF(AO64="","",IF(AQ64="Dubai",IF(OR(AO64="Plan1",AO64="Plan2"),VLOOKUP(BF64,Deviation!$B$15:$D$18,2,FALSE),VLOOKUP(BF64,Deviation!$B$15:$D$18,3,FALSE)),IF(OR(AO64="Plan1",AO64="Plan2"),VLOOKUP(BF64,Deviation!$E$15:$G$18,2,FALSE),VLOOKUP(BF64,Deviation!$E$15:$G$18,3,FALSE)))),0)</f>
        <v/>
      </c>
      <c r="BL64" s="334" t="str">
        <f>IFERROR(IF(AO64="","",IF(AQ64="Dubai",VLOOKUP(BG64,Deviation!$B$24:$C$26,2,FALSE),100%)),0)</f>
        <v/>
      </c>
    </row>
    <row r="65" spans="1:64" ht="14.25" x14ac:dyDescent="0.2">
      <c r="A65" s="59">
        <v>60</v>
      </c>
      <c r="B65" s="298"/>
      <c r="C65" s="299"/>
      <c r="D65" s="298"/>
      <c r="E65" s="298"/>
      <c r="F65" s="298"/>
      <c r="G65" s="298"/>
      <c r="H65" s="298"/>
      <c r="I65" s="298"/>
      <c r="J65" s="80" t="str">
        <f>IFERROR(ROUNDDOWN(IF(C65="","",(MAX((eff_date-Additions!C65)/365.25,0))),0),"")</f>
        <v/>
      </c>
      <c r="K65" s="59" t="str">
        <f>IF(F65="","",IF(G65="Dubai",HLOOKUP(F65,Inputs!$C$26:$M$28,3,0),HLOOKUP(F65,Inputs!$C$45:$M$46,2,0)))</f>
        <v/>
      </c>
      <c r="L65" s="335" t="str">
        <f t="shared" si="24"/>
        <v/>
      </c>
      <c r="M65" s="335">
        <f t="shared" si="25"/>
        <v>0</v>
      </c>
      <c r="N65" s="335" t="str">
        <f t="shared" si="26"/>
        <v/>
      </c>
      <c r="O65" s="335">
        <f t="shared" si="27"/>
        <v>0</v>
      </c>
      <c r="P65" s="104"/>
      <c r="Q65" s="105">
        <f t="shared" si="16"/>
        <v>0</v>
      </c>
      <c r="R65" s="59" t="b">
        <f t="shared" si="4"/>
        <v>0</v>
      </c>
      <c r="S65" s="102" t="str">
        <f t="shared" si="17"/>
        <v>x</v>
      </c>
      <c r="T65" s="102" t="str">
        <f t="shared" si="28"/>
        <v>x</v>
      </c>
      <c r="U65" s="102" t="str">
        <f t="shared" si="29"/>
        <v>x</v>
      </c>
      <c r="V65" s="102" t="str">
        <f t="shared" si="30"/>
        <v>x</v>
      </c>
      <c r="W65" s="102" t="str">
        <f t="shared" si="31"/>
        <v>x</v>
      </c>
      <c r="X65" s="102" t="str">
        <f>IF(ISERROR(MATCH(G65,'Inputs Mapping'!$T$4:$T$5,0)),"x","")</f>
        <v>x</v>
      </c>
      <c r="Y65" s="102" t="str">
        <f>IF(ISERROR(MATCH(AE65,'Inputs Mapping'!$U$4:$U$5,0)),"x","")</f>
        <v>x</v>
      </c>
      <c r="Z65" s="102" t="str">
        <f>IF(ISERROR(MATCH(AF65,'Inputs Mapping'!$V$4:$V$5,0)),"x","")</f>
        <v>x</v>
      </c>
      <c r="AA65" s="102" t="str">
        <f>IF(ISERROR(MATCH(F65,'Inputs Mapping'!$W$4:$W$8,0)),"x","")</f>
        <v>x</v>
      </c>
      <c r="AB65" s="102" t="str">
        <f t="shared" si="9"/>
        <v/>
      </c>
      <c r="AC65" s="102" t="str">
        <f t="shared" si="10"/>
        <v/>
      </c>
      <c r="AD65" s="102" t="str">
        <f t="shared" si="32"/>
        <v/>
      </c>
      <c r="AE65" s="102" t="str">
        <f t="shared" si="18"/>
        <v/>
      </c>
      <c r="AF65" s="102" t="str">
        <f t="shared" si="19"/>
        <v/>
      </c>
      <c r="AG65" s="102" t="str">
        <f t="shared" si="20"/>
        <v>x</v>
      </c>
      <c r="AK65" s="95" t="str">
        <f t="shared" si="12"/>
        <v/>
      </c>
      <c r="AL65" s="59" t="str">
        <f>IF(J65="","",VLOOKUP(J65,'Inputs Mapping'!$T$27:$V$30,3))</f>
        <v/>
      </c>
      <c r="AM65" s="59" t="str">
        <f>IF(J65="","",VLOOKUP(J65,'Inputs Mapping'!$T$17:$V$24,3))</f>
        <v/>
      </c>
      <c r="AN65" s="59" t="str">
        <f t="shared" si="13"/>
        <v/>
      </c>
      <c r="AO65" s="102" t="str">
        <f t="shared" si="14"/>
        <v/>
      </c>
      <c r="AP65" s="102" t="str">
        <f>IF(F65="","",IF(G65="Dubai",HLOOKUP(F65,Inputs!$C$26:$M$36,5,0),HLOOKUP(F65,Inputs!$C$45:$M$49,5,0)))</f>
        <v/>
      </c>
      <c r="AQ65" s="102">
        <f t="shared" si="15"/>
        <v>0</v>
      </c>
      <c r="AR65" s="59" t="str">
        <f>IF(AM65="","",IF(AQ65="Dubai",VLOOKUP(AM65,'Inputs Mapping'!$V$17:$W$24,2,0),VLOOKUP(AL65,'Inputs Mapping'!$V$27:$W$30,2,0)))</f>
        <v/>
      </c>
      <c r="AS65" s="333">
        <f>IFERROR(IF($AQ65="","",HLOOKUP($AQ65&amp;RIGHT($AO65,1),'input for formula'!$B$16:$I$20,3,0)),0)</f>
        <v>0</v>
      </c>
      <c r="AT65" s="80">
        <f>IFERROR(IF($AQ65="","",HLOOKUP($AQ65&amp;$F65,'input for formula'!$B$22:$M$25,2,0)),0)</f>
        <v>0</v>
      </c>
      <c r="AU65" s="333">
        <f>IFERROR(IF($AQ65="","",HLOOKUP($AQ65&amp;RIGHT($AO65,1),'input for formula'!$B$16:$I$20,4,0)),0)</f>
        <v>0</v>
      </c>
      <c r="AV65" s="80">
        <f>IFERROR(IF($AQ65="","",HLOOKUP($AQ65&amp;$F65,'input for formula'!$B$22:$M$25,3,0)),0)</f>
        <v>0</v>
      </c>
      <c r="AW65" s="333">
        <f>IFERROR(IF($AQ65="","",HLOOKUP($AQ65&amp;RIGHT($AO65,1),'input for formula'!$B$16:$I$20,5,0)),0)</f>
        <v>0</v>
      </c>
      <c r="AX65" s="80">
        <f>IFERROR(IF($AQ65="","",HLOOKUP($AQ65&amp;$F65,'input for formula'!$B$22:$M$25,4,0)),0)</f>
        <v>0</v>
      </c>
      <c r="AY65" s="333">
        <f>IFERROR(IF($AQ65="","",IF(Additions!$AQ65="Abu Dhabi",VLOOKUP(Additions!$AP65,'input for formula'!$A$28:$C$41,3,0),VLOOKUP(Additions!$AP65,'input for formula'!$A$28:$C$41,2,0))),0)*IFERROR(1+IF(AQ65="Dubai",VLOOKUP(F65,'Quotation for Dubai Plans'!$V$6:$X$12,3,FALSE),VLOOKUP(F65,'Quotation for Abu Dhabi Plans'!$W$6:$Y$12,3,FALSE)),0)</f>
        <v>0</v>
      </c>
      <c r="AZ65" s="80" t="str">
        <f t="shared" si="23"/>
        <v/>
      </c>
      <c r="BA65" s="106" t="str">
        <f>IFERROR(IF(AO65="","",IF(AQ65="Dubai",HLOOKUP((AO65&amp;AP65),Deviation!$B$7:$S$8,2,0)*BI65*BK65*BL65*BJ65,HLOOKUP((AO65&amp;AP65),Deviation!$B$9:$K$10,2,0)*BI65*BK65*BL65*BJ65)),0)</f>
        <v/>
      </c>
      <c r="BB65" s="107" t="e">
        <f>IF(AO65="","",IFERROR(IF(AO65="","",IF(AQ65="Dubai",HLOOKUP(BC65,'input for formula'!$B$3:$F$10,AR65,FALSE), IF(AND(H65="Employee",AQ65="Abu Dhabi"),HLOOKUP(BC65,'input for formula'!$I$3:$K$7,AR65,FALSE),HLOOKUP(BC65,'input for formula'!$M$3:$O$7,AR65,FALSE)))*BA65+AS65*AT65+AU65*AV65+AW65*AX65),0)*$BC$3)*IF(Inputs!$C$19&gt;100,(1+$BC$2),1)</f>
        <v>#VALUE!</v>
      </c>
      <c r="BC65" s="95" t="str">
        <f t="shared" si="22"/>
        <v/>
      </c>
      <c r="BD65" s="334" t="str">
        <f>IF(F65="","",IF(G65="Dubai",HLOOKUP(F65,Inputs!$C$26:$M$37,9,0),HLOOKUP(F65,Inputs!$C$45:$M$56,9,0)))</f>
        <v/>
      </c>
      <c r="BE65" s="335" t="str">
        <f>IF(F65="","",IF(G65="Dubai",HLOOKUP(F65,Inputs!$C$26:$M$37,10,0),HLOOKUP(F65,Inputs!$C$45:$M$56,10,0)))</f>
        <v/>
      </c>
      <c r="BF65" s="335" t="str">
        <f>IF(F65="","",IF(G65="Dubai",HLOOKUP(F65,Inputs!$C$26:$M$37,11,0),HLOOKUP(F65,Inputs!$C$45:$M$56,11,0)))</f>
        <v/>
      </c>
      <c r="BG65" s="334" t="str">
        <f>IF(F65="","",IF(G65="Dubai",HLOOKUP(F65,Inputs!$C$26:$M$37,12,0),HLOOKUP(F65,Inputs!$C$45:$M$56,12,0)))</f>
        <v/>
      </c>
      <c r="BI65" s="334" t="str">
        <f>IFERROR(IF(AO65="","",IF(AQ65="Dubai",IF(OR(AO65="Plan1",AO65="Plan2"),VLOOKUP(BD65,Deviation!$B$31:$D$33,2,FALSE),VLOOKUP(BD65,Deviation!$B$31:$D$33,3,FALSE)),IF(OR(AO65="Plan1",AO65="Plan2"),VLOOKUP(BD65,Deviation!$E$31:$G$33,2,FALSE),VLOOKUP(BD65,Deviation!$E$31:$G$33,3,FALSE)))),0)</f>
        <v/>
      </c>
      <c r="BJ65" s="336" t="str">
        <f>IFERROR(IF(AO65="","",IF(AQ65="Dubai",IF(AO65="Plan1",VLOOKUP(BE65,Deviation!$B$39:$C$40,2,FALSE),IF(AO65="Plan2",VLOOKUP(BE65,Deviation!$B$42:$C$43,2,FALSE),IF(AO65="Plan5",VLOOKUP(BE65,Deviation!$B$48:$C$49,2,FALSE),VLOOKUP(BE65,Deviation!$B$45:$C$46,2,FALSE)))),IF(AO65="Plan1",VLOOKUP(BE65,Deviation!$E$39:$F$40,2,FALSE),IF(AO65="Plan2",VLOOKUP(BE65,Deviation!$E$42:$F$43,2,FALSE),VLOOKUP(BE65,Deviation!$E$45:$F$46,2,FALSE))))),0)</f>
        <v/>
      </c>
      <c r="BK65" s="336" t="str">
        <f>IFERROR(IF(AO65="","",IF(AQ65="Dubai",IF(OR(AO65="Plan1",AO65="Plan2"),VLOOKUP(BF65,Deviation!$B$15:$D$18,2,FALSE),VLOOKUP(BF65,Deviation!$B$15:$D$18,3,FALSE)),IF(OR(AO65="Plan1",AO65="Plan2"),VLOOKUP(BF65,Deviation!$E$15:$G$18,2,FALSE),VLOOKUP(BF65,Deviation!$E$15:$G$18,3,FALSE)))),0)</f>
        <v/>
      </c>
      <c r="BL65" s="334" t="str">
        <f>IFERROR(IF(AO65="","",IF(AQ65="Dubai",VLOOKUP(BG65,Deviation!$B$24:$C$26,2,FALSE),100%)),0)</f>
        <v/>
      </c>
    </row>
    <row r="66" spans="1:64" ht="14.25" x14ac:dyDescent="0.2">
      <c r="A66" s="59">
        <v>61</v>
      </c>
      <c r="B66" s="298"/>
      <c r="C66" s="299"/>
      <c r="D66" s="298"/>
      <c r="E66" s="298"/>
      <c r="F66" s="298"/>
      <c r="G66" s="298"/>
      <c r="H66" s="298"/>
      <c r="I66" s="298"/>
      <c r="J66" s="80" t="str">
        <f>IFERROR(ROUNDDOWN(IF(C66="","",(MAX((eff_date-Additions!C66)/365.25,0))),0),"")</f>
        <v/>
      </c>
      <c r="K66" s="59" t="str">
        <f>IF(F66="","",IF(G66="Dubai",HLOOKUP(F66,Inputs!$C$26:$M$28,3,0),HLOOKUP(F66,Inputs!$C$45:$M$46,2,0)))</f>
        <v/>
      </c>
      <c r="L66" s="335" t="str">
        <f t="shared" si="24"/>
        <v/>
      </c>
      <c r="M66" s="335">
        <f t="shared" si="25"/>
        <v>0</v>
      </c>
      <c r="N66" s="335" t="str">
        <f t="shared" si="26"/>
        <v/>
      </c>
      <c r="O66" s="335">
        <f t="shared" si="27"/>
        <v>0</v>
      </c>
      <c r="P66" s="104"/>
      <c r="Q66" s="105">
        <f t="shared" si="16"/>
        <v>0</v>
      </c>
      <c r="R66" s="59" t="b">
        <f t="shared" si="4"/>
        <v>0</v>
      </c>
      <c r="S66" s="102" t="str">
        <f t="shared" si="17"/>
        <v>x</v>
      </c>
      <c r="T66" s="102" t="str">
        <f t="shared" si="28"/>
        <v>x</v>
      </c>
      <c r="U66" s="102" t="str">
        <f t="shared" si="29"/>
        <v>x</v>
      </c>
      <c r="V66" s="102" t="str">
        <f t="shared" si="30"/>
        <v>x</v>
      </c>
      <c r="W66" s="102" t="str">
        <f t="shared" si="31"/>
        <v>x</v>
      </c>
      <c r="X66" s="102" t="str">
        <f>IF(ISERROR(MATCH(G66,'Inputs Mapping'!$T$4:$T$5,0)),"x","")</f>
        <v>x</v>
      </c>
      <c r="Y66" s="102" t="str">
        <f>IF(ISERROR(MATCH(AE66,'Inputs Mapping'!$U$4:$U$5,0)),"x","")</f>
        <v>x</v>
      </c>
      <c r="Z66" s="102" t="str">
        <f>IF(ISERROR(MATCH(AF66,'Inputs Mapping'!$V$4:$V$5,0)),"x","")</f>
        <v>x</v>
      </c>
      <c r="AA66" s="102" t="str">
        <f>IF(ISERROR(MATCH(F66,'Inputs Mapping'!$W$4:$W$8,0)),"x","")</f>
        <v>x</v>
      </c>
      <c r="AB66" s="102" t="str">
        <f t="shared" si="9"/>
        <v/>
      </c>
      <c r="AC66" s="102" t="str">
        <f t="shared" si="10"/>
        <v/>
      </c>
      <c r="AD66" s="102" t="str">
        <f t="shared" si="32"/>
        <v/>
      </c>
      <c r="AE66" s="102" t="str">
        <f t="shared" si="18"/>
        <v/>
      </c>
      <c r="AF66" s="102" t="str">
        <f t="shared" si="19"/>
        <v/>
      </c>
      <c r="AG66" s="102" t="str">
        <f t="shared" si="20"/>
        <v>x</v>
      </c>
      <c r="AK66" s="95" t="str">
        <f t="shared" si="12"/>
        <v/>
      </c>
      <c r="AL66" s="59" t="str">
        <f>IF(J66="","",VLOOKUP(J66,'Inputs Mapping'!$T$27:$V$30,3))</f>
        <v/>
      </c>
      <c r="AM66" s="59" t="str">
        <f>IF(J66="","",VLOOKUP(J66,'Inputs Mapping'!$T$17:$V$24,3))</f>
        <v/>
      </c>
      <c r="AN66" s="59" t="str">
        <f t="shared" si="13"/>
        <v/>
      </c>
      <c r="AO66" s="102" t="str">
        <f t="shared" si="14"/>
        <v/>
      </c>
      <c r="AP66" s="102" t="str">
        <f>IF(F66="","",IF(G66="Dubai",HLOOKUP(F66,Inputs!$C$26:$M$36,5,0),HLOOKUP(F66,Inputs!$C$45:$M$49,5,0)))</f>
        <v/>
      </c>
      <c r="AQ66" s="102">
        <f t="shared" si="15"/>
        <v>0</v>
      </c>
      <c r="AR66" s="59" t="str">
        <f>IF(AM66="","",IF(AQ66="Dubai",VLOOKUP(AM66,'Inputs Mapping'!$V$17:$W$24,2,0),VLOOKUP(AL66,'Inputs Mapping'!$V$27:$W$30,2,0)))</f>
        <v/>
      </c>
      <c r="AS66" s="333">
        <f>IFERROR(IF($AQ66="","",HLOOKUP($AQ66&amp;RIGHT($AO66,1),'input for formula'!$B$16:$I$20,3,0)),0)</f>
        <v>0</v>
      </c>
      <c r="AT66" s="80">
        <f>IFERROR(IF($AQ66="","",HLOOKUP($AQ66&amp;$F66,'input for formula'!$B$22:$M$25,2,0)),0)</f>
        <v>0</v>
      </c>
      <c r="AU66" s="333">
        <f>IFERROR(IF($AQ66="","",HLOOKUP($AQ66&amp;RIGHT($AO66,1),'input for formula'!$B$16:$I$20,4,0)),0)</f>
        <v>0</v>
      </c>
      <c r="AV66" s="80">
        <f>IFERROR(IF($AQ66="","",HLOOKUP($AQ66&amp;$F66,'input for formula'!$B$22:$M$25,3,0)),0)</f>
        <v>0</v>
      </c>
      <c r="AW66" s="333">
        <f>IFERROR(IF($AQ66="","",HLOOKUP($AQ66&amp;RIGHT($AO66,1),'input for formula'!$B$16:$I$20,5,0)),0)</f>
        <v>0</v>
      </c>
      <c r="AX66" s="80">
        <f>IFERROR(IF($AQ66="","",HLOOKUP($AQ66&amp;$F66,'input for formula'!$B$22:$M$25,4,0)),0)</f>
        <v>0</v>
      </c>
      <c r="AY66" s="333">
        <f>IFERROR(IF($AQ66="","",IF(Additions!$AQ66="Abu Dhabi",VLOOKUP(Additions!$AP66,'input for formula'!$A$28:$C$41,3,0),VLOOKUP(Additions!$AP66,'input for formula'!$A$28:$C$41,2,0))),0)*IFERROR(1+IF(AQ66="Dubai",VLOOKUP(F66,'Quotation for Dubai Plans'!$V$6:$X$12,3,FALSE),VLOOKUP(F66,'Quotation for Abu Dhabi Plans'!$W$6:$Y$12,3,FALSE)),0)</f>
        <v>0</v>
      </c>
      <c r="AZ66" s="80" t="str">
        <f t="shared" si="23"/>
        <v/>
      </c>
      <c r="BA66" s="106" t="str">
        <f>IFERROR(IF(AO66="","",IF(AQ66="Dubai",HLOOKUP((AO66&amp;AP66),Deviation!$B$7:$S$8,2,0)*BI66*BK66*BL66*BJ66,HLOOKUP((AO66&amp;AP66),Deviation!$B$9:$K$10,2,0)*BI66*BK66*BL66*BJ66)),0)</f>
        <v/>
      </c>
      <c r="BB66" s="107" t="e">
        <f>IF(AO66="","",IFERROR(IF(AO66="","",IF(AQ66="Dubai",HLOOKUP(BC66,'input for formula'!$B$3:$F$10,AR66,FALSE), IF(AND(H66="Employee",AQ66="Abu Dhabi"),HLOOKUP(BC66,'input for formula'!$I$3:$K$7,AR66,FALSE),HLOOKUP(BC66,'input for formula'!$M$3:$O$7,AR66,FALSE)))*BA66+AS66*AT66+AU66*AV66+AW66*AX66),0)*$BC$3)*IF(Inputs!$C$19&gt;100,(1+$BC$2),1)</f>
        <v>#VALUE!</v>
      </c>
      <c r="BC66" s="95" t="str">
        <f t="shared" si="22"/>
        <v/>
      </c>
      <c r="BD66" s="334" t="str">
        <f>IF(F66="","",IF(G66="Dubai",HLOOKUP(F66,Inputs!$C$26:$M$37,9,0),HLOOKUP(F66,Inputs!$C$45:$M$56,9,0)))</f>
        <v/>
      </c>
      <c r="BE66" s="335" t="str">
        <f>IF(F66="","",IF(G66="Dubai",HLOOKUP(F66,Inputs!$C$26:$M$37,10,0),HLOOKUP(F66,Inputs!$C$45:$M$56,10,0)))</f>
        <v/>
      </c>
      <c r="BF66" s="335" t="str">
        <f>IF(F66="","",IF(G66="Dubai",HLOOKUP(F66,Inputs!$C$26:$M$37,11,0),HLOOKUP(F66,Inputs!$C$45:$M$56,11,0)))</f>
        <v/>
      </c>
      <c r="BG66" s="334" t="str">
        <f>IF(F66="","",IF(G66="Dubai",HLOOKUP(F66,Inputs!$C$26:$M$37,12,0),HLOOKUP(F66,Inputs!$C$45:$M$56,12,0)))</f>
        <v/>
      </c>
      <c r="BI66" s="334" t="str">
        <f>IFERROR(IF(AO66="","",IF(AQ66="Dubai",IF(OR(AO66="Plan1",AO66="Plan2"),VLOOKUP(BD66,Deviation!$B$31:$D$33,2,FALSE),VLOOKUP(BD66,Deviation!$B$31:$D$33,3,FALSE)),IF(OR(AO66="Plan1",AO66="Plan2"),VLOOKUP(BD66,Deviation!$E$31:$G$33,2,FALSE),VLOOKUP(BD66,Deviation!$E$31:$G$33,3,FALSE)))),0)</f>
        <v/>
      </c>
      <c r="BJ66" s="336" t="str">
        <f>IFERROR(IF(AO66="","",IF(AQ66="Dubai",IF(AO66="Plan1",VLOOKUP(BE66,Deviation!$B$39:$C$40,2,FALSE),IF(AO66="Plan2",VLOOKUP(BE66,Deviation!$B$42:$C$43,2,FALSE),IF(AO66="Plan5",VLOOKUP(BE66,Deviation!$B$48:$C$49,2,FALSE),VLOOKUP(BE66,Deviation!$B$45:$C$46,2,FALSE)))),IF(AO66="Plan1",VLOOKUP(BE66,Deviation!$E$39:$F$40,2,FALSE),IF(AO66="Plan2",VLOOKUP(BE66,Deviation!$E$42:$F$43,2,FALSE),VLOOKUP(BE66,Deviation!$E$45:$F$46,2,FALSE))))),0)</f>
        <v/>
      </c>
      <c r="BK66" s="336" t="str">
        <f>IFERROR(IF(AO66="","",IF(AQ66="Dubai",IF(OR(AO66="Plan1",AO66="Plan2"),VLOOKUP(BF66,Deviation!$B$15:$D$18,2,FALSE),VLOOKUP(BF66,Deviation!$B$15:$D$18,3,FALSE)),IF(OR(AO66="Plan1",AO66="Plan2"),VLOOKUP(BF66,Deviation!$E$15:$G$18,2,FALSE),VLOOKUP(BF66,Deviation!$E$15:$G$18,3,FALSE)))),0)</f>
        <v/>
      </c>
      <c r="BL66" s="334" t="str">
        <f>IFERROR(IF(AO66="","",IF(AQ66="Dubai",VLOOKUP(BG66,Deviation!$B$24:$C$26,2,FALSE),100%)),0)</f>
        <v/>
      </c>
    </row>
    <row r="67" spans="1:64" ht="14.25" x14ac:dyDescent="0.2">
      <c r="A67" s="59">
        <v>62</v>
      </c>
      <c r="B67" s="298"/>
      <c r="C67" s="299"/>
      <c r="D67" s="298"/>
      <c r="E67" s="298"/>
      <c r="F67" s="298"/>
      <c r="G67" s="298"/>
      <c r="H67" s="298"/>
      <c r="I67" s="298"/>
      <c r="J67" s="80" t="str">
        <f>IFERROR(ROUNDDOWN(IF(C67="","",(MAX((eff_date-Additions!C67)/365.25,0))),0),"")</f>
        <v/>
      </c>
      <c r="K67" s="59" t="str">
        <f>IF(F67="","",IF(G67="Dubai",HLOOKUP(F67,Inputs!$C$26:$M$28,3,0),HLOOKUP(F67,Inputs!$C$45:$M$46,2,0)))</f>
        <v/>
      </c>
      <c r="L67" s="335" t="str">
        <f t="shared" si="24"/>
        <v/>
      </c>
      <c r="M67" s="335">
        <f t="shared" si="25"/>
        <v>0</v>
      </c>
      <c r="N67" s="335" t="str">
        <f t="shared" si="26"/>
        <v/>
      </c>
      <c r="O67" s="335">
        <f t="shared" si="27"/>
        <v>0</v>
      </c>
      <c r="P67" s="104"/>
      <c r="Q67" s="105">
        <f t="shared" si="16"/>
        <v>0</v>
      </c>
      <c r="R67" s="59" t="b">
        <f t="shared" si="4"/>
        <v>0</v>
      </c>
      <c r="S67" s="102" t="str">
        <f t="shared" si="17"/>
        <v>x</v>
      </c>
      <c r="T67" s="102" t="str">
        <f t="shared" si="28"/>
        <v>x</v>
      </c>
      <c r="U67" s="102" t="str">
        <f t="shared" si="29"/>
        <v>x</v>
      </c>
      <c r="V67" s="102" t="str">
        <f t="shared" si="30"/>
        <v>x</v>
      </c>
      <c r="W67" s="102" t="str">
        <f t="shared" si="31"/>
        <v>x</v>
      </c>
      <c r="X67" s="102" t="str">
        <f>IF(ISERROR(MATCH(G67,'Inputs Mapping'!$T$4:$T$5,0)),"x","")</f>
        <v>x</v>
      </c>
      <c r="Y67" s="102" t="str">
        <f>IF(ISERROR(MATCH(AE67,'Inputs Mapping'!$U$4:$U$5,0)),"x","")</f>
        <v>x</v>
      </c>
      <c r="Z67" s="102" t="str">
        <f>IF(ISERROR(MATCH(AF67,'Inputs Mapping'!$V$4:$V$5,0)),"x","")</f>
        <v>x</v>
      </c>
      <c r="AA67" s="102" t="str">
        <f>IF(ISERROR(MATCH(F67,'Inputs Mapping'!$W$4:$W$8,0)),"x","")</f>
        <v>x</v>
      </c>
      <c r="AB67" s="102" t="str">
        <f t="shared" si="9"/>
        <v/>
      </c>
      <c r="AC67" s="102" t="str">
        <f t="shared" si="10"/>
        <v/>
      </c>
      <c r="AD67" s="102" t="str">
        <f t="shared" si="32"/>
        <v/>
      </c>
      <c r="AE67" s="102" t="str">
        <f t="shared" si="18"/>
        <v/>
      </c>
      <c r="AF67" s="102" t="str">
        <f t="shared" si="19"/>
        <v/>
      </c>
      <c r="AG67" s="102" t="str">
        <f t="shared" si="20"/>
        <v>x</v>
      </c>
      <c r="AK67" s="95" t="str">
        <f t="shared" si="12"/>
        <v/>
      </c>
      <c r="AL67" s="59" t="str">
        <f>IF(J67="","",VLOOKUP(J67,'Inputs Mapping'!$T$27:$V$30,3))</f>
        <v/>
      </c>
      <c r="AM67" s="59" t="str">
        <f>IF(J67="","",VLOOKUP(J67,'Inputs Mapping'!$T$17:$V$24,3))</f>
        <v/>
      </c>
      <c r="AN67" s="59" t="str">
        <f t="shared" si="13"/>
        <v/>
      </c>
      <c r="AO67" s="102" t="str">
        <f t="shared" si="14"/>
        <v/>
      </c>
      <c r="AP67" s="102" t="str">
        <f>IF(F67="","",IF(G67="Dubai",HLOOKUP(F67,Inputs!$C$26:$M$36,5,0),HLOOKUP(F67,Inputs!$C$45:$M$49,5,0)))</f>
        <v/>
      </c>
      <c r="AQ67" s="102">
        <f t="shared" si="15"/>
        <v>0</v>
      </c>
      <c r="AR67" s="59" t="str">
        <f>IF(AM67="","",IF(AQ67="Dubai",VLOOKUP(AM67,'Inputs Mapping'!$V$17:$W$24,2,0),VLOOKUP(AL67,'Inputs Mapping'!$V$27:$W$30,2,0)))</f>
        <v/>
      </c>
      <c r="AS67" s="333">
        <f>IFERROR(IF($AQ67="","",HLOOKUP($AQ67&amp;RIGHT($AO67,1),'input for formula'!$B$16:$I$20,3,0)),0)</f>
        <v>0</v>
      </c>
      <c r="AT67" s="80">
        <f>IFERROR(IF($AQ67="","",HLOOKUP($AQ67&amp;$F67,'input for formula'!$B$22:$M$25,2,0)),0)</f>
        <v>0</v>
      </c>
      <c r="AU67" s="333">
        <f>IFERROR(IF($AQ67="","",HLOOKUP($AQ67&amp;RIGHT($AO67,1),'input for formula'!$B$16:$I$20,4,0)),0)</f>
        <v>0</v>
      </c>
      <c r="AV67" s="80">
        <f>IFERROR(IF($AQ67="","",HLOOKUP($AQ67&amp;$F67,'input for formula'!$B$22:$M$25,3,0)),0)</f>
        <v>0</v>
      </c>
      <c r="AW67" s="333">
        <f>IFERROR(IF($AQ67="","",HLOOKUP($AQ67&amp;RIGHT($AO67,1),'input for formula'!$B$16:$I$20,5,0)),0)</f>
        <v>0</v>
      </c>
      <c r="AX67" s="80">
        <f>IFERROR(IF($AQ67="","",HLOOKUP($AQ67&amp;$F67,'input for formula'!$B$22:$M$25,4,0)),0)</f>
        <v>0</v>
      </c>
      <c r="AY67" s="333">
        <f>IFERROR(IF($AQ67="","",IF(Additions!$AQ67="Abu Dhabi",VLOOKUP(Additions!$AP67,'input for formula'!$A$28:$C$41,3,0),VLOOKUP(Additions!$AP67,'input for formula'!$A$28:$C$41,2,0))),0)*IFERROR(1+IF(AQ67="Dubai",VLOOKUP(F67,'Quotation for Dubai Plans'!$V$6:$X$12,3,FALSE),VLOOKUP(F67,'Quotation for Abu Dhabi Plans'!$W$6:$Y$12,3,FALSE)),0)</f>
        <v>0</v>
      </c>
      <c r="AZ67" s="80" t="str">
        <f t="shared" si="23"/>
        <v/>
      </c>
      <c r="BA67" s="106" t="str">
        <f>IFERROR(IF(AO67="","",IF(AQ67="Dubai",HLOOKUP((AO67&amp;AP67),Deviation!$B$7:$S$8,2,0)*BI67*BK67*BL67*BJ67,HLOOKUP((AO67&amp;AP67),Deviation!$B$9:$K$10,2,0)*BI67*BK67*BL67*BJ67)),0)</f>
        <v/>
      </c>
      <c r="BB67" s="107" t="e">
        <f>IF(AO67="","",IFERROR(IF(AO67="","",IF(AQ67="Dubai",HLOOKUP(BC67,'input for formula'!$B$3:$F$10,AR67,FALSE), IF(AND(H67="Employee",AQ67="Abu Dhabi"),HLOOKUP(BC67,'input for formula'!$I$3:$K$7,AR67,FALSE),HLOOKUP(BC67,'input for formula'!$M$3:$O$7,AR67,FALSE)))*BA67+AS67*AT67+AU67*AV67+AW67*AX67),0)*$BC$3)*IF(Inputs!$C$19&gt;100,(1+$BC$2),1)</f>
        <v>#VALUE!</v>
      </c>
      <c r="BC67" s="95" t="str">
        <f t="shared" si="22"/>
        <v/>
      </c>
      <c r="BD67" s="334" t="str">
        <f>IF(F67="","",IF(G67="Dubai",HLOOKUP(F67,Inputs!$C$26:$M$37,9,0),HLOOKUP(F67,Inputs!$C$45:$M$56,9,0)))</f>
        <v/>
      </c>
      <c r="BE67" s="335" t="str">
        <f>IF(F67="","",IF(G67="Dubai",HLOOKUP(F67,Inputs!$C$26:$M$37,10,0),HLOOKUP(F67,Inputs!$C$45:$M$56,10,0)))</f>
        <v/>
      </c>
      <c r="BF67" s="335" t="str">
        <f>IF(F67="","",IF(G67="Dubai",HLOOKUP(F67,Inputs!$C$26:$M$37,11,0),HLOOKUP(F67,Inputs!$C$45:$M$56,11,0)))</f>
        <v/>
      </c>
      <c r="BG67" s="334" t="str">
        <f>IF(F67="","",IF(G67="Dubai",HLOOKUP(F67,Inputs!$C$26:$M$37,12,0),HLOOKUP(F67,Inputs!$C$45:$M$56,12,0)))</f>
        <v/>
      </c>
      <c r="BI67" s="334" t="str">
        <f>IFERROR(IF(AO67="","",IF(AQ67="Dubai",IF(OR(AO67="Plan1",AO67="Plan2"),VLOOKUP(BD67,Deviation!$B$31:$D$33,2,FALSE),VLOOKUP(BD67,Deviation!$B$31:$D$33,3,FALSE)),IF(OR(AO67="Plan1",AO67="Plan2"),VLOOKUP(BD67,Deviation!$E$31:$G$33,2,FALSE),VLOOKUP(BD67,Deviation!$E$31:$G$33,3,FALSE)))),0)</f>
        <v/>
      </c>
      <c r="BJ67" s="336" t="str">
        <f>IFERROR(IF(AO67="","",IF(AQ67="Dubai",IF(AO67="Plan1",VLOOKUP(BE67,Deviation!$B$39:$C$40,2,FALSE),IF(AO67="Plan2",VLOOKUP(BE67,Deviation!$B$42:$C$43,2,FALSE),IF(AO67="Plan5",VLOOKUP(BE67,Deviation!$B$48:$C$49,2,FALSE),VLOOKUP(BE67,Deviation!$B$45:$C$46,2,FALSE)))),IF(AO67="Plan1",VLOOKUP(BE67,Deviation!$E$39:$F$40,2,FALSE),IF(AO67="Plan2",VLOOKUP(BE67,Deviation!$E$42:$F$43,2,FALSE),VLOOKUP(BE67,Deviation!$E$45:$F$46,2,FALSE))))),0)</f>
        <v/>
      </c>
      <c r="BK67" s="336" t="str">
        <f>IFERROR(IF(AO67="","",IF(AQ67="Dubai",IF(OR(AO67="Plan1",AO67="Plan2"),VLOOKUP(BF67,Deviation!$B$15:$D$18,2,FALSE),VLOOKUP(BF67,Deviation!$B$15:$D$18,3,FALSE)),IF(OR(AO67="Plan1",AO67="Plan2"),VLOOKUP(BF67,Deviation!$E$15:$G$18,2,FALSE),VLOOKUP(BF67,Deviation!$E$15:$G$18,3,FALSE)))),0)</f>
        <v/>
      </c>
      <c r="BL67" s="334" t="str">
        <f>IFERROR(IF(AO67="","",IF(AQ67="Dubai",VLOOKUP(BG67,Deviation!$B$24:$C$26,2,FALSE),100%)),0)</f>
        <v/>
      </c>
    </row>
    <row r="68" spans="1:64" ht="14.25" x14ac:dyDescent="0.2">
      <c r="A68" s="59">
        <v>63</v>
      </c>
      <c r="B68" s="298"/>
      <c r="C68" s="299"/>
      <c r="D68" s="298"/>
      <c r="E68" s="298"/>
      <c r="F68" s="298"/>
      <c r="G68" s="298"/>
      <c r="H68" s="298"/>
      <c r="I68" s="298"/>
      <c r="J68" s="80" t="str">
        <f>IFERROR(ROUNDDOWN(IF(C68="","",(MAX((eff_date-Additions!C68)/365.25,0))),0),"")</f>
        <v/>
      </c>
      <c r="K68" s="59" t="str">
        <f>IF(F68="","",IF(G68="Dubai",HLOOKUP(F68,Inputs!$C$26:$M$28,3,0),HLOOKUP(F68,Inputs!$C$45:$M$46,2,0)))</f>
        <v/>
      </c>
      <c r="L68" s="335" t="str">
        <f t="shared" si="24"/>
        <v/>
      </c>
      <c r="M68" s="335">
        <f t="shared" si="25"/>
        <v>0</v>
      </c>
      <c r="N68" s="335" t="str">
        <f t="shared" si="26"/>
        <v/>
      </c>
      <c r="O68" s="335">
        <f t="shared" si="27"/>
        <v>0</v>
      </c>
      <c r="P68" s="104"/>
      <c r="Q68" s="105">
        <f t="shared" si="16"/>
        <v>0</v>
      </c>
      <c r="R68" s="59" t="b">
        <f t="shared" si="4"/>
        <v>0</v>
      </c>
      <c r="S68" s="102" t="str">
        <f t="shared" si="17"/>
        <v>x</v>
      </c>
      <c r="T68" s="102" t="str">
        <f t="shared" si="28"/>
        <v>x</v>
      </c>
      <c r="U68" s="102" t="str">
        <f t="shared" si="29"/>
        <v>x</v>
      </c>
      <c r="V68" s="102" t="str">
        <f t="shared" si="30"/>
        <v>x</v>
      </c>
      <c r="W68" s="102" t="str">
        <f t="shared" si="31"/>
        <v>x</v>
      </c>
      <c r="X68" s="102" t="str">
        <f>IF(ISERROR(MATCH(G68,'Inputs Mapping'!$T$4:$T$5,0)),"x","")</f>
        <v>x</v>
      </c>
      <c r="Y68" s="102" t="str">
        <f>IF(ISERROR(MATCH(AE68,'Inputs Mapping'!$U$4:$U$5,0)),"x","")</f>
        <v>x</v>
      </c>
      <c r="Z68" s="102" t="str">
        <f>IF(ISERROR(MATCH(AF68,'Inputs Mapping'!$V$4:$V$5,0)),"x","")</f>
        <v>x</v>
      </c>
      <c r="AA68" s="102" t="str">
        <f>IF(ISERROR(MATCH(F68,'Inputs Mapping'!$W$4:$W$8,0)),"x","")</f>
        <v>x</v>
      </c>
      <c r="AB68" s="102" t="str">
        <f t="shared" si="9"/>
        <v/>
      </c>
      <c r="AC68" s="102" t="str">
        <f t="shared" si="10"/>
        <v/>
      </c>
      <c r="AD68" s="102" t="str">
        <f t="shared" si="32"/>
        <v/>
      </c>
      <c r="AE68" s="102" t="str">
        <f t="shared" si="18"/>
        <v/>
      </c>
      <c r="AF68" s="102" t="str">
        <f t="shared" si="19"/>
        <v/>
      </c>
      <c r="AG68" s="102" t="str">
        <f t="shared" si="20"/>
        <v>x</v>
      </c>
      <c r="AK68" s="95" t="str">
        <f t="shared" si="12"/>
        <v/>
      </c>
      <c r="AL68" s="59" t="str">
        <f>IF(J68="","",VLOOKUP(J68,'Inputs Mapping'!$T$27:$V$30,3))</f>
        <v/>
      </c>
      <c r="AM68" s="59" t="str">
        <f>IF(J68="","",VLOOKUP(J68,'Inputs Mapping'!$T$17:$V$24,3))</f>
        <v/>
      </c>
      <c r="AN68" s="59" t="str">
        <f t="shared" si="13"/>
        <v/>
      </c>
      <c r="AO68" s="102" t="str">
        <f t="shared" si="14"/>
        <v/>
      </c>
      <c r="AP68" s="102" t="str">
        <f>IF(F68="","",IF(G68="Dubai",HLOOKUP(F68,Inputs!$C$26:$M$36,5,0),HLOOKUP(F68,Inputs!$C$45:$M$49,5,0)))</f>
        <v/>
      </c>
      <c r="AQ68" s="102">
        <f t="shared" si="15"/>
        <v>0</v>
      </c>
      <c r="AR68" s="59" t="str">
        <f>IF(AM68="","",IF(AQ68="Dubai",VLOOKUP(AM68,'Inputs Mapping'!$V$17:$W$24,2,0),VLOOKUP(AL68,'Inputs Mapping'!$V$27:$W$30,2,0)))</f>
        <v/>
      </c>
      <c r="AS68" s="333">
        <f>IFERROR(IF($AQ68="","",HLOOKUP($AQ68&amp;RIGHT($AO68,1),'input for formula'!$B$16:$I$20,3,0)),0)</f>
        <v>0</v>
      </c>
      <c r="AT68" s="80">
        <f>IFERROR(IF($AQ68="","",HLOOKUP($AQ68&amp;$F68,'input for formula'!$B$22:$M$25,2,0)),0)</f>
        <v>0</v>
      </c>
      <c r="AU68" s="333">
        <f>IFERROR(IF($AQ68="","",HLOOKUP($AQ68&amp;RIGHT($AO68,1),'input for formula'!$B$16:$I$20,4,0)),0)</f>
        <v>0</v>
      </c>
      <c r="AV68" s="80">
        <f>IFERROR(IF($AQ68="","",HLOOKUP($AQ68&amp;$F68,'input for formula'!$B$22:$M$25,3,0)),0)</f>
        <v>0</v>
      </c>
      <c r="AW68" s="333">
        <f>IFERROR(IF($AQ68="","",HLOOKUP($AQ68&amp;RIGHT($AO68,1),'input for formula'!$B$16:$I$20,5,0)),0)</f>
        <v>0</v>
      </c>
      <c r="AX68" s="80">
        <f>IFERROR(IF($AQ68="","",HLOOKUP($AQ68&amp;$F68,'input for formula'!$B$22:$M$25,4,0)),0)</f>
        <v>0</v>
      </c>
      <c r="AY68" s="333">
        <f>IFERROR(IF($AQ68="","",IF(Additions!$AQ68="Abu Dhabi",VLOOKUP(Additions!$AP68,'input for formula'!$A$28:$C$41,3,0),VLOOKUP(Additions!$AP68,'input for formula'!$A$28:$C$41,2,0))),0)*IFERROR(1+IF(AQ68="Dubai",VLOOKUP(F68,'Quotation for Dubai Plans'!$V$6:$X$12,3,FALSE),VLOOKUP(F68,'Quotation for Abu Dhabi Plans'!$W$6:$Y$12,3,FALSE)),0)</f>
        <v>0</v>
      </c>
      <c r="AZ68" s="80" t="str">
        <f t="shared" si="23"/>
        <v/>
      </c>
      <c r="BA68" s="106" t="str">
        <f>IFERROR(IF(AO68="","",IF(AQ68="Dubai",HLOOKUP((AO68&amp;AP68),Deviation!$B$7:$S$8,2,0)*BI68*BK68*BL68*BJ68,HLOOKUP((AO68&amp;AP68),Deviation!$B$9:$K$10,2,0)*BI68*BK68*BL68*BJ68)),0)</f>
        <v/>
      </c>
      <c r="BB68" s="107" t="e">
        <f>IF(AO68="","",IFERROR(IF(AO68="","",IF(AQ68="Dubai",HLOOKUP(BC68,'input for formula'!$B$3:$F$10,AR68,FALSE), IF(AND(H68="Employee",AQ68="Abu Dhabi"),HLOOKUP(BC68,'input for formula'!$I$3:$K$7,AR68,FALSE),HLOOKUP(BC68,'input for formula'!$M$3:$O$7,AR68,FALSE)))*BA68+AS68*AT68+AU68*AV68+AW68*AX68),0)*$BC$3)*IF(Inputs!$C$19&gt;100,(1+$BC$2),1)</f>
        <v>#VALUE!</v>
      </c>
      <c r="BC68" s="95" t="str">
        <f t="shared" si="22"/>
        <v/>
      </c>
      <c r="BD68" s="334" t="str">
        <f>IF(F68="","",IF(G68="Dubai",HLOOKUP(F68,Inputs!$C$26:$M$37,9,0),HLOOKUP(F68,Inputs!$C$45:$M$56,9,0)))</f>
        <v/>
      </c>
      <c r="BE68" s="335" t="str">
        <f>IF(F68="","",IF(G68="Dubai",HLOOKUP(F68,Inputs!$C$26:$M$37,10,0),HLOOKUP(F68,Inputs!$C$45:$M$56,10,0)))</f>
        <v/>
      </c>
      <c r="BF68" s="335" t="str">
        <f>IF(F68="","",IF(G68="Dubai",HLOOKUP(F68,Inputs!$C$26:$M$37,11,0),HLOOKUP(F68,Inputs!$C$45:$M$56,11,0)))</f>
        <v/>
      </c>
      <c r="BG68" s="334" t="str">
        <f>IF(F68="","",IF(G68="Dubai",HLOOKUP(F68,Inputs!$C$26:$M$37,12,0),HLOOKUP(F68,Inputs!$C$45:$M$56,12,0)))</f>
        <v/>
      </c>
      <c r="BI68" s="334" t="str">
        <f>IFERROR(IF(AO68="","",IF(AQ68="Dubai",IF(OR(AO68="Plan1",AO68="Plan2"),VLOOKUP(BD68,Deviation!$B$31:$D$33,2,FALSE),VLOOKUP(BD68,Deviation!$B$31:$D$33,3,FALSE)),IF(OR(AO68="Plan1",AO68="Plan2"),VLOOKUP(BD68,Deviation!$E$31:$G$33,2,FALSE),VLOOKUP(BD68,Deviation!$E$31:$G$33,3,FALSE)))),0)</f>
        <v/>
      </c>
      <c r="BJ68" s="336" t="str">
        <f>IFERROR(IF(AO68="","",IF(AQ68="Dubai",IF(AO68="Plan1",VLOOKUP(BE68,Deviation!$B$39:$C$40,2,FALSE),IF(AO68="Plan2",VLOOKUP(BE68,Deviation!$B$42:$C$43,2,FALSE),IF(AO68="Plan5",VLOOKUP(BE68,Deviation!$B$48:$C$49,2,FALSE),VLOOKUP(BE68,Deviation!$B$45:$C$46,2,FALSE)))),IF(AO68="Plan1",VLOOKUP(BE68,Deviation!$E$39:$F$40,2,FALSE),IF(AO68="Plan2",VLOOKUP(BE68,Deviation!$E$42:$F$43,2,FALSE),VLOOKUP(BE68,Deviation!$E$45:$F$46,2,FALSE))))),0)</f>
        <v/>
      </c>
      <c r="BK68" s="336" t="str">
        <f>IFERROR(IF(AO68="","",IF(AQ68="Dubai",IF(OR(AO68="Plan1",AO68="Plan2"),VLOOKUP(BF68,Deviation!$B$15:$D$18,2,FALSE),VLOOKUP(BF68,Deviation!$B$15:$D$18,3,FALSE)),IF(OR(AO68="Plan1",AO68="Plan2"),VLOOKUP(BF68,Deviation!$E$15:$G$18,2,FALSE),VLOOKUP(BF68,Deviation!$E$15:$G$18,3,FALSE)))),0)</f>
        <v/>
      </c>
      <c r="BL68" s="334" t="str">
        <f>IFERROR(IF(AO68="","",IF(AQ68="Dubai",VLOOKUP(BG68,Deviation!$B$24:$C$26,2,FALSE),100%)),0)</f>
        <v/>
      </c>
    </row>
    <row r="69" spans="1:64" ht="14.25" x14ac:dyDescent="0.2">
      <c r="A69" s="59">
        <v>64</v>
      </c>
      <c r="B69" s="298"/>
      <c r="C69" s="299"/>
      <c r="D69" s="298"/>
      <c r="E69" s="298"/>
      <c r="F69" s="298"/>
      <c r="G69" s="298"/>
      <c r="H69" s="298"/>
      <c r="I69" s="298"/>
      <c r="J69" s="80" t="str">
        <f>IFERROR(ROUNDDOWN(IF(C69="","",(MAX((eff_date-Additions!C69)/365.25,0))),0),"")</f>
        <v/>
      </c>
      <c r="K69" s="59" t="str">
        <f>IF(F69="","",IF(G69="Dubai",HLOOKUP(F69,Inputs!$C$26:$M$28,3,0),HLOOKUP(F69,Inputs!$C$45:$M$46,2,0)))</f>
        <v/>
      </c>
      <c r="L69" s="335" t="str">
        <f t="shared" si="24"/>
        <v/>
      </c>
      <c r="M69" s="335">
        <f t="shared" si="25"/>
        <v>0</v>
      </c>
      <c r="N69" s="335" t="str">
        <f t="shared" si="26"/>
        <v/>
      </c>
      <c r="O69" s="335">
        <f t="shared" si="27"/>
        <v>0</v>
      </c>
      <c r="P69" s="104"/>
      <c r="Q69" s="105">
        <f t="shared" si="16"/>
        <v>0</v>
      </c>
      <c r="R69" s="59" t="b">
        <f t="shared" si="4"/>
        <v>0</v>
      </c>
      <c r="S69" s="102" t="str">
        <f t="shared" si="17"/>
        <v>x</v>
      </c>
      <c r="T69" s="102" t="str">
        <f t="shared" si="28"/>
        <v>x</v>
      </c>
      <c r="U69" s="102" t="str">
        <f t="shared" si="29"/>
        <v>x</v>
      </c>
      <c r="V69" s="102" t="str">
        <f t="shared" si="30"/>
        <v>x</v>
      </c>
      <c r="W69" s="102" t="str">
        <f t="shared" si="31"/>
        <v>x</v>
      </c>
      <c r="X69" s="102" t="str">
        <f>IF(ISERROR(MATCH(G69,'Inputs Mapping'!$T$4:$T$5,0)),"x","")</f>
        <v>x</v>
      </c>
      <c r="Y69" s="102" t="str">
        <f>IF(ISERROR(MATCH(AE69,'Inputs Mapping'!$U$4:$U$5,0)),"x","")</f>
        <v>x</v>
      </c>
      <c r="Z69" s="102" t="str">
        <f>IF(ISERROR(MATCH(AF69,'Inputs Mapping'!$V$4:$V$5,0)),"x","")</f>
        <v>x</v>
      </c>
      <c r="AA69" s="102" t="str">
        <f>IF(ISERROR(MATCH(F69,'Inputs Mapping'!$W$4:$W$8,0)),"x","")</f>
        <v>x</v>
      </c>
      <c r="AB69" s="102" t="str">
        <f t="shared" si="9"/>
        <v/>
      </c>
      <c r="AC69" s="102" t="str">
        <f t="shared" si="10"/>
        <v/>
      </c>
      <c r="AD69" s="102" t="str">
        <f t="shared" si="32"/>
        <v/>
      </c>
      <c r="AE69" s="102" t="str">
        <f t="shared" si="18"/>
        <v/>
      </c>
      <c r="AF69" s="102" t="str">
        <f t="shared" si="19"/>
        <v/>
      </c>
      <c r="AG69" s="102" t="str">
        <f t="shared" si="20"/>
        <v>x</v>
      </c>
      <c r="AK69" s="95" t="str">
        <f t="shared" si="12"/>
        <v/>
      </c>
      <c r="AL69" s="59" t="str">
        <f>IF(J69="","",VLOOKUP(J69,'Inputs Mapping'!$T$27:$V$30,3))</f>
        <v/>
      </c>
      <c r="AM69" s="59" t="str">
        <f>IF(J69="","",VLOOKUP(J69,'Inputs Mapping'!$T$17:$V$24,3))</f>
        <v/>
      </c>
      <c r="AN69" s="59" t="str">
        <f t="shared" si="13"/>
        <v/>
      </c>
      <c r="AO69" s="102" t="str">
        <f t="shared" si="14"/>
        <v/>
      </c>
      <c r="AP69" s="102" t="str">
        <f>IF(F69="","",IF(G69="Dubai",HLOOKUP(F69,Inputs!$C$26:$M$36,5,0),HLOOKUP(F69,Inputs!$C$45:$M$49,5,0)))</f>
        <v/>
      </c>
      <c r="AQ69" s="102">
        <f t="shared" si="15"/>
        <v>0</v>
      </c>
      <c r="AR69" s="59" t="str">
        <f>IF(AM69="","",IF(AQ69="Dubai",VLOOKUP(AM69,'Inputs Mapping'!$V$17:$W$24,2,0),VLOOKUP(AL69,'Inputs Mapping'!$V$27:$W$30,2,0)))</f>
        <v/>
      </c>
      <c r="AS69" s="333">
        <f>IFERROR(IF($AQ69="","",HLOOKUP($AQ69&amp;RIGHT($AO69,1),'input for formula'!$B$16:$I$20,3,0)),0)</f>
        <v>0</v>
      </c>
      <c r="AT69" s="80">
        <f>IFERROR(IF($AQ69="","",HLOOKUP($AQ69&amp;$F69,'input for formula'!$B$22:$M$25,2,0)),0)</f>
        <v>0</v>
      </c>
      <c r="AU69" s="333">
        <f>IFERROR(IF($AQ69="","",HLOOKUP($AQ69&amp;RIGHT($AO69,1),'input for formula'!$B$16:$I$20,4,0)),0)</f>
        <v>0</v>
      </c>
      <c r="AV69" s="80">
        <f>IFERROR(IF($AQ69="","",HLOOKUP($AQ69&amp;$F69,'input for formula'!$B$22:$M$25,3,0)),0)</f>
        <v>0</v>
      </c>
      <c r="AW69" s="333">
        <f>IFERROR(IF($AQ69="","",HLOOKUP($AQ69&amp;RIGHT($AO69,1),'input for formula'!$B$16:$I$20,5,0)),0)</f>
        <v>0</v>
      </c>
      <c r="AX69" s="80">
        <f>IFERROR(IF($AQ69="","",HLOOKUP($AQ69&amp;$F69,'input for formula'!$B$22:$M$25,4,0)),0)</f>
        <v>0</v>
      </c>
      <c r="AY69" s="333">
        <f>IFERROR(IF($AQ69="","",IF(Additions!$AQ69="Abu Dhabi",VLOOKUP(Additions!$AP69,'input for formula'!$A$28:$C$41,3,0),VLOOKUP(Additions!$AP69,'input for formula'!$A$28:$C$41,2,0))),0)*IFERROR(1+IF(AQ69="Dubai",VLOOKUP(F69,'Quotation for Dubai Plans'!$V$6:$X$12,3,FALSE),VLOOKUP(F69,'Quotation for Abu Dhabi Plans'!$W$6:$Y$12,3,FALSE)),0)</f>
        <v>0</v>
      </c>
      <c r="AZ69" s="80" t="str">
        <f t="shared" si="23"/>
        <v/>
      </c>
      <c r="BA69" s="106" t="str">
        <f>IFERROR(IF(AO69="","",IF(AQ69="Dubai",HLOOKUP((AO69&amp;AP69),Deviation!$B$7:$S$8,2,0)*BI69*BK69*BL69*BJ69,HLOOKUP((AO69&amp;AP69),Deviation!$B$9:$K$10,2,0)*BI69*BK69*BL69*BJ69)),0)</f>
        <v/>
      </c>
      <c r="BB69" s="107" t="e">
        <f>IF(AO69="","",IFERROR(IF(AO69="","",IF(AQ69="Dubai",HLOOKUP(BC69,'input for formula'!$B$3:$F$10,AR69,FALSE), IF(AND(H69="Employee",AQ69="Abu Dhabi"),HLOOKUP(BC69,'input for formula'!$I$3:$K$7,AR69,FALSE),HLOOKUP(BC69,'input for formula'!$M$3:$O$7,AR69,FALSE)))*BA69+AS69*AT69+AU69*AV69+AW69*AX69),0)*$BC$3)*IF(Inputs!$C$19&gt;100,(1+$BC$2),1)</f>
        <v>#VALUE!</v>
      </c>
      <c r="BC69" s="95" t="str">
        <f t="shared" si="22"/>
        <v/>
      </c>
      <c r="BD69" s="334" t="str">
        <f>IF(F69="","",IF(G69="Dubai",HLOOKUP(F69,Inputs!$C$26:$M$37,9,0),HLOOKUP(F69,Inputs!$C$45:$M$56,9,0)))</f>
        <v/>
      </c>
      <c r="BE69" s="335" t="str">
        <f>IF(F69="","",IF(G69="Dubai",HLOOKUP(F69,Inputs!$C$26:$M$37,10,0),HLOOKUP(F69,Inputs!$C$45:$M$56,10,0)))</f>
        <v/>
      </c>
      <c r="BF69" s="335" t="str">
        <f>IF(F69="","",IF(G69="Dubai",HLOOKUP(F69,Inputs!$C$26:$M$37,11,0),HLOOKUP(F69,Inputs!$C$45:$M$56,11,0)))</f>
        <v/>
      </c>
      <c r="BG69" s="334" t="str">
        <f>IF(F69="","",IF(G69="Dubai",HLOOKUP(F69,Inputs!$C$26:$M$37,12,0),HLOOKUP(F69,Inputs!$C$45:$M$56,12,0)))</f>
        <v/>
      </c>
      <c r="BI69" s="334" t="str">
        <f>IFERROR(IF(AO69="","",IF(AQ69="Dubai",IF(OR(AO69="Plan1",AO69="Plan2"),VLOOKUP(BD69,Deviation!$B$31:$D$33,2,FALSE),VLOOKUP(BD69,Deviation!$B$31:$D$33,3,FALSE)),IF(OR(AO69="Plan1",AO69="Plan2"),VLOOKUP(BD69,Deviation!$E$31:$G$33,2,FALSE),VLOOKUP(BD69,Deviation!$E$31:$G$33,3,FALSE)))),0)</f>
        <v/>
      </c>
      <c r="BJ69" s="336" t="str">
        <f>IFERROR(IF(AO69="","",IF(AQ69="Dubai",IF(AO69="Plan1",VLOOKUP(BE69,Deviation!$B$39:$C$40,2,FALSE),IF(AO69="Plan2",VLOOKUP(BE69,Deviation!$B$42:$C$43,2,FALSE),IF(AO69="Plan5",VLOOKUP(BE69,Deviation!$B$48:$C$49,2,FALSE),VLOOKUP(BE69,Deviation!$B$45:$C$46,2,FALSE)))),IF(AO69="Plan1",VLOOKUP(BE69,Deviation!$E$39:$F$40,2,FALSE),IF(AO69="Plan2",VLOOKUP(BE69,Deviation!$E$42:$F$43,2,FALSE),VLOOKUP(BE69,Deviation!$E$45:$F$46,2,FALSE))))),0)</f>
        <v/>
      </c>
      <c r="BK69" s="336" t="str">
        <f>IFERROR(IF(AO69="","",IF(AQ69="Dubai",IF(OR(AO69="Plan1",AO69="Plan2"),VLOOKUP(BF69,Deviation!$B$15:$D$18,2,FALSE),VLOOKUP(BF69,Deviation!$B$15:$D$18,3,FALSE)),IF(OR(AO69="Plan1",AO69="Plan2"),VLOOKUP(BF69,Deviation!$E$15:$G$18,2,FALSE),VLOOKUP(BF69,Deviation!$E$15:$G$18,3,FALSE)))),0)</f>
        <v/>
      </c>
      <c r="BL69" s="334" t="str">
        <f>IFERROR(IF(AO69="","",IF(AQ69="Dubai",VLOOKUP(BG69,Deviation!$B$24:$C$26,2,FALSE),100%)),0)</f>
        <v/>
      </c>
    </row>
    <row r="70" spans="1:64" ht="14.25" x14ac:dyDescent="0.2">
      <c r="A70" s="59">
        <v>65</v>
      </c>
      <c r="B70" s="298"/>
      <c r="C70" s="299"/>
      <c r="D70" s="298"/>
      <c r="E70" s="298"/>
      <c r="F70" s="298"/>
      <c r="G70" s="298"/>
      <c r="H70" s="298"/>
      <c r="I70" s="298"/>
      <c r="J70" s="80" t="str">
        <f>IFERROR(ROUNDDOWN(IF(C70="","",(MAX((eff_date-Additions!C70)/365.25,0))),0),"")</f>
        <v/>
      </c>
      <c r="K70" s="59" t="str">
        <f>IF(F70="","",IF(G70="Dubai",HLOOKUP(F70,Inputs!$C$26:$M$28,3,0),HLOOKUP(F70,Inputs!$C$45:$M$46,2,0)))</f>
        <v/>
      </c>
      <c r="L70" s="335" t="str">
        <f t="shared" ref="L70:L101" si="33">IF(OR(AG70="x",AD70="x",J70&gt;69),"",IFERROR(BB70/(1-Loadings),""))</f>
        <v/>
      </c>
      <c r="M70" s="335">
        <f t="shared" ref="M70:M101" si="34">IFERROR((AY70*AZ70)/(1-Loadings),0)</f>
        <v>0</v>
      </c>
      <c r="N70" s="335" t="str">
        <f t="shared" ref="N70:N101" si="35">IF(OR(AG70="x",AD70="x",J70&gt;69),"",IFERROR(BB70/(1-Loadings)*IFERROR(((end_date-I70+1)/365),0),""))</f>
        <v/>
      </c>
      <c r="O70" s="335">
        <f t="shared" ref="O70:O101" si="36">IFERROR((AY70*AZ70)/(1-Loadings),0)*IFERROR(((end_date-I70+1)/365),0)</f>
        <v>0</v>
      </c>
      <c r="P70" s="104"/>
      <c r="Q70" s="105">
        <f t="shared" si="16"/>
        <v>0</v>
      </c>
      <c r="R70" s="59" t="b">
        <f t="shared" ref="R70:R133" si="37">NOT(AND(ISBLANK(C70),ISBLANK(D70),ISBLANK(E70),ISBLANK(F70),ISBLANK(G70)))</f>
        <v>0</v>
      </c>
      <c r="S70" s="102" t="str">
        <f t="shared" si="17"/>
        <v>x</v>
      </c>
      <c r="T70" s="102" t="str">
        <f t="shared" ref="T70:T101" si="38">IF(ISBLANK(D70),"x","")</f>
        <v>x</v>
      </c>
      <c r="U70" s="102" t="str">
        <f t="shared" ref="U70:U101" si="39">IF(ISBLANK(E70),"x","")</f>
        <v>x</v>
      </c>
      <c r="V70" s="102" t="str">
        <f t="shared" ref="V70:V101" si="40">IF(ISBLANK(F70),"x","")</f>
        <v>x</v>
      </c>
      <c r="W70" s="102" t="str">
        <f t="shared" ref="W70:W101" si="41">IF(ISBLANK(G70),"x","")</f>
        <v>x</v>
      </c>
      <c r="X70" s="102" t="str">
        <f>IF(ISERROR(MATCH(G70,'Inputs Mapping'!$T$4:$T$5,0)),"x","")</f>
        <v>x</v>
      </c>
      <c r="Y70" s="102" t="str">
        <f>IF(ISERROR(MATCH(AE70,'Inputs Mapping'!$U$4:$U$5,0)),"x","")</f>
        <v>x</v>
      </c>
      <c r="Z70" s="102" t="str">
        <f>IF(ISERROR(MATCH(AF70,'Inputs Mapping'!$V$4:$V$5,0)),"x","")</f>
        <v>x</v>
      </c>
      <c r="AA70" s="102" t="str">
        <f>IF(ISERROR(MATCH(F70,'Inputs Mapping'!$W$4:$W$8,0)),"x","")</f>
        <v>x</v>
      </c>
      <c r="AB70" s="102" t="str">
        <f t="shared" ref="AB70:AB133" si="42">IF(ISBLANK(C70),"",IF(OR(ISERROR(J70),NOT(ISNUMBER(C70))),"x",""))</f>
        <v/>
      </c>
      <c r="AC70" s="102" t="str">
        <f t="shared" ref="AC70:AC133" si="43">IF(ISBLANK(C70),"",IF(ISERROR(J70),"",""))</f>
        <v/>
      </c>
      <c r="AD70" s="102" t="str">
        <f t="shared" ref="AD70:AD101" si="44">IF(ISBLANK(C70),"",IF(ISERROR(J70),"",IF(AND(eff_date-C70&lt;0,C70&lt;&gt;""),"x","")))</f>
        <v/>
      </c>
      <c r="AE70" s="102" t="str">
        <f t="shared" si="18"/>
        <v/>
      </c>
      <c r="AF70" s="102" t="str">
        <f t="shared" si="19"/>
        <v/>
      </c>
      <c r="AG70" s="102" t="str">
        <f t="shared" si="20"/>
        <v>x</v>
      </c>
      <c r="AK70" s="95" t="str">
        <f t="shared" ref="AK70:AK133" si="45">F70&amp;G70</f>
        <v/>
      </c>
      <c r="AL70" s="59" t="str">
        <f>IF(J70="","",VLOOKUP(J70,'Inputs Mapping'!$T$27:$V$30,3))</f>
        <v/>
      </c>
      <c r="AM70" s="59" t="str">
        <f>IF(J70="","",VLOOKUP(J70,'Inputs Mapping'!$T$17:$V$24,3))</f>
        <v/>
      </c>
      <c r="AN70" s="59" t="str">
        <f t="shared" ref="AN70:AN133" si="46">IF(G70="Dubai",IF(J70="","",1*AND(LEFT(AE70)="F",LEFT(AF70)="M",J70&gt;=$AN$3,J70&lt;$AN$4+1)),IF(J70="","",1*AND(LEFT(AE70)="F",LEFT(AF70)="M",J70&gt;=$AM$3,J70&lt;$AM$4+1)))</f>
        <v/>
      </c>
      <c r="AO70" s="102" t="str">
        <f t="shared" ref="AO70:AO133" si="47">K70</f>
        <v/>
      </c>
      <c r="AP70" s="102" t="str">
        <f>IF(F70="","",IF(G70="Dubai",HLOOKUP(F70,Inputs!$C$26:$M$36,5,0),HLOOKUP(F70,Inputs!$C$45:$M$49,5,0)))</f>
        <v/>
      </c>
      <c r="AQ70" s="102">
        <f t="shared" ref="AQ70:AQ133" si="48">G70</f>
        <v>0</v>
      </c>
      <c r="AR70" s="59" t="str">
        <f>IF(AM70="","",IF(AQ70="Dubai",VLOOKUP(AM70,'Inputs Mapping'!$V$17:$W$24,2,0),VLOOKUP(AL70,'Inputs Mapping'!$V$27:$W$30,2,0)))</f>
        <v/>
      </c>
      <c r="AS70" s="333">
        <f>IFERROR(IF($AQ70="","",HLOOKUP($AQ70&amp;RIGHT($AO70,1),'input for formula'!$B$16:$I$20,3,0)),0)</f>
        <v>0</v>
      </c>
      <c r="AT70" s="80">
        <f>IFERROR(IF($AQ70="","",HLOOKUP($AQ70&amp;$F70,'input for formula'!$B$22:$M$25,2,0)),0)</f>
        <v>0</v>
      </c>
      <c r="AU70" s="333">
        <f>IFERROR(IF($AQ70="","",HLOOKUP($AQ70&amp;RIGHT($AO70,1),'input for formula'!$B$16:$I$20,4,0)),0)</f>
        <v>0</v>
      </c>
      <c r="AV70" s="80">
        <f>IFERROR(IF($AQ70="","",HLOOKUP($AQ70&amp;$F70,'input for formula'!$B$22:$M$25,3,0)),0)</f>
        <v>0</v>
      </c>
      <c r="AW70" s="333">
        <f>IFERROR(IF($AQ70="","",HLOOKUP($AQ70&amp;RIGHT($AO70,1),'input for formula'!$B$16:$I$20,5,0)),0)</f>
        <v>0</v>
      </c>
      <c r="AX70" s="80">
        <f>IFERROR(IF($AQ70="","",HLOOKUP($AQ70&amp;$F70,'input for formula'!$B$22:$M$25,4,0)),0)</f>
        <v>0</v>
      </c>
      <c r="AY70" s="333">
        <f>IFERROR(IF($AQ70="","",IF(Additions!$AQ70="Abu Dhabi",VLOOKUP(Additions!$AP70,'input for formula'!$A$28:$C$41,3,0),VLOOKUP(Additions!$AP70,'input for formula'!$A$28:$C$41,2,0))),0)*IFERROR(1+IF(AQ70="Dubai",VLOOKUP(F70,'Quotation for Dubai Plans'!$V$6:$X$12,3,FALSE),VLOOKUP(F70,'Quotation for Abu Dhabi Plans'!$W$6:$Y$12,3,FALSE)),0)</f>
        <v>0</v>
      </c>
      <c r="AZ70" s="80" t="str">
        <f t="shared" si="23"/>
        <v/>
      </c>
      <c r="BA70" s="106" t="str">
        <f>IFERROR(IF(AO70="","",IF(AQ70="Dubai",HLOOKUP((AO70&amp;AP70),Deviation!$B$7:$S$8,2,0)*BI70*BK70*BL70*BJ70,HLOOKUP((AO70&amp;AP70),Deviation!$B$9:$K$10,2,0)*BI70*BK70*BL70*BJ70)),0)</f>
        <v/>
      </c>
      <c r="BB70" s="107" t="e">
        <f>IF(AO70="","",IFERROR(IF(AO70="","",IF(AQ70="Dubai",HLOOKUP(BC70,'input for formula'!$B$3:$F$10,AR70,FALSE), IF(AND(H70="Employee",AQ70="Abu Dhabi"),HLOOKUP(BC70,'input for formula'!$I$3:$K$7,AR70,FALSE),HLOOKUP(BC70,'input for formula'!$M$3:$O$7,AR70,FALSE)))*BA70+AS70*AT70+AU70*AV70+AW70*AX70),0)*$BC$3)*IF(Inputs!$C$19&gt;100,(1+$BC$2),1)</f>
        <v>#VALUE!</v>
      </c>
      <c r="BC70" s="95" t="str">
        <f t="shared" si="22"/>
        <v/>
      </c>
      <c r="BD70" s="334" t="str">
        <f>IF(F70="","",IF(G70="Dubai",HLOOKUP(F70,Inputs!$C$26:$M$37,9,0),HLOOKUP(F70,Inputs!$C$45:$M$56,9,0)))</f>
        <v/>
      </c>
      <c r="BE70" s="335" t="str">
        <f>IF(F70="","",IF(G70="Dubai",HLOOKUP(F70,Inputs!$C$26:$M$37,10,0),HLOOKUP(F70,Inputs!$C$45:$M$56,10,0)))</f>
        <v/>
      </c>
      <c r="BF70" s="335" t="str">
        <f>IF(F70="","",IF(G70="Dubai",HLOOKUP(F70,Inputs!$C$26:$M$37,11,0),HLOOKUP(F70,Inputs!$C$45:$M$56,11,0)))</f>
        <v/>
      </c>
      <c r="BG70" s="334" t="str">
        <f>IF(F70="","",IF(G70="Dubai",HLOOKUP(F70,Inputs!$C$26:$M$37,12,0),HLOOKUP(F70,Inputs!$C$45:$M$56,12,0)))</f>
        <v/>
      </c>
      <c r="BI70" s="334" t="str">
        <f>IFERROR(IF(AO70="","",IF(AQ70="Dubai",IF(OR(AO70="Plan1",AO70="Plan2"),VLOOKUP(BD70,Deviation!$B$31:$D$33,2,FALSE),VLOOKUP(BD70,Deviation!$B$31:$D$33,3,FALSE)),IF(OR(AO70="Plan1",AO70="Plan2"),VLOOKUP(BD70,Deviation!$E$31:$G$33,2,FALSE),VLOOKUP(BD70,Deviation!$E$31:$G$33,3,FALSE)))),0)</f>
        <v/>
      </c>
      <c r="BJ70" s="336" t="str">
        <f>IFERROR(IF(AO70="","",IF(AQ70="Dubai",IF(AO70="Plan1",VLOOKUP(BE70,Deviation!$B$39:$C$40,2,FALSE),IF(AO70="Plan2",VLOOKUP(BE70,Deviation!$B$42:$C$43,2,FALSE),IF(AO70="Plan5",VLOOKUP(BE70,Deviation!$B$48:$C$49,2,FALSE),VLOOKUP(BE70,Deviation!$B$45:$C$46,2,FALSE)))),IF(AO70="Plan1",VLOOKUP(BE70,Deviation!$E$39:$F$40,2,FALSE),IF(AO70="Plan2",VLOOKUP(BE70,Deviation!$E$42:$F$43,2,FALSE),VLOOKUP(BE70,Deviation!$E$45:$F$46,2,FALSE))))),0)</f>
        <v/>
      </c>
      <c r="BK70" s="336" t="str">
        <f>IFERROR(IF(AO70="","",IF(AQ70="Dubai",IF(OR(AO70="Plan1",AO70="Plan2"),VLOOKUP(BF70,Deviation!$B$15:$D$18,2,FALSE),VLOOKUP(BF70,Deviation!$B$15:$D$18,3,FALSE)),IF(OR(AO70="Plan1",AO70="Plan2"),VLOOKUP(BF70,Deviation!$E$15:$G$18,2,FALSE),VLOOKUP(BF70,Deviation!$E$15:$G$18,3,FALSE)))),0)</f>
        <v/>
      </c>
      <c r="BL70" s="334" t="str">
        <f>IFERROR(IF(AO70="","",IF(AQ70="Dubai",VLOOKUP(BG70,Deviation!$B$24:$C$26,2,FALSE),100%)),0)</f>
        <v/>
      </c>
    </row>
    <row r="71" spans="1:64" ht="14.25" x14ac:dyDescent="0.2">
      <c r="A71" s="59">
        <v>66</v>
      </c>
      <c r="B71" s="298"/>
      <c r="C71" s="299"/>
      <c r="D71" s="298"/>
      <c r="E71" s="298"/>
      <c r="F71" s="298"/>
      <c r="G71" s="298"/>
      <c r="H71" s="298"/>
      <c r="I71" s="298"/>
      <c r="J71" s="80" t="str">
        <f>IFERROR(ROUNDDOWN(IF(C71="","",(MAX((eff_date-Additions!C71)/365.25,0))),0),"")</f>
        <v/>
      </c>
      <c r="K71" s="59" t="str">
        <f>IF(F71="","",IF(G71="Dubai",HLOOKUP(F71,Inputs!$C$26:$M$28,3,0),HLOOKUP(F71,Inputs!$C$45:$M$46,2,0)))</f>
        <v/>
      </c>
      <c r="L71" s="335" t="str">
        <f t="shared" si="33"/>
        <v/>
      </c>
      <c r="M71" s="335">
        <f t="shared" si="34"/>
        <v>0</v>
      </c>
      <c r="N71" s="335" t="str">
        <f t="shared" si="35"/>
        <v/>
      </c>
      <c r="O71" s="335">
        <f t="shared" si="36"/>
        <v>0</v>
      </c>
      <c r="P71" s="104"/>
      <c r="Q71" s="105">
        <f t="shared" ref="Q71:Q134" si="49">IF(R71,IF(COUNTIF(R71:AG71,"x")=0,1,IF(OR(S71="x",T71="x",U71="×",V71="x",W71="x",X71="x",Z71="x",Y71="x",AA71="x",AB71="x",AC71="x",AD71="x",AG71="x"),-2,-1)),0)</f>
        <v>0</v>
      </c>
      <c r="R71" s="59" t="b">
        <f t="shared" si="37"/>
        <v>0</v>
      </c>
      <c r="S71" s="102" t="str">
        <f t="shared" ref="S71:S134" si="50">IF(OR(ISBLANK(C71),J71&gt;69),"x","")</f>
        <v>x</v>
      </c>
      <c r="T71" s="102" t="str">
        <f t="shared" si="38"/>
        <v>x</v>
      </c>
      <c r="U71" s="102" t="str">
        <f t="shared" si="39"/>
        <v>x</v>
      </c>
      <c r="V71" s="102" t="str">
        <f t="shared" si="40"/>
        <v>x</v>
      </c>
      <c r="W71" s="102" t="str">
        <f t="shared" si="41"/>
        <v>x</v>
      </c>
      <c r="X71" s="102" t="str">
        <f>IF(ISERROR(MATCH(G71,'Inputs Mapping'!$T$4:$T$5,0)),"x","")</f>
        <v>x</v>
      </c>
      <c r="Y71" s="102" t="str">
        <f>IF(ISERROR(MATCH(AE71,'Inputs Mapping'!$U$4:$U$5,0)),"x","")</f>
        <v>x</v>
      </c>
      <c r="Z71" s="102" t="str">
        <f>IF(ISERROR(MATCH(AF71,'Inputs Mapping'!$V$4:$V$5,0)),"x","")</f>
        <v>x</v>
      </c>
      <c r="AA71" s="102" t="str">
        <f>IF(ISERROR(MATCH(F71,'Inputs Mapping'!$W$4:$W$8,0)),"x","")</f>
        <v>x</v>
      </c>
      <c r="AB71" s="102" t="str">
        <f t="shared" si="42"/>
        <v/>
      </c>
      <c r="AC71" s="102" t="str">
        <f t="shared" si="43"/>
        <v/>
      </c>
      <c r="AD71" s="102" t="str">
        <f t="shared" si="44"/>
        <v/>
      </c>
      <c r="AE71" s="102" t="str">
        <f t="shared" ref="AE71:AE134" si="51">IF(D71="","",IF(LEFT(D71,1)="M","M",IF(LEFT(D71,1)="F","F","")))</f>
        <v/>
      </c>
      <c r="AF71" s="102" t="str">
        <f t="shared" ref="AF71:AF134" si="52">IF(E71="","",IF(LEFT(E71)="M","M",IF(LEFT(E71)="S","S","")))</f>
        <v/>
      </c>
      <c r="AG71" s="102" t="str">
        <f t="shared" ref="AG71:AG134" si="53">IF(AND(OR(G71="Dubai",G71="Abu Dhabi"),H71="Employee",J71&gt;=18),"",IF(AND(OR(G71="Dubai",G71="Abu Dhabi"),H71="Dependent"),"","x"))</f>
        <v>x</v>
      </c>
      <c r="AK71" s="95" t="str">
        <f t="shared" si="45"/>
        <v/>
      </c>
      <c r="AL71" s="59" t="str">
        <f>IF(J71="","",VLOOKUP(J71,'Inputs Mapping'!$T$27:$V$30,3))</f>
        <v/>
      </c>
      <c r="AM71" s="59" t="str">
        <f>IF(J71="","",VLOOKUP(J71,'Inputs Mapping'!$T$17:$V$24,3))</f>
        <v/>
      </c>
      <c r="AN71" s="59" t="str">
        <f t="shared" si="46"/>
        <v/>
      </c>
      <c r="AO71" s="102" t="str">
        <f t="shared" si="47"/>
        <v/>
      </c>
      <c r="AP71" s="102" t="str">
        <f>IF(F71="","",IF(G71="Dubai",HLOOKUP(F71,Inputs!$C$26:$M$36,5,0),HLOOKUP(F71,Inputs!$C$45:$M$49,5,0)))</f>
        <v/>
      </c>
      <c r="AQ71" s="102">
        <f t="shared" si="48"/>
        <v>0</v>
      </c>
      <c r="AR71" s="59" t="str">
        <f>IF(AM71="","",IF(AQ71="Dubai",VLOOKUP(AM71,'Inputs Mapping'!$V$17:$W$24,2,0),VLOOKUP(AL71,'Inputs Mapping'!$V$27:$W$30,2,0)))</f>
        <v/>
      </c>
      <c r="AS71" s="333">
        <f>IFERROR(IF($AQ71="","",HLOOKUP($AQ71&amp;RIGHT($AO71,1),'input for formula'!$B$16:$I$20,3,0)),0)</f>
        <v>0</v>
      </c>
      <c r="AT71" s="80">
        <f>IFERROR(IF($AQ71="","",HLOOKUP($AQ71&amp;$F71,'input for formula'!$B$22:$M$25,2,0)),0)</f>
        <v>0</v>
      </c>
      <c r="AU71" s="333">
        <f>IFERROR(IF($AQ71="","",HLOOKUP($AQ71&amp;RIGHT($AO71,1),'input for formula'!$B$16:$I$20,4,0)),0)</f>
        <v>0</v>
      </c>
      <c r="AV71" s="80">
        <f>IFERROR(IF($AQ71="","",HLOOKUP($AQ71&amp;$F71,'input for formula'!$B$22:$M$25,3,0)),0)</f>
        <v>0</v>
      </c>
      <c r="AW71" s="333">
        <f>IFERROR(IF($AQ71="","",HLOOKUP($AQ71&amp;RIGHT($AO71,1),'input for formula'!$B$16:$I$20,5,0)),0)</f>
        <v>0</v>
      </c>
      <c r="AX71" s="80">
        <f>IFERROR(IF($AQ71="","",HLOOKUP($AQ71&amp;$F71,'input for formula'!$B$22:$M$25,4,0)),0)</f>
        <v>0</v>
      </c>
      <c r="AY71" s="333">
        <f>IFERROR(IF($AQ71="","",IF(Additions!$AQ71="Abu Dhabi",VLOOKUP(Additions!$AP71,'input for formula'!$A$28:$C$41,3,0),VLOOKUP(Additions!$AP71,'input for formula'!$A$28:$C$41,2,0))),0)*IFERROR(1+IF(AQ71="Dubai",VLOOKUP(F71,'Quotation for Dubai Plans'!$V$6:$X$12,3,FALSE),VLOOKUP(F71,'Quotation for Abu Dhabi Plans'!$W$6:$Y$12,3,FALSE)),0)</f>
        <v>0</v>
      </c>
      <c r="AZ71" s="80" t="str">
        <f t="shared" si="23"/>
        <v/>
      </c>
      <c r="BA71" s="106" t="str">
        <f>IFERROR(IF(AO71="","",IF(AQ71="Dubai",HLOOKUP((AO71&amp;AP71),Deviation!$B$7:$S$8,2,0)*BI71*BK71*BL71*BJ71,HLOOKUP((AO71&amp;AP71),Deviation!$B$9:$K$10,2,0)*BI71*BK71*BL71*BJ71)),0)</f>
        <v/>
      </c>
      <c r="BB71" s="107" t="e">
        <f>IF(AO71="","",IFERROR(IF(AO71="","",IF(AQ71="Dubai",HLOOKUP(BC71,'input for formula'!$B$3:$F$10,AR71,FALSE), IF(AND(H71="Employee",AQ71="Abu Dhabi"),HLOOKUP(BC71,'input for formula'!$I$3:$K$7,AR71,FALSE),HLOOKUP(BC71,'input for formula'!$M$3:$O$7,AR71,FALSE)))*BA71+AS71*AT71+AU71*AV71+AW71*AX71),0)*$BC$3)*IF(Inputs!$C$19&gt;100,(1+$BC$2),1)</f>
        <v>#VALUE!</v>
      </c>
      <c r="BC71" s="95" t="str">
        <f t="shared" ref="BC71:BC134" si="54">IF(AO71="","",IF(AQ71="","",AQ71&amp;RIGHT(AO71,1)))</f>
        <v/>
      </c>
      <c r="BD71" s="334" t="str">
        <f>IF(F71="","",IF(G71="Dubai",HLOOKUP(F71,Inputs!$C$26:$M$37,9,0),HLOOKUP(F71,Inputs!$C$45:$M$56,9,0)))</f>
        <v/>
      </c>
      <c r="BE71" s="335" t="str">
        <f>IF(F71="","",IF(G71="Dubai",HLOOKUP(F71,Inputs!$C$26:$M$37,10,0),HLOOKUP(F71,Inputs!$C$45:$M$56,10,0)))</f>
        <v/>
      </c>
      <c r="BF71" s="335" t="str">
        <f>IF(F71="","",IF(G71="Dubai",HLOOKUP(F71,Inputs!$C$26:$M$37,11,0),HLOOKUP(F71,Inputs!$C$45:$M$56,11,0)))</f>
        <v/>
      </c>
      <c r="BG71" s="334" t="str">
        <f>IF(F71="","",IF(G71="Dubai",HLOOKUP(F71,Inputs!$C$26:$M$37,12,0),HLOOKUP(F71,Inputs!$C$45:$M$56,12,0)))</f>
        <v/>
      </c>
      <c r="BI71" s="334" t="str">
        <f>IFERROR(IF(AO71="","",IF(AQ71="Dubai",IF(OR(AO71="Plan1",AO71="Plan2"),VLOOKUP(BD71,Deviation!$B$31:$D$33,2,FALSE),VLOOKUP(BD71,Deviation!$B$31:$D$33,3,FALSE)),IF(OR(AO71="Plan1",AO71="Plan2"),VLOOKUP(BD71,Deviation!$E$31:$G$33,2,FALSE),VLOOKUP(BD71,Deviation!$E$31:$G$33,3,FALSE)))),0)</f>
        <v/>
      </c>
      <c r="BJ71" s="336" t="str">
        <f>IFERROR(IF(AO71="","",IF(AQ71="Dubai",IF(AO71="Plan1",VLOOKUP(BE71,Deviation!$B$39:$C$40,2,FALSE),IF(AO71="Plan2",VLOOKUP(BE71,Deviation!$B$42:$C$43,2,FALSE),IF(AO71="Plan5",VLOOKUP(BE71,Deviation!$B$48:$C$49,2,FALSE),VLOOKUP(BE71,Deviation!$B$45:$C$46,2,FALSE)))),IF(AO71="Plan1",VLOOKUP(BE71,Deviation!$E$39:$F$40,2,FALSE),IF(AO71="Plan2",VLOOKUP(BE71,Deviation!$E$42:$F$43,2,FALSE),VLOOKUP(BE71,Deviation!$E$45:$F$46,2,FALSE))))),0)</f>
        <v/>
      </c>
      <c r="BK71" s="336" t="str">
        <f>IFERROR(IF(AO71="","",IF(AQ71="Dubai",IF(OR(AO71="Plan1",AO71="Plan2"),VLOOKUP(BF71,Deviation!$B$15:$D$18,2,FALSE),VLOOKUP(BF71,Deviation!$B$15:$D$18,3,FALSE)),IF(OR(AO71="Plan1",AO71="Plan2"),VLOOKUP(BF71,Deviation!$E$15:$G$18,2,FALSE),VLOOKUP(BF71,Deviation!$E$15:$G$18,3,FALSE)))),0)</f>
        <v/>
      </c>
      <c r="BL71" s="334" t="str">
        <f>IFERROR(IF(AO71="","",IF(AQ71="Dubai",VLOOKUP(BG71,Deviation!$B$24:$C$26,2,FALSE),100%)),0)</f>
        <v/>
      </c>
    </row>
    <row r="72" spans="1:64" ht="14.25" x14ac:dyDescent="0.2">
      <c r="A72" s="59">
        <v>67</v>
      </c>
      <c r="B72" s="298"/>
      <c r="C72" s="299"/>
      <c r="D72" s="298"/>
      <c r="E72" s="298"/>
      <c r="F72" s="298"/>
      <c r="G72" s="298"/>
      <c r="H72" s="298"/>
      <c r="I72" s="298"/>
      <c r="J72" s="80" t="str">
        <f>IFERROR(ROUNDDOWN(IF(C72="","",(MAX((eff_date-Additions!C72)/365.25,0))),0),"")</f>
        <v/>
      </c>
      <c r="K72" s="59" t="str">
        <f>IF(F72="","",IF(G72="Dubai",HLOOKUP(F72,Inputs!$C$26:$M$28,3,0),HLOOKUP(F72,Inputs!$C$45:$M$46,2,0)))</f>
        <v/>
      </c>
      <c r="L72" s="335" t="str">
        <f t="shared" si="33"/>
        <v/>
      </c>
      <c r="M72" s="335">
        <f t="shared" si="34"/>
        <v>0</v>
      </c>
      <c r="N72" s="335" t="str">
        <f t="shared" si="35"/>
        <v/>
      </c>
      <c r="O72" s="335">
        <f t="shared" si="36"/>
        <v>0</v>
      </c>
      <c r="P72" s="104"/>
      <c r="Q72" s="105">
        <f t="shared" si="49"/>
        <v>0</v>
      </c>
      <c r="R72" s="59" t="b">
        <f t="shared" si="37"/>
        <v>0</v>
      </c>
      <c r="S72" s="102" t="str">
        <f t="shared" si="50"/>
        <v>x</v>
      </c>
      <c r="T72" s="102" t="str">
        <f t="shared" si="38"/>
        <v>x</v>
      </c>
      <c r="U72" s="102" t="str">
        <f t="shared" si="39"/>
        <v>x</v>
      </c>
      <c r="V72" s="102" t="str">
        <f t="shared" si="40"/>
        <v>x</v>
      </c>
      <c r="W72" s="102" t="str">
        <f t="shared" si="41"/>
        <v>x</v>
      </c>
      <c r="X72" s="102" t="str">
        <f>IF(ISERROR(MATCH(G72,'Inputs Mapping'!$T$4:$T$5,0)),"x","")</f>
        <v>x</v>
      </c>
      <c r="Y72" s="102" t="str">
        <f>IF(ISERROR(MATCH(AE72,'Inputs Mapping'!$U$4:$U$5,0)),"x","")</f>
        <v>x</v>
      </c>
      <c r="Z72" s="102" t="str">
        <f>IF(ISERROR(MATCH(AF72,'Inputs Mapping'!$V$4:$V$5,0)),"x","")</f>
        <v>x</v>
      </c>
      <c r="AA72" s="102" t="str">
        <f>IF(ISERROR(MATCH(F72,'Inputs Mapping'!$W$4:$W$8,0)),"x","")</f>
        <v>x</v>
      </c>
      <c r="AB72" s="102" t="str">
        <f t="shared" si="42"/>
        <v/>
      </c>
      <c r="AC72" s="102" t="str">
        <f t="shared" si="43"/>
        <v/>
      </c>
      <c r="AD72" s="102" t="str">
        <f t="shared" si="44"/>
        <v/>
      </c>
      <c r="AE72" s="102" t="str">
        <f t="shared" si="51"/>
        <v/>
      </c>
      <c r="AF72" s="102" t="str">
        <f t="shared" si="52"/>
        <v/>
      </c>
      <c r="AG72" s="102" t="str">
        <f t="shared" si="53"/>
        <v>x</v>
      </c>
      <c r="AK72" s="95" t="str">
        <f t="shared" si="45"/>
        <v/>
      </c>
      <c r="AL72" s="59" t="str">
        <f>IF(J72="","",VLOOKUP(J72,'Inputs Mapping'!$T$27:$V$30,3))</f>
        <v/>
      </c>
      <c r="AM72" s="59" t="str">
        <f>IF(J72="","",VLOOKUP(J72,'Inputs Mapping'!$T$17:$V$24,3))</f>
        <v/>
      </c>
      <c r="AN72" s="59" t="str">
        <f t="shared" si="46"/>
        <v/>
      </c>
      <c r="AO72" s="102" t="str">
        <f t="shared" si="47"/>
        <v/>
      </c>
      <c r="AP72" s="102" t="str">
        <f>IF(F72="","",IF(G72="Dubai",HLOOKUP(F72,Inputs!$C$26:$M$36,5,0),HLOOKUP(F72,Inputs!$C$45:$M$49,5,0)))</f>
        <v/>
      </c>
      <c r="AQ72" s="102">
        <f t="shared" si="48"/>
        <v>0</v>
      </c>
      <c r="AR72" s="59" t="str">
        <f>IF(AM72="","",IF(AQ72="Dubai",VLOOKUP(AM72,'Inputs Mapping'!$V$17:$W$24,2,0),VLOOKUP(AL72,'Inputs Mapping'!$V$27:$W$30,2,0)))</f>
        <v/>
      </c>
      <c r="AS72" s="333">
        <f>IFERROR(IF($AQ72="","",HLOOKUP($AQ72&amp;RIGHT($AO72,1),'input for formula'!$B$16:$I$20,3,0)),0)</f>
        <v>0</v>
      </c>
      <c r="AT72" s="80">
        <f>IFERROR(IF($AQ72="","",HLOOKUP($AQ72&amp;$F72,'input for formula'!$B$22:$M$25,2,0)),0)</f>
        <v>0</v>
      </c>
      <c r="AU72" s="333">
        <f>IFERROR(IF($AQ72="","",HLOOKUP($AQ72&amp;RIGHT($AO72,1),'input for formula'!$B$16:$I$20,4,0)),0)</f>
        <v>0</v>
      </c>
      <c r="AV72" s="80">
        <f>IFERROR(IF($AQ72="","",HLOOKUP($AQ72&amp;$F72,'input for formula'!$B$22:$M$25,3,0)),0)</f>
        <v>0</v>
      </c>
      <c r="AW72" s="333">
        <f>IFERROR(IF($AQ72="","",HLOOKUP($AQ72&amp;RIGHT($AO72,1),'input for formula'!$B$16:$I$20,5,0)),0)</f>
        <v>0</v>
      </c>
      <c r="AX72" s="80">
        <f>IFERROR(IF($AQ72="","",HLOOKUP($AQ72&amp;$F72,'input for formula'!$B$22:$M$25,4,0)),0)</f>
        <v>0</v>
      </c>
      <c r="AY72" s="333">
        <f>IFERROR(IF($AQ72="","",IF(Additions!$AQ72="Abu Dhabi",VLOOKUP(Additions!$AP72,'input for formula'!$A$28:$C$41,3,0),VLOOKUP(Additions!$AP72,'input for formula'!$A$28:$C$41,2,0))),0)*IFERROR(1+IF(AQ72="Dubai",VLOOKUP(F72,'Quotation for Dubai Plans'!$V$6:$X$12,3,FALSE),VLOOKUP(F72,'Quotation for Abu Dhabi Plans'!$W$6:$Y$12,3,FALSE)),0)</f>
        <v>0</v>
      </c>
      <c r="AZ72" s="80" t="str">
        <f t="shared" si="23"/>
        <v/>
      </c>
      <c r="BA72" s="106" t="str">
        <f>IFERROR(IF(AO72="","",IF(AQ72="Dubai",HLOOKUP((AO72&amp;AP72),Deviation!$B$7:$S$8,2,0)*BI72*BK72*BL72*BJ72,HLOOKUP((AO72&amp;AP72),Deviation!$B$9:$K$10,2,0)*BI72*BK72*BL72*BJ72)),0)</f>
        <v/>
      </c>
      <c r="BB72" s="107" t="e">
        <f>IF(AO72="","",IFERROR(IF(AO72="","",IF(AQ72="Dubai",HLOOKUP(BC72,'input for formula'!$B$3:$F$10,AR72,FALSE), IF(AND(H72="Employee",AQ72="Abu Dhabi"),HLOOKUP(BC72,'input for formula'!$I$3:$K$7,AR72,FALSE),HLOOKUP(BC72,'input for formula'!$M$3:$O$7,AR72,FALSE)))*BA72+AS72*AT72+AU72*AV72+AW72*AX72),0)*$BC$3)*IF(Inputs!$C$19&gt;100,(1+$BC$2),1)</f>
        <v>#VALUE!</v>
      </c>
      <c r="BC72" s="95" t="str">
        <f t="shared" si="54"/>
        <v/>
      </c>
      <c r="BD72" s="334" t="str">
        <f>IF(F72="","",IF(G72="Dubai",HLOOKUP(F72,Inputs!$C$26:$M$37,9,0),HLOOKUP(F72,Inputs!$C$45:$M$56,9,0)))</f>
        <v/>
      </c>
      <c r="BE72" s="335" t="str">
        <f>IF(F72="","",IF(G72="Dubai",HLOOKUP(F72,Inputs!$C$26:$M$37,10,0),HLOOKUP(F72,Inputs!$C$45:$M$56,10,0)))</f>
        <v/>
      </c>
      <c r="BF72" s="335" t="str">
        <f>IF(F72="","",IF(G72="Dubai",HLOOKUP(F72,Inputs!$C$26:$M$37,11,0),HLOOKUP(F72,Inputs!$C$45:$M$56,11,0)))</f>
        <v/>
      </c>
      <c r="BG72" s="334" t="str">
        <f>IF(F72="","",IF(G72="Dubai",HLOOKUP(F72,Inputs!$C$26:$M$37,12,0),HLOOKUP(F72,Inputs!$C$45:$M$56,12,0)))</f>
        <v/>
      </c>
      <c r="BI72" s="334" t="str">
        <f>IFERROR(IF(AO72="","",IF(AQ72="Dubai",IF(OR(AO72="Plan1",AO72="Plan2"),VLOOKUP(BD72,Deviation!$B$31:$D$33,2,FALSE),VLOOKUP(BD72,Deviation!$B$31:$D$33,3,FALSE)),IF(OR(AO72="Plan1",AO72="Plan2"),VLOOKUP(BD72,Deviation!$E$31:$G$33,2,FALSE),VLOOKUP(BD72,Deviation!$E$31:$G$33,3,FALSE)))),0)</f>
        <v/>
      </c>
      <c r="BJ72" s="336" t="str">
        <f>IFERROR(IF(AO72="","",IF(AQ72="Dubai",IF(AO72="Plan1",VLOOKUP(BE72,Deviation!$B$39:$C$40,2,FALSE),IF(AO72="Plan2",VLOOKUP(BE72,Deviation!$B$42:$C$43,2,FALSE),IF(AO72="Plan5",VLOOKUP(BE72,Deviation!$B$48:$C$49,2,FALSE),VLOOKUP(BE72,Deviation!$B$45:$C$46,2,FALSE)))),IF(AO72="Plan1",VLOOKUP(BE72,Deviation!$E$39:$F$40,2,FALSE),IF(AO72="Plan2",VLOOKUP(BE72,Deviation!$E$42:$F$43,2,FALSE),VLOOKUP(BE72,Deviation!$E$45:$F$46,2,FALSE))))),0)</f>
        <v/>
      </c>
      <c r="BK72" s="336" t="str">
        <f>IFERROR(IF(AO72="","",IF(AQ72="Dubai",IF(OR(AO72="Plan1",AO72="Plan2"),VLOOKUP(BF72,Deviation!$B$15:$D$18,2,FALSE),VLOOKUP(BF72,Deviation!$B$15:$D$18,3,FALSE)),IF(OR(AO72="Plan1",AO72="Plan2"),VLOOKUP(BF72,Deviation!$E$15:$G$18,2,FALSE),VLOOKUP(BF72,Deviation!$E$15:$G$18,3,FALSE)))),0)</f>
        <v/>
      </c>
      <c r="BL72" s="334" t="str">
        <f>IFERROR(IF(AO72="","",IF(AQ72="Dubai",VLOOKUP(BG72,Deviation!$B$24:$C$26,2,FALSE),100%)),0)</f>
        <v/>
      </c>
    </row>
    <row r="73" spans="1:64" ht="14.25" x14ac:dyDescent="0.2">
      <c r="A73" s="59">
        <v>68</v>
      </c>
      <c r="B73" s="298"/>
      <c r="C73" s="299"/>
      <c r="D73" s="298"/>
      <c r="E73" s="298"/>
      <c r="F73" s="298"/>
      <c r="G73" s="298"/>
      <c r="H73" s="298"/>
      <c r="I73" s="298"/>
      <c r="J73" s="80" t="str">
        <f>IFERROR(ROUNDDOWN(IF(C73="","",(MAX((eff_date-Additions!C73)/365.25,0))),0),"")</f>
        <v/>
      </c>
      <c r="K73" s="59" t="str">
        <f>IF(F73="","",IF(G73="Dubai",HLOOKUP(F73,Inputs!$C$26:$M$28,3,0),HLOOKUP(F73,Inputs!$C$45:$M$46,2,0)))</f>
        <v/>
      </c>
      <c r="L73" s="335" t="str">
        <f t="shared" si="33"/>
        <v/>
      </c>
      <c r="M73" s="335">
        <f t="shared" si="34"/>
        <v>0</v>
      </c>
      <c r="N73" s="335" t="str">
        <f t="shared" si="35"/>
        <v/>
      </c>
      <c r="O73" s="335">
        <f t="shared" si="36"/>
        <v>0</v>
      </c>
      <c r="P73" s="104"/>
      <c r="Q73" s="105">
        <f t="shared" si="49"/>
        <v>0</v>
      </c>
      <c r="R73" s="59" t="b">
        <f t="shared" si="37"/>
        <v>0</v>
      </c>
      <c r="S73" s="102" t="str">
        <f t="shared" si="50"/>
        <v>x</v>
      </c>
      <c r="T73" s="102" t="str">
        <f t="shared" si="38"/>
        <v>x</v>
      </c>
      <c r="U73" s="102" t="str">
        <f t="shared" si="39"/>
        <v>x</v>
      </c>
      <c r="V73" s="102" t="str">
        <f t="shared" si="40"/>
        <v>x</v>
      </c>
      <c r="W73" s="102" t="str">
        <f t="shared" si="41"/>
        <v>x</v>
      </c>
      <c r="X73" s="102" t="str">
        <f>IF(ISERROR(MATCH(G73,'Inputs Mapping'!$T$4:$T$5,0)),"x","")</f>
        <v>x</v>
      </c>
      <c r="Y73" s="102" t="str">
        <f>IF(ISERROR(MATCH(AE73,'Inputs Mapping'!$U$4:$U$5,0)),"x","")</f>
        <v>x</v>
      </c>
      <c r="Z73" s="102" t="str">
        <f>IF(ISERROR(MATCH(AF73,'Inputs Mapping'!$V$4:$V$5,0)),"x","")</f>
        <v>x</v>
      </c>
      <c r="AA73" s="102" t="str">
        <f>IF(ISERROR(MATCH(F73,'Inputs Mapping'!$W$4:$W$8,0)),"x","")</f>
        <v>x</v>
      </c>
      <c r="AB73" s="102" t="str">
        <f t="shared" si="42"/>
        <v/>
      </c>
      <c r="AC73" s="102" t="str">
        <f t="shared" si="43"/>
        <v/>
      </c>
      <c r="AD73" s="102" t="str">
        <f t="shared" si="44"/>
        <v/>
      </c>
      <c r="AE73" s="102" t="str">
        <f t="shared" si="51"/>
        <v/>
      </c>
      <c r="AF73" s="102" t="str">
        <f t="shared" si="52"/>
        <v/>
      </c>
      <c r="AG73" s="102" t="str">
        <f t="shared" si="53"/>
        <v>x</v>
      </c>
      <c r="AK73" s="95" t="str">
        <f t="shared" si="45"/>
        <v/>
      </c>
      <c r="AL73" s="59" t="str">
        <f>IF(J73="","",VLOOKUP(J73,'Inputs Mapping'!$T$27:$V$30,3))</f>
        <v/>
      </c>
      <c r="AM73" s="59" t="str">
        <f>IF(J73="","",VLOOKUP(J73,'Inputs Mapping'!$T$17:$V$24,3))</f>
        <v/>
      </c>
      <c r="AN73" s="59" t="str">
        <f t="shared" si="46"/>
        <v/>
      </c>
      <c r="AO73" s="102" t="str">
        <f t="shared" si="47"/>
        <v/>
      </c>
      <c r="AP73" s="102" t="str">
        <f>IF(F73="","",IF(G73="Dubai",HLOOKUP(F73,Inputs!$C$26:$M$36,5,0),HLOOKUP(F73,Inputs!$C$45:$M$49,5,0)))</f>
        <v/>
      </c>
      <c r="AQ73" s="102">
        <f t="shared" si="48"/>
        <v>0</v>
      </c>
      <c r="AR73" s="59" t="str">
        <f>IF(AM73="","",IF(AQ73="Dubai",VLOOKUP(AM73,'Inputs Mapping'!$V$17:$W$24,2,0),VLOOKUP(AL73,'Inputs Mapping'!$V$27:$W$30,2,0)))</f>
        <v/>
      </c>
      <c r="AS73" s="333">
        <f>IFERROR(IF($AQ73="","",HLOOKUP($AQ73&amp;RIGHT($AO73,1),'input for formula'!$B$16:$I$20,3,0)),0)</f>
        <v>0</v>
      </c>
      <c r="AT73" s="80">
        <f>IFERROR(IF($AQ73="","",HLOOKUP($AQ73&amp;$F73,'input for formula'!$B$22:$M$25,2,0)),0)</f>
        <v>0</v>
      </c>
      <c r="AU73" s="333">
        <f>IFERROR(IF($AQ73="","",HLOOKUP($AQ73&amp;RIGHT($AO73,1),'input for formula'!$B$16:$I$20,4,0)),0)</f>
        <v>0</v>
      </c>
      <c r="AV73" s="80">
        <f>IFERROR(IF($AQ73="","",HLOOKUP($AQ73&amp;$F73,'input for formula'!$B$22:$M$25,3,0)),0)</f>
        <v>0</v>
      </c>
      <c r="AW73" s="333">
        <f>IFERROR(IF($AQ73="","",HLOOKUP($AQ73&amp;RIGHT($AO73,1),'input for formula'!$B$16:$I$20,5,0)),0)</f>
        <v>0</v>
      </c>
      <c r="AX73" s="80">
        <f>IFERROR(IF($AQ73="","",HLOOKUP($AQ73&amp;$F73,'input for formula'!$B$22:$M$25,4,0)),0)</f>
        <v>0</v>
      </c>
      <c r="AY73" s="333">
        <f>IFERROR(IF($AQ73="","",IF(Additions!$AQ73="Abu Dhabi",VLOOKUP(Additions!$AP73,'input for formula'!$A$28:$C$41,3,0),VLOOKUP(Additions!$AP73,'input for formula'!$A$28:$C$41,2,0))),0)*IFERROR(1+IF(AQ73="Dubai",VLOOKUP(F73,'Quotation for Dubai Plans'!$V$6:$X$12,3,FALSE),VLOOKUP(F73,'Quotation for Abu Dhabi Plans'!$W$6:$Y$12,3,FALSE)),0)</f>
        <v>0</v>
      </c>
      <c r="AZ73" s="80" t="str">
        <f t="shared" si="23"/>
        <v/>
      </c>
      <c r="BA73" s="106" t="str">
        <f>IFERROR(IF(AO73="","",IF(AQ73="Dubai",HLOOKUP((AO73&amp;AP73),Deviation!$B$7:$S$8,2,0)*BI73*BK73*BL73*BJ73,HLOOKUP((AO73&amp;AP73),Deviation!$B$9:$K$10,2,0)*BI73*BK73*BL73*BJ73)),0)</f>
        <v/>
      </c>
      <c r="BB73" s="107" t="e">
        <f>IF(AO73="","",IFERROR(IF(AO73="","",IF(AQ73="Dubai",HLOOKUP(BC73,'input for formula'!$B$3:$F$10,AR73,FALSE), IF(AND(H73="Employee",AQ73="Abu Dhabi"),HLOOKUP(BC73,'input for formula'!$I$3:$K$7,AR73,FALSE),HLOOKUP(BC73,'input for formula'!$M$3:$O$7,AR73,FALSE)))*BA73+AS73*AT73+AU73*AV73+AW73*AX73),0)*$BC$3)*IF(Inputs!$C$19&gt;100,(1+$BC$2),1)</f>
        <v>#VALUE!</v>
      </c>
      <c r="BC73" s="95" t="str">
        <f t="shared" si="54"/>
        <v/>
      </c>
      <c r="BD73" s="334" t="str">
        <f>IF(F73="","",IF(G73="Dubai",HLOOKUP(F73,Inputs!$C$26:$M$37,9,0),HLOOKUP(F73,Inputs!$C$45:$M$56,9,0)))</f>
        <v/>
      </c>
      <c r="BE73" s="335" t="str">
        <f>IF(F73="","",IF(G73="Dubai",HLOOKUP(F73,Inputs!$C$26:$M$37,10,0),HLOOKUP(F73,Inputs!$C$45:$M$56,10,0)))</f>
        <v/>
      </c>
      <c r="BF73" s="335" t="str">
        <f>IF(F73="","",IF(G73="Dubai",HLOOKUP(F73,Inputs!$C$26:$M$37,11,0),HLOOKUP(F73,Inputs!$C$45:$M$56,11,0)))</f>
        <v/>
      </c>
      <c r="BG73" s="334" t="str">
        <f>IF(F73="","",IF(G73="Dubai",HLOOKUP(F73,Inputs!$C$26:$M$37,12,0),HLOOKUP(F73,Inputs!$C$45:$M$56,12,0)))</f>
        <v/>
      </c>
      <c r="BI73" s="334" t="str">
        <f>IFERROR(IF(AO73="","",IF(AQ73="Dubai",IF(OR(AO73="Plan1",AO73="Plan2"),VLOOKUP(BD73,Deviation!$B$31:$D$33,2,FALSE),VLOOKUP(BD73,Deviation!$B$31:$D$33,3,FALSE)),IF(OR(AO73="Plan1",AO73="Plan2"),VLOOKUP(BD73,Deviation!$E$31:$G$33,2,FALSE),VLOOKUP(BD73,Deviation!$E$31:$G$33,3,FALSE)))),0)</f>
        <v/>
      </c>
      <c r="BJ73" s="336" t="str">
        <f>IFERROR(IF(AO73="","",IF(AQ73="Dubai",IF(AO73="Plan1",VLOOKUP(BE73,Deviation!$B$39:$C$40,2,FALSE),IF(AO73="Plan2",VLOOKUP(BE73,Deviation!$B$42:$C$43,2,FALSE),IF(AO73="Plan5",VLOOKUP(BE73,Deviation!$B$48:$C$49,2,FALSE),VLOOKUP(BE73,Deviation!$B$45:$C$46,2,FALSE)))),IF(AO73="Plan1",VLOOKUP(BE73,Deviation!$E$39:$F$40,2,FALSE),IF(AO73="Plan2",VLOOKUP(BE73,Deviation!$E$42:$F$43,2,FALSE),VLOOKUP(BE73,Deviation!$E$45:$F$46,2,FALSE))))),0)</f>
        <v/>
      </c>
      <c r="BK73" s="336" t="str">
        <f>IFERROR(IF(AO73="","",IF(AQ73="Dubai",IF(OR(AO73="Plan1",AO73="Plan2"),VLOOKUP(BF73,Deviation!$B$15:$D$18,2,FALSE),VLOOKUP(BF73,Deviation!$B$15:$D$18,3,FALSE)),IF(OR(AO73="Plan1",AO73="Plan2"),VLOOKUP(BF73,Deviation!$E$15:$G$18,2,FALSE),VLOOKUP(BF73,Deviation!$E$15:$G$18,3,FALSE)))),0)</f>
        <v/>
      </c>
      <c r="BL73" s="334" t="str">
        <f>IFERROR(IF(AO73="","",IF(AQ73="Dubai",VLOOKUP(BG73,Deviation!$B$24:$C$26,2,FALSE),100%)),0)</f>
        <v/>
      </c>
    </row>
    <row r="74" spans="1:64" ht="14.25" x14ac:dyDescent="0.2">
      <c r="A74" s="59">
        <v>69</v>
      </c>
      <c r="B74" s="298"/>
      <c r="C74" s="299"/>
      <c r="D74" s="298"/>
      <c r="E74" s="298"/>
      <c r="F74" s="298"/>
      <c r="G74" s="298"/>
      <c r="H74" s="298"/>
      <c r="I74" s="298"/>
      <c r="J74" s="80" t="str">
        <f>IFERROR(ROUNDDOWN(IF(C74="","",(MAX((eff_date-Additions!C74)/365.25,0))),0),"")</f>
        <v/>
      </c>
      <c r="K74" s="59" t="str">
        <f>IF(F74="","",IF(G74="Dubai",HLOOKUP(F74,Inputs!$C$26:$M$28,3,0),HLOOKUP(F74,Inputs!$C$45:$M$46,2,0)))</f>
        <v/>
      </c>
      <c r="L74" s="335" t="str">
        <f t="shared" si="33"/>
        <v/>
      </c>
      <c r="M74" s="335">
        <f t="shared" si="34"/>
        <v>0</v>
      </c>
      <c r="N74" s="335" t="str">
        <f t="shared" si="35"/>
        <v/>
      </c>
      <c r="O74" s="335">
        <f t="shared" si="36"/>
        <v>0</v>
      </c>
      <c r="P74" s="104"/>
      <c r="Q74" s="105">
        <f t="shared" si="49"/>
        <v>0</v>
      </c>
      <c r="R74" s="59" t="b">
        <f t="shared" si="37"/>
        <v>0</v>
      </c>
      <c r="S74" s="102" t="str">
        <f t="shared" si="50"/>
        <v>x</v>
      </c>
      <c r="T74" s="102" t="str">
        <f t="shared" si="38"/>
        <v>x</v>
      </c>
      <c r="U74" s="102" t="str">
        <f t="shared" si="39"/>
        <v>x</v>
      </c>
      <c r="V74" s="102" t="str">
        <f t="shared" si="40"/>
        <v>x</v>
      </c>
      <c r="W74" s="102" t="str">
        <f t="shared" si="41"/>
        <v>x</v>
      </c>
      <c r="X74" s="102" t="str">
        <f>IF(ISERROR(MATCH(G74,'Inputs Mapping'!$T$4:$T$5,0)),"x","")</f>
        <v>x</v>
      </c>
      <c r="Y74" s="102" t="str">
        <f>IF(ISERROR(MATCH(AE74,'Inputs Mapping'!$U$4:$U$5,0)),"x","")</f>
        <v>x</v>
      </c>
      <c r="Z74" s="102" t="str">
        <f>IF(ISERROR(MATCH(AF74,'Inputs Mapping'!$V$4:$V$5,0)),"x","")</f>
        <v>x</v>
      </c>
      <c r="AA74" s="102" t="str">
        <f>IF(ISERROR(MATCH(F74,'Inputs Mapping'!$W$4:$W$8,0)),"x","")</f>
        <v>x</v>
      </c>
      <c r="AB74" s="102" t="str">
        <f t="shared" si="42"/>
        <v/>
      </c>
      <c r="AC74" s="102" t="str">
        <f t="shared" si="43"/>
        <v/>
      </c>
      <c r="AD74" s="102" t="str">
        <f t="shared" si="44"/>
        <v/>
      </c>
      <c r="AE74" s="102" t="str">
        <f t="shared" si="51"/>
        <v/>
      </c>
      <c r="AF74" s="102" t="str">
        <f t="shared" si="52"/>
        <v/>
      </c>
      <c r="AG74" s="102" t="str">
        <f t="shared" si="53"/>
        <v>x</v>
      </c>
      <c r="AK74" s="95" t="str">
        <f t="shared" si="45"/>
        <v/>
      </c>
      <c r="AL74" s="59" t="str">
        <f>IF(J74="","",VLOOKUP(J74,'Inputs Mapping'!$T$27:$V$30,3))</f>
        <v/>
      </c>
      <c r="AM74" s="59" t="str">
        <f>IF(J74="","",VLOOKUP(J74,'Inputs Mapping'!$T$17:$V$24,3))</f>
        <v/>
      </c>
      <c r="AN74" s="59" t="str">
        <f t="shared" si="46"/>
        <v/>
      </c>
      <c r="AO74" s="102" t="str">
        <f t="shared" si="47"/>
        <v/>
      </c>
      <c r="AP74" s="102" t="str">
        <f>IF(F74="","",IF(G74="Dubai",HLOOKUP(F74,Inputs!$C$26:$M$36,5,0),HLOOKUP(F74,Inputs!$C$45:$M$49,5,0)))</f>
        <v/>
      </c>
      <c r="AQ74" s="102">
        <f t="shared" si="48"/>
        <v>0</v>
      </c>
      <c r="AR74" s="59" t="str">
        <f>IF(AM74="","",IF(AQ74="Dubai",VLOOKUP(AM74,'Inputs Mapping'!$V$17:$W$24,2,0),VLOOKUP(AL74,'Inputs Mapping'!$V$27:$W$30,2,0)))</f>
        <v/>
      </c>
      <c r="AS74" s="333">
        <f>IFERROR(IF($AQ74="","",HLOOKUP($AQ74&amp;RIGHT($AO74,1),'input for formula'!$B$16:$I$20,3,0)),0)</f>
        <v>0</v>
      </c>
      <c r="AT74" s="80">
        <f>IFERROR(IF($AQ74="","",HLOOKUP($AQ74&amp;$F74,'input for formula'!$B$22:$M$25,2,0)),0)</f>
        <v>0</v>
      </c>
      <c r="AU74" s="333">
        <f>IFERROR(IF($AQ74="","",HLOOKUP($AQ74&amp;RIGHT($AO74,1),'input for formula'!$B$16:$I$20,4,0)),0)</f>
        <v>0</v>
      </c>
      <c r="AV74" s="80">
        <f>IFERROR(IF($AQ74="","",HLOOKUP($AQ74&amp;$F74,'input for formula'!$B$22:$M$25,3,0)),0)</f>
        <v>0</v>
      </c>
      <c r="AW74" s="333">
        <f>IFERROR(IF($AQ74="","",HLOOKUP($AQ74&amp;RIGHT($AO74,1),'input for formula'!$B$16:$I$20,5,0)),0)</f>
        <v>0</v>
      </c>
      <c r="AX74" s="80">
        <f>IFERROR(IF($AQ74="","",HLOOKUP($AQ74&amp;$F74,'input for formula'!$B$22:$M$25,4,0)),0)</f>
        <v>0</v>
      </c>
      <c r="AY74" s="333">
        <f>IFERROR(IF($AQ74="","",IF(Additions!$AQ74="Abu Dhabi",VLOOKUP(Additions!$AP74,'input for formula'!$A$28:$C$41,3,0),VLOOKUP(Additions!$AP74,'input for formula'!$A$28:$C$41,2,0))),0)*IFERROR(1+IF(AQ74="Dubai",VLOOKUP(F74,'Quotation for Dubai Plans'!$V$6:$X$12,3,FALSE),VLOOKUP(F74,'Quotation for Abu Dhabi Plans'!$W$6:$Y$12,3,FALSE)),0)</f>
        <v>0</v>
      </c>
      <c r="AZ74" s="80" t="str">
        <f t="shared" si="23"/>
        <v/>
      </c>
      <c r="BA74" s="106" t="str">
        <f>IFERROR(IF(AO74="","",IF(AQ74="Dubai",HLOOKUP((AO74&amp;AP74),Deviation!$B$7:$S$8,2,0)*BI74*BK74*BL74*BJ74,HLOOKUP((AO74&amp;AP74),Deviation!$B$9:$K$10,2,0)*BI74*BK74*BL74*BJ74)),0)</f>
        <v/>
      </c>
      <c r="BB74" s="107" t="e">
        <f>IF(AO74="","",IFERROR(IF(AO74="","",IF(AQ74="Dubai",HLOOKUP(BC74,'input for formula'!$B$3:$F$10,AR74,FALSE), IF(AND(H74="Employee",AQ74="Abu Dhabi"),HLOOKUP(BC74,'input for formula'!$I$3:$K$7,AR74,FALSE),HLOOKUP(BC74,'input for formula'!$M$3:$O$7,AR74,FALSE)))*BA74+AS74*AT74+AU74*AV74+AW74*AX74),0)*$BC$3)*IF(Inputs!$C$19&gt;100,(1+$BC$2),1)</f>
        <v>#VALUE!</v>
      </c>
      <c r="BC74" s="95" t="str">
        <f t="shared" si="54"/>
        <v/>
      </c>
      <c r="BD74" s="334" t="str">
        <f>IF(F74="","",IF(G74="Dubai",HLOOKUP(F74,Inputs!$C$26:$M$37,9,0),HLOOKUP(F74,Inputs!$C$45:$M$56,9,0)))</f>
        <v/>
      </c>
      <c r="BE74" s="335" t="str">
        <f>IF(F74="","",IF(G74="Dubai",HLOOKUP(F74,Inputs!$C$26:$M$37,10,0),HLOOKUP(F74,Inputs!$C$45:$M$56,10,0)))</f>
        <v/>
      </c>
      <c r="BF74" s="335" t="str">
        <f>IF(F74="","",IF(G74="Dubai",HLOOKUP(F74,Inputs!$C$26:$M$37,11,0),HLOOKUP(F74,Inputs!$C$45:$M$56,11,0)))</f>
        <v/>
      </c>
      <c r="BG74" s="334" t="str">
        <f>IF(F74="","",IF(G74="Dubai",HLOOKUP(F74,Inputs!$C$26:$M$37,12,0),HLOOKUP(F74,Inputs!$C$45:$M$56,12,0)))</f>
        <v/>
      </c>
      <c r="BI74" s="334" t="str">
        <f>IFERROR(IF(AO74="","",IF(AQ74="Dubai",IF(OR(AO74="Plan1",AO74="Plan2"),VLOOKUP(BD74,Deviation!$B$31:$D$33,2,FALSE),VLOOKUP(BD74,Deviation!$B$31:$D$33,3,FALSE)),IF(OR(AO74="Plan1",AO74="Plan2"),VLOOKUP(BD74,Deviation!$E$31:$G$33,2,FALSE),VLOOKUP(BD74,Deviation!$E$31:$G$33,3,FALSE)))),0)</f>
        <v/>
      </c>
      <c r="BJ74" s="336" t="str">
        <f>IFERROR(IF(AO74="","",IF(AQ74="Dubai",IF(AO74="Plan1",VLOOKUP(BE74,Deviation!$B$39:$C$40,2,FALSE),IF(AO74="Plan2",VLOOKUP(BE74,Deviation!$B$42:$C$43,2,FALSE),IF(AO74="Plan5",VLOOKUP(BE74,Deviation!$B$48:$C$49,2,FALSE),VLOOKUP(BE74,Deviation!$B$45:$C$46,2,FALSE)))),IF(AO74="Plan1",VLOOKUP(BE74,Deviation!$E$39:$F$40,2,FALSE),IF(AO74="Plan2",VLOOKUP(BE74,Deviation!$E$42:$F$43,2,FALSE),VLOOKUP(BE74,Deviation!$E$45:$F$46,2,FALSE))))),0)</f>
        <v/>
      </c>
      <c r="BK74" s="336" t="str">
        <f>IFERROR(IF(AO74="","",IF(AQ74="Dubai",IF(OR(AO74="Plan1",AO74="Plan2"),VLOOKUP(BF74,Deviation!$B$15:$D$18,2,FALSE),VLOOKUP(BF74,Deviation!$B$15:$D$18,3,FALSE)),IF(OR(AO74="Plan1",AO74="Plan2"),VLOOKUP(BF74,Deviation!$E$15:$G$18,2,FALSE),VLOOKUP(BF74,Deviation!$E$15:$G$18,3,FALSE)))),0)</f>
        <v/>
      </c>
      <c r="BL74" s="334" t="str">
        <f>IFERROR(IF(AO74="","",IF(AQ74="Dubai",VLOOKUP(BG74,Deviation!$B$24:$C$26,2,FALSE),100%)),0)</f>
        <v/>
      </c>
    </row>
    <row r="75" spans="1:64" ht="14.25" x14ac:dyDescent="0.2">
      <c r="A75" s="59">
        <v>70</v>
      </c>
      <c r="B75" s="298"/>
      <c r="C75" s="299"/>
      <c r="D75" s="298"/>
      <c r="E75" s="298"/>
      <c r="F75" s="298"/>
      <c r="G75" s="298"/>
      <c r="H75" s="298"/>
      <c r="I75" s="298"/>
      <c r="J75" s="80" t="str">
        <f>IFERROR(ROUNDDOWN(IF(C75="","",(MAX((eff_date-Additions!C75)/365.25,0))),0),"")</f>
        <v/>
      </c>
      <c r="K75" s="59" t="str">
        <f>IF(F75="","",IF(G75="Dubai",HLOOKUP(F75,Inputs!$C$26:$M$28,3,0),HLOOKUP(F75,Inputs!$C$45:$M$46,2,0)))</f>
        <v/>
      </c>
      <c r="L75" s="335" t="str">
        <f t="shared" si="33"/>
        <v/>
      </c>
      <c r="M75" s="335">
        <f t="shared" si="34"/>
        <v>0</v>
      </c>
      <c r="N75" s="335" t="str">
        <f t="shared" si="35"/>
        <v/>
      </c>
      <c r="O75" s="335">
        <f t="shared" si="36"/>
        <v>0</v>
      </c>
      <c r="P75" s="104"/>
      <c r="Q75" s="105">
        <f t="shared" si="49"/>
        <v>0</v>
      </c>
      <c r="R75" s="59" t="b">
        <f t="shared" si="37"/>
        <v>0</v>
      </c>
      <c r="S75" s="102" t="str">
        <f t="shared" si="50"/>
        <v>x</v>
      </c>
      <c r="T75" s="102" t="str">
        <f t="shared" si="38"/>
        <v>x</v>
      </c>
      <c r="U75" s="102" t="str">
        <f t="shared" si="39"/>
        <v>x</v>
      </c>
      <c r="V75" s="102" t="str">
        <f t="shared" si="40"/>
        <v>x</v>
      </c>
      <c r="W75" s="102" t="str">
        <f t="shared" si="41"/>
        <v>x</v>
      </c>
      <c r="X75" s="102" t="str">
        <f>IF(ISERROR(MATCH(G75,'Inputs Mapping'!$T$4:$T$5,0)),"x","")</f>
        <v>x</v>
      </c>
      <c r="Y75" s="102" t="str">
        <f>IF(ISERROR(MATCH(AE75,'Inputs Mapping'!$U$4:$U$5,0)),"x","")</f>
        <v>x</v>
      </c>
      <c r="Z75" s="102" t="str">
        <f>IF(ISERROR(MATCH(AF75,'Inputs Mapping'!$V$4:$V$5,0)),"x","")</f>
        <v>x</v>
      </c>
      <c r="AA75" s="102" t="str">
        <f>IF(ISERROR(MATCH(F75,'Inputs Mapping'!$W$4:$W$8,0)),"x","")</f>
        <v>x</v>
      </c>
      <c r="AB75" s="102" t="str">
        <f t="shared" si="42"/>
        <v/>
      </c>
      <c r="AC75" s="102" t="str">
        <f t="shared" si="43"/>
        <v/>
      </c>
      <c r="AD75" s="102" t="str">
        <f t="shared" si="44"/>
        <v/>
      </c>
      <c r="AE75" s="102" t="str">
        <f t="shared" si="51"/>
        <v/>
      </c>
      <c r="AF75" s="102" t="str">
        <f t="shared" si="52"/>
        <v/>
      </c>
      <c r="AG75" s="102" t="str">
        <f t="shared" si="53"/>
        <v>x</v>
      </c>
      <c r="AK75" s="95" t="str">
        <f t="shared" si="45"/>
        <v/>
      </c>
      <c r="AL75" s="59" t="str">
        <f>IF(J75="","",VLOOKUP(J75,'Inputs Mapping'!$T$27:$V$30,3))</f>
        <v/>
      </c>
      <c r="AM75" s="59" t="str">
        <f>IF(J75="","",VLOOKUP(J75,'Inputs Mapping'!$T$17:$V$24,3))</f>
        <v/>
      </c>
      <c r="AN75" s="59" t="str">
        <f t="shared" si="46"/>
        <v/>
      </c>
      <c r="AO75" s="102" t="str">
        <f t="shared" si="47"/>
        <v/>
      </c>
      <c r="AP75" s="102" t="str">
        <f>IF(F75="","",IF(G75="Dubai",HLOOKUP(F75,Inputs!$C$26:$M$36,5,0),HLOOKUP(F75,Inputs!$C$45:$M$49,5,0)))</f>
        <v/>
      </c>
      <c r="AQ75" s="102">
        <f t="shared" si="48"/>
        <v>0</v>
      </c>
      <c r="AR75" s="59" t="str">
        <f>IF(AM75="","",IF(AQ75="Dubai",VLOOKUP(AM75,'Inputs Mapping'!$V$17:$W$24,2,0),VLOOKUP(AL75,'Inputs Mapping'!$V$27:$W$30,2,0)))</f>
        <v/>
      </c>
      <c r="AS75" s="333">
        <f>IFERROR(IF($AQ75="","",HLOOKUP($AQ75&amp;RIGHT($AO75,1),'input for formula'!$B$16:$I$20,3,0)),0)</f>
        <v>0</v>
      </c>
      <c r="AT75" s="80">
        <f>IFERROR(IF($AQ75="","",HLOOKUP($AQ75&amp;$F75,'input for formula'!$B$22:$M$25,2,0)),0)</f>
        <v>0</v>
      </c>
      <c r="AU75" s="333">
        <f>IFERROR(IF($AQ75="","",HLOOKUP($AQ75&amp;RIGHT($AO75,1),'input for formula'!$B$16:$I$20,4,0)),0)</f>
        <v>0</v>
      </c>
      <c r="AV75" s="80">
        <f>IFERROR(IF($AQ75="","",HLOOKUP($AQ75&amp;$F75,'input for formula'!$B$22:$M$25,3,0)),0)</f>
        <v>0</v>
      </c>
      <c r="AW75" s="333">
        <f>IFERROR(IF($AQ75="","",HLOOKUP($AQ75&amp;RIGHT($AO75,1),'input for formula'!$B$16:$I$20,5,0)),0)</f>
        <v>0</v>
      </c>
      <c r="AX75" s="80">
        <f>IFERROR(IF($AQ75="","",HLOOKUP($AQ75&amp;$F75,'input for formula'!$B$22:$M$25,4,0)),0)</f>
        <v>0</v>
      </c>
      <c r="AY75" s="333">
        <f>IFERROR(IF($AQ75="","",IF(Additions!$AQ75="Abu Dhabi",VLOOKUP(Additions!$AP75,'input for formula'!$A$28:$C$41,3,0),VLOOKUP(Additions!$AP75,'input for formula'!$A$28:$C$41,2,0))),0)*IFERROR(1+IF(AQ75="Dubai",VLOOKUP(F75,'Quotation for Dubai Plans'!$V$6:$X$12,3,FALSE),VLOOKUP(F75,'Quotation for Abu Dhabi Plans'!$W$6:$Y$12,3,FALSE)),0)</f>
        <v>0</v>
      </c>
      <c r="AZ75" s="80" t="str">
        <f t="shared" si="23"/>
        <v/>
      </c>
      <c r="BA75" s="106" t="str">
        <f>IFERROR(IF(AO75="","",IF(AQ75="Dubai",HLOOKUP((AO75&amp;AP75),Deviation!$B$7:$S$8,2,0)*BI75*BK75*BL75*BJ75,HLOOKUP((AO75&amp;AP75),Deviation!$B$9:$K$10,2,0)*BI75*BK75*BL75*BJ75)),0)</f>
        <v/>
      </c>
      <c r="BB75" s="107" t="e">
        <f>IF(AO75="","",IFERROR(IF(AO75="","",IF(AQ75="Dubai",HLOOKUP(BC75,'input for formula'!$B$3:$F$10,AR75,FALSE), IF(AND(H75="Employee",AQ75="Abu Dhabi"),HLOOKUP(BC75,'input for formula'!$I$3:$K$7,AR75,FALSE),HLOOKUP(BC75,'input for formula'!$M$3:$O$7,AR75,FALSE)))*BA75+AS75*AT75+AU75*AV75+AW75*AX75),0)*$BC$3)*IF(Inputs!$C$19&gt;100,(1+$BC$2),1)</f>
        <v>#VALUE!</v>
      </c>
      <c r="BC75" s="95" t="str">
        <f t="shared" si="54"/>
        <v/>
      </c>
      <c r="BD75" s="334" t="str">
        <f>IF(F75="","",IF(G75="Dubai",HLOOKUP(F75,Inputs!$C$26:$M$37,9,0),HLOOKUP(F75,Inputs!$C$45:$M$56,9,0)))</f>
        <v/>
      </c>
      <c r="BE75" s="335" t="str">
        <f>IF(F75="","",IF(G75="Dubai",HLOOKUP(F75,Inputs!$C$26:$M$37,10,0),HLOOKUP(F75,Inputs!$C$45:$M$56,10,0)))</f>
        <v/>
      </c>
      <c r="BF75" s="335" t="str">
        <f>IF(F75="","",IF(G75="Dubai",HLOOKUP(F75,Inputs!$C$26:$M$37,11,0),HLOOKUP(F75,Inputs!$C$45:$M$56,11,0)))</f>
        <v/>
      </c>
      <c r="BG75" s="334" t="str">
        <f>IF(F75="","",IF(G75="Dubai",HLOOKUP(F75,Inputs!$C$26:$M$37,12,0),HLOOKUP(F75,Inputs!$C$45:$M$56,12,0)))</f>
        <v/>
      </c>
      <c r="BI75" s="334" t="str">
        <f>IFERROR(IF(AO75="","",IF(AQ75="Dubai",IF(OR(AO75="Plan1",AO75="Plan2"),VLOOKUP(BD75,Deviation!$B$31:$D$33,2,FALSE),VLOOKUP(BD75,Deviation!$B$31:$D$33,3,FALSE)),IF(OR(AO75="Plan1",AO75="Plan2"),VLOOKUP(BD75,Deviation!$E$31:$G$33,2,FALSE),VLOOKUP(BD75,Deviation!$E$31:$G$33,3,FALSE)))),0)</f>
        <v/>
      </c>
      <c r="BJ75" s="336" t="str">
        <f>IFERROR(IF(AO75="","",IF(AQ75="Dubai",IF(AO75="Plan1",VLOOKUP(BE75,Deviation!$B$39:$C$40,2,FALSE),IF(AO75="Plan2",VLOOKUP(BE75,Deviation!$B$42:$C$43,2,FALSE),IF(AO75="Plan5",VLOOKUP(BE75,Deviation!$B$48:$C$49,2,FALSE),VLOOKUP(BE75,Deviation!$B$45:$C$46,2,FALSE)))),IF(AO75="Plan1",VLOOKUP(BE75,Deviation!$E$39:$F$40,2,FALSE),IF(AO75="Plan2",VLOOKUP(BE75,Deviation!$E$42:$F$43,2,FALSE),VLOOKUP(BE75,Deviation!$E$45:$F$46,2,FALSE))))),0)</f>
        <v/>
      </c>
      <c r="BK75" s="336" t="str">
        <f>IFERROR(IF(AO75="","",IF(AQ75="Dubai",IF(OR(AO75="Plan1",AO75="Plan2"),VLOOKUP(BF75,Deviation!$B$15:$D$18,2,FALSE),VLOOKUP(BF75,Deviation!$B$15:$D$18,3,FALSE)),IF(OR(AO75="Plan1",AO75="Plan2"),VLOOKUP(BF75,Deviation!$E$15:$G$18,2,FALSE),VLOOKUP(BF75,Deviation!$E$15:$G$18,3,FALSE)))),0)</f>
        <v/>
      </c>
      <c r="BL75" s="334" t="str">
        <f>IFERROR(IF(AO75="","",IF(AQ75="Dubai",VLOOKUP(BG75,Deviation!$B$24:$C$26,2,FALSE),100%)),0)</f>
        <v/>
      </c>
    </row>
    <row r="76" spans="1:64" ht="14.25" x14ac:dyDescent="0.2">
      <c r="A76" s="59">
        <v>71</v>
      </c>
      <c r="B76" s="298"/>
      <c r="C76" s="299"/>
      <c r="D76" s="298"/>
      <c r="E76" s="298"/>
      <c r="F76" s="298"/>
      <c r="G76" s="298"/>
      <c r="H76" s="298"/>
      <c r="I76" s="298"/>
      <c r="J76" s="80" t="str">
        <f>IFERROR(ROUNDDOWN(IF(C76="","",(MAX((eff_date-Additions!C76)/365.25,0))),0),"")</f>
        <v/>
      </c>
      <c r="K76" s="59" t="str">
        <f>IF(F76="","",IF(G76="Dubai",HLOOKUP(F76,Inputs!$C$26:$M$28,3,0),HLOOKUP(F76,Inputs!$C$45:$M$46,2,0)))</f>
        <v/>
      </c>
      <c r="L76" s="335" t="str">
        <f t="shared" si="33"/>
        <v/>
      </c>
      <c r="M76" s="335">
        <f t="shared" si="34"/>
        <v>0</v>
      </c>
      <c r="N76" s="335" t="str">
        <f t="shared" si="35"/>
        <v/>
      </c>
      <c r="O76" s="335">
        <f t="shared" si="36"/>
        <v>0</v>
      </c>
      <c r="P76" s="104"/>
      <c r="Q76" s="105">
        <f t="shared" si="49"/>
        <v>0</v>
      </c>
      <c r="R76" s="59" t="b">
        <f t="shared" si="37"/>
        <v>0</v>
      </c>
      <c r="S76" s="102" t="str">
        <f t="shared" si="50"/>
        <v>x</v>
      </c>
      <c r="T76" s="102" t="str">
        <f t="shared" si="38"/>
        <v>x</v>
      </c>
      <c r="U76" s="102" t="str">
        <f t="shared" si="39"/>
        <v>x</v>
      </c>
      <c r="V76" s="102" t="str">
        <f t="shared" si="40"/>
        <v>x</v>
      </c>
      <c r="W76" s="102" t="str">
        <f t="shared" si="41"/>
        <v>x</v>
      </c>
      <c r="X76" s="102" t="str">
        <f>IF(ISERROR(MATCH(G76,'Inputs Mapping'!$T$4:$T$5,0)),"x","")</f>
        <v>x</v>
      </c>
      <c r="Y76" s="102" t="str">
        <f>IF(ISERROR(MATCH(AE76,'Inputs Mapping'!$U$4:$U$5,0)),"x","")</f>
        <v>x</v>
      </c>
      <c r="Z76" s="102" t="str">
        <f>IF(ISERROR(MATCH(AF76,'Inputs Mapping'!$V$4:$V$5,0)),"x","")</f>
        <v>x</v>
      </c>
      <c r="AA76" s="102" t="str">
        <f>IF(ISERROR(MATCH(F76,'Inputs Mapping'!$W$4:$W$8,0)),"x","")</f>
        <v>x</v>
      </c>
      <c r="AB76" s="102" t="str">
        <f t="shared" si="42"/>
        <v/>
      </c>
      <c r="AC76" s="102" t="str">
        <f t="shared" si="43"/>
        <v/>
      </c>
      <c r="AD76" s="102" t="str">
        <f t="shared" si="44"/>
        <v/>
      </c>
      <c r="AE76" s="102" t="str">
        <f t="shared" si="51"/>
        <v/>
      </c>
      <c r="AF76" s="102" t="str">
        <f t="shared" si="52"/>
        <v/>
      </c>
      <c r="AG76" s="102" t="str">
        <f t="shared" si="53"/>
        <v>x</v>
      </c>
      <c r="AK76" s="95" t="str">
        <f t="shared" si="45"/>
        <v/>
      </c>
      <c r="AL76" s="59" t="str">
        <f>IF(J76="","",VLOOKUP(J76,'Inputs Mapping'!$T$27:$V$30,3))</f>
        <v/>
      </c>
      <c r="AM76" s="59" t="str">
        <f>IF(J76="","",VLOOKUP(J76,'Inputs Mapping'!$T$17:$V$24,3))</f>
        <v/>
      </c>
      <c r="AN76" s="59" t="str">
        <f t="shared" si="46"/>
        <v/>
      </c>
      <c r="AO76" s="102" t="str">
        <f t="shared" si="47"/>
        <v/>
      </c>
      <c r="AP76" s="102" t="str">
        <f>IF(F76="","",IF(G76="Dubai",HLOOKUP(F76,Inputs!$C$26:$M$36,5,0),HLOOKUP(F76,Inputs!$C$45:$M$49,5,0)))</f>
        <v/>
      </c>
      <c r="AQ76" s="102">
        <f t="shared" si="48"/>
        <v>0</v>
      </c>
      <c r="AR76" s="59" t="str">
        <f>IF(AM76="","",IF(AQ76="Dubai",VLOOKUP(AM76,'Inputs Mapping'!$V$17:$W$24,2,0),VLOOKUP(AL76,'Inputs Mapping'!$V$27:$W$30,2,0)))</f>
        <v/>
      </c>
      <c r="AS76" s="333">
        <f>IFERROR(IF($AQ76="","",HLOOKUP($AQ76&amp;RIGHT($AO76,1),'input for formula'!$B$16:$I$20,3,0)),0)</f>
        <v>0</v>
      </c>
      <c r="AT76" s="80">
        <f>IFERROR(IF($AQ76="","",HLOOKUP($AQ76&amp;$F76,'input for formula'!$B$22:$M$25,2,0)),0)</f>
        <v>0</v>
      </c>
      <c r="AU76" s="333">
        <f>IFERROR(IF($AQ76="","",HLOOKUP($AQ76&amp;RIGHT($AO76,1),'input for formula'!$B$16:$I$20,4,0)),0)</f>
        <v>0</v>
      </c>
      <c r="AV76" s="80">
        <f>IFERROR(IF($AQ76="","",HLOOKUP($AQ76&amp;$F76,'input for formula'!$B$22:$M$25,3,0)),0)</f>
        <v>0</v>
      </c>
      <c r="AW76" s="333">
        <f>IFERROR(IF($AQ76="","",HLOOKUP($AQ76&amp;RIGHT($AO76,1),'input for formula'!$B$16:$I$20,5,0)),0)</f>
        <v>0</v>
      </c>
      <c r="AX76" s="80">
        <f>IFERROR(IF($AQ76="","",HLOOKUP($AQ76&amp;$F76,'input for formula'!$B$22:$M$25,4,0)),0)</f>
        <v>0</v>
      </c>
      <c r="AY76" s="333">
        <f>IFERROR(IF($AQ76="","",IF(Additions!$AQ76="Abu Dhabi",VLOOKUP(Additions!$AP76,'input for formula'!$A$28:$C$41,3,0),VLOOKUP(Additions!$AP76,'input for formula'!$A$28:$C$41,2,0))),0)*IFERROR(1+IF(AQ76="Dubai",VLOOKUP(F76,'Quotation for Dubai Plans'!$V$6:$X$12,3,FALSE),VLOOKUP(F76,'Quotation for Abu Dhabi Plans'!$W$6:$Y$12,3,FALSE)),0)</f>
        <v>0</v>
      </c>
      <c r="AZ76" s="80" t="str">
        <f t="shared" si="23"/>
        <v/>
      </c>
      <c r="BA76" s="106" t="str">
        <f>IFERROR(IF(AO76="","",IF(AQ76="Dubai",HLOOKUP((AO76&amp;AP76),Deviation!$B$7:$S$8,2,0)*BI76*BK76*BL76*BJ76,HLOOKUP((AO76&amp;AP76),Deviation!$B$9:$K$10,2,0)*BI76*BK76*BL76*BJ76)),0)</f>
        <v/>
      </c>
      <c r="BB76" s="107" t="e">
        <f>IF(AO76="","",IFERROR(IF(AO76="","",IF(AQ76="Dubai",HLOOKUP(BC76,'input for formula'!$B$3:$F$10,AR76,FALSE), IF(AND(H76="Employee",AQ76="Abu Dhabi"),HLOOKUP(BC76,'input for formula'!$I$3:$K$7,AR76,FALSE),HLOOKUP(BC76,'input for formula'!$M$3:$O$7,AR76,FALSE)))*BA76+AS76*AT76+AU76*AV76+AW76*AX76),0)*$BC$3)*IF(Inputs!$C$19&gt;100,(1+$BC$2),1)</f>
        <v>#VALUE!</v>
      </c>
      <c r="BC76" s="95" t="str">
        <f t="shared" si="54"/>
        <v/>
      </c>
      <c r="BD76" s="334" t="str">
        <f>IF(F76="","",IF(G76="Dubai",HLOOKUP(F76,Inputs!$C$26:$M$37,9,0),HLOOKUP(F76,Inputs!$C$45:$M$56,9,0)))</f>
        <v/>
      </c>
      <c r="BE76" s="335" t="str">
        <f>IF(F76="","",IF(G76="Dubai",HLOOKUP(F76,Inputs!$C$26:$M$37,10,0),HLOOKUP(F76,Inputs!$C$45:$M$56,10,0)))</f>
        <v/>
      </c>
      <c r="BF76" s="335" t="str">
        <f>IF(F76="","",IF(G76="Dubai",HLOOKUP(F76,Inputs!$C$26:$M$37,11,0),HLOOKUP(F76,Inputs!$C$45:$M$56,11,0)))</f>
        <v/>
      </c>
      <c r="BG76" s="334" t="str">
        <f>IF(F76="","",IF(G76="Dubai",HLOOKUP(F76,Inputs!$C$26:$M$37,12,0),HLOOKUP(F76,Inputs!$C$45:$M$56,12,0)))</f>
        <v/>
      </c>
      <c r="BI76" s="334" t="str">
        <f>IFERROR(IF(AO76="","",IF(AQ76="Dubai",IF(OR(AO76="Plan1",AO76="Plan2"),VLOOKUP(BD76,Deviation!$B$31:$D$33,2,FALSE),VLOOKUP(BD76,Deviation!$B$31:$D$33,3,FALSE)),IF(OR(AO76="Plan1",AO76="Plan2"),VLOOKUP(BD76,Deviation!$E$31:$G$33,2,FALSE),VLOOKUP(BD76,Deviation!$E$31:$G$33,3,FALSE)))),0)</f>
        <v/>
      </c>
      <c r="BJ76" s="336" t="str">
        <f>IFERROR(IF(AO76="","",IF(AQ76="Dubai",IF(AO76="Plan1",VLOOKUP(BE76,Deviation!$B$39:$C$40,2,FALSE),IF(AO76="Plan2",VLOOKUP(BE76,Deviation!$B$42:$C$43,2,FALSE),IF(AO76="Plan5",VLOOKUP(BE76,Deviation!$B$48:$C$49,2,FALSE),VLOOKUP(BE76,Deviation!$B$45:$C$46,2,FALSE)))),IF(AO76="Plan1",VLOOKUP(BE76,Deviation!$E$39:$F$40,2,FALSE),IF(AO76="Plan2",VLOOKUP(BE76,Deviation!$E$42:$F$43,2,FALSE),VLOOKUP(BE76,Deviation!$E$45:$F$46,2,FALSE))))),0)</f>
        <v/>
      </c>
      <c r="BK76" s="336" t="str">
        <f>IFERROR(IF(AO76="","",IF(AQ76="Dubai",IF(OR(AO76="Plan1",AO76="Plan2"),VLOOKUP(BF76,Deviation!$B$15:$D$18,2,FALSE),VLOOKUP(BF76,Deviation!$B$15:$D$18,3,FALSE)),IF(OR(AO76="Plan1",AO76="Plan2"),VLOOKUP(BF76,Deviation!$E$15:$G$18,2,FALSE),VLOOKUP(BF76,Deviation!$E$15:$G$18,3,FALSE)))),0)</f>
        <v/>
      </c>
      <c r="BL76" s="334" t="str">
        <f>IFERROR(IF(AO76="","",IF(AQ76="Dubai",VLOOKUP(BG76,Deviation!$B$24:$C$26,2,FALSE),100%)),0)</f>
        <v/>
      </c>
    </row>
    <row r="77" spans="1:64" ht="14.25" x14ac:dyDescent="0.2">
      <c r="A77" s="59">
        <v>72</v>
      </c>
      <c r="B77" s="298"/>
      <c r="C77" s="299"/>
      <c r="D77" s="298"/>
      <c r="E77" s="298"/>
      <c r="F77" s="298"/>
      <c r="G77" s="298"/>
      <c r="H77" s="298"/>
      <c r="I77" s="298"/>
      <c r="J77" s="80" t="str">
        <f>IFERROR(ROUNDDOWN(IF(C77="","",(MAX((eff_date-Additions!C77)/365.25,0))),0),"")</f>
        <v/>
      </c>
      <c r="K77" s="59" t="str">
        <f>IF(F77="","",IF(G77="Dubai",HLOOKUP(F77,Inputs!$C$26:$M$28,3,0),HLOOKUP(F77,Inputs!$C$45:$M$46,2,0)))</f>
        <v/>
      </c>
      <c r="L77" s="335" t="str">
        <f t="shared" si="33"/>
        <v/>
      </c>
      <c r="M77" s="335">
        <f t="shared" si="34"/>
        <v>0</v>
      </c>
      <c r="N77" s="335" t="str">
        <f t="shared" si="35"/>
        <v/>
      </c>
      <c r="O77" s="335">
        <f t="shared" si="36"/>
        <v>0</v>
      </c>
      <c r="P77" s="104"/>
      <c r="Q77" s="105">
        <f t="shared" si="49"/>
        <v>0</v>
      </c>
      <c r="R77" s="59" t="b">
        <f t="shared" si="37"/>
        <v>0</v>
      </c>
      <c r="S77" s="102" t="str">
        <f t="shared" si="50"/>
        <v>x</v>
      </c>
      <c r="T77" s="102" t="str">
        <f t="shared" si="38"/>
        <v>x</v>
      </c>
      <c r="U77" s="102" t="str">
        <f t="shared" si="39"/>
        <v>x</v>
      </c>
      <c r="V77" s="102" t="str">
        <f t="shared" si="40"/>
        <v>x</v>
      </c>
      <c r="W77" s="102" t="str">
        <f t="shared" si="41"/>
        <v>x</v>
      </c>
      <c r="X77" s="102" t="str">
        <f>IF(ISERROR(MATCH(G77,'Inputs Mapping'!$T$4:$T$5,0)),"x","")</f>
        <v>x</v>
      </c>
      <c r="Y77" s="102" t="str">
        <f>IF(ISERROR(MATCH(AE77,'Inputs Mapping'!$U$4:$U$5,0)),"x","")</f>
        <v>x</v>
      </c>
      <c r="Z77" s="102" t="str">
        <f>IF(ISERROR(MATCH(AF77,'Inputs Mapping'!$V$4:$V$5,0)),"x","")</f>
        <v>x</v>
      </c>
      <c r="AA77" s="102" t="str">
        <f>IF(ISERROR(MATCH(F77,'Inputs Mapping'!$W$4:$W$8,0)),"x","")</f>
        <v>x</v>
      </c>
      <c r="AB77" s="102" t="str">
        <f t="shared" si="42"/>
        <v/>
      </c>
      <c r="AC77" s="102" t="str">
        <f t="shared" si="43"/>
        <v/>
      </c>
      <c r="AD77" s="102" t="str">
        <f t="shared" si="44"/>
        <v/>
      </c>
      <c r="AE77" s="102" t="str">
        <f t="shared" si="51"/>
        <v/>
      </c>
      <c r="AF77" s="102" t="str">
        <f t="shared" si="52"/>
        <v/>
      </c>
      <c r="AG77" s="102" t="str">
        <f t="shared" si="53"/>
        <v>x</v>
      </c>
      <c r="AK77" s="95" t="str">
        <f t="shared" si="45"/>
        <v/>
      </c>
      <c r="AL77" s="59" t="str">
        <f>IF(J77="","",VLOOKUP(J77,'Inputs Mapping'!$T$27:$V$30,3))</f>
        <v/>
      </c>
      <c r="AM77" s="59" t="str">
        <f>IF(J77="","",VLOOKUP(J77,'Inputs Mapping'!$T$17:$V$24,3))</f>
        <v/>
      </c>
      <c r="AN77" s="59" t="str">
        <f t="shared" si="46"/>
        <v/>
      </c>
      <c r="AO77" s="102" t="str">
        <f t="shared" si="47"/>
        <v/>
      </c>
      <c r="AP77" s="102" t="str">
        <f>IF(F77="","",IF(G77="Dubai",HLOOKUP(F77,Inputs!$C$26:$M$36,5,0),HLOOKUP(F77,Inputs!$C$45:$M$49,5,0)))</f>
        <v/>
      </c>
      <c r="AQ77" s="102">
        <f t="shared" si="48"/>
        <v>0</v>
      </c>
      <c r="AR77" s="59" t="str">
        <f>IF(AM77="","",IF(AQ77="Dubai",VLOOKUP(AM77,'Inputs Mapping'!$V$17:$W$24,2,0),VLOOKUP(AL77,'Inputs Mapping'!$V$27:$W$30,2,0)))</f>
        <v/>
      </c>
      <c r="AS77" s="333">
        <f>IFERROR(IF($AQ77="","",HLOOKUP($AQ77&amp;RIGHT($AO77,1),'input for formula'!$B$16:$I$20,3,0)),0)</f>
        <v>0</v>
      </c>
      <c r="AT77" s="80">
        <f>IFERROR(IF($AQ77="","",HLOOKUP($AQ77&amp;$F77,'input for formula'!$B$22:$M$25,2,0)),0)</f>
        <v>0</v>
      </c>
      <c r="AU77" s="333">
        <f>IFERROR(IF($AQ77="","",HLOOKUP($AQ77&amp;RIGHT($AO77,1),'input for formula'!$B$16:$I$20,4,0)),0)</f>
        <v>0</v>
      </c>
      <c r="AV77" s="80">
        <f>IFERROR(IF($AQ77="","",HLOOKUP($AQ77&amp;$F77,'input for formula'!$B$22:$M$25,3,0)),0)</f>
        <v>0</v>
      </c>
      <c r="AW77" s="333">
        <f>IFERROR(IF($AQ77="","",HLOOKUP($AQ77&amp;RIGHT($AO77,1),'input for formula'!$B$16:$I$20,5,0)),0)</f>
        <v>0</v>
      </c>
      <c r="AX77" s="80">
        <f>IFERROR(IF($AQ77="","",HLOOKUP($AQ77&amp;$F77,'input for formula'!$B$22:$M$25,4,0)),0)</f>
        <v>0</v>
      </c>
      <c r="AY77" s="333">
        <f>IFERROR(IF($AQ77="","",IF(Additions!$AQ77="Abu Dhabi",VLOOKUP(Additions!$AP77,'input for formula'!$A$28:$C$41,3,0),VLOOKUP(Additions!$AP77,'input for formula'!$A$28:$C$41,2,0))),0)*IFERROR(1+IF(AQ77="Dubai",VLOOKUP(F77,'Quotation for Dubai Plans'!$V$6:$X$12,3,FALSE),VLOOKUP(F77,'Quotation for Abu Dhabi Plans'!$W$6:$Y$12,3,FALSE)),0)</f>
        <v>0</v>
      </c>
      <c r="AZ77" s="80" t="str">
        <f t="shared" si="23"/>
        <v/>
      </c>
      <c r="BA77" s="106" t="str">
        <f>IFERROR(IF(AO77="","",IF(AQ77="Dubai",HLOOKUP((AO77&amp;AP77),Deviation!$B$7:$S$8,2,0)*BI77*BK77*BL77*BJ77,HLOOKUP((AO77&amp;AP77),Deviation!$B$9:$K$10,2,0)*BI77*BK77*BL77*BJ77)),0)</f>
        <v/>
      </c>
      <c r="BB77" s="107" t="e">
        <f>IF(AO77="","",IFERROR(IF(AO77="","",IF(AQ77="Dubai",HLOOKUP(BC77,'input for formula'!$B$3:$F$10,AR77,FALSE), IF(AND(H77="Employee",AQ77="Abu Dhabi"),HLOOKUP(BC77,'input for formula'!$I$3:$K$7,AR77,FALSE),HLOOKUP(BC77,'input for formula'!$M$3:$O$7,AR77,FALSE)))*BA77+AS77*AT77+AU77*AV77+AW77*AX77),0)*$BC$3)*IF(Inputs!$C$19&gt;100,(1+$BC$2),1)</f>
        <v>#VALUE!</v>
      </c>
      <c r="BC77" s="95" t="str">
        <f t="shared" si="54"/>
        <v/>
      </c>
      <c r="BD77" s="334" t="str">
        <f>IF(F77="","",IF(G77="Dubai",HLOOKUP(F77,Inputs!$C$26:$M$37,9,0),HLOOKUP(F77,Inputs!$C$45:$M$56,9,0)))</f>
        <v/>
      </c>
      <c r="BE77" s="335" t="str">
        <f>IF(F77="","",IF(G77="Dubai",HLOOKUP(F77,Inputs!$C$26:$M$37,10,0),HLOOKUP(F77,Inputs!$C$45:$M$56,10,0)))</f>
        <v/>
      </c>
      <c r="BF77" s="335" t="str">
        <f>IF(F77="","",IF(G77="Dubai",HLOOKUP(F77,Inputs!$C$26:$M$37,11,0),HLOOKUP(F77,Inputs!$C$45:$M$56,11,0)))</f>
        <v/>
      </c>
      <c r="BG77" s="334" t="str">
        <f>IF(F77="","",IF(G77="Dubai",HLOOKUP(F77,Inputs!$C$26:$M$37,12,0),HLOOKUP(F77,Inputs!$C$45:$M$56,12,0)))</f>
        <v/>
      </c>
      <c r="BI77" s="334" t="str">
        <f>IFERROR(IF(AO77="","",IF(AQ77="Dubai",IF(OR(AO77="Plan1",AO77="Plan2"),VLOOKUP(BD77,Deviation!$B$31:$D$33,2,FALSE),VLOOKUP(BD77,Deviation!$B$31:$D$33,3,FALSE)),IF(OR(AO77="Plan1",AO77="Plan2"),VLOOKUP(BD77,Deviation!$E$31:$G$33,2,FALSE),VLOOKUP(BD77,Deviation!$E$31:$G$33,3,FALSE)))),0)</f>
        <v/>
      </c>
      <c r="BJ77" s="336" t="str">
        <f>IFERROR(IF(AO77="","",IF(AQ77="Dubai",IF(AO77="Plan1",VLOOKUP(BE77,Deviation!$B$39:$C$40,2,FALSE),IF(AO77="Plan2",VLOOKUP(BE77,Deviation!$B$42:$C$43,2,FALSE),IF(AO77="Plan5",VLOOKUP(BE77,Deviation!$B$48:$C$49,2,FALSE),VLOOKUP(BE77,Deviation!$B$45:$C$46,2,FALSE)))),IF(AO77="Plan1",VLOOKUP(BE77,Deviation!$E$39:$F$40,2,FALSE),IF(AO77="Plan2",VLOOKUP(BE77,Deviation!$E$42:$F$43,2,FALSE),VLOOKUP(BE77,Deviation!$E$45:$F$46,2,FALSE))))),0)</f>
        <v/>
      </c>
      <c r="BK77" s="336" t="str">
        <f>IFERROR(IF(AO77="","",IF(AQ77="Dubai",IF(OR(AO77="Plan1",AO77="Plan2"),VLOOKUP(BF77,Deviation!$B$15:$D$18,2,FALSE),VLOOKUP(BF77,Deviation!$B$15:$D$18,3,FALSE)),IF(OR(AO77="Plan1",AO77="Plan2"),VLOOKUP(BF77,Deviation!$E$15:$G$18,2,FALSE),VLOOKUP(BF77,Deviation!$E$15:$G$18,3,FALSE)))),0)</f>
        <v/>
      </c>
      <c r="BL77" s="334" t="str">
        <f>IFERROR(IF(AO77="","",IF(AQ77="Dubai",VLOOKUP(BG77,Deviation!$B$24:$C$26,2,FALSE),100%)),0)</f>
        <v/>
      </c>
    </row>
    <row r="78" spans="1:64" ht="14.25" x14ac:dyDescent="0.2">
      <c r="A78" s="59">
        <v>73</v>
      </c>
      <c r="B78" s="298"/>
      <c r="C78" s="299"/>
      <c r="D78" s="298"/>
      <c r="E78" s="298"/>
      <c r="F78" s="298"/>
      <c r="G78" s="298"/>
      <c r="H78" s="298"/>
      <c r="I78" s="298"/>
      <c r="J78" s="80" t="str">
        <f>IFERROR(ROUNDDOWN(IF(C78="","",(MAX((eff_date-Additions!C78)/365.25,0))),0),"")</f>
        <v/>
      </c>
      <c r="K78" s="59" t="str">
        <f>IF(F78="","",IF(G78="Dubai",HLOOKUP(F78,Inputs!$C$26:$M$28,3,0),HLOOKUP(F78,Inputs!$C$45:$M$46,2,0)))</f>
        <v/>
      </c>
      <c r="L78" s="335" t="str">
        <f t="shared" si="33"/>
        <v/>
      </c>
      <c r="M78" s="335">
        <f t="shared" si="34"/>
        <v>0</v>
      </c>
      <c r="N78" s="335" t="str">
        <f t="shared" si="35"/>
        <v/>
      </c>
      <c r="O78" s="335">
        <f t="shared" si="36"/>
        <v>0</v>
      </c>
      <c r="P78" s="104"/>
      <c r="Q78" s="105">
        <f t="shared" si="49"/>
        <v>0</v>
      </c>
      <c r="R78" s="59" t="b">
        <f t="shared" si="37"/>
        <v>0</v>
      </c>
      <c r="S78" s="102" t="str">
        <f t="shared" si="50"/>
        <v>x</v>
      </c>
      <c r="T78" s="102" t="str">
        <f t="shared" si="38"/>
        <v>x</v>
      </c>
      <c r="U78" s="102" t="str">
        <f t="shared" si="39"/>
        <v>x</v>
      </c>
      <c r="V78" s="102" t="str">
        <f t="shared" si="40"/>
        <v>x</v>
      </c>
      <c r="W78" s="102" t="str">
        <f t="shared" si="41"/>
        <v>x</v>
      </c>
      <c r="X78" s="102" t="str">
        <f>IF(ISERROR(MATCH(G78,'Inputs Mapping'!$T$4:$T$5,0)),"x","")</f>
        <v>x</v>
      </c>
      <c r="Y78" s="102" t="str">
        <f>IF(ISERROR(MATCH(AE78,'Inputs Mapping'!$U$4:$U$5,0)),"x","")</f>
        <v>x</v>
      </c>
      <c r="Z78" s="102" t="str">
        <f>IF(ISERROR(MATCH(AF78,'Inputs Mapping'!$V$4:$V$5,0)),"x","")</f>
        <v>x</v>
      </c>
      <c r="AA78" s="102" t="str">
        <f>IF(ISERROR(MATCH(F78,'Inputs Mapping'!$W$4:$W$8,0)),"x","")</f>
        <v>x</v>
      </c>
      <c r="AB78" s="102" t="str">
        <f t="shared" si="42"/>
        <v/>
      </c>
      <c r="AC78" s="102" t="str">
        <f t="shared" si="43"/>
        <v/>
      </c>
      <c r="AD78" s="102" t="str">
        <f t="shared" si="44"/>
        <v/>
      </c>
      <c r="AE78" s="102" t="str">
        <f t="shared" si="51"/>
        <v/>
      </c>
      <c r="AF78" s="102" t="str">
        <f t="shared" si="52"/>
        <v/>
      </c>
      <c r="AG78" s="102" t="str">
        <f t="shared" si="53"/>
        <v>x</v>
      </c>
      <c r="AK78" s="95" t="str">
        <f t="shared" si="45"/>
        <v/>
      </c>
      <c r="AL78" s="59" t="str">
        <f>IF(J78="","",VLOOKUP(J78,'Inputs Mapping'!$T$27:$V$30,3))</f>
        <v/>
      </c>
      <c r="AM78" s="59" t="str">
        <f>IF(J78="","",VLOOKUP(J78,'Inputs Mapping'!$T$17:$V$24,3))</f>
        <v/>
      </c>
      <c r="AN78" s="59" t="str">
        <f t="shared" si="46"/>
        <v/>
      </c>
      <c r="AO78" s="102" t="str">
        <f t="shared" si="47"/>
        <v/>
      </c>
      <c r="AP78" s="102" t="str">
        <f>IF(F78="","",IF(G78="Dubai",HLOOKUP(F78,Inputs!$C$26:$M$36,5,0),HLOOKUP(F78,Inputs!$C$45:$M$49,5,0)))</f>
        <v/>
      </c>
      <c r="AQ78" s="102">
        <f t="shared" si="48"/>
        <v>0</v>
      </c>
      <c r="AR78" s="59" t="str">
        <f>IF(AM78="","",IF(AQ78="Dubai",VLOOKUP(AM78,'Inputs Mapping'!$V$17:$W$24,2,0),VLOOKUP(AL78,'Inputs Mapping'!$V$27:$W$30,2,0)))</f>
        <v/>
      </c>
      <c r="AS78" s="333">
        <f>IFERROR(IF($AQ78="","",HLOOKUP($AQ78&amp;RIGHT($AO78,1),'input for formula'!$B$16:$I$20,3,0)),0)</f>
        <v>0</v>
      </c>
      <c r="AT78" s="80">
        <f>IFERROR(IF($AQ78="","",HLOOKUP($AQ78&amp;$F78,'input for formula'!$B$22:$M$25,2,0)),0)</f>
        <v>0</v>
      </c>
      <c r="AU78" s="333">
        <f>IFERROR(IF($AQ78="","",HLOOKUP($AQ78&amp;RIGHT($AO78,1),'input for formula'!$B$16:$I$20,4,0)),0)</f>
        <v>0</v>
      </c>
      <c r="AV78" s="80">
        <f>IFERROR(IF($AQ78="","",HLOOKUP($AQ78&amp;$F78,'input for formula'!$B$22:$M$25,3,0)),0)</f>
        <v>0</v>
      </c>
      <c r="AW78" s="333">
        <f>IFERROR(IF($AQ78="","",HLOOKUP($AQ78&amp;RIGHT($AO78,1),'input for formula'!$B$16:$I$20,5,0)),0)</f>
        <v>0</v>
      </c>
      <c r="AX78" s="80">
        <f>IFERROR(IF($AQ78="","",HLOOKUP($AQ78&amp;$F78,'input for formula'!$B$22:$M$25,4,0)),0)</f>
        <v>0</v>
      </c>
      <c r="AY78" s="333">
        <f>IFERROR(IF($AQ78="","",IF(Additions!$AQ78="Abu Dhabi",VLOOKUP(Additions!$AP78,'input for formula'!$A$28:$C$41,3,0),VLOOKUP(Additions!$AP78,'input for formula'!$A$28:$C$41,2,0))),0)*IFERROR(1+IF(AQ78="Dubai",VLOOKUP(F78,'Quotation for Dubai Plans'!$V$6:$X$12,3,FALSE),VLOOKUP(F78,'Quotation for Abu Dhabi Plans'!$W$6:$Y$12,3,FALSE)),0)</f>
        <v>0</v>
      </c>
      <c r="AZ78" s="80" t="str">
        <f t="shared" si="23"/>
        <v/>
      </c>
      <c r="BA78" s="106" t="str">
        <f>IFERROR(IF(AO78="","",IF(AQ78="Dubai",HLOOKUP((AO78&amp;AP78),Deviation!$B$7:$S$8,2,0)*BI78*BK78*BL78*BJ78,HLOOKUP((AO78&amp;AP78),Deviation!$B$9:$K$10,2,0)*BI78*BK78*BL78*BJ78)),0)</f>
        <v/>
      </c>
      <c r="BB78" s="107" t="e">
        <f>IF(AO78="","",IFERROR(IF(AO78="","",IF(AQ78="Dubai",HLOOKUP(BC78,'input for formula'!$B$3:$F$10,AR78,FALSE), IF(AND(H78="Employee",AQ78="Abu Dhabi"),HLOOKUP(BC78,'input for formula'!$I$3:$K$7,AR78,FALSE),HLOOKUP(BC78,'input for formula'!$M$3:$O$7,AR78,FALSE)))*BA78+AS78*AT78+AU78*AV78+AW78*AX78),0)*$BC$3)*IF(Inputs!$C$19&gt;100,(1+$BC$2),1)</f>
        <v>#VALUE!</v>
      </c>
      <c r="BC78" s="95" t="str">
        <f t="shared" si="54"/>
        <v/>
      </c>
      <c r="BD78" s="334" t="str">
        <f>IF(F78="","",IF(G78="Dubai",HLOOKUP(F78,Inputs!$C$26:$M$37,9,0),HLOOKUP(F78,Inputs!$C$45:$M$56,9,0)))</f>
        <v/>
      </c>
      <c r="BE78" s="335" t="str">
        <f>IF(F78="","",IF(G78="Dubai",HLOOKUP(F78,Inputs!$C$26:$M$37,10,0),HLOOKUP(F78,Inputs!$C$45:$M$56,10,0)))</f>
        <v/>
      </c>
      <c r="BF78" s="335" t="str">
        <f>IF(F78="","",IF(G78="Dubai",HLOOKUP(F78,Inputs!$C$26:$M$37,11,0),HLOOKUP(F78,Inputs!$C$45:$M$56,11,0)))</f>
        <v/>
      </c>
      <c r="BG78" s="334" t="str">
        <f>IF(F78="","",IF(G78="Dubai",HLOOKUP(F78,Inputs!$C$26:$M$37,12,0),HLOOKUP(F78,Inputs!$C$45:$M$56,12,0)))</f>
        <v/>
      </c>
      <c r="BI78" s="334" t="str">
        <f>IFERROR(IF(AO78="","",IF(AQ78="Dubai",IF(OR(AO78="Plan1",AO78="Plan2"),VLOOKUP(BD78,Deviation!$B$31:$D$33,2,FALSE),VLOOKUP(BD78,Deviation!$B$31:$D$33,3,FALSE)),IF(OR(AO78="Plan1",AO78="Plan2"),VLOOKUP(BD78,Deviation!$E$31:$G$33,2,FALSE),VLOOKUP(BD78,Deviation!$E$31:$G$33,3,FALSE)))),0)</f>
        <v/>
      </c>
      <c r="BJ78" s="336" t="str">
        <f>IFERROR(IF(AO78="","",IF(AQ78="Dubai",IF(AO78="Plan1",VLOOKUP(BE78,Deviation!$B$39:$C$40,2,FALSE),IF(AO78="Plan2",VLOOKUP(BE78,Deviation!$B$42:$C$43,2,FALSE),IF(AO78="Plan5",VLOOKUP(BE78,Deviation!$B$48:$C$49,2,FALSE),VLOOKUP(BE78,Deviation!$B$45:$C$46,2,FALSE)))),IF(AO78="Plan1",VLOOKUP(BE78,Deviation!$E$39:$F$40,2,FALSE),IF(AO78="Plan2",VLOOKUP(BE78,Deviation!$E$42:$F$43,2,FALSE),VLOOKUP(BE78,Deviation!$E$45:$F$46,2,FALSE))))),0)</f>
        <v/>
      </c>
      <c r="BK78" s="336" t="str">
        <f>IFERROR(IF(AO78="","",IF(AQ78="Dubai",IF(OR(AO78="Plan1",AO78="Plan2"),VLOOKUP(BF78,Deviation!$B$15:$D$18,2,FALSE),VLOOKUP(BF78,Deviation!$B$15:$D$18,3,FALSE)),IF(OR(AO78="Plan1",AO78="Plan2"),VLOOKUP(BF78,Deviation!$E$15:$G$18,2,FALSE),VLOOKUP(BF78,Deviation!$E$15:$G$18,3,FALSE)))),0)</f>
        <v/>
      </c>
      <c r="BL78" s="334" t="str">
        <f>IFERROR(IF(AO78="","",IF(AQ78="Dubai",VLOOKUP(BG78,Deviation!$B$24:$C$26,2,FALSE),100%)),0)</f>
        <v/>
      </c>
    </row>
    <row r="79" spans="1:64" ht="14.25" x14ac:dyDescent="0.2">
      <c r="A79" s="59">
        <v>74</v>
      </c>
      <c r="B79" s="298"/>
      <c r="C79" s="299"/>
      <c r="D79" s="298"/>
      <c r="E79" s="298"/>
      <c r="F79" s="298"/>
      <c r="G79" s="298"/>
      <c r="H79" s="298"/>
      <c r="I79" s="298"/>
      <c r="J79" s="80" t="str">
        <f>IFERROR(ROUNDDOWN(IF(C79="","",(MAX((eff_date-Additions!C79)/365.25,0))),0),"")</f>
        <v/>
      </c>
      <c r="K79" s="59" t="str">
        <f>IF(F79="","",IF(G79="Dubai",HLOOKUP(F79,Inputs!$C$26:$M$28,3,0),HLOOKUP(F79,Inputs!$C$45:$M$46,2,0)))</f>
        <v/>
      </c>
      <c r="L79" s="335" t="str">
        <f t="shared" si="33"/>
        <v/>
      </c>
      <c r="M79" s="335">
        <f t="shared" si="34"/>
        <v>0</v>
      </c>
      <c r="N79" s="335" t="str">
        <f t="shared" si="35"/>
        <v/>
      </c>
      <c r="O79" s="335">
        <f t="shared" si="36"/>
        <v>0</v>
      </c>
      <c r="P79" s="104"/>
      <c r="Q79" s="105">
        <f t="shared" si="49"/>
        <v>0</v>
      </c>
      <c r="R79" s="59" t="b">
        <f t="shared" si="37"/>
        <v>0</v>
      </c>
      <c r="S79" s="102" t="str">
        <f t="shared" si="50"/>
        <v>x</v>
      </c>
      <c r="T79" s="102" t="str">
        <f t="shared" si="38"/>
        <v>x</v>
      </c>
      <c r="U79" s="102" t="str">
        <f t="shared" si="39"/>
        <v>x</v>
      </c>
      <c r="V79" s="102" t="str">
        <f t="shared" si="40"/>
        <v>x</v>
      </c>
      <c r="W79" s="102" t="str">
        <f t="shared" si="41"/>
        <v>x</v>
      </c>
      <c r="X79" s="102" t="str">
        <f>IF(ISERROR(MATCH(G79,'Inputs Mapping'!$T$4:$T$5,0)),"x","")</f>
        <v>x</v>
      </c>
      <c r="Y79" s="102" t="str">
        <f>IF(ISERROR(MATCH(AE79,'Inputs Mapping'!$U$4:$U$5,0)),"x","")</f>
        <v>x</v>
      </c>
      <c r="Z79" s="102" t="str">
        <f>IF(ISERROR(MATCH(AF79,'Inputs Mapping'!$V$4:$V$5,0)),"x","")</f>
        <v>x</v>
      </c>
      <c r="AA79" s="102" t="str">
        <f>IF(ISERROR(MATCH(F79,'Inputs Mapping'!$W$4:$W$8,0)),"x","")</f>
        <v>x</v>
      </c>
      <c r="AB79" s="102" t="str">
        <f t="shared" si="42"/>
        <v/>
      </c>
      <c r="AC79" s="102" t="str">
        <f t="shared" si="43"/>
        <v/>
      </c>
      <c r="AD79" s="102" t="str">
        <f t="shared" si="44"/>
        <v/>
      </c>
      <c r="AE79" s="102" t="str">
        <f t="shared" si="51"/>
        <v/>
      </c>
      <c r="AF79" s="102" t="str">
        <f t="shared" si="52"/>
        <v/>
      </c>
      <c r="AG79" s="102" t="str">
        <f t="shared" si="53"/>
        <v>x</v>
      </c>
      <c r="AK79" s="95" t="str">
        <f t="shared" si="45"/>
        <v/>
      </c>
      <c r="AL79" s="59" t="str">
        <f>IF(J79="","",VLOOKUP(J79,'Inputs Mapping'!$T$27:$V$30,3))</f>
        <v/>
      </c>
      <c r="AM79" s="59" t="str">
        <f>IF(J79="","",VLOOKUP(J79,'Inputs Mapping'!$T$17:$V$24,3))</f>
        <v/>
      </c>
      <c r="AN79" s="59" t="str">
        <f t="shared" si="46"/>
        <v/>
      </c>
      <c r="AO79" s="102" t="str">
        <f t="shared" si="47"/>
        <v/>
      </c>
      <c r="AP79" s="102" t="str">
        <f>IF(F79="","",IF(G79="Dubai",HLOOKUP(F79,Inputs!$C$26:$M$36,5,0),HLOOKUP(F79,Inputs!$C$45:$M$49,5,0)))</f>
        <v/>
      </c>
      <c r="AQ79" s="102">
        <f t="shared" si="48"/>
        <v>0</v>
      </c>
      <c r="AR79" s="59" t="str">
        <f>IF(AM79="","",IF(AQ79="Dubai",VLOOKUP(AM79,'Inputs Mapping'!$V$17:$W$24,2,0),VLOOKUP(AL79,'Inputs Mapping'!$V$27:$W$30,2,0)))</f>
        <v/>
      </c>
      <c r="AS79" s="333">
        <f>IFERROR(IF($AQ79="","",HLOOKUP($AQ79&amp;RIGHT($AO79,1),'input for formula'!$B$16:$I$20,3,0)),0)</f>
        <v>0</v>
      </c>
      <c r="AT79" s="80">
        <f>IFERROR(IF($AQ79="","",HLOOKUP($AQ79&amp;$F79,'input for formula'!$B$22:$M$25,2,0)),0)</f>
        <v>0</v>
      </c>
      <c r="AU79" s="333">
        <f>IFERROR(IF($AQ79="","",HLOOKUP($AQ79&amp;RIGHT($AO79,1),'input for formula'!$B$16:$I$20,4,0)),0)</f>
        <v>0</v>
      </c>
      <c r="AV79" s="80">
        <f>IFERROR(IF($AQ79="","",HLOOKUP($AQ79&amp;$F79,'input for formula'!$B$22:$M$25,3,0)),0)</f>
        <v>0</v>
      </c>
      <c r="AW79" s="333">
        <f>IFERROR(IF($AQ79="","",HLOOKUP($AQ79&amp;RIGHT($AO79,1),'input for formula'!$B$16:$I$20,5,0)),0)</f>
        <v>0</v>
      </c>
      <c r="AX79" s="80">
        <f>IFERROR(IF($AQ79="","",HLOOKUP($AQ79&amp;$F79,'input for formula'!$B$22:$M$25,4,0)),0)</f>
        <v>0</v>
      </c>
      <c r="AY79" s="333">
        <f>IFERROR(IF($AQ79="","",IF(Additions!$AQ79="Abu Dhabi",VLOOKUP(Additions!$AP79,'input for formula'!$A$28:$C$41,3,0),VLOOKUP(Additions!$AP79,'input for formula'!$A$28:$C$41,2,0))),0)*IFERROR(1+IF(AQ79="Dubai",VLOOKUP(F79,'Quotation for Dubai Plans'!$V$6:$X$12,3,FALSE),VLOOKUP(F79,'Quotation for Abu Dhabi Plans'!$W$6:$Y$12,3,FALSE)),0)</f>
        <v>0</v>
      </c>
      <c r="AZ79" s="80" t="str">
        <f t="shared" si="23"/>
        <v/>
      </c>
      <c r="BA79" s="106" t="str">
        <f>IFERROR(IF(AO79="","",IF(AQ79="Dubai",HLOOKUP((AO79&amp;AP79),Deviation!$B$7:$S$8,2,0)*BI79*BK79*BL79*BJ79,HLOOKUP((AO79&amp;AP79),Deviation!$B$9:$K$10,2,0)*BI79*BK79*BL79*BJ79)),0)</f>
        <v/>
      </c>
      <c r="BB79" s="107" t="e">
        <f>IF(AO79="","",IFERROR(IF(AO79="","",IF(AQ79="Dubai",HLOOKUP(BC79,'input for formula'!$B$3:$F$10,AR79,FALSE), IF(AND(H79="Employee",AQ79="Abu Dhabi"),HLOOKUP(BC79,'input for formula'!$I$3:$K$7,AR79,FALSE),HLOOKUP(BC79,'input for formula'!$M$3:$O$7,AR79,FALSE)))*BA79+AS79*AT79+AU79*AV79+AW79*AX79),0)*$BC$3)*IF(Inputs!$C$19&gt;100,(1+$BC$2),1)</f>
        <v>#VALUE!</v>
      </c>
      <c r="BC79" s="95" t="str">
        <f t="shared" si="54"/>
        <v/>
      </c>
      <c r="BD79" s="334" t="str">
        <f>IF(F79="","",IF(G79="Dubai",HLOOKUP(F79,Inputs!$C$26:$M$37,9,0),HLOOKUP(F79,Inputs!$C$45:$M$56,9,0)))</f>
        <v/>
      </c>
      <c r="BE79" s="335" t="str">
        <f>IF(F79="","",IF(G79="Dubai",HLOOKUP(F79,Inputs!$C$26:$M$37,10,0),HLOOKUP(F79,Inputs!$C$45:$M$56,10,0)))</f>
        <v/>
      </c>
      <c r="BF79" s="335" t="str">
        <f>IF(F79="","",IF(G79="Dubai",HLOOKUP(F79,Inputs!$C$26:$M$37,11,0),HLOOKUP(F79,Inputs!$C$45:$M$56,11,0)))</f>
        <v/>
      </c>
      <c r="BG79" s="334" t="str">
        <f>IF(F79="","",IF(G79="Dubai",HLOOKUP(F79,Inputs!$C$26:$M$37,12,0),HLOOKUP(F79,Inputs!$C$45:$M$56,12,0)))</f>
        <v/>
      </c>
      <c r="BI79" s="334" t="str">
        <f>IFERROR(IF(AO79="","",IF(AQ79="Dubai",IF(OR(AO79="Plan1",AO79="Plan2"),VLOOKUP(BD79,Deviation!$B$31:$D$33,2,FALSE),VLOOKUP(BD79,Deviation!$B$31:$D$33,3,FALSE)),IF(OR(AO79="Plan1",AO79="Plan2"),VLOOKUP(BD79,Deviation!$E$31:$G$33,2,FALSE),VLOOKUP(BD79,Deviation!$E$31:$G$33,3,FALSE)))),0)</f>
        <v/>
      </c>
      <c r="BJ79" s="336" t="str">
        <f>IFERROR(IF(AO79="","",IF(AQ79="Dubai",IF(AO79="Plan1",VLOOKUP(BE79,Deviation!$B$39:$C$40,2,FALSE),IF(AO79="Plan2",VLOOKUP(BE79,Deviation!$B$42:$C$43,2,FALSE),IF(AO79="Plan5",VLOOKUP(BE79,Deviation!$B$48:$C$49,2,FALSE),VLOOKUP(BE79,Deviation!$B$45:$C$46,2,FALSE)))),IF(AO79="Plan1",VLOOKUP(BE79,Deviation!$E$39:$F$40,2,FALSE),IF(AO79="Plan2",VLOOKUP(BE79,Deviation!$E$42:$F$43,2,FALSE),VLOOKUP(BE79,Deviation!$E$45:$F$46,2,FALSE))))),0)</f>
        <v/>
      </c>
      <c r="BK79" s="336" t="str">
        <f>IFERROR(IF(AO79="","",IF(AQ79="Dubai",IF(OR(AO79="Plan1",AO79="Plan2"),VLOOKUP(BF79,Deviation!$B$15:$D$18,2,FALSE),VLOOKUP(BF79,Deviation!$B$15:$D$18,3,FALSE)),IF(OR(AO79="Plan1",AO79="Plan2"),VLOOKUP(BF79,Deviation!$E$15:$G$18,2,FALSE),VLOOKUP(BF79,Deviation!$E$15:$G$18,3,FALSE)))),0)</f>
        <v/>
      </c>
      <c r="BL79" s="334" t="str">
        <f>IFERROR(IF(AO79="","",IF(AQ79="Dubai",VLOOKUP(BG79,Deviation!$B$24:$C$26,2,FALSE),100%)),0)</f>
        <v/>
      </c>
    </row>
    <row r="80" spans="1:64" ht="14.25" x14ac:dyDescent="0.2">
      <c r="A80" s="59">
        <v>75</v>
      </c>
      <c r="B80" s="298"/>
      <c r="C80" s="299"/>
      <c r="D80" s="298"/>
      <c r="E80" s="298"/>
      <c r="F80" s="298"/>
      <c r="G80" s="298"/>
      <c r="H80" s="298"/>
      <c r="I80" s="298"/>
      <c r="J80" s="80" t="str">
        <f>IFERROR(ROUNDDOWN(IF(C80="","",(MAX((eff_date-Additions!C80)/365.25,0))),0),"")</f>
        <v/>
      </c>
      <c r="K80" s="59" t="str">
        <f>IF(F80="","",IF(G80="Dubai",HLOOKUP(F80,Inputs!$C$26:$M$28,3,0),HLOOKUP(F80,Inputs!$C$45:$M$46,2,0)))</f>
        <v/>
      </c>
      <c r="L80" s="335" t="str">
        <f t="shared" si="33"/>
        <v/>
      </c>
      <c r="M80" s="335">
        <f t="shared" si="34"/>
        <v>0</v>
      </c>
      <c r="N80" s="335" t="str">
        <f t="shared" si="35"/>
        <v/>
      </c>
      <c r="O80" s="335">
        <f t="shared" si="36"/>
        <v>0</v>
      </c>
      <c r="P80" s="104"/>
      <c r="Q80" s="105">
        <f t="shared" si="49"/>
        <v>0</v>
      </c>
      <c r="R80" s="59" t="b">
        <f t="shared" si="37"/>
        <v>0</v>
      </c>
      <c r="S80" s="102" t="str">
        <f t="shared" si="50"/>
        <v>x</v>
      </c>
      <c r="T80" s="102" t="str">
        <f t="shared" si="38"/>
        <v>x</v>
      </c>
      <c r="U80" s="102" t="str">
        <f t="shared" si="39"/>
        <v>x</v>
      </c>
      <c r="V80" s="102" t="str">
        <f t="shared" si="40"/>
        <v>x</v>
      </c>
      <c r="W80" s="102" t="str">
        <f t="shared" si="41"/>
        <v>x</v>
      </c>
      <c r="X80" s="102" t="str">
        <f>IF(ISERROR(MATCH(G80,'Inputs Mapping'!$T$4:$T$5,0)),"x","")</f>
        <v>x</v>
      </c>
      <c r="Y80" s="102" t="str">
        <f>IF(ISERROR(MATCH(AE80,'Inputs Mapping'!$U$4:$U$5,0)),"x","")</f>
        <v>x</v>
      </c>
      <c r="Z80" s="102" t="str">
        <f>IF(ISERROR(MATCH(AF80,'Inputs Mapping'!$V$4:$V$5,0)),"x","")</f>
        <v>x</v>
      </c>
      <c r="AA80" s="102" t="str">
        <f>IF(ISERROR(MATCH(F80,'Inputs Mapping'!$W$4:$W$8,0)),"x","")</f>
        <v>x</v>
      </c>
      <c r="AB80" s="102" t="str">
        <f t="shared" si="42"/>
        <v/>
      </c>
      <c r="AC80" s="102" t="str">
        <f t="shared" si="43"/>
        <v/>
      </c>
      <c r="AD80" s="102" t="str">
        <f t="shared" si="44"/>
        <v/>
      </c>
      <c r="AE80" s="102" t="str">
        <f t="shared" si="51"/>
        <v/>
      </c>
      <c r="AF80" s="102" t="str">
        <f t="shared" si="52"/>
        <v/>
      </c>
      <c r="AG80" s="102" t="str">
        <f t="shared" si="53"/>
        <v>x</v>
      </c>
      <c r="AK80" s="95" t="str">
        <f t="shared" si="45"/>
        <v/>
      </c>
      <c r="AL80" s="59" t="str">
        <f>IF(J80="","",VLOOKUP(J80,'Inputs Mapping'!$T$27:$V$30,3))</f>
        <v/>
      </c>
      <c r="AM80" s="59" t="str">
        <f>IF(J80="","",VLOOKUP(J80,'Inputs Mapping'!$T$17:$V$24,3))</f>
        <v/>
      </c>
      <c r="AN80" s="59" t="str">
        <f t="shared" si="46"/>
        <v/>
      </c>
      <c r="AO80" s="102" t="str">
        <f t="shared" si="47"/>
        <v/>
      </c>
      <c r="AP80" s="102" t="str">
        <f>IF(F80="","",IF(G80="Dubai",HLOOKUP(F80,Inputs!$C$26:$M$36,5,0),HLOOKUP(F80,Inputs!$C$45:$M$49,5,0)))</f>
        <v/>
      </c>
      <c r="AQ80" s="102">
        <f t="shared" si="48"/>
        <v>0</v>
      </c>
      <c r="AR80" s="59" t="str">
        <f>IF(AM80="","",IF(AQ80="Dubai",VLOOKUP(AM80,'Inputs Mapping'!$V$17:$W$24,2,0),VLOOKUP(AL80,'Inputs Mapping'!$V$27:$W$30,2,0)))</f>
        <v/>
      </c>
      <c r="AS80" s="333">
        <f>IFERROR(IF($AQ80="","",HLOOKUP($AQ80&amp;RIGHT($AO80,1),'input for formula'!$B$16:$I$20,3,0)),0)</f>
        <v>0</v>
      </c>
      <c r="AT80" s="80">
        <f>IFERROR(IF($AQ80="","",HLOOKUP($AQ80&amp;$F80,'input for formula'!$B$22:$M$25,2,0)),0)</f>
        <v>0</v>
      </c>
      <c r="AU80" s="333">
        <f>IFERROR(IF($AQ80="","",HLOOKUP($AQ80&amp;RIGHT($AO80,1),'input for formula'!$B$16:$I$20,4,0)),0)</f>
        <v>0</v>
      </c>
      <c r="AV80" s="80">
        <f>IFERROR(IF($AQ80="","",HLOOKUP($AQ80&amp;$F80,'input for formula'!$B$22:$M$25,3,0)),0)</f>
        <v>0</v>
      </c>
      <c r="AW80" s="333">
        <f>IFERROR(IF($AQ80="","",HLOOKUP($AQ80&amp;RIGHT($AO80,1),'input for formula'!$B$16:$I$20,5,0)),0)</f>
        <v>0</v>
      </c>
      <c r="AX80" s="80">
        <f>IFERROR(IF($AQ80="","",HLOOKUP($AQ80&amp;$F80,'input for formula'!$B$22:$M$25,4,0)),0)</f>
        <v>0</v>
      </c>
      <c r="AY80" s="333">
        <f>IFERROR(IF($AQ80="","",IF(Additions!$AQ80="Abu Dhabi",VLOOKUP(Additions!$AP80,'input for formula'!$A$28:$C$41,3,0),VLOOKUP(Additions!$AP80,'input for formula'!$A$28:$C$41,2,0))),0)*IFERROR(1+IF(AQ80="Dubai",VLOOKUP(F80,'Quotation for Dubai Plans'!$V$6:$X$12,3,FALSE),VLOOKUP(F80,'Quotation for Abu Dhabi Plans'!$W$6:$Y$12,3,FALSE)),0)</f>
        <v>0</v>
      </c>
      <c r="AZ80" s="80" t="str">
        <f t="shared" si="23"/>
        <v/>
      </c>
      <c r="BA80" s="106" t="str">
        <f>IFERROR(IF(AO80="","",IF(AQ80="Dubai",HLOOKUP((AO80&amp;AP80),Deviation!$B$7:$S$8,2,0)*BI80*BK80*BL80*BJ80,HLOOKUP((AO80&amp;AP80),Deviation!$B$9:$K$10,2,0)*BI80*BK80*BL80*BJ80)),0)</f>
        <v/>
      </c>
      <c r="BB80" s="107" t="e">
        <f>IF(AO80="","",IFERROR(IF(AO80="","",IF(AQ80="Dubai",HLOOKUP(BC80,'input for formula'!$B$3:$F$10,AR80,FALSE), IF(AND(H80="Employee",AQ80="Abu Dhabi"),HLOOKUP(BC80,'input for formula'!$I$3:$K$7,AR80,FALSE),HLOOKUP(BC80,'input for formula'!$M$3:$O$7,AR80,FALSE)))*BA80+AS80*AT80+AU80*AV80+AW80*AX80),0)*$BC$3)*IF(Inputs!$C$19&gt;100,(1+$BC$2),1)</f>
        <v>#VALUE!</v>
      </c>
      <c r="BC80" s="95" t="str">
        <f t="shared" si="54"/>
        <v/>
      </c>
      <c r="BD80" s="334" t="str">
        <f>IF(F80="","",IF(G80="Dubai",HLOOKUP(F80,Inputs!$C$26:$M$37,9,0),HLOOKUP(F80,Inputs!$C$45:$M$56,9,0)))</f>
        <v/>
      </c>
      <c r="BE80" s="335" t="str">
        <f>IF(F80="","",IF(G80="Dubai",HLOOKUP(F80,Inputs!$C$26:$M$37,10,0),HLOOKUP(F80,Inputs!$C$45:$M$56,10,0)))</f>
        <v/>
      </c>
      <c r="BF80" s="335" t="str">
        <f>IF(F80="","",IF(G80="Dubai",HLOOKUP(F80,Inputs!$C$26:$M$37,11,0),HLOOKUP(F80,Inputs!$C$45:$M$56,11,0)))</f>
        <v/>
      </c>
      <c r="BG80" s="334" t="str">
        <f>IF(F80="","",IF(G80="Dubai",HLOOKUP(F80,Inputs!$C$26:$M$37,12,0),HLOOKUP(F80,Inputs!$C$45:$M$56,12,0)))</f>
        <v/>
      </c>
      <c r="BI80" s="334" t="str">
        <f>IFERROR(IF(AO80="","",IF(AQ80="Dubai",IF(OR(AO80="Plan1",AO80="Plan2"),VLOOKUP(BD80,Deviation!$B$31:$D$33,2,FALSE),VLOOKUP(BD80,Deviation!$B$31:$D$33,3,FALSE)),IF(OR(AO80="Plan1",AO80="Plan2"),VLOOKUP(BD80,Deviation!$E$31:$G$33,2,FALSE),VLOOKUP(BD80,Deviation!$E$31:$G$33,3,FALSE)))),0)</f>
        <v/>
      </c>
      <c r="BJ80" s="336" t="str">
        <f>IFERROR(IF(AO80="","",IF(AQ80="Dubai",IF(AO80="Plan1",VLOOKUP(BE80,Deviation!$B$39:$C$40,2,FALSE),IF(AO80="Plan2",VLOOKUP(BE80,Deviation!$B$42:$C$43,2,FALSE),IF(AO80="Plan5",VLOOKUP(BE80,Deviation!$B$48:$C$49,2,FALSE),VLOOKUP(BE80,Deviation!$B$45:$C$46,2,FALSE)))),IF(AO80="Plan1",VLOOKUP(BE80,Deviation!$E$39:$F$40,2,FALSE),IF(AO80="Plan2",VLOOKUP(BE80,Deviation!$E$42:$F$43,2,FALSE),VLOOKUP(BE80,Deviation!$E$45:$F$46,2,FALSE))))),0)</f>
        <v/>
      </c>
      <c r="BK80" s="336" t="str">
        <f>IFERROR(IF(AO80="","",IF(AQ80="Dubai",IF(OR(AO80="Plan1",AO80="Plan2"),VLOOKUP(BF80,Deviation!$B$15:$D$18,2,FALSE),VLOOKUP(BF80,Deviation!$B$15:$D$18,3,FALSE)),IF(OR(AO80="Plan1",AO80="Plan2"),VLOOKUP(BF80,Deviation!$E$15:$G$18,2,FALSE),VLOOKUP(BF80,Deviation!$E$15:$G$18,3,FALSE)))),0)</f>
        <v/>
      </c>
      <c r="BL80" s="334" t="str">
        <f>IFERROR(IF(AO80="","",IF(AQ80="Dubai",VLOOKUP(BG80,Deviation!$B$24:$C$26,2,FALSE),100%)),0)</f>
        <v/>
      </c>
    </row>
    <row r="81" spans="1:64" ht="14.25" x14ac:dyDescent="0.2">
      <c r="A81" s="59">
        <v>76</v>
      </c>
      <c r="B81" s="298"/>
      <c r="C81" s="299"/>
      <c r="D81" s="298"/>
      <c r="E81" s="298"/>
      <c r="F81" s="298"/>
      <c r="G81" s="298"/>
      <c r="H81" s="298"/>
      <c r="I81" s="298"/>
      <c r="J81" s="80" t="str">
        <f>IFERROR(ROUNDDOWN(IF(C81="","",(MAX((eff_date-Additions!C81)/365.25,0))),0),"")</f>
        <v/>
      </c>
      <c r="K81" s="59" t="str">
        <f>IF(F81="","",IF(G81="Dubai",HLOOKUP(F81,Inputs!$C$26:$M$28,3,0),HLOOKUP(F81,Inputs!$C$45:$M$46,2,0)))</f>
        <v/>
      </c>
      <c r="L81" s="335" t="str">
        <f t="shared" si="33"/>
        <v/>
      </c>
      <c r="M81" s="335">
        <f t="shared" si="34"/>
        <v>0</v>
      </c>
      <c r="N81" s="335" t="str">
        <f t="shared" si="35"/>
        <v/>
      </c>
      <c r="O81" s="335">
        <f t="shared" si="36"/>
        <v>0</v>
      </c>
      <c r="P81" s="104"/>
      <c r="Q81" s="105">
        <f t="shared" si="49"/>
        <v>0</v>
      </c>
      <c r="R81" s="59" t="b">
        <f t="shared" si="37"/>
        <v>0</v>
      </c>
      <c r="S81" s="102" t="str">
        <f t="shared" si="50"/>
        <v>x</v>
      </c>
      <c r="T81" s="102" t="str">
        <f t="shared" si="38"/>
        <v>x</v>
      </c>
      <c r="U81" s="102" t="str">
        <f t="shared" si="39"/>
        <v>x</v>
      </c>
      <c r="V81" s="102" t="str">
        <f t="shared" si="40"/>
        <v>x</v>
      </c>
      <c r="W81" s="102" t="str">
        <f t="shared" si="41"/>
        <v>x</v>
      </c>
      <c r="X81" s="102" t="str">
        <f>IF(ISERROR(MATCH(G81,'Inputs Mapping'!$T$4:$T$5,0)),"x","")</f>
        <v>x</v>
      </c>
      <c r="Y81" s="102" t="str">
        <f>IF(ISERROR(MATCH(AE81,'Inputs Mapping'!$U$4:$U$5,0)),"x","")</f>
        <v>x</v>
      </c>
      <c r="Z81" s="102" t="str">
        <f>IF(ISERROR(MATCH(AF81,'Inputs Mapping'!$V$4:$V$5,0)),"x","")</f>
        <v>x</v>
      </c>
      <c r="AA81" s="102" t="str">
        <f>IF(ISERROR(MATCH(F81,'Inputs Mapping'!$W$4:$W$8,0)),"x","")</f>
        <v>x</v>
      </c>
      <c r="AB81" s="102" t="str">
        <f t="shared" si="42"/>
        <v/>
      </c>
      <c r="AC81" s="102" t="str">
        <f t="shared" si="43"/>
        <v/>
      </c>
      <c r="AD81" s="102" t="str">
        <f t="shared" si="44"/>
        <v/>
      </c>
      <c r="AE81" s="102" t="str">
        <f t="shared" si="51"/>
        <v/>
      </c>
      <c r="AF81" s="102" t="str">
        <f t="shared" si="52"/>
        <v/>
      </c>
      <c r="AG81" s="102" t="str">
        <f t="shared" si="53"/>
        <v>x</v>
      </c>
      <c r="AK81" s="95" t="str">
        <f t="shared" si="45"/>
        <v/>
      </c>
      <c r="AL81" s="59" t="str">
        <f>IF(J81="","",VLOOKUP(J81,'Inputs Mapping'!$T$27:$V$30,3))</f>
        <v/>
      </c>
      <c r="AM81" s="59" t="str">
        <f>IF(J81="","",VLOOKUP(J81,'Inputs Mapping'!$T$17:$V$24,3))</f>
        <v/>
      </c>
      <c r="AN81" s="59" t="str">
        <f t="shared" si="46"/>
        <v/>
      </c>
      <c r="AO81" s="102" t="str">
        <f t="shared" si="47"/>
        <v/>
      </c>
      <c r="AP81" s="102" t="str">
        <f>IF(F81="","",IF(G81="Dubai",HLOOKUP(F81,Inputs!$C$26:$M$36,5,0),HLOOKUP(F81,Inputs!$C$45:$M$49,5,0)))</f>
        <v/>
      </c>
      <c r="AQ81" s="102">
        <f t="shared" si="48"/>
        <v>0</v>
      </c>
      <c r="AR81" s="59" t="str">
        <f>IF(AM81="","",IF(AQ81="Dubai",VLOOKUP(AM81,'Inputs Mapping'!$V$17:$W$24,2,0),VLOOKUP(AL81,'Inputs Mapping'!$V$27:$W$30,2,0)))</f>
        <v/>
      </c>
      <c r="AS81" s="333">
        <f>IFERROR(IF($AQ81="","",HLOOKUP($AQ81&amp;RIGHT($AO81,1),'input for formula'!$B$16:$I$20,3,0)),0)</f>
        <v>0</v>
      </c>
      <c r="AT81" s="80">
        <f>IFERROR(IF($AQ81="","",HLOOKUP($AQ81&amp;$F81,'input for formula'!$B$22:$M$25,2,0)),0)</f>
        <v>0</v>
      </c>
      <c r="AU81" s="333">
        <f>IFERROR(IF($AQ81="","",HLOOKUP($AQ81&amp;RIGHT($AO81,1),'input for formula'!$B$16:$I$20,4,0)),0)</f>
        <v>0</v>
      </c>
      <c r="AV81" s="80">
        <f>IFERROR(IF($AQ81="","",HLOOKUP($AQ81&amp;$F81,'input for formula'!$B$22:$M$25,3,0)),0)</f>
        <v>0</v>
      </c>
      <c r="AW81" s="333">
        <f>IFERROR(IF($AQ81="","",HLOOKUP($AQ81&amp;RIGHT($AO81,1),'input for formula'!$B$16:$I$20,5,0)),0)</f>
        <v>0</v>
      </c>
      <c r="AX81" s="80">
        <f>IFERROR(IF($AQ81="","",HLOOKUP($AQ81&amp;$F81,'input for formula'!$B$22:$M$25,4,0)),0)</f>
        <v>0</v>
      </c>
      <c r="AY81" s="333">
        <f>IFERROR(IF($AQ81="","",IF(Additions!$AQ81="Abu Dhabi",VLOOKUP(Additions!$AP81,'input for formula'!$A$28:$C$41,3,0),VLOOKUP(Additions!$AP81,'input for formula'!$A$28:$C$41,2,0))),0)*IFERROR(1+IF(AQ81="Dubai",VLOOKUP(F81,'Quotation for Dubai Plans'!$V$6:$X$12,3,FALSE),VLOOKUP(F81,'Quotation for Abu Dhabi Plans'!$W$6:$Y$12,3,FALSE)),0)</f>
        <v>0</v>
      </c>
      <c r="AZ81" s="80" t="str">
        <f t="shared" si="23"/>
        <v/>
      </c>
      <c r="BA81" s="106" t="str">
        <f>IFERROR(IF(AO81="","",IF(AQ81="Dubai",HLOOKUP((AO81&amp;AP81),Deviation!$B$7:$S$8,2,0)*BI81*BK81*BL81*BJ81,HLOOKUP((AO81&amp;AP81),Deviation!$B$9:$K$10,2,0)*BI81*BK81*BL81*BJ81)),0)</f>
        <v/>
      </c>
      <c r="BB81" s="107" t="e">
        <f>IF(AO81="","",IFERROR(IF(AO81="","",IF(AQ81="Dubai",HLOOKUP(BC81,'input for formula'!$B$3:$F$10,AR81,FALSE), IF(AND(H81="Employee",AQ81="Abu Dhabi"),HLOOKUP(BC81,'input for formula'!$I$3:$K$7,AR81,FALSE),HLOOKUP(BC81,'input for formula'!$M$3:$O$7,AR81,FALSE)))*BA81+AS81*AT81+AU81*AV81+AW81*AX81),0)*$BC$3)*IF(Inputs!$C$19&gt;100,(1+$BC$2),1)</f>
        <v>#VALUE!</v>
      </c>
      <c r="BC81" s="95" t="str">
        <f t="shared" si="54"/>
        <v/>
      </c>
      <c r="BD81" s="334" t="str">
        <f>IF(F81="","",IF(G81="Dubai",HLOOKUP(F81,Inputs!$C$26:$M$37,9,0),HLOOKUP(F81,Inputs!$C$45:$M$56,9,0)))</f>
        <v/>
      </c>
      <c r="BE81" s="335" t="str">
        <f>IF(F81="","",IF(G81="Dubai",HLOOKUP(F81,Inputs!$C$26:$M$37,10,0),HLOOKUP(F81,Inputs!$C$45:$M$56,10,0)))</f>
        <v/>
      </c>
      <c r="BF81" s="335" t="str">
        <f>IF(F81="","",IF(G81="Dubai",HLOOKUP(F81,Inputs!$C$26:$M$37,11,0),HLOOKUP(F81,Inputs!$C$45:$M$56,11,0)))</f>
        <v/>
      </c>
      <c r="BG81" s="334" t="str">
        <f>IF(F81="","",IF(G81="Dubai",HLOOKUP(F81,Inputs!$C$26:$M$37,12,0),HLOOKUP(F81,Inputs!$C$45:$M$56,12,0)))</f>
        <v/>
      </c>
      <c r="BI81" s="334" t="str">
        <f>IFERROR(IF(AO81="","",IF(AQ81="Dubai",IF(OR(AO81="Plan1",AO81="Plan2"),VLOOKUP(BD81,Deviation!$B$31:$D$33,2,FALSE),VLOOKUP(BD81,Deviation!$B$31:$D$33,3,FALSE)),IF(OR(AO81="Plan1",AO81="Plan2"),VLOOKUP(BD81,Deviation!$E$31:$G$33,2,FALSE),VLOOKUP(BD81,Deviation!$E$31:$G$33,3,FALSE)))),0)</f>
        <v/>
      </c>
      <c r="BJ81" s="336" t="str">
        <f>IFERROR(IF(AO81="","",IF(AQ81="Dubai",IF(AO81="Plan1",VLOOKUP(BE81,Deviation!$B$39:$C$40,2,FALSE),IF(AO81="Plan2",VLOOKUP(BE81,Deviation!$B$42:$C$43,2,FALSE),IF(AO81="Plan5",VLOOKUP(BE81,Deviation!$B$48:$C$49,2,FALSE),VLOOKUP(BE81,Deviation!$B$45:$C$46,2,FALSE)))),IF(AO81="Plan1",VLOOKUP(BE81,Deviation!$E$39:$F$40,2,FALSE),IF(AO81="Plan2",VLOOKUP(BE81,Deviation!$E$42:$F$43,2,FALSE),VLOOKUP(BE81,Deviation!$E$45:$F$46,2,FALSE))))),0)</f>
        <v/>
      </c>
      <c r="BK81" s="336" t="str">
        <f>IFERROR(IF(AO81="","",IF(AQ81="Dubai",IF(OR(AO81="Plan1",AO81="Plan2"),VLOOKUP(BF81,Deviation!$B$15:$D$18,2,FALSE),VLOOKUP(BF81,Deviation!$B$15:$D$18,3,FALSE)),IF(OR(AO81="Plan1",AO81="Plan2"),VLOOKUP(BF81,Deviation!$E$15:$G$18,2,FALSE),VLOOKUP(BF81,Deviation!$E$15:$G$18,3,FALSE)))),0)</f>
        <v/>
      </c>
      <c r="BL81" s="334" t="str">
        <f>IFERROR(IF(AO81="","",IF(AQ81="Dubai",VLOOKUP(BG81,Deviation!$B$24:$C$26,2,FALSE),100%)),0)</f>
        <v/>
      </c>
    </row>
    <row r="82" spans="1:64" ht="14.25" x14ac:dyDescent="0.2">
      <c r="A82" s="59">
        <v>77</v>
      </c>
      <c r="B82" s="298"/>
      <c r="C82" s="299"/>
      <c r="D82" s="298"/>
      <c r="E82" s="298"/>
      <c r="F82" s="298"/>
      <c r="G82" s="298"/>
      <c r="H82" s="298"/>
      <c r="I82" s="298"/>
      <c r="J82" s="80" t="str">
        <f>IFERROR(ROUNDDOWN(IF(C82="","",(MAX((eff_date-Additions!C82)/365.25,0))),0),"")</f>
        <v/>
      </c>
      <c r="K82" s="59" t="str">
        <f>IF(F82="","",IF(G82="Dubai",HLOOKUP(F82,Inputs!$C$26:$M$28,3,0),HLOOKUP(F82,Inputs!$C$45:$M$46,2,0)))</f>
        <v/>
      </c>
      <c r="L82" s="335" t="str">
        <f t="shared" si="33"/>
        <v/>
      </c>
      <c r="M82" s="335">
        <f t="shared" si="34"/>
        <v>0</v>
      </c>
      <c r="N82" s="335" t="str">
        <f t="shared" si="35"/>
        <v/>
      </c>
      <c r="O82" s="335">
        <f t="shared" si="36"/>
        <v>0</v>
      </c>
      <c r="P82" s="104"/>
      <c r="Q82" s="105">
        <f t="shared" si="49"/>
        <v>0</v>
      </c>
      <c r="R82" s="59" t="b">
        <f t="shared" si="37"/>
        <v>0</v>
      </c>
      <c r="S82" s="102" t="str">
        <f t="shared" si="50"/>
        <v>x</v>
      </c>
      <c r="T82" s="102" t="str">
        <f t="shared" si="38"/>
        <v>x</v>
      </c>
      <c r="U82" s="102" t="str">
        <f t="shared" si="39"/>
        <v>x</v>
      </c>
      <c r="V82" s="102" t="str">
        <f t="shared" si="40"/>
        <v>x</v>
      </c>
      <c r="W82" s="102" t="str">
        <f t="shared" si="41"/>
        <v>x</v>
      </c>
      <c r="X82" s="102" t="str">
        <f>IF(ISERROR(MATCH(G82,'Inputs Mapping'!$T$4:$T$5,0)),"x","")</f>
        <v>x</v>
      </c>
      <c r="Y82" s="102" t="str">
        <f>IF(ISERROR(MATCH(AE82,'Inputs Mapping'!$U$4:$U$5,0)),"x","")</f>
        <v>x</v>
      </c>
      <c r="Z82" s="102" t="str">
        <f>IF(ISERROR(MATCH(AF82,'Inputs Mapping'!$V$4:$V$5,0)),"x","")</f>
        <v>x</v>
      </c>
      <c r="AA82" s="102" t="str">
        <f>IF(ISERROR(MATCH(F82,'Inputs Mapping'!$W$4:$W$8,0)),"x","")</f>
        <v>x</v>
      </c>
      <c r="AB82" s="102" t="str">
        <f t="shared" si="42"/>
        <v/>
      </c>
      <c r="AC82" s="102" t="str">
        <f t="shared" si="43"/>
        <v/>
      </c>
      <c r="AD82" s="102" t="str">
        <f t="shared" si="44"/>
        <v/>
      </c>
      <c r="AE82" s="102" t="str">
        <f t="shared" si="51"/>
        <v/>
      </c>
      <c r="AF82" s="102" t="str">
        <f t="shared" si="52"/>
        <v/>
      </c>
      <c r="AG82" s="102" t="str">
        <f t="shared" si="53"/>
        <v>x</v>
      </c>
      <c r="AK82" s="95" t="str">
        <f t="shared" si="45"/>
        <v/>
      </c>
      <c r="AL82" s="59" t="str">
        <f>IF(J82="","",VLOOKUP(J82,'Inputs Mapping'!$T$27:$V$30,3))</f>
        <v/>
      </c>
      <c r="AM82" s="59" t="str">
        <f>IF(J82="","",VLOOKUP(J82,'Inputs Mapping'!$T$17:$V$24,3))</f>
        <v/>
      </c>
      <c r="AN82" s="59" t="str">
        <f t="shared" si="46"/>
        <v/>
      </c>
      <c r="AO82" s="102" t="str">
        <f t="shared" si="47"/>
        <v/>
      </c>
      <c r="AP82" s="102" t="str">
        <f>IF(F82="","",IF(G82="Dubai",HLOOKUP(F82,Inputs!$C$26:$M$36,5,0),HLOOKUP(F82,Inputs!$C$45:$M$49,5,0)))</f>
        <v/>
      </c>
      <c r="AQ82" s="102">
        <f t="shared" si="48"/>
        <v>0</v>
      </c>
      <c r="AR82" s="59" t="str">
        <f>IF(AM82="","",IF(AQ82="Dubai",VLOOKUP(AM82,'Inputs Mapping'!$V$17:$W$24,2,0),VLOOKUP(AL82,'Inputs Mapping'!$V$27:$W$30,2,0)))</f>
        <v/>
      </c>
      <c r="AS82" s="333">
        <f>IFERROR(IF($AQ82="","",HLOOKUP($AQ82&amp;RIGHT($AO82,1),'input for formula'!$B$16:$I$20,3,0)),0)</f>
        <v>0</v>
      </c>
      <c r="AT82" s="80">
        <f>IFERROR(IF($AQ82="","",HLOOKUP($AQ82&amp;$F82,'input for formula'!$B$22:$M$25,2,0)),0)</f>
        <v>0</v>
      </c>
      <c r="AU82" s="333">
        <f>IFERROR(IF($AQ82="","",HLOOKUP($AQ82&amp;RIGHT($AO82,1),'input for formula'!$B$16:$I$20,4,0)),0)</f>
        <v>0</v>
      </c>
      <c r="AV82" s="80">
        <f>IFERROR(IF($AQ82="","",HLOOKUP($AQ82&amp;$F82,'input for formula'!$B$22:$M$25,3,0)),0)</f>
        <v>0</v>
      </c>
      <c r="AW82" s="333">
        <f>IFERROR(IF($AQ82="","",HLOOKUP($AQ82&amp;RIGHT($AO82,1),'input for formula'!$B$16:$I$20,5,0)),0)</f>
        <v>0</v>
      </c>
      <c r="AX82" s="80">
        <f>IFERROR(IF($AQ82="","",HLOOKUP($AQ82&amp;$F82,'input for formula'!$B$22:$M$25,4,0)),0)</f>
        <v>0</v>
      </c>
      <c r="AY82" s="333">
        <f>IFERROR(IF($AQ82="","",IF(Additions!$AQ82="Abu Dhabi",VLOOKUP(Additions!$AP82,'input for formula'!$A$28:$C$41,3,0),VLOOKUP(Additions!$AP82,'input for formula'!$A$28:$C$41,2,0))),0)*IFERROR(1+IF(AQ82="Dubai",VLOOKUP(F82,'Quotation for Dubai Plans'!$V$6:$X$12,3,FALSE),VLOOKUP(F82,'Quotation for Abu Dhabi Plans'!$W$6:$Y$12,3,FALSE)),0)</f>
        <v>0</v>
      </c>
      <c r="AZ82" s="80" t="str">
        <f t="shared" si="23"/>
        <v/>
      </c>
      <c r="BA82" s="106" t="str">
        <f>IFERROR(IF(AO82="","",IF(AQ82="Dubai",HLOOKUP((AO82&amp;AP82),Deviation!$B$7:$S$8,2,0)*BI82*BK82*BL82*BJ82,HLOOKUP((AO82&amp;AP82),Deviation!$B$9:$K$10,2,0)*BI82*BK82*BL82*BJ82)),0)</f>
        <v/>
      </c>
      <c r="BB82" s="107" t="e">
        <f>IF(AO82="","",IFERROR(IF(AO82="","",IF(AQ82="Dubai",HLOOKUP(BC82,'input for formula'!$B$3:$F$10,AR82,FALSE), IF(AND(H82="Employee",AQ82="Abu Dhabi"),HLOOKUP(BC82,'input for formula'!$I$3:$K$7,AR82,FALSE),HLOOKUP(BC82,'input for formula'!$M$3:$O$7,AR82,FALSE)))*BA82+AS82*AT82+AU82*AV82+AW82*AX82),0)*$BC$3)*IF(Inputs!$C$19&gt;100,(1+$BC$2),1)</f>
        <v>#VALUE!</v>
      </c>
      <c r="BC82" s="95" t="str">
        <f t="shared" si="54"/>
        <v/>
      </c>
      <c r="BD82" s="334" t="str">
        <f>IF(F82="","",IF(G82="Dubai",HLOOKUP(F82,Inputs!$C$26:$M$37,9,0),HLOOKUP(F82,Inputs!$C$45:$M$56,9,0)))</f>
        <v/>
      </c>
      <c r="BE82" s="335" t="str">
        <f>IF(F82="","",IF(G82="Dubai",HLOOKUP(F82,Inputs!$C$26:$M$37,10,0),HLOOKUP(F82,Inputs!$C$45:$M$56,10,0)))</f>
        <v/>
      </c>
      <c r="BF82" s="335" t="str">
        <f>IF(F82="","",IF(G82="Dubai",HLOOKUP(F82,Inputs!$C$26:$M$37,11,0),HLOOKUP(F82,Inputs!$C$45:$M$56,11,0)))</f>
        <v/>
      </c>
      <c r="BG82" s="334" t="str">
        <f>IF(F82="","",IF(G82="Dubai",HLOOKUP(F82,Inputs!$C$26:$M$37,12,0),HLOOKUP(F82,Inputs!$C$45:$M$56,12,0)))</f>
        <v/>
      </c>
      <c r="BI82" s="334" t="str">
        <f>IFERROR(IF(AO82="","",IF(AQ82="Dubai",IF(OR(AO82="Plan1",AO82="Plan2"),VLOOKUP(BD82,Deviation!$B$31:$D$33,2,FALSE),VLOOKUP(BD82,Deviation!$B$31:$D$33,3,FALSE)),IF(OR(AO82="Plan1",AO82="Plan2"),VLOOKUP(BD82,Deviation!$E$31:$G$33,2,FALSE),VLOOKUP(BD82,Deviation!$E$31:$G$33,3,FALSE)))),0)</f>
        <v/>
      </c>
      <c r="BJ82" s="336" t="str">
        <f>IFERROR(IF(AO82="","",IF(AQ82="Dubai",IF(AO82="Plan1",VLOOKUP(BE82,Deviation!$B$39:$C$40,2,FALSE),IF(AO82="Plan2",VLOOKUP(BE82,Deviation!$B$42:$C$43,2,FALSE),IF(AO82="Plan5",VLOOKUP(BE82,Deviation!$B$48:$C$49,2,FALSE),VLOOKUP(BE82,Deviation!$B$45:$C$46,2,FALSE)))),IF(AO82="Plan1",VLOOKUP(BE82,Deviation!$E$39:$F$40,2,FALSE),IF(AO82="Plan2",VLOOKUP(BE82,Deviation!$E$42:$F$43,2,FALSE),VLOOKUP(BE82,Deviation!$E$45:$F$46,2,FALSE))))),0)</f>
        <v/>
      </c>
      <c r="BK82" s="336" t="str">
        <f>IFERROR(IF(AO82="","",IF(AQ82="Dubai",IF(OR(AO82="Plan1",AO82="Plan2"),VLOOKUP(BF82,Deviation!$B$15:$D$18,2,FALSE),VLOOKUP(BF82,Deviation!$B$15:$D$18,3,FALSE)),IF(OR(AO82="Plan1",AO82="Plan2"),VLOOKUP(BF82,Deviation!$E$15:$G$18,2,FALSE),VLOOKUP(BF82,Deviation!$E$15:$G$18,3,FALSE)))),0)</f>
        <v/>
      </c>
      <c r="BL82" s="334" t="str">
        <f>IFERROR(IF(AO82="","",IF(AQ82="Dubai",VLOOKUP(BG82,Deviation!$B$24:$C$26,2,FALSE),100%)),0)</f>
        <v/>
      </c>
    </row>
    <row r="83" spans="1:64" ht="14.25" x14ac:dyDescent="0.2">
      <c r="A83" s="59">
        <v>78</v>
      </c>
      <c r="B83" s="298"/>
      <c r="C83" s="299"/>
      <c r="D83" s="298"/>
      <c r="E83" s="298"/>
      <c r="F83" s="298"/>
      <c r="G83" s="298"/>
      <c r="H83" s="298"/>
      <c r="I83" s="298"/>
      <c r="J83" s="80" t="str">
        <f>IFERROR(ROUNDDOWN(IF(C83="","",(MAX((eff_date-Additions!C83)/365.25,0))),0),"")</f>
        <v/>
      </c>
      <c r="K83" s="59" t="str">
        <f>IF(F83="","",IF(G83="Dubai",HLOOKUP(F83,Inputs!$C$26:$M$28,3,0),HLOOKUP(F83,Inputs!$C$45:$M$46,2,0)))</f>
        <v/>
      </c>
      <c r="L83" s="335" t="str">
        <f t="shared" si="33"/>
        <v/>
      </c>
      <c r="M83" s="335">
        <f t="shared" si="34"/>
        <v>0</v>
      </c>
      <c r="N83" s="335" t="str">
        <f t="shared" si="35"/>
        <v/>
      </c>
      <c r="O83" s="335">
        <f t="shared" si="36"/>
        <v>0</v>
      </c>
      <c r="P83" s="104"/>
      <c r="Q83" s="105">
        <f t="shared" si="49"/>
        <v>0</v>
      </c>
      <c r="R83" s="59" t="b">
        <f t="shared" si="37"/>
        <v>0</v>
      </c>
      <c r="S83" s="102" t="str">
        <f t="shared" si="50"/>
        <v>x</v>
      </c>
      <c r="T83" s="102" t="str">
        <f t="shared" si="38"/>
        <v>x</v>
      </c>
      <c r="U83" s="102" t="str">
        <f t="shared" si="39"/>
        <v>x</v>
      </c>
      <c r="V83" s="102" t="str">
        <f t="shared" si="40"/>
        <v>x</v>
      </c>
      <c r="W83" s="102" t="str">
        <f t="shared" si="41"/>
        <v>x</v>
      </c>
      <c r="X83" s="102" t="str">
        <f>IF(ISERROR(MATCH(G83,'Inputs Mapping'!$T$4:$T$5,0)),"x","")</f>
        <v>x</v>
      </c>
      <c r="Y83" s="102" t="str">
        <f>IF(ISERROR(MATCH(AE83,'Inputs Mapping'!$U$4:$U$5,0)),"x","")</f>
        <v>x</v>
      </c>
      <c r="Z83" s="102" t="str">
        <f>IF(ISERROR(MATCH(AF83,'Inputs Mapping'!$V$4:$V$5,0)),"x","")</f>
        <v>x</v>
      </c>
      <c r="AA83" s="102" t="str">
        <f>IF(ISERROR(MATCH(F83,'Inputs Mapping'!$W$4:$W$8,0)),"x","")</f>
        <v>x</v>
      </c>
      <c r="AB83" s="102" t="str">
        <f t="shared" si="42"/>
        <v/>
      </c>
      <c r="AC83" s="102" t="str">
        <f t="shared" si="43"/>
        <v/>
      </c>
      <c r="AD83" s="102" t="str">
        <f t="shared" si="44"/>
        <v/>
      </c>
      <c r="AE83" s="102" t="str">
        <f t="shared" si="51"/>
        <v/>
      </c>
      <c r="AF83" s="102" t="str">
        <f t="shared" si="52"/>
        <v/>
      </c>
      <c r="AG83" s="102" t="str">
        <f t="shared" si="53"/>
        <v>x</v>
      </c>
      <c r="AK83" s="95" t="str">
        <f t="shared" si="45"/>
        <v/>
      </c>
      <c r="AL83" s="59" t="str">
        <f>IF(J83="","",VLOOKUP(J83,'Inputs Mapping'!$T$27:$V$30,3))</f>
        <v/>
      </c>
      <c r="AM83" s="59" t="str">
        <f>IF(J83="","",VLOOKUP(J83,'Inputs Mapping'!$T$17:$V$24,3))</f>
        <v/>
      </c>
      <c r="AN83" s="59" t="str">
        <f t="shared" si="46"/>
        <v/>
      </c>
      <c r="AO83" s="102" t="str">
        <f t="shared" si="47"/>
        <v/>
      </c>
      <c r="AP83" s="102" t="str">
        <f>IF(F83="","",IF(G83="Dubai",HLOOKUP(F83,Inputs!$C$26:$M$36,5,0),HLOOKUP(F83,Inputs!$C$45:$M$49,5,0)))</f>
        <v/>
      </c>
      <c r="AQ83" s="102">
        <f t="shared" si="48"/>
        <v>0</v>
      </c>
      <c r="AR83" s="59" t="str">
        <f>IF(AM83="","",IF(AQ83="Dubai",VLOOKUP(AM83,'Inputs Mapping'!$V$17:$W$24,2,0),VLOOKUP(AL83,'Inputs Mapping'!$V$27:$W$30,2,0)))</f>
        <v/>
      </c>
      <c r="AS83" s="333">
        <f>IFERROR(IF($AQ83="","",HLOOKUP($AQ83&amp;RIGHT($AO83,1),'input for formula'!$B$16:$I$20,3,0)),0)</f>
        <v>0</v>
      </c>
      <c r="AT83" s="80">
        <f>IFERROR(IF($AQ83="","",HLOOKUP($AQ83&amp;$F83,'input for formula'!$B$22:$M$25,2,0)),0)</f>
        <v>0</v>
      </c>
      <c r="AU83" s="333">
        <f>IFERROR(IF($AQ83="","",HLOOKUP($AQ83&amp;RIGHT($AO83,1),'input for formula'!$B$16:$I$20,4,0)),0)</f>
        <v>0</v>
      </c>
      <c r="AV83" s="80">
        <f>IFERROR(IF($AQ83="","",HLOOKUP($AQ83&amp;$F83,'input for formula'!$B$22:$M$25,3,0)),0)</f>
        <v>0</v>
      </c>
      <c r="AW83" s="333">
        <f>IFERROR(IF($AQ83="","",HLOOKUP($AQ83&amp;RIGHT($AO83,1),'input for formula'!$B$16:$I$20,5,0)),0)</f>
        <v>0</v>
      </c>
      <c r="AX83" s="80">
        <f>IFERROR(IF($AQ83="","",HLOOKUP($AQ83&amp;$F83,'input for formula'!$B$22:$M$25,4,0)),0)</f>
        <v>0</v>
      </c>
      <c r="AY83" s="333">
        <f>IFERROR(IF($AQ83="","",IF(Additions!$AQ83="Abu Dhabi",VLOOKUP(Additions!$AP83,'input for formula'!$A$28:$C$41,3,0),VLOOKUP(Additions!$AP83,'input for formula'!$A$28:$C$41,2,0))),0)*IFERROR(1+IF(AQ83="Dubai",VLOOKUP(F83,'Quotation for Dubai Plans'!$V$6:$X$12,3,FALSE),VLOOKUP(F83,'Quotation for Abu Dhabi Plans'!$W$6:$Y$12,3,FALSE)),0)</f>
        <v>0</v>
      </c>
      <c r="AZ83" s="80" t="str">
        <f t="shared" si="23"/>
        <v/>
      </c>
      <c r="BA83" s="106" t="str">
        <f>IFERROR(IF(AO83="","",IF(AQ83="Dubai",HLOOKUP((AO83&amp;AP83),Deviation!$B$7:$S$8,2,0)*BI83*BK83*BL83*BJ83,HLOOKUP((AO83&amp;AP83),Deviation!$B$9:$K$10,2,0)*BI83*BK83*BL83*BJ83)),0)</f>
        <v/>
      </c>
      <c r="BB83" s="107" t="e">
        <f>IF(AO83="","",IFERROR(IF(AO83="","",IF(AQ83="Dubai",HLOOKUP(BC83,'input for formula'!$B$3:$F$10,AR83,FALSE), IF(AND(H83="Employee",AQ83="Abu Dhabi"),HLOOKUP(BC83,'input for formula'!$I$3:$K$7,AR83,FALSE),HLOOKUP(BC83,'input for formula'!$M$3:$O$7,AR83,FALSE)))*BA83+AS83*AT83+AU83*AV83+AW83*AX83),0)*$BC$3)*IF(Inputs!$C$19&gt;100,(1+$BC$2),1)</f>
        <v>#VALUE!</v>
      </c>
      <c r="BC83" s="95" t="str">
        <f t="shared" si="54"/>
        <v/>
      </c>
      <c r="BD83" s="334" t="str">
        <f>IF(F83="","",IF(G83="Dubai",HLOOKUP(F83,Inputs!$C$26:$M$37,9,0),HLOOKUP(F83,Inputs!$C$45:$M$56,9,0)))</f>
        <v/>
      </c>
      <c r="BE83" s="335" t="str">
        <f>IF(F83="","",IF(G83="Dubai",HLOOKUP(F83,Inputs!$C$26:$M$37,10,0),HLOOKUP(F83,Inputs!$C$45:$M$56,10,0)))</f>
        <v/>
      </c>
      <c r="BF83" s="335" t="str">
        <f>IF(F83="","",IF(G83="Dubai",HLOOKUP(F83,Inputs!$C$26:$M$37,11,0),HLOOKUP(F83,Inputs!$C$45:$M$56,11,0)))</f>
        <v/>
      </c>
      <c r="BG83" s="334" t="str">
        <f>IF(F83="","",IF(G83="Dubai",HLOOKUP(F83,Inputs!$C$26:$M$37,12,0),HLOOKUP(F83,Inputs!$C$45:$M$56,12,0)))</f>
        <v/>
      </c>
      <c r="BI83" s="334" t="str">
        <f>IFERROR(IF(AO83="","",IF(AQ83="Dubai",IF(OR(AO83="Plan1",AO83="Plan2"),VLOOKUP(BD83,Deviation!$B$31:$D$33,2,FALSE),VLOOKUP(BD83,Deviation!$B$31:$D$33,3,FALSE)),IF(OR(AO83="Plan1",AO83="Plan2"),VLOOKUP(BD83,Deviation!$E$31:$G$33,2,FALSE),VLOOKUP(BD83,Deviation!$E$31:$G$33,3,FALSE)))),0)</f>
        <v/>
      </c>
      <c r="BJ83" s="336" t="str">
        <f>IFERROR(IF(AO83="","",IF(AQ83="Dubai",IF(AO83="Plan1",VLOOKUP(BE83,Deviation!$B$39:$C$40,2,FALSE),IF(AO83="Plan2",VLOOKUP(BE83,Deviation!$B$42:$C$43,2,FALSE),IF(AO83="Plan5",VLOOKUP(BE83,Deviation!$B$48:$C$49,2,FALSE),VLOOKUP(BE83,Deviation!$B$45:$C$46,2,FALSE)))),IF(AO83="Plan1",VLOOKUP(BE83,Deviation!$E$39:$F$40,2,FALSE),IF(AO83="Plan2",VLOOKUP(BE83,Deviation!$E$42:$F$43,2,FALSE),VLOOKUP(BE83,Deviation!$E$45:$F$46,2,FALSE))))),0)</f>
        <v/>
      </c>
      <c r="BK83" s="336" t="str">
        <f>IFERROR(IF(AO83="","",IF(AQ83="Dubai",IF(OR(AO83="Plan1",AO83="Plan2"),VLOOKUP(BF83,Deviation!$B$15:$D$18,2,FALSE),VLOOKUP(BF83,Deviation!$B$15:$D$18,3,FALSE)),IF(OR(AO83="Plan1",AO83="Plan2"),VLOOKUP(BF83,Deviation!$E$15:$G$18,2,FALSE),VLOOKUP(BF83,Deviation!$E$15:$G$18,3,FALSE)))),0)</f>
        <v/>
      </c>
      <c r="BL83" s="334" t="str">
        <f>IFERROR(IF(AO83="","",IF(AQ83="Dubai",VLOOKUP(BG83,Deviation!$B$24:$C$26,2,FALSE),100%)),0)</f>
        <v/>
      </c>
    </row>
    <row r="84" spans="1:64" ht="14.25" x14ac:dyDescent="0.2">
      <c r="A84" s="59">
        <v>79</v>
      </c>
      <c r="B84" s="298"/>
      <c r="C84" s="299"/>
      <c r="D84" s="298"/>
      <c r="E84" s="298"/>
      <c r="F84" s="298"/>
      <c r="G84" s="298"/>
      <c r="H84" s="298"/>
      <c r="I84" s="298"/>
      <c r="J84" s="80" t="str">
        <f>IFERROR(ROUNDDOWN(IF(C84="","",(MAX((eff_date-Additions!C84)/365.25,0))),0),"")</f>
        <v/>
      </c>
      <c r="K84" s="59" t="str">
        <f>IF(F84="","",IF(G84="Dubai",HLOOKUP(F84,Inputs!$C$26:$M$28,3,0),HLOOKUP(F84,Inputs!$C$45:$M$46,2,0)))</f>
        <v/>
      </c>
      <c r="L84" s="335" t="str">
        <f t="shared" si="33"/>
        <v/>
      </c>
      <c r="M84" s="335">
        <f t="shared" si="34"/>
        <v>0</v>
      </c>
      <c r="N84" s="335" t="str">
        <f t="shared" si="35"/>
        <v/>
      </c>
      <c r="O84" s="335">
        <f t="shared" si="36"/>
        <v>0</v>
      </c>
      <c r="P84" s="104"/>
      <c r="Q84" s="105">
        <f t="shared" si="49"/>
        <v>0</v>
      </c>
      <c r="R84" s="59" t="b">
        <f t="shared" si="37"/>
        <v>0</v>
      </c>
      <c r="S84" s="102" t="str">
        <f t="shared" si="50"/>
        <v>x</v>
      </c>
      <c r="T84" s="102" t="str">
        <f t="shared" si="38"/>
        <v>x</v>
      </c>
      <c r="U84" s="102" t="str">
        <f t="shared" si="39"/>
        <v>x</v>
      </c>
      <c r="V84" s="102" t="str">
        <f t="shared" si="40"/>
        <v>x</v>
      </c>
      <c r="W84" s="102" t="str">
        <f t="shared" si="41"/>
        <v>x</v>
      </c>
      <c r="X84" s="102" t="str">
        <f>IF(ISERROR(MATCH(G84,'Inputs Mapping'!$T$4:$T$5,0)),"x","")</f>
        <v>x</v>
      </c>
      <c r="Y84" s="102" t="str">
        <f>IF(ISERROR(MATCH(AE84,'Inputs Mapping'!$U$4:$U$5,0)),"x","")</f>
        <v>x</v>
      </c>
      <c r="Z84" s="102" t="str">
        <f>IF(ISERROR(MATCH(AF84,'Inputs Mapping'!$V$4:$V$5,0)),"x","")</f>
        <v>x</v>
      </c>
      <c r="AA84" s="102" t="str">
        <f>IF(ISERROR(MATCH(F84,'Inputs Mapping'!$W$4:$W$8,0)),"x","")</f>
        <v>x</v>
      </c>
      <c r="AB84" s="102" t="str">
        <f t="shared" si="42"/>
        <v/>
      </c>
      <c r="AC84" s="102" t="str">
        <f t="shared" si="43"/>
        <v/>
      </c>
      <c r="AD84" s="102" t="str">
        <f t="shared" si="44"/>
        <v/>
      </c>
      <c r="AE84" s="102" t="str">
        <f t="shared" si="51"/>
        <v/>
      </c>
      <c r="AF84" s="102" t="str">
        <f t="shared" si="52"/>
        <v/>
      </c>
      <c r="AG84" s="102" t="str">
        <f t="shared" si="53"/>
        <v>x</v>
      </c>
      <c r="AK84" s="95" t="str">
        <f t="shared" si="45"/>
        <v/>
      </c>
      <c r="AL84" s="59" t="str">
        <f>IF(J84="","",VLOOKUP(J84,'Inputs Mapping'!$T$27:$V$30,3))</f>
        <v/>
      </c>
      <c r="AM84" s="59" t="str">
        <f>IF(J84="","",VLOOKUP(J84,'Inputs Mapping'!$T$17:$V$24,3))</f>
        <v/>
      </c>
      <c r="AN84" s="59" t="str">
        <f t="shared" si="46"/>
        <v/>
      </c>
      <c r="AO84" s="102" t="str">
        <f t="shared" si="47"/>
        <v/>
      </c>
      <c r="AP84" s="102" t="str">
        <f>IF(F84="","",IF(G84="Dubai",HLOOKUP(F84,Inputs!$C$26:$M$36,5,0),HLOOKUP(F84,Inputs!$C$45:$M$49,5,0)))</f>
        <v/>
      </c>
      <c r="AQ84" s="102">
        <f t="shared" si="48"/>
        <v>0</v>
      </c>
      <c r="AR84" s="59" t="str">
        <f>IF(AM84="","",IF(AQ84="Dubai",VLOOKUP(AM84,'Inputs Mapping'!$V$17:$W$24,2,0),VLOOKUP(AL84,'Inputs Mapping'!$V$27:$W$30,2,0)))</f>
        <v/>
      </c>
      <c r="AS84" s="333">
        <f>IFERROR(IF($AQ84="","",HLOOKUP($AQ84&amp;RIGHT($AO84,1),'input for formula'!$B$16:$I$20,3,0)),0)</f>
        <v>0</v>
      </c>
      <c r="AT84" s="80">
        <f>IFERROR(IF($AQ84="","",HLOOKUP($AQ84&amp;$F84,'input for formula'!$B$22:$M$25,2,0)),0)</f>
        <v>0</v>
      </c>
      <c r="AU84" s="333">
        <f>IFERROR(IF($AQ84="","",HLOOKUP($AQ84&amp;RIGHT($AO84,1),'input for formula'!$B$16:$I$20,4,0)),0)</f>
        <v>0</v>
      </c>
      <c r="AV84" s="80">
        <f>IFERROR(IF($AQ84="","",HLOOKUP($AQ84&amp;$F84,'input for formula'!$B$22:$M$25,3,0)),0)</f>
        <v>0</v>
      </c>
      <c r="AW84" s="333">
        <f>IFERROR(IF($AQ84="","",HLOOKUP($AQ84&amp;RIGHT($AO84,1),'input for formula'!$B$16:$I$20,5,0)),0)</f>
        <v>0</v>
      </c>
      <c r="AX84" s="80">
        <f>IFERROR(IF($AQ84="","",HLOOKUP($AQ84&amp;$F84,'input for formula'!$B$22:$M$25,4,0)),0)</f>
        <v>0</v>
      </c>
      <c r="AY84" s="333">
        <f>IFERROR(IF($AQ84="","",IF(Additions!$AQ84="Abu Dhabi",VLOOKUP(Additions!$AP84,'input for formula'!$A$28:$C$41,3,0),VLOOKUP(Additions!$AP84,'input for formula'!$A$28:$C$41,2,0))),0)*IFERROR(1+IF(AQ84="Dubai",VLOOKUP(F84,'Quotation for Dubai Plans'!$V$6:$X$12,3,FALSE),VLOOKUP(F84,'Quotation for Abu Dhabi Plans'!$W$6:$Y$12,3,FALSE)),0)</f>
        <v>0</v>
      </c>
      <c r="AZ84" s="80" t="str">
        <f t="shared" si="23"/>
        <v/>
      </c>
      <c r="BA84" s="106" t="str">
        <f>IFERROR(IF(AO84="","",IF(AQ84="Dubai",HLOOKUP((AO84&amp;AP84),Deviation!$B$7:$S$8,2,0)*BI84*BK84*BL84*BJ84,HLOOKUP((AO84&amp;AP84),Deviation!$B$9:$K$10,2,0)*BI84*BK84*BL84*BJ84)),0)</f>
        <v/>
      </c>
      <c r="BB84" s="107" t="e">
        <f>IF(AO84="","",IFERROR(IF(AO84="","",IF(AQ84="Dubai",HLOOKUP(BC84,'input for formula'!$B$3:$F$10,AR84,FALSE), IF(AND(H84="Employee",AQ84="Abu Dhabi"),HLOOKUP(BC84,'input for formula'!$I$3:$K$7,AR84,FALSE),HLOOKUP(BC84,'input for formula'!$M$3:$O$7,AR84,FALSE)))*BA84+AS84*AT84+AU84*AV84+AW84*AX84),0)*$BC$3)*IF(Inputs!$C$19&gt;100,(1+$BC$2),1)</f>
        <v>#VALUE!</v>
      </c>
      <c r="BC84" s="95" t="str">
        <f t="shared" si="54"/>
        <v/>
      </c>
      <c r="BD84" s="334" t="str">
        <f>IF(F84="","",IF(G84="Dubai",HLOOKUP(F84,Inputs!$C$26:$M$37,9,0),HLOOKUP(F84,Inputs!$C$45:$M$56,9,0)))</f>
        <v/>
      </c>
      <c r="BE84" s="335" t="str">
        <f>IF(F84="","",IF(G84="Dubai",HLOOKUP(F84,Inputs!$C$26:$M$37,10,0),HLOOKUP(F84,Inputs!$C$45:$M$56,10,0)))</f>
        <v/>
      </c>
      <c r="BF84" s="335" t="str">
        <f>IF(F84="","",IF(G84="Dubai",HLOOKUP(F84,Inputs!$C$26:$M$37,11,0),HLOOKUP(F84,Inputs!$C$45:$M$56,11,0)))</f>
        <v/>
      </c>
      <c r="BG84" s="334" t="str">
        <f>IF(F84="","",IF(G84="Dubai",HLOOKUP(F84,Inputs!$C$26:$M$37,12,0),HLOOKUP(F84,Inputs!$C$45:$M$56,12,0)))</f>
        <v/>
      </c>
      <c r="BI84" s="334" t="str">
        <f>IFERROR(IF(AO84="","",IF(AQ84="Dubai",IF(OR(AO84="Plan1",AO84="Plan2"),VLOOKUP(BD84,Deviation!$B$31:$D$33,2,FALSE),VLOOKUP(BD84,Deviation!$B$31:$D$33,3,FALSE)),IF(OR(AO84="Plan1",AO84="Plan2"),VLOOKUP(BD84,Deviation!$E$31:$G$33,2,FALSE),VLOOKUP(BD84,Deviation!$E$31:$G$33,3,FALSE)))),0)</f>
        <v/>
      </c>
      <c r="BJ84" s="336" t="str">
        <f>IFERROR(IF(AO84="","",IF(AQ84="Dubai",IF(AO84="Plan1",VLOOKUP(BE84,Deviation!$B$39:$C$40,2,FALSE),IF(AO84="Plan2",VLOOKUP(BE84,Deviation!$B$42:$C$43,2,FALSE),IF(AO84="Plan5",VLOOKUP(BE84,Deviation!$B$48:$C$49,2,FALSE),VLOOKUP(BE84,Deviation!$B$45:$C$46,2,FALSE)))),IF(AO84="Plan1",VLOOKUP(BE84,Deviation!$E$39:$F$40,2,FALSE),IF(AO84="Plan2",VLOOKUP(BE84,Deviation!$E$42:$F$43,2,FALSE),VLOOKUP(BE84,Deviation!$E$45:$F$46,2,FALSE))))),0)</f>
        <v/>
      </c>
      <c r="BK84" s="336" t="str">
        <f>IFERROR(IF(AO84="","",IF(AQ84="Dubai",IF(OR(AO84="Plan1",AO84="Plan2"),VLOOKUP(BF84,Deviation!$B$15:$D$18,2,FALSE),VLOOKUP(BF84,Deviation!$B$15:$D$18,3,FALSE)),IF(OR(AO84="Plan1",AO84="Plan2"),VLOOKUP(BF84,Deviation!$E$15:$G$18,2,FALSE),VLOOKUP(BF84,Deviation!$E$15:$G$18,3,FALSE)))),0)</f>
        <v/>
      </c>
      <c r="BL84" s="334" t="str">
        <f>IFERROR(IF(AO84="","",IF(AQ84="Dubai",VLOOKUP(BG84,Deviation!$B$24:$C$26,2,FALSE),100%)),0)</f>
        <v/>
      </c>
    </row>
    <row r="85" spans="1:64" ht="14.25" x14ac:dyDescent="0.2">
      <c r="A85" s="59">
        <v>80</v>
      </c>
      <c r="B85" s="298"/>
      <c r="C85" s="299"/>
      <c r="D85" s="298"/>
      <c r="E85" s="298"/>
      <c r="F85" s="298"/>
      <c r="G85" s="298"/>
      <c r="H85" s="298"/>
      <c r="I85" s="298"/>
      <c r="J85" s="80" t="str">
        <f>IFERROR(ROUNDDOWN(IF(C85="","",(MAX((eff_date-Additions!C85)/365.25,0))),0),"")</f>
        <v/>
      </c>
      <c r="K85" s="59" t="str">
        <f>IF(F85="","",IF(G85="Dubai",HLOOKUP(F85,Inputs!$C$26:$M$28,3,0),HLOOKUP(F85,Inputs!$C$45:$M$46,2,0)))</f>
        <v/>
      </c>
      <c r="L85" s="335" t="str">
        <f t="shared" si="33"/>
        <v/>
      </c>
      <c r="M85" s="335">
        <f t="shared" si="34"/>
        <v>0</v>
      </c>
      <c r="N85" s="335" t="str">
        <f t="shared" si="35"/>
        <v/>
      </c>
      <c r="O85" s="335">
        <f t="shared" si="36"/>
        <v>0</v>
      </c>
      <c r="P85" s="104"/>
      <c r="Q85" s="105">
        <f t="shared" si="49"/>
        <v>0</v>
      </c>
      <c r="R85" s="59" t="b">
        <f t="shared" si="37"/>
        <v>0</v>
      </c>
      <c r="S85" s="102" t="str">
        <f t="shared" si="50"/>
        <v>x</v>
      </c>
      <c r="T85" s="102" t="str">
        <f t="shared" si="38"/>
        <v>x</v>
      </c>
      <c r="U85" s="102" t="str">
        <f t="shared" si="39"/>
        <v>x</v>
      </c>
      <c r="V85" s="102" t="str">
        <f t="shared" si="40"/>
        <v>x</v>
      </c>
      <c r="W85" s="102" t="str">
        <f t="shared" si="41"/>
        <v>x</v>
      </c>
      <c r="X85" s="102" t="str">
        <f>IF(ISERROR(MATCH(G85,'Inputs Mapping'!$T$4:$T$5,0)),"x","")</f>
        <v>x</v>
      </c>
      <c r="Y85" s="102" t="str">
        <f>IF(ISERROR(MATCH(AE85,'Inputs Mapping'!$U$4:$U$5,0)),"x","")</f>
        <v>x</v>
      </c>
      <c r="Z85" s="102" t="str">
        <f>IF(ISERROR(MATCH(AF85,'Inputs Mapping'!$V$4:$V$5,0)),"x","")</f>
        <v>x</v>
      </c>
      <c r="AA85" s="102" t="str">
        <f>IF(ISERROR(MATCH(F85,'Inputs Mapping'!$W$4:$W$8,0)),"x","")</f>
        <v>x</v>
      </c>
      <c r="AB85" s="102" t="str">
        <f t="shared" si="42"/>
        <v/>
      </c>
      <c r="AC85" s="102" t="str">
        <f t="shared" si="43"/>
        <v/>
      </c>
      <c r="AD85" s="102" t="str">
        <f t="shared" si="44"/>
        <v/>
      </c>
      <c r="AE85" s="102" t="str">
        <f t="shared" si="51"/>
        <v/>
      </c>
      <c r="AF85" s="102" t="str">
        <f t="shared" si="52"/>
        <v/>
      </c>
      <c r="AG85" s="102" t="str">
        <f t="shared" si="53"/>
        <v>x</v>
      </c>
      <c r="AK85" s="95" t="str">
        <f t="shared" si="45"/>
        <v/>
      </c>
      <c r="AL85" s="59" t="str">
        <f>IF(J85="","",VLOOKUP(J85,'Inputs Mapping'!$T$27:$V$30,3))</f>
        <v/>
      </c>
      <c r="AM85" s="59" t="str">
        <f>IF(J85="","",VLOOKUP(J85,'Inputs Mapping'!$T$17:$V$24,3))</f>
        <v/>
      </c>
      <c r="AN85" s="59" t="str">
        <f t="shared" si="46"/>
        <v/>
      </c>
      <c r="AO85" s="102" t="str">
        <f t="shared" si="47"/>
        <v/>
      </c>
      <c r="AP85" s="102" t="str">
        <f>IF(F85="","",IF(G85="Dubai",HLOOKUP(F85,Inputs!$C$26:$M$36,5,0),HLOOKUP(F85,Inputs!$C$45:$M$49,5,0)))</f>
        <v/>
      </c>
      <c r="AQ85" s="102">
        <f t="shared" si="48"/>
        <v>0</v>
      </c>
      <c r="AR85" s="59" t="str">
        <f>IF(AM85="","",IF(AQ85="Dubai",VLOOKUP(AM85,'Inputs Mapping'!$V$17:$W$24,2,0),VLOOKUP(AL85,'Inputs Mapping'!$V$27:$W$30,2,0)))</f>
        <v/>
      </c>
      <c r="AS85" s="333">
        <f>IFERROR(IF($AQ85="","",HLOOKUP($AQ85&amp;RIGHT($AO85,1),'input for formula'!$B$16:$I$20,3,0)),0)</f>
        <v>0</v>
      </c>
      <c r="AT85" s="80">
        <f>IFERROR(IF($AQ85="","",HLOOKUP($AQ85&amp;$F85,'input for formula'!$B$22:$M$25,2,0)),0)</f>
        <v>0</v>
      </c>
      <c r="AU85" s="333">
        <f>IFERROR(IF($AQ85="","",HLOOKUP($AQ85&amp;RIGHT($AO85,1),'input for formula'!$B$16:$I$20,4,0)),0)</f>
        <v>0</v>
      </c>
      <c r="AV85" s="80">
        <f>IFERROR(IF($AQ85="","",HLOOKUP($AQ85&amp;$F85,'input for formula'!$B$22:$M$25,3,0)),0)</f>
        <v>0</v>
      </c>
      <c r="AW85" s="333">
        <f>IFERROR(IF($AQ85="","",HLOOKUP($AQ85&amp;RIGHT($AO85,1),'input for formula'!$B$16:$I$20,5,0)),0)</f>
        <v>0</v>
      </c>
      <c r="AX85" s="80">
        <f>IFERROR(IF($AQ85="","",HLOOKUP($AQ85&amp;$F85,'input for formula'!$B$22:$M$25,4,0)),0)</f>
        <v>0</v>
      </c>
      <c r="AY85" s="333">
        <f>IFERROR(IF($AQ85="","",IF(Additions!$AQ85="Abu Dhabi",VLOOKUP(Additions!$AP85,'input for formula'!$A$28:$C$41,3,0),VLOOKUP(Additions!$AP85,'input for formula'!$A$28:$C$41,2,0))),0)*IFERROR(1+IF(AQ85="Dubai",VLOOKUP(F85,'Quotation for Dubai Plans'!$V$6:$X$12,3,FALSE),VLOOKUP(F85,'Quotation for Abu Dhabi Plans'!$W$6:$Y$12,3,FALSE)),0)</f>
        <v>0</v>
      </c>
      <c r="AZ85" s="80" t="str">
        <f t="shared" si="23"/>
        <v/>
      </c>
      <c r="BA85" s="106" t="str">
        <f>IFERROR(IF(AO85="","",IF(AQ85="Dubai",HLOOKUP((AO85&amp;AP85),Deviation!$B$7:$S$8,2,0)*BI85*BK85*BL85*BJ85,HLOOKUP((AO85&amp;AP85),Deviation!$B$9:$K$10,2,0)*BI85*BK85*BL85*BJ85)),0)</f>
        <v/>
      </c>
      <c r="BB85" s="107" t="e">
        <f>IF(AO85="","",IFERROR(IF(AO85="","",IF(AQ85="Dubai",HLOOKUP(BC85,'input for formula'!$B$3:$F$10,AR85,FALSE), IF(AND(H85="Employee",AQ85="Abu Dhabi"),HLOOKUP(BC85,'input for formula'!$I$3:$K$7,AR85,FALSE),HLOOKUP(BC85,'input for formula'!$M$3:$O$7,AR85,FALSE)))*BA85+AS85*AT85+AU85*AV85+AW85*AX85),0)*$BC$3)*IF(Inputs!$C$19&gt;100,(1+$BC$2),1)</f>
        <v>#VALUE!</v>
      </c>
      <c r="BC85" s="95" t="str">
        <f t="shared" si="54"/>
        <v/>
      </c>
      <c r="BD85" s="334" t="str">
        <f>IF(F85="","",IF(G85="Dubai",HLOOKUP(F85,Inputs!$C$26:$M$37,9,0),HLOOKUP(F85,Inputs!$C$45:$M$56,9,0)))</f>
        <v/>
      </c>
      <c r="BE85" s="335" t="str">
        <f>IF(F85="","",IF(G85="Dubai",HLOOKUP(F85,Inputs!$C$26:$M$37,10,0),HLOOKUP(F85,Inputs!$C$45:$M$56,10,0)))</f>
        <v/>
      </c>
      <c r="BF85" s="335" t="str">
        <f>IF(F85="","",IF(G85="Dubai",HLOOKUP(F85,Inputs!$C$26:$M$37,11,0),HLOOKUP(F85,Inputs!$C$45:$M$56,11,0)))</f>
        <v/>
      </c>
      <c r="BG85" s="334" t="str">
        <f>IF(F85="","",IF(G85="Dubai",HLOOKUP(F85,Inputs!$C$26:$M$37,12,0),HLOOKUP(F85,Inputs!$C$45:$M$56,12,0)))</f>
        <v/>
      </c>
      <c r="BI85" s="334" t="str">
        <f>IFERROR(IF(AO85="","",IF(AQ85="Dubai",IF(OR(AO85="Plan1",AO85="Plan2"),VLOOKUP(BD85,Deviation!$B$31:$D$33,2,FALSE),VLOOKUP(BD85,Deviation!$B$31:$D$33,3,FALSE)),IF(OR(AO85="Plan1",AO85="Plan2"),VLOOKUP(BD85,Deviation!$E$31:$G$33,2,FALSE),VLOOKUP(BD85,Deviation!$E$31:$G$33,3,FALSE)))),0)</f>
        <v/>
      </c>
      <c r="BJ85" s="336" t="str">
        <f>IFERROR(IF(AO85="","",IF(AQ85="Dubai",IF(AO85="Plan1",VLOOKUP(BE85,Deviation!$B$39:$C$40,2,FALSE),IF(AO85="Plan2",VLOOKUP(BE85,Deviation!$B$42:$C$43,2,FALSE),IF(AO85="Plan5",VLOOKUP(BE85,Deviation!$B$48:$C$49,2,FALSE),VLOOKUP(BE85,Deviation!$B$45:$C$46,2,FALSE)))),IF(AO85="Plan1",VLOOKUP(BE85,Deviation!$E$39:$F$40,2,FALSE),IF(AO85="Plan2",VLOOKUP(BE85,Deviation!$E$42:$F$43,2,FALSE),VLOOKUP(BE85,Deviation!$E$45:$F$46,2,FALSE))))),0)</f>
        <v/>
      </c>
      <c r="BK85" s="336" t="str">
        <f>IFERROR(IF(AO85="","",IF(AQ85="Dubai",IF(OR(AO85="Plan1",AO85="Plan2"),VLOOKUP(BF85,Deviation!$B$15:$D$18,2,FALSE),VLOOKUP(BF85,Deviation!$B$15:$D$18,3,FALSE)),IF(OR(AO85="Plan1",AO85="Plan2"),VLOOKUP(BF85,Deviation!$E$15:$G$18,2,FALSE),VLOOKUP(BF85,Deviation!$E$15:$G$18,3,FALSE)))),0)</f>
        <v/>
      </c>
      <c r="BL85" s="334" t="str">
        <f>IFERROR(IF(AO85="","",IF(AQ85="Dubai",VLOOKUP(BG85,Deviation!$B$24:$C$26,2,FALSE),100%)),0)</f>
        <v/>
      </c>
    </row>
    <row r="86" spans="1:64" ht="14.25" x14ac:dyDescent="0.2">
      <c r="A86" s="59">
        <v>81</v>
      </c>
      <c r="B86" s="298"/>
      <c r="C86" s="299"/>
      <c r="D86" s="298"/>
      <c r="E86" s="298"/>
      <c r="F86" s="298"/>
      <c r="G86" s="298"/>
      <c r="H86" s="298"/>
      <c r="I86" s="298"/>
      <c r="J86" s="80" t="str">
        <f>IFERROR(ROUNDDOWN(IF(C86="","",(MAX((eff_date-Additions!C86)/365.25,0))),0),"")</f>
        <v/>
      </c>
      <c r="K86" s="59" t="str">
        <f>IF(F86="","",IF(G86="Dubai",HLOOKUP(F86,Inputs!$C$26:$M$28,3,0),HLOOKUP(F86,Inputs!$C$45:$M$46,2,0)))</f>
        <v/>
      </c>
      <c r="L86" s="335" t="str">
        <f t="shared" si="33"/>
        <v/>
      </c>
      <c r="M86" s="335">
        <f t="shared" si="34"/>
        <v>0</v>
      </c>
      <c r="N86" s="335" t="str">
        <f t="shared" si="35"/>
        <v/>
      </c>
      <c r="O86" s="335">
        <f t="shared" si="36"/>
        <v>0</v>
      </c>
      <c r="P86" s="104"/>
      <c r="Q86" s="105">
        <f t="shared" si="49"/>
        <v>0</v>
      </c>
      <c r="R86" s="59" t="b">
        <f t="shared" si="37"/>
        <v>0</v>
      </c>
      <c r="S86" s="102" t="str">
        <f t="shared" si="50"/>
        <v>x</v>
      </c>
      <c r="T86" s="102" t="str">
        <f t="shared" si="38"/>
        <v>x</v>
      </c>
      <c r="U86" s="102" t="str">
        <f t="shared" si="39"/>
        <v>x</v>
      </c>
      <c r="V86" s="102" t="str">
        <f t="shared" si="40"/>
        <v>x</v>
      </c>
      <c r="W86" s="102" t="str">
        <f t="shared" si="41"/>
        <v>x</v>
      </c>
      <c r="X86" s="102" t="str">
        <f>IF(ISERROR(MATCH(G86,'Inputs Mapping'!$T$4:$T$5,0)),"x","")</f>
        <v>x</v>
      </c>
      <c r="Y86" s="102" t="str">
        <f>IF(ISERROR(MATCH(AE86,'Inputs Mapping'!$U$4:$U$5,0)),"x","")</f>
        <v>x</v>
      </c>
      <c r="Z86" s="102" t="str">
        <f>IF(ISERROR(MATCH(AF86,'Inputs Mapping'!$V$4:$V$5,0)),"x","")</f>
        <v>x</v>
      </c>
      <c r="AA86" s="102" t="str">
        <f>IF(ISERROR(MATCH(F86,'Inputs Mapping'!$W$4:$W$8,0)),"x","")</f>
        <v>x</v>
      </c>
      <c r="AB86" s="102" t="str">
        <f t="shared" si="42"/>
        <v/>
      </c>
      <c r="AC86" s="102" t="str">
        <f t="shared" si="43"/>
        <v/>
      </c>
      <c r="AD86" s="102" t="str">
        <f t="shared" si="44"/>
        <v/>
      </c>
      <c r="AE86" s="102" t="str">
        <f t="shared" si="51"/>
        <v/>
      </c>
      <c r="AF86" s="102" t="str">
        <f t="shared" si="52"/>
        <v/>
      </c>
      <c r="AG86" s="102" t="str">
        <f t="shared" si="53"/>
        <v>x</v>
      </c>
      <c r="AK86" s="95" t="str">
        <f t="shared" si="45"/>
        <v/>
      </c>
      <c r="AL86" s="59" t="str">
        <f>IF(J86="","",VLOOKUP(J86,'Inputs Mapping'!$T$27:$V$30,3))</f>
        <v/>
      </c>
      <c r="AM86" s="59" t="str">
        <f>IF(J86="","",VLOOKUP(J86,'Inputs Mapping'!$T$17:$V$24,3))</f>
        <v/>
      </c>
      <c r="AN86" s="59" t="str">
        <f t="shared" si="46"/>
        <v/>
      </c>
      <c r="AO86" s="102" t="str">
        <f t="shared" si="47"/>
        <v/>
      </c>
      <c r="AP86" s="102" t="str">
        <f>IF(F86="","",IF(G86="Dubai",HLOOKUP(F86,Inputs!$C$26:$M$36,5,0),HLOOKUP(F86,Inputs!$C$45:$M$49,5,0)))</f>
        <v/>
      </c>
      <c r="AQ86" s="102">
        <f t="shared" si="48"/>
        <v>0</v>
      </c>
      <c r="AR86" s="59" t="str">
        <f>IF(AM86="","",IF(AQ86="Dubai",VLOOKUP(AM86,'Inputs Mapping'!$V$17:$W$24,2,0),VLOOKUP(AL86,'Inputs Mapping'!$V$27:$W$30,2,0)))</f>
        <v/>
      </c>
      <c r="AS86" s="333">
        <f>IFERROR(IF($AQ86="","",HLOOKUP($AQ86&amp;RIGHT($AO86,1),'input for formula'!$B$16:$I$20,3,0)),0)</f>
        <v>0</v>
      </c>
      <c r="AT86" s="80">
        <f>IFERROR(IF($AQ86="","",HLOOKUP($AQ86&amp;$F86,'input for formula'!$B$22:$M$25,2,0)),0)</f>
        <v>0</v>
      </c>
      <c r="AU86" s="333">
        <f>IFERROR(IF($AQ86="","",HLOOKUP($AQ86&amp;RIGHT($AO86,1),'input for formula'!$B$16:$I$20,4,0)),0)</f>
        <v>0</v>
      </c>
      <c r="AV86" s="80">
        <f>IFERROR(IF($AQ86="","",HLOOKUP($AQ86&amp;$F86,'input for formula'!$B$22:$M$25,3,0)),0)</f>
        <v>0</v>
      </c>
      <c r="AW86" s="333">
        <f>IFERROR(IF($AQ86="","",HLOOKUP($AQ86&amp;RIGHT($AO86,1),'input for formula'!$B$16:$I$20,5,0)),0)</f>
        <v>0</v>
      </c>
      <c r="AX86" s="80">
        <f>IFERROR(IF($AQ86="","",HLOOKUP($AQ86&amp;$F86,'input for formula'!$B$22:$M$25,4,0)),0)</f>
        <v>0</v>
      </c>
      <c r="AY86" s="333">
        <f>IFERROR(IF($AQ86="","",IF(Additions!$AQ86="Abu Dhabi",VLOOKUP(Additions!$AP86,'input for formula'!$A$28:$C$41,3,0),VLOOKUP(Additions!$AP86,'input for formula'!$A$28:$C$41,2,0))),0)*IFERROR(1+IF(AQ86="Dubai",VLOOKUP(F86,'Quotation for Dubai Plans'!$V$6:$X$12,3,FALSE),VLOOKUP(F86,'Quotation for Abu Dhabi Plans'!$W$6:$Y$12,3,FALSE)),0)</f>
        <v>0</v>
      </c>
      <c r="AZ86" s="80" t="str">
        <f t="shared" si="23"/>
        <v/>
      </c>
      <c r="BA86" s="106" t="str">
        <f>IFERROR(IF(AO86="","",IF(AQ86="Dubai",HLOOKUP((AO86&amp;AP86),Deviation!$B$7:$S$8,2,0)*BI86*BK86*BL86*BJ86,HLOOKUP((AO86&amp;AP86),Deviation!$B$9:$K$10,2,0)*BI86*BK86*BL86*BJ86)),0)</f>
        <v/>
      </c>
      <c r="BB86" s="107" t="e">
        <f>IF(AO86="","",IFERROR(IF(AO86="","",IF(AQ86="Dubai",HLOOKUP(BC86,'input for formula'!$B$3:$F$10,AR86,FALSE), IF(AND(H86="Employee",AQ86="Abu Dhabi"),HLOOKUP(BC86,'input for formula'!$I$3:$K$7,AR86,FALSE),HLOOKUP(BC86,'input for formula'!$M$3:$O$7,AR86,FALSE)))*BA86+AS86*AT86+AU86*AV86+AW86*AX86),0)*$BC$3)*IF(Inputs!$C$19&gt;100,(1+$BC$2),1)</f>
        <v>#VALUE!</v>
      </c>
      <c r="BC86" s="95" t="str">
        <f t="shared" si="54"/>
        <v/>
      </c>
      <c r="BD86" s="334" t="str">
        <f>IF(F86="","",IF(G86="Dubai",HLOOKUP(F86,Inputs!$C$26:$M$37,9,0),HLOOKUP(F86,Inputs!$C$45:$M$56,9,0)))</f>
        <v/>
      </c>
      <c r="BE86" s="335" t="str">
        <f>IF(F86="","",IF(G86="Dubai",HLOOKUP(F86,Inputs!$C$26:$M$37,10,0),HLOOKUP(F86,Inputs!$C$45:$M$56,10,0)))</f>
        <v/>
      </c>
      <c r="BF86" s="335" t="str">
        <f>IF(F86="","",IF(G86="Dubai",HLOOKUP(F86,Inputs!$C$26:$M$37,11,0),HLOOKUP(F86,Inputs!$C$45:$M$56,11,0)))</f>
        <v/>
      </c>
      <c r="BG86" s="334" t="str">
        <f>IF(F86="","",IF(G86="Dubai",HLOOKUP(F86,Inputs!$C$26:$M$37,12,0),HLOOKUP(F86,Inputs!$C$45:$M$56,12,0)))</f>
        <v/>
      </c>
      <c r="BI86" s="334" t="str">
        <f>IFERROR(IF(AO86="","",IF(AQ86="Dubai",IF(OR(AO86="Plan1",AO86="Plan2"),VLOOKUP(BD86,Deviation!$B$31:$D$33,2,FALSE),VLOOKUP(BD86,Deviation!$B$31:$D$33,3,FALSE)),IF(OR(AO86="Plan1",AO86="Plan2"),VLOOKUP(BD86,Deviation!$E$31:$G$33,2,FALSE),VLOOKUP(BD86,Deviation!$E$31:$G$33,3,FALSE)))),0)</f>
        <v/>
      </c>
      <c r="BJ86" s="336" t="str">
        <f>IFERROR(IF(AO86="","",IF(AQ86="Dubai",IF(AO86="Plan1",VLOOKUP(BE86,Deviation!$B$39:$C$40,2,FALSE),IF(AO86="Plan2",VLOOKUP(BE86,Deviation!$B$42:$C$43,2,FALSE),IF(AO86="Plan5",VLOOKUP(BE86,Deviation!$B$48:$C$49,2,FALSE),VLOOKUP(BE86,Deviation!$B$45:$C$46,2,FALSE)))),IF(AO86="Plan1",VLOOKUP(BE86,Deviation!$E$39:$F$40,2,FALSE),IF(AO86="Plan2",VLOOKUP(BE86,Deviation!$E$42:$F$43,2,FALSE),VLOOKUP(BE86,Deviation!$E$45:$F$46,2,FALSE))))),0)</f>
        <v/>
      </c>
      <c r="BK86" s="336" t="str">
        <f>IFERROR(IF(AO86="","",IF(AQ86="Dubai",IF(OR(AO86="Plan1",AO86="Plan2"),VLOOKUP(BF86,Deviation!$B$15:$D$18,2,FALSE),VLOOKUP(BF86,Deviation!$B$15:$D$18,3,FALSE)),IF(OR(AO86="Plan1",AO86="Plan2"),VLOOKUP(BF86,Deviation!$E$15:$G$18,2,FALSE),VLOOKUP(BF86,Deviation!$E$15:$G$18,3,FALSE)))),0)</f>
        <v/>
      </c>
      <c r="BL86" s="334" t="str">
        <f>IFERROR(IF(AO86="","",IF(AQ86="Dubai",VLOOKUP(BG86,Deviation!$B$24:$C$26,2,FALSE),100%)),0)</f>
        <v/>
      </c>
    </row>
    <row r="87" spans="1:64" ht="14.25" x14ac:dyDescent="0.2">
      <c r="A87" s="59">
        <v>82</v>
      </c>
      <c r="B87" s="298"/>
      <c r="C87" s="299"/>
      <c r="D87" s="298"/>
      <c r="E87" s="298"/>
      <c r="F87" s="298"/>
      <c r="G87" s="298"/>
      <c r="H87" s="298"/>
      <c r="I87" s="298"/>
      <c r="J87" s="80" t="str">
        <f>IFERROR(ROUNDDOWN(IF(C87="","",(MAX((eff_date-Additions!C87)/365.25,0))),0),"")</f>
        <v/>
      </c>
      <c r="K87" s="59" t="str">
        <f>IF(F87="","",IF(G87="Dubai",HLOOKUP(F87,Inputs!$C$26:$M$28,3,0),HLOOKUP(F87,Inputs!$C$45:$M$46,2,0)))</f>
        <v/>
      </c>
      <c r="L87" s="335" t="str">
        <f t="shared" si="33"/>
        <v/>
      </c>
      <c r="M87" s="335">
        <f t="shared" si="34"/>
        <v>0</v>
      </c>
      <c r="N87" s="335" t="str">
        <f t="shared" si="35"/>
        <v/>
      </c>
      <c r="O87" s="335">
        <f t="shared" si="36"/>
        <v>0</v>
      </c>
      <c r="P87" s="104"/>
      <c r="Q87" s="105">
        <f t="shared" si="49"/>
        <v>0</v>
      </c>
      <c r="R87" s="59" t="b">
        <f t="shared" si="37"/>
        <v>0</v>
      </c>
      <c r="S87" s="102" t="str">
        <f t="shared" si="50"/>
        <v>x</v>
      </c>
      <c r="T87" s="102" t="str">
        <f t="shared" si="38"/>
        <v>x</v>
      </c>
      <c r="U87" s="102" t="str">
        <f t="shared" si="39"/>
        <v>x</v>
      </c>
      <c r="V87" s="102" t="str">
        <f t="shared" si="40"/>
        <v>x</v>
      </c>
      <c r="W87" s="102" t="str">
        <f t="shared" si="41"/>
        <v>x</v>
      </c>
      <c r="X87" s="102" t="str">
        <f>IF(ISERROR(MATCH(G87,'Inputs Mapping'!$T$4:$T$5,0)),"x","")</f>
        <v>x</v>
      </c>
      <c r="Y87" s="102" t="str">
        <f>IF(ISERROR(MATCH(AE87,'Inputs Mapping'!$U$4:$U$5,0)),"x","")</f>
        <v>x</v>
      </c>
      <c r="Z87" s="102" t="str">
        <f>IF(ISERROR(MATCH(AF87,'Inputs Mapping'!$V$4:$V$5,0)),"x","")</f>
        <v>x</v>
      </c>
      <c r="AA87" s="102" t="str">
        <f>IF(ISERROR(MATCH(F87,'Inputs Mapping'!$W$4:$W$8,0)),"x","")</f>
        <v>x</v>
      </c>
      <c r="AB87" s="102" t="str">
        <f t="shared" si="42"/>
        <v/>
      </c>
      <c r="AC87" s="102" t="str">
        <f t="shared" si="43"/>
        <v/>
      </c>
      <c r="AD87" s="102" t="str">
        <f t="shared" si="44"/>
        <v/>
      </c>
      <c r="AE87" s="102" t="str">
        <f t="shared" si="51"/>
        <v/>
      </c>
      <c r="AF87" s="102" t="str">
        <f t="shared" si="52"/>
        <v/>
      </c>
      <c r="AG87" s="102" t="str">
        <f t="shared" si="53"/>
        <v>x</v>
      </c>
      <c r="AK87" s="95" t="str">
        <f t="shared" si="45"/>
        <v/>
      </c>
      <c r="AL87" s="59" t="str">
        <f>IF(J87="","",VLOOKUP(J87,'Inputs Mapping'!$T$27:$V$30,3))</f>
        <v/>
      </c>
      <c r="AM87" s="59" t="str">
        <f>IF(J87="","",VLOOKUP(J87,'Inputs Mapping'!$T$17:$V$24,3))</f>
        <v/>
      </c>
      <c r="AN87" s="59" t="str">
        <f t="shared" si="46"/>
        <v/>
      </c>
      <c r="AO87" s="102" t="str">
        <f t="shared" si="47"/>
        <v/>
      </c>
      <c r="AP87" s="102" t="str">
        <f>IF(F87="","",IF(G87="Dubai",HLOOKUP(F87,Inputs!$C$26:$M$36,5,0),HLOOKUP(F87,Inputs!$C$45:$M$49,5,0)))</f>
        <v/>
      </c>
      <c r="AQ87" s="102">
        <f t="shared" si="48"/>
        <v>0</v>
      </c>
      <c r="AR87" s="59" t="str">
        <f>IF(AM87="","",IF(AQ87="Dubai",VLOOKUP(AM87,'Inputs Mapping'!$V$17:$W$24,2,0),VLOOKUP(AL87,'Inputs Mapping'!$V$27:$W$30,2,0)))</f>
        <v/>
      </c>
      <c r="AS87" s="333">
        <f>IFERROR(IF($AQ87="","",HLOOKUP($AQ87&amp;RIGHT($AO87,1),'input for formula'!$B$16:$I$20,3,0)),0)</f>
        <v>0</v>
      </c>
      <c r="AT87" s="80">
        <f>IFERROR(IF($AQ87="","",HLOOKUP($AQ87&amp;$F87,'input for formula'!$B$22:$M$25,2,0)),0)</f>
        <v>0</v>
      </c>
      <c r="AU87" s="333">
        <f>IFERROR(IF($AQ87="","",HLOOKUP($AQ87&amp;RIGHT($AO87,1),'input for formula'!$B$16:$I$20,4,0)),0)</f>
        <v>0</v>
      </c>
      <c r="AV87" s="80">
        <f>IFERROR(IF($AQ87="","",HLOOKUP($AQ87&amp;$F87,'input for formula'!$B$22:$M$25,3,0)),0)</f>
        <v>0</v>
      </c>
      <c r="AW87" s="333">
        <f>IFERROR(IF($AQ87="","",HLOOKUP($AQ87&amp;RIGHT($AO87,1),'input for formula'!$B$16:$I$20,5,0)),0)</f>
        <v>0</v>
      </c>
      <c r="AX87" s="80">
        <f>IFERROR(IF($AQ87="","",HLOOKUP($AQ87&amp;$F87,'input for formula'!$B$22:$M$25,4,0)),0)</f>
        <v>0</v>
      </c>
      <c r="AY87" s="333">
        <f>IFERROR(IF($AQ87="","",IF(Additions!$AQ87="Abu Dhabi",VLOOKUP(Additions!$AP87,'input for formula'!$A$28:$C$41,3,0),VLOOKUP(Additions!$AP87,'input for formula'!$A$28:$C$41,2,0))),0)*IFERROR(1+IF(AQ87="Dubai",VLOOKUP(F87,'Quotation for Dubai Plans'!$V$6:$X$12,3,FALSE),VLOOKUP(F87,'Quotation for Abu Dhabi Plans'!$W$6:$Y$12,3,FALSE)),0)</f>
        <v>0</v>
      </c>
      <c r="AZ87" s="80" t="str">
        <f t="shared" si="23"/>
        <v/>
      </c>
      <c r="BA87" s="106" t="str">
        <f>IFERROR(IF(AO87="","",IF(AQ87="Dubai",HLOOKUP((AO87&amp;AP87),Deviation!$B$7:$S$8,2,0)*BI87*BK87*BL87*BJ87,HLOOKUP((AO87&amp;AP87),Deviation!$B$9:$K$10,2,0)*BI87*BK87*BL87*BJ87)),0)</f>
        <v/>
      </c>
      <c r="BB87" s="107" t="e">
        <f>IF(AO87="","",IFERROR(IF(AO87="","",IF(AQ87="Dubai",HLOOKUP(BC87,'input for formula'!$B$3:$F$10,AR87,FALSE), IF(AND(H87="Employee",AQ87="Abu Dhabi"),HLOOKUP(BC87,'input for formula'!$I$3:$K$7,AR87,FALSE),HLOOKUP(BC87,'input for formula'!$M$3:$O$7,AR87,FALSE)))*BA87+AS87*AT87+AU87*AV87+AW87*AX87),0)*$BC$3)*IF(Inputs!$C$19&gt;100,(1+$BC$2),1)</f>
        <v>#VALUE!</v>
      </c>
      <c r="BC87" s="95" t="str">
        <f t="shared" si="54"/>
        <v/>
      </c>
      <c r="BD87" s="334" t="str">
        <f>IF(F87="","",IF(G87="Dubai",HLOOKUP(F87,Inputs!$C$26:$M$37,9,0),HLOOKUP(F87,Inputs!$C$45:$M$56,9,0)))</f>
        <v/>
      </c>
      <c r="BE87" s="335" t="str">
        <f>IF(F87="","",IF(G87="Dubai",HLOOKUP(F87,Inputs!$C$26:$M$37,10,0),HLOOKUP(F87,Inputs!$C$45:$M$56,10,0)))</f>
        <v/>
      </c>
      <c r="BF87" s="335" t="str">
        <f>IF(F87="","",IF(G87="Dubai",HLOOKUP(F87,Inputs!$C$26:$M$37,11,0),HLOOKUP(F87,Inputs!$C$45:$M$56,11,0)))</f>
        <v/>
      </c>
      <c r="BG87" s="334" t="str">
        <f>IF(F87="","",IF(G87="Dubai",HLOOKUP(F87,Inputs!$C$26:$M$37,12,0),HLOOKUP(F87,Inputs!$C$45:$M$56,12,0)))</f>
        <v/>
      </c>
      <c r="BI87" s="334" t="str">
        <f>IFERROR(IF(AO87="","",IF(AQ87="Dubai",IF(OR(AO87="Plan1",AO87="Plan2"),VLOOKUP(BD87,Deviation!$B$31:$D$33,2,FALSE),VLOOKUP(BD87,Deviation!$B$31:$D$33,3,FALSE)),IF(OR(AO87="Plan1",AO87="Plan2"),VLOOKUP(BD87,Deviation!$E$31:$G$33,2,FALSE),VLOOKUP(BD87,Deviation!$E$31:$G$33,3,FALSE)))),0)</f>
        <v/>
      </c>
      <c r="BJ87" s="336" t="str">
        <f>IFERROR(IF(AO87="","",IF(AQ87="Dubai",IF(AO87="Plan1",VLOOKUP(BE87,Deviation!$B$39:$C$40,2,FALSE),IF(AO87="Plan2",VLOOKUP(BE87,Deviation!$B$42:$C$43,2,FALSE),IF(AO87="Plan5",VLOOKUP(BE87,Deviation!$B$48:$C$49,2,FALSE),VLOOKUP(BE87,Deviation!$B$45:$C$46,2,FALSE)))),IF(AO87="Plan1",VLOOKUP(BE87,Deviation!$E$39:$F$40,2,FALSE),IF(AO87="Plan2",VLOOKUP(BE87,Deviation!$E$42:$F$43,2,FALSE),VLOOKUP(BE87,Deviation!$E$45:$F$46,2,FALSE))))),0)</f>
        <v/>
      </c>
      <c r="BK87" s="336" t="str">
        <f>IFERROR(IF(AO87="","",IF(AQ87="Dubai",IF(OR(AO87="Plan1",AO87="Plan2"),VLOOKUP(BF87,Deviation!$B$15:$D$18,2,FALSE),VLOOKUP(BF87,Deviation!$B$15:$D$18,3,FALSE)),IF(OR(AO87="Plan1",AO87="Plan2"),VLOOKUP(BF87,Deviation!$E$15:$G$18,2,FALSE),VLOOKUP(BF87,Deviation!$E$15:$G$18,3,FALSE)))),0)</f>
        <v/>
      </c>
      <c r="BL87" s="334" t="str">
        <f>IFERROR(IF(AO87="","",IF(AQ87="Dubai",VLOOKUP(BG87,Deviation!$B$24:$C$26,2,FALSE),100%)),0)</f>
        <v/>
      </c>
    </row>
    <row r="88" spans="1:64" ht="14.25" x14ac:dyDescent="0.2">
      <c r="A88" s="59">
        <v>83</v>
      </c>
      <c r="B88" s="298"/>
      <c r="C88" s="299"/>
      <c r="D88" s="298"/>
      <c r="E88" s="298"/>
      <c r="F88" s="298"/>
      <c r="G88" s="298"/>
      <c r="H88" s="298"/>
      <c r="I88" s="298"/>
      <c r="J88" s="80" t="str">
        <f>IFERROR(ROUNDDOWN(IF(C88="","",(MAX((eff_date-Additions!C88)/365.25,0))),0),"")</f>
        <v/>
      </c>
      <c r="K88" s="59" t="str">
        <f>IF(F88="","",IF(G88="Dubai",HLOOKUP(F88,Inputs!$C$26:$M$28,3,0),HLOOKUP(F88,Inputs!$C$45:$M$46,2,0)))</f>
        <v/>
      </c>
      <c r="L88" s="335" t="str">
        <f t="shared" si="33"/>
        <v/>
      </c>
      <c r="M88" s="335">
        <f t="shared" si="34"/>
        <v>0</v>
      </c>
      <c r="N88" s="335" t="str">
        <f t="shared" si="35"/>
        <v/>
      </c>
      <c r="O88" s="335">
        <f t="shared" si="36"/>
        <v>0</v>
      </c>
      <c r="P88" s="104"/>
      <c r="Q88" s="105">
        <f t="shared" si="49"/>
        <v>0</v>
      </c>
      <c r="R88" s="59" t="b">
        <f t="shared" si="37"/>
        <v>0</v>
      </c>
      <c r="S88" s="102" t="str">
        <f t="shared" si="50"/>
        <v>x</v>
      </c>
      <c r="T88" s="102" t="str">
        <f t="shared" si="38"/>
        <v>x</v>
      </c>
      <c r="U88" s="102" t="str">
        <f t="shared" si="39"/>
        <v>x</v>
      </c>
      <c r="V88" s="102" t="str">
        <f t="shared" si="40"/>
        <v>x</v>
      </c>
      <c r="W88" s="102" t="str">
        <f t="shared" si="41"/>
        <v>x</v>
      </c>
      <c r="X88" s="102" t="str">
        <f>IF(ISERROR(MATCH(G88,'Inputs Mapping'!$T$4:$T$5,0)),"x","")</f>
        <v>x</v>
      </c>
      <c r="Y88" s="102" t="str">
        <f>IF(ISERROR(MATCH(AE88,'Inputs Mapping'!$U$4:$U$5,0)),"x","")</f>
        <v>x</v>
      </c>
      <c r="Z88" s="102" t="str">
        <f>IF(ISERROR(MATCH(AF88,'Inputs Mapping'!$V$4:$V$5,0)),"x","")</f>
        <v>x</v>
      </c>
      <c r="AA88" s="102" t="str">
        <f>IF(ISERROR(MATCH(F88,'Inputs Mapping'!$W$4:$W$8,0)),"x","")</f>
        <v>x</v>
      </c>
      <c r="AB88" s="102" t="str">
        <f t="shared" si="42"/>
        <v/>
      </c>
      <c r="AC88" s="102" t="str">
        <f t="shared" si="43"/>
        <v/>
      </c>
      <c r="AD88" s="102" t="str">
        <f t="shared" si="44"/>
        <v/>
      </c>
      <c r="AE88" s="102" t="str">
        <f t="shared" si="51"/>
        <v/>
      </c>
      <c r="AF88" s="102" t="str">
        <f t="shared" si="52"/>
        <v/>
      </c>
      <c r="AG88" s="102" t="str">
        <f t="shared" si="53"/>
        <v>x</v>
      </c>
      <c r="AK88" s="95" t="str">
        <f t="shared" si="45"/>
        <v/>
      </c>
      <c r="AL88" s="59" t="str">
        <f>IF(J88="","",VLOOKUP(J88,'Inputs Mapping'!$T$27:$V$30,3))</f>
        <v/>
      </c>
      <c r="AM88" s="59" t="str">
        <f>IF(J88="","",VLOOKUP(J88,'Inputs Mapping'!$T$17:$V$24,3))</f>
        <v/>
      </c>
      <c r="AN88" s="59" t="str">
        <f t="shared" si="46"/>
        <v/>
      </c>
      <c r="AO88" s="102" t="str">
        <f t="shared" si="47"/>
        <v/>
      </c>
      <c r="AP88" s="102" t="str">
        <f>IF(F88="","",IF(G88="Dubai",HLOOKUP(F88,Inputs!$C$26:$M$36,5,0),HLOOKUP(F88,Inputs!$C$45:$M$49,5,0)))</f>
        <v/>
      </c>
      <c r="AQ88" s="102">
        <f t="shared" si="48"/>
        <v>0</v>
      </c>
      <c r="AR88" s="59" t="str">
        <f>IF(AM88="","",IF(AQ88="Dubai",VLOOKUP(AM88,'Inputs Mapping'!$V$17:$W$24,2,0),VLOOKUP(AL88,'Inputs Mapping'!$V$27:$W$30,2,0)))</f>
        <v/>
      </c>
      <c r="AS88" s="333">
        <f>IFERROR(IF($AQ88="","",HLOOKUP($AQ88&amp;RIGHT($AO88,1),'input for formula'!$B$16:$I$20,3,0)),0)</f>
        <v>0</v>
      </c>
      <c r="AT88" s="80">
        <f>IFERROR(IF($AQ88="","",HLOOKUP($AQ88&amp;$F88,'input for formula'!$B$22:$M$25,2,0)),0)</f>
        <v>0</v>
      </c>
      <c r="AU88" s="333">
        <f>IFERROR(IF($AQ88="","",HLOOKUP($AQ88&amp;RIGHT($AO88,1),'input for formula'!$B$16:$I$20,4,0)),0)</f>
        <v>0</v>
      </c>
      <c r="AV88" s="80">
        <f>IFERROR(IF($AQ88="","",HLOOKUP($AQ88&amp;$F88,'input for formula'!$B$22:$M$25,3,0)),0)</f>
        <v>0</v>
      </c>
      <c r="AW88" s="333">
        <f>IFERROR(IF($AQ88="","",HLOOKUP($AQ88&amp;RIGHT($AO88,1),'input for formula'!$B$16:$I$20,5,0)),0)</f>
        <v>0</v>
      </c>
      <c r="AX88" s="80">
        <f>IFERROR(IF($AQ88="","",HLOOKUP($AQ88&amp;$F88,'input for formula'!$B$22:$M$25,4,0)),0)</f>
        <v>0</v>
      </c>
      <c r="AY88" s="333">
        <f>IFERROR(IF($AQ88="","",IF(Additions!$AQ88="Abu Dhabi",VLOOKUP(Additions!$AP88,'input for formula'!$A$28:$C$41,3,0),VLOOKUP(Additions!$AP88,'input for formula'!$A$28:$C$41,2,0))),0)*IFERROR(1+IF(AQ88="Dubai",VLOOKUP(F88,'Quotation for Dubai Plans'!$V$6:$X$12,3,FALSE),VLOOKUP(F88,'Quotation for Abu Dhabi Plans'!$W$6:$Y$12,3,FALSE)),0)</f>
        <v>0</v>
      </c>
      <c r="AZ88" s="80" t="str">
        <f t="shared" si="23"/>
        <v/>
      </c>
      <c r="BA88" s="106" t="str">
        <f>IFERROR(IF(AO88="","",IF(AQ88="Dubai",HLOOKUP((AO88&amp;AP88),Deviation!$B$7:$S$8,2,0)*BI88*BK88*BL88*BJ88,HLOOKUP((AO88&amp;AP88),Deviation!$B$9:$K$10,2,0)*BI88*BK88*BL88*BJ88)),0)</f>
        <v/>
      </c>
      <c r="BB88" s="107" t="e">
        <f>IF(AO88="","",IFERROR(IF(AO88="","",IF(AQ88="Dubai",HLOOKUP(BC88,'input for formula'!$B$3:$F$10,AR88,FALSE), IF(AND(H88="Employee",AQ88="Abu Dhabi"),HLOOKUP(BC88,'input for formula'!$I$3:$K$7,AR88,FALSE),HLOOKUP(BC88,'input for formula'!$M$3:$O$7,AR88,FALSE)))*BA88+AS88*AT88+AU88*AV88+AW88*AX88),0)*$BC$3)*IF(Inputs!$C$19&gt;100,(1+$BC$2),1)</f>
        <v>#VALUE!</v>
      </c>
      <c r="BC88" s="95" t="str">
        <f t="shared" si="54"/>
        <v/>
      </c>
      <c r="BD88" s="334" t="str">
        <f>IF(F88="","",IF(G88="Dubai",HLOOKUP(F88,Inputs!$C$26:$M$37,9,0),HLOOKUP(F88,Inputs!$C$45:$M$56,9,0)))</f>
        <v/>
      </c>
      <c r="BE88" s="335" t="str">
        <f>IF(F88="","",IF(G88="Dubai",HLOOKUP(F88,Inputs!$C$26:$M$37,10,0),HLOOKUP(F88,Inputs!$C$45:$M$56,10,0)))</f>
        <v/>
      </c>
      <c r="BF88" s="335" t="str">
        <f>IF(F88="","",IF(G88="Dubai",HLOOKUP(F88,Inputs!$C$26:$M$37,11,0),HLOOKUP(F88,Inputs!$C$45:$M$56,11,0)))</f>
        <v/>
      </c>
      <c r="BG88" s="334" t="str">
        <f>IF(F88="","",IF(G88="Dubai",HLOOKUP(F88,Inputs!$C$26:$M$37,12,0),HLOOKUP(F88,Inputs!$C$45:$M$56,12,0)))</f>
        <v/>
      </c>
      <c r="BI88" s="334" t="str">
        <f>IFERROR(IF(AO88="","",IF(AQ88="Dubai",IF(OR(AO88="Plan1",AO88="Plan2"),VLOOKUP(BD88,Deviation!$B$31:$D$33,2,FALSE),VLOOKUP(BD88,Deviation!$B$31:$D$33,3,FALSE)),IF(OR(AO88="Plan1",AO88="Plan2"),VLOOKUP(BD88,Deviation!$E$31:$G$33,2,FALSE),VLOOKUP(BD88,Deviation!$E$31:$G$33,3,FALSE)))),0)</f>
        <v/>
      </c>
      <c r="BJ88" s="336" t="str">
        <f>IFERROR(IF(AO88="","",IF(AQ88="Dubai",IF(AO88="Plan1",VLOOKUP(BE88,Deviation!$B$39:$C$40,2,FALSE),IF(AO88="Plan2",VLOOKUP(BE88,Deviation!$B$42:$C$43,2,FALSE),IF(AO88="Plan5",VLOOKUP(BE88,Deviation!$B$48:$C$49,2,FALSE),VLOOKUP(BE88,Deviation!$B$45:$C$46,2,FALSE)))),IF(AO88="Plan1",VLOOKUP(BE88,Deviation!$E$39:$F$40,2,FALSE),IF(AO88="Plan2",VLOOKUP(BE88,Deviation!$E$42:$F$43,2,FALSE),VLOOKUP(BE88,Deviation!$E$45:$F$46,2,FALSE))))),0)</f>
        <v/>
      </c>
      <c r="BK88" s="336" t="str">
        <f>IFERROR(IF(AO88="","",IF(AQ88="Dubai",IF(OR(AO88="Plan1",AO88="Plan2"),VLOOKUP(BF88,Deviation!$B$15:$D$18,2,FALSE),VLOOKUP(BF88,Deviation!$B$15:$D$18,3,FALSE)),IF(OR(AO88="Plan1",AO88="Plan2"),VLOOKUP(BF88,Deviation!$E$15:$G$18,2,FALSE),VLOOKUP(BF88,Deviation!$E$15:$G$18,3,FALSE)))),0)</f>
        <v/>
      </c>
      <c r="BL88" s="334" t="str">
        <f>IFERROR(IF(AO88="","",IF(AQ88="Dubai",VLOOKUP(BG88,Deviation!$B$24:$C$26,2,FALSE),100%)),0)</f>
        <v/>
      </c>
    </row>
    <row r="89" spans="1:64" ht="14.25" x14ac:dyDescent="0.2">
      <c r="A89" s="59">
        <v>84</v>
      </c>
      <c r="B89" s="298"/>
      <c r="C89" s="299"/>
      <c r="D89" s="298"/>
      <c r="E89" s="298"/>
      <c r="F89" s="298"/>
      <c r="G89" s="298"/>
      <c r="H89" s="298"/>
      <c r="I89" s="298"/>
      <c r="J89" s="80" t="str">
        <f>IFERROR(ROUNDDOWN(IF(C89="","",(MAX((eff_date-Additions!C89)/365.25,0))),0),"")</f>
        <v/>
      </c>
      <c r="K89" s="59" t="str">
        <f>IF(F89="","",IF(G89="Dubai",HLOOKUP(F89,Inputs!$C$26:$M$28,3,0),HLOOKUP(F89,Inputs!$C$45:$M$46,2,0)))</f>
        <v/>
      </c>
      <c r="L89" s="335" t="str">
        <f t="shared" si="33"/>
        <v/>
      </c>
      <c r="M89" s="335">
        <f t="shared" si="34"/>
        <v>0</v>
      </c>
      <c r="N89" s="335" t="str">
        <f t="shared" si="35"/>
        <v/>
      </c>
      <c r="O89" s="335">
        <f t="shared" si="36"/>
        <v>0</v>
      </c>
      <c r="P89" s="104"/>
      <c r="Q89" s="105">
        <f t="shared" si="49"/>
        <v>0</v>
      </c>
      <c r="R89" s="59" t="b">
        <f t="shared" si="37"/>
        <v>0</v>
      </c>
      <c r="S89" s="102" t="str">
        <f t="shared" si="50"/>
        <v>x</v>
      </c>
      <c r="T89" s="102" t="str">
        <f t="shared" si="38"/>
        <v>x</v>
      </c>
      <c r="U89" s="102" t="str">
        <f t="shared" si="39"/>
        <v>x</v>
      </c>
      <c r="V89" s="102" t="str">
        <f t="shared" si="40"/>
        <v>x</v>
      </c>
      <c r="W89" s="102" t="str">
        <f t="shared" si="41"/>
        <v>x</v>
      </c>
      <c r="X89" s="102" t="str">
        <f>IF(ISERROR(MATCH(G89,'Inputs Mapping'!$T$4:$T$5,0)),"x","")</f>
        <v>x</v>
      </c>
      <c r="Y89" s="102" t="str">
        <f>IF(ISERROR(MATCH(AE89,'Inputs Mapping'!$U$4:$U$5,0)),"x","")</f>
        <v>x</v>
      </c>
      <c r="Z89" s="102" t="str">
        <f>IF(ISERROR(MATCH(AF89,'Inputs Mapping'!$V$4:$V$5,0)),"x","")</f>
        <v>x</v>
      </c>
      <c r="AA89" s="102" t="str">
        <f>IF(ISERROR(MATCH(F89,'Inputs Mapping'!$W$4:$W$8,0)),"x","")</f>
        <v>x</v>
      </c>
      <c r="AB89" s="102" t="str">
        <f t="shared" si="42"/>
        <v/>
      </c>
      <c r="AC89" s="102" t="str">
        <f t="shared" si="43"/>
        <v/>
      </c>
      <c r="AD89" s="102" t="str">
        <f t="shared" si="44"/>
        <v/>
      </c>
      <c r="AE89" s="102" t="str">
        <f t="shared" si="51"/>
        <v/>
      </c>
      <c r="AF89" s="102" t="str">
        <f t="shared" si="52"/>
        <v/>
      </c>
      <c r="AG89" s="102" t="str">
        <f t="shared" si="53"/>
        <v>x</v>
      </c>
      <c r="AK89" s="95" t="str">
        <f t="shared" si="45"/>
        <v/>
      </c>
      <c r="AL89" s="59" t="str">
        <f>IF(J89="","",VLOOKUP(J89,'Inputs Mapping'!$T$27:$V$30,3))</f>
        <v/>
      </c>
      <c r="AM89" s="59" t="str">
        <f>IF(J89="","",VLOOKUP(J89,'Inputs Mapping'!$T$17:$V$24,3))</f>
        <v/>
      </c>
      <c r="AN89" s="59" t="str">
        <f t="shared" si="46"/>
        <v/>
      </c>
      <c r="AO89" s="102" t="str">
        <f t="shared" si="47"/>
        <v/>
      </c>
      <c r="AP89" s="102" t="str">
        <f>IF(F89="","",IF(G89="Dubai",HLOOKUP(F89,Inputs!$C$26:$M$36,5,0),HLOOKUP(F89,Inputs!$C$45:$M$49,5,0)))</f>
        <v/>
      </c>
      <c r="AQ89" s="102">
        <f t="shared" si="48"/>
        <v>0</v>
      </c>
      <c r="AR89" s="59" t="str">
        <f>IF(AM89="","",IF(AQ89="Dubai",VLOOKUP(AM89,'Inputs Mapping'!$V$17:$W$24,2,0),VLOOKUP(AL89,'Inputs Mapping'!$V$27:$W$30,2,0)))</f>
        <v/>
      </c>
      <c r="AS89" s="333">
        <f>IFERROR(IF($AQ89="","",HLOOKUP($AQ89&amp;RIGHT($AO89,1),'input for formula'!$B$16:$I$20,3,0)),0)</f>
        <v>0</v>
      </c>
      <c r="AT89" s="80">
        <f>IFERROR(IF($AQ89="","",HLOOKUP($AQ89&amp;$F89,'input for formula'!$B$22:$M$25,2,0)),0)</f>
        <v>0</v>
      </c>
      <c r="AU89" s="333">
        <f>IFERROR(IF($AQ89="","",HLOOKUP($AQ89&amp;RIGHT($AO89,1),'input for formula'!$B$16:$I$20,4,0)),0)</f>
        <v>0</v>
      </c>
      <c r="AV89" s="80">
        <f>IFERROR(IF($AQ89="","",HLOOKUP($AQ89&amp;$F89,'input for formula'!$B$22:$M$25,3,0)),0)</f>
        <v>0</v>
      </c>
      <c r="AW89" s="333">
        <f>IFERROR(IF($AQ89="","",HLOOKUP($AQ89&amp;RIGHT($AO89,1),'input for formula'!$B$16:$I$20,5,0)),0)</f>
        <v>0</v>
      </c>
      <c r="AX89" s="80">
        <f>IFERROR(IF($AQ89="","",HLOOKUP($AQ89&amp;$F89,'input for formula'!$B$22:$M$25,4,0)),0)</f>
        <v>0</v>
      </c>
      <c r="AY89" s="333">
        <f>IFERROR(IF($AQ89="","",IF(Additions!$AQ89="Abu Dhabi",VLOOKUP(Additions!$AP89,'input for formula'!$A$28:$C$41,3,0),VLOOKUP(Additions!$AP89,'input for formula'!$A$28:$C$41,2,0))),0)*IFERROR(1+IF(AQ89="Dubai",VLOOKUP(F89,'Quotation for Dubai Plans'!$V$6:$X$12,3,FALSE),VLOOKUP(F89,'Quotation for Abu Dhabi Plans'!$W$6:$Y$12,3,FALSE)),0)</f>
        <v>0</v>
      </c>
      <c r="AZ89" s="80" t="str">
        <f t="shared" si="23"/>
        <v/>
      </c>
      <c r="BA89" s="106" t="str">
        <f>IFERROR(IF(AO89="","",IF(AQ89="Dubai",HLOOKUP((AO89&amp;AP89),Deviation!$B$7:$S$8,2,0)*BI89*BK89*BL89*BJ89,HLOOKUP((AO89&amp;AP89),Deviation!$B$9:$K$10,2,0)*BI89*BK89*BL89*BJ89)),0)</f>
        <v/>
      </c>
      <c r="BB89" s="107" t="e">
        <f>IF(AO89="","",IFERROR(IF(AO89="","",IF(AQ89="Dubai",HLOOKUP(BC89,'input for formula'!$B$3:$F$10,AR89,FALSE), IF(AND(H89="Employee",AQ89="Abu Dhabi"),HLOOKUP(BC89,'input for formula'!$I$3:$K$7,AR89,FALSE),HLOOKUP(BC89,'input for formula'!$M$3:$O$7,AR89,FALSE)))*BA89+AS89*AT89+AU89*AV89+AW89*AX89),0)*$BC$3)*IF(Inputs!$C$19&gt;100,(1+$BC$2),1)</f>
        <v>#VALUE!</v>
      </c>
      <c r="BC89" s="95" t="str">
        <f t="shared" si="54"/>
        <v/>
      </c>
      <c r="BD89" s="334" t="str">
        <f>IF(F89="","",IF(G89="Dubai",HLOOKUP(F89,Inputs!$C$26:$M$37,9,0),HLOOKUP(F89,Inputs!$C$45:$M$56,9,0)))</f>
        <v/>
      </c>
      <c r="BE89" s="335" t="str">
        <f>IF(F89="","",IF(G89="Dubai",HLOOKUP(F89,Inputs!$C$26:$M$37,10,0),HLOOKUP(F89,Inputs!$C$45:$M$56,10,0)))</f>
        <v/>
      </c>
      <c r="BF89" s="335" t="str">
        <f>IF(F89="","",IF(G89="Dubai",HLOOKUP(F89,Inputs!$C$26:$M$37,11,0),HLOOKUP(F89,Inputs!$C$45:$M$56,11,0)))</f>
        <v/>
      </c>
      <c r="BG89" s="334" t="str">
        <f>IF(F89="","",IF(G89="Dubai",HLOOKUP(F89,Inputs!$C$26:$M$37,12,0),HLOOKUP(F89,Inputs!$C$45:$M$56,12,0)))</f>
        <v/>
      </c>
      <c r="BI89" s="334" t="str">
        <f>IFERROR(IF(AO89="","",IF(AQ89="Dubai",IF(OR(AO89="Plan1",AO89="Plan2"),VLOOKUP(BD89,Deviation!$B$31:$D$33,2,FALSE),VLOOKUP(BD89,Deviation!$B$31:$D$33,3,FALSE)),IF(OR(AO89="Plan1",AO89="Plan2"),VLOOKUP(BD89,Deviation!$E$31:$G$33,2,FALSE),VLOOKUP(BD89,Deviation!$E$31:$G$33,3,FALSE)))),0)</f>
        <v/>
      </c>
      <c r="BJ89" s="336" t="str">
        <f>IFERROR(IF(AO89="","",IF(AQ89="Dubai",IF(AO89="Plan1",VLOOKUP(BE89,Deviation!$B$39:$C$40,2,FALSE),IF(AO89="Plan2",VLOOKUP(BE89,Deviation!$B$42:$C$43,2,FALSE),IF(AO89="Plan5",VLOOKUP(BE89,Deviation!$B$48:$C$49,2,FALSE),VLOOKUP(BE89,Deviation!$B$45:$C$46,2,FALSE)))),IF(AO89="Plan1",VLOOKUP(BE89,Deviation!$E$39:$F$40,2,FALSE),IF(AO89="Plan2",VLOOKUP(BE89,Deviation!$E$42:$F$43,2,FALSE),VLOOKUP(BE89,Deviation!$E$45:$F$46,2,FALSE))))),0)</f>
        <v/>
      </c>
      <c r="BK89" s="336" t="str">
        <f>IFERROR(IF(AO89="","",IF(AQ89="Dubai",IF(OR(AO89="Plan1",AO89="Plan2"),VLOOKUP(BF89,Deviation!$B$15:$D$18,2,FALSE),VLOOKUP(BF89,Deviation!$B$15:$D$18,3,FALSE)),IF(OR(AO89="Plan1",AO89="Plan2"),VLOOKUP(BF89,Deviation!$E$15:$G$18,2,FALSE),VLOOKUP(BF89,Deviation!$E$15:$G$18,3,FALSE)))),0)</f>
        <v/>
      </c>
      <c r="BL89" s="334" t="str">
        <f>IFERROR(IF(AO89="","",IF(AQ89="Dubai",VLOOKUP(BG89,Deviation!$B$24:$C$26,2,FALSE),100%)),0)</f>
        <v/>
      </c>
    </row>
    <row r="90" spans="1:64" ht="14.25" x14ac:dyDescent="0.2">
      <c r="A90" s="59">
        <v>85</v>
      </c>
      <c r="B90" s="298"/>
      <c r="C90" s="299"/>
      <c r="D90" s="298"/>
      <c r="E90" s="298"/>
      <c r="F90" s="298"/>
      <c r="G90" s="298"/>
      <c r="H90" s="298"/>
      <c r="I90" s="298"/>
      <c r="J90" s="80" t="str">
        <f>IFERROR(ROUNDDOWN(IF(C90="","",(MAX((eff_date-Additions!C90)/365.25,0))),0),"")</f>
        <v/>
      </c>
      <c r="K90" s="59" t="str">
        <f>IF(F90="","",IF(G90="Dubai",HLOOKUP(F90,Inputs!$C$26:$M$28,3,0),HLOOKUP(F90,Inputs!$C$45:$M$46,2,0)))</f>
        <v/>
      </c>
      <c r="L90" s="335" t="str">
        <f t="shared" si="33"/>
        <v/>
      </c>
      <c r="M90" s="335">
        <f t="shared" si="34"/>
        <v>0</v>
      </c>
      <c r="N90" s="335" t="str">
        <f t="shared" si="35"/>
        <v/>
      </c>
      <c r="O90" s="335">
        <f t="shared" si="36"/>
        <v>0</v>
      </c>
      <c r="P90" s="104"/>
      <c r="Q90" s="105">
        <f t="shared" si="49"/>
        <v>0</v>
      </c>
      <c r="R90" s="59" t="b">
        <f t="shared" si="37"/>
        <v>0</v>
      </c>
      <c r="S90" s="102" t="str">
        <f t="shared" si="50"/>
        <v>x</v>
      </c>
      <c r="T90" s="102" t="str">
        <f t="shared" si="38"/>
        <v>x</v>
      </c>
      <c r="U90" s="102" t="str">
        <f t="shared" si="39"/>
        <v>x</v>
      </c>
      <c r="V90" s="102" t="str">
        <f t="shared" si="40"/>
        <v>x</v>
      </c>
      <c r="W90" s="102" t="str">
        <f t="shared" si="41"/>
        <v>x</v>
      </c>
      <c r="X90" s="102" t="str">
        <f>IF(ISERROR(MATCH(G90,'Inputs Mapping'!$T$4:$T$5,0)),"x","")</f>
        <v>x</v>
      </c>
      <c r="Y90" s="102" t="str">
        <f>IF(ISERROR(MATCH(AE90,'Inputs Mapping'!$U$4:$U$5,0)),"x","")</f>
        <v>x</v>
      </c>
      <c r="Z90" s="102" t="str">
        <f>IF(ISERROR(MATCH(AF90,'Inputs Mapping'!$V$4:$V$5,0)),"x","")</f>
        <v>x</v>
      </c>
      <c r="AA90" s="102" t="str">
        <f>IF(ISERROR(MATCH(F90,'Inputs Mapping'!$W$4:$W$8,0)),"x","")</f>
        <v>x</v>
      </c>
      <c r="AB90" s="102" t="str">
        <f t="shared" si="42"/>
        <v/>
      </c>
      <c r="AC90" s="102" t="str">
        <f t="shared" si="43"/>
        <v/>
      </c>
      <c r="AD90" s="102" t="str">
        <f t="shared" si="44"/>
        <v/>
      </c>
      <c r="AE90" s="102" t="str">
        <f t="shared" si="51"/>
        <v/>
      </c>
      <c r="AF90" s="102" t="str">
        <f t="shared" si="52"/>
        <v/>
      </c>
      <c r="AG90" s="102" t="str">
        <f t="shared" si="53"/>
        <v>x</v>
      </c>
      <c r="AK90" s="95" t="str">
        <f t="shared" si="45"/>
        <v/>
      </c>
      <c r="AL90" s="59" t="str">
        <f>IF(J90="","",VLOOKUP(J90,'Inputs Mapping'!$T$27:$V$30,3))</f>
        <v/>
      </c>
      <c r="AM90" s="59" t="str">
        <f>IF(J90="","",VLOOKUP(J90,'Inputs Mapping'!$T$17:$V$24,3))</f>
        <v/>
      </c>
      <c r="AN90" s="59" t="str">
        <f t="shared" si="46"/>
        <v/>
      </c>
      <c r="AO90" s="102" t="str">
        <f t="shared" si="47"/>
        <v/>
      </c>
      <c r="AP90" s="102" t="str">
        <f>IF(F90="","",IF(G90="Dubai",HLOOKUP(F90,Inputs!$C$26:$M$36,5,0),HLOOKUP(F90,Inputs!$C$45:$M$49,5,0)))</f>
        <v/>
      </c>
      <c r="AQ90" s="102">
        <f t="shared" si="48"/>
        <v>0</v>
      </c>
      <c r="AR90" s="59" t="str">
        <f>IF(AM90="","",IF(AQ90="Dubai",VLOOKUP(AM90,'Inputs Mapping'!$V$17:$W$24,2,0),VLOOKUP(AL90,'Inputs Mapping'!$V$27:$W$30,2,0)))</f>
        <v/>
      </c>
      <c r="AS90" s="333">
        <f>IFERROR(IF($AQ90="","",HLOOKUP($AQ90&amp;RIGHT($AO90,1),'input for formula'!$B$16:$I$20,3,0)),0)</f>
        <v>0</v>
      </c>
      <c r="AT90" s="80">
        <f>IFERROR(IF($AQ90="","",HLOOKUP($AQ90&amp;$F90,'input for formula'!$B$22:$M$25,2,0)),0)</f>
        <v>0</v>
      </c>
      <c r="AU90" s="333">
        <f>IFERROR(IF($AQ90="","",HLOOKUP($AQ90&amp;RIGHT($AO90,1),'input for formula'!$B$16:$I$20,4,0)),0)</f>
        <v>0</v>
      </c>
      <c r="AV90" s="80">
        <f>IFERROR(IF($AQ90="","",HLOOKUP($AQ90&amp;$F90,'input for formula'!$B$22:$M$25,3,0)),0)</f>
        <v>0</v>
      </c>
      <c r="AW90" s="333">
        <f>IFERROR(IF($AQ90="","",HLOOKUP($AQ90&amp;RIGHT($AO90,1),'input for formula'!$B$16:$I$20,5,0)),0)</f>
        <v>0</v>
      </c>
      <c r="AX90" s="80">
        <f>IFERROR(IF($AQ90="","",HLOOKUP($AQ90&amp;$F90,'input for formula'!$B$22:$M$25,4,0)),0)</f>
        <v>0</v>
      </c>
      <c r="AY90" s="333">
        <f>IFERROR(IF($AQ90="","",IF(Additions!$AQ90="Abu Dhabi",VLOOKUP(Additions!$AP90,'input for formula'!$A$28:$C$41,3,0),VLOOKUP(Additions!$AP90,'input for formula'!$A$28:$C$41,2,0))),0)*IFERROR(1+IF(AQ90="Dubai",VLOOKUP(F90,'Quotation for Dubai Plans'!$V$6:$X$12,3,FALSE),VLOOKUP(F90,'Quotation for Abu Dhabi Plans'!$W$6:$Y$12,3,FALSE)),0)</f>
        <v>0</v>
      </c>
      <c r="AZ90" s="80" t="str">
        <f t="shared" si="23"/>
        <v/>
      </c>
      <c r="BA90" s="106" t="str">
        <f>IFERROR(IF(AO90="","",IF(AQ90="Dubai",HLOOKUP((AO90&amp;AP90),Deviation!$B$7:$S$8,2,0)*BI90*BK90*BL90*BJ90,HLOOKUP((AO90&amp;AP90),Deviation!$B$9:$K$10,2,0)*BI90*BK90*BL90*BJ90)),0)</f>
        <v/>
      </c>
      <c r="BB90" s="107" t="e">
        <f>IF(AO90="","",IFERROR(IF(AO90="","",IF(AQ90="Dubai",HLOOKUP(BC90,'input for formula'!$B$3:$F$10,AR90,FALSE), IF(AND(H90="Employee",AQ90="Abu Dhabi"),HLOOKUP(BC90,'input for formula'!$I$3:$K$7,AR90,FALSE),HLOOKUP(BC90,'input for formula'!$M$3:$O$7,AR90,FALSE)))*BA90+AS90*AT90+AU90*AV90+AW90*AX90),0)*$BC$3)*IF(Inputs!$C$19&gt;100,(1+$BC$2),1)</f>
        <v>#VALUE!</v>
      </c>
      <c r="BC90" s="95" t="str">
        <f t="shared" si="54"/>
        <v/>
      </c>
      <c r="BD90" s="334" t="str">
        <f>IF(F90="","",IF(G90="Dubai",HLOOKUP(F90,Inputs!$C$26:$M$37,9,0),HLOOKUP(F90,Inputs!$C$45:$M$56,9,0)))</f>
        <v/>
      </c>
      <c r="BE90" s="335" t="str">
        <f>IF(F90="","",IF(G90="Dubai",HLOOKUP(F90,Inputs!$C$26:$M$37,10,0),HLOOKUP(F90,Inputs!$C$45:$M$56,10,0)))</f>
        <v/>
      </c>
      <c r="BF90" s="335" t="str">
        <f>IF(F90="","",IF(G90="Dubai",HLOOKUP(F90,Inputs!$C$26:$M$37,11,0),HLOOKUP(F90,Inputs!$C$45:$M$56,11,0)))</f>
        <v/>
      </c>
      <c r="BG90" s="334" t="str">
        <f>IF(F90="","",IF(G90="Dubai",HLOOKUP(F90,Inputs!$C$26:$M$37,12,0),HLOOKUP(F90,Inputs!$C$45:$M$56,12,0)))</f>
        <v/>
      </c>
      <c r="BI90" s="334" t="str">
        <f>IFERROR(IF(AO90="","",IF(AQ90="Dubai",IF(OR(AO90="Plan1",AO90="Plan2"),VLOOKUP(BD90,Deviation!$B$31:$D$33,2,FALSE),VLOOKUP(BD90,Deviation!$B$31:$D$33,3,FALSE)),IF(OR(AO90="Plan1",AO90="Plan2"),VLOOKUP(BD90,Deviation!$E$31:$G$33,2,FALSE),VLOOKUP(BD90,Deviation!$E$31:$G$33,3,FALSE)))),0)</f>
        <v/>
      </c>
      <c r="BJ90" s="336" t="str">
        <f>IFERROR(IF(AO90="","",IF(AQ90="Dubai",IF(AO90="Plan1",VLOOKUP(BE90,Deviation!$B$39:$C$40,2,FALSE),IF(AO90="Plan2",VLOOKUP(BE90,Deviation!$B$42:$C$43,2,FALSE),IF(AO90="Plan5",VLOOKUP(BE90,Deviation!$B$48:$C$49,2,FALSE),VLOOKUP(BE90,Deviation!$B$45:$C$46,2,FALSE)))),IF(AO90="Plan1",VLOOKUP(BE90,Deviation!$E$39:$F$40,2,FALSE),IF(AO90="Plan2",VLOOKUP(BE90,Deviation!$E$42:$F$43,2,FALSE),VLOOKUP(BE90,Deviation!$E$45:$F$46,2,FALSE))))),0)</f>
        <v/>
      </c>
      <c r="BK90" s="336" t="str">
        <f>IFERROR(IF(AO90="","",IF(AQ90="Dubai",IF(OR(AO90="Plan1",AO90="Plan2"),VLOOKUP(BF90,Deviation!$B$15:$D$18,2,FALSE),VLOOKUP(BF90,Deviation!$B$15:$D$18,3,FALSE)),IF(OR(AO90="Plan1",AO90="Plan2"),VLOOKUP(BF90,Deviation!$E$15:$G$18,2,FALSE),VLOOKUP(BF90,Deviation!$E$15:$G$18,3,FALSE)))),0)</f>
        <v/>
      </c>
      <c r="BL90" s="334" t="str">
        <f>IFERROR(IF(AO90="","",IF(AQ90="Dubai",VLOOKUP(BG90,Deviation!$B$24:$C$26,2,FALSE),100%)),0)</f>
        <v/>
      </c>
    </row>
    <row r="91" spans="1:64" ht="14.25" x14ac:dyDescent="0.2">
      <c r="A91" s="59">
        <v>86</v>
      </c>
      <c r="B91" s="298"/>
      <c r="C91" s="299"/>
      <c r="D91" s="298"/>
      <c r="E91" s="298"/>
      <c r="F91" s="298"/>
      <c r="G91" s="298"/>
      <c r="H91" s="298"/>
      <c r="I91" s="298"/>
      <c r="J91" s="80" t="str">
        <f>IFERROR(ROUNDDOWN(IF(C91="","",(MAX((eff_date-Additions!C91)/365.25,0))),0),"")</f>
        <v/>
      </c>
      <c r="K91" s="59" t="str">
        <f>IF(F91="","",IF(G91="Dubai",HLOOKUP(F91,Inputs!$C$26:$M$28,3,0),HLOOKUP(F91,Inputs!$C$45:$M$46,2,0)))</f>
        <v/>
      </c>
      <c r="L91" s="335" t="str">
        <f t="shared" si="33"/>
        <v/>
      </c>
      <c r="M91" s="335">
        <f t="shared" si="34"/>
        <v>0</v>
      </c>
      <c r="N91" s="335" t="str">
        <f t="shared" si="35"/>
        <v/>
      </c>
      <c r="O91" s="335">
        <f t="shared" si="36"/>
        <v>0</v>
      </c>
      <c r="P91" s="104"/>
      <c r="Q91" s="105">
        <f t="shared" si="49"/>
        <v>0</v>
      </c>
      <c r="R91" s="59" t="b">
        <f t="shared" si="37"/>
        <v>0</v>
      </c>
      <c r="S91" s="102" t="str">
        <f t="shared" si="50"/>
        <v>x</v>
      </c>
      <c r="T91" s="102" t="str">
        <f t="shared" si="38"/>
        <v>x</v>
      </c>
      <c r="U91" s="102" t="str">
        <f t="shared" si="39"/>
        <v>x</v>
      </c>
      <c r="V91" s="102" t="str">
        <f t="shared" si="40"/>
        <v>x</v>
      </c>
      <c r="W91" s="102" t="str">
        <f t="shared" si="41"/>
        <v>x</v>
      </c>
      <c r="X91" s="102" t="str">
        <f>IF(ISERROR(MATCH(G91,'Inputs Mapping'!$T$4:$T$5,0)),"x","")</f>
        <v>x</v>
      </c>
      <c r="Y91" s="102" t="str">
        <f>IF(ISERROR(MATCH(AE91,'Inputs Mapping'!$U$4:$U$5,0)),"x","")</f>
        <v>x</v>
      </c>
      <c r="Z91" s="102" t="str">
        <f>IF(ISERROR(MATCH(AF91,'Inputs Mapping'!$V$4:$V$5,0)),"x","")</f>
        <v>x</v>
      </c>
      <c r="AA91" s="102" t="str">
        <f>IF(ISERROR(MATCH(F91,'Inputs Mapping'!$W$4:$W$8,0)),"x","")</f>
        <v>x</v>
      </c>
      <c r="AB91" s="102" t="str">
        <f t="shared" si="42"/>
        <v/>
      </c>
      <c r="AC91" s="102" t="str">
        <f t="shared" si="43"/>
        <v/>
      </c>
      <c r="AD91" s="102" t="str">
        <f t="shared" si="44"/>
        <v/>
      </c>
      <c r="AE91" s="102" t="str">
        <f t="shared" si="51"/>
        <v/>
      </c>
      <c r="AF91" s="102" t="str">
        <f t="shared" si="52"/>
        <v/>
      </c>
      <c r="AG91" s="102" t="str">
        <f t="shared" si="53"/>
        <v>x</v>
      </c>
      <c r="AK91" s="95" t="str">
        <f t="shared" si="45"/>
        <v/>
      </c>
      <c r="AL91" s="59" t="str">
        <f>IF(J91="","",VLOOKUP(J91,'Inputs Mapping'!$T$27:$V$30,3))</f>
        <v/>
      </c>
      <c r="AM91" s="59" t="str">
        <f>IF(J91="","",VLOOKUP(J91,'Inputs Mapping'!$T$17:$V$24,3))</f>
        <v/>
      </c>
      <c r="AN91" s="59" t="str">
        <f t="shared" si="46"/>
        <v/>
      </c>
      <c r="AO91" s="102" t="str">
        <f t="shared" si="47"/>
        <v/>
      </c>
      <c r="AP91" s="102" t="str">
        <f>IF(F91="","",IF(G91="Dubai",HLOOKUP(F91,Inputs!$C$26:$M$36,5,0),HLOOKUP(F91,Inputs!$C$45:$M$49,5,0)))</f>
        <v/>
      </c>
      <c r="AQ91" s="102">
        <f t="shared" si="48"/>
        <v>0</v>
      </c>
      <c r="AR91" s="59" t="str">
        <f>IF(AM91="","",IF(AQ91="Dubai",VLOOKUP(AM91,'Inputs Mapping'!$V$17:$W$24,2,0),VLOOKUP(AL91,'Inputs Mapping'!$V$27:$W$30,2,0)))</f>
        <v/>
      </c>
      <c r="AS91" s="333">
        <f>IFERROR(IF($AQ91="","",HLOOKUP($AQ91&amp;RIGHT($AO91,1),'input for formula'!$B$16:$I$20,3,0)),0)</f>
        <v>0</v>
      </c>
      <c r="AT91" s="80">
        <f>IFERROR(IF($AQ91="","",HLOOKUP($AQ91&amp;$F91,'input for formula'!$B$22:$M$25,2,0)),0)</f>
        <v>0</v>
      </c>
      <c r="AU91" s="333">
        <f>IFERROR(IF($AQ91="","",HLOOKUP($AQ91&amp;RIGHT($AO91,1),'input for formula'!$B$16:$I$20,4,0)),0)</f>
        <v>0</v>
      </c>
      <c r="AV91" s="80">
        <f>IFERROR(IF($AQ91="","",HLOOKUP($AQ91&amp;$F91,'input for formula'!$B$22:$M$25,3,0)),0)</f>
        <v>0</v>
      </c>
      <c r="AW91" s="333">
        <f>IFERROR(IF($AQ91="","",HLOOKUP($AQ91&amp;RIGHT($AO91,1),'input for formula'!$B$16:$I$20,5,0)),0)</f>
        <v>0</v>
      </c>
      <c r="AX91" s="80">
        <f>IFERROR(IF($AQ91="","",HLOOKUP($AQ91&amp;$F91,'input for formula'!$B$22:$M$25,4,0)),0)</f>
        <v>0</v>
      </c>
      <c r="AY91" s="333">
        <f>IFERROR(IF($AQ91="","",IF(Additions!$AQ91="Abu Dhabi",VLOOKUP(Additions!$AP91,'input for formula'!$A$28:$C$41,3,0),VLOOKUP(Additions!$AP91,'input for formula'!$A$28:$C$41,2,0))),0)*IFERROR(1+IF(AQ91="Dubai",VLOOKUP(F91,'Quotation for Dubai Plans'!$V$6:$X$12,3,FALSE),VLOOKUP(F91,'Quotation for Abu Dhabi Plans'!$W$6:$Y$12,3,FALSE)),0)</f>
        <v>0</v>
      </c>
      <c r="AZ91" s="80" t="str">
        <f t="shared" si="23"/>
        <v/>
      </c>
      <c r="BA91" s="106" t="str">
        <f>IFERROR(IF(AO91="","",IF(AQ91="Dubai",HLOOKUP((AO91&amp;AP91),Deviation!$B$7:$S$8,2,0)*BI91*BK91*BL91*BJ91,HLOOKUP((AO91&amp;AP91),Deviation!$B$9:$K$10,2,0)*BI91*BK91*BL91*BJ91)),0)</f>
        <v/>
      </c>
      <c r="BB91" s="107" t="e">
        <f>IF(AO91="","",IFERROR(IF(AO91="","",IF(AQ91="Dubai",HLOOKUP(BC91,'input for formula'!$B$3:$F$10,AR91,FALSE), IF(AND(H91="Employee",AQ91="Abu Dhabi"),HLOOKUP(BC91,'input for formula'!$I$3:$K$7,AR91,FALSE),HLOOKUP(BC91,'input for formula'!$M$3:$O$7,AR91,FALSE)))*BA91+AS91*AT91+AU91*AV91+AW91*AX91),0)*$BC$3)*IF(Inputs!$C$19&gt;100,(1+$BC$2),1)</f>
        <v>#VALUE!</v>
      </c>
      <c r="BC91" s="95" t="str">
        <f t="shared" si="54"/>
        <v/>
      </c>
      <c r="BD91" s="334" t="str">
        <f>IF(F91="","",IF(G91="Dubai",HLOOKUP(F91,Inputs!$C$26:$M$37,9,0),HLOOKUP(F91,Inputs!$C$45:$M$56,9,0)))</f>
        <v/>
      </c>
      <c r="BE91" s="335" t="str">
        <f>IF(F91="","",IF(G91="Dubai",HLOOKUP(F91,Inputs!$C$26:$M$37,10,0),HLOOKUP(F91,Inputs!$C$45:$M$56,10,0)))</f>
        <v/>
      </c>
      <c r="BF91" s="335" t="str">
        <f>IF(F91="","",IF(G91="Dubai",HLOOKUP(F91,Inputs!$C$26:$M$37,11,0),HLOOKUP(F91,Inputs!$C$45:$M$56,11,0)))</f>
        <v/>
      </c>
      <c r="BG91" s="334" t="str">
        <f>IF(F91="","",IF(G91="Dubai",HLOOKUP(F91,Inputs!$C$26:$M$37,12,0),HLOOKUP(F91,Inputs!$C$45:$M$56,12,0)))</f>
        <v/>
      </c>
      <c r="BI91" s="334" t="str">
        <f>IFERROR(IF(AO91="","",IF(AQ91="Dubai",IF(OR(AO91="Plan1",AO91="Plan2"),VLOOKUP(BD91,Deviation!$B$31:$D$33,2,FALSE),VLOOKUP(BD91,Deviation!$B$31:$D$33,3,FALSE)),IF(OR(AO91="Plan1",AO91="Plan2"),VLOOKUP(BD91,Deviation!$E$31:$G$33,2,FALSE),VLOOKUP(BD91,Deviation!$E$31:$G$33,3,FALSE)))),0)</f>
        <v/>
      </c>
      <c r="BJ91" s="336" t="str">
        <f>IFERROR(IF(AO91="","",IF(AQ91="Dubai",IF(AO91="Plan1",VLOOKUP(BE91,Deviation!$B$39:$C$40,2,FALSE),IF(AO91="Plan2",VLOOKUP(BE91,Deviation!$B$42:$C$43,2,FALSE),IF(AO91="Plan5",VLOOKUP(BE91,Deviation!$B$48:$C$49,2,FALSE),VLOOKUP(BE91,Deviation!$B$45:$C$46,2,FALSE)))),IF(AO91="Plan1",VLOOKUP(BE91,Deviation!$E$39:$F$40,2,FALSE),IF(AO91="Plan2",VLOOKUP(BE91,Deviation!$E$42:$F$43,2,FALSE),VLOOKUP(BE91,Deviation!$E$45:$F$46,2,FALSE))))),0)</f>
        <v/>
      </c>
      <c r="BK91" s="336" t="str">
        <f>IFERROR(IF(AO91="","",IF(AQ91="Dubai",IF(OR(AO91="Plan1",AO91="Plan2"),VLOOKUP(BF91,Deviation!$B$15:$D$18,2,FALSE),VLOOKUP(BF91,Deviation!$B$15:$D$18,3,FALSE)),IF(OR(AO91="Plan1",AO91="Plan2"),VLOOKUP(BF91,Deviation!$E$15:$G$18,2,FALSE),VLOOKUP(BF91,Deviation!$E$15:$G$18,3,FALSE)))),0)</f>
        <v/>
      </c>
      <c r="BL91" s="334" t="str">
        <f>IFERROR(IF(AO91="","",IF(AQ91="Dubai",VLOOKUP(BG91,Deviation!$B$24:$C$26,2,FALSE),100%)),0)</f>
        <v/>
      </c>
    </row>
    <row r="92" spans="1:64" ht="14.25" x14ac:dyDescent="0.2">
      <c r="A92" s="59">
        <v>87</v>
      </c>
      <c r="B92" s="298"/>
      <c r="C92" s="299"/>
      <c r="D92" s="298"/>
      <c r="E92" s="298"/>
      <c r="F92" s="298"/>
      <c r="G92" s="298"/>
      <c r="H92" s="298"/>
      <c r="I92" s="298"/>
      <c r="J92" s="80" t="str">
        <f>IFERROR(ROUNDDOWN(IF(C92="","",(MAX((eff_date-Additions!C92)/365.25,0))),0),"")</f>
        <v/>
      </c>
      <c r="K92" s="59" t="str">
        <f>IF(F92="","",IF(G92="Dubai",HLOOKUP(F92,Inputs!$C$26:$M$28,3,0),HLOOKUP(F92,Inputs!$C$45:$M$46,2,0)))</f>
        <v/>
      </c>
      <c r="L92" s="335" t="str">
        <f t="shared" si="33"/>
        <v/>
      </c>
      <c r="M92" s="335">
        <f t="shared" si="34"/>
        <v>0</v>
      </c>
      <c r="N92" s="335" t="str">
        <f t="shared" si="35"/>
        <v/>
      </c>
      <c r="O92" s="335">
        <f t="shared" si="36"/>
        <v>0</v>
      </c>
      <c r="P92" s="104"/>
      <c r="Q92" s="105">
        <f t="shared" si="49"/>
        <v>0</v>
      </c>
      <c r="R92" s="59" t="b">
        <f t="shared" si="37"/>
        <v>0</v>
      </c>
      <c r="S92" s="102" t="str">
        <f t="shared" si="50"/>
        <v>x</v>
      </c>
      <c r="T92" s="102" t="str">
        <f t="shared" si="38"/>
        <v>x</v>
      </c>
      <c r="U92" s="102" t="str">
        <f t="shared" si="39"/>
        <v>x</v>
      </c>
      <c r="V92" s="102" t="str">
        <f t="shared" si="40"/>
        <v>x</v>
      </c>
      <c r="W92" s="102" t="str">
        <f t="shared" si="41"/>
        <v>x</v>
      </c>
      <c r="X92" s="102" t="str">
        <f>IF(ISERROR(MATCH(G92,'Inputs Mapping'!$T$4:$T$5,0)),"x","")</f>
        <v>x</v>
      </c>
      <c r="Y92" s="102" t="str">
        <f>IF(ISERROR(MATCH(AE92,'Inputs Mapping'!$U$4:$U$5,0)),"x","")</f>
        <v>x</v>
      </c>
      <c r="Z92" s="102" t="str">
        <f>IF(ISERROR(MATCH(AF92,'Inputs Mapping'!$V$4:$V$5,0)),"x","")</f>
        <v>x</v>
      </c>
      <c r="AA92" s="102" t="str">
        <f>IF(ISERROR(MATCH(F92,'Inputs Mapping'!$W$4:$W$8,0)),"x","")</f>
        <v>x</v>
      </c>
      <c r="AB92" s="102" t="str">
        <f t="shared" si="42"/>
        <v/>
      </c>
      <c r="AC92" s="102" t="str">
        <f t="shared" si="43"/>
        <v/>
      </c>
      <c r="AD92" s="102" t="str">
        <f t="shared" si="44"/>
        <v/>
      </c>
      <c r="AE92" s="102" t="str">
        <f t="shared" si="51"/>
        <v/>
      </c>
      <c r="AF92" s="102" t="str">
        <f t="shared" si="52"/>
        <v/>
      </c>
      <c r="AG92" s="102" t="str">
        <f t="shared" si="53"/>
        <v>x</v>
      </c>
      <c r="AK92" s="95" t="str">
        <f t="shared" si="45"/>
        <v/>
      </c>
      <c r="AL92" s="59" t="str">
        <f>IF(J92="","",VLOOKUP(J92,'Inputs Mapping'!$T$27:$V$30,3))</f>
        <v/>
      </c>
      <c r="AM92" s="59" t="str">
        <f>IF(J92="","",VLOOKUP(J92,'Inputs Mapping'!$T$17:$V$24,3))</f>
        <v/>
      </c>
      <c r="AN92" s="59" t="str">
        <f t="shared" si="46"/>
        <v/>
      </c>
      <c r="AO92" s="102" t="str">
        <f t="shared" si="47"/>
        <v/>
      </c>
      <c r="AP92" s="102" t="str">
        <f>IF(F92="","",IF(G92="Dubai",HLOOKUP(F92,Inputs!$C$26:$M$36,5,0),HLOOKUP(F92,Inputs!$C$45:$M$49,5,0)))</f>
        <v/>
      </c>
      <c r="AQ92" s="102">
        <f t="shared" si="48"/>
        <v>0</v>
      </c>
      <c r="AR92" s="59" t="str">
        <f>IF(AM92="","",IF(AQ92="Dubai",VLOOKUP(AM92,'Inputs Mapping'!$V$17:$W$24,2,0),VLOOKUP(AL92,'Inputs Mapping'!$V$27:$W$30,2,0)))</f>
        <v/>
      </c>
      <c r="AS92" s="333">
        <f>IFERROR(IF($AQ92="","",HLOOKUP($AQ92&amp;RIGHT($AO92,1),'input for formula'!$B$16:$I$20,3,0)),0)</f>
        <v>0</v>
      </c>
      <c r="AT92" s="80">
        <f>IFERROR(IF($AQ92="","",HLOOKUP($AQ92&amp;$F92,'input for formula'!$B$22:$M$25,2,0)),0)</f>
        <v>0</v>
      </c>
      <c r="AU92" s="333">
        <f>IFERROR(IF($AQ92="","",HLOOKUP($AQ92&amp;RIGHT($AO92,1),'input for formula'!$B$16:$I$20,4,0)),0)</f>
        <v>0</v>
      </c>
      <c r="AV92" s="80">
        <f>IFERROR(IF($AQ92="","",HLOOKUP($AQ92&amp;$F92,'input for formula'!$B$22:$M$25,3,0)),0)</f>
        <v>0</v>
      </c>
      <c r="AW92" s="333">
        <f>IFERROR(IF($AQ92="","",HLOOKUP($AQ92&amp;RIGHT($AO92,1),'input for formula'!$B$16:$I$20,5,0)),0)</f>
        <v>0</v>
      </c>
      <c r="AX92" s="80">
        <f>IFERROR(IF($AQ92="","",HLOOKUP($AQ92&amp;$F92,'input for formula'!$B$22:$M$25,4,0)),0)</f>
        <v>0</v>
      </c>
      <c r="AY92" s="333">
        <f>IFERROR(IF($AQ92="","",IF(Additions!$AQ92="Abu Dhabi",VLOOKUP(Additions!$AP92,'input for formula'!$A$28:$C$41,3,0),VLOOKUP(Additions!$AP92,'input for formula'!$A$28:$C$41,2,0))),0)*IFERROR(1+IF(AQ92="Dubai",VLOOKUP(F92,'Quotation for Dubai Plans'!$V$6:$X$12,3,FALSE),VLOOKUP(F92,'Quotation for Abu Dhabi Plans'!$W$6:$Y$12,3,FALSE)),0)</f>
        <v>0</v>
      </c>
      <c r="AZ92" s="80" t="str">
        <f t="shared" si="23"/>
        <v/>
      </c>
      <c r="BA92" s="106" t="str">
        <f>IFERROR(IF(AO92="","",IF(AQ92="Dubai",HLOOKUP((AO92&amp;AP92),Deviation!$B$7:$S$8,2,0)*BI92*BK92*BL92*BJ92,HLOOKUP((AO92&amp;AP92),Deviation!$B$9:$K$10,2,0)*BI92*BK92*BL92*BJ92)),0)</f>
        <v/>
      </c>
      <c r="BB92" s="107" t="e">
        <f>IF(AO92="","",IFERROR(IF(AO92="","",IF(AQ92="Dubai",HLOOKUP(BC92,'input for formula'!$B$3:$F$10,AR92,FALSE), IF(AND(H92="Employee",AQ92="Abu Dhabi"),HLOOKUP(BC92,'input for formula'!$I$3:$K$7,AR92,FALSE),HLOOKUP(BC92,'input for formula'!$M$3:$O$7,AR92,FALSE)))*BA92+AS92*AT92+AU92*AV92+AW92*AX92),0)*$BC$3)*IF(Inputs!$C$19&gt;100,(1+$BC$2),1)</f>
        <v>#VALUE!</v>
      </c>
      <c r="BC92" s="95" t="str">
        <f t="shared" si="54"/>
        <v/>
      </c>
      <c r="BD92" s="334" t="str">
        <f>IF(F92="","",IF(G92="Dubai",HLOOKUP(F92,Inputs!$C$26:$M$37,9,0),HLOOKUP(F92,Inputs!$C$45:$M$56,9,0)))</f>
        <v/>
      </c>
      <c r="BE92" s="335" t="str">
        <f>IF(F92="","",IF(G92="Dubai",HLOOKUP(F92,Inputs!$C$26:$M$37,10,0),HLOOKUP(F92,Inputs!$C$45:$M$56,10,0)))</f>
        <v/>
      </c>
      <c r="BF92" s="335" t="str">
        <f>IF(F92="","",IF(G92="Dubai",HLOOKUP(F92,Inputs!$C$26:$M$37,11,0),HLOOKUP(F92,Inputs!$C$45:$M$56,11,0)))</f>
        <v/>
      </c>
      <c r="BG92" s="334" t="str">
        <f>IF(F92="","",IF(G92="Dubai",HLOOKUP(F92,Inputs!$C$26:$M$37,12,0),HLOOKUP(F92,Inputs!$C$45:$M$56,12,0)))</f>
        <v/>
      </c>
      <c r="BI92" s="334" t="str">
        <f>IFERROR(IF(AO92="","",IF(AQ92="Dubai",IF(OR(AO92="Plan1",AO92="Plan2"),VLOOKUP(BD92,Deviation!$B$31:$D$33,2,FALSE),VLOOKUP(BD92,Deviation!$B$31:$D$33,3,FALSE)),IF(OR(AO92="Plan1",AO92="Plan2"),VLOOKUP(BD92,Deviation!$E$31:$G$33,2,FALSE),VLOOKUP(BD92,Deviation!$E$31:$G$33,3,FALSE)))),0)</f>
        <v/>
      </c>
      <c r="BJ92" s="336" t="str">
        <f>IFERROR(IF(AO92="","",IF(AQ92="Dubai",IF(AO92="Plan1",VLOOKUP(BE92,Deviation!$B$39:$C$40,2,FALSE),IF(AO92="Plan2",VLOOKUP(BE92,Deviation!$B$42:$C$43,2,FALSE),IF(AO92="Plan5",VLOOKUP(BE92,Deviation!$B$48:$C$49,2,FALSE),VLOOKUP(BE92,Deviation!$B$45:$C$46,2,FALSE)))),IF(AO92="Plan1",VLOOKUP(BE92,Deviation!$E$39:$F$40,2,FALSE),IF(AO92="Plan2",VLOOKUP(BE92,Deviation!$E$42:$F$43,2,FALSE),VLOOKUP(BE92,Deviation!$E$45:$F$46,2,FALSE))))),0)</f>
        <v/>
      </c>
      <c r="BK92" s="336" t="str">
        <f>IFERROR(IF(AO92="","",IF(AQ92="Dubai",IF(OR(AO92="Plan1",AO92="Plan2"),VLOOKUP(BF92,Deviation!$B$15:$D$18,2,FALSE),VLOOKUP(BF92,Deviation!$B$15:$D$18,3,FALSE)),IF(OR(AO92="Plan1",AO92="Plan2"),VLOOKUP(BF92,Deviation!$E$15:$G$18,2,FALSE),VLOOKUP(BF92,Deviation!$E$15:$G$18,3,FALSE)))),0)</f>
        <v/>
      </c>
      <c r="BL92" s="334" t="str">
        <f>IFERROR(IF(AO92="","",IF(AQ92="Dubai",VLOOKUP(BG92,Deviation!$B$24:$C$26,2,FALSE),100%)),0)</f>
        <v/>
      </c>
    </row>
    <row r="93" spans="1:64" ht="14.25" x14ac:dyDescent="0.2">
      <c r="A93" s="59">
        <v>88</v>
      </c>
      <c r="B93" s="298"/>
      <c r="C93" s="299"/>
      <c r="D93" s="298"/>
      <c r="E93" s="298"/>
      <c r="F93" s="298"/>
      <c r="G93" s="298"/>
      <c r="H93" s="298"/>
      <c r="I93" s="298"/>
      <c r="J93" s="80" t="str">
        <f>IFERROR(ROUNDDOWN(IF(C93="","",(MAX((eff_date-Additions!C93)/365.25,0))),0),"")</f>
        <v/>
      </c>
      <c r="K93" s="59" t="str">
        <f>IF(F93="","",IF(G93="Dubai",HLOOKUP(F93,Inputs!$C$26:$M$28,3,0),HLOOKUP(F93,Inputs!$C$45:$M$46,2,0)))</f>
        <v/>
      </c>
      <c r="L93" s="335" t="str">
        <f t="shared" si="33"/>
        <v/>
      </c>
      <c r="M93" s="335">
        <f t="shared" si="34"/>
        <v>0</v>
      </c>
      <c r="N93" s="335" t="str">
        <f t="shared" si="35"/>
        <v/>
      </c>
      <c r="O93" s="335">
        <f t="shared" si="36"/>
        <v>0</v>
      </c>
      <c r="P93" s="104"/>
      <c r="Q93" s="105">
        <f t="shared" si="49"/>
        <v>0</v>
      </c>
      <c r="R93" s="59" t="b">
        <f t="shared" si="37"/>
        <v>0</v>
      </c>
      <c r="S93" s="102" t="str">
        <f t="shared" si="50"/>
        <v>x</v>
      </c>
      <c r="T93" s="102" t="str">
        <f t="shared" si="38"/>
        <v>x</v>
      </c>
      <c r="U93" s="102" t="str">
        <f t="shared" si="39"/>
        <v>x</v>
      </c>
      <c r="V93" s="102" t="str">
        <f t="shared" si="40"/>
        <v>x</v>
      </c>
      <c r="W93" s="102" t="str">
        <f t="shared" si="41"/>
        <v>x</v>
      </c>
      <c r="X93" s="102" t="str">
        <f>IF(ISERROR(MATCH(G93,'Inputs Mapping'!$T$4:$T$5,0)),"x","")</f>
        <v>x</v>
      </c>
      <c r="Y93" s="102" t="str">
        <f>IF(ISERROR(MATCH(AE93,'Inputs Mapping'!$U$4:$U$5,0)),"x","")</f>
        <v>x</v>
      </c>
      <c r="Z93" s="102" t="str">
        <f>IF(ISERROR(MATCH(AF93,'Inputs Mapping'!$V$4:$V$5,0)),"x","")</f>
        <v>x</v>
      </c>
      <c r="AA93" s="102" t="str">
        <f>IF(ISERROR(MATCH(F93,'Inputs Mapping'!$W$4:$W$8,0)),"x","")</f>
        <v>x</v>
      </c>
      <c r="AB93" s="102" t="str">
        <f t="shared" si="42"/>
        <v/>
      </c>
      <c r="AC93" s="102" t="str">
        <f t="shared" si="43"/>
        <v/>
      </c>
      <c r="AD93" s="102" t="str">
        <f t="shared" si="44"/>
        <v/>
      </c>
      <c r="AE93" s="102" t="str">
        <f t="shared" si="51"/>
        <v/>
      </c>
      <c r="AF93" s="102" t="str">
        <f t="shared" si="52"/>
        <v/>
      </c>
      <c r="AG93" s="102" t="str">
        <f t="shared" si="53"/>
        <v>x</v>
      </c>
      <c r="AK93" s="95" t="str">
        <f t="shared" si="45"/>
        <v/>
      </c>
      <c r="AL93" s="59" t="str">
        <f>IF(J93="","",VLOOKUP(J93,'Inputs Mapping'!$T$27:$V$30,3))</f>
        <v/>
      </c>
      <c r="AM93" s="59" t="str">
        <f>IF(J93="","",VLOOKUP(J93,'Inputs Mapping'!$T$17:$V$24,3))</f>
        <v/>
      </c>
      <c r="AN93" s="59" t="str">
        <f t="shared" si="46"/>
        <v/>
      </c>
      <c r="AO93" s="102" t="str">
        <f t="shared" si="47"/>
        <v/>
      </c>
      <c r="AP93" s="102" t="str">
        <f>IF(F93="","",IF(G93="Dubai",HLOOKUP(F93,Inputs!$C$26:$M$36,5,0),HLOOKUP(F93,Inputs!$C$45:$M$49,5,0)))</f>
        <v/>
      </c>
      <c r="AQ93" s="102">
        <f t="shared" si="48"/>
        <v>0</v>
      </c>
      <c r="AR93" s="59" t="str">
        <f>IF(AM93="","",IF(AQ93="Dubai",VLOOKUP(AM93,'Inputs Mapping'!$V$17:$W$24,2,0),VLOOKUP(AL93,'Inputs Mapping'!$V$27:$W$30,2,0)))</f>
        <v/>
      </c>
      <c r="AS93" s="333">
        <f>IFERROR(IF($AQ93="","",HLOOKUP($AQ93&amp;RIGHT($AO93,1),'input for formula'!$B$16:$I$20,3,0)),0)</f>
        <v>0</v>
      </c>
      <c r="AT93" s="80">
        <f>IFERROR(IF($AQ93="","",HLOOKUP($AQ93&amp;$F93,'input for formula'!$B$22:$M$25,2,0)),0)</f>
        <v>0</v>
      </c>
      <c r="AU93" s="333">
        <f>IFERROR(IF($AQ93="","",HLOOKUP($AQ93&amp;RIGHT($AO93,1),'input for formula'!$B$16:$I$20,4,0)),0)</f>
        <v>0</v>
      </c>
      <c r="AV93" s="80">
        <f>IFERROR(IF($AQ93="","",HLOOKUP($AQ93&amp;$F93,'input for formula'!$B$22:$M$25,3,0)),0)</f>
        <v>0</v>
      </c>
      <c r="AW93" s="333">
        <f>IFERROR(IF($AQ93="","",HLOOKUP($AQ93&amp;RIGHT($AO93,1),'input for formula'!$B$16:$I$20,5,0)),0)</f>
        <v>0</v>
      </c>
      <c r="AX93" s="80">
        <f>IFERROR(IF($AQ93="","",HLOOKUP($AQ93&amp;$F93,'input for formula'!$B$22:$M$25,4,0)),0)</f>
        <v>0</v>
      </c>
      <c r="AY93" s="333">
        <f>IFERROR(IF($AQ93="","",IF(Additions!$AQ93="Abu Dhabi",VLOOKUP(Additions!$AP93,'input for formula'!$A$28:$C$41,3,0),VLOOKUP(Additions!$AP93,'input for formula'!$A$28:$C$41,2,0))),0)*IFERROR(1+IF(AQ93="Dubai",VLOOKUP(F93,'Quotation for Dubai Plans'!$V$6:$X$12,3,FALSE),VLOOKUP(F93,'Quotation for Abu Dhabi Plans'!$W$6:$Y$12,3,FALSE)),0)</f>
        <v>0</v>
      </c>
      <c r="AZ93" s="80" t="str">
        <f t="shared" si="23"/>
        <v/>
      </c>
      <c r="BA93" s="106" t="str">
        <f>IFERROR(IF(AO93="","",IF(AQ93="Dubai",HLOOKUP((AO93&amp;AP93),Deviation!$B$7:$S$8,2,0)*BI93*BK93*BL93*BJ93,HLOOKUP((AO93&amp;AP93),Deviation!$B$9:$K$10,2,0)*BI93*BK93*BL93*BJ93)),0)</f>
        <v/>
      </c>
      <c r="BB93" s="107" t="e">
        <f>IF(AO93="","",IFERROR(IF(AO93="","",IF(AQ93="Dubai",HLOOKUP(BC93,'input for formula'!$B$3:$F$10,AR93,FALSE), IF(AND(H93="Employee",AQ93="Abu Dhabi"),HLOOKUP(BC93,'input for formula'!$I$3:$K$7,AR93,FALSE),HLOOKUP(BC93,'input for formula'!$M$3:$O$7,AR93,FALSE)))*BA93+AS93*AT93+AU93*AV93+AW93*AX93),0)*$BC$3)*IF(Inputs!$C$19&gt;100,(1+$BC$2),1)</f>
        <v>#VALUE!</v>
      </c>
      <c r="BC93" s="95" t="str">
        <f t="shared" si="54"/>
        <v/>
      </c>
      <c r="BD93" s="334" t="str">
        <f>IF(F93="","",IF(G93="Dubai",HLOOKUP(F93,Inputs!$C$26:$M$37,9,0),HLOOKUP(F93,Inputs!$C$45:$M$56,9,0)))</f>
        <v/>
      </c>
      <c r="BE93" s="335" t="str">
        <f>IF(F93="","",IF(G93="Dubai",HLOOKUP(F93,Inputs!$C$26:$M$37,10,0),HLOOKUP(F93,Inputs!$C$45:$M$56,10,0)))</f>
        <v/>
      </c>
      <c r="BF93" s="335" t="str">
        <f>IF(F93="","",IF(G93="Dubai",HLOOKUP(F93,Inputs!$C$26:$M$37,11,0),HLOOKUP(F93,Inputs!$C$45:$M$56,11,0)))</f>
        <v/>
      </c>
      <c r="BG93" s="334" t="str">
        <f>IF(F93="","",IF(G93="Dubai",HLOOKUP(F93,Inputs!$C$26:$M$37,12,0),HLOOKUP(F93,Inputs!$C$45:$M$56,12,0)))</f>
        <v/>
      </c>
      <c r="BI93" s="334" t="str">
        <f>IFERROR(IF(AO93="","",IF(AQ93="Dubai",IF(OR(AO93="Plan1",AO93="Plan2"),VLOOKUP(BD93,Deviation!$B$31:$D$33,2,FALSE),VLOOKUP(BD93,Deviation!$B$31:$D$33,3,FALSE)),IF(OR(AO93="Plan1",AO93="Plan2"),VLOOKUP(BD93,Deviation!$E$31:$G$33,2,FALSE),VLOOKUP(BD93,Deviation!$E$31:$G$33,3,FALSE)))),0)</f>
        <v/>
      </c>
      <c r="BJ93" s="336" t="str">
        <f>IFERROR(IF(AO93="","",IF(AQ93="Dubai",IF(AO93="Plan1",VLOOKUP(BE93,Deviation!$B$39:$C$40,2,FALSE),IF(AO93="Plan2",VLOOKUP(BE93,Deviation!$B$42:$C$43,2,FALSE),IF(AO93="Plan5",VLOOKUP(BE93,Deviation!$B$48:$C$49,2,FALSE),VLOOKUP(BE93,Deviation!$B$45:$C$46,2,FALSE)))),IF(AO93="Plan1",VLOOKUP(BE93,Deviation!$E$39:$F$40,2,FALSE),IF(AO93="Plan2",VLOOKUP(BE93,Deviation!$E$42:$F$43,2,FALSE),VLOOKUP(BE93,Deviation!$E$45:$F$46,2,FALSE))))),0)</f>
        <v/>
      </c>
      <c r="BK93" s="336" t="str">
        <f>IFERROR(IF(AO93="","",IF(AQ93="Dubai",IF(OR(AO93="Plan1",AO93="Plan2"),VLOOKUP(BF93,Deviation!$B$15:$D$18,2,FALSE),VLOOKUP(BF93,Deviation!$B$15:$D$18,3,FALSE)),IF(OR(AO93="Plan1",AO93="Plan2"),VLOOKUP(BF93,Deviation!$E$15:$G$18,2,FALSE),VLOOKUP(BF93,Deviation!$E$15:$G$18,3,FALSE)))),0)</f>
        <v/>
      </c>
      <c r="BL93" s="334" t="str">
        <f>IFERROR(IF(AO93="","",IF(AQ93="Dubai",VLOOKUP(BG93,Deviation!$B$24:$C$26,2,FALSE),100%)),0)</f>
        <v/>
      </c>
    </row>
    <row r="94" spans="1:64" ht="14.25" x14ac:dyDescent="0.2">
      <c r="A94" s="59">
        <v>89</v>
      </c>
      <c r="B94" s="298"/>
      <c r="C94" s="299"/>
      <c r="D94" s="298"/>
      <c r="E94" s="298"/>
      <c r="F94" s="298"/>
      <c r="G94" s="298"/>
      <c r="H94" s="298"/>
      <c r="I94" s="298"/>
      <c r="J94" s="80" t="str">
        <f>IFERROR(ROUNDDOWN(IF(C94="","",(MAX((eff_date-Additions!C94)/365.25,0))),0),"")</f>
        <v/>
      </c>
      <c r="K94" s="59" t="str">
        <f>IF(F94="","",IF(G94="Dubai",HLOOKUP(F94,Inputs!$C$26:$M$28,3,0),HLOOKUP(F94,Inputs!$C$45:$M$46,2,0)))</f>
        <v/>
      </c>
      <c r="L94" s="335" t="str">
        <f t="shared" si="33"/>
        <v/>
      </c>
      <c r="M94" s="335">
        <f t="shared" si="34"/>
        <v>0</v>
      </c>
      <c r="N94" s="335" t="str">
        <f t="shared" si="35"/>
        <v/>
      </c>
      <c r="O94" s="335">
        <f t="shared" si="36"/>
        <v>0</v>
      </c>
      <c r="P94" s="104"/>
      <c r="Q94" s="105">
        <f t="shared" si="49"/>
        <v>0</v>
      </c>
      <c r="R94" s="59" t="b">
        <f t="shared" si="37"/>
        <v>0</v>
      </c>
      <c r="S94" s="102" t="str">
        <f t="shared" si="50"/>
        <v>x</v>
      </c>
      <c r="T94" s="102" t="str">
        <f t="shared" si="38"/>
        <v>x</v>
      </c>
      <c r="U94" s="102" t="str">
        <f t="shared" si="39"/>
        <v>x</v>
      </c>
      <c r="V94" s="102" t="str">
        <f t="shared" si="40"/>
        <v>x</v>
      </c>
      <c r="W94" s="102" t="str">
        <f t="shared" si="41"/>
        <v>x</v>
      </c>
      <c r="X94" s="102" t="str">
        <f>IF(ISERROR(MATCH(G94,'Inputs Mapping'!$T$4:$T$5,0)),"x","")</f>
        <v>x</v>
      </c>
      <c r="Y94" s="102" t="str">
        <f>IF(ISERROR(MATCH(AE94,'Inputs Mapping'!$U$4:$U$5,0)),"x","")</f>
        <v>x</v>
      </c>
      <c r="Z94" s="102" t="str">
        <f>IF(ISERROR(MATCH(AF94,'Inputs Mapping'!$V$4:$V$5,0)),"x","")</f>
        <v>x</v>
      </c>
      <c r="AA94" s="102" t="str">
        <f>IF(ISERROR(MATCH(F94,'Inputs Mapping'!$W$4:$W$8,0)),"x","")</f>
        <v>x</v>
      </c>
      <c r="AB94" s="102" t="str">
        <f t="shared" si="42"/>
        <v/>
      </c>
      <c r="AC94" s="102" t="str">
        <f t="shared" si="43"/>
        <v/>
      </c>
      <c r="AD94" s="102" t="str">
        <f t="shared" si="44"/>
        <v/>
      </c>
      <c r="AE94" s="102" t="str">
        <f t="shared" si="51"/>
        <v/>
      </c>
      <c r="AF94" s="102" t="str">
        <f t="shared" si="52"/>
        <v/>
      </c>
      <c r="AG94" s="102" t="str">
        <f t="shared" si="53"/>
        <v>x</v>
      </c>
      <c r="AK94" s="95" t="str">
        <f t="shared" si="45"/>
        <v/>
      </c>
      <c r="AL94" s="59" t="str">
        <f>IF(J94="","",VLOOKUP(J94,'Inputs Mapping'!$T$27:$V$30,3))</f>
        <v/>
      </c>
      <c r="AM94" s="59" t="str">
        <f>IF(J94="","",VLOOKUP(J94,'Inputs Mapping'!$T$17:$V$24,3))</f>
        <v/>
      </c>
      <c r="AN94" s="59" t="str">
        <f t="shared" si="46"/>
        <v/>
      </c>
      <c r="AO94" s="102" t="str">
        <f t="shared" si="47"/>
        <v/>
      </c>
      <c r="AP94" s="102" t="str">
        <f>IF(F94="","",IF(G94="Dubai",HLOOKUP(F94,Inputs!$C$26:$M$36,5,0),HLOOKUP(F94,Inputs!$C$45:$M$49,5,0)))</f>
        <v/>
      </c>
      <c r="AQ94" s="102">
        <f t="shared" si="48"/>
        <v>0</v>
      </c>
      <c r="AR94" s="59" t="str">
        <f>IF(AM94="","",IF(AQ94="Dubai",VLOOKUP(AM94,'Inputs Mapping'!$V$17:$W$24,2,0),VLOOKUP(AL94,'Inputs Mapping'!$V$27:$W$30,2,0)))</f>
        <v/>
      </c>
      <c r="AS94" s="333">
        <f>IFERROR(IF($AQ94="","",HLOOKUP($AQ94&amp;RIGHT($AO94,1),'input for formula'!$B$16:$I$20,3,0)),0)</f>
        <v>0</v>
      </c>
      <c r="AT94" s="80">
        <f>IFERROR(IF($AQ94="","",HLOOKUP($AQ94&amp;$F94,'input for formula'!$B$22:$M$25,2,0)),0)</f>
        <v>0</v>
      </c>
      <c r="AU94" s="333">
        <f>IFERROR(IF($AQ94="","",HLOOKUP($AQ94&amp;RIGHT($AO94,1),'input for formula'!$B$16:$I$20,4,0)),0)</f>
        <v>0</v>
      </c>
      <c r="AV94" s="80">
        <f>IFERROR(IF($AQ94="","",HLOOKUP($AQ94&amp;$F94,'input for formula'!$B$22:$M$25,3,0)),0)</f>
        <v>0</v>
      </c>
      <c r="AW94" s="333">
        <f>IFERROR(IF($AQ94="","",HLOOKUP($AQ94&amp;RIGHT($AO94,1),'input for formula'!$B$16:$I$20,5,0)),0)</f>
        <v>0</v>
      </c>
      <c r="AX94" s="80">
        <f>IFERROR(IF($AQ94="","",HLOOKUP($AQ94&amp;$F94,'input for formula'!$B$22:$M$25,4,0)),0)</f>
        <v>0</v>
      </c>
      <c r="AY94" s="333">
        <f>IFERROR(IF($AQ94="","",IF(Additions!$AQ94="Abu Dhabi",VLOOKUP(Additions!$AP94,'input for formula'!$A$28:$C$41,3,0),VLOOKUP(Additions!$AP94,'input for formula'!$A$28:$C$41,2,0))),0)*IFERROR(1+IF(AQ94="Dubai",VLOOKUP(F94,'Quotation for Dubai Plans'!$V$6:$X$12,3,FALSE),VLOOKUP(F94,'Quotation for Abu Dhabi Plans'!$W$6:$Y$12,3,FALSE)),0)</f>
        <v>0</v>
      </c>
      <c r="AZ94" s="80" t="str">
        <f t="shared" si="23"/>
        <v/>
      </c>
      <c r="BA94" s="106" t="str">
        <f>IFERROR(IF(AO94="","",IF(AQ94="Dubai",HLOOKUP((AO94&amp;AP94),Deviation!$B$7:$S$8,2,0)*BI94*BK94*BL94*BJ94,HLOOKUP((AO94&amp;AP94),Deviation!$B$9:$K$10,2,0)*BI94*BK94*BL94*BJ94)),0)</f>
        <v/>
      </c>
      <c r="BB94" s="107" t="e">
        <f>IF(AO94="","",IFERROR(IF(AO94="","",IF(AQ94="Dubai",HLOOKUP(BC94,'input for formula'!$B$3:$F$10,AR94,FALSE), IF(AND(H94="Employee",AQ94="Abu Dhabi"),HLOOKUP(BC94,'input for formula'!$I$3:$K$7,AR94,FALSE),HLOOKUP(BC94,'input for formula'!$M$3:$O$7,AR94,FALSE)))*BA94+AS94*AT94+AU94*AV94+AW94*AX94),0)*$BC$3)*IF(Inputs!$C$19&gt;100,(1+$BC$2),1)</f>
        <v>#VALUE!</v>
      </c>
      <c r="BC94" s="95" t="str">
        <f t="shared" si="54"/>
        <v/>
      </c>
      <c r="BD94" s="334" t="str">
        <f>IF(F94="","",IF(G94="Dubai",HLOOKUP(F94,Inputs!$C$26:$M$37,9,0),HLOOKUP(F94,Inputs!$C$45:$M$56,9,0)))</f>
        <v/>
      </c>
      <c r="BE94" s="335" t="str">
        <f>IF(F94="","",IF(G94="Dubai",HLOOKUP(F94,Inputs!$C$26:$M$37,10,0),HLOOKUP(F94,Inputs!$C$45:$M$56,10,0)))</f>
        <v/>
      </c>
      <c r="BF94" s="335" t="str">
        <f>IF(F94="","",IF(G94="Dubai",HLOOKUP(F94,Inputs!$C$26:$M$37,11,0),HLOOKUP(F94,Inputs!$C$45:$M$56,11,0)))</f>
        <v/>
      </c>
      <c r="BG94" s="334" t="str">
        <f>IF(F94="","",IF(G94="Dubai",HLOOKUP(F94,Inputs!$C$26:$M$37,12,0),HLOOKUP(F94,Inputs!$C$45:$M$56,12,0)))</f>
        <v/>
      </c>
      <c r="BI94" s="334" t="str">
        <f>IFERROR(IF(AO94="","",IF(AQ94="Dubai",IF(OR(AO94="Plan1",AO94="Plan2"),VLOOKUP(BD94,Deviation!$B$31:$D$33,2,FALSE),VLOOKUP(BD94,Deviation!$B$31:$D$33,3,FALSE)),IF(OR(AO94="Plan1",AO94="Plan2"),VLOOKUP(BD94,Deviation!$E$31:$G$33,2,FALSE),VLOOKUP(BD94,Deviation!$E$31:$G$33,3,FALSE)))),0)</f>
        <v/>
      </c>
      <c r="BJ94" s="336" t="str">
        <f>IFERROR(IF(AO94="","",IF(AQ94="Dubai",IF(AO94="Plan1",VLOOKUP(BE94,Deviation!$B$39:$C$40,2,FALSE),IF(AO94="Plan2",VLOOKUP(BE94,Deviation!$B$42:$C$43,2,FALSE),IF(AO94="Plan5",VLOOKUP(BE94,Deviation!$B$48:$C$49,2,FALSE),VLOOKUP(BE94,Deviation!$B$45:$C$46,2,FALSE)))),IF(AO94="Plan1",VLOOKUP(BE94,Deviation!$E$39:$F$40,2,FALSE),IF(AO94="Plan2",VLOOKUP(BE94,Deviation!$E$42:$F$43,2,FALSE),VLOOKUP(BE94,Deviation!$E$45:$F$46,2,FALSE))))),0)</f>
        <v/>
      </c>
      <c r="BK94" s="336" t="str">
        <f>IFERROR(IF(AO94="","",IF(AQ94="Dubai",IF(OR(AO94="Plan1",AO94="Plan2"),VLOOKUP(BF94,Deviation!$B$15:$D$18,2,FALSE),VLOOKUP(BF94,Deviation!$B$15:$D$18,3,FALSE)),IF(OR(AO94="Plan1",AO94="Plan2"),VLOOKUP(BF94,Deviation!$E$15:$G$18,2,FALSE),VLOOKUP(BF94,Deviation!$E$15:$G$18,3,FALSE)))),0)</f>
        <v/>
      </c>
      <c r="BL94" s="334" t="str">
        <f>IFERROR(IF(AO94="","",IF(AQ94="Dubai",VLOOKUP(BG94,Deviation!$B$24:$C$26,2,FALSE),100%)),0)</f>
        <v/>
      </c>
    </row>
    <row r="95" spans="1:64" ht="14.25" x14ac:dyDescent="0.2">
      <c r="A95" s="59">
        <v>90</v>
      </c>
      <c r="B95" s="298"/>
      <c r="C95" s="299"/>
      <c r="D95" s="298"/>
      <c r="E95" s="298"/>
      <c r="F95" s="298"/>
      <c r="G95" s="298"/>
      <c r="H95" s="298"/>
      <c r="I95" s="298"/>
      <c r="J95" s="80" t="str">
        <f>IFERROR(ROUNDDOWN(IF(C95="","",(MAX((eff_date-Additions!C95)/365.25,0))),0),"")</f>
        <v/>
      </c>
      <c r="K95" s="59" t="str">
        <f>IF(F95="","",IF(G95="Dubai",HLOOKUP(F95,Inputs!$C$26:$M$28,3,0),HLOOKUP(F95,Inputs!$C$45:$M$46,2,0)))</f>
        <v/>
      </c>
      <c r="L95" s="335" t="str">
        <f t="shared" si="33"/>
        <v/>
      </c>
      <c r="M95" s="335">
        <f t="shared" si="34"/>
        <v>0</v>
      </c>
      <c r="N95" s="335" t="str">
        <f t="shared" si="35"/>
        <v/>
      </c>
      <c r="O95" s="335">
        <f t="shared" si="36"/>
        <v>0</v>
      </c>
      <c r="P95" s="104"/>
      <c r="Q95" s="105">
        <f t="shared" si="49"/>
        <v>0</v>
      </c>
      <c r="R95" s="59" t="b">
        <f t="shared" si="37"/>
        <v>0</v>
      </c>
      <c r="S95" s="102" t="str">
        <f t="shared" si="50"/>
        <v>x</v>
      </c>
      <c r="T95" s="102" t="str">
        <f t="shared" si="38"/>
        <v>x</v>
      </c>
      <c r="U95" s="102" t="str">
        <f t="shared" si="39"/>
        <v>x</v>
      </c>
      <c r="V95" s="102" t="str">
        <f t="shared" si="40"/>
        <v>x</v>
      </c>
      <c r="W95" s="102" t="str">
        <f t="shared" si="41"/>
        <v>x</v>
      </c>
      <c r="X95" s="102" t="str">
        <f>IF(ISERROR(MATCH(G95,'Inputs Mapping'!$T$4:$T$5,0)),"x","")</f>
        <v>x</v>
      </c>
      <c r="Y95" s="102" t="str">
        <f>IF(ISERROR(MATCH(AE95,'Inputs Mapping'!$U$4:$U$5,0)),"x","")</f>
        <v>x</v>
      </c>
      <c r="Z95" s="102" t="str">
        <f>IF(ISERROR(MATCH(AF95,'Inputs Mapping'!$V$4:$V$5,0)),"x","")</f>
        <v>x</v>
      </c>
      <c r="AA95" s="102" t="str">
        <f>IF(ISERROR(MATCH(F95,'Inputs Mapping'!$W$4:$W$8,0)),"x","")</f>
        <v>x</v>
      </c>
      <c r="AB95" s="102" t="str">
        <f t="shared" si="42"/>
        <v/>
      </c>
      <c r="AC95" s="102" t="str">
        <f t="shared" si="43"/>
        <v/>
      </c>
      <c r="AD95" s="102" t="str">
        <f t="shared" si="44"/>
        <v/>
      </c>
      <c r="AE95" s="102" t="str">
        <f t="shared" si="51"/>
        <v/>
      </c>
      <c r="AF95" s="102" t="str">
        <f t="shared" si="52"/>
        <v/>
      </c>
      <c r="AG95" s="102" t="str">
        <f t="shared" si="53"/>
        <v>x</v>
      </c>
      <c r="AK95" s="95" t="str">
        <f t="shared" si="45"/>
        <v/>
      </c>
      <c r="AL95" s="59" t="str">
        <f>IF(J95="","",VLOOKUP(J95,'Inputs Mapping'!$T$27:$V$30,3))</f>
        <v/>
      </c>
      <c r="AM95" s="59" t="str">
        <f>IF(J95="","",VLOOKUP(J95,'Inputs Mapping'!$T$17:$V$24,3))</f>
        <v/>
      </c>
      <c r="AN95" s="59" t="str">
        <f t="shared" si="46"/>
        <v/>
      </c>
      <c r="AO95" s="102" t="str">
        <f t="shared" si="47"/>
        <v/>
      </c>
      <c r="AP95" s="102" t="str">
        <f>IF(F95="","",IF(G95="Dubai",HLOOKUP(F95,Inputs!$C$26:$M$36,5,0),HLOOKUP(F95,Inputs!$C$45:$M$49,5,0)))</f>
        <v/>
      </c>
      <c r="AQ95" s="102">
        <f t="shared" si="48"/>
        <v>0</v>
      </c>
      <c r="AR95" s="59" t="str">
        <f>IF(AM95="","",IF(AQ95="Dubai",VLOOKUP(AM95,'Inputs Mapping'!$V$17:$W$24,2,0),VLOOKUP(AL95,'Inputs Mapping'!$V$27:$W$30,2,0)))</f>
        <v/>
      </c>
      <c r="AS95" s="333">
        <f>IFERROR(IF($AQ95="","",HLOOKUP($AQ95&amp;RIGHT($AO95,1),'input for formula'!$B$16:$I$20,3,0)),0)</f>
        <v>0</v>
      </c>
      <c r="AT95" s="80">
        <f>IFERROR(IF($AQ95="","",HLOOKUP($AQ95&amp;$F95,'input for formula'!$B$22:$M$25,2,0)),0)</f>
        <v>0</v>
      </c>
      <c r="AU95" s="333">
        <f>IFERROR(IF($AQ95="","",HLOOKUP($AQ95&amp;RIGHT($AO95,1),'input for formula'!$B$16:$I$20,4,0)),0)</f>
        <v>0</v>
      </c>
      <c r="AV95" s="80">
        <f>IFERROR(IF($AQ95="","",HLOOKUP($AQ95&amp;$F95,'input for formula'!$B$22:$M$25,3,0)),0)</f>
        <v>0</v>
      </c>
      <c r="AW95" s="333">
        <f>IFERROR(IF($AQ95="","",HLOOKUP($AQ95&amp;RIGHT($AO95,1),'input for formula'!$B$16:$I$20,5,0)),0)</f>
        <v>0</v>
      </c>
      <c r="AX95" s="80">
        <f>IFERROR(IF($AQ95="","",HLOOKUP($AQ95&amp;$F95,'input for formula'!$B$22:$M$25,4,0)),0)</f>
        <v>0</v>
      </c>
      <c r="AY95" s="333">
        <f>IFERROR(IF($AQ95="","",IF(Additions!$AQ95="Abu Dhabi",VLOOKUP(Additions!$AP95,'input for formula'!$A$28:$C$41,3,0),VLOOKUP(Additions!$AP95,'input for formula'!$A$28:$C$41,2,0))),0)*IFERROR(1+IF(AQ95="Dubai",VLOOKUP(F95,'Quotation for Dubai Plans'!$V$6:$X$12,3,FALSE),VLOOKUP(F95,'Quotation for Abu Dhabi Plans'!$W$6:$Y$12,3,FALSE)),0)</f>
        <v>0</v>
      </c>
      <c r="AZ95" s="80" t="str">
        <f t="shared" si="23"/>
        <v/>
      </c>
      <c r="BA95" s="106" t="str">
        <f>IFERROR(IF(AO95="","",IF(AQ95="Dubai",HLOOKUP((AO95&amp;AP95),Deviation!$B$7:$S$8,2,0)*BI95*BK95*BL95*BJ95,HLOOKUP((AO95&amp;AP95),Deviation!$B$9:$K$10,2,0)*BI95*BK95*BL95*BJ95)),0)</f>
        <v/>
      </c>
      <c r="BB95" s="107" t="e">
        <f>IF(AO95="","",IFERROR(IF(AO95="","",IF(AQ95="Dubai",HLOOKUP(BC95,'input for formula'!$B$3:$F$10,AR95,FALSE), IF(AND(H95="Employee",AQ95="Abu Dhabi"),HLOOKUP(BC95,'input for formula'!$I$3:$K$7,AR95,FALSE),HLOOKUP(BC95,'input for formula'!$M$3:$O$7,AR95,FALSE)))*BA95+AS95*AT95+AU95*AV95+AW95*AX95),0)*$BC$3)*IF(Inputs!$C$19&gt;100,(1+$BC$2),1)</f>
        <v>#VALUE!</v>
      </c>
      <c r="BC95" s="95" t="str">
        <f t="shared" si="54"/>
        <v/>
      </c>
      <c r="BD95" s="334" t="str">
        <f>IF(F95="","",IF(G95="Dubai",HLOOKUP(F95,Inputs!$C$26:$M$37,9,0),HLOOKUP(F95,Inputs!$C$45:$M$56,9,0)))</f>
        <v/>
      </c>
      <c r="BE95" s="335" t="str">
        <f>IF(F95="","",IF(G95="Dubai",HLOOKUP(F95,Inputs!$C$26:$M$37,10,0),HLOOKUP(F95,Inputs!$C$45:$M$56,10,0)))</f>
        <v/>
      </c>
      <c r="BF95" s="335" t="str">
        <f>IF(F95="","",IF(G95="Dubai",HLOOKUP(F95,Inputs!$C$26:$M$37,11,0),HLOOKUP(F95,Inputs!$C$45:$M$56,11,0)))</f>
        <v/>
      </c>
      <c r="BG95" s="334" t="str">
        <f>IF(F95="","",IF(G95="Dubai",HLOOKUP(F95,Inputs!$C$26:$M$37,12,0),HLOOKUP(F95,Inputs!$C$45:$M$56,12,0)))</f>
        <v/>
      </c>
      <c r="BI95" s="334" t="str">
        <f>IFERROR(IF(AO95="","",IF(AQ95="Dubai",IF(OR(AO95="Plan1",AO95="Plan2"),VLOOKUP(BD95,Deviation!$B$31:$D$33,2,FALSE),VLOOKUP(BD95,Deviation!$B$31:$D$33,3,FALSE)),IF(OR(AO95="Plan1",AO95="Plan2"),VLOOKUP(BD95,Deviation!$E$31:$G$33,2,FALSE),VLOOKUP(BD95,Deviation!$E$31:$G$33,3,FALSE)))),0)</f>
        <v/>
      </c>
      <c r="BJ95" s="336" t="str">
        <f>IFERROR(IF(AO95="","",IF(AQ95="Dubai",IF(AO95="Plan1",VLOOKUP(BE95,Deviation!$B$39:$C$40,2,FALSE),IF(AO95="Plan2",VLOOKUP(BE95,Deviation!$B$42:$C$43,2,FALSE),IF(AO95="Plan5",VLOOKUP(BE95,Deviation!$B$48:$C$49,2,FALSE),VLOOKUP(BE95,Deviation!$B$45:$C$46,2,FALSE)))),IF(AO95="Plan1",VLOOKUP(BE95,Deviation!$E$39:$F$40,2,FALSE),IF(AO95="Plan2",VLOOKUP(BE95,Deviation!$E$42:$F$43,2,FALSE),VLOOKUP(BE95,Deviation!$E$45:$F$46,2,FALSE))))),0)</f>
        <v/>
      </c>
      <c r="BK95" s="336" t="str">
        <f>IFERROR(IF(AO95="","",IF(AQ95="Dubai",IF(OR(AO95="Plan1",AO95="Plan2"),VLOOKUP(BF95,Deviation!$B$15:$D$18,2,FALSE),VLOOKUP(BF95,Deviation!$B$15:$D$18,3,FALSE)),IF(OR(AO95="Plan1",AO95="Plan2"),VLOOKUP(BF95,Deviation!$E$15:$G$18,2,FALSE),VLOOKUP(BF95,Deviation!$E$15:$G$18,3,FALSE)))),0)</f>
        <v/>
      </c>
      <c r="BL95" s="334" t="str">
        <f>IFERROR(IF(AO95="","",IF(AQ95="Dubai",VLOOKUP(BG95,Deviation!$B$24:$C$26,2,FALSE),100%)),0)</f>
        <v/>
      </c>
    </row>
    <row r="96" spans="1:64" ht="14.25" x14ac:dyDescent="0.2">
      <c r="A96" s="59">
        <v>91</v>
      </c>
      <c r="B96" s="298"/>
      <c r="C96" s="299"/>
      <c r="D96" s="298"/>
      <c r="E96" s="298"/>
      <c r="F96" s="298"/>
      <c r="G96" s="298"/>
      <c r="H96" s="298"/>
      <c r="I96" s="298"/>
      <c r="J96" s="80" t="str">
        <f>IFERROR(ROUNDDOWN(IF(C96="","",(MAX((eff_date-Additions!C96)/365.25,0))),0),"")</f>
        <v/>
      </c>
      <c r="K96" s="59" t="str">
        <f>IF(F96="","",IF(G96="Dubai",HLOOKUP(F96,Inputs!$C$26:$M$28,3,0),HLOOKUP(F96,Inputs!$C$45:$M$46,2,0)))</f>
        <v/>
      </c>
      <c r="L96" s="335" t="str">
        <f t="shared" si="33"/>
        <v/>
      </c>
      <c r="M96" s="335">
        <f t="shared" si="34"/>
        <v>0</v>
      </c>
      <c r="N96" s="335" t="str">
        <f t="shared" si="35"/>
        <v/>
      </c>
      <c r="O96" s="335">
        <f t="shared" si="36"/>
        <v>0</v>
      </c>
      <c r="P96" s="104"/>
      <c r="Q96" s="105">
        <f t="shared" si="49"/>
        <v>0</v>
      </c>
      <c r="R96" s="59" t="b">
        <f t="shared" si="37"/>
        <v>0</v>
      </c>
      <c r="S96" s="102" t="str">
        <f t="shared" si="50"/>
        <v>x</v>
      </c>
      <c r="T96" s="102" t="str">
        <f t="shared" si="38"/>
        <v>x</v>
      </c>
      <c r="U96" s="102" t="str">
        <f t="shared" si="39"/>
        <v>x</v>
      </c>
      <c r="V96" s="102" t="str">
        <f t="shared" si="40"/>
        <v>x</v>
      </c>
      <c r="W96" s="102" t="str">
        <f t="shared" si="41"/>
        <v>x</v>
      </c>
      <c r="X96" s="102" t="str">
        <f>IF(ISERROR(MATCH(G96,'Inputs Mapping'!$T$4:$T$5,0)),"x","")</f>
        <v>x</v>
      </c>
      <c r="Y96" s="102" t="str">
        <f>IF(ISERROR(MATCH(AE96,'Inputs Mapping'!$U$4:$U$5,0)),"x","")</f>
        <v>x</v>
      </c>
      <c r="Z96" s="102" t="str">
        <f>IF(ISERROR(MATCH(AF96,'Inputs Mapping'!$V$4:$V$5,0)),"x","")</f>
        <v>x</v>
      </c>
      <c r="AA96" s="102" t="str">
        <f>IF(ISERROR(MATCH(F96,'Inputs Mapping'!$W$4:$W$8,0)),"x","")</f>
        <v>x</v>
      </c>
      <c r="AB96" s="102" t="str">
        <f t="shared" si="42"/>
        <v/>
      </c>
      <c r="AC96" s="102" t="str">
        <f t="shared" si="43"/>
        <v/>
      </c>
      <c r="AD96" s="102" t="str">
        <f t="shared" si="44"/>
        <v/>
      </c>
      <c r="AE96" s="102" t="str">
        <f t="shared" si="51"/>
        <v/>
      </c>
      <c r="AF96" s="102" t="str">
        <f t="shared" si="52"/>
        <v/>
      </c>
      <c r="AG96" s="102" t="str">
        <f t="shared" si="53"/>
        <v>x</v>
      </c>
      <c r="AK96" s="95" t="str">
        <f t="shared" si="45"/>
        <v/>
      </c>
      <c r="AL96" s="59" t="str">
        <f>IF(J96="","",VLOOKUP(J96,'Inputs Mapping'!$T$27:$V$30,3))</f>
        <v/>
      </c>
      <c r="AM96" s="59" t="str">
        <f>IF(J96="","",VLOOKUP(J96,'Inputs Mapping'!$T$17:$V$24,3))</f>
        <v/>
      </c>
      <c r="AN96" s="59" t="str">
        <f t="shared" si="46"/>
        <v/>
      </c>
      <c r="AO96" s="102" t="str">
        <f t="shared" si="47"/>
        <v/>
      </c>
      <c r="AP96" s="102" t="str">
        <f>IF(F96="","",IF(G96="Dubai",HLOOKUP(F96,Inputs!$C$26:$M$36,5,0),HLOOKUP(F96,Inputs!$C$45:$M$49,5,0)))</f>
        <v/>
      </c>
      <c r="AQ96" s="102">
        <f t="shared" si="48"/>
        <v>0</v>
      </c>
      <c r="AR96" s="59" t="str">
        <f>IF(AM96="","",IF(AQ96="Dubai",VLOOKUP(AM96,'Inputs Mapping'!$V$17:$W$24,2,0),VLOOKUP(AL96,'Inputs Mapping'!$V$27:$W$30,2,0)))</f>
        <v/>
      </c>
      <c r="AS96" s="333">
        <f>IFERROR(IF($AQ96="","",HLOOKUP($AQ96&amp;RIGHT($AO96,1),'input for formula'!$B$16:$I$20,3,0)),0)</f>
        <v>0</v>
      </c>
      <c r="AT96" s="80">
        <f>IFERROR(IF($AQ96="","",HLOOKUP($AQ96&amp;$F96,'input for formula'!$B$22:$M$25,2,0)),0)</f>
        <v>0</v>
      </c>
      <c r="AU96" s="333">
        <f>IFERROR(IF($AQ96="","",HLOOKUP($AQ96&amp;RIGHT($AO96,1),'input for formula'!$B$16:$I$20,4,0)),0)</f>
        <v>0</v>
      </c>
      <c r="AV96" s="80">
        <f>IFERROR(IF($AQ96="","",HLOOKUP($AQ96&amp;$F96,'input for formula'!$B$22:$M$25,3,0)),0)</f>
        <v>0</v>
      </c>
      <c r="AW96" s="333">
        <f>IFERROR(IF($AQ96="","",HLOOKUP($AQ96&amp;RIGHT($AO96,1),'input for formula'!$B$16:$I$20,5,0)),0)</f>
        <v>0</v>
      </c>
      <c r="AX96" s="80">
        <f>IFERROR(IF($AQ96="","",HLOOKUP($AQ96&amp;$F96,'input for formula'!$B$22:$M$25,4,0)),0)</f>
        <v>0</v>
      </c>
      <c r="AY96" s="333">
        <f>IFERROR(IF($AQ96="","",IF(Additions!$AQ96="Abu Dhabi",VLOOKUP(Additions!$AP96,'input for formula'!$A$28:$C$41,3,0),VLOOKUP(Additions!$AP96,'input for formula'!$A$28:$C$41,2,0))),0)*IFERROR(1+IF(AQ96="Dubai",VLOOKUP(F96,'Quotation for Dubai Plans'!$V$6:$X$12,3,FALSE),VLOOKUP(F96,'Quotation for Abu Dhabi Plans'!$W$6:$Y$12,3,FALSE)),0)</f>
        <v>0</v>
      </c>
      <c r="AZ96" s="80" t="str">
        <f t="shared" si="23"/>
        <v/>
      </c>
      <c r="BA96" s="106" t="str">
        <f>IFERROR(IF(AO96="","",IF(AQ96="Dubai",HLOOKUP((AO96&amp;AP96),Deviation!$B$7:$S$8,2,0)*BI96*BK96*BL96*BJ96,HLOOKUP((AO96&amp;AP96),Deviation!$B$9:$K$10,2,0)*BI96*BK96*BL96*BJ96)),0)</f>
        <v/>
      </c>
      <c r="BB96" s="107" t="e">
        <f>IF(AO96="","",IFERROR(IF(AO96="","",IF(AQ96="Dubai",HLOOKUP(BC96,'input for formula'!$B$3:$F$10,AR96,FALSE), IF(AND(H96="Employee",AQ96="Abu Dhabi"),HLOOKUP(BC96,'input for formula'!$I$3:$K$7,AR96,FALSE),HLOOKUP(BC96,'input for formula'!$M$3:$O$7,AR96,FALSE)))*BA96+AS96*AT96+AU96*AV96+AW96*AX96),0)*$BC$3)*IF(Inputs!$C$19&gt;100,(1+$BC$2),1)</f>
        <v>#VALUE!</v>
      </c>
      <c r="BC96" s="95" t="str">
        <f t="shared" si="54"/>
        <v/>
      </c>
      <c r="BD96" s="334" t="str">
        <f>IF(F96="","",IF(G96="Dubai",HLOOKUP(F96,Inputs!$C$26:$M$37,9,0),HLOOKUP(F96,Inputs!$C$45:$M$56,9,0)))</f>
        <v/>
      </c>
      <c r="BE96" s="335" t="str">
        <f>IF(F96="","",IF(G96="Dubai",HLOOKUP(F96,Inputs!$C$26:$M$37,10,0),HLOOKUP(F96,Inputs!$C$45:$M$56,10,0)))</f>
        <v/>
      </c>
      <c r="BF96" s="335" t="str">
        <f>IF(F96="","",IF(G96="Dubai",HLOOKUP(F96,Inputs!$C$26:$M$37,11,0),HLOOKUP(F96,Inputs!$C$45:$M$56,11,0)))</f>
        <v/>
      </c>
      <c r="BG96" s="334" t="str">
        <f>IF(F96="","",IF(G96="Dubai",HLOOKUP(F96,Inputs!$C$26:$M$37,12,0),HLOOKUP(F96,Inputs!$C$45:$M$56,12,0)))</f>
        <v/>
      </c>
      <c r="BI96" s="334" t="str">
        <f>IFERROR(IF(AO96="","",IF(AQ96="Dubai",IF(OR(AO96="Plan1",AO96="Plan2"),VLOOKUP(BD96,Deviation!$B$31:$D$33,2,FALSE),VLOOKUP(BD96,Deviation!$B$31:$D$33,3,FALSE)),IF(OR(AO96="Plan1",AO96="Plan2"),VLOOKUP(BD96,Deviation!$E$31:$G$33,2,FALSE),VLOOKUP(BD96,Deviation!$E$31:$G$33,3,FALSE)))),0)</f>
        <v/>
      </c>
      <c r="BJ96" s="336" t="str">
        <f>IFERROR(IF(AO96="","",IF(AQ96="Dubai",IF(AO96="Plan1",VLOOKUP(BE96,Deviation!$B$39:$C$40,2,FALSE),IF(AO96="Plan2",VLOOKUP(BE96,Deviation!$B$42:$C$43,2,FALSE),IF(AO96="Plan5",VLOOKUP(BE96,Deviation!$B$48:$C$49,2,FALSE),VLOOKUP(BE96,Deviation!$B$45:$C$46,2,FALSE)))),IF(AO96="Plan1",VLOOKUP(BE96,Deviation!$E$39:$F$40,2,FALSE),IF(AO96="Plan2",VLOOKUP(BE96,Deviation!$E$42:$F$43,2,FALSE),VLOOKUP(BE96,Deviation!$E$45:$F$46,2,FALSE))))),0)</f>
        <v/>
      </c>
      <c r="BK96" s="336" t="str">
        <f>IFERROR(IF(AO96="","",IF(AQ96="Dubai",IF(OR(AO96="Plan1",AO96="Plan2"),VLOOKUP(BF96,Deviation!$B$15:$D$18,2,FALSE),VLOOKUP(BF96,Deviation!$B$15:$D$18,3,FALSE)),IF(OR(AO96="Plan1",AO96="Plan2"),VLOOKUP(BF96,Deviation!$E$15:$G$18,2,FALSE),VLOOKUP(BF96,Deviation!$E$15:$G$18,3,FALSE)))),0)</f>
        <v/>
      </c>
      <c r="BL96" s="334" t="str">
        <f>IFERROR(IF(AO96="","",IF(AQ96="Dubai",VLOOKUP(BG96,Deviation!$B$24:$C$26,2,FALSE),100%)),0)</f>
        <v/>
      </c>
    </row>
    <row r="97" spans="1:64" ht="14.25" x14ac:dyDescent="0.2">
      <c r="A97" s="59">
        <v>92</v>
      </c>
      <c r="B97" s="298"/>
      <c r="C97" s="299"/>
      <c r="D97" s="298"/>
      <c r="E97" s="298"/>
      <c r="F97" s="298"/>
      <c r="G97" s="298"/>
      <c r="H97" s="298"/>
      <c r="I97" s="298"/>
      <c r="J97" s="80" t="str">
        <f>IFERROR(ROUNDDOWN(IF(C97="","",(MAX((eff_date-Additions!C97)/365.25,0))),0),"")</f>
        <v/>
      </c>
      <c r="K97" s="59" t="str">
        <f>IF(F97="","",IF(G97="Dubai",HLOOKUP(F97,Inputs!$C$26:$M$28,3,0),HLOOKUP(F97,Inputs!$C$45:$M$46,2,0)))</f>
        <v/>
      </c>
      <c r="L97" s="335" t="str">
        <f t="shared" si="33"/>
        <v/>
      </c>
      <c r="M97" s="335">
        <f t="shared" si="34"/>
        <v>0</v>
      </c>
      <c r="N97" s="335" t="str">
        <f t="shared" si="35"/>
        <v/>
      </c>
      <c r="O97" s="335">
        <f t="shared" si="36"/>
        <v>0</v>
      </c>
      <c r="P97" s="104"/>
      <c r="Q97" s="105">
        <f t="shared" si="49"/>
        <v>0</v>
      </c>
      <c r="R97" s="59" t="b">
        <f t="shared" si="37"/>
        <v>0</v>
      </c>
      <c r="S97" s="102" t="str">
        <f t="shared" si="50"/>
        <v>x</v>
      </c>
      <c r="T97" s="102" t="str">
        <f t="shared" si="38"/>
        <v>x</v>
      </c>
      <c r="U97" s="102" t="str">
        <f t="shared" si="39"/>
        <v>x</v>
      </c>
      <c r="V97" s="102" t="str">
        <f t="shared" si="40"/>
        <v>x</v>
      </c>
      <c r="W97" s="102" t="str">
        <f t="shared" si="41"/>
        <v>x</v>
      </c>
      <c r="X97" s="102" t="str">
        <f>IF(ISERROR(MATCH(G97,'Inputs Mapping'!$T$4:$T$5,0)),"x","")</f>
        <v>x</v>
      </c>
      <c r="Y97" s="102" t="str">
        <f>IF(ISERROR(MATCH(AE97,'Inputs Mapping'!$U$4:$U$5,0)),"x","")</f>
        <v>x</v>
      </c>
      <c r="Z97" s="102" t="str">
        <f>IF(ISERROR(MATCH(AF97,'Inputs Mapping'!$V$4:$V$5,0)),"x","")</f>
        <v>x</v>
      </c>
      <c r="AA97" s="102" t="str">
        <f>IF(ISERROR(MATCH(F97,'Inputs Mapping'!$W$4:$W$8,0)),"x","")</f>
        <v>x</v>
      </c>
      <c r="AB97" s="102" t="str">
        <f t="shared" si="42"/>
        <v/>
      </c>
      <c r="AC97" s="102" t="str">
        <f t="shared" si="43"/>
        <v/>
      </c>
      <c r="AD97" s="102" t="str">
        <f t="shared" si="44"/>
        <v/>
      </c>
      <c r="AE97" s="102" t="str">
        <f t="shared" si="51"/>
        <v/>
      </c>
      <c r="AF97" s="102" t="str">
        <f t="shared" si="52"/>
        <v/>
      </c>
      <c r="AG97" s="102" t="str">
        <f t="shared" si="53"/>
        <v>x</v>
      </c>
      <c r="AK97" s="95" t="str">
        <f t="shared" si="45"/>
        <v/>
      </c>
      <c r="AL97" s="59" t="str">
        <f>IF(J97="","",VLOOKUP(J97,'Inputs Mapping'!$T$27:$V$30,3))</f>
        <v/>
      </c>
      <c r="AM97" s="59" t="str">
        <f>IF(J97="","",VLOOKUP(J97,'Inputs Mapping'!$T$17:$V$24,3))</f>
        <v/>
      </c>
      <c r="AN97" s="59" t="str">
        <f t="shared" si="46"/>
        <v/>
      </c>
      <c r="AO97" s="102" t="str">
        <f t="shared" si="47"/>
        <v/>
      </c>
      <c r="AP97" s="102" t="str">
        <f>IF(F97="","",IF(G97="Dubai",HLOOKUP(F97,Inputs!$C$26:$M$36,5,0),HLOOKUP(F97,Inputs!$C$45:$M$49,5,0)))</f>
        <v/>
      </c>
      <c r="AQ97" s="102">
        <f t="shared" si="48"/>
        <v>0</v>
      </c>
      <c r="AR97" s="59" t="str">
        <f>IF(AM97="","",IF(AQ97="Dubai",VLOOKUP(AM97,'Inputs Mapping'!$V$17:$W$24,2,0),VLOOKUP(AL97,'Inputs Mapping'!$V$27:$W$30,2,0)))</f>
        <v/>
      </c>
      <c r="AS97" s="333">
        <f>IFERROR(IF($AQ97="","",HLOOKUP($AQ97&amp;RIGHT($AO97,1),'input for formula'!$B$16:$I$20,3,0)),0)</f>
        <v>0</v>
      </c>
      <c r="AT97" s="80">
        <f>IFERROR(IF($AQ97="","",HLOOKUP($AQ97&amp;$F97,'input for formula'!$B$22:$M$25,2,0)),0)</f>
        <v>0</v>
      </c>
      <c r="AU97" s="333">
        <f>IFERROR(IF($AQ97="","",HLOOKUP($AQ97&amp;RIGHT($AO97,1),'input for formula'!$B$16:$I$20,4,0)),0)</f>
        <v>0</v>
      </c>
      <c r="AV97" s="80">
        <f>IFERROR(IF($AQ97="","",HLOOKUP($AQ97&amp;$F97,'input for formula'!$B$22:$M$25,3,0)),0)</f>
        <v>0</v>
      </c>
      <c r="AW97" s="333">
        <f>IFERROR(IF($AQ97="","",HLOOKUP($AQ97&amp;RIGHT($AO97,1),'input for formula'!$B$16:$I$20,5,0)),0)</f>
        <v>0</v>
      </c>
      <c r="AX97" s="80">
        <f>IFERROR(IF($AQ97="","",HLOOKUP($AQ97&amp;$F97,'input for formula'!$B$22:$M$25,4,0)),0)</f>
        <v>0</v>
      </c>
      <c r="AY97" s="333">
        <f>IFERROR(IF($AQ97="","",IF(Additions!$AQ97="Abu Dhabi",VLOOKUP(Additions!$AP97,'input for formula'!$A$28:$C$41,3,0),VLOOKUP(Additions!$AP97,'input for formula'!$A$28:$C$41,2,0))),0)*IFERROR(1+IF(AQ97="Dubai",VLOOKUP(F97,'Quotation for Dubai Plans'!$V$6:$X$12,3,FALSE),VLOOKUP(F97,'Quotation for Abu Dhabi Plans'!$W$6:$Y$12,3,FALSE)),0)</f>
        <v>0</v>
      </c>
      <c r="AZ97" s="80" t="str">
        <f t="shared" si="23"/>
        <v/>
      </c>
      <c r="BA97" s="106" t="str">
        <f>IFERROR(IF(AO97="","",IF(AQ97="Dubai",HLOOKUP((AO97&amp;AP97),Deviation!$B$7:$S$8,2,0)*BI97*BK97*BL97*BJ97,HLOOKUP((AO97&amp;AP97),Deviation!$B$9:$K$10,2,0)*BI97*BK97*BL97*BJ97)),0)</f>
        <v/>
      </c>
      <c r="BB97" s="107" t="e">
        <f>IF(AO97="","",IFERROR(IF(AO97="","",IF(AQ97="Dubai",HLOOKUP(BC97,'input for formula'!$B$3:$F$10,AR97,FALSE), IF(AND(H97="Employee",AQ97="Abu Dhabi"),HLOOKUP(BC97,'input for formula'!$I$3:$K$7,AR97,FALSE),HLOOKUP(BC97,'input for formula'!$M$3:$O$7,AR97,FALSE)))*BA97+AS97*AT97+AU97*AV97+AW97*AX97),0)*$BC$3)*IF(Inputs!$C$19&gt;100,(1+$BC$2),1)</f>
        <v>#VALUE!</v>
      </c>
      <c r="BC97" s="95" t="str">
        <f t="shared" si="54"/>
        <v/>
      </c>
      <c r="BD97" s="334" t="str">
        <f>IF(F97="","",IF(G97="Dubai",HLOOKUP(F97,Inputs!$C$26:$M$37,9,0),HLOOKUP(F97,Inputs!$C$45:$M$56,9,0)))</f>
        <v/>
      </c>
      <c r="BE97" s="335" t="str">
        <f>IF(F97="","",IF(G97="Dubai",HLOOKUP(F97,Inputs!$C$26:$M$37,10,0),HLOOKUP(F97,Inputs!$C$45:$M$56,10,0)))</f>
        <v/>
      </c>
      <c r="BF97" s="335" t="str">
        <f>IF(F97="","",IF(G97="Dubai",HLOOKUP(F97,Inputs!$C$26:$M$37,11,0),HLOOKUP(F97,Inputs!$C$45:$M$56,11,0)))</f>
        <v/>
      </c>
      <c r="BG97" s="334" t="str">
        <f>IF(F97="","",IF(G97="Dubai",HLOOKUP(F97,Inputs!$C$26:$M$37,12,0),HLOOKUP(F97,Inputs!$C$45:$M$56,12,0)))</f>
        <v/>
      </c>
      <c r="BI97" s="334" t="str">
        <f>IFERROR(IF(AO97="","",IF(AQ97="Dubai",IF(OR(AO97="Plan1",AO97="Plan2"),VLOOKUP(BD97,Deviation!$B$31:$D$33,2,FALSE),VLOOKUP(BD97,Deviation!$B$31:$D$33,3,FALSE)),IF(OR(AO97="Plan1",AO97="Plan2"),VLOOKUP(BD97,Deviation!$E$31:$G$33,2,FALSE),VLOOKUP(BD97,Deviation!$E$31:$G$33,3,FALSE)))),0)</f>
        <v/>
      </c>
      <c r="BJ97" s="336" t="str">
        <f>IFERROR(IF(AO97="","",IF(AQ97="Dubai",IF(AO97="Plan1",VLOOKUP(BE97,Deviation!$B$39:$C$40,2,FALSE),IF(AO97="Plan2",VLOOKUP(BE97,Deviation!$B$42:$C$43,2,FALSE),IF(AO97="Plan5",VLOOKUP(BE97,Deviation!$B$48:$C$49,2,FALSE),VLOOKUP(BE97,Deviation!$B$45:$C$46,2,FALSE)))),IF(AO97="Plan1",VLOOKUP(BE97,Deviation!$E$39:$F$40,2,FALSE),IF(AO97="Plan2",VLOOKUP(BE97,Deviation!$E$42:$F$43,2,FALSE),VLOOKUP(BE97,Deviation!$E$45:$F$46,2,FALSE))))),0)</f>
        <v/>
      </c>
      <c r="BK97" s="336" t="str">
        <f>IFERROR(IF(AO97="","",IF(AQ97="Dubai",IF(OR(AO97="Plan1",AO97="Plan2"),VLOOKUP(BF97,Deviation!$B$15:$D$18,2,FALSE),VLOOKUP(BF97,Deviation!$B$15:$D$18,3,FALSE)),IF(OR(AO97="Plan1",AO97="Plan2"),VLOOKUP(BF97,Deviation!$E$15:$G$18,2,FALSE),VLOOKUP(BF97,Deviation!$E$15:$G$18,3,FALSE)))),0)</f>
        <v/>
      </c>
      <c r="BL97" s="334" t="str">
        <f>IFERROR(IF(AO97="","",IF(AQ97="Dubai",VLOOKUP(BG97,Deviation!$B$24:$C$26,2,FALSE),100%)),0)</f>
        <v/>
      </c>
    </row>
    <row r="98" spans="1:64" ht="14.25" x14ac:dyDescent="0.2">
      <c r="A98" s="59">
        <v>93</v>
      </c>
      <c r="B98" s="298"/>
      <c r="C98" s="299"/>
      <c r="D98" s="298"/>
      <c r="E98" s="298"/>
      <c r="F98" s="298"/>
      <c r="G98" s="298"/>
      <c r="H98" s="298"/>
      <c r="I98" s="298"/>
      <c r="J98" s="80" t="str">
        <f>IFERROR(ROUNDDOWN(IF(C98="","",(MAX((eff_date-Additions!C98)/365.25,0))),0),"")</f>
        <v/>
      </c>
      <c r="K98" s="59" t="str">
        <f>IF(F98="","",IF(G98="Dubai",HLOOKUP(F98,Inputs!$C$26:$M$28,3,0),HLOOKUP(F98,Inputs!$C$45:$M$46,2,0)))</f>
        <v/>
      </c>
      <c r="L98" s="335" t="str">
        <f t="shared" si="33"/>
        <v/>
      </c>
      <c r="M98" s="335">
        <f t="shared" si="34"/>
        <v>0</v>
      </c>
      <c r="N98" s="335" t="str">
        <f t="shared" si="35"/>
        <v/>
      </c>
      <c r="O98" s="335">
        <f t="shared" si="36"/>
        <v>0</v>
      </c>
      <c r="P98" s="104"/>
      <c r="Q98" s="105">
        <f t="shared" si="49"/>
        <v>0</v>
      </c>
      <c r="R98" s="59" t="b">
        <f t="shared" si="37"/>
        <v>0</v>
      </c>
      <c r="S98" s="102" t="str">
        <f t="shared" si="50"/>
        <v>x</v>
      </c>
      <c r="T98" s="102" t="str">
        <f t="shared" si="38"/>
        <v>x</v>
      </c>
      <c r="U98" s="102" t="str">
        <f t="shared" si="39"/>
        <v>x</v>
      </c>
      <c r="V98" s="102" t="str">
        <f t="shared" si="40"/>
        <v>x</v>
      </c>
      <c r="W98" s="102" t="str">
        <f t="shared" si="41"/>
        <v>x</v>
      </c>
      <c r="X98" s="102" t="str">
        <f>IF(ISERROR(MATCH(G98,'Inputs Mapping'!$T$4:$T$5,0)),"x","")</f>
        <v>x</v>
      </c>
      <c r="Y98" s="102" t="str">
        <f>IF(ISERROR(MATCH(AE98,'Inputs Mapping'!$U$4:$U$5,0)),"x","")</f>
        <v>x</v>
      </c>
      <c r="Z98" s="102" t="str">
        <f>IF(ISERROR(MATCH(AF98,'Inputs Mapping'!$V$4:$V$5,0)),"x","")</f>
        <v>x</v>
      </c>
      <c r="AA98" s="102" t="str">
        <f>IF(ISERROR(MATCH(F98,'Inputs Mapping'!$W$4:$W$8,0)),"x","")</f>
        <v>x</v>
      </c>
      <c r="AB98" s="102" t="str">
        <f t="shared" si="42"/>
        <v/>
      </c>
      <c r="AC98" s="102" t="str">
        <f t="shared" si="43"/>
        <v/>
      </c>
      <c r="AD98" s="102" t="str">
        <f t="shared" si="44"/>
        <v/>
      </c>
      <c r="AE98" s="102" t="str">
        <f t="shared" si="51"/>
        <v/>
      </c>
      <c r="AF98" s="102" t="str">
        <f t="shared" si="52"/>
        <v/>
      </c>
      <c r="AG98" s="102" t="str">
        <f t="shared" si="53"/>
        <v>x</v>
      </c>
      <c r="AK98" s="95" t="str">
        <f t="shared" si="45"/>
        <v/>
      </c>
      <c r="AL98" s="59" t="str">
        <f>IF(J98="","",VLOOKUP(J98,'Inputs Mapping'!$T$27:$V$30,3))</f>
        <v/>
      </c>
      <c r="AM98" s="59" t="str">
        <f>IF(J98="","",VLOOKUP(J98,'Inputs Mapping'!$T$17:$V$24,3))</f>
        <v/>
      </c>
      <c r="AN98" s="59" t="str">
        <f t="shared" si="46"/>
        <v/>
      </c>
      <c r="AO98" s="102" t="str">
        <f t="shared" si="47"/>
        <v/>
      </c>
      <c r="AP98" s="102" t="str">
        <f>IF(F98="","",IF(G98="Dubai",HLOOKUP(F98,Inputs!$C$26:$M$36,5,0),HLOOKUP(F98,Inputs!$C$45:$M$49,5,0)))</f>
        <v/>
      </c>
      <c r="AQ98" s="102">
        <f t="shared" si="48"/>
        <v>0</v>
      </c>
      <c r="AR98" s="59" t="str">
        <f>IF(AM98="","",IF(AQ98="Dubai",VLOOKUP(AM98,'Inputs Mapping'!$V$17:$W$24,2,0),VLOOKUP(AL98,'Inputs Mapping'!$V$27:$W$30,2,0)))</f>
        <v/>
      </c>
      <c r="AS98" s="333">
        <f>IFERROR(IF($AQ98="","",HLOOKUP($AQ98&amp;RIGHT($AO98,1),'input for formula'!$B$16:$I$20,3,0)),0)</f>
        <v>0</v>
      </c>
      <c r="AT98" s="80">
        <f>IFERROR(IF($AQ98="","",HLOOKUP($AQ98&amp;$F98,'input for formula'!$B$22:$M$25,2,0)),0)</f>
        <v>0</v>
      </c>
      <c r="AU98" s="333">
        <f>IFERROR(IF($AQ98="","",HLOOKUP($AQ98&amp;RIGHT($AO98,1),'input for formula'!$B$16:$I$20,4,0)),0)</f>
        <v>0</v>
      </c>
      <c r="AV98" s="80">
        <f>IFERROR(IF($AQ98="","",HLOOKUP($AQ98&amp;$F98,'input for formula'!$B$22:$M$25,3,0)),0)</f>
        <v>0</v>
      </c>
      <c r="AW98" s="333">
        <f>IFERROR(IF($AQ98="","",HLOOKUP($AQ98&amp;RIGHT($AO98,1),'input for formula'!$B$16:$I$20,5,0)),0)</f>
        <v>0</v>
      </c>
      <c r="AX98" s="80">
        <f>IFERROR(IF($AQ98="","",HLOOKUP($AQ98&amp;$F98,'input for formula'!$B$22:$M$25,4,0)),0)</f>
        <v>0</v>
      </c>
      <c r="AY98" s="333">
        <f>IFERROR(IF($AQ98="","",IF(Additions!$AQ98="Abu Dhabi",VLOOKUP(Additions!$AP98,'input for formula'!$A$28:$C$41,3,0),VLOOKUP(Additions!$AP98,'input for formula'!$A$28:$C$41,2,0))),0)*IFERROR(1+IF(AQ98="Dubai",VLOOKUP(F98,'Quotation for Dubai Plans'!$V$6:$X$12,3,FALSE),VLOOKUP(F98,'Quotation for Abu Dhabi Plans'!$W$6:$Y$12,3,FALSE)),0)</f>
        <v>0</v>
      </c>
      <c r="AZ98" s="80" t="str">
        <f t="shared" si="23"/>
        <v/>
      </c>
      <c r="BA98" s="106" t="str">
        <f>IFERROR(IF(AO98="","",IF(AQ98="Dubai",HLOOKUP((AO98&amp;AP98),Deviation!$B$7:$S$8,2,0)*BI98*BK98*BL98*BJ98,HLOOKUP((AO98&amp;AP98),Deviation!$B$9:$K$10,2,0)*BI98*BK98*BL98*BJ98)),0)</f>
        <v/>
      </c>
      <c r="BB98" s="107" t="e">
        <f>IF(AO98="","",IFERROR(IF(AO98="","",IF(AQ98="Dubai",HLOOKUP(BC98,'input for formula'!$B$3:$F$10,AR98,FALSE), IF(AND(H98="Employee",AQ98="Abu Dhabi"),HLOOKUP(BC98,'input for formula'!$I$3:$K$7,AR98,FALSE),HLOOKUP(BC98,'input for formula'!$M$3:$O$7,AR98,FALSE)))*BA98+AS98*AT98+AU98*AV98+AW98*AX98),0)*$BC$3)*IF(Inputs!$C$19&gt;100,(1+$BC$2),1)</f>
        <v>#VALUE!</v>
      </c>
      <c r="BC98" s="95" t="str">
        <f t="shared" si="54"/>
        <v/>
      </c>
      <c r="BD98" s="334" t="str">
        <f>IF(F98="","",IF(G98="Dubai",HLOOKUP(F98,Inputs!$C$26:$M$37,9,0),HLOOKUP(F98,Inputs!$C$45:$M$56,9,0)))</f>
        <v/>
      </c>
      <c r="BE98" s="335" t="str">
        <f>IF(F98="","",IF(G98="Dubai",HLOOKUP(F98,Inputs!$C$26:$M$37,10,0),HLOOKUP(F98,Inputs!$C$45:$M$56,10,0)))</f>
        <v/>
      </c>
      <c r="BF98" s="335" t="str">
        <f>IF(F98="","",IF(G98="Dubai",HLOOKUP(F98,Inputs!$C$26:$M$37,11,0),HLOOKUP(F98,Inputs!$C$45:$M$56,11,0)))</f>
        <v/>
      </c>
      <c r="BG98" s="334" t="str">
        <f>IF(F98="","",IF(G98="Dubai",HLOOKUP(F98,Inputs!$C$26:$M$37,12,0),HLOOKUP(F98,Inputs!$C$45:$M$56,12,0)))</f>
        <v/>
      </c>
      <c r="BI98" s="334" t="str">
        <f>IFERROR(IF(AO98="","",IF(AQ98="Dubai",IF(OR(AO98="Plan1",AO98="Plan2"),VLOOKUP(BD98,Deviation!$B$31:$D$33,2,FALSE),VLOOKUP(BD98,Deviation!$B$31:$D$33,3,FALSE)),IF(OR(AO98="Plan1",AO98="Plan2"),VLOOKUP(BD98,Deviation!$E$31:$G$33,2,FALSE),VLOOKUP(BD98,Deviation!$E$31:$G$33,3,FALSE)))),0)</f>
        <v/>
      </c>
      <c r="BJ98" s="336" t="str">
        <f>IFERROR(IF(AO98="","",IF(AQ98="Dubai",IF(AO98="Plan1",VLOOKUP(BE98,Deviation!$B$39:$C$40,2,FALSE),IF(AO98="Plan2",VLOOKUP(BE98,Deviation!$B$42:$C$43,2,FALSE),IF(AO98="Plan5",VLOOKUP(BE98,Deviation!$B$48:$C$49,2,FALSE),VLOOKUP(BE98,Deviation!$B$45:$C$46,2,FALSE)))),IF(AO98="Plan1",VLOOKUP(BE98,Deviation!$E$39:$F$40,2,FALSE),IF(AO98="Plan2",VLOOKUP(BE98,Deviation!$E$42:$F$43,2,FALSE),VLOOKUP(BE98,Deviation!$E$45:$F$46,2,FALSE))))),0)</f>
        <v/>
      </c>
      <c r="BK98" s="336" t="str">
        <f>IFERROR(IF(AO98="","",IF(AQ98="Dubai",IF(OR(AO98="Plan1",AO98="Plan2"),VLOOKUP(BF98,Deviation!$B$15:$D$18,2,FALSE),VLOOKUP(BF98,Deviation!$B$15:$D$18,3,FALSE)),IF(OR(AO98="Plan1",AO98="Plan2"),VLOOKUP(BF98,Deviation!$E$15:$G$18,2,FALSE),VLOOKUP(BF98,Deviation!$E$15:$G$18,3,FALSE)))),0)</f>
        <v/>
      </c>
      <c r="BL98" s="334" t="str">
        <f>IFERROR(IF(AO98="","",IF(AQ98="Dubai",VLOOKUP(BG98,Deviation!$B$24:$C$26,2,FALSE),100%)),0)</f>
        <v/>
      </c>
    </row>
    <row r="99" spans="1:64" ht="14.25" x14ac:dyDescent="0.2">
      <c r="A99" s="59">
        <v>94</v>
      </c>
      <c r="B99" s="298"/>
      <c r="C99" s="299"/>
      <c r="D99" s="298"/>
      <c r="E99" s="298"/>
      <c r="F99" s="298"/>
      <c r="G99" s="298"/>
      <c r="H99" s="298"/>
      <c r="I99" s="298"/>
      <c r="J99" s="80" t="str">
        <f>IFERROR(ROUNDDOWN(IF(C99="","",(MAX((eff_date-Additions!C99)/365.25,0))),0),"")</f>
        <v/>
      </c>
      <c r="K99" s="59" t="str">
        <f>IF(F99="","",IF(G99="Dubai",HLOOKUP(F99,Inputs!$C$26:$M$28,3,0),HLOOKUP(F99,Inputs!$C$45:$M$46,2,0)))</f>
        <v/>
      </c>
      <c r="L99" s="335" t="str">
        <f t="shared" si="33"/>
        <v/>
      </c>
      <c r="M99" s="335">
        <f t="shared" si="34"/>
        <v>0</v>
      </c>
      <c r="N99" s="335" t="str">
        <f t="shared" si="35"/>
        <v/>
      </c>
      <c r="O99" s="335">
        <f t="shared" si="36"/>
        <v>0</v>
      </c>
      <c r="P99" s="104"/>
      <c r="Q99" s="105">
        <f t="shared" si="49"/>
        <v>0</v>
      </c>
      <c r="R99" s="59" t="b">
        <f t="shared" si="37"/>
        <v>0</v>
      </c>
      <c r="S99" s="102" t="str">
        <f t="shared" si="50"/>
        <v>x</v>
      </c>
      <c r="T99" s="102" t="str">
        <f t="shared" si="38"/>
        <v>x</v>
      </c>
      <c r="U99" s="102" t="str">
        <f t="shared" si="39"/>
        <v>x</v>
      </c>
      <c r="V99" s="102" t="str">
        <f t="shared" si="40"/>
        <v>x</v>
      </c>
      <c r="W99" s="102" t="str">
        <f t="shared" si="41"/>
        <v>x</v>
      </c>
      <c r="X99" s="102" t="str">
        <f>IF(ISERROR(MATCH(G99,'Inputs Mapping'!$T$4:$T$5,0)),"x","")</f>
        <v>x</v>
      </c>
      <c r="Y99" s="102" t="str">
        <f>IF(ISERROR(MATCH(AE99,'Inputs Mapping'!$U$4:$U$5,0)),"x","")</f>
        <v>x</v>
      </c>
      <c r="Z99" s="102" t="str">
        <f>IF(ISERROR(MATCH(AF99,'Inputs Mapping'!$V$4:$V$5,0)),"x","")</f>
        <v>x</v>
      </c>
      <c r="AA99" s="102" t="str">
        <f>IF(ISERROR(MATCH(F99,'Inputs Mapping'!$W$4:$W$8,0)),"x","")</f>
        <v>x</v>
      </c>
      <c r="AB99" s="102" t="str">
        <f t="shared" si="42"/>
        <v/>
      </c>
      <c r="AC99" s="102" t="str">
        <f t="shared" si="43"/>
        <v/>
      </c>
      <c r="AD99" s="102" t="str">
        <f t="shared" si="44"/>
        <v/>
      </c>
      <c r="AE99" s="102" t="str">
        <f t="shared" si="51"/>
        <v/>
      </c>
      <c r="AF99" s="102" t="str">
        <f t="shared" si="52"/>
        <v/>
      </c>
      <c r="AG99" s="102" t="str">
        <f t="shared" si="53"/>
        <v>x</v>
      </c>
      <c r="AK99" s="95" t="str">
        <f t="shared" si="45"/>
        <v/>
      </c>
      <c r="AL99" s="59" t="str">
        <f>IF(J99="","",VLOOKUP(J99,'Inputs Mapping'!$T$27:$V$30,3))</f>
        <v/>
      </c>
      <c r="AM99" s="59" t="str">
        <f>IF(J99="","",VLOOKUP(J99,'Inputs Mapping'!$T$17:$V$24,3))</f>
        <v/>
      </c>
      <c r="AN99" s="59" t="str">
        <f t="shared" si="46"/>
        <v/>
      </c>
      <c r="AO99" s="102" t="str">
        <f t="shared" si="47"/>
        <v/>
      </c>
      <c r="AP99" s="102" t="str">
        <f>IF(F99="","",IF(G99="Dubai",HLOOKUP(F99,Inputs!$C$26:$M$36,5,0),HLOOKUP(F99,Inputs!$C$45:$M$49,5,0)))</f>
        <v/>
      </c>
      <c r="AQ99" s="102">
        <f t="shared" si="48"/>
        <v>0</v>
      </c>
      <c r="AR99" s="59" t="str">
        <f>IF(AM99="","",IF(AQ99="Dubai",VLOOKUP(AM99,'Inputs Mapping'!$V$17:$W$24,2,0),VLOOKUP(AL99,'Inputs Mapping'!$V$27:$W$30,2,0)))</f>
        <v/>
      </c>
      <c r="AS99" s="333">
        <f>IFERROR(IF($AQ99="","",HLOOKUP($AQ99&amp;RIGHT($AO99,1),'input for formula'!$B$16:$I$20,3,0)),0)</f>
        <v>0</v>
      </c>
      <c r="AT99" s="80">
        <f>IFERROR(IF($AQ99="","",HLOOKUP($AQ99&amp;$F99,'input for formula'!$B$22:$M$25,2,0)),0)</f>
        <v>0</v>
      </c>
      <c r="AU99" s="333">
        <f>IFERROR(IF($AQ99="","",HLOOKUP($AQ99&amp;RIGHT($AO99,1),'input for formula'!$B$16:$I$20,4,0)),0)</f>
        <v>0</v>
      </c>
      <c r="AV99" s="80">
        <f>IFERROR(IF($AQ99="","",HLOOKUP($AQ99&amp;$F99,'input for formula'!$B$22:$M$25,3,0)),0)</f>
        <v>0</v>
      </c>
      <c r="AW99" s="333">
        <f>IFERROR(IF($AQ99="","",HLOOKUP($AQ99&amp;RIGHT($AO99,1),'input for formula'!$B$16:$I$20,5,0)),0)</f>
        <v>0</v>
      </c>
      <c r="AX99" s="80">
        <f>IFERROR(IF($AQ99="","",HLOOKUP($AQ99&amp;$F99,'input for formula'!$B$22:$M$25,4,0)),0)</f>
        <v>0</v>
      </c>
      <c r="AY99" s="333">
        <f>IFERROR(IF($AQ99="","",IF(Additions!$AQ99="Abu Dhabi",VLOOKUP(Additions!$AP99,'input for formula'!$A$28:$C$41,3,0),VLOOKUP(Additions!$AP99,'input for formula'!$A$28:$C$41,2,0))),0)*IFERROR(1+IF(AQ99="Dubai",VLOOKUP(F99,'Quotation for Dubai Plans'!$V$6:$X$12,3,FALSE),VLOOKUP(F99,'Quotation for Abu Dhabi Plans'!$W$6:$Y$12,3,FALSE)),0)</f>
        <v>0</v>
      </c>
      <c r="AZ99" s="80" t="str">
        <f t="shared" si="23"/>
        <v/>
      </c>
      <c r="BA99" s="106" t="str">
        <f>IFERROR(IF(AO99="","",IF(AQ99="Dubai",HLOOKUP((AO99&amp;AP99),Deviation!$B$7:$S$8,2,0)*BI99*BK99*BL99*BJ99,HLOOKUP((AO99&amp;AP99),Deviation!$B$9:$K$10,2,0)*BI99*BK99*BL99*BJ99)),0)</f>
        <v/>
      </c>
      <c r="BB99" s="107" t="e">
        <f>IF(AO99="","",IFERROR(IF(AO99="","",IF(AQ99="Dubai",HLOOKUP(BC99,'input for formula'!$B$3:$F$10,AR99,FALSE), IF(AND(H99="Employee",AQ99="Abu Dhabi"),HLOOKUP(BC99,'input for formula'!$I$3:$K$7,AR99,FALSE),HLOOKUP(BC99,'input for formula'!$M$3:$O$7,AR99,FALSE)))*BA99+AS99*AT99+AU99*AV99+AW99*AX99),0)*$BC$3)*IF(Inputs!$C$19&gt;100,(1+$BC$2),1)</f>
        <v>#VALUE!</v>
      </c>
      <c r="BC99" s="95" t="str">
        <f t="shared" si="54"/>
        <v/>
      </c>
      <c r="BD99" s="334" t="str">
        <f>IF(F99="","",IF(G99="Dubai",HLOOKUP(F99,Inputs!$C$26:$M$37,9,0),HLOOKUP(F99,Inputs!$C$45:$M$56,9,0)))</f>
        <v/>
      </c>
      <c r="BE99" s="335" t="str">
        <f>IF(F99="","",IF(G99="Dubai",HLOOKUP(F99,Inputs!$C$26:$M$37,10,0),HLOOKUP(F99,Inputs!$C$45:$M$56,10,0)))</f>
        <v/>
      </c>
      <c r="BF99" s="335" t="str">
        <f>IF(F99="","",IF(G99="Dubai",HLOOKUP(F99,Inputs!$C$26:$M$37,11,0),HLOOKUP(F99,Inputs!$C$45:$M$56,11,0)))</f>
        <v/>
      </c>
      <c r="BG99" s="334" t="str">
        <f>IF(F99="","",IF(G99="Dubai",HLOOKUP(F99,Inputs!$C$26:$M$37,12,0),HLOOKUP(F99,Inputs!$C$45:$M$56,12,0)))</f>
        <v/>
      </c>
      <c r="BI99" s="334" t="str">
        <f>IFERROR(IF(AO99="","",IF(AQ99="Dubai",IF(OR(AO99="Plan1",AO99="Plan2"),VLOOKUP(BD99,Deviation!$B$31:$D$33,2,FALSE),VLOOKUP(BD99,Deviation!$B$31:$D$33,3,FALSE)),IF(OR(AO99="Plan1",AO99="Plan2"),VLOOKUP(BD99,Deviation!$E$31:$G$33,2,FALSE),VLOOKUP(BD99,Deviation!$E$31:$G$33,3,FALSE)))),0)</f>
        <v/>
      </c>
      <c r="BJ99" s="336" t="str">
        <f>IFERROR(IF(AO99="","",IF(AQ99="Dubai",IF(AO99="Plan1",VLOOKUP(BE99,Deviation!$B$39:$C$40,2,FALSE),IF(AO99="Plan2",VLOOKUP(BE99,Deviation!$B$42:$C$43,2,FALSE),IF(AO99="Plan5",VLOOKUP(BE99,Deviation!$B$48:$C$49,2,FALSE),VLOOKUP(BE99,Deviation!$B$45:$C$46,2,FALSE)))),IF(AO99="Plan1",VLOOKUP(BE99,Deviation!$E$39:$F$40,2,FALSE),IF(AO99="Plan2",VLOOKUP(BE99,Deviation!$E$42:$F$43,2,FALSE),VLOOKUP(BE99,Deviation!$E$45:$F$46,2,FALSE))))),0)</f>
        <v/>
      </c>
      <c r="BK99" s="336" t="str">
        <f>IFERROR(IF(AO99="","",IF(AQ99="Dubai",IF(OR(AO99="Plan1",AO99="Plan2"),VLOOKUP(BF99,Deviation!$B$15:$D$18,2,FALSE),VLOOKUP(BF99,Deviation!$B$15:$D$18,3,FALSE)),IF(OR(AO99="Plan1",AO99="Plan2"),VLOOKUP(BF99,Deviation!$E$15:$G$18,2,FALSE),VLOOKUP(BF99,Deviation!$E$15:$G$18,3,FALSE)))),0)</f>
        <v/>
      </c>
      <c r="BL99" s="334" t="str">
        <f>IFERROR(IF(AO99="","",IF(AQ99="Dubai",VLOOKUP(BG99,Deviation!$B$24:$C$26,2,FALSE),100%)),0)</f>
        <v/>
      </c>
    </row>
    <row r="100" spans="1:64" ht="14.25" x14ac:dyDescent="0.2">
      <c r="A100" s="59">
        <v>95</v>
      </c>
      <c r="B100" s="298"/>
      <c r="C100" s="299"/>
      <c r="D100" s="298"/>
      <c r="E100" s="298"/>
      <c r="F100" s="298"/>
      <c r="G100" s="298"/>
      <c r="H100" s="298"/>
      <c r="I100" s="298"/>
      <c r="J100" s="80" t="str">
        <f>IFERROR(ROUNDDOWN(IF(C100="","",(MAX((eff_date-Additions!C100)/365.25,0))),0),"")</f>
        <v/>
      </c>
      <c r="K100" s="59" t="str">
        <f>IF(F100="","",IF(G100="Dubai",HLOOKUP(F100,Inputs!$C$26:$M$28,3,0),HLOOKUP(F100,Inputs!$C$45:$M$46,2,0)))</f>
        <v/>
      </c>
      <c r="L100" s="335" t="str">
        <f t="shared" si="33"/>
        <v/>
      </c>
      <c r="M100" s="335">
        <f t="shared" si="34"/>
        <v>0</v>
      </c>
      <c r="N100" s="335" t="str">
        <f t="shared" si="35"/>
        <v/>
      </c>
      <c r="O100" s="335">
        <f t="shared" si="36"/>
        <v>0</v>
      </c>
      <c r="P100" s="104"/>
      <c r="Q100" s="105">
        <f t="shared" si="49"/>
        <v>0</v>
      </c>
      <c r="R100" s="59" t="b">
        <f t="shared" si="37"/>
        <v>0</v>
      </c>
      <c r="S100" s="102" t="str">
        <f t="shared" si="50"/>
        <v>x</v>
      </c>
      <c r="T100" s="102" t="str">
        <f t="shared" si="38"/>
        <v>x</v>
      </c>
      <c r="U100" s="102" t="str">
        <f t="shared" si="39"/>
        <v>x</v>
      </c>
      <c r="V100" s="102" t="str">
        <f t="shared" si="40"/>
        <v>x</v>
      </c>
      <c r="W100" s="102" t="str">
        <f t="shared" si="41"/>
        <v>x</v>
      </c>
      <c r="X100" s="102" t="str">
        <f>IF(ISERROR(MATCH(G100,'Inputs Mapping'!$T$4:$T$5,0)),"x","")</f>
        <v>x</v>
      </c>
      <c r="Y100" s="102" t="str">
        <f>IF(ISERROR(MATCH(AE100,'Inputs Mapping'!$U$4:$U$5,0)),"x","")</f>
        <v>x</v>
      </c>
      <c r="Z100" s="102" t="str">
        <f>IF(ISERROR(MATCH(AF100,'Inputs Mapping'!$V$4:$V$5,0)),"x","")</f>
        <v>x</v>
      </c>
      <c r="AA100" s="102" t="str">
        <f>IF(ISERROR(MATCH(F100,'Inputs Mapping'!$W$4:$W$8,0)),"x","")</f>
        <v>x</v>
      </c>
      <c r="AB100" s="102" t="str">
        <f t="shared" si="42"/>
        <v/>
      </c>
      <c r="AC100" s="102" t="str">
        <f t="shared" si="43"/>
        <v/>
      </c>
      <c r="AD100" s="102" t="str">
        <f t="shared" si="44"/>
        <v/>
      </c>
      <c r="AE100" s="102" t="str">
        <f t="shared" si="51"/>
        <v/>
      </c>
      <c r="AF100" s="102" t="str">
        <f t="shared" si="52"/>
        <v/>
      </c>
      <c r="AG100" s="102" t="str">
        <f t="shared" si="53"/>
        <v>x</v>
      </c>
      <c r="AK100" s="95" t="str">
        <f t="shared" si="45"/>
        <v/>
      </c>
      <c r="AL100" s="59" t="str">
        <f>IF(J100="","",VLOOKUP(J100,'Inputs Mapping'!$T$27:$V$30,3))</f>
        <v/>
      </c>
      <c r="AM100" s="59" t="str">
        <f>IF(J100="","",VLOOKUP(J100,'Inputs Mapping'!$T$17:$V$24,3))</f>
        <v/>
      </c>
      <c r="AN100" s="59" t="str">
        <f t="shared" si="46"/>
        <v/>
      </c>
      <c r="AO100" s="102" t="str">
        <f t="shared" si="47"/>
        <v/>
      </c>
      <c r="AP100" s="102" t="str">
        <f>IF(F100="","",IF(G100="Dubai",HLOOKUP(F100,Inputs!$C$26:$M$36,5,0),HLOOKUP(F100,Inputs!$C$45:$M$49,5,0)))</f>
        <v/>
      </c>
      <c r="AQ100" s="102">
        <f t="shared" si="48"/>
        <v>0</v>
      </c>
      <c r="AR100" s="59" t="str">
        <f>IF(AM100="","",IF(AQ100="Dubai",VLOOKUP(AM100,'Inputs Mapping'!$V$17:$W$24,2,0),VLOOKUP(AL100,'Inputs Mapping'!$V$27:$W$30,2,0)))</f>
        <v/>
      </c>
      <c r="AS100" s="333">
        <f>IFERROR(IF($AQ100="","",HLOOKUP($AQ100&amp;RIGHT($AO100,1),'input for formula'!$B$16:$I$20,3,0)),0)</f>
        <v>0</v>
      </c>
      <c r="AT100" s="80">
        <f>IFERROR(IF($AQ100="","",HLOOKUP($AQ100&amp;$F100,'input for formula'!$B$22:$M$25,2,0)),0)</f>
        <v>0</v>
      </c>
      <c r="AU100" s="333">
        <f>IFERROR(IF($AQ100="","",HLOOKUP($AQ100&amp;RIGHT($AO100,1),'input for formula'!$B$16:$I$20,4,0)),0)</f>
        <v>0</v>
      </c>
      <c r="AV100" s="80">
        <f>IFERROR(IF($AQ100="","",HLOOKUP($AQ100&amp;$F100,'input for formula'!$B$22:$M$25,3,0)),0)</f>
        <v>0</v>
      </c>
      <c r="AW100" s="333">
        <f>IFERROR(IF($AQ100="","",HLOOKUP($AQ100&amp;RIGHT($AO100,1),'input for formula'!$B$16:$I$20,5,0)),0)</f>
        <v>0</v>
      </c>
      <c r="AX100" s="80">
        <f>IFERROR(IF($AQ100="","",HLOOKUP($AQ100&amp;$F100,'input for formula'!$B$22:$M$25,4,0)),0)</f>
        <v>0</v>
      </c>
      <c r="AY100" s="333">
        <f>IFERROR(IF($AQ100="","",IF(Additions!$AQ100="Abu Dhabi",VLOOKUP(Additions!$AP100,'input for formula'!$A$28:$C$41,3,0),VLOOKUP(Additions!$AP100,'input for formula'!$A$28:$C$41,2,0))),0)*IFERROR(1+IF(AQ100="Dubai",VLOOKUP(F100,'Quotation for Dubai Plans'!$V$6:$X$12,3,FALSE),VLOOKUP(F100,'Quotation for Abu Dhabi Plans'!$W$6:$Y$12,3,FALSE)),0)</f>
        <v>0</v>
      </c>
      <c r="AZ100" s="80" t="str">
        <f t="shared" ref="AZ100:AZ155" si="55">AN100</f>
        <v/>
      </c>
      <c r="BA100" s="106" t="str">
        <f>IFERROR(IF(AO100="","",IF(AQ100="Dubai",HLOOKUP((AO100&amp;AP100),Deviation!$B$7:$S$8,2,0)*BI100*BK100*BL100*BJ100,HLOOKUP((AO100&amp;AP100),Deviation!$B$9:$K$10,2,0)*BI100*BK100*BL100*BJ100)),0)</f>
        <v/>
      </c>
      <c r="BB100" s="107" t="e">
        <f>IF(AO100="","",IFERROR(IF(AO100="","",IF(AQ100="Dubai",HLOOKUP(BC100,'input for formula'!$B$3:$F$10,AR100,FALSE), IF(AND(H100="Employee",AQ100="Abu Dhabi"),HLOOKUP(BC100,'input for formula'!$I$3:$K$7,AR100,FALSE),HLOOKUP(BC100,'input for formula'!$M$3:$O$7,AR100,FALSE)))*BA100+AS100*AT100+AU100*AV100+AW100*AX100),0)*$BC$3)*IF(Inputs!$C$19&gt;100,(1+$BC$2),1)</f>
        <v>#VALUE!</v>
      </c>
      <c r="BC100" s="95" t="str">
        <f t="shared" si="54"/>
        <v/>
      </c>
      <c r="BD100" s="334" t="str">
        <f>IF(F100="","",IF(G100="Dubai",HLOOKUP(F100,Inputs!$C$26:$M$37,9,0),HLOOKUP(F100,Inputs!$C$45:$M$56,9,0)))</f>
        <v/>
      </c>
      <c r="BE100" s="335" t="str">
        <f>IF(F100="","",IF(G100="Dubai",HLOOKUP(F100,Inputs!$C$26:$M$37,10,0),HLOOKUP(F100,Inputs!$C$45:$M$56,10,0)))</f>
        <v/>
      </c>
      <c r="BF100" s="335" t="str">
        <f>IF(F100="","",IF(G100="Dubai",HLOOKUP(F100,Inputs!$C$26:$M$37,11,0),HLOOKUP(F100,Inputs!$C$45:$M$56,11,0)))</f>
        <v/>
      </c>
      <c r="BG100" s="334" t="str">
        <f>IF(F100="","",IF(G100="Dubai",HLOOKUP(F100,Inputs!$C$26:$M$37,12,0),HLOOKUP(F100,Inputs!$C$45:$M$56,12,0)))</f>
        <v/>
      </c>
      <c r="BI100" s="334" t="str">
        <f>IFERROR(IF(AO100="","",IF(AQ100="Dubai",IF(OR(AO100="Plan1",AO100="Plan2"),VLOOKUP(BD100,Deviation!$B$31:$D$33,2,FALSE),VLOOKUP(BD100,Deviation!$B$31:$D$33,3,FALSE)),IF(OR(AO100="Plan1",AO100="Plan2"),VLOOKUP(BD100,Deviation!$E$31:$G$33,2,FALSE),VLOOKUP(BD100,Deviation!$E$31:$G$33,3,FALSE)))),0)</f>
        <v/>
      </c>
      <c r="BJ100" s="336" t="str">
        <f>IFERROR(IF(AO100="","",IF(AQ100="Dubai",IF(AO100="Plan1",VLOOKUP(BE100,Deviation!$B$39:$C$40,2,FALSE),IF(AO100="Plan2",VLOOKUP(BE100,Deviation!$B$42:$C$43,2,FALSE),IF(AO100="Plan5",VLOOKUP(BE100,Deviation!$B$48:$C$49,2,FALSE),VLOOKUP(BE100,Deviation!$B$45:$C$46,2,FALSE)))),IF(AO100="Plan1",VLOOKUP(BE100,Deviation!$E$39:$F$40,2,FALSE),IF(AO100="Plan2",VLOOKUP(BE100,Deviation!$E$42:$F$43,2,FALSE),VLOOKUP(BE100,Deviation!$E$45:$F$46,2,FALSE))))),0)</f>
        <v/>
      </c>
      <c r="BK100" s="336" t="str">
        <f>IFERROR(IF(AO100="","",IF(AQ100="Dubai",IF(OR(AO100="Plan1",AO100="Plan2"),VLOOKUP(BF100,Deviation!$B$15:$D$18,2,FALSE),VLOOKUP(BF100,Deviation!$B$15:$D$18,3,FALSE)),IF(OR(AO100="Plan1",AO100="Plan2"),VLOOKUP(BF100,Deviation!$E$15:$G$18,2,FALSE),VLOOKUP(BF100,Deviation!$E$15:$G$18,3,FALSE)))),0)</f>
        <v/>
      </c>
      <c r="BL100" s="334" t="str">
        <f>IFERROR(IF(AO100="","",IF(AQ100="Dubai",VLOOKUP(BG100,Deviation!$B$24:$C$26,2,FALSE),100%)),0)</f>
        <v/>
      </c>
    </row>
    <row r="101" spans="1:64" ht="14.25" x14ac:dyDescent="0.2">
      <c r="A101" s="59">
        <v>96</v>
      </c>
      <c r="B101" s="298"/>
      <c r="C101" s="299"/>
      <c r="D101" s="298"/>
      <c r="E101" s="298"/>
      <c r="F101" s="298"/>
      <c r="G101" s="298"/>
      <c r="H101" s="298"/>
      <c r="I101" s="298"/>
      <c r="J101" s="80" t="str">
        <f>IFERROR(ROUNDDOWN(IF(C101="","",(MAX((eff_date-Additions!C101)/365.25,0))),0),"")</f>
        <v/>
      </c>
      <c r="K101" s="59" t="str">
        <f>IF(F101="","",IF(G101="Dubai",HLOOKUP(F101,Inputs!$C$26:$M$28,3,0),HLOOKUP(F101,Inputs!$C$45:$M$46,2,0)))</f>
        <v/>
      </c>
      <c r="L101" s="335" t="str">
        <f t="shared" si="33"/>
        <v/>
      </c>
      <c r="M101" s="335">
        <f t="shared" si="34"/>
        <v>0</v>
      </c>
      <c r="N101" s="335" t="str">
        <f t="shared" si="35"/>
        <v/>
      </c>
      <c r="O101" s="335">
        <f t="shared" si="36"/>
        <v>0</v>
      </c>
      <c r="P101" s="104"/>
      <c r="Q101" s="105">
        <f t="shared" si="49"/>
        <v>0</v>
      </c>
      <c r="R101" s="59" t="b">
        <f t="shared" si="37"/>
        <v>0</v>
      </c>
      <c r="S101" s="102" t="str">
        <f t="shared" si="50"/>
        <v>x</v>
      </c>
      <c r="T101" s="102" t="str">
        <f t="shared" si="38"/>
        <v>x</v>
      </c>
      <c r="U101" s="102" t="str">
        <f t="shared" si="39"/>
        <v>x</v>
      </c>
      <c r="V101" s="102" t="str">
        <f t="shared" si="40"/>
        <v>x</v>
      </c>
      <c r="W101" s="102" t="str">
        <f t="shared" si="41"/>
        <v>x</v>
      </c>
      <c r="X101" s="102" t="str">
        <f>IF(ISERROR(MATCH(G101,'Inputs Mapping'!$T$4:$T$5,0)),"x","")</f>
        <v>x</v>
      </c>
      <c r="Y101" s="102" t="str">
        <f>IF(ISERROR(MATCH(AE101,'Inputs Mapping'!$U$4:$U$5,0)),"x","")</f>
        <v>x</v>
      </c>
      <c r="Z101" s="102" t="str">
        <f>IF(ISERROR(MATCH(AF101,'Inputs Mapping'!$V$4:$V$5,0)),"x","")</f>
        <v>x</v>
      </c>
      <c r="AA101" s="102" t="str">
        <f>IF(ISERROR(MATCH(F101,'Inputs Mapping'!$W$4:$W$8,0)),"x","")</f>
        <v>x</v>
      </c>
      <c r="AB101" s="102" t="str">
        <f t="shared" si="42"/>
        <v/>
      </c>
      <c r="AC101" s="102" t="str">
        <f t="shared" si="43"/>
        <v/>
      </c>
      <c r="AD101" s="102" t="str">
        <f t="shared" si="44"/>
        <v/>
      </c>
      <c r="AE101" s="102" t="str">
        <f t="shared" si="51"/>
        <v/>
      </c>
      <c r="AF101" s="102" t="str">
        <f t="shared" si="52"/>
        <v/>
      </c>
      <c r="AG101" s="102" t="str">
        <f t="shared" si="53"/>
        <v>x</v>
      </c>
      <c r="AK101" s="95" t="str">
        <f t="shared" si="45"/>
        <v/>
      </c>
      <c r="AL101" s="59" t="str">
        <f>IF(J101="","",VLOOKUP(J101,'Inputs Mapping'!$T$27:$V$30,3))</f>
        <v/>
      </c>
      <c r="AM101" s="59" t="str">
        <f>IF(J101="","",VLOOKUP(J101,'Inputs Mapping'!$T$17:$V$24,3))</f>
        <v/>
      </c>
      <c r="AN101" s="59" t="str">
        <f t="shared" si="46"/>
        <v/>
      </c>
      <c r="AO101" s="102" t="str">
        <f t="shared" si="47"/>
        <v/>
      </c>
      <c r="AP101" s="102" t="str">
        <f>IF(F101="","",IF(G101="Dubai",HLOOKUP(F101,Inputs!$C$26:$M$36,5,0),HLOOKUP(F101,Inputs!$C$45:$M$49,5,0)))</f>
        <v/>
      </c>
      <c r="AQ101" s="102">
        <f t="shared" si="48"/>
        <v>0</v>
      </c>
      <c r="AR101" s="59" t="str">
        <f>IF(AM101="","",IF(AQ101="Dubai",VLOOKUP(AM101,'Inputs Mapping'!$V$17:$W$24,2,0),VLOOKUP(AL101,'Inputs Mapping'!$V$27:$W$30,2,0)))</f>
        <v/>
      </c>
      <c r="AS101" s="333">
        <f>IFERROR(IF($AQ101="","",HLOOKUP($AQ101&amp;RIGHT($AO101,1),'input for formula'!$B$16:$I$20,3,0)),0)</f>
        <v>0</v>
      </c>
      <c r="AT101" s="80">
        <f>IFERROR(IF($AQ101="","",HLOOKUP($AQ101&amp;$F101,'input for formula'!$B$22:$M$25,2,0)),0)</f>
        <v>0</v>
      </c>
      <c r="AU101" s="333">
        <f>IFERROR(IF($AQ101="","",HLOOKUP($AQ101&amp;RIGHT($AO101,1),'input for formula'!$B$16:$I$20,4,0)),0)</f>
        <v>0</v>
      </c>
      <c r="AV101" s="80">
        <f>IFERROR(IF($AQ101="","",HLOOKUP($AQ101&amp;$F101,'input for formula'!$B$22:$M$25,3,0)),0)</f>
        <v>0</v>
      </c>
      <c r="AW101" s="333">
        <f>IFERROR(IF($AQ101="","",HLOOKUP($AQ101&amp;RIGHT($AO101,1),'input for formula'!$B$16:$I$20,5,0)),0)</f>
        <v>0</v>
      </c>
      <c r="AX101" s="80">
        <f>IFERROR(IF($AQ101="","",HLOOKUP($AQ101&amp;$F101,'input for formula'!$B$22:$M$25,4,0)),0)</f>
        <v>0</v>
      </c>
      <c r="AY101" s="333">
        <f>IFERROR(IF($AQ101="","",IF(Additions!$AQ101="Abu Dhabi",VLOOKUP(Additions!$AP101,'input for formula'!$A$28:$C$41,3,0),VLOOKUP(Additions!$AP101,'input for formula'!$A$28:$C$41,2,0))),0)*IFERROR(1+IF(AQ101="Dubai",VLOOKUP(F101,'Quotation for Dubai Plans'!$V$6:$X$12,3,FALSE),VLOOKUP(F101,'Quotation for Abu Dhabi Plans'!$W$6:$Y$12,3,FALSE)),0)</f>
        <v>0</v>
      </c>
      <c r="AZ101" s="80" t="str">
        <f t="shared" si="55"/>
        <v/>
      </c>
      <c r="BA101" s="106" t="str">
        <f>IFERROR(IF(AO101="","",IF(AQ101="Dubai",HLOOKUP((AO101&amp;AP101),Deviation!$B$7:$S$8,2,0)*BI101*BK101*BL101*BJ101,HLOOKUP((AO101&amp;AP101),Deviation!$B$9:$K$10,2,0)*BI101*BK101*BL101*BJ101)),0)</f>
        <v/>
      </c>
      <c r="BB101" s="107" t="e">
        <f>IF(AO101="","",IFERROR(IF(AO101="","",IF(AQ101="Dubai",HLOOKUP(BC101,'input for formula'!$B$3:$F$10,AR101,FALSE), IF(AND(H101="Employee",AQ101="Abu Dhabi"),HLOOKUP(BC101,'input for formula'!$I$3:$K$7,AR101,FALSE),HLOOKUP(BC101,'input for formula'!$M$3:$O$7,AR101,FALSE)))*BA101+AS101*AT101+AU101*AV101+AW101*AX101),0)*$BC$3)*IF(Inputs!$C$19&gt;100,(1+$BC$2),1)</f>
        <v>#VALUE!</v>
      </c>
      <c r="BC101" s="95" t="str">
        <f t="shared" si="54"/>
        <v/>
      </c>
      <c r="BD101" s="334" t="str">
        <f>IF(F101="","",IF(G101="Dubai",HLOOKUP(F101,Inputs!$C$26:$M$37,9,0),HLOOKUP(F101,Inputs!$C$45:$M$56,9,0)))</f>
        <v/>
      </c>
      <c r="BE101" s="335" t="str">
        <f>IF(F101="","",IF(G101="Dubai",HLOOKUP(F101,Inputs!$C$26:$M$37,10,0),HLOOKUP(F101,Inputs!$C$45:$M$56,10,0)))</f>
        <v/>
      </c>
      <c r="BF101" s="335" t="str">
        <f>IF(F101="","",IF(G101="Dubai",HLOOKUP(F101,Inputs!$C$26:$M$37,11,0),HLOOKUP(F101,Inputs!$C$45:$M$56,11,0)))</f>
        <v/>
      </c>
      <c r="BG101" s="334" t="str">
        <f>IF(F101="","",IF(G101="Dubai",HLOOKUP(F101,Inputs!$C$26:$M$37,12,0),HLOOKUP(F101,Inputs!$C$45:$M$56,12,0)))</f>
        <v/>
      </c>
      <c r="BI101" s="334" t="str">
        <f>IFERROR(IF(AO101="","",IF(AQ101="Dubai",IF(OR(AO101="Plan1",AO101="Plan2"),VLOOKUP(BD101,Deviation!$B$31:$D$33,2,FALSE),VLOOKUP(BD101,Deviation!$B$31:$D$33,3,FALSE)),IF(OR(AO101="Plan1",AO101="Plan2"),VLOOKUP(BD101,Deviation!$E$31:$G$33,2,FALSE),VLOOKUP(BD101,Deviation!$E$31:$G$33,3,FALSE)))),0)</f>
        <v/>
      </c>
      <c r="BJ101" s="336" t="str">
        <f>IFERROR(IF(AO101="","",IF(AQ101="Dubai",IF(AO101="Plan1",VLOOKUP(BE101,Deviation!$B$39:$C$40,2,FALSE),IF(AO101="Plan2",VLOOKUP(BE101,Deviation!$B$42:$C$43,2,FALSE),IF(AO101="Plan5",VLOOKUP(BE101,Deviation!$B$48:$C$49,2,FALSE),VLOOKUP(BE101,Deviation!$B$45:$C$46,2,FALSE)))),IF(AO101="Plan1",VLOOKUP(BE101,Deviation!$E$39:$F$40,2,FALSE),IF(AO101="Plan2",VLOOKUP(BE101,Deviation!$E$42:$F$43,2,FALSE),VLOOKUP(BE101,Deviation!$E$45:$F$46,2,FALSE))))),0)</f>
        <v/>
      </c>
      <c r="BK101" s="336" t="str">
        <f>IFERROR(IF(AO101="","",IF(AQ101="Dubai",IF(OR(AO101="Plan1",AO101="Plan2"),VLOOKUP(BF101,Deviation!$B$15:$D$18,2,FALSE),VLOOKUP(BF101,Deviation!$B$15:$D$18,3,FALSE)),IF(OR(AO101="Plan1",AO101="Plan2"),VLOOKUP(BF101,Deviation!$E$15:$G$18,2,FALSE),VLOOKUP(BF101,Deviation!$E$15:$G$18,3,FALSE)))),0)</f>
        <v/>
      </c>
      <c r="BL101" s="334" t="str">
        <f>IFERROR(IF(AO101="","",IF(AQ101="Dubai",VLOOKUP(BG101,Deviation!$B$24:$C$26,2,FALSE),100%)),0)</f>
        <v/>
      </c>
    </row>
    <row r="102" spans="1:64" ht="14.25" x14ac:dyDescent="0.2">
      <c r="A102" s="59">
        <v>97</v>
      </c>
      <c r="B102" s="298"/>
      <c r="C102" s="299"/>
      <c r="D102" s="298"/>
      <c r="E102" s="298"/>
      <c r="F102" s="298"/>
      <c r="G102" s="298"/>
      <c r="H102" s="298"/>
      <c r="I102" s="298"/>
      <c r="J102" s="80" t="str">
        <f>IFERROR(ROUNDDOWN(IF(C102="","",(MAX((eff_date-Additions!C102)/365.25,0))),0),"")</f>
        <v/>
      </c>
      <c r="K102" s="59" t="str">
        <f>IF(F102="","",IF(G102="Dubai",HLOOKUP(F102,Inputs!$C$26:$M$28,3,0),HLOOKUP(F102,Inputs!$C$45:$M$46,2,0)))</f>
        <v/>
      </c>
      <c r="L102" s="335" t="str">
        <f t="shared" ref="L102:L133" si="56">IF(OR(AG102="x",AD102="x",J102&gt;69),"",IFERROR(BB102/(1-Loadings),""))</f>
        <v/>
      </c>
      <c r="M102" s="335">
        <f t="shared" ref="M102:M133" si="57">IFERROR((AY102*AZ102)/(1-Loadings),0)</f>
        <v>0</v>
      </c>
      <c r="N102" s="335" t="str">
        <f t="shared" ref="N102:N133" si="58">IF(OR(AG102="x",AD102="x",J102&gt;69),"",IFERROR(BB102/(1-Loadings)*IFERROR(((end_date-I102+1)/365),0),""))</f>
        <v/>
      </c>
      <c r="O102" s="335">
        <f t="shared" ref="O102:O133" si="59">IFERROR((AY102*AZ102)/(1-Loadings),0)*IFERROR(((end_date-I102+1)/365),0)</f>
        <v>0</v>
      </c>
      <c r="P102" s="104"/>
      <c r="Q102" s="105">
        <f t="shared" si="49"/>
        <v>0</v>
      </c>
      <c r="R102" s="59" t="b">
        <f t="shared" si="37"/>
        <v>0</v>
      </c>
      <c r="S102" s="102" t="str">
        <f t="shared" si="50"/>
        <v>x</v>
      </c>
      <c r="T102" s="102" t="str">
        <f t="shared" ref="T102:T133" si="60">IF(ISBLANK(D102),"x","")</f>
        <v>x</v>
      </c>
      <c r="U102" s="102" t="str">
        <f t="shared" ref="U102:U133" si="61">IF(ISBLANK(E102),"x","")</f>
        <v>x</v>
      </c>
      <c r="V102" s="102" t="str">
        <f t="shared" ref="V102:V133" si="62">IF(ISBLANK(F102),"x","")</f>
        <v>x</v>
      </c>
      <c r="W102" s="102" t="str">
        <f t="shared" ref="W102:W133" si="63">IF(ISBLANK(G102),"x","")</f>
        <v>x</v>
      </c>
      <c r="X102" s="102" t="str">
        <f>IF(ISERROR(MATCH(G102,'Inputs Mapping'!$T$4:$T$5,0)),"x","")</f>
        <v>x</v>
      </c>
      <c r="Y102" s="102" t="str">
        <f>IF(ISERROR(MATCH(AE102,'Inputs Mapping'!$U$4:$U$5,0)),"x","")</f>
        <v>x</v>
      </c>
      <c r="Z102" s="102" t="str">
        <f>IF(ISERROR(MATCH(AF102,'Inputs Mapping'!$V$4:$V$5,0)),"x","")</f>
        <v>x</v>
      </c>
      <c r="AA102" s="102" t="str">
        <f>IF(ISERROR(MATCH(F102,'Inputs Mapping'!$W$4:$W$8,0)),"x","")</f>
        <v>x</v>
      </c>
      <c r="AB102" s="102" t="str">
        <f t="shared" si="42"/>
        <v/>
      </c>
      <c r="AC102" s="102" t="str">
        <f t="shared" si="43"/>
        <v/>
      </c>
      <c r="AD102" s="102" t="str">
        <f t="shared" ref="AD102:AD133" si="64">IF(ISBLANK(C102),"",IF(ISERROR(J102),"",IF(AND(eff_date-C102&lt;0,C102&lt;&gt;""),"x","")))</f>
        <v/>
      </c>
      <c r="AE102" s="102" t="str">
        <f t="shared" si="51"/>
        <v/>
      </c>
      <c r="AF102" s="102" t="str">
        <f t="shared" si="52"/>
        <v/>
      </c>
      <c r="AG102" s="102" t="str">
        <f t="shared" si="53"/>
        <v>x</v>
      </c>
      <c r="AK102" s="95" t="str">
        <f t="shared" si="45"/>
        <v/>
      </c>
      <c r="AL102" s="59" t="str">
        <f>IF(J102="","",VLOOKUP(J102,'Inputs Mapping'!$T$27:$V$30,3))</f>
        <v/>
      </c>
      <c r="AM102" s="59" t="str">
        <f>IF(J102="","",VLOOKUP(J102,'Inputs Mapping'!$T$17:$V$24,3))</f>
        <v/>
      </c>
      <c r="AN102" s="59" t="str">
        <f t="shared" si="46"/>
        <v/>
      </c>
      <c r="AO102" s="102" t="str">
        <f t="shared" si="47"/>
        <v/>
      </c>
      <c r="AP102" s="102" t="str">
        <f>IF(F102="","",IF(G102="Dubai",HLOOKUP(F102,Inputs!$C$26:$M$36,5,0),HLOOKUP(F102,Inputs!$C$45:$M$49,5,0)))</f>
        <v/>
      </c>
      <c r="AQ102" s="102">
        <f t="shared" si="48"/>
        <v>0</v>
      </c>
      <c r="AR102" s="59" t="str">
        <f>IF(AM102="","",IF(AQ102="Dubai",VLOOKUP(AM102,'Inputs Mapping'!$V$17:$W$24,2,0),VLOOKUP(AL102,'Inputs Mapping'!$V$27:$W$30,2,0)))</f>
        <v/>
      </c>
      <c r="AS102" s="333">
        <f>IFERROR(IF($AQ102="","",HLOOKUP($AQ102&amp;RIGHT($AO102,1),'input for formula'!$B$16:$I$20,3,0)),0)</f>
        <v>0</v>
      </c>
      <c r="AT102" s="80">
        <f>IFERROR(IF($AQ102="","",HLOOKUP($AQ102&amp;$F102,'input for formula'!$B$22:$M$25,2,0)),0)</f>
        <v>0</v>
      </c>
      <c r="AU102" s="333">
        <f>IFERROR(IF($AQ102="","",HLOOKUP($AQ102&amp;RIGHT($AO102,1),'input for formula'!$B$16:$I$20,4,0)),0)</f>
        <v>0</v>
      </c>
      <c r="AV102" s="80">
        <f>IFERROR(IF($AQ102="","",HLOOKUP($AQ102&amp;$F102,'input for formula'!$B$22:$M$25,3,0)),0)</f>
        <v>0</v>
      </c>
      <c r="AW102" s="333">
        <f>IFERROR(IF($AQ102="","",HLOOKUP($AQ102&amp;RIGHT($AO102,1),'input for formula'!$B$16:$I$20,5,0)),0)</f>
        <v>0</v>
      </c>
      <c r="AX102" s="80">
        <f>IFERROR(IF($AQ102="","",HLOOKUP($AQ102&amp;$F102,'input for formula'!$B$22:$M$25,4,0)),0)</f>
        <v>0</v>
      </c>
      <c r="AY102" s="333">
        <f>IFERROR(IF($AQ102="","",IF(Additions!$AQ102="Abu Dhabi",VLOOKUP(Additions!$AP102,'input for formula'!$A$28:$C$41,3,0),VLOOKUP(Additions!$AP102,'input for formula'!$A$28:$C$41,2,0))),0)*IFERROR(1+IF(AQ102="Dubai",VLOOKUP(F102,'Quotation for Dubai Plans'!$V$6:$X$12,3,FALSE),VLOOKUP(F102,'Quotation for Abu Dhabi Plans'!$W$6:$Y$12,3,FALSE)),0)</f>
        <v>0</v>
      </c>
      <c r="AZ102" s="80" t="str">
        <f t="shared" si="55"/>
        <v/>
      </c>
      <c r="BA102" s="106" t="str">
        <f>IFERROR(IF(AO102="","",IF(AQ102="Dubai",HLOOKUP((AO102&amp;AP102),Deviation!$B$7:$S$8,2,0)*BI102*BK102*BL102*BJ102,HLOOKUP((AO102&amp;AP102),Deviation!$B$9:$K$10,2,0)*BI102*BK102*BL102*BJ102)),0)</f>
        <v/>
      </c>
      <c r="BB102" s="107" t="e">
        <f>IF(AO102="","",IFERROR(IF(AO102="","",IF(AQ102="Dubai",HLOOKUP(BC102,'input for formula'!$B$3:$F$10,AR102,FALSE), IF(AND(H102="Employee",AQ102="Abu Dhabi"),HLOOKUP(BC102,'input for formula'!$I$3:$K$7,AR102,FALSE),HLOOKUP(BC102,'input for formula'!$M$3:$O$7,AR102,FALSE)))*BA102+AS102*AT102+AU102*AV102+AW102*AX102),0)*$BC$3)*IF(Inputs!$C$19&gt;100,(1+$BC$2),1)</f>
        <v>#VALUE!</v>
      </c>
      <c r="BC102" s="95" t="str">
        <f t="shared" si="54"/>
        <v/>
      </c>
      <c r="BD102" s="334" t="str">
        <f>IF(F102="","",IF(G102="Dubai",HLOOKUP(F102,Inputs!$C$26:$M$37,9,0),HLOOKUP(F102,Inputs!$C$45:$M$56,9,0)))</f>
        <v/>
      </c>
      <c r="BE102" s="335" t="str">
        <f>IF(F102="","",IF(G102="Dubai",HLOOKUP(F102,Inputs!$C$26:$M$37,10,0),HLOOKUP(F102,Inputs!$C$45:$M$56,10,0)))</f>
        <v/>
      </c>
      <c r="BF102" s="335" t="str">
        <f>IF(F102="","",IF(G102="Dubai",HLOOKUP(F102,Inputs!$C$26:$M$37,11,0),HLOOKUP(F102,Inputs!$C$45:$M$56,11,0)))</f>
        <v/>
      </c>
      <c r="BG102" s="334" t="str">
        <f>IF(F102="","",IF(G102="Dubai",HLOOKUP(F102,Inputs!$C$26:$M$37,12,0),HLOOKUP(F102,Inputs!$C$45:$M$56,12,0)))</f>
        <v/>
      </c>
      <c r="BI102" s="334" t="str">
        <f>IFERROR(IF(AO102="","",IF(AQ102="Dubai",IF(OR(AO102="Plan1",AO102="Plan2"),VLOOKUP(BD102,Deviation!$B$31:$D$33,2,FALSE),VLOOKUP(BD102,Deviation!$B$31:$D$33,3,FALSE)),IF(OR(AO102="Plan1",AO102="Plan2"),VLOOKUP(BD102,Deviation!$E$31:$G$33,2,FALSE),VLOOKUP(BD102,Deviation!$E$31:$G$33,3,FALSE)))),0)</f>
        <v/>
      </c>
      <c r="BJ102" s="336" t="str">
        <f>IFERROR(IF(AO102="","",IF(AQ102="Dubai",IF(AO102="Plan1",VLOOKUP(BE102,Deviation!$B$39:$C$40,2,FALSE),IF(AO102="Plan2",VLOOKUP(BE102,Deviation!$B$42:$C$43,2,FALSE),IF(AO102="Plan5",VLOOKUP(BE102,Deviation!$B$48:$C$49,2,FALSE),VLOOKUP(BE102,Deviation!$B$45:$C$46,2,FALSE)))),IF(AO102="Plan1",VLOOKUP(BE102,Deviation!$E$39:$F$40,2,FALSE),IF(AO102="Plan2",VLOOKUP(BE102,Deviation!$E$42:$F$43,2,FALSE),VLOOKUP(BE102,Deviation!$E$45:$F$46,2,FALSE))))),0)</f>
        <v/>
      </c>
      <c r="BK102" s="336" t="str">
        <f>IFERROR(IF(AO102="","",IF(AQ102="Dubai",IF(OR(AO102="Plan1",AO102="Plan2"),VLOOKUP(BF102,Deviation!$B$15:$D$18,2,FALSE),VLOOKUP(BF102,Deviation!$B$15:$D$18,3,FALSE)),IF(OR(AO102="Plan1",AO102="Plan2"),VLOOKUP(BF102,Deviation!$E$15:$G$18,2,FALSE),VLOOKUP(BF102,Deviation!$E$15:$G$18,3,FALSE)))),0)</f>
        <v/>
      </c>
      <c r="BL102" s="334" t="str">
        <f>IFERROR(IF(AO102="","",IF(AQ102="Dubai",VLOOKUP(BG102,Deviation!$B$24:$C$26,2,FALSE),100%)),0)</f>
        <v/>
      </c>
    </row>
    <row r="103" spans="1:64" ht="14.25" x14ac:dyDescent="0.2">
      <c r="A103" s="59">
        <v>98</v>
      </c>
      <c r="B103" s="298"/>
      <c r="C103" s="299"/>
      <c r="D103" s="298"/>
      <c r="E103" s="298"/>
      <c r="F103" s="298"/>
      <c r="G103" s="298"/>
      <c r="H103" s="298"/>
      <c r="I103" s="298"/>
      <c r="J103" s="80" t="str">
        <f>IFERROR(ROUNDDOWN(IF(C103="","",(MAX((eff_date-Additions!C103)/365.25,0))),0),"")</f>
        <v/>
      </c>
      <c r="K103" s="59" t="str">
        <f>IF(F103="","",IF(G103="Dubai",HLOOKUP(F103,Inputs!$C$26:$M$28,3,0),HLOOKUP(F103,Inputs!$C$45:$M$46,2,0)))</f>
        <v/>
      </c>
      <c r="L103" s="335" t="str">
        <f t="shared" si="56"/>
        <v/>
      </c>
      <c r="M103" s="335">
        <f t="shared" si="57"/>
        <v>0</v>
      </c>
      <c r="N103" s="335" t="str">
        <f t="shared" si="58"/>
        <v/>
      </c>
      <c r="O103" s="335">
        <f t="shared" si="59"/>
        <v>0</v>
      </c>
      <c r="P103" s="104"/>
      <c r="Q103" s="105">
        <f t="shared" si="49"/>
        <v>0</v>
      </c>
      <c r="R103" s="59" t="b">
        <f t="shared" si="37"/>
        <v>0</v>
      </c>
      <c r="S103" s="102" t="str">
        <f t="shared" si="50"/>
        <v>x</v>
      </c>
      <c r="T103" s="102" t="str">
        <f t="shared" si="60"/>
        <v>x</v>
      </c>
      <c r="U103" s="102" t="str">
        <f t="shared" si="61"/>
        <v>x</v>
      </c>
      <c r="V103" s="102" t="str">
        <f t="shared" si="62"/>
        <v>x</v>
      </c>
      <c r="W103" s="102" t="str">
        <f t="shared" si="63"/>
        <v>x</v>
      </c>
      <c r="X103" s="102" t="str">
        <f>IF(ISERROR(MATCH(G103,'Inputs Mapping'!$T$4:$T$5,0)),"x","")</f>
        <v>x</v>
      </c>
      <c r="Y103" s="102" t="str">
        <f>IF(ISERROR(MATCH(AE103,'Inputs Mapping'!$U$4:$U$5,0)),"x","")</f>
        <v>x</v>
      </c>
      <c r="Z103" s="102" t="str">
        <f>IF(ISERROR(MATCH(AF103,'Inputs Mapping'!$V$4:$V$5,0)),"x","")</f>
        <v>x</v>
      </c>
      <c r="AA103" s="102" t="str">
        <f>IF(ISERROR(MATCH(F103,'Inputs Mapping'!$W$4:$W$8,0)),"x","")</f>
        <v>x</v>
      </c>
      <c r="AB103" s="102" t="str">
        <f t="shared" si="42"/>
        <v/>
      </c>
      <c r="AC103" s="102" t="str">
        <f t="shared" si="43"/>
        <v/>
      </c>
      <c r="AD103" s="102" t="str">
        <f t="shared" si="64"/>
        <v/>
      </c>
      <c r="AE103" s="102" t="str">
        <f t="shared" si="51"/>
        <v/>
      </c>
      <c r="AF103" s="102" t="str">
        <f t="shared" si="52"/>
        <v/>
      </c>
      <c r="AG103" s="102" t="str">
        <f t="shared" si="53"/>
        <v>x</v>
      </c>
      <c r="AK103" s="95" t="str">
        <f t="shared" si="45"/>
        <v/>
      </c>
      <c r="AL103" s="59" t="str">
        <f>IF(J103="","",VLOOKUP(J103,'Inputs Mapping'!$T$27:$V$30,3))</f>
        <v/>
      </c>
      <c r="AM103" s="59" t="str">
        <f>IF(J103="","",VLOOKUP(J103,'Inputs Mapping'!$T$17:$V$24,3))</f>
        <v/>
      </c>
      <c r="AN103" s="59" t="str">
        <f t="shared" si="46"/>
        <v/>
      </c>
      <c r="AO103" s="102" t="str">
        <f t="shared" si="47"/>
        <v/>
      </c>
      <c r="AP103" s="102" t="str">
        <f>IF(F103="","",IF(G103="Dubai",HLOOKUP(F103,Inputs!$C$26:$M$36,5,0),HLOOKUP(F103,Inputs!$C$45:$M$49,5,0)))</f>
        <v/>
      </c>
      <c r="AQ103" s="102">
        <f t="shared" si="48"/>
        <v>0</v>
      </c>
      <c r="AR103" s="59" t="str">
        <f>IF(AM103="","",IF(AQ103="Dubai",VLOOKUP(AM103,'Inputs Mapping'!$V$17:$W$24,2,0),VLOOKUP(AL103,'Inputs Mapping'!$V$27:$W$30,2,0)))</f>
        <v/>
      </c>
      <c r="AS103" s="333">
        <f>IFERROR(IF($AQ103="","",HLOOKUP($AQ103&amp;RIGHT($AO103,1),'input for formula'!$B$16:$I$20,3,0)),0)</f>
        <v>0</v>
      </c>
      <c r="AT103" s="80">
        <f>IFERROR(IF($AQ103="","",HLOOKUP($AQ103&amp;$F103,'input for formula'!$B$22:$M$25,2,0)),0)</f>
        <v>0</v>
      </c>
      <c r="AU103" s="333">
        <f>IFERROR(IF($AQ103="","",HLOOKUP($AQ103&amp;RIGHT($AO103,1),'input for formula'!$B$16:$I$20,4,0)),0)</f>
        <v>0</v>
      </c>
      <c r="AV103" s="80">
        <f>IFERROR(IF($AQ103="","",HLOOKUP($AQ103&amp;$F103,'input for formula'!$B$22:$M$25,3,0)),0)</f>
        <v>0</v>
      </c>
      <c r="AW103" s="333">
        <f>IFERROR(IF($AQ103="","",HLOOKUP($AQ103&amp;RIGHT($AO103,1),'input for formula'!$B$16:$I$20,5,0)),0)</f>
        <v>0</v>
      </c>
      <c r="AX103" s="80">
        <f>IFERROR(IF($AQ103="","",HLOOKUP($AQ103&amp;$F103,'input for formula'!$B$22:$M$25,4,0)),0)</f>
        <v>0</v>
      </c>
      <c r="AY103" s="333">
        <f>IFERROR(IF($AQ103="","",IF(Additions!$AQ103="Abu Dhabi",VLOOKUP(Additions!$AP103,'input for formula'!$A$28:$C$41,3,0),VLOOKUP(Additions!$AP103,'input for formula'!$A$28:$C$41,2,0))),0)*IFERROR(1+IF(AQ103="Dubai",VLOOKUP(F103,'Quotation for Dubai Plans'!$V$6:$X$12,3,FALSE),VLOOKUP(F103,'Quotation for Abu Dhabi Plans'!$W$6:$Y$12,3,FALSE)),0)</f>
        <v>0</v>
      </c>
      <c r="AZ103" s="80" t="str">
        <f t="shared" si="55"/>
        <v/>
      </c>
      <c r="BA103" s="106" t="str">
        <f>IFERROR(IF(AO103="","",IF(AQ103="Dubai",HLOOKUP((AO103&amp;AP103),Deviation!$B$7:$S$8,2,0)*BI103*BK103*BL103*BJ103,HLOOKUP((AO103&amp;AP103),Deviation!$B$9:$K$10,2,0)*BI103*BK103*BL103*BJ103)),0)</f>
        <v/>
      </c>
      <c r="BB103" s="107" t="e">
        <f>IF(AO103="","",IFERROR(IF(AO103="","",IF(AQ103="Dubai",HLOOKUP(BC103,'input for formula'!$B$3:$F$10,AR103,FALSE), IF(AND(H103="Employee",AQ103="Abu Dhabi"),HLOOKUP(BC103,'input for formula'!$I$3:$K$7,AR103,FALSE),HLOOKUP(BC103,'input for formula'!$M$3:$O$7,AR103,FALSE)))*BA103+AS103*AT103+AU103*AV103+AW103*AX103),0)*$BC$3)*IF(Inputs!$C$19&gt;100,(1+$BC$2),1)</f>
        <v>#VALUE!</v>
      </c>
      <c r="BC103" s="95" t="str">
        <f t="shared" si="54"/>
        <v/>
      </c>
      <c r="BD103" s="334" t="str">
        <f>IF(F103="","",IF(G103="Dubai",HLOOKUP(F103,Inputs!$C$26:$M$37,9,0),HLOOKUP(F103,Inputs!$C$45:$M$56,9,0)))</f>
        <v/>
      </c>
      <c r="BE103" s="335" t="str">
        <f>IF(F103="","",IF(G103="Dubai",HLOOKUP(F103,Inputs!$C$26:$M$37,10,0),HLOOKUP(F103,Inputs!$C$45:$M$56,10,0)))</f>
        <v/>
      </c>
      <c r="BF103" s="335" t="str">
        <f>IF(F103="","",IF(G103="Dubai",HLOOKUP(F103,Inputs!$C$26:$M$37,11,0),HLOOKUP(F103,Inputs!$C$45:$M$56,11,0)))</f>
        <v/>
      </c>
      <c r="BG103" s="334" t="str">
        <f>IF(F103="","",IF(G103="Dubai",HLOOKUP(F103,Inputs!$C$26:$M$37,12,0),HLOOKUP(F103,Inputs!$C$45:$M$56,12,0)))</f>
        <v/>
      </c>
      <c r="BI103" s="334" t="str">
        <f>IFERROR(IF(AO103="","",IF(AQ103="Dubai",IF(OR(AO103="Plan1",AO103="Plan2"),VLOOKUP(BD103,Deviation!$B$31:$D$33,2,FALSE),VLOOKUP(BD103,Deviation!$B$31:$D$33,3,FALSE)),IF(OR(AO103="Plan1",AO103="Plan2"),VLOOKUP(BD103,Deviation!$E$31:$G$33,2,FALSE),VLOOKUP(BD103,Deviation!$E$31:$G$33,3,FALSE)))),0)</f>
        <v/>
      </c>
      <c r="BJ103" s="336" t="str">
        <f>IFERROR(IF(AO103="","",IF(AQ103="Dubai",IF(AO103="Plan1",VLOOKUP(BE103,Deviation!$B$39:$C$40,2,FALSE),IF(AO103="Plan2",VLOOKUP(BE103,Deviation!$B$42:$C$43,2,FALSE),IF(AO103="Plan5",VLOOKUP(BE103,Deviation!$B$48:$C$49,2,FALSE),VLOOKUP(BE103,Deviation!$B$45:$C$46,2,FALSE)))),IF(AO103="Plan1",VLOOKUP(BE103,Deviation!$E$39:$F$40,2,FALSE),IF(AO103="Plan2",VLOOKUP(BE103,Deviation!$E$42:$F$43,2,FALSE),VLOOKUP(BE103,Deviation!$E$45:$F$46,2,FALSE))))),0)</f>
        <v/>
      </c>
      <c r="BK103" s="336" t="str">
        <f>IFERROR(IF(AO103="","",IF(AQ103="Dubai",IF(OR(AO103="Plan1",AO103="Plan2"),VLOOKUP(BF103,Deviation!$B$15:$D$18,2,FALSE),VLOOKUP(BF103,Deviation!$B$15:$D$18,3,FALSE)),IF(OR(AO103="Plan1",AO103="Plan2"),VLOOKUP(BF103,Deviation!$E$15:$G$18,2,FALSE),VLOOKUP(BF103,Deviation!$E$15:$G$18,3,FALSE)))),0)</f>
        <v/>
      </c>
      <c r="BL103" s="334" t="str">
        <f>IFERROR(IF(AO103="","",IF(AQ103="Dubai",VLOOKUP(BG103,Deviation!$B$24:$C$26,2,FALSE),100%)),0)</f>
        <v/>
      </c>
    </row>
    <row r="104" spans="1:64" ht="14.25" x14ac:dyDescent="0.2">
      <c r="A104" s="59">
        <v>99</v>
      </c>
      <c r="B104" s="298"/>
      <c r="C104" s="299"/>
      <c r="D104" s="298"/>
      <c r="E104" s="298"/>
      <c r="F104" s="298"/>
      <c r="G104" s="298"/>
      <c r="H104" s="298"/>
      <c r="I104" s="298"/>
      <c r="J104" s="80" t="str">
        <f>IFERROR(ROUNDDOWN(IF(C104="","",(MAX((eff_date-Additions!C104)/365.25,0))),0),"")</f>
        <v/>
      </c>
      <c r="K104" s="59" t="str">
        <f>IF(F104="","",IF(G104="Dubai",HLOOKUP(F104,Inputs!$C$26:$M$28,3,0),HLOOKUP(F104,Inputs!$C$45:$M$46,2,0)))</f>
        <v/>
      </c>
      <c r="L104" s="335" t="str">
        <f t="shared" si="56"/>
        <v/>
      </c>
      <c r="M104" s="335">
        <f t="shared" si="57"/>
        <v>0</v>
      </c>
      <c r="N104" s="335" t="str">
        <f t="shared" si="58"/>
        <v/>
      </c>
      <c r="O104" s="335">
        <f t="shared" si="59"/>
        <v>0</v>
      </c>
      <c r="P104" s="104"/>
      <c r="Q104" s="105">
        <f t="shared" si="49"/>
        <v>0</v>
      </c>
      <c r="R104" s="59" t="b">
        <f t="shared" si="37"/>
        <v>0</v>
      </c>
      <c r="S104" s="102" t="str">
        <f t="shared" si="50"/>
        <v>x</v>
      </c>
      <c r="T104" s="102" t="str">
        <f t="shared" si="60"/>
        <v>x</v>
      </c>
      <c r="U104" s="102" t="str">
        <f t="shared" si="61"/>
        <v>x</v>
      </c>
      <c r="V104" s="102" t="str">
        <f t="shared" si="62"/>
        <v>x</v>
      </c>
      <c r="W104" s="102" t="str">
        <f t="shared" si="63"/>
        <v>x</v>
      </c>
      <c r="X104" s="102" t="str">
        <f>IF(ISERROR(MATCH(G104,'Inputs Mapping'!$T$4:$T$5,0)),"x","")</f>
        <v>x</v>
      </c>
      <c r="Y104" s="102" t="str">
        <f>IF(ISERROR(MATCH(AE104,'Inputs Mapping'!$U$4:$U$5,0)),"x","")</f>
        <v>x</v>
      </c>
      <c r="Z104" s="102" t="str">
        <f>IF(ISERROR(MATCH(AF104,'Inputs Mapping'!$V$4:$V$5,0)),"x","")</f>
        <v>x</v>
      </c>
      <c r="AA104" s="102" t="str">
        <f>IF(ISERROR(MATCH(F104,'Inputs Mapping'!$W$4:$W$8,0)),"x","")</f>
        <v>x</v>
      </c>
      <c r="AB104" s="102" t="str">
        <f t="shared" si="42"/>
        <v/>
      </c>
      <c r="AC104" s="102" t="str">
        <f t="shared" si="43"/>
        <v/>
      </c>
      <c r="AD104" s="102" t="str">
        <f t="shared" si="64"/>
        <v/>
      </c>
      <c r="AE104" s="102" t="str">
        <f t="shared" si="51"/>
        <v/>
      </c>
      <c r="AF104" s="102" t="str">
        <f t="shared" si="52"/>
        <v/>
      </c>
      <c r="AG104" s="102" t="str">
        <f t="shared" si="53"/>
        <v>x</v>
      </c>
      <c r="AK104" s="95" t="str">
        <f t="shared" si="45"/>
        <v/>
      </c>
      <c r="AL104" s="59" t="str">
        <f>IF(J104="","",VLOOKUP(J104,'Inputs Mapping'!$T$27:$V$30,3))</f>
        <v/>
      </c>
      <c r="AM104" s="59" t="str">
        <f>IF(J104="","",VLOOKUP(J104,'Inputs Mapping'!$T$17:$V$24,3))</f>
        <v/>
      </c>
      <c r="AN104" s="59" t="str">
        <f t="shared" si="46"/>
        <v/>
      </c>
      <c r="AO104" s="102" t="str">
        <f t="shared" si="47"/>
        <v/>
      </c>
      <c r="AP104" s="102" t="str">
        <f>IF(F104="","",IF(G104="Dubai",HLOOKUP(F104,Inputs!$C$26:$M$36,5,0),HLOOKUP(F104,Inputs!$C$45:$M$49,5,0)))</f>
        <v/>
      </c>
      <c r="AQ104" s="102">
        <f t="shared" si="48"/>
        <v>0</v>
      </c>
      <c r="AR104" s="59" t="str">
        <f>IF(AM104="","",IF(AQ104="Dubai",VLOOKUP(AM104,'Inputs Mapping'!$V$17:$W$24,2,0),VLOOKUP(AL104,'Inputs Mapping'!$V$27:$W$30,2,0)))</f>
        <v/>
      </c>
      <c r="AS104" s="333">
        <f>IFERROR(IF($AQ104="","",HLOOKUP($AQ104&amp;RIGHT($AO104,1),'input for formula'!$B$16:$I$20,3,0)),0)</f>
        <v>0</v>
      </c>
      <c r="AT104" s="80">
        <f>IFERROR(IF($AQ104="","",HLOOKUP($AQ104&amp;$F104,'input for formula'!$B$22:$M$25,2,0)),0)</f>
        <v>0</v>
      </c>
      <c r="AU104" s="333">
        <f>IFERROR(IF($AQ104="","",HLOOKUP($AQ104&amp;RIGHT($AO104,1),'input for formula'!$B$16:$I$20,4,0)),0)</f>
        <v>0</v>
      </c>
      <c r="AV104" s="80">
        <f>IFERROR(IF($AQ104="","",HLOOKUP($AQ104&amp;$F104,'input for formula'!$B$22:$M$25,3,0)),0)</f>
        <v>0</v>
      </c>
      <c r="AW104" s="333">
        <f>IFERROR(IF($AQ104="","",HLOOKUP($AQ104&amp;RIGHT($AO104,1),'input for formula'!$B$16:$I$20,5,0)),0)</f>
        <v>0</v>
      </c>
      <c r="AX104" s="80">
        <f>IFERROR(IF($AQ104="","",HLOOKUP($AQ104&amp;$F104,'input for formula'!$B$22:$M$25,4,0)),0)</f>
        <v>0</v>
      </c>
      <c r="AY104" s="333">
        <f>IFERROR(IF($AQ104="","",IF(Additions!$AQ104="Abu Dhabi",VLOOKUP(Additions!$AP104,'input for formula'!$A$28:$C$41,3,0),VLOOKUP(Additions!$AP104,'input for formula'!$A$28:$C$41,2,0))),0)*IFERROR(1+IF(AQ104="Dubai",VLOOKUP(F104,'Quotation for Dubai Plans'!$V$6:$X$12,3,FALSE),VLOOKUP(F104,'Quotation for Abu Dhabi Plans'!$W$6:$Y$12,3,FALSE)),0)</f>
        <v>0</v>
      </c>
      <c r="AZ104" s="80" t="str">
        <f t="shared" si="55"/>
        <v/>
      </c>
      <c r="BA104" s="106" t="str">
        <f>IFERROR(IF(AO104="","",IF(AQ104="Dubai",HLOOKUP((AO104&amp;AP104),Deviation!$B$7:$S$8,2,0)*BI104*BK104*BL104*BJ104,HLOOKUP((AO104&amp;AP104),Deviation!$B$9:$K$10,2,0)*BI104*BK104*BL104*BJ104)),0)</f>
        <v/>
      </c>
      <c r="BB104" s="107" t="e">
        <f>IF(AO104="","",IFERROR(IF(AO104="","",IF(AQ104="Dubai",HLOOKUP(BC104,'input for formula'!$B$3:$F$10,AR104,FALSE), IF(AND(H104="Employee",AQ104="Abu Dhabi"),HLOOKUP(BC104,'input for formula'!$I$3:$K$7,AR104,FALSE),HLOOKUP(BC104,'input for formula'!$M$3:$O$7,AR104,FALSE)))*BA104+AS104*AT104+AU104*AV104+AW104*AX104),0)*$BC$3)*IF(Inputs!$C$19&gt;100,(1+$BC$2),1)</f>
        <v>#VALUE!</v>
      </c>
      <c r="BC104" s="95" t="str">
        <f t="shared" si="54"/>
        <v/>
      </c>
      <c r="BD104" s="334" t="str">
        <f>IF(F104="","",IF(G104="Dubai",HLOOKUP(F104,Inputs!$C$26:$M$37,9,0),HLOOKUP(F104,Inputs!$C$45:$M$56,9,0)))</f>
        <v/>
      </c>
      <c r="BE104" s="335" t="str">
        <f>IF(F104="","",IF(G104="Dubai",HLOOKUP(F104,Inputs!$C$26:$M$37,10,0),HLOOKUP(F104,Inputs!$C$45:$M$56,10,0)))</f>
        <v/>
      </c>
      <c r="BF104" s="335" t="str">
        <f>IF(F104="","",IF(G104="Dubai",HLOOKUP(F104,Inputs!$C$26:$M$37,11,0),HLOOKUP(F104,Inputs!$C$45:$M$56,11,0)))</f>
        <v/>
      </c>
      <c r="BG104" s="334" t="str">
        <f>IF(F104="","",IF(G104="Dubai",HLOOKUP(F104,Inputs!$C$26:$M$37,12,0),HLOOKUP(F104,Inputs!$C$45:$M$56,12,0)))</f>
        <v/>
      </c>
      <c r="BI104" s="334" t="str">
        <f>IFERROR(IF(AO104="","",IF(AQ104="Dubai",IF(OR(AO104="Plan1",AO104="Plan2"),VLOOKUP(BD104,Deviation!$B$31:$D$33,2,FALSE),VLOOKUP(BD104,Deviation!$B$31:$D$33,3,FALSE)),IF(OR(AO104="Plan1",AO104="Plan2"),VLOOKUP(BD104,Deviation!$E$31:$G$33,2,FALSE),VLOOKUP(BD104,Deviation!$E$31:$G$33,3,FALSE)))),0)</f>
        <v/>
      </c>
      <c r="BJ104" s="336" t="str">
        <f>IFERROR(IF(AO104="","",IF(AQ104="Dubai",IF(AO104="Plan1",VLOOKUP(BE104,Deviation!$B$39:$C$40,2,FALSE),IF(AO104="Plan2",VLOOKUP(BE104,Deviation!$B$42:$C$43,2,FALSE),IF(AO104="Plan5",VLOOKUP(BE104,Deviation!$B$48:$C$49,2,FALSE),VLOOKUP(BE104,Deviation!$B$45:$C$46,2,FALSE)))),IF(AO104="Plan1",VLOOKUP(BE104,Deviation!$E$39:$F$40,2,FALSE),IF(AO104="Plan2",VLOOKUP(BE104,Deviation!$E$42:$F$43,2,FALSE),VLOOKUP(BE104,Deviation!$E$45:$F$46,2,FALSE))))),0)</f>
        <v/>
      </c>
      <c r="BK104" s="336" t="str">
        <f>IFERROR(IF(AO104="","",IF(AQ104="Dubai",IF(OR(AO104="Plan1",AO104="Plan2"),VLOOKUP(BF104,Deviation!$B$15:$D$18,2,FALSE),VLOOKUP(BF104,Deviation!$B$15:$D$18,3,FALSE)),IF(OR(AO104="Plan1",AO104="Plan2"),VLOOKUP(BF104,Deviation!$E$15:$G$18,2,FALSE),VLOOKUP(BF104,Deviation!$E$15:$G$18,3,FALSE)))),0)</f>
        <v/>
      </c>
      <c r="BL104" s="334" t="str">
        <f>IFERROR(IF(AO104="","",IF(AQ104="Dubai",VLOOKUP(BG104,Deviation!$B$24:$C$26,2,FALSE),100%)),0)</f>
        <v/>
      </c>
    </row>
    <row r="105" spans="1:64" ht="14.25" x14ac:dyDescent="0.2">
      <c r="A105" s="59">
        <v>100</v>
      </c>
      <c r="B105" s="298"/>
      <c r="C105" s="299"/>
      <c r="D105" s="298"/>
      <c r="E105" s="298"/>
      <c r="F105" s="298"/>
      <c r="G105" s="298"/>
      <c r="H105" s="298"/>
      <c r="I105" s="298"/>
      <c r="J105" s="80" t="str">
        <f>IFERROR(ROUNDDOWN(IF(C105="","",(MAX((eff_date-Additions!C105)/365.25,0))),0),"")</f>
        <v/>
      </c>
      <c r="K105" s="59" t="str">
        <f>IF(F105="","",IF(G105="Dubai",HLOOKUP(F105,Inputs!$C$26:$M$28,3,0),HLOOKUP(F105,Inputs!$C$45:$M$46,2,0)))</f>
        <v/>
      </c>
      <c r="L105" s="335" t="str">
        <f t="shared" si="56"/>
        <v/>
      </c>
      <c r="M105" s="335">
        <f t="shared" si="57"/>
        <v>0</v>
      </c>
      <c r="N105" s="335" t="str">
        <f t="shared" si="58"/>
        <v/>
      </c>
      <c r="O105" s="335">
        <f t="shared" si="59"/>
        <v>0</v>
      </c>
      <c r="P105" s="104"/>
      <c r="Q105" s="105">
        <f t="shared" si="49"/>
        <v>0</v>
      </c>
      <c r="R105" s="59" t="b">
        <f t="shared" si="37"/>
        <v>0</v>
      </c>
      <c r="S105" s="102" t="str">
        <f t="shared" si="50"/>
        <v>x</v>
      </c>
      <c r="T105" s="102" t="str">
        <f t="shared" si="60"/>
        <v>x</v>
      </c>
      <c r="U105" s="102" t="str">
        <f t="shared" si="61"/>
        <v>x</v>
      </c>
      <c r="V105" s="102" t="str">
        <f t="shared" si="62"/>
        <v>x</v>
      </c>
      <c r="W105" s="102" t="str">
        <f t="shared" si="63"/>
        <v>x</v>
      </c>
      <c r="X105" s="102" t="str">
        <f>IF(ISERROR(MATCH(G105,'Inputs Mapping'!$T$4:$T$5,0)),"x","")</f>
        <v>x</v>
      </c>
      <c r="Y105" s="102" t="str">
        <f>IF(ISERROR(MATCH(AE105,'Inputs Mapping'!$U$4:$U$5,0)),"x","")</f>
        <v>x</v>
      </c>
      <c r="Z105" s="102" t="str">
        <f>IF(ISERROR(MATCH(AF105,'Inputs Mapping'!$V$4:$V$5,0)),"x","")</f>
        <v>x</v>
      </c>
      <c r="AA105" s="102" t="str">
        <f>IF(ISERROR(MATCH(F105,'Inputs Mapping'!$W$4:$W$8,0)),"x","")</f>
        <v>x</v>
      </c>
      <c r="AB105" s="102" t="str">
        <f t="shared" si="42"/>
        <v/>
      </c>
      <c r="AC105" s="102" t="str">
        <f t="shared" si="43"/>
        <v/>
      </c>
      <c r="AD105" s="102" t="str">
        <f t="shared" si="64"/>
        <v/>
      </c>
      <c r="AE105" s="102" t="str">
        <f t="shared" si="51"/>
        <v/>
      </c>
      <c r="AF105" s="102" t="str">
        <f t="shared" si="52"/>
        <v/>
      </c>
      <c r="AG105" s="102" t="str">
        <f t="shared" si="53"/>
        <v>x</v>
      </c>
      <c r="AK105" s="95" t="str">
        <f t="shared" si="45"/>
        <v/>
      </c>
      <c r="AL105" s="59" t="str">
        <f>IF(J105="","",VLOOKUP(J105,'Inputs Mapping'!$T$27:$V$30,3))</f>
        <v/>
      </c>
      <c r="AM105" s="59" t="str">
        <f>IF(J105="","",VLOOKUP(J105,'Inputs Mapping'!$T$17:$V$24,3))</f>
        <v/>
      </c>
      <c r="AN105" s="59" t="str">
        <f t="shared" si="46"/>
        <v/>
      </c>
      <c r="AO105" s="102" t="str">
        <f t="shared" si="47"/>
        <v/>
      </c>
      <c r="AP105" s="102" t="str">
        <f>IF(F105="","",IF(G105="Dubai",HLOOKUP(F105,Inputs!$C$26:$M$36,5,0),HLOOKUP(F105,Inputs!$C$45:$M$49,5,0)))</f>
        <v/>
      </c>
      <c r="AQ105" s="102">
        <f t="shared" si="48"/>
        <v>0</v>
      </c>
      <c r="AR105" s="59" t="str">
        <f>IF(AM105="","",IF(AQ105="Dubai",VLOOKUP(AM105,'Inputs Mapping'!$V$17:$W$24,2,0),VLOOKUP(AL105,'Inputs Mapping'!$V$27:$W$30,2,0)))</f>
        <v/>
      </c>
      <c r="AS105" s="333">
        <f>IFERROR(IF($AQ105="","",HLOOKUP($AQ105&amp;RIGHT($AO105,1),'input for formula'!$B$16:$I$20,3,0)),0)</f>
        <v>0</v>
      </c>
      <c r="AT105" s="80">
        <f>IFERROR(IF($AQ105="","",HLOOKUP($AQ105&amp;$F105,'input for formula'!$B$22:$M$25,2,0)),0)</f>
        <v>0</v>
      </c>
      <c r="AU105" s="333">
        <f>IFERROR(IF($AQ105="","",HLOOKUP($AQ105&amp;RIGHT($AO105,1),'input for formula'!$B$16:$I$20,4,0)),0)</f>
        <v>0</v>
      </c>
      <c r="AV105" s="80">
        <f>IFERROR(IF($AQ105="","",HLOOKUP($AQ105&amp;$F105,'input for formula'!$B$22:$M$25,3,0)),0)</f>
        <v>0</v>
      </c>
      <c r="AW105" s="333">
        <f>IFERROR(IF($AQ105="","",HLOOKUP($AQ105&amp;RIGHT($AO105,1),'input for formula'!$B$16:$I$20,5,0)),0)</f>
        <v>0</v>
      </c>
      <c r="AX105" s="80">
        <f>IFERROR(IF($AQ105="","",HLOOKUP($AQ105&amp;$F105,'input for formula'!$B$22:$M$25,4,0)),0)</f>
        <v>0</v>
      </c>
      <c r="AY105" s="333">
        <f>IFERROR(IF($AQ105="","",IF(Additions!$AQ105="Abu Dhabi",VLOOKUP(Additions!$AP105,'input for formula'!$A$28:$C$41,3,0),VLOOKUP(Additions!$AP105,'input for formula'!$A$28:$C$41,2,0))),0)*IFERROR(1+IF(AQ105="Dubai",VLOOKUP(F105,'Quotation for Dubai Plans'!$V$6:$X$12,3,FALSE),VLOOKUP(F105,'Quotation for Abu Dhabi Plans'!$W$6:$Y$12,3,FALSE)),0)</f>
        <v>0</v>
      </c>
      <c r="AZ105" s="80" t="str">
        <f t="shared" si="55"/>
        <v/>
      </c>
      <c r="BA105" s="106" t="str">
        <f>IFERROR(IF(AO105="","",IF(AQ105="Dubai",HLOOKUP((AO105&amp;AP105),Deviation!$B$7:$S$8,2,0)*BI105*BK105*BL105*BJ105,HLOOKUP((AO105&amp;AP105),Deviation!$B$9:$K$10,2,0)*BI105*BK105*BL105*BJ105)),0)</f>
        <v/>
      </c>
      <c r="BB105" s="107" t="e">
        <f>IF(AO105="","",IFERROR(IF(AO105="","",IF(AQ105="Dubai",HLOOKUP(BC105,'input for formula'!$B$3:$F$10,AR105,FALSE), IF(AND(H105="Employee",AQ105="Abu Dhabi"),HLOOKUP(BC105,'input for formula'!$I$3:$K$7,AR105,FALSE),HLOOKUP(BC105,'input for formula'!$M$3:$O$7,AR105,FALSE)))*BA105+AS105*AT105+AU105*AV105+AW105*AX105),0)*$BC$3)*IF(Inputs!$C$19&gt;100,(1+$BC$2),1)</f>
        <v>#VALUE!</v>
      </c>
      <c r="BC105" s="95" t="str">
        <f t="shared" si="54"/>
        <v/>
      </c>
      <c r="BD105" s="334" t="str">
        <f>IF(F105="","",IF(G105="Dubai",HLOOKUP(F105,Inputs!$C$26:$M$37,9,0),HLOOKUP(F105,Inputs!$C$45:$M$56,9,0)))</f>
        <v/>
      </c>
      <c r="BE105" s="335" t="str">
        <f>IF(F105="","",IF(G105="Dubai",HLOOKUP(F105,Inputs!$C$26:$M$37,10,0),HLOOKUP(F105,Inputs!$C$45:$M$56,10,0)))</f>
        <v/>
      </c>
      <c r="BF105" s="335" t="str">
        <f>IF(F105="","",IF(G105="Dubai",HLOOKUP(F105,Inputs!$C$26:$M$37,11,0),HLOOKUP(F105,Inputs!$C$45:$M$56,11,0)))</f>
        <v/>
      </c>
      <c r="BG105" s="334" t="str">
        <f>IF(F105="","",IF(G105="Dubai",HLOOKUP(F105,Inputs!$C$26:$M$37,12,0),HLOOKUP(F105,Inputs!$C$45:$M$56,12,0)))</f>
        <v/>
      </c>
      <c r="BI105" s="334" t="str">
        <f>IFERROR(IF(AO105="","",IF(AQ105="Dubai",IF(OR(AO105="Plan1",AO105="Plan2"),VLOOKUP(BD105,Deviation!$B$31:$D$33,2,FALSE),VLOOKUP(BD105,Deviation!$B$31:$D$33,3,FALSE)),IF(OR(AO105="Plan1",AO105="Plan2"),VLOOKUP(BD105,Deviation!$E$31:$G$33,2,FALSE),VLOOKUP(BD105,Deviation!$E$31:$G$33,3,FALSE)))),0)</f>
        <v/>
      </c>
      <c r="BJ105" s="336" t="str">
        <f>IFERROR(IF(AO105="","",IF(AQ105="Dubai",IF(AO105="Plan1",VLOOKUP(BE105,Deviation!$B$39:$C$40,2,FALSE),IF(AO105="Plan2",VLOOKUP(BE105,Deviation!$B$42:$C$43,2,FALSE),IF(AO105="Plan5",VLOOKUP(BE105,Deviation!$B$48:$C$49,2,FALSE),VLOOKUP(BE105,Deviation!$B$45:$C$46,2,FALSE)))),IF(AO105="Plan1",VLOOKUP(BE105,Deviation!$E$39:$F$40,2,FALSE),IF(AO105="Plan2",VLOOKUP(BE105,Deviation!$E$42:$F$43,2,FALSE),VLOOKUP(BE105,Deviation!$E$45:$F$46,2,FALSE))))),0)</f>
        <v/>
      </c>
      <c r="BK105" s="336" t="str">
        <f>IFERROR(IF(AO105="","",IF(AQ105="Dubai",IF(OR(AO105="Plan1",AO105="Plan2"),VLOOKUP(BF105,Deviation!$B$15:$D$18,2,FALSE),VLOOKUP(BF105,Deviation!$B$15:$D$18,3,FALSE)),IF(OR(AO105="Plan1",AO105="Plan2"),VLOOKUP(BF105,Deviation!$E$15:$G$18,2,FALSE),VLOOKUP(BF105,Deviation!$E$15:$G$18,3,FALSE)))),0)</f>
        <v/>
      </c>
      <c r="BL105" s="334" t="str">
        <f>IFERROR(IF(AO105="","",IF(AQ105="Dubai",VLOOKUP(BG105,Deviation!$B$24:$C$26,2,FALSE),100%)),0)</f>
        <v/>
      </c>
    </row>
    <row r="106" spans="1:64" ht="14.25" x14ac:dyDescent="0.2">
      <c r="A106" s="59">
        <v>101</v>
      </c>
      <c r="B106" s="298"/>
      <c r="C106" s="299"/>
      <c r="D106" s="298"/>
      <c r="E106" s="298"/>
      <c r="F106" s="298"/>
      <c r="G106" s="298"/>
      <c r="H106" s="298"/>
      <c r="I106" s="298"/>
      <c r="J106" s="80" t="str">
        <f>IFERROR(ROUNDDOWN(IF(C106="","",(MAX((eff_date-Additions!C106)/365.25,0))),0),"")</f>
        <v/>
      </c>
      <c r="K106" s="59" t="str">
        <f>IF(F106="","",IF(G106="Dubai",HLOOKUP(F106,Inputs!$C$26:$M$28,3,0),HLOOKUP(F106,Inputs!$C$45:$M$46,2,0)))</f>
        <v/>
      </c>
      <c r="L106" s="335" t="str">
        <f t="shared" si="56"/>
        <v/>
      </c>
      <c r="M106" s="335">
        <f t="shared" si="57"/>
        <v>0</v>
      </c>
      <c r="N106" s="335" t="str">
        <f t="shared" si="58"/>
        <v/>
      </c>
      <c r="O106" s="335">
        <f t="shared" si="59"/>
        <v>0</v>
      </c>
      <c r="P106" s="104"/>
      <c r="Q106" s="105">
        <f t="shared" si="49"/>
        <v>0</v>
      </c>
      <c r="R106" s="59" t="b">
        <f t="shared" si="37"/>
        <v>0</v>
      </c>
      <c r="S106" s="102" t="str">
        <f t="shared" si="50"/>
        <v>x</v>
      </c>
      <c r="T106" s="102" t="str">
        <f t="shared" si="60"/>
        <v>x</v>
      </c>
      <c r="U106" s="102" t="str">
        <f t="shared" si="61"/>
        <v>x</v>
      </c>
      <c r="V106" s="102" t="str">
        <f t="shared" si="62"/>
        <v>x</v>
      </c>
      <c r="W106" s="102" t="str">
        <f t="shared" si="63"/>
        <v>x</v>
      </c>
      <c r="X106" s="102" t="str">
        <f>IF(ISERROR(MATCH(G106,'Inputs Mapping'!$T$4:$T$5,0)),"x","")</f>
        <v>x</v>
      </c>
      <c r="Y106" s="102" t="str">
        <f>IF(ISERROR(MATCH(AE106,'Inputs Mapping'!$U$4:$U$5,0)),"x","")</f>
        <v>x</v>
      </c>
      <c r="Z106" s="102" t="str">
        <f>IF(ISERROR(MATCH(AF106,'Inputs Mapping'!$V$4:$V$5,0)),"x","")</f>
        <v>x</v>
      </c>
      <c r="AA106" s="102" t="str">
        <f>IF(ISERROR(MATCH(F106,'Inputs Mapping'!$W$4:$W$8,0)),"x","")</f>
        <v>x</v>
      </c>
      <c r="AB106" s="102" t="str">
        <f t="shared" si="42"/>
        <v/>
      </c>
      <c r="AC106" s="102" t="str">
        <f t="shared" si="43"/>
        <v/>
      </c>
      <c r="AD106" s="102" t="str">
        <f t="shared" si="64"/>
        <v/>
      </c>
      <c r="AE106" s="102" t="str">
        <f t="shared" si="51"/>
        <v/>
      </c>
      <c r="AF106" s="102" t="str">
        <f t="shared" si="52"/>
        <v/>
      </c>
      <c r="AG106" s="102" t="str">
        <f t="shared" si="53"/>
        <v>x</v>
      </c>
      <c r="AK106" s="95" t="str">
        <f t="shared" si="45"/>
        <v/>
      </c>
      <c r="AL106" s="59" t="str">
        <f>IF(J106="","",VLOOKUP(J106,'Inputs Mapping'!$T$27:$V$30,3))</f>
        <v/>
      </c>
      <c r="AM106" s="59" t="str">
        <f>IF(J106="","",VLOOKUP(J106,'Inputs Mapping'!$T$17:$V$24,3))</f>
        <v/>
      </c>
      <c r="AN106" s="59" t="str">
        <f t="shared" si="46"/>
        <v/>
      </c>
      <c r="AO106" s="102" t="str">
        <f t="shared" si="47"/>
        <v/>
      </c>
      <c r="AP106" s="102" t="str">
        <f>IF(F106="","",IF(G106="Dubai",HLOOKUP(F106,Inputs!$C$26:$M$36,5,0),HLOOKUP(F106,Inputs!$C$45:$M$49,5,0)))</f>
        <v/>
      </c>
      <c r="AQ106" s="102">
        <f t="shared" si="48"/>
        <v>0</v>
      </c>
      <c r="AR106" s="59" t="str">
        <f>IF(AM106="","",IF(AQ106="Dubai",VLOOKUP(AM106,'Inputs Mapping'!$V$17:$W$24,2,0),VLOOKUP(AL106,'Inputs Mapping'!$V$27:$W$30,2,0)))</f>
        <v/>
      </c>
      <c r="AS106" s="333">
        <f>IFERROR(IF($AQ106="","",HLOOKUP($AQ106&amp;RIGHT($AO106,1),'input for formula'!$B$16:$I$20,3,0)),0)</f>
        <v>0</v>
      </c>
      <c r="AT106" s="80">
        <f>IFERROR(IF($AQ106="","",HLOOKUP($AQ106&amp;$F106,'input for formula'!$B$22:$M$25,2,0)),0)</f>
        <v>0</v>
      </c>
      <c r="AU106" s="333">
        <f>IFERROR(IF($AQ106="","",HLOOKUP($AQ106&amp;RIGHT($AO106,1),'input for formula'!$B$16:$I$20,4,0)),0)</f>
        <v>0</v>
      </c>
      <c r="AV106" s="80">
        <f>IFERROR(IF($AQ106="","",HLOOKUP($AQ106&amp;$F106,'input for formula'!$B$22:$M$25,3,0)),0)</f>
        <v>0</v>
      </c>
      <c r="AW106" s="333">
        <f>IFERROR(IF($AQ106="","",HLOOKUP($AQ106&amp;RIGHT($AO106,1),'input for formula'!$B$16:$I$20,5,0)),0)</f>
        <v>0</v>
      </c>
      <c r="AX106" s="80">
        <f>IFERROR(IF($AQ106="","",HLOOKUP($AQ106&amp;$F106,'input for formula'!$B$22:$M$25,4,0)),0)</f>
        <v>0</v>
      </c>
      <c r="AY106" s="333">
        <f>IFERROR(IF($AQ106="","",IF(Additions!$AQ106="Abu Dhabi",VLOOKUP(Additions!$AP106,'input for formula'!$A$28:$C$41,3,0),VLOOKUP(Additions!$AP106,'input for formula'!$A$28:$C$41,2,0))),0)*IFERROR(1+IF(AQ106="Dubai",VLOOKUP(F106,'Quotation for Dubai Plans'!$V$6:$X$12,3,FALSE),VLOOKUP(F106,'Quotation for Abu Dhabi Plans'!$W$6:$Y$12,3,FALSE)),0)</f>
        <v>0</v>
      </c>
      <c r="AZ106" s="80" t="str">
        <f t="shared" si="55"/>
        <v/>
      </c>
      <c r="BA106" s="106" t="str">
        <f>IFERROR(IF(AO106="","",IF(AQ106="Dubai",HLOOKUP((AO106&amp;AP106),Deviation!$B$7:$S$8,2,0)*BI106*BK106*BL106*BJ106,HLOOKUP((AO106&amp;AP106),Deviation!$B$9:$K$10,2,0)*BI106*BK106*BL106*BJ106)),0)</f>
        <v/>
      </c>
      <c r="BB106" s="107" t="e">
        <f>IF(AO106="","",IFERROR(IF(AO106="","",IF(AQ106="Dubai",HLOOKUP(BC106,'input for formula'!$B$3:$F$10,AR106,FALSE), IF(AND(H106="Employee",AQ106="Abu Dhabi"),HLOOKUP(BC106,'input for formula'!$I$3:$K$7,AR106,FALSE),HLOOKUP(BC106,'input for formula'!$M$3:$O$7,AR106,FALSE)))*BA106+AS106*AT106+AU106*AV106+AW106*AX106),0)*$BC$3)*IF(Inputs!$C$19&gt;100,(1+$BC$2),1)</f>
        <v>#VALUE!</v>
      </c>
      <c r="BC106" s="95" t="str">
        <f t="shared" si="54"/>
        <v/>
      </c>
      <c r="BD106" s="334" t="str">
        <f>IF(F106="","",IF(G106="Dubai",HLOOKUP(F106,Inputs!$C$26:$M$37,9,0),HLOOKUP(F106,Inputs!$C$45:$M$56,9,0)))</f>
        <v/>
      </c>
      <c r="BE106" s="335" t="str">
        <f>IF(F106="","",IF(G106="Dubai",HLOOKUP(F106,Inputs!$C$26:$M$37,10,0),HLOOKUP(F106,Inputs!$C$45:$M$56,10,0)))</f>
        <v/>
      </c>
      <c r="BF106" s="335" t="str">
        <f>IF(F106="","",IF(G106="Dubai",HLOOKUP(F106,Inputs!$C$26:$M$37,11,0),HLOOKUP(F106,Inputs!$C$45:$M$56,11,0)))</f>
        <v/>
      </c>
      <c r="BG106" s="334" t="str">
        <f>IF(F106="","",IF(G106="Dubai",HLOOKUP(F106,Inputs!$C$26:$M$37,12,0),HLOOKUP(F106,Inputs!$C$45:$M$56,12,0)))</f>
        <v/>
      </c>
      <c r="BI106" s="334" t="str">
        <f>IFERROR(IF(AO106="","",IF(AQ106="Dubai",IF(OR(AO106="Plan1",AO106="Plan2"),VLOOKUP(BD106,Deviation!$B$31:$D$33,2,FALSE),VLOOKUP(BD106,Deviation!$B$31:$D$33,3,FALSE)),IF(OR(AO106="Plan1",AO106="Plan2"),VLOOKUP(BD106,Deviation!$E$31:$G$33,2,FALSE),VLOOKUP(BD106,Deviation!$E$31:$G$33,3,FALSE)))),0)</f>
        <v/>
      </c>
      <c r="BJ106" s="336" t="str">
        <f>IFERROR(IF(AO106="","",IF(AQ106="Dubai",IF(AO106="Plan1",VLOOKUP(BE106,Deviation!$B$39:$C$40,2,FALSE),IF(AO106="Plan2",VLOOKUP(BE106,Deviation!$B$42:$C$43,2,FALSE),IF(AO106="Plan5",VLOOKUP(BE106,Deviation!$B$48:$C$49,2,FALSE),VLOOKUP(BE106,Deviation!$B$45:$C$46,2,FALSE)))),IF(AO106="Plan1",VLOOKUP(BE106,Deviation!$E$39:$F$40,2,FALSE),IF(AO106="Plan2",VLOOKUP(BE106,Deviation!$E$42:$F$43,2,FALSE),VLOOKUP(BE106,Deviation!$E$45:$F$46,2,FALSE))))),0)</f>
        <v/>
      </c>
      <c r="BK106" s="336" t="str">
        <f>IFERROR(IF(AO106="","",IF(AQ106="Dubai",IF(OR(AO106="Plan1",AO106="Plan2"),VLOOKUP(BF106,Deviation!$B$15:$D$18,2,FALSE),VLOOKUP(BF106,Deviation!$B$15:$D$18,3,FALSE)),IF(OR(AO106="Plan1",AO106="Plan2"),VLOOKUP(BF106,Deviation!$E$15:$G$18,2,FALSE),VLOOKUP(BF106,Deviation!$E$15:$G$18,3,FALSE)))),0)</f>
        <v/>
      </c>
      <c r="BL106" s="334" t="str">
        <f>IFERROR(IF(AO106="","",IF(AQ106="Dubai",VLOOKUP(BG106,Deviation!$B$24:$C$26,2,FALSE),100%)),0)</f>
        <v/>
      </c>
    </row>
    <row r="107" spans="1:64" ht="14.25" x14ac:dyDescent="0.2">
      <c r="A107" s="59">
        <v>102</v>
      </c>
      <c r="B107" s="298"/>
      <c r="C107" s="299"/>
      <c r="D107" s="298"/>
      <c r="E107" s="298"/>
      <c r="F107" s="298"/>
      <c r="G107" s="298"/>
      <c r="H107" s="298"/>
      <c r="I107" s="298"/>
      <c r="J107" s="80" t="str">
        <f>IFERROR(ROUNDDOWN(IF(C107="","",(MAX((eff_date-Additions!C107)/365.25,0))),0),"")</f>
        <v/>
      </c>
      <c r="K107" s="59" t="str">
        <f>IF(F107="","",IF(G107="Dubai",HLOOKUP(F107,Inputs!$C$26:$M$28,3,0),HLOOKUP(F107,Inputs!$C$45:$M$46,2,0)))</f>
        <v/>
      </c>
      <c r="L107" s="335" t="str">
        <f t="shared" si="56"/>
        <v/>
      </c>
      <c r="M107" s="335">
        <f t="shared" si="57"/>
        <v>0</v>
      </c>
      <c r="N107" s="335" t="str">
        <f t="shared" si="58"/>
        <v/>
      </c>
      <c r="O107" s="335">
        <f t="shared" si="59"/>
        <v>0</v>
      </c>
      <c r="P107" s="104"/>
      <c r="Q107" s="105">
        <f t="shared" si="49"/>
        <v>0</v>
      </c>
      <c r="R107" s="59" t="b">
        <f t="shared" si="37"/>
        <v>0</v>
      </c>
      <c r="S107" s="102" t="str">
        <f t="shared" si="50"/>
        <v>x</v>
      </c>
      <c r="T107" s="102" t="str">
        <f t="shared" si="60"/>
        <v>x</v>
      </c>
      <c r="U107" s="102" t="str">
        <f t="shared" si="61"/>
        <v>x</v>
      </c>
      <c r="V107" s="102" t="str">
        <f t="shared" si="62"/>
        <v>x</v>
      </c>
      <c r="W107" s="102" t="str">
        <f t="shared" si="63"/>
        <v>x</v>
      </c>
      <c r="X107" s="102" t="str">
        <f>IF(ISERROR(MATCH(G107,'Inputs Mapping'!$T$4:$T$5,0)),"x","")</f>
        <v>x</v>
      </c>
      <c r="Y107" s="102" t="str">
        <f>IF(ISERROR(MATCH(AE107,'Inputs Mapping'!$U$4:$U$5,0)),"x","")</f>
        <v>x</v>
      </c>
      <c r="Z107" s="102" t="str">
        <f>IF(ISERROR(MATCH(AF107,'Inputs Mapping'!$V$4:$V$5,0)),"x","")</f>
        <v>x</v>
      </c>
      <c r="AA107" s="102" t="str">
        <f>IF(ISERROR(MATCH(F107,'Inputs Mapping'!$W$4:$W$8,0)),"x","")</f>
        <v>x</v>
      </c>
      <c r="AB107" s="102" t="str">
        <f t="shared" si="42"/>
        <v/>
      </c>
      <c r="AC107" s="102" t="str">
        <f t="shared" si="43"/>
        <v/>
      </c>
      <c r="AD107" s="102" t="str">
        <f t="shared" si="64"/>
        <v/>
      </c>
      <c r="AE107" s="102" t="str">
        <f t="shared" si="51"/>
        <v/>
      </c>
      <c r="AF107" s="102" t="str">
        <f t="shared" si="52"/>
        <v/>
      </c>
      <c r="AG107" s="102" t="str">
        <f t="shared" si="53"/>
        <v>x</v>
      </c>
      <c r="AK107" s="95" t="str">
        <f t="shared" si="45"/>
        <v/>
      </c>
      <c r="AL107" s="59" t="str">
        <f>IF(J107="","",VLOOKUP(J107,'Inputs Mapping'!$T$27:$V$30,3))</f>
        <v/>
      </c>
      <c r="AM107" s="59" t="str">
        <f>IF(J107="","",VLOOKUP(J107,'Inputs Mapping'!$T$17:$V$24,3))</f>
        <v/>
      </c>
      <c r="AN107" s="59" t="str">
        <f t="shared" si="46"/>
        <v/>
      </c>
      <c r="AO107" s="102" t="str">
        <f t="shared" si="47"/>
        <v/>
      </c>
      <c r="AP107" s="102" t="str">
        <f>IF(F107="","",IF(G107="Dubai",HLOOKUP(F107,Inputs!$C$26:$M$36,5,0),HLOOKUP(F107,Inputs!$C$45:$M$49,5,0)))</f>
        <v/>
      </c>
      <c r="AQ107" s="102">
        <f t="shared" si="48"/>
        <v>0</v>
      </c>
      <c r="AR107" s="59" t="str">
        <f>IF(AM107="","",IF(AQ107="Dubai",VLOOKUP(AM107,'Inputs Mapping'!$V$17:$W$24,2,0),VLOOKUP(AL107,'Inputs Mapping'!$V$27:$W$30,2,0)))</f>
        <v/>
      </c>
      <c r="AS107" s="333">
        <f>IFERROR(IF($AQ107="","",HLOOKUP($AQ107&amp;RIGHT($AO107,1),'input for formula'!$B$16:$I$20,3,0)),0)</f>
        <v>0</v>
      </c>
      <c r="AT107" s="80">
        <f>IFERROR(IF($AQ107="","",HLOOKUP($AQ107&amp;$F107,'input for formula'!$B$22:$M$25,2,0)),0)</f>
        <v>0</v>
      </c>
      <c r="AU107" s="333">
        <f>IFERROR(IF($AQ107="","",HLOOKUP($AQ107&amp;RIGHT($AO107,1),'input for formula'!$B$16:$I$20,4,0)),0)</f>
        <v>0</v>
      </c>
      <c r="AV107" s="80">
        <f>IFERROR(IF($AQ107="","",HLOOKUP($AQ107&amp;$F107,'input for formula'!$B$22:$M$25,3,0)),0)</f>
        <v>0</v>
      </c>
      <c r="AW107" s="333">
        <f>IFERROR(IF($AQ107="","",HLOOKUP($AQ107&amp;RIGHT($AO107,1),'input for formula'!$B$16:$I$20,5,0)),0)</f>
        <v>0</v>
      </c>
      <c r="AX107" s="80">
        <f>IFERROR(IF($AQ107="","",HLOOKUP($AQ107&amp;$F107,'input for formula'!$B$22:$M$25,4,0)),0)</f>
        <v>0</v>
      </c>
      <c r="AY107" s="333">
        <f>IFERROR(IF($AQ107="","",IF(Additions!$AQ107="Abu Dhabi",VLOOKUP(Additions!$AP107,'input for formula'!$A$28:$C$41,3,0),VLOOKUP(Additions!$AP107,'input for formula'!$A$28:$C$41,2,0))),0)*IFERROR(1+IF(AQ107="Dubai",VLOOKUP(F107,'Quotation for Dubai Plans'!$V$6:$X$12,3,FALSE),VLOOKUP(F107,'Quotation for Abu Dhabi Plans'!$W$6:$Y$12,3,FALSE)),0)</f>
        <v>0</v>
      </c>
      <c r="AZ107" s="80" t="str">
        <f t="shared" si="55"/>
        <v/>
      </c>
      <c r="BA107" s="106" t="str">
        <f>IFERROR(IF(AO107="","",IF(AQ107="Dubai",HLOOKUP((AO107&amp;AP107),Deviation!$B$7:$S$8,2,0)*BI107*BK107*BL107*BJ107,HLOOKUP((AO107&amp;AP107),Deviation!$B$9:$K$10,2,0)*BI107*BK107*BL107*BJ107)),0)</f>
        <v/>
      </c>
      <c r="BB107" s="107" t="e">
        <f>IF(AO107="","",IFERROR(IF(AO107="","",IF(AQ107="Dubai",HLOOKUP(BC107,'input for formula'!$B$3:$F$10,AR107,FALSE), IF(AND(H107="Employee",AQ107="Abu Dhabi"),HLOOKUP(BC107,'input for formula'!$I$3:$K$7,AR107,FALSE),HLOOKUP(BC107,'input for formula'!$M$3:$O$7,AR107,FALSE)))*BA107+AS107*AT107+AU107*AV107+AW107*AX107),0)*$BC$3)*IF(Inputs!$C$19&gt;100,(1+$BC$2),1)</f>
        <v>#VALUE!</v>
      </c>
      <c r="BC107" s="95" t="str">
        <f t="shared" si="54"/>
        <v/>
      </c>
      <c r="BD107" s="334" t="str">
        <f>IF(F107="","",IF(G107="Dubai",HLOOKUP(F107,Inputs!$C$26:$M$37,9,0),HLOOKUP(F107,Inputs!$C$45:$M$56,9,0)))</f>
        <v/>
      </c>
      <c r="BE107" s="335" t="str">
        <f>IF(F107="","",IF(G107="Dubai",HLOOKUP(F107,Inputs!$C$26:$M$37,10,0),HLOOKUP(F107,Inputs!$C$45:$M$56,10,0)))</f>
        <v/>
      </c>
      <c r="BF107" s="335" t="str">
        <f>IF(F107="","",IF(G107="Dubai",HLOOKUP(F107,Inputs!$C$26:$M$37,11,0),HLOOKUP(F107,Inputs!$C$45:$M$56,11,0)))</f>
        <v/>
      </c>
      <c r="BG107" s="334" t="str">
        <f>IF(F107="","",IF(G107="Dubai",HLOOKUP(F107,Inputs!$C$26:$M$37,12,0),HLOOKUP(F107,Inputs!$C$45:$M$56,12,0)))</f>
        <v/>
      </c>
      <c r="BI107" s="334" t="str">
        <f>IFERROR(IF(AO107="","",IF(AQ107="Dubai",IF(OR(AO107="Plan1",AO107="Plan2"),VLOOKUP(BD107,Deviation!$B$31:$D$33,2,FALSE),VLOOKUP(BD107,Deviation!$B$31:$D$33,3,FALSE)),IF(OR(AO107="Plan1",AO107="Plan2"),VLOOKUP(BD107,Deviation!$E$31:$G$33,2,FALSE),VLOOKUP(BD107,Deviation!$E$31:$G$33,3,FALSE)))),0)</f>
        <v/>
      </c>
      <c r="BJ107" s="336" t="str">
        <f>IFERROR(IF(AO107="","",IF(AQ107="Dubai",IF(AO107="Plan1",VLOOKUP(BE107,Deviation!$B$39:$C$40,2,FALSE),IF(AO107="Plan2",VLOOKUP(BE107,Deviation!$B$42:$C$43,2,FALSE),IF(AO107="Plan5",VLOOKUP(BE107,Deviation!$B$48:$C$49,2,FALSE),VLOOKUP(BE107,Deviation!$B$45:$C$46,2,FALSE)))),IF(AO107="Plan1",VLOOKUP(BE107,Deviation!$E$39:$F$40,2,FALSE),IF(AO107="Plan2",VLOOKUP(BE107,Deviation!$E$42:$F$43,2,FALSE),VLOOKUP(BE107,Deviation!$E$45:$F$46,2,FALSE))))),0)</f>
        <v/>
      </c>
      <c r="BK107" s="336" t="str">
        <f>IFERROR(IF(AO107="","",IF(AQ107="Dubai",IF(OR(AO107="Plan1",AO107="Plan2"),VLOOKUP(BF107,Deviation!$B$15:$D$18,2,FALSE),VLOOKUP(BF107,Deviation!$B$15:$D$18,3,FALSE)),IF(OR(AO107="Plan1",AO107="Plan2"),VLOOKUP(BF107,Deviation!$E$15:$G$18,2,FALSE),VLOOKUP(BF107,Deviation!$E$15:$G$18,3,FALSE)))),0)</f>
        <v/>
      </c>
      <c r="BL107" s="334" t="str">
        <f>IFERROR(IF(AO107="","",IF(AQ107="Dubai",VLOOKUP(BG107,Deviation!$B$24:$C$26,2,FALSE),100%)),0)</f>
        <v/>
      </c>
    </row>
    <row r="108" spans="1:64" ht="14.25" x14ac:dyDescent="0.2">
      <c r="A108" s="59">
        <v>103</v>
      </c>
      <c r="B108" s="298"/>
      <c r="C108" s="299"/>
      <c r="D108" s="298"/>
      <c r="E108" s="298"/>
      <c r="F108" s="298"/>
      <c r="G108" s="298"/>
      <c r="H108" s="298"/>
      <c r="I108" s="298"/>
      <c r="J108" s="80" t="str">
        <f>IFERROR(ROUNDDOWN(IF(C108="","",(MAX((eff_date-Additions!C108)/365.25,0))),0),"")</f>
        <v/>
      </c>
      <c r="K108" s="59" t="str">
        <f>IF(F108="","",IF(G108="Dubai",HLOOKUP(F108,Inputs!$C$26:$M$28,3,0),HLOOKUP(F108,Inputs!$C$45:$M$46,2,0)))</f>
        <v/>
      </c>
      <c r="L108" s="335" t="str">
        <f t="shared" si="56"/>
        <v/>
      </c>
      <c r="M108" s="335">
        <f t="shared" si="57"/>
        <v>0</v>
      </c>
      <c r="N108" s="335" t="str">
        <f t="shared" si="58"/>
        <v/>
      </c>
      <c r="O108" s="335">
        <f t="shared" si="59"/>
        <v>0</v>
      </c>
      <c r="P108" s="104"/>
      <c r="Q108" s="105">
        <f t="shared" si="49"/>
        <v>0</v>
      </c>
      <c r="R108" s="59" t="b">
        <f t="shared" si="37"/>
        <v>0</v>
      </c>
      <c r="S108" s="102" t="str">
        <f t="shared" si="50"/>
        <v>x</v>
      </c>
      <c r="T108" s="102" t="str">
        <f t="shared" si="60"/>
        <v>x</v>
      </c>
      <c r="U108" s="102" t="str">
        <f t="shared" si="61"/>
        <v>x</v>
      </c>
      <c r="V108" s="102" t="str">
        <f t="shared" si="62"/>
        <v>x</v>
      </c>
      <c r="W108" s="102" t="str">
        <f t="shared" si="63"/>
        <v>x</v>
      </c>
      <c r="X108" s="102" t="str">
        <f>IF(ISERROR(MATCH(G108,'Inputs Mapping'!$T$4:$T$5,0)),"x","")</f>
        <v>x</v>
      </c>
      <c r="Y108" s="102" t="str">
        <f>IF(ISERROR(MATCH(AE108,'Inputs Mapping'!$U$4:$U$5,0)),"x","")</f>
        <v>x</v>
      </c>
      <c r="Z108" s="102" t="str">
        <f>IF(ISERROR(MATCH(AF108,'Inputs Mapping'!$V$4:$V$5,0)),"x","")</f>
        <v>x</v>
      </c>
      <c r="AA108" s="102" t="str">
        <f>IF(ISERROR(MATCH(F108,'Inputs Mapping'!$W$4:$W$8,0)),"x","")</f>
        <v>x</v>
      </c>
      <c r="AB108" s="102" t="str">
        <f t="shared" si="42"/>
        <v/>
      </c>
      <c r="AC108" s="102" t="str">
        <f t="shared" si="43"/>
        <v/>
      </c>
      <c r="AD108" s="102" t="str">
        <f t="shared" si="64"/>
        <v/>
      </c>
      <c r="AE108" s="102" t="str">
        <f t="shared" si="51"/>
        <v/>
      </c>
      <c r="AF108" s="102" t="str">
        <f t="shared" si="52"/>
        <v/>
      </c>
      <c r="AG108" s="102" t="str">
        <f t="shared" si="53"/>
        <v>x</v>
      </c>
      <c r="AK108" s="95" t="str">
        <f t="shared" si="45"/>
        <v/>
      </c>
      <c r="AL108" s="59" t="str">
        <f>IF(J108="","",VLOOKUP(J108,'Inputs Mapping'!$T$27:$V$30,3))</f>
        <v/>
      </c>
      <c r="AM108" s="59" t="str">
        <f>IF(J108="","",VLOOKUP(J108,'Inputs Mapping'!$T$17:$V$24,3))</f>
        <v/>
      </c>
      <c r="AN108" s="59" t="str">
        <f t="shared" si="46"/>
        <v/>
      </c>
      <c r="AO108" s="102" t="str">
        <f t="shared" si="47"/>
        <v/>
      </c>
      <c r="AP108" s="102" t="str">
        <f>IF(F108="","",IF(G108="Dubai",HLOOKUP(F108,Inputs!$C$26:$M$36,5,0),HLOOKUP(F108,Inputs!$C$45:$M$49,5,0)))</f>
        <v/>
      </c>
      <c r="AQ108" s="102">
        <f t="shared" si="48"/>
        <v>0</v>
      </c>
      <c r="AR108" s="59" t="str">
        <f>IF(AM108="","",IF(AQ108="Dubai",VLOOKUP(AM108,'Inputs Mapping'!$V$17:$W$24,2,0),VLOOKUP(AL108,'Inputs Mapping'!$V$27:$W$30,2,0)))</f>
        <v/>
      </c>
      <c r="AS108" s="333">
        <f>IFERROR(IF($AQ108="","",HLOOKUP($AQ108&amp;RIGHT($AO108,1),'input for formula'!$B$16:$I$20,3,0)),0)</f>
        <v>0</v>
      </c>
      <c r="AT108" s="80">
        <f>IFERROR(IF($AQ108="","",HLOOKUP($AQ108&amp;$F108,'input for formula'!$B$22:$M$25,2,0)),0)</f>
        <v>0</v>
      </c>
      <c r="AU108" s="333">
        <f>IFERROR(IF($AQ108="","",HLOOKUP($AQ108&amp;RIGHT($AO108,1),'input for formula'!$B$16:$I$20,4,0)),0)</f>
        <v>0</v>
      </c>
      <c r="AV108" s="80">
        <f>IFERROR(IF($AQ108="","",HLOOKUP($AQ108&amp;$F108,'input for formula'!$B$22:$M$25,3,0)),0)</f>
        <v>0</v>
      </c>
      <c r="AW108" s="333">
        <f>IFERROR(IF($AQ108="","",HLOOKUP($AQ108&amp;RIGHT($AO108,1),'input for formula'!$B$16:$I$20,5,0)),0)</f>
        <v>0</v>
      </c>
      <c r="AX108" s="80">
        <f>IFERROR(IF($AQ108="","",HLOOKUP($AQ108&amp;$F108,'input for formula'!$B$22:$M$25,4,0)),0)</f>
        <v>0</v>
      </c>
      <c r="AY108" s="333">
        <f>IFERROR(IF($AQ108="","",IF(Additions!$AQ108="Abu Dhabi",VLOOKUP(Additions!$AP108,'input for formula'!$A$28:$C$41,3,0),VLOOKUP(Additions!$AP108,'input for formula'!$A$28:$C$41,2,0))),0)*IFERROR(1+IF(AQ108="Dubai",VLOOKUP(F108,'Quotation for Dubai Plans'!$V$6:$X$12,3,FALSE),VLOOKUP(F108,'Quotation for Abu Dhabi Plans'!$W$6:$Y$12,3,FALSE)),0)</f>
        <v>0</v>
      </c>
      <c r="AZ108" s="80" t="str">
        <f t="shared" si="55"/>
        <v/>
      </c>
      <c r="BA108" s="106" t="str">
        <f>IFERROR(IF(AO108="","",IF(AQ108="Dubai",HLOOKUP((AO108&amp;AP108),Deviation!$B$7:$S$8,2,0)*BI108*BK108*BL108*BJ108,HLOOKUP((AO108&amp;AP108),Deviation!$B$9:$K$10,2,0)*BI108*BK108*BL108*BJ108)),0)</f>
        <v/>
      </c>
      <c r="BB108" s="107" t="e">
        <f>IF(AO108="","",IFERROR(IF(AO108="","",IF(AQ108="Dubai",HLOOKUP(BC108,'input for formula'!$B$3:$F$10,AR108,FALSE), IF(AND(H108="Employee",AQ108="Abu Dhabi"),HLOOKUP(BC108,'input for formula'!$I$3:$K$7,AR108,FALSE),HLOOKUP(BC108,'input for formula'!$M$3:$O$7,AR108,FALSE)))*BA108+AS108*AT108+AU108*AV108+AW108*AX108),0)*$BC$3)*IF(Inputs!$C$19&gt;100,(1+$BC$2),1)</f>
        <v>#VALUE!</v>
      </c>
      <c r="BC108" s="95" t="str">
        <f t="shared" si="54"/>
        <v/>
      </c>
      <c r="BD108" s="334" t="str">
        <f>IF(F108="","",IF(G108="Dubai",HLOOKUP(F108,Inputs!$C$26:$M$37,9,0),HLOOKUP(F108,Inputs!$C$45:$M$56,9,0)))</f>
        <v/>
      </c>
      <c r="BE108" s="335" t="str">
        <f>IF(F108="","",IF(G108="Dubai",HLOOKUP(F108,Inputs!$C$26:$M$37,10,0),HLOOKUP(F108,Inputs!$C$45:$M$56,10,0)))</f>
        <v/>
      </c>
      <c r="BF108" s="335" t="str">
        <f>IF(F108="","",IF(G108="Dubai",HLOOKUP(F108,Inputs!$C$26:$M$37,11,0),HLOOKUP(F108,Inputs!$C$45:$M$56,11,0)))</f>
        <v/>
      </c>
      <c r="BG108" s="334" t="str">
        <f>IF(F108="","",IF(G108="Dubai",HLOOKUP(F108,Inputs!$C$26:$M$37,12,0),HLOOKUP(F108,Inputs!$C$45:$M$56,12,0)))</f>
        <v/>
      </c>
      <c r="BI108" s="334" t="str">
        <f>IFERROR(IF(AO108="","",IF(AQ108="Dubai",IF(OR(AO108="Plan1",AO108="Plan2"),VLOOKUP(BD108,Deviation!$B$31:$D$33,2,FALSE),VLOOKUP(BD108,Deviation!$B$31:$D$33,3,FALSE)),IF(OR(AO108="Plan1",AO108="Plan2"),VLOOKUP(BD108,Deviation!$E$31:$G$33,2,FALSE),VLOOKUP(BD108,Deviation!$E$31:$G$33,3,FALSE)))),0)</f>
        <v/>
      </c>
      <c r="BJ108" s="336" t="str">
        <f>IFERROR(IF(AO108="","",IF(AQ108="Dubai",IF(AO108="Plan1",VLOOKUP(BE108,Deviation!$B$39:$C$40,2,FALSE),IF(AO108="Plan2",VLOOKUP(BE108,Deviation!$B$42:$C$43,2,FALSE),IF(AO108="Plan5",VLOOKUP(BE108,Deviation!$B$48:$C$49,2,FALSE),VLOOKUP(BE108,Deviation!$B$45:$C$46,2,FALSE)))),IF(AO108="Plan1",VLOOKUP(BE108,Deviation!$E$39:$F$40,2,FALSE),IF(AO108="Plan2",VLOOKUP(BE108,Deviation!$E$42:$F$43,2,FALSE),VLOOKUP(BE108,Deviation!$E$45:$F$46,2,FALSE))))),0)</f>
        <v/>
      </c>
      <c r="BK108" s="336" t="str">
        <f>IFERROR(IF(AO108="","",IF(AQ108="Dubai",IF(OR(AO108="Plan1",AO108="Plan2"),VLOOKUP(BF108,Deviation!$B$15:$D$18,2,FALSE),VLOOKUP(BF108,Deviation!$B$15:$D$18,3,FALSE)),IF(OR(AO108="Plan1",AO108="Plan2"),VLOOKUP(BF108,Deviation!$E$15:$G$18,2,FALSE),VLOOKUP(BF108,Deviation!$E$15:$G$18,3,FALSE)))),0)</f>
        <v/>
      </c>
      <c r="BL108" s="334" t="str">
        <f>IFERROR(IF(AO108="","",IF(AQ108="Dubai",VLOOKUP(BG108,Deviation!$B$24:$C$26,2,FALSE),100%)),0)</f>
        <v/>
      </c>
    </row>
    <row r="109" spans="1:64" ht="14.25" x14ac:dyDescent="0.2">
      <c r="A109" s="59">
        <v>104</v>
      </c>
      <c r="B109" s="298"/>
      <c r="C109" s="299"/>
      <c r="D109" s="298"/>
      <c r="E109" s="298"/>
      <c r="F109" s="298"/>
      <c r="G109" s="298"/>
      <c r="H109" s="298"/>
      <c r="I109" s="298"/>
      <c r="J109" s="80" t="str">
        <f>IFERROR(ROUNDDOWN(IF(C109="","",(MAX((eff_date-Additions!C109)/365.25,0))),0),"")</f>
        <v/>
      </c>
      <c r="K109" s="59" t="str">
        <f>IF(F109="","",IF(G109="Dubai",HLOOKUP(F109,Inputs!$C$26:$M$28,3,0),HLOOKUP(F109,Inputs!$C$45:$M$46,2,0)))</f>
        <v/>
      </c>
      <c r="L109" s="335" t="str">
        <f t="shared" si="56"/>
        <v/>
      </c>
      <c r="M109" s="335">
        <f t="shared" si="57"/>
        <v>0</v>
      </c>
      <c r="N109" s="335" t="str">
        <f t="shared" si="58"/>
        <v/>
      </c>
      <c r="O109" s="335">
        <f t="shared" si="59"/>
        <v>0</v>
      </c>
      <c r="P109" s="104"/>
      <c r="Q109" s="105">
        <f t="shared" si="49"/>
        <v>0</v>
      </c>
      <c r="R109" s="59" t="b">
        <f t="shared" si="37"/>
        <v>0</v>
      </c>
      <c r="S109" s="102" t="str">
        <f t="shared" si="50"/>
        <v>x</v>
      </c>
      <c r="T109" s="102" t="str">
        <f t="shared" si="60"/>
        <v>x</v>
      </c>
      <c r="U109" s="102" t="str">
        <f t="shared" si="61"/>
        <v>x</v>
      </c>
      <c r="V109" s="102" t="str">
        <f t="shared" si="62"/>
        <v>x</v>
      </c>
      <c r="W109" s="102" t="str">
        <f t="shared" si="63"/>
        <v>x</v>
      </c>
      <c r="X109" s="102" t="str">
        <f>IF(ISERROR(MATCH(G109,'Inputs Mapping'!$T$4:$T$5,0)),"x","")</f>
        <v>x</v>
      </c>
      <c r="Y109" s="102" t="str">
        <f>IF(ISERROR(MATCH(AE109,'Inputs Mapping'!$U$4:$U$5,0)),"x","")</f>
        <v>x</v>
      </c>
      <c r="Z109" s="102" t="str">
        <f>IF(ISERROR(MATCH(AF109,'Inputs Mapping'!$V$4:$V$5,0)),"x","")</f>
        <v>x</v>
      </c>
      <c r="AA109" s="102" t="str">
        <f>IF(ISERROR(MATCH(F109,'Inputs Mapping'!$W$4:$W$8,0)),"x","")</f>
        <v>x</v>
      </c>
      <c r="AB109" s="102" t="str">
        <f t="shared" si="42"/>
        <v/>
      </c>
      <c r="AC109" s="102" t="str">
        <f t="shared" si="43"/>
        <v/>
      </c>
      <c r="AD109" s="102" t="str">
        <f t="shared" si="64"/>
        <v/>
      </c>
      <c r="AE109" s="102" t="str">
        <f t="shared" si="51"/>
        <v/>
      </c>
      <c r="AF109" s="102" t="str">
        <f t="shared" si="52"/>
        <v/>
      </c>
      <c r="AG109" s="102" t="str">
        <f t="shared" si="53"/>
        <v>x</v>
      </c>
      <c r="AK109" s="95" t="str">
        <f t="shared" si="45"/>
        <v/>
      </c>
      <c r="AL109" s="59" t="str">
        <f>IF(J109="","",VLOOKUP(J109,'Inputs Mapping'!$T$27:$V$30,3))</f>
        <v/>
      </c>
      <c r="AM109" s="59" t="str">
        <f>IF(J109="","",VLOOKUP(J109,'Inputs Mapping'!$T$17:$V$24,3))</f>
        <v/>
      </c>
      <c r="AN109" s="59" t="str">
        <f t="shared" si="46"/>
        <v/>
      </c>
      <c r="AO109" s="102" t="str">
        <f t="shared" si="47"/>
        <v/>
      </c>
      <c r="AP109" s="102" t="str">
        <f>IF(F109="","",IF(G109="Dubai",HLOOKUP(F109,Inputs!$C$26:$M$36,5,0),HLOOKUP(F109,Inputs!$C$45:$M$49,5,0)))</f>
        <v/>
      </c>
      <c r="AQ109" s="102">
        <f t="shared" si="48"/>
        <v>0</v>
      </c>
      <c r="AR109" s="59" t="str">
        <f>IF(AM109="","",IF(AQ109="Dubai",VLOOKUP(AM109,'Inputs Mapping'!$V$17:$W$24,2,0),VLOOKUP(AL109,'Inputs Mapping'!$V$27:$W$30,2,0)))</f>
        <v/>
      </c>
      <c r="AS109" s="333">
        <f>IFERROR(IF($AQ109="","",HLOOKUP($AQ109&amp;RIGHT($AO109,1),'input for formula'!$B$16:$I$20,3,0)),0)</f>
        <v>0</v>
      </c>
      <c r="AT109" s="80">
        <f>IFERROR(IF($AQ109="","",HLOOKUP($AQ109&amp;$F109,'input for formula'!$B$22:$M$25,2,0)),0)</f>
        <v>0</v>
      </c>
      <c r="AU109" s="333">
        <f>IFERROR(IF($AQ109="","",HLOOKUP($AQ109&amp;RIGHT($AO109,1),'input for formula'!$B$16:$I$20,4,0)),0)</f>
        <v>0</v>
      </c>
      <c r="AV109" s="80">
        <f>IFERROR(IF($AQ109="","",HLOOKUP($AQ109&amp;$F109,'input for formula'!$B$22:$M$25,3,0)),0)</f>
        <v>0</v>
      </c>
      <c r="AW109" s="333">
        <f>IFERROR(IF($AQ109="","",HLOOKUP($AQ109&amp;RIGHT($AO109,1),'input for formula'!$B$16:$I$20,5,0)),0)</f>
        <v>0</v>
      </c>
      <c r="AX109" s="80">
        <f>IFERROR(IF($AQ109="","",HLOOKUP($AQ109&amp;$F109,'input for formula'!$B$22:$M$25,4,0)),0)</f>
        <v>0</v>
      </c>
      <c r="AY109" s="333">
        <f>IFERROR(IF($AQ109="","",IF(Additions!$AQ109="Abu Dhabi",VLOOKUP(Additions!$AP109,'input for formula'!$A$28:$C$41,3,0),VLOOKUP(Additions!$AP109,'input for formula'!$A$28:$C$41,2,0))),0)*IFERROR(1+IF(AQ109="Dubai",VLOOKUP(F109,'Quotation for Dubai Plans'!$V$6:$X$12,3,FALSE),VLOOKUP(F109,'Quotation for Abu Dhabi Plans'!$W$6:$Y$12,3,FALSE)),0)</f>
        <v>0</v>
      </c>
      <c r="AZ109" s="80" t="str">
        <f t="shared" si="55"/>
        <v/>
      </c>
      <c r="BA109" s="106" t="str">
        <f>IFERROR(IF(AO109="","",IF(AQ109="Dubai",HLOOKUP((AO109&amp;AP109),Deviation!$B$7:$S$8,2,0)*BI109*BK109*BL109*BJ109,HLOOKUP((AO109&amp;AP109),Deviation!$B$9:$K$10,2,0)*BI109*BK109*BL109*BJ109)),0)</f>
        <v/>
      </c>
      <c r="BB109" s="107" t="e">
        <f>IF(AO109="","",IFERROR(IF(AO109="","",IF(AQ109="Dubai",HLOOKUP(BC109,'input for formula'!$B$3:$F$10,AR109,FALSE), IF(AND(H109="Employee",AQ109="Abu Dhabi"),HLOOKUP(BC109,'input for formula'!$I$3:$K$7,AR109,FALSE),HLOOKUP(BC109,'input for formula'!$M$3:$O$7,AR109,FALSE)))*BA109+AS109*AT109+AU109*AV109+AW109*AX109),0)*$BC$3)*IF(Inputs!$C$19&gt;100,(1+$BC$2),1)</f>
        <v>#VALUE!</v>
      </c>
      <c r="BC109" s="95" t="str">
        <f t="shared" si="54"/>
        <v/>
      </c>
      <c r="BD109" s="334" t="str">
        <f>IF(F109="","",IF(G109="Dubai",HLOOKUP(F109,Inputs!$C$26:$M$37,9,0),HLOOKUP(F109,Inputs!$C$45:$M$56,9,0)))</f>
        <v/>
      </c>
      <c r="BE109" s="335" t="str">
        <f>IF(F109="","",IF(G109="Dubai",HLOOKUP(F109,Inputs!$C$26:$M$37,10,0),HLOOKUP(F109,Inputs!$C$45:$M$56,10,0)))</f>
        <v/>
      </c>
      <c r="BF109" s="335" t="str">
        <f>IF(F109="","",IF(G109="Dubai",HLOOKUP(F109,Inputs!$C$26:$M$37,11,0),HLOOKUP(F109,Inputs!$C$45:$M$56,11,0)))</f>
        <v/>
      </c>
      <c r="BG109" s="334" t="str">
        <f>IF(F109="","",IF(G109="Dubai",HLOOKUP(F109,Inputs!$C$26:$M$37,12,0),HLOOKUP(F109,Inputs!$C$45:$M$56,12,0)))</f>
        <v/>
      </c>
      <c r="BI109" s="334" t="str">
        <f>IFERROR(IF(AO109="","",IF(AQ109="Dubai",IF(OR(AO109="Plan1",AO109="Plan2"),VLOOKUP(BD109,Deviation!$B$31:$D$33,2,FALSE),VLOOKUP(BD109,Deviation!$B$31:$D$33,3,FALSE)),IF(OR(AO109="Plan1",AO109="Plan2"),VLOOKUP(BD109,Deviation!$E$31:$G$33,2,FALSE),VLOOKUP(BD109,Deviation!$E$31:$G$33,3,FALSE)))),0)</f>
        <v/>
      </c>
      <c r="BJ109" s="336" t="str">
        <f>IFERROR(IF(AO109="","",IF(AQ109="Dubai",IF(AO109="Plan1",VLOOKUP(BE109,Deviation!$B$39:$C$40,2,FALSE),IF(AO109="Plan2",VLOOKUP(BE109,Deviation!$B$42:$C$43,2,FALSE),IF(AO109="Plan5",VLOOKUP(BE109,Deviation!$B$48:$C$49,2,FALSE),VLOOKUP(BE109,Deviation!$B$45:$C$46,2,FALSE)))),IF(AO109="Plan1",VLOOKUP(BE109,Deviation!$E$39:$F$40,2,FALSE),IF(AO109="Plan2",VLOOKUP(BE109,Deviation!$E$42:$F$43,2,FALSE),VLOOKUP(BE109,Deviation!$E$45:$F$46,2,FALSE))))),0)</f>
        <v/>
      </c>
      <c r="BK109" s="336" t="str">
        <f>IFERROR(IF(AO109="","",IF(AQ109="Dubai",IF(OR(AO109="Plan1",AO109="Plan2"),VLOOKUP(BF109,Deviation!$B$15:$D$18,2,FALSE),VLOOKUP(BF109,Deviation!$B$15:$D$18,3,FALSE)),IF(OR(AO109="Plan1",AO109="Plan2"),VLOOKUP(BF109,Deviation!$E$15:$G$18,2,FALSE),VLOOKUP(BF109,Deviation!$E$15:$G$18,3,FALSE)))),0)</f>
        <v/>
      </c>
      <c r="BL109" s="334" t="str">
        <f>IFERROR(IF(AO109="","",IF(AQ109="Dubai",VLOOKUP(BG109,Deviation!$B$24:$C$26,2,FALSE),100%)),0)</f>
        <v/>
      </c>
    </row>
    <row r="110" spans="1:64" ht="14.25" x14ac:dyDescent="0.2">
      <c r="A110" s="59">
        <v>105</v>
      </c>
      <c r="B110" s="298"/>
      <c r="C110" s="299"/>
      <c r="D110" s="298"/>
      <c r="E110" s="298"/>
      <c r="F110" s="298"/>
      <c r="G110" s="298"/>
      <c r="H110" s="298"/>
      <c r="I110" s="298"/>
      <c r="J110" s="80" t="str">
        <f>IFERROR(ROUNDDOWN(IF(C110="","",(MAX((eff_date-Additions!C110)/365.25,0))),0),"")</f>
        <v/>
      </c>
      <c r="K110" s="59" t="str">
        <f>IF(F110="","",IF(G110="Dubai",HLOOKUP(F110,Inputs!$C$26:$M$28,3,0),HLOOKUP(F110,Inputs!$C$45:$M$46,2,0)))</f>
        <v/>
      </c>
      <c r="L110" s="335" t="str">
        <f t="shared" si="56"/>
        <v/>
      </c>
      <c r="M110" s="335">
        <f t="shared" si="57"/>
        <v>0</v>
      </c>
      <c r="N110" s="335" t="str">
        <f t="shared" si="58"/>
        <v/>
      </c>
      <c r="O110" s="335">
        <f t="shared" si="59"/>
        <v>0</v>
      </c>
      <c r="P110" s="104"/>
      <c r="Q110" s="105">
        <f t="shared" si="49"/>
        <v>0</v>
      </c>
      <c r="R110" s="59" t="b">
        <f t="shared" si="37"/>
        <v>0</v>
      </c>
      <c r="S110" s="102" t="str">
        <f t="shared" si="50"/>
        <v>x</v>
      </c>
      <c r="T110" s="102" t="str">
        <f t="shared" si="60"/>
        <v>x</v>
      </c>
      <c r="U110" s="102" t="str">
        <f t="shared" si="61"/>
        <v>x</v>
      </c>
      <c r="V110" s="102" t="str">
        <f t="shared" si="62"/>
        <v>x</v>
      </c>
      <c r="W110" s="102" t="str">
        <f t="shared" si="63"/>
        <v>x</v>
      </c>
      <c r="X110" s="102" t="str">
        <f>IF(ISERROR(MATCH(G110,'Inputs Mapping'!$T$4:$T$5,0)),"x","")</f>
        <v>x</v>
      </c>
      <c r="Y110" s="102" t="str">
        <f>IF(ISERROR(MATCH(AE110,'Inputs Mapping'!$U$4:$U$5,0)),"x","")</f>
        <v>x</v>
      </c>
      <c r="Z110" s="102" t="str">
        <f>IF(ISERROR(MATCH(AF110,'Inputs Mapping'!$V$4:$V$5,0)),"x","")</f>
        <v>x</v>
      </c>
      <c r="AA110" s="102" t="str">
        <f>IF(ISERROR(MATCH(F110,'Inputs Mapping'!$W$4:$W$8,0)),"x","")</f>
        <v>x</v>
      </c>
      <c r="AB110" s="102" t="str">
        <f t="shared" si="42"/>
        <v/>
      </c>
      <c r="AC110" s="102" t="str">
        <f t="shared" si="43"/>
        <v/>
      </c>
      <c r="AD110" s="102" t="str">
        <f t="shared" si="64"/>
        <v/>
      </c>
      <c r="AE110" s="102" t="str">
        <f t="shared" si="51"/>
        <v/>
      </c>
      <c r="AF110" s="102" t="str">
        <f t="shared" si="52"/>
        <v/>
      </c>
      <c r="AG110" s="102" t="str">
        <f t="shared" si="53"/>
        <v>x</v>
      </c>
      <c r="AK110" s="95" t="str">
        <f t="shared" si="45"/>
        <v/>
      </c>
      <c r="AL110" s="59" t="str">
        <f>IF(J110="","",VLOOKUP(J110,'Inputs Mapping'!$T$27:$V$30,3))</f>
        <v/>
      </c>
      <c r="AM110" s="59" t="str">
        <f>IF(J110="","",VLOOKUP(J110,'Inputs Mapping'!$T$17:$V$24,3))</f>
        <v/>
      </c>
      <c r="AN110" s="59" t="str">
        <f t="shared" si="46"/>
        <v/>
      </c>
      <c r="AO110" s="102" t="str">
        <f t="shared" si="47"/>
        <v/>
      </c>
      <c r="AP110" s="102" t="str">
        <f>IF(F110="","",IF(G110="Dubai",HLOOKUP(F110,Inputs!$C$26:$M$36,5,0),HLOOKUP(F110,Inputs!$C$45:$M$49,5,0)))</f>
        <v/>
      </c>
      <c r="AQ110" s="102">
        <f t="shared" si="48"/>
        <v>0</v>
      </c>
      <c r="AR110" s="59" t="str">
        <f>IF(AM110="","",IF(AQ110="Dubai",VLOOKUP(AM110,'Inputs Mapping'!$V$17:$W$24,2,0),VLOOKUP(AL110,'Inputs Mapping'!$V$27:$W$30,2,0)))</f>
        <v/>
      </c>
      <c r="AS110" s="333">
        <f>IFERROR(IF($AQ110="","",HLOOKUP($AQ110&amp;RIGHT($AO110,1),'input for formula'!$B$16:$I$20,3,0)),0)</f>
        <v>0</v>
      </c>
      <c r="AT110" s="80">
        <f>IFERROR(IF($AQ110="","",HLOOKUP($AQ110&amp;$F110,'input for formula'!$B$22:$M$25,2,0)),0)</f>
        <v>0</v>
      </c>
      <c r="AU110" s="333">
        <f>IFERROR(IF($AQ110="","",HLOOKUP($AQ110&amp;RIGHT($AO110,1),'input for formula'!$B$16:$I$20,4,0)),0)</f>
        <v>0</v>
      </c>
      <c r="AV110" s="80">
        <f>IFERROR(IF($AQ110="","",HLOOKUP($AQ110&amp;$F110,'input for formula'!$B$22:$M$25,3,0)),0)</f>
        <v>0</v>
      </c>
      <c r="AW110" s="333">
        <f>IFERROR(IF($AQ110="","",HLOOKUP($AQ110&amp;RIGHT($AO110,1),'input for formula'!$B$16:$I$20,5,0)),0)</f>
        <v>0</v>
      </c>
      <c r="AX110" s="80">
        <f>IFERROR(IF($AQ110="","",HLOOKUP($AQ110&amp;$F110,'input for formula'!$B$22:$M$25,4,0)),0)</f>
        <v>0</v>
      </c>
      <c r="AY110" s="333">
        <f>IFERROR(IF($AQ110="","",IF(Additions!$AQ110="Abu Dhabi",VLOOKUP(Additions!$AP110,'input for formula'!$A$28:$C$41,3,0),VLOOKUP(Additions!$AP110,'input for formula'!$A$28:$C$41,2,0))),0)*IFERROR(1+IF(AQ110="Dubai",VLOOKUP(F110,'Quotation for Dubai Plans'!$V$6:$X$12,3,FALSE),VLOOKUP(F110,'Quotation for Abu Dhabi Plans'!$W$6:$Y$12,3,FALSE)),0)</f>
        <v>0</v>
      </c>
      <c r="AZ110" s="80" t="str">
        <f t="shared" si="55"/>
        <v/>
      </c>
      <c r="BA110" s="106" t="str">
        <f>IFERROR(IF(AO110="","",IF(AQ110="Dubai",HLOOKUP((AO110&amp;AP110),Deviation!$B$7:$S$8,2,0)*BI110*BK110*BL110*BJ110,HLOOKUP((AO110&amp;AP110),Deviation!$B$9:$K$10,2,0)*BI110*BK110*BL110*BJ110)),0)</f>
        <v/>
      </c>
      <c r="BB110" s="107" t="e">
        <f>IF(AO110="","",IFERROR(IF(AO110="","",IF(AQ110="Dubai",HLOOKUP(BC110,'input for formula'!$B$3:$F$10,AR110,FALSE), IF(AND(H110="Employee",AQ110="Abu Dhabi"),HLOOKUP(BC110,'input for formula'!$I$3:$K$7,AR110,FALSE),HLOOKUP(BC110,'input for formula'!$M$3:$O$7,AR110,FALSE)))*BA110+AS110*AT110+AU110*AV110+AW110*AX110),0)*$BC$3)*IF(Inputs!$C$19&gt;100,(1+$BC$2),1)</f>
        <v>#VALUE!</v>
      </c>
      <c r="BC110" s="95" t="str">
        <f t="shared" si="54"/>
        <v/>
      </c>
      <c r="BD110" s="334" t="str">
        <f>IF(F110="","",IF(G110="Dubai",HLOOKUP(F110,Inputs!$C$26:$M$37,9,0),HLOOKUP(F110,Inputs!$C$45:$M$56,9,0)))</f>
        <v/>
      </c>
      <c r="BE110" s="335" t="str">
        <f>IF(F110="","",IF(G110="Dubai",HLOOKUP(F110,Inputs!$C$26:$M$37,10,0),HLOOKUP(F110,Inputs!$C$45:$M$56,10,0)))</f>
        <v/>
      </c>
      <c r="BF110" s="335" t="str">
        <f>IF(F110="","",IF(G110="Dubai",HLOOKUP(F110,Inputs!$C$26:$M$37,11,0),HLOOKUP(F110,Inputs!$C$45:$M$56,11,0)))</f>
        <v/>
      </c>
      <c r="BG110" s="334" t="str">
        <f>IF(F110="","",IF(G110="Dubai",HLOOKUP(F110,Inputs!$C$26:$M$37,12,0),HLOOKUP(F110,Inputs!$C$45:$M$56,12,0)))</f>
        <v/>
      </c>
      <c r="BI110" s="334" t="str">
        <f>IFERROR(IF(AO110="","",IF(AQ110="Dubai",IF(OR(AO110="Plan1",AO110="Plan2"),VLOOKUP(BD110,Deviation!$B$31:$D$33,2,FALSE),VLOOKUP(BD110,Deviation!$B$31:$D$33,3,FALSE)),IF(OR(AO110="Plan1",AO110="Plan2"),VLOOKUP(BD110,Deviation!$E$31:$G$33,2,FALSE),VLOOKUP(BD110,Deviation!$E$31:$G$33,3,FALSE)))),0)</f>
        <v/>
      </c>
      <c r="BJ110" s="336" t="str">
        <f>IFERROR(IF(AO110="","",IF(AQ110="Dubai",IF(AO110="Plan1",VLOOKUP(BE110,Deviation!$B$39:$C$40,2,FALSE),IF(AO110="Plan2",VLOOKUP(BE110,Deviation!$B$42:$C$43,2,FALSE),IF(AO110="Plan5",VLOOKUP(BE110,Deviation!$B$48:$C$49,2,FALSE),VLOOKUP(BE110,Deviation!$B$45:$C$46,2,FALSE)))),IF(AO110="Plan1",VLOOKUP(BE110,Deviation!$E$39:$F$40,2,FALSE),IF(AO110="Plan2",VLOOKUP(BE110,Deviation!$E$42:$F$43,2,FALSE),VLOOKUP(BE110,Deviation!$E$45:$F$46,2,FALSE))))),0)</f>
        <v/>
      </c>
      <c r="BK110" s="336" t="str">
        <f>IFERROR(IF(AO110="","",IF(AQ110="Dubai",IF(OR(AO110="Plan1",AO110="Plan2"),VLOOKUP(BF110,Deviation!$B$15:$D$18,2,FALSE),VLOOKUP(BF110,Deviation!$B$15:$D$18,3,FALSE)),IF(OR(AO110="Plan1",AO110="Plan2"),VLOOKUP(BF110,Deviation!$E$15:$G$18,2,FALSE),VLOOKUP(BF110,Deviation!$E$15:$G$18,3,FALSE)))),0)</f>
        <v/>
      </c>
      <c r="BL110" s="334" t="str">
        <f>IFERROR(IF(AO110="","",IF(AQ110="Dubai",VLOOKUP(BG110,Deviation!$B$24:$C$26,2,FALSE),100%)),0)</f>
        <v/>
      </c>
    </row>
    <row r="111" spans="1:64" ht="14.25" x14ac:dyDescent="0.2">
      <c r="A111" s="59">
        <v>106</v>
      </c>
      <c r="B111" s="298"/>
      <c r="C111" s="299"/>
      <c r="D111" s="298"/>
      <c r="E111" s="298"/>
      <c r="F111" s="298"/>
      <c r="G111" s="298"/>
      <c r="H111" s="298"/>
      <c r="I111" s="298"/>
      <c r="J111" s="80" t="str">
        <f>IFERROR(ROUNDDOWN(IF(C111="","",(MAX((eff_date-Additions!C111)/365.25,0))),0),"")</f>
        <v/>
      </c>
      <c r="K111" s="59" t="str">
        <f>IF(F111="","",IF(G111="Dubai",HLOOKUP(F111,Inputs!$C$26:$M$28,3,0),HLOOKUP(F111,Inputs!$C$45:$M$46,2,0)))</f>
        <v/>
      </c>
      <c r="L111" s="335" t="str">
        <f t="shared" si="56"/>
        <v/>
      </c>
      <c r="M111" s="335">
        <f t="shared" si="57"/>
        <v>0</v>
      </c>
      <c r="N111" s="335" t="str">
        <f t="shared" si="58"/>
        <v/>
      </c>
      <c r="O111" s="335">
        <f t="shared" si="59"/>
        <v>0</v>
      </c>
      <c r="P111" s="104"/>
      <c r="Q111" s="105">
        <f t="shared" si="49"/>
        <v>0</v>
      </c>
      <c r="R111" s="59" t="b">
        <f t="shared" si="37"/>
        <v>0</v>
      </c>
      <c r="S111" s="102" t="str">
        <f t="shared" si="50"/>
        <v>x</v>
      </c>
      <c r="T111" s="102" t="str">
        <f t="shared" si="60"/>
        <v>x</v>
      </c>
      <c r="U111" s="102" t="str">
        <f t="shared" si="61"/>
        <v>x</v>
      </c>
      <c r="V111" s="102" t="str">
        <f t="shared" si="62"/>
        <v>x</v>
      </c>
      <c r="W111" s="102" t="str">
        <f t="shared" si="63"/>
        <v>x</v>
      </c>
      <c r="X111" s="102" t="str">
        <f>IF(ISERROR(MATCH(G111,'Inputs Mapping'!$T$4:$T$5,0)),"x","")</f>
        <v>x</v>
      </c>
      <c r="Y111" s="102" t="str">
        <f>IF(ISERROR(MATCH(AE111,'Inputs Mapping'!$U$4:$U$5,0)),"x","")</f>
        <v>x</v>
      </c>
      <c r="Z111" s="102" t="str">
        <f>IF(ISERROR(MATCH(AF111,'Inputs Mapping'!$V$4:$V$5,0)),"x","")</f>
        <v>x</v>
      </c>
      <c r="AA111" s="102" t="str">
        <f>IF(ISERROR(MATCH(F111,'Inputs Mapping'!$W$4:$W$8,0)),"x","")</f>
        <v>x</v>
      </c>
      <c r="AB111" s="102" t="str">
        <f t="shared" si="42"/>
        <v/>
      </c>
      <c r="AC111" s="102" t="str">
        <f t="shared" si="43"/>
        <v/>
      </c>
      <c r="AD111" s="102" t="str">
        <f t="shared" si="64"/>
        <v/>
      </c>
      <c r="AE111" s="102" t="str">
        <f t="shared" si="51"/>
        <v/>
      </c>
      <c r="AF111" s="102" t="str">
        <f t="shared" si="52"/>
        <v/>
      </c>
      <c r="AG111" s="102" t="str">
        <f t="shared" si="53"/>
        <v>x</v>
      </c>
      <c r="AK111" s="95" t="str">
        <f t="shared" si="45"/>
        <v/>
      </c>
      <c r="AL111" s="59" t="str">
        <f>IF(J111="","",VLOOKUP(J111,'Inputs Mapping'!$T$27:$V$30,3))</f>
        <v/>
      </c>
      <c r="AM111" s="59" t="str">
        <f>IF(J111="","",VLOOKUP(J111,'Inputs Mapping'!$T$17:$V$24,3))</f>
        <v/>
      </c>
      <c r="AN111" s="59" t="str">
        <f t="shared" si="46"/>
        <v/>
      </c>
      <c r="AO111" s="102" t="str">
        <f t="shared" si="47"/>
        <v/>
      </c>
      <c r="AP111" s="102" t="str">
        <f>IF(F111="","",IF(G111="Dubai",HLOOKUP(F111,Inputs!$C$26:$M$36,5,0),HLOOKUP(F111,Inputs!$C$45:$M$49,5,0)))</f>
        <v/>
      </c>
      <c r="AQ111" s="102">
        <f t="shared" si="48"/>
        <v>0</v>
      </c>
      <c r="AR111" s="59" t="str">
        <f>IF(AM111="","",IF(AQ111="Dubai",VLOOKUP(AM111,'Inputs Mapping'!$V$17:$W$24,2,0),VLOOKUP(AL111,'Inputs Mapping'!$V$27:$W$30,2,0)))</f>
        <v/>
      </c>
      <c r="AS111" s="333">
        <f>IFERROR(IF($AQ111="","",HLOOKUP($AQ111&amp;RIGHT($AO111,1),'input for formula'!$B$16:$I$20,3,0)),0)</f>
        <v>0</v>
      </c>
      <c r="AT111" s="80">
        <f>IFERROR(IF($AQ111="","",HLOOKUP($AQ111&amp;$F111,'input for formula'!$B$22:$M$25,2,0)),0)</f>
        <v>0</v>
      </c>
      <c r="AU111" s="333">
        <f>IFERROR(IF($AQ111="","",HLOOKUP($AQ111&amp;RIGHT($AO111,1),'input for formula'!$B$16:$I$20,4,0)),0)</f>
        <v>0</v>
      </c>
      <c r="AV111" s="80">
        <f>IFERROR(IF($AQ111="","",HLOOKUP($AQ111&amp;$F111,'input for formula'!$B$22:$M$25,3,0)),0)</f>
        <v>0</v>
      </c>
      <c r="AW111" s="333">
        <f>IFERROR(IF($AQ111="","",HLOOKUP($AQ111&amp;RIGHT($AO111,1),'input for formula'!$B$16:$I$20,5,0)),0)</f>
        <v>0</v>
      </c>
      <c r="AX111" s="80">
        <f>IFERROR(IF($AQ111="","",HLOOKUP($AQ111&amp;$F111,'input for formula'!$B$22:$M$25,4,0)),0)</f>
        <v>0</v>
      </c>
      <c r="AY111" s="333">
        <f>IFERROR(IF($AQ111="","",IF(Additions!$AQ111="Abu Dhabi",VLOOKUP(Additions!$AP111,'input for formula'!$A$28:$C$41,3,0),VLOOKUP(Additions!$AP111,'input for formula'!$A$28:$C$41,2,0))),0)*IFERROR(1+IF(AQ111="Dubai",VLOOKUP(F111,'Quotation for Dubai Plans'!$V$6:$X$12,3,FALSE),VLOOKUP(F111,'Quotation for Abu Dhabi Plans'!$W$6:$Y$12,3,FALSE)),0)</f>
        <v>0</v>
      </c>
      <c r="AZ111" s="80" t="str">
        <f t="shared" si="55"/>
        <v/>
      </c>
      <c r="BA111" s="106" t="str">
        <f>IFERROR(IF(AO111="","",IF(AQ111="Dubai",HLOOKUP((AO111&amp;AP111),Deviation!$B$7:$S$8,2,0)*BI111*BK111*BL111*BJ111,HLOOKUP((AO111&amp;AP111),Deviation!$B$9:$K$10,2,0)*BI111*BK111*BL111*BJ111)),0)</f>
        <v/>
      </c>
      <c r="BB111" s="107" t="e">
        <f>IF(AO111="","",IFERROR(IF(AO111="","",IF(AQ111="Dubai",HLOOKUP(BC111,'input for formula'!$B$3:$F$10,AR111,FALSE), IF(AND(H111="Employee",AQ111="Abu Dhabi"),HLOOKUP(BC111,'input for formula'!$I$3:$K$7,AR111,FALSE),HLOOKUP(BC111,'input for formula'!$M$3:$O$7,AR111,FALSE)))*BA111+AS111*AT111+AU111*AV111+AW111*AX111),0)*$BC$3)*IF(Inputs!$C$19&gt;100,(1+$BC$2),1)</f>
        <v>#VALUE!</v>
      </c>
      <c r="BC111" s="95" t="str">
        <f t="shared" si="54"/>
        <v/>
      </c>
      <c r="BD111" s="334" t="str">
        <f>IF(F111="","",IF(G111="Dubai",HLOOKUP(F111,Inputs!$C$26:$M$37,9,0),HLOOKUP(F111,Inputs!$C$45:$M$56,9,0)))</f>
        <v/>
      </c>
      <c r="BE111" s="335" t="str">
        <f>IF(F111="","",IF(G111="Dubai",HLOOKUP(F111,Inputs!$C$26:$M$37,10,0),HLOOKUP(F111,Inputs!$C$45:$M$56,10,0)))</f>
        <v/>
      </c>
      <c r="BF111" s="335" t="str">
        <f>IF(F111="","",IF(G111="Dubai",HLOOKUP(F111,Inputs!$C$26:$M$37,11,0),HLOOKUP(F111,Inputs!$C$45:$M$56,11,0)))</f>
        <v/>
      </c>
      <c r="BG111" s="334" t="str">
        <f>IF(F111="","",IF(G111="Dubai",HLOOKUP(F111,Inputs!$C$26:$M$37,12,0),HLOOKUP(F111,Inputs!$C$45:$M$56,12,0)))</f>
        <v/>
      </c>
      <c r="BI111" s="334" t="str">
        <f>IFERROR(IF(AO111="","",IF(AQ111="Dubai",IF(OR(AO111="Plan1",AO111="Plan2"),VLOOKUP(BD111,Deviation!$B$31:$D$33,2,FALSE),VLOOKUP(BD111,Deviation!$B$31:$D$33,3,FALSE)),IF(OR(AO111="Plan1",AO111="Plan2"),VLOOKUP(BD111,Deviation!$E$31:$G$33,2,FALSE),VLOOKUP(BD111,Deviation!$E$31:$G$33,3,FALSE)))),0)</f>
        <v/>
      </c>
      <c r="BJ111" s="336" t="str">
        <f>IFERROR(IF(AO111="","",IF(AQ111="Dubai",IF(AO111="Plan1",VLOOKUP(BE111,Deviation!$B$39:$C$40,2,FALSE),IF(AO111="Plan2",VLOOKUP(BE111,Deviation!$B$42:$C$43,2,FALSE),IF(AO111="Plan5",VLOOKUP(BE111,Deviation!$B$48:$C$49,2,FALSE),VLOOKUP(BE111,Deviation!$B$45:$C$46,2,FALSE)))),IF(AO111="Plan1",VLOOKUP(BE111,Deviation!$E$39:$F$40,2,FALSE),IF(AO111="Plan2",VLOOKUP(BE111,Deviation!$E$42:$F$43,2,FALSE),VLOOKUP(BE111,Deviation!$E$45:$F$46,2,FALSE))))),0)</f>
        <v/>
      </c>
      <c r="BK111" s="336" t="str">
        <f>IFERROR(IF(AO111="","",IF(AQ111="Dubai",IF(OR(AO111="Plan1",AO111="Plan2"),VLOOKUP(BF111,Deviation!$B$15:$D$18,2,FALSE),VLOOKUP(BF111,Deviation!$B$15:$D$18,3,FALSE)),IF(OR(AO111="Plan1",AO111="Plan2"),VLOOKUP(BF111,Deviation!$E$15:$G$18,2,FALSE),VLOOKUP(BF111,Deviation!$E$15:$G$18,3,FALSE)))),0)</f>
        <v/>
      </c>
      <c r="BL111" s="334" t="str">
        <f>IFERROR(IF(AO111="","",IF(AQ111="Dubai",VLOOKUP(BG111,Deviation!$B$24:$C$26,2,FALSE),100%)),0)</f>
        <v/>
      </c>
    </row>
    <row r="112" spans="1:64" ht="14.25" x14ac:dyDescent="0.2">
      <c r="A112" s="59">
        <v>107</v>
      </c>
      <c r="B112" s="298"/>
      <c r="C112" s="299"/>
      <c r="D112" s="298"/>
      <c r="E112" s="298"/>
      <c r="F112" s="298"/>
      <c r="G112" s="298"/>
      <c r="H112" s="298"/>
      <c r="I112" s="298"/>
      <c r="J112" s="80" t="str">
        <f>IFERROR(ROUNDDOWN(IF(C112="","",(MAX((eff_date-Additions!C112)/365.25,0))),0),"")</f>
        <v/>
      </c>
      <c r="K112" s="59" t="str">
        <f>IF(F112="","",IF(G112="Dubai",HLOOKUP(F112,Inputs!$C$26:$M$28,3,0),HLOOKUP(F112,Inputs!$C$45:$M$46,2,0)))</f>
        <v/>
      </c>
      <c r="L112" s="335" t="str">
        <f t="shared" si="56"/>
        <v/>
      </c>
      <c r="M112" s="335">
        <f t="shared" si="57"/>
        <v>0</v>
      </c>
      <c r="N112" s="335" t="str">
        <f t="shared" si="58"/>
        <v/>
      </c>
      <c r="O112" s="335">
        <f t="shared" si="59"/>
        <v>0</v>
      </c>
      <c r="P112" s="104"/>
      <c r="Q112" s="105">
        <f t="shared" si="49"/>
        <v>0</v>
      </c>
      <c r="R112" s="59" t="b">
        <f t="shared" si="37"/>
        <v>0</v>
      </c>
      <c r="S112" s="102" t="str">
        <f t="shared" si="50"/>
        <v>x</v>
      </c>
      <c r="T112" s="102" t="str">
        <f t="shared" si="60"/>
        <v>x</v>
      </c>
      <c r="U112" s="102" t="str">
        <f t="shared" si="61"/>
        <v>x</v>
      </c>
      <c r="V112" s="102" t="str">
        <f t="shared" si="62"/>
        <v>x</v>
      </c>
      <c r="W112" s="102" t="str">
        <f t="shared" si="63"/>
        <v>x</v>
      </c>
      <c r="X112" s="102" t="str">
        <f>IF(ISERROR(MATCH(G112,'Inputs Mapping'!$T$4:$T$5,0)),"x","")</f>
        <v>x</v>
      </c>
      <c r="Y112" s="102" t="str">
        <f>IF(ISERROR(MATCH(AE112,'Inputs Mapping'!$U$4:$U$5,0)),"x","")</f>
        <v>x</v>
      </c>
      <c r="Z112" s="102" t="str">
        <f>IF(ISERROR(MATCH(AF112,'Inputs Mapping'!$V$4:$V$5,0)),"x","")</f>
        <v>x</v>
      </c>
      <c r="AA112" s="102" t="str">
        <f>IF(ISERROR(MATCH(F112,'Inputs Mapping'!$W$4:$W$8,0)),"x","")</f>
        <v>x</v>
      </c>
      <c r="AB112" s="102" t="str">
        <f t="shared" si="42"/>
        <v/>
      </c>
      <c r="AC112" s="102" t="str">
        <f t="shared" si="43"/>
        <v/>
      </c>
      <c r="AD112" s="102" t="str">
        <f t="shared" si="64"/>
        <v/>
      </c>
      <c r="AE112" s="102" t="str">
        <f t="shared" si="51"/>
        <v/>
      </c>
      <c r="AF112" s="102" t="str">
        <f t="shared" si="52"/>
        <v/>
      </c>
      <c r="AG112" s="102" t="str">
        <f t="shared" si="53"/>
        <v>x</v>
      </c>
      <c r="AK112" s="95" t="str">
        <f t="shared" si="45"/>
        <v/>
      </c>
      <c r="AL112" s="59" t="str">
        <f>IF(J112="","",VLOOKUP(J112,'Inputs Mapping'!$T$27:$V$30,3))</f>
        <v/>
      </c>
      <c r="AM112" s="59" t="str">
        <f>IF(J112="","",VLOOKUP(J112,'Inputs Mapping'!$T$17:$V$24,3))</f>
        <v/>
      </c>
      <c r="AN112" s="59" t="str">
        <f t="shared" si="46"/>
        <v/>
      </c>
      <c r="AO112" s="102" t="str">
        <f t="shared" si="47"/>
        <v/>
      </c>
      <c r="AP112" s="102" t="str">
        <f>IF(F112="","",IF(G112="Dubai",HLOOKUP(F112,Inputs!$C$26:$M$36,5,0),HLOOKUP(F112,Inputs!$C$45:$M$49,5,0)))</f>
        <v/>
      </c>
      <c r="AQ112" s="102">
        <f t="shared" si="48"/>
        <v>0</v>
      </c>
      <c r="AR112" s="59" t="str">
        <f>IF(AM112="","",IF(AQ112="Dubai",VLOOKUP(AM112,'Inputs Mapping'!$V$17:$W$24,2,0),VLOOKUP(AL112,'Inputs Mapping'!$V$27:$W$30,2,0)))</f>
        <v/>
      </c>
      <c r="AS112" s="333">
        <f>IFERROR(IF($AQ112="","",HLOOKUP($AQ112&amp;RIGHT($AO112,1),'input for formula'!$B$16:$I$20,3,0)),0)</f>
        <v>0</v>
      </c>
      <c r="AT112" s="80">
        <f>IFERROR(IF($AQ112="","",HLOOKUP($AQ112&amp;$F112,'input for formula'!$B$22:$M$25,2,0)),0)</f>
        <v>0</v>
      </c>
      <c r="AU112" s="333">
        <f>IFERROR(IF($AQ112="","",HLOOKUP($AQ112&amp;RIGHT($AO112,1),'input for formula'!$B$16:$I$20,4,0)),0)</f>
        <v>0</v>
      </c>
      <c r="AV112" s="80">
        <f>IFERROR(IF($AQ112="","",HLOOKUP($AQ112&amp;$F112,'input for formula'!$B$22:$M$25,3,0)),0)</f>
        <v>0</v>
      </c>
      <c r="AW112" s="333">
        <f>IFERROR(IF($AQ112="","",HLOOKUP($AQ112&amp;RIGHT($AO112,1),'input for formula'!$B$16:$I$20,5,0)),0)</f>
        <v>0</v>
      </c>
      <c r="AX112" s="80">
        <f>IFERROR(IF($AQ112="","",HLOOKUP($AQ112&amp;$F112,'input for formula'!$B$22:$M$25,4,0)),0)</f>
        <v>0</v>
      </c>
      <c r="AY112" s="333">
        <f>IFERROR(IF($AQ112="","",IF(Additions!$AQ112="Abu Dhabi",VLOOKUP(Additions!$AP112,'input for formula'!$A$28:$C$41,3,0),VLOOKUP(Additions!$AP112,'input for formula'!$A$28:$C$41,2,0))),0)*IFERROR(1+IF(AQ112="Dubai",VLOOKUP(F112,'Quotation for Dubai Plans'!$V$6:$X$12,3,FALSE),VLOOKUP(F112,'Quotation for Abu Dhabi Plans'!$W$6:$Y$12,3,FALSE)),0)</f>
        <v>0</v>
      </c>
      <c r="AZ112" s="80" t="str">
        <f t="shared" si="55"/>
        <v/>
      </c>
      <c r="BA112" s="106" t="str">
        <f>IFERROR(IF(AO112="","",IF(AQ112="Dubai",HLOOKUP((AO112&amp;AP112),Deviation!$B$7:$S$8,2,0)*BI112*BK112*BL112*BJ112,HLOOKUP((AO112&amp;AP112),Deviation!$B$9:$K$10,2,0)*BI112*BK112*BL112*BJ112)),0)</f>
        <v/>
      </c>
      <c r="BB112" s="107" t="e">
        <f>IF(AO112="","",IFERROR(IF(AO112="","",IF(AQ112="Dubai",HLOOKUP(BC112,'input for formula'!$B$3:$F$10,AR112,FALSE), IF(AND(H112="Employee",AQ112="Abu Dhabi"),HLOOKUP(BC112,'input for formula'!$I$3:$K$7,AR112,FALSE),HLOOKUP(BC112,'input for formula'!$M$3:$O$7,AR112,FALSE)))*BA112+AS112*AT112+AU112*AV112+AW112*AX112),0)*$BC$3)*IF(Inputs!$C$19&gt;100,(1+$BC$2),1)</f>
        <v>#VALUE!</v>
      </c>
      <c r="BC112" s="95" t="str">
        <f t="shared" si="54"/>
        <v/>
      </c>
      <c r="BD112" s="334" t="str">
        <f>IF(F112="","",IF(G112="Dubai",HLOOKUP(F112,Inputs!$C$26:$M$37,9,0),HLOOKUP(F112,Inputs!$C$45:$M$56,9,0)))</f>
        <v/>
      </c>
      <c r="BE112" s="335" t="str">
        <f>IF(F112="","",IF(G112="Dubai",HLOOKUP(F112,Inputs!$C$26:$M$37,10,0),HLOOKUP(F112,Inputs!$C$45:$M$56,10,0)))</f>
        <v/>
      </c>
      <c r="BF112" s="335" t="str">
        <f>IF(F112="","",IF(G112="Dubai",HLOOKUP(F112,Inputs!$C$26:$M$37,11,0),HLOOKUP(F112,Inputs!$C$45:$M$56,11,0)))</f>
        <v/>
      </c>
      <c r="BG112" s="334" t="str">
        <f>IF(F112="","",IF(G112="Dubai",HLOOKUP(F112,Inputs!$C$26:$M$37,12,0),HLOOKUP(F112,Inputs!$C$45:$M$56,12,0)))</f>
        <v/>
      </c>
      <c r="BI112" s="334" t="str">
        <f>IFERROR(IF(AO112="","",IF(AQ112="Dubai",IF(OR(AO112="Plan1",AO112="Plan2"),VLOOKUP(BD112,Deviation!$B$31:$D$33,2,FALSE),VLOOKUP(BD112,Deviation!$B$31:$D$33,3,FALSE)),IF(OR(AO112="Plan1",AO112="Plan2"),VLOOKUP(BD112,Deviation!$E$31:$G$33,2,FALSE),VLOOKUP(BD112,Deviation!$E$31:$G$33,3,FALSE)))),0)</f>
        <v/>
      </c>
      <c r="BJ112" s="336" t="str">
        <f>IFERROR(IF(AO112="","",IF(AQ112="Dubai",IF(AO112="Plan1",VLOOKUP(BE112,Deviation!$B$39:$C$40,2,FALSE),IF(AO112="Plan2",VLOOKUP(BE112,Deviation!$B$42:$C$43,2,FALSE),IF(AO112="Plan5",VLOOKUP(BE112,Deviation!$B$48:$C$49,2,FALSE),VLOOKUP(BE112,Deviation!$B$45:$C$46,2,FALSE)))),IF(AO112="Plan1",VLOOKUP(BE112,Deviation!$E$39:$F$40,2,FALSE),IF(AO112="Plan2",VLOOKUP(BE112,Deviation!$E$42:$F$43,2,FALSE),VLOOKUP(BE112,Deviation!$E$45:$F$46,2,FALSE))))),0)</f>
        <v/>
      </c>
      <c r="BK112" s="336" t="str">
        <f>IFERROR(IF(AO112="","",IF(AQ112="Dubai",IF(OR(AO112="Plan1",AO112="Plan2"),VLOOKUP(BF112,Deviation!$B$15:$D$18,2,FALSE),VLOOKUP(BF112,Deviation!$B$15:$D$18,3,FALSE)),IF(OR(AO112="Plan1",AO112="Plan2"),VLOOKUP(BF112,Deviation!$E$15:$G$18,2,FALSE),VLOOKUP(BF112,Deviation!$E$15:$G$18,3,FALSE)))),0)</f>
        <v/>
      </c>
      <c r="BL112" s="334" t="str">
        <f>IFERROR(IF(AO112="","",IF(AQ112="Dubai",VLOOKUP(BG112,Deviation!$B$24:$C$26,2,FALSE),100%)),0)</f>
        <v/>
      </c>
    </row>
    <row r="113" spans="1:64" ht="14.25" x14ac:dyDescent="0.2">
      <c r="A113" s="59">
        <v>108</v>
      </c>
      <c r="B113" s="298"/>
      <c r="C113" s="299"/>
      <c r="D113" s="298"/>
      <c r="E113" s="298"/>
      <c r="F113" s="298"/>
      <c r="G113" s="298"/>
      <c r="H113" s="298"/>
      <c r="I113" s="298"/>
      <c r="J113" s="80" t="str">
        <f>IFERROR(ROUNDDOWN(IF(C113="","",(MAX((eff_date-Additions!C113)/365.25,0))),0),"")</f>
        <v/>
      </c>
      <c r="K113" s="59" t="str">
        <f>IF(F113="","",IF(G113="Dubai",HLOOKUP(F113,Inputs!$C$26:$M$28,3,0),HLOOKUP(F113,Inputs!$C$45:$M$46,2,0)))</f>
        <v/>
      </c>
      <c r="L113" s="335" t="str">
        <f t="shared" si="56"/>
        <v/>
      </c>
      <c r="M113" s="335">
        <f t="shared" si="57"/>
        <v>0</v>
      </c>
      <c r="N113" s="335" t="str">
        <f t="shared" si="58"/>
        <v/>
      </c>
      <c r="O113" s="335">
        <f t="shared" si="59"/>
        <v>0</v>
      </c>
      <c r="P113" s="104"/>
      <c r="Q113" s="105">
        <f t="shared" si="49"/>
        <v>0</v>
      </c>
      <c r="R113" s="59" t="b">
        <f t="shared" si="37"/>
        <v>0</v>
      </c>
      <c r="S113" s="102" t="str">
        <f t="shared" si="50"/>
        <v>x</v>
      </c>
      <c r="T113" s="102" t="str">
        <f t="shared" si="60"/>
        <v>x</v>
      </c>
      <c r="U113" s="102" t="str">
        <f t="shared" si="61"/>
        <v>x</v>
      </c>
      <c r="V113" s="102" t="str">
        <f t="shared" si="62"/>
        <v>x</v>
      </c>
      <c r="W113" s="102" t="str">
        <f t="shared" si="63"/>
        <v>x</v>
      </c>
      <c r="X113" s="102" t="str">
        <f>IF(ISERROR(MATCH(G113,'Inputs Mapping'!$T$4:$T$5,0)),"x","")</f>
        <v>x</v>
      </c>
      <c r="Y113" s="102" t="str">
        <f>IF(ISERROR(MATCH(AE113,'Inputs Mapping'!$U$4:$U$5,0)),"x","")</f>
        <v>x</v>
      </c>
      <c r="Z113" s="102" t="str">
        <f>IF(ISERROR(MATCH(AF113,'Inputs Mapping'!$V$4:$V$5,0)),"x","")</f>
        <v>x</v>
      </c>
      <c r="AA113" s="102" t="str">
        <f>IF(ISERROR(MATCH(F113,'Inputs Mapping'!$W$4:$W$8,0)),"x","")</f>
        <v>x</v>
      </c>
      <c r="AB113" s="102" t="str">
        <f t="shared" si="42"/>
        <v/>
      </c>
      <c r="AC113" s="102" t="str">
        <f t="shared" si="43"/>
        <v/>
      </c>
      <c r="AD113" s="102" t="str">
        <f t="shared" si="64"/>
        <v/>
      </c>
      <c r="AE113" s="102" t="str">
        <f t="shared" si="51"/>
        <v/>
      </c>
      <c r="AF113" s="102" t="str">
        <f t="shared" si="52"/>
        <v/>
      </c>
      <c r="AG113" s="102" t="str">
        <f t="shared" si="53"/>
        <v>x</v>
      </c>
      <c r="AK113" s="95" t="str">
        <f t="shared" si="45"/>
        <v/>
      </c>
      <c r="AL113" s="59" t="str">
        <f>IF(J113="","",VLOOKUP(J113,'Inputs Mapping'!$T$27:$V$30,3))</f>
        <v/>
      </c>
      <c r="AM113" s="59" t="str">
        <f>IF(J113="","",VLOOKUP(J113,'Inputs Mapping'!$T$17:$V$24,3))</f>
        <v/>
      </c>
      <c r="AN113" s="59" t="str">
        <f t="shared" si="46"/>
        <v/>
      </c>
      <c r="AO113" s="102" t="str">
        <f t="shared" si="47"/>
        <v/>
      </c>
      <c r="AP113" s="102" t="str">
        <f>IF(F113="","",IF(G113="Dubai",HLOOKUP(F113,Inputs!$C$26:$M$36,5,0),HLOOKUP(F113,Inputs!$C$45:$M$49,5,0)))</f>
        <v/>
      </c>
      <c r="AQ113" s="102">
        <f t="shared" si="48"/>
        <v>0</v>
      </c>
      <c r="AR113" s="59" t="str">
        <f>IF(AM113="","",IF(AQ113="Dubai",VLOOKUP(AM113,'Inputs Mapping'!$V$17:$W$24,2,0),VLOOKUP(AL113,'Inputs Mapping'!$V$27:$W$30,2,0)))</f>
        <v/>
      </c>
      <c r="AS113" s="333">
        <f>IFERROR(IF($AQ113="","",HLOOKUP($AQ113&amp;RIGHT($AO113,1),'input for formula'!$B$16:$I$20,3,0)),0)</f>
        <v>0</v>
      </c>
      <c r="AT113" s="80">
        <f>IFERROR(IF($AQ113="","",HLOOKUP($AQ113&amp;$F113,'input for formula'!$B$22:$M$25,2,0)),0)</f>
        <v>0</v>
      </c>
      <c r="AU113" s="333">
        <f>IFERROR(IF($AQ113="","",HLOOKUP($AQ113&amp;RIGHT($AO113,1),'input for formula'!$B$16:$I$20,4,0)),0)</f>
        <v>0</v>
      </c>
      <c r="AV113" s="80">
        <f>IFERROR(IF($AQ113="","",HLOOKUP($AQ113&amp;$F113,'input for formula'!$B$22:$M$25,3,0)),0)</f>
        <v>0</v>
      </c>
      <c r="AW113" s="333">
        <f>IFERROR(IF($AQ113="","",HLOOKUP($AQ113&amp;RIGHT($AO113,1),'input for formula'!$B$16:$I$20,5,0)),0)</f>
        <v>0</v>
      </c>
      <c r="AX113" s="80">
        <f>IFERROR(IF($AQ113="","",HLOOKUP($AQ113&amp;$F113,'input for formula'!$B$22:$M$25,4,0)),0)</f>
        <v>0</v>
      </c>
      <c r="AY113" s="333">
        <f>IFERROR(IF($AQ113="","",IF(Additions!$AQ113="Abu Dhabi",VLOOKUP(Additions!$AP113,'input for formula'!$A$28:$C$41,3,0),VLOOKUP(Additions!$AP113,'input for formula'!$A$28:$C$41,2,0))),0)*IFERROR(1+IF(AQ113="Dubai",VLOOKUP(F113,'Quotation for Dubai Plans'!$V$6:$X$12,3,FALSE),VLOOKUP(F113,'Quotation for Abu Dhabi Plans'!$W$6:$Y$12,3,FALSE)),0)</f>
        <v>0</v>
      </c>
      <c r="AZ113" s="80" t="str">
        <f t="shared" si="55"/>
        <v/>
      </c>
      <c r="BA113" s="106" t="str">
        <f>IFERROR(IF(AO113="","",IF(AQ113="Dubai",HLOOKUP((AO113&amp;AP113),Deviation!$B$7:$S$8,2,0)*BI113*BK113*BL113*BJ113,HLOOKUP((AO113&amp;AP113),Deviation!$B$9:$K$10,2,0)*BI113*BK113*BL113*BJ113)),0)</f>
        <v/>
      </c>
      <c r="BB113" s="107" t="e">
        <f>IF(AO113="","",IFERROR(IF(AO113="","",IF(AQ113="Dubai",HLOOKUP(BC113,'input for formula'!$B$3:$F$10,AR113,FALSE), IF(AND(H113="Employee",AQ113="Abu Dhabi"),HLOOKUP(BC113,'input for formula'!$I$3:$K$7,AR113,FALSE),HLOOKUP(BC113,'input for formula'!$M$3:$O$7,AR113,FALSE)))*BA113+AS113*AT113+AU113*AV113+AW113*AX113),0)*$BC$3)*IF(Inputs!$C$19&gt;100,(1+$BC$2),1)</f>
        <v>#VALUE!</v>
      </c>
      <c r="BC113" s="95" t="str">
        <f t="shared" si="54"/>
        <v/>
      </c>
      <c r="BD113" s="334" t="str">
        <f>IF(F113="","",IF(G113="Dubai",HLOOKUP(F113,Inputs!$C$26:$M$37,9,0),HLOOKUP(F113,Inputs!$C$45:$M$56,9,0)))</f>
        <v/>
      </c>
      <c r="BE113" s="335" t="str">
        <f>IF(F113="","",IF(G113="Dubai",HLOOKUP(F113,Inputs!$C$26:$M$37,10,0),HLOOKUP(F113,Inputs!$C$45:$M$56,10,0)))</f>
        <v/>
      </c>
      <c r="BF113" s="335" t="str">
        <f>IF(F113="","",IF(G113="Dubai",HLOOKUP(F113,Inputs!$C$26:$M$37,11,0),HLOOKUP(F113,Inputs!$C$45:$M$56,11,0)))</f>
        <v/>
      </c>
      <c r="BG113" s="334" t="str">
        <f>IF(F113="","",IF(G113="Dubai",HLOOKUP(F113,Inputs!$C$26:$M$37,12,0),HLOOKUP(F113,Inputs!$C$45:$M$56,12,0)))</f>
        <v/>
      </c>
      <c r="BI113" s="334" t="str">
        <f>IFERROR(IF(AO113="","",IF(AQ113="Dubai",IF(OR(AO113="Plan1",AO113="Plan2"),VLOOKUP(BD113,Deviation!$B$31:$D$33,2,FALSE),VLOOKUP(BD113,Deviation!$B$31:$D$33,3,FALSE)),IF(OR(AO113="Plan1",AO113="Plan2"),VLOOKUP(BD113,Deviation!$E$31:$G$33,2,FALSE),VLOOKUP(BD113,Deviation!$E$31:$G$33,3,FALSE)))),0)</f>
        <v/>
      </c>
      <c r="BJ113" s="336" t="str">
        <f>IFERROR(IF(AO113="","",IF(AQ113="Dubai",IF(AO113="Plan1",VLOOKUP(BE113,Deviation!$B$39:$C$40,2,FALSE),IF(AO113="Plan2",VLOOKUP(BE113,Deviation!$B$42:$C$43,2,FALSE),IF(AO113="Plan5",VLOOKUP(BE113,Deviation!$B$48:$C$49,2,FALSE),VLOOKUP(BE113,Deviation!$B$45:$C$46,2,FALSE)))),IF(AO113="Plan1",VLOOKUP(BE113,Deviation!$E$39:$F$40,2,FALSE),IF(AO113="Plan2",VLOOKUP(BE113,Deviation!$E$42:$F$43,2,FALSE),VLOOKUP(BE113,Deviation!$E$45:$F$46,2,FALSE))))),0)</f>
        <v/>
      </c>
      <c r="BK113" s="336" t="str">
        <f>IFERROR(IF(AO113="","",IF(AQ113="Dubai",IF(OR(AO113="Plan1",AO113="Plan2"),VLOOKUP(BF113,Deviation!$B$15:$D$18,2,FALSE),VLOOKUP(BF113,Deviation!$B$15:$D$18,3,FALSE)),IF(OR(AO113="Plan1",AO113="Plan2"),VLOOKUP(BF113,Deviation!$E$15:$G$18,2,FALSE),VLOOKUP(BF113,Deviation!$E$15:$G$18,3,FALSE)))),0)</f>
        <v/>
      </c>
      <c r="BL113" s="334" t="str">
        <f>IFERROR(IF(AO113="","",IF(AQ113="Dubai",VLOOKUP(BG113,Deviation!$B$24:$C$26,2,FALSE),100%)),0)</f>
        <v/>
      </c>
    </row>
    <row r="114" spans="1:64" ht="14.25" x14ac:dyDescent="0.2">
      <c r="A114" s="59">
        <v>109</v>
      </c>
      <c r="B114" s="298"/>
      <c r="C114" s="299"/>
      <c r="D114" s="298"/>
      <c r="E114" s="298"/>
      <c r="F114" s="298"/>
      <c r="G114" s="298"/>
      <c r="H114" s="298"/>
      <c r="I114" s="298"/>
      <c r="J114" s="80" t="str">
        <f>IFERROR(ROUNDDOWN(IF(C114="","",(MAX((eff_date-Additions!C114)/365.25,0))),0),"")</f>
        <v/>
      </c>
      <c r="K114" s="59" t="str">
        <f>IF(F114="","",IF(G114="Dubai",HLOOKUP(F114,Inputs!$C$26:$M$28,3,0),HLOOKUP(F114,Inputs!$C$45:$M$46,2,0)))</f>
        <v/>
      </c>
      <c r="L114" s="335" t="str">
        <f t="shared" si="56"/>
        <v/>
      </c>
      <c r="M114" s="335">
        <f t="shared" si="57"/>
        <v>0</v>
      </c>
      <c r="N114" s="335" t="str">
        <f t="shared" si="58"/>
        <v/>
      </c>
      <c r="O114" s="335">
        <f t="shared" si="59"/>
        <v>0</v>
      </c>
      <c r="P114" s="104"/>
      <c r="Q114" s="105">
        <f t="shared" si="49"/>
        <v>0</v>
      </c>
      <c r="R114" s="59" t="b">
        <f t="shared" si="37"/>
        <v>0</v>
      </c>
      <c r="S114" s="102" t="str">
        <f t="shared" si="50"/>
        <v>x</v>
      </c>
      <c r="T114" s="102" t="str">
        <f t="shared" si="60"/>
        <v>x</v>
      </c>
      <c r="U114" s="102" t="str">
        <f t="shared" si="61"/>
        <v>x</v>
      </c>
      <c r="V114" s="102" t="str">
        <f t="shared" si="62"/>
        <v>x</v>
      </c>
      <c r="W114" s="102" t="str">
        <f t="shared" si="63"/>
        <v>x</v>
      </c>
      <c r="X114" s="102" t="str">
        <f>IF(ISERROR(MATCH(G114,'Inputs Mapping'!$T$4:$T$5,0)),"x","")</f>
        <v>x</v>
      </c>
      <c r="Y114" s="102" t="str">
        <f>IF(ISERROR(MATCH(AE114,'Inputs Mapping'!$U$4:$U$5,0)),"x","")</f>
        <v>x</v>
      </c>
      <c r="Z114" s="102" t="str">
        <f>IF(ISERROR(MATCH(AF114,'Inputs Mapping'!$V$4:$V$5,0)),"x","")</f>
        <v>x</v>
      </c>
      <c r="AA114" s="102" t="str">
        <f>IF(ISERROR(MATCH(F114,'Inputs Mapping'!$W$4:$W$8,0)),"x","")</f>
        <v>x</v>
      </c>
      <c r="AB114" s="102" t="str">
        <f t="shared" si="42"/>
        <v/>
      </c>
      <c r="AC114" s="102" t="str">
        <f t="shared" si="43"/>
        <v/>
      </c>
      <c r="AD114" s="102" t="str">
        <f t="shared" si="64"/>
        <v/>
      </c>
      <c r="AE114" s="102" t="str">
        <f t="shared" si="51"/>
        <v/>
      </c>
      <c r="AF114" s="102" t="str">
        <f t="shared" si="52"/>
        <v/>
      </c>
      <c r="AG114" s="102" t="str">
        <f t="shared" si="53"/>
        <v>x</v>
      </c>
      <c r="AK114" s="95" t="str">
        <f t="shared" si="45"/>
        <v/>
      </c>
      <c r="AL114" s="59" t="str">
        <f>IF(J114="","",VLOOKUP(J114,'Inputs Mapping'!$T$27:$V$30,3))</f>
        <v/>
      </c>
      <c r="AM114" s="59" t="str">
        <f>IF(J114="","",VLOOKUP(J114,'Inputs Mapping'!$T$17:$V$24,3))</f>
        <v/>
      </c>
      <c r="AN114" s="59" t="str">
        <f t="shared" si="46"/>
        <v/>
      </c>
      <c r="AO114" s="102" t="str">
        <f t="shared" si="47"/>
        <v/>
      </c>
      <c r="AP114" s="102" t="str">
        <f>IF(F114="","",IF(G114="Dubai",HLOOKUP(F114,Inputs!$C$26:$M$36,5,0),HLOOKUP(F114,Inputs!$C$45:$M$49,5,0)))</f>
        <v/>
      </c>
      <c r="AQ114" s="102">
        <f t="shared" si="48"/>
        <v>0</v>
      </c>
      <c r="AR114" s="59" t="str">
        <f>IF(AM114="","",IF(AQ114="Dubai",VLOOKUP(AM114,'Inputs Mapping'!$V$17:$W$24,2,0),VLOOKUP(AL114,'Inputs Mapping'!$V$27:$W$30,2,0)))</f>
        <v/>
      </c>
      <c r="AS114" s="333">
        <f>IFERROR(IF($AQ114="","",HLOOKUP($AQ114&amp;RIGHT($AO114,1),'input for formula'!$B$16:$I$20,3,0)),0)</f>
        <v>0</v>
      </c>
      <c r="AT114" s="80">
        <f>IFERROR(IF($AQ114="","",HLOOKUP($AQ114&amp;$F114,'input for formula'!$B$22:$M$25,2,0)),0)</f>
        <v>0</v>
      </c>
      <c r="AU114" s="333">
        <f>IFERROR(IF($AQ114="","",HLOOKUP($AQ114&amp;RIGHT($AO114,1),'input for formula'!$B$16:$I$20,4,0)),0)</f>
        <v>0</v>
      </c>
      <c r="AV114" s="80">
        <f>IFERROR(IF($AQ114="","",HLOOKUP($AQ114&amp;$F114,'input for formula'!$B$22:$M$25,3,0)),0)</f>
        <v>0</v>
      </c>
      <c r="AW114" s="333">
        <f>IFERROR(IF($AQ114="","",HLOOKUP($AQ114&amp;RIGHT($AO114,1),'input for formula'!$B$16:$I$20,5,0)),0)</f>
        <v>0</v>
      </c>
      <c r="AX114" s="80">
        <f>IFERROR(IF($AQ114="","",HLOOKUP($AQ114&amp;$F114,'input for formula'!$B$22:$M$25,4,0)),0)</f>
        <v>0</v>
      </c>
      <c r="AY114" s="333">
        <f>IFERROR(IF($AQ114="","",IF(Additions!$AQ114="Abu Dhabi",VLOOKUP(Additions!$AP114,'input for formula'!$A$28:$C$41,3,0),VLOOKUP(Additions!$AP114,'input for formula'!$A$28:$C$41,2,0))),0)*IFERROR(1+IF(AQ114="Dubai",VLOOKUP(F114,'Quotation for Dubai Plans'!$V$6:$X$12,3,FALSE),VLOOKUP(F114,'Quotation for Abu Dhabi Plans'!$W$6:$Y$12,3,FALSE)),0)</f>
        <v>0</v>
      </c>
      <c r="AZ114" s="80" t="str">
        <f t="shared" si="55"/>
        <v/>
      </c>
      <c r="BA114" s="106" t="str">
        <f>IFERROR(IF(AO114="","",IF(AQ114="Dubai",HLOOKUP((AO114&amp;AP114),Deviation!$B$7:$S$8,2,0)*BI114*BK114*BL114*BJ114,HLOOKUP((AO114&amp;AP114),Deviation!$B$9:$K$10,2,0)*BI114*BK114*BL114*BJ114)),0)</f>
        <v/>
      </c>
      <c r="BB114" s="107" t="e">
        <f>IF(AO114="","",IFERROR(IF(AO114="","",IF(AQ114="Dubai",HLOOKUP(BC114,'input for formula'!$B$3:$F$10,AR114,FALSE), IF(AND(H114="Employee",AQ114="Abu Dhabi"),HLOOKUP(BC114,'input for formula'!$I$3:$K$7,AR114,FALSE),HLOOKUP(BC114,'input for formula'!$M$3:$O$7,AR114,FALSE)))*BA114+AS114*AT114+AU114*AV114+AW114*AX114),0)*$BC$3)*IF(Inputs!$C$19&gt;100,(1+$BC$2),1)</f>
        <v>#VALUE!</v>
      </c>
      <c r="BC114" s="95" t="str">
        <f t="shared" si="54"/>
        <v/>
      </c>
      <c r="BD114" s="334" t="str">
        <f>IF(F114="","",IF(G114="Dubai",HLOOKUP(F114,Inputs!$C$26:$M$37,9,0),HLOOKUP(F114,Inputs!$C$45:$M$56,9,0)))</f>
        <v/>
      </c>
      <c r="BE114" s="335" t="str">
        <f>IF(F114="","",IF(G114="Dubai",HLOOKUP(F114,Inputs!$C$26:$M$37,10,0),HLOOKUP(F114,Inputs!$C$45:$M$56,10,0)))</f>
        <v/>
      </c>
      <c r="BF114" s="335" t="str">
        <f>IF(F114="","",IF(G114="Dubai",HLOOKUP(F114,Inputs!$C$26:$M$37,11,0),HLOOKUP(F114,Inputs!$C$45:$M$56,11,0)))</f>
        <v/>
      </c>
      <c r="BG114" s="334" t="str">
        <f>IF(F114="","",IF(G114="Dubai",HLOOKUP(F114,Inputs!$C$26:$M$37,12,0),HLOOKUP(F114,Inputs!$C$45:$M$56,12,0)))</f>
        <v/>
      </c>
      <c r="BI114" s="334" t="str">
        <f>IFERROR(IF(AO114="","",IF(AQ114="Dubai",IF(OR(AO114="Plan1",AO114="Plan2"),VLOOKUP(BD114,Deviation!$B$31:$D$33,2,FALSE),VLOOKUP(BD114,Deviation!$B$31:$D$33,3,FALSE)),IF(OR(AO114="Plan1",AO114="Plan2"),VLOOKUP(BD114,Deviation!$E$31:$G$33,2,FALSE),VLOOKUP(BD114,Deviation!$E$31:$G$33,3,FALSE)))),0)</f>
        <v/>
      </c>
      <c r="BJ114" s="336" t="str">
        <f>IFERROR(IF(AO114="","",IF(AQ114="Dubai",IF(AO114="Plan1",VLOOKUP(BE114,Deviation!$B$39:$C$40,2,FALSE),IF(AO114="Plan2",VLOOKUP(BE114,Deviation!$B$42:$C$43,2,FALSE),IF(AO114="Plan5",VLOOKUP(BE114,Deviation!$B$48:$C$49,2,FALSE),VLOOKUP(BE114,Deviation!$B$45:$C$46,2,FALSE)))),IF(AO114="Plan1",VLOOKUP(BE114,Deviation!$E$39:$F$40,2,FALSE),IF(AO114="Plan2",VLOOKUP(BE114,Deviation!$E$42:$F$43,2,FALSE),VLOOKUP(BE114,Deviation!$E$45:$F$46,2,FALSE))))),0)</f>
        <v/>
      </c>
      <c r="BK114" s="336" t="str">
        <f>IFERROR(IF(AO114="","",IF(AQ114="Dubai",IF(OR(AO114="Plan1",AO114="Plan2"),VLOOKUP(BF114,Deviation!$B$15:$D$18,2,FALSE),VLOOKUP(BF114,Deviation!$B$15:$D$18,3,FALSE)),IF(OR(AO114="Plan1",AO114="Plan2"),VLOOKUP(BF114,Deviation!$E$15:$G$18,2,FALSE),VLOOKUP(BF114,Deviation!$E$15:$G$18,3,FALSE)))),0)</f>
        <v/>
      </c>
      <c r="BL114" s="334" t="str">
        <f>IFERROR(IF(AO114="","",IF(AQ114="Dubai",VLOOKUP(BG114,Deviation!$B$24:$C$26,2,FALSE),100%)),0)</f>
        <v/>
      </c>
    </row>
    <row r="115" spans="1:64" ht="14.25" x14ac:dyDescent="0.2">
      <c r="A115" s="59">
        <v>110</v>
      </c>
      <c r="B115" s="298"/>
      <c r="C115" s="299"/>
      <c r="D115" s="298"/>
      <c r="E115" s="298"/>
      <c r="F115" s="298"/>
      <c r="G115" s="298"/>
      <c r="H115" s="298"/>
      <c r="I115" s="298"/>
      <c r="J115" s="80" t="str">
        <f>IFERROR(ROUNDDOWN(IF(C115="","",(MAX((eff_date-Additions!C115)/365.25,0))),0),"")</f>
        <v/>
      </c>
      <c r="K115" s="59" t="str">
        <f>IF(F115="","",IF(G115="Dubai",HLOOKUP(F115,Inputs!$C$26:$M$28,3,0),HLOOKUP(F115,Inputs!$C$45:$M$46,2,0)))</f>
        <v/>
      </c>
      <c r="L115" s="335" t="str">
        <f t="shared" si="56"/>
        <v/>
      </c>
      <c r="M115" s="335">
        <f t="shared" si="57"/>
        <v>0</v>
      </c>
      <c r="N115" s="335" t="str">
        <f t="shared" si="58"/>
        <v/>
      </c>
      <c r="O115" s="335">
        <f t="shared" si="59"/>
        <v>0</v>
      </c>
      <c r="P115" s="104"/>
      <c r="Q115" s="105">
        <f t="shared" si="49"/>
        <v>0</v>
      </c>
      <c r="R115" s="59" t="b">
        <f t="shared" si="37"/>
        <v>0</v>
      </c>
      <c r="S115" s="102" t="str">
        <f t="shared" si="50"/>
        <v>x</v>
      </c>
      <c r="T115" s="102" t="str">
        <f t="shared" si="60"/>
        <v>x</v>
      </c>
      <c r="U115" s="102" t="str">
        <f t="shared" si="61"/>
        <v>x</v>
      </c>
      <c r="V115" s="102" t="str">
        <f t="shared" si="62"/>
        <v>x</v>
      </c>
      <c r="W115" s="102" t="str">
        <f t="shared" si="63"/>
        <v>x</v>
      </c>
      <c r="X115" s="102" t="str">
        <f>IF(ISERROR(MATCH(G115,'Inputs Mapping'!$T$4:$T$5,0)),"x","")</f>
        <v>x</v>
      </c>
      <c r="Y115" s="102" t="str">
        <f>IF(ISERROR(MATCH(AE115,'Inputs Mapping'!$U$4:$U$5,0)),"x","")</f>
        <v>x</v>
      </c>
      <c r="Z115" s="102" t="str">
        <f>IF(ISERROR(MATCH(AF115,'Inputs Mapping'!$V$4:$V$5,0)),"x","")</f>
        <v>x</v>
      </c>
      <c r="AA115" s="102" t="str">
        <f>IF(ISERROR(MATCH(F115,'Inputs Mapping'!$W$4:$W$8,0)),"x","")</f>
        <v>x</v>
      </c>
      <c r="AB115" s="102" t="str">
        <f t="shared" si="42"/>
        <v/>
      </c>
      <c r="AC115" s="102" t="str">
        <f t="shared" si="43"/>
        <v/>
      </c>
      <c r="AD115" s="102" t="str">
        <f t="shared" si="64"/>
        <v/>
      </c>
      <c r="AE115" s="102" t="str">
        <f t="shared" si="51"/>
        <v/>
      </c>
      <c r="AF115" s="102" t="str">
        <f t="shared" si="52"/>
        <v/>
      </c>
      <c r="AG115" s="102" t="str">
        <f t="shared" si="53"/>
        <v>x</v>
      </c>
      <c r="AK115" s="95" t="str">
        <f t="shared" si="45"/>
        <v/>
      </c>
      <c r="AL115" s="59" t="str">
        <f>IF(J115="","",VLOOKUP(J115,'Inputs Mapping'!$T$27:$V$30,3))</f>
        <v/>
      </c>
      <c r="AM115" s="59" t="str">
        <f>IF(J115="","",VLOOKUP(J115,'Inputs Mapping'!$T$17:$V$24,3))</f>
        <v/>
      </c>
      <c r="AN115" s="59" t="str">
        <f t="shared" si="46"/>
        <v/>
      </c>
      <c r="AO115" s="102" t="str">
        <f t="shared" si="47"/>
        <v/>
      </c>
      <c r="AP115" s="102" t="str">
        <f>IF(F115="","",IF(G115="Dubai",HLOOKUP(F115,Inputs!$C$26:$M$36,5,0),HLOOKUP(F115,Inputs!$C$45:$M$49,5,0)))</f>
        <v/>
      </c>
      <c r="AQ115" s="102">
        <f t="shared" si="48"/>
        <v>0</v>
      </c>
      <c r="AR115" s="59" t="str">
        <f>IF(AM115="","",IF(AQ115="Dubai",VLOOKUP(AM115,'Inputs Mapping'!$V$17:$W$24,2,0),VLOOKUP(AL115,'Inputs Mapping'!$V$27:$W$30,2,0)))</f>
        <v/>
      </c>
      <c r="AS115" s="333">
        <f>IFERROR(IF($AQ115="","",HLOOKUP($AQ115&amp;RIGHT($AO115,1),'input for formula'!$B$16:$I$20,3,0)),0)</f>
        <v>0</v>
      </c>
      <c r="AT115" s="80">
        <f>IFERROR(IF($AQ115="","",HLOOKUP($AQ115&amp;$F115,'input for formula'!$B$22:$M$25,2,0)),0)</f>
        <v>0</v>
      </c>
      <c r="AU115" s="333">
        <f>IFERROR(IF($AQ115="","",HLOOKUP($AQ115&amp;RIGHT($AO115,1),'input for formula'!$B$16:$I$20,4,0)),0)</f>
        <v>0</v>
      </c>
      <c r="AV115" s="80">
        <f>IFERROR(IF($AQ115="","",HLOOKUP($AQ115&amp;$F115,'input for formula'!$B$22:$M$25,3,0)),0)</f>
        <v>0</v>
      </c>
      <c r="AW115" s="333">
        <f>IFERROR(IF($AQ115="","",HLOOKUP($AQ115&amp;RIGHT($AO115,1),'input for formula'!$B$16:$I$20,5,0)),0)</f>
        <v>0</v>
      </c>
      <c r="AX115" s="80">
        <f>IFERROR(IF($AQ115="","",HLOOKUP($AQ115&amp;$F115,'input for formula'!$B$22:$M$25,4,0)),0)</f>
        <v>0</v>
      </c>
      <c r="AY115" s="333">
        <f>IFERROR(IF($AQ115="","",IF(Additions!$AQ115="Abu Dhabi",VLOOKUP(Additions!$AP115,'input for formula'!$A$28:$C$41,3,0),VLOOKUP(Additions!$AP115,'input for formula'!$A$28:$C$41,2,0))),0)*IFERROR(1+IF(AQ115="Dubai",VLOOKUP(F115,'Quotation for Dubai Plans'!$V$6:$X$12,3,FALSE),VLOOKUP(F115,'Quotation for Abu Dhabi Plans'!$W$6:$Y$12,3,FALSE)),0)</f>
        <v>0</v>
      </c>
      <c r="AZ115" s="80" t="str">
        <f t="shared" si="55"/>
        <v/>
      </c>
      <c r="BA115" s="106" t="str">
        <f>IFERROR(IF(AO115="","",IF(AQ115="Dubai",HLOOKUP((AO115&amp;AP115),Deviation!$B$7:$S$8,2,0)*BI115*BK115*BL115*BJ115,HLOOKUP((AO115&amp;AP115),Deviation!$B$9:$K$10,2,0)*BI115*BK115*BL115*BJ115)),0)</f>
        <v/>
      </c>
      <c r="BB115" s="107" t="e">
        <f>IF(AO115="","",IFERROR(IF(AO115="","",IF(AQ115="Dubai",HLOOKUP(BC115,'input for formula'!$B$3:$F$10,AR115,FALSE), IF(AND(H115="Employee",AQ115="Abu Dhabi"),HLOOKUP(BC115,'input for formula'!$I$3:$K$7,AR115,FALSE),HLOOKUP(BC115,'input for formula'!$M$3:$O$7,AR115,FALSE)))*BA115+AS115*AT115+AU115*AV115+AW115*AX115),0)*$BC$3)*IF(Inputs!$C$19&gt;100,(1+$BC$2),1)</f>
        <v>#VALUE!</v>
      </c>
      <c r="BC115" s="95" t="str">
        <f t="shared" si="54"/>
        <v/>
      </c>
      <c r="BD115" s="334" t="str">
        <f>IF(F115="","",IF(G115="Dubai",HLOOKUP(F115,Inputs!$C$26:$M$37,9,0),HLOOKUP(F115,Inputs!$C$45:$M$56,9,0)))</f>
        <v/>
      </c>
      <c r="BE115" s="335" t="str">
        <f>IF(F115="","",IF(G115="Dubai",HLOOKUP(F115,Inputs!$C$26:$M$37,10,0),HLOOKUP(F115,Inputs!$C$45:$M$56,10,0)))</f>
        <v/>
      </c>
      <c r="BF115" s="335" t="str">
        <f>IF(F115="","",IF(G115="Dubai",HLOOKUP(F115,Inputs!$C$26:$M$37,11,0),HLOOKUP(F115,Inputs!$C$45:$M$56,11,0)))</f>
        <v/>
      </c>
      <c r="BG115" s="334" t="str">
        <f>IF(F115="","",IF(G115="Dubai",HLOOKUP(F115,Inputs!$C$26:$M$37,12,0),HLOOKUP(F115,Inputs!$C$45:$M$56,12,0)))</f>
        <v/>
      </c>
      <c r="BI115" s="334" t="str">
        <f>IFERROR(IF(AO115="","",IF(AQ115="Dubai",IF(OR(AO115="Plan1",AO115="Plan2"),VLOOKUP(BD115,Deviation!$B$31:$D$33,2,FALSE),VLOOKUP(BD115,Deviation!$B$31:$D$33,3,FALSE)),IF(OR(AO115="Plan1",AO115="Plan2"),VLOOKUP(BD115,Deviation!$E$31:$G$33,2,FALSE),VLOOKUP(BD115,Deviation!$E$31:$G$33,3,FALSE)))),0)</f>
        <v/>
      </c>
      <c r="BJ115" s="336" t="str">
        <f>IFERROR(IF(AO115="","",IF(AQ115="Dubai",IF(AO115="Plan1",VLOOKUP(BE115,Deviation!$B$39:$C$40,2,FALSE),IF(AO115="Plan2",VLOOKUP(BE115,Deviation!$B$42:$C$43,2,FALSE),IF(AO115="Plan5",VLOOKUP(BE115,Deviation!$B$48:$C$49,2,FALSE),VLOOKUP(BE115,Deviation!$B$45:$C$46,2,FALSE)))),IF(AO115="Plan1",VLOOKUP(BE115,Deviation!$E$39:$F$40,2,FALSE),IF(AO115="Plan2",VLOOKUP(BE115,Deviation!$E$42:$F$43,2,FALSE),VLOOKUP(BE115,Deviation!$E$45:$F$46,2,FALSE))))),0)</f>
        <v/>
      </c>
      <c r="BK115" s="336" t="str">
        <f>IFERROR(IF(AO115="","",IF(AQ115="Dubai",IF(OR(AO115="Plan1",AO115="Plan2"),VLOOKUP(BF115,Deviation!$B$15:$D$18,2,FALSE),VLOOKUP(BF115,Deviation!$B$15:$D$18,3,FALSE)),IF(OR(AO115="Plan1",AO115="Plan2"),VLOOKUP(BF115,Deviation!$E$15:$G$18,2,FALSE),VLOOKUP(BF115,Deviation!$E$15:$G$18,3,FALSE)))),0)</f>
        <v/>
      </c>
      <c r="BL115" s="334" t="str">
        <f>IFERROR(IF(AO115="","",IF(AQ115="Dubai",VLOOKUP(BG115,Deviation!$B$24:$C$26,2,FALSE),100%)),0)</f>
        <v/>
      </c>
    </row>
    <row r="116" spans="1:64" ht="14.25" x14ac:dyDescent="0.2">
      <c r="A116" s="59">
        <v>111</v>
      </c>
      <c r="B116" s="298"/>
      <c r="C116" s="299"/>
      <c r="D116" s="298"/>
      <c r="E116" s="298"/>
      <c r="F116" s="298"/>
      <c r="G116" s="298"/>
      <c r="H116" s="298"/>
      <c r="I116" s="298"/>
      <c r="J116" s="80" t="str">
        <f>IFERROR(ROUNDDOWN(IF(C116="","",(MAX((eff_date-Additions!C116)/365.25,0))),0),"")</f>
        <v/>
      </c>
      <c r="K116" s="59" t="str">
        <f>IF(F116="","",IF(G116="Dubai",HLOOKUP(F116,Inputs!$C$26:$M$28,3,0),HLOOKUP(F116,Inputs!$C$45:$M$46,2,0)))</f>
        <v/>
      </c>
      <c r="L116" s="335" t="str">
        <f t="shared" si="56"/>
        <v/>
      </c>
      <c r="M116" s="335">
        <f t="shared" si="57"/>
        <v>0</v>
      </c>
      <c r="N116" s="335" t="str">
        <f t="shared" si="58"/>
        <v/>
      </c>
      <c r="O116" s="335">
        <f t="shared" si="59"/>
        <v>0</v>
      </c>
      <c r="P116" s="104"/>
      <c r="Q116" s="105">
        <f t="shared" si="49"/>
        <v>0</v>
      </c>
      <c r="R116" s="59" t="b">
        <f t="shared" si="37"/>
        <v>0</v>
      </c>
      <c r="S116" s="102" t="str">
        <f t="shared" si="50"/>
        <v>x</v>
      </c>
      <c r="T116" s="102" t="str">
        <f t="shared" si="60"/>
        <v>x</v>
      </c>
      <c r="U116" s="102" t="str">
        <f t="shared" si="61"/>
        <v>x</v>
      </c>
      <c r="V116" s="102" t="str">
        <f t="shared" si="62"/>
        <v>x</v>
      </c>
      <c r="W116" s="102" t="str">
        <f t="shared" si="63"/>
        <v>x</v>
      </c>
      <c r="X116" s="102" t="str">
        <f>IF(ISERROR(MATCH(G116,'Inputs Mapping'!$T$4:$T$5,0)),"x","")</f>
        <v>x</v>
      </c>
      <c r="Y116" s="102" t="str">
        <f>IF(ISERROR(MATCH(AE116,'Inputs Mapping'!$U$4:$U$5,0)),"x","")</f>
        <v>x</v>
      </c>
      <c r="Z116" s="102" t="str">
        <f>IF(ISERROR(MATCH(AF116,'Inputs Mapping'!$V$4:$V$5,0)),"x","")</f>
        <v>x</v>
      </c>
      <c r="AA116" s="102" t="str">
        <f>IF(ISERROR(MATCH(F116,'Inputs Mapping'!$W$4:$W$8,0)),"x","")</f>
        <v>x</v>
      </c>
      <c r="AB116" s="102" t="str">
        <f t="shared" si="42"/>
        <v/>
      </c>
      <c r="AC116" s="102" t="str">
        <f t="shared" si="43"/>
        <v/>
      </c>
      <c r="AD116" s="102" t="str">
        <f t="shared" si="64"/>
        <v/>
      </c>
      <c r="AE116" s="102" t="str">
        <f t="shared" si="51"/>
        <v/>
      </c>
      <c r="AF116" s="102" t="str">
        <f t="shared" si="52"/>
        <v/>
      </c>
      <c r="AG116" s="102" t="str">
        <f t="shared" si="53"/>
        <v>x</v>
      </c>
      <c r="AK116" s="95" t="str">
        <f t="shared" si="45"/>
        <v/>
      </c>
      <c r="AL116" s="59" t="str">
        <f>IF(J116="","",VLOOKUP(J116,'Inputs Mapping'!$T$27:$V$30,3))</f>
        <v/>
      </c>
      <c r="AM116" s="59" t="str">
        <f>IF(J116="","",VLOOKUP(J116,'Inputs Mapping'!$T$17:$V$24,3))</f>
        <v/>
      </c>
      <c r="AN116" s="59" t="str">
        <f t="shared" si="46"/>
        <v/>
      </c>
      <c r="AO116" s="102" t="str">
        <f t="shared" si="47"/>
        <v/>
      </c>
      <c r="AP116" s="102" t="str">
        <f>IF(F116="","",IF(G116="Dubai",HLOOKUP(F116,Inputs!$C$26:$M$36,5,0),HLOOKUP(F116,Inputs!$C$45:$M$49,5,0)))</f>
        <v/>
      </c>
      <c r="AQ116" s="102">
        <f t="shared" si="48"/>
        <v>0</v>
      </c>
      <c r="AR116" s="59" t="str">
        <f>IF(AM116="","",IF(AQ116="Dubai",VLOOKUP(AM116,'Inputs Mapping'!$V$17:$W$24,2,0),VLOOKUP(AL116,'Inputs Mapping'!$V$27:$W$30,2,0)))</f>
        <v/>
      </c>
      <c r="AS116" s="333">
        <f>IFERROR(IF($AQ116="","",HLOOKUP($AQ116&amp;RIGHT($AO116,1),'input for formula'!$B$16:$I$20,3,0)),0)</f>
        <v>0</v>
      </c>
      <c r="AT116" s="80">
        <f>IFERROR(IF($AQ116="","",HLOOKUP($AQ116&amp;$F116,'input for formula'!$B$22:$M$25,2,0)),0)</f>
        <v>0</v>
      </c>
      <c r="AU116" s="333">
        <f>IFERROR(IF($AQ116="","",HLOOKUP($AQ116&amp;RIGHT($AO116,1),'input for formula'!$B$16:$I$20,4,0)),0)</f>
        <v>0</v>
      </c>
      <c r="AV116" s="80">
        <f>IFERROR(IF($AQ116="","",HLOOKUP($AQ116&amp;$F116,'input for formula'!$B$22:$M$25,3,0)),0)</f>
        <v>0</v>
      </c>
      <c r="AW116" s="333">
        <f>IFERROR(IF($AQ116="","",HLOOKUP($AQ116&amp;RIGHT($AO116,1),'input for formula'!$B$16:$I$20,5,0)),0)</f>
        <v>0</v>
      </c>
      <c r="AX116" s="80">
        <f>IFERROR(IF($AQ116="","",HLOOKUP($AQ116&amp;$F116,'input for formula'!$B$22:$M$25,4,0)),0)</f>
        <v>0</v>
      </c>
      <c r="AY116" s="333">
        <f>IFERROR(IF($AQ116="","",IF(Additions!$AQ116="Abu Dhabi",VLOOKUP(Additions!$AP116,'input for formula'!$A$28:$C$41,3,0),VLOOKUP(Additions!$AP116,'input for formula'!$A$28:$C$41,2,0))),0)*IFERROR(1+IF(AQ116="Dubai",VLOOKUP(F116,'Quotation for Dubai Plans'!$V$6:$X$12,3,FALSE),VLOOKUP(F116,'Quotation for Abu Dhabi Plans'!$W$6:$Y$12,3,FALSE)),0)</f>
        <v>0</v>
      </c>
      <c r="AZ116" s="80" t="str">
        <f t="shared" si="55"/>
        <v/>
      </c>
      <c r="BA116" s="106" t="str">
        <f>IFERROR(IF(AO116="","",IF(AQ116="Dubai",HLOOKUP((AO116&amp;AP116),Deviation!$B$7:$S$8,2,0)*BI116*BK116*BL116*BJ116,HLOOKUP((AO116&amp;AP116),Deviation!$B$9:$K$10,2,0)*BI116*BK116*BL116*BJ116)),0)</f>
        <v/>
      </c>
      <c r="BB116" s="107" t="e">
        <f>IF(AO116="","",IFERROR(IF(AO116="","",IF(AQ116="Dubai",HLOOKUP(BC116,'input for formula'!$B$3:$F$10,AR116,FALSE), IF(AND(H116="Employee",AQ116="Abu Dhabi"),HLOOKUP(BC116,'input for formula'!$I$3:$K$7,AR116,FALSE),HLOOKUP(BC116,'input for formula'!$M$3:$O$7,AR116,FALSE)))*BA116+AS116*AT116+AU116*AV116+AW116*AX116),0)*$BC$3)*IF(Inputs!$C$19&gt;100,(1+$BC$2),1)</f>
        <v>#VALUE!</v>
      </c>
      <c r="BC116" s="95" t="str">
        <f t="shared" si="54"/>
        <v/>
      </c>
      <c r="BD116" s="334" t="str">
        <f>IF(F116="","",IF(G116="Dubai",HLOOKUP(F116,Inputs!$C$26:$M$37,9,0),HLOOKUP(F116,Inputs!$C$45:$M$56,9,0)))</f>
        <v/>
      </c>
      <c r="BE116" s="335" t="str">
        <f>IF(F116="","",IF(G116="Dubai",HLOOKUP(F116,Inputs!$C$26:$M$37,10,0),HLOOKUP(F116,Inputs!$C$45:$M$56,10,0)))</f>
        <v/>
      </c>
      <c r="BF116" s="335" t="str">
        <f>IF(F116="","",IF(G116="Dubai",HLOOKUP(F116,Inputs!$C$26:$M$37,11,0),HLOOKUP(F116,Inputs!$C$45:$M$56,11,0)))</f>
        <v/>
      </c>
      <c r="BG116" s="334" t="str">
        <f>IF(F116="","",IF(G116="Dubai",HLOOKUP(F116,Inputs!$C$26:$M$37,12,0),HLOOKUP(F116,Inputs!$C$45:$M$56,12,0)))</f>
        <v/>
      </c>
      <c r="BI116" s="334" t="str">
        <f>IFERROR(IF(AO116="","",IF(AQ116="Dubai",IF(OR(AO116="Plan1",AO116="Plan2"),VLOOKUP(BD116,Deviation!$B$31:$D$33,2,FALSE),VLOOKUP(BD116,Deviation!$B$31:$D$33,3,FALSE)),IF(OR(AO116="Plan1",AO116="Plan2"),VLOOKUP(BD116,Deviation!$E$31:$G$33,2,FALSE),VLOOKUP(BD116,Deviation!$E$31:$G$33,3,FALSE)))),0)</f>
        <v/>
      </c>
      <c r="BJ116" s="336" t="str">
        <f>IFERROR(IF(AO116="","",IF(AQ116="Dubai",IF(AO116="Plan1",VLOOKUP(BE116,Deviation!$B$39:$C$40,2,FALSE),IF(AO116="Plan2",VLOOKUP(BE116,Deviation!$B$42:$C$43,2,FALSE),IF(AO116="Plan5",VLOOKUP(BE116,Deviation!$B$48:$C$49,2,FALSE),VLOOKUP(BE116,Deviation!$B$45:$C$46,2,FALSE)))),IF(AO116="Plan1",VLOOKUP(BE116,Deviation!$E$39:$F$40,2,FALSE),IF(AO116="Plan2",VLOOKUP(BE116,Deviation!$E$42:$F$43,2,FALSE),VLOOKUP(BE116,Deviation!$E$45:$F$46,2,FALSE))))),0)</f>
        <v/>
      </c>
      <c r="BK116" s="336" t="str">
        <f>IFERROR(IF(AO116="","",IF(AQ116="Dubai",IF(OR(AO116="Plan1",AO116="Plan2"),VLOOKUP(BF116,Deviation!$B$15:$D$18,2,FALSE),VLOOKUP(BF116,Deviation!$B$15:$D$18,3,FALSE)),IF(OR(AO116="Plan1",AO116="Plan2"),VLOOKUP(BF116,Deviation!$E$15:$G$18,2,FALSE),VLOOKUP(BF116,Deviation!$E$15:$G$18,3,FALSE)))),0)</f>
        <v/>
      </c>
      <c r="BL116" s="334" t="str">
        <f>IFERROR(IF(AO116="","",IF(AQ116="Dubai",VLOOKUP(BG116,Deviation!$B$24:$C$26,2,FALSE),100%)),0)</f>
        <v/>
      </c>
    </row>
    <row r="117" spans="1:64" ht="14.25" x14ac:dyDescent="0.2">
      <c r="A117" s="59">
        <v>112</v>
      </c>
      <c r="B117" s="298"/>
      <c r="C117" s="299"/>
      <c r="D117" s="298"/>
      <c r="E117" s="298"/>
      <c r="F117" s="298"/>
      <c r="G117" s="298"/>
      <c r="H117" s="298"/>
      <c r="I117" s="298"/>
      <c r="J117" s="80" t="str">
        <f>IFERROR(ROUNDDOWN(IF(C117="","",(MAX((eff_date-Additions!C117)/365.25,0))),0),"")</f>
        <v/>
      </c>
      <c r="K117" s="59" t="str">
        <f>IF(F117="","",IF(G117="Dubai",HLOOKUP(F117,Inputs!$C$26:$M$28,3,0),HLOOKUP(F117,Inputs!$C$45:$M$46,2,0)))</f>
        <v/>
      </c>
      <c r="L117" s="335" t="str">
        <f t="shared" si="56"/>
        <v/>
      </c>
      <c r="M117" s="335">
        <f t="shared" si="57"/>
        <v>0</v>
      </c>
      <c r="N117" s="335" t="str">
        <f t="shared" si="58"/>
        <v/>
      </c>
      <c r="O117" s="335">
        <f t="shared" si="59"/>
        <v>0</v>
      </c>
      <c r="P117" s="104"/>
      <c r="Q117" s="105">
        <f t="shared" si="49"/>
        <v>0</v>
      </c>
      <c r="R117" s="59" t="b">
        <f t="shared" si="37"/>
        <v>0</v>
      </c>
      <c r="S117" s="102" t="str">
        <f t="shared" si="50"/>
        <v>x</v>
      </c>
      <c r="T117" s="102" t="str">
        <f t="shared" si="60"/>
        <v>x</v>
      </c>
      <c r="U117" s="102" t="str">
        <f t="shared" si="61"/>
        <v>x</v>
      </c>
      <c r="V117" s="102" t="str">
        <f t="shared" si="62"/>
        <v>x</v>
      </c>
      <c r="W117" s="102" t="str">
        <f t="shared" si="63"/>
        <v>x</v>
      </c>
      <c r="X117" s="102" t="str">
        <f>IF(ISERROR(MATCH(G117,'Inputs Mapping'!$T$4:$T$5,0)),"x","")</f>
        <v>x</v>
      </c>
      <c r="Y117" s="102" t="str">
        <f>IF(ISERROR(MATCH(AE117,'Inputs Mapping'!$U$4:$U$5,0)),"x","")</f>
        <v>x</v>
      </c>
      <c r="Z117" s="102" t="str">
        <f>IF(ISERROR(MATCH(AF117,'Inputs Mapping'!$V$4:$V$5,0)),"x","")</f>
        <v>x</v>
      </c>
      <c r="AA117" s="102" t="str">
        <f>IF(ISERROR(MATCH(F117,'Inputs Mapping'!$W$4:$W$8,0)),"x","")</f>
        <v>x</v>
      </c>
      <c r="AB117" s="102" t="str">
        <f t="shared" si="42"/>
        <v/>
      </c>
      <c r="AC117" s="102" t="str">
        <f t="shared" si="43"/>
        <v/>
      </c>
      <c r="AD117" s="102" t="str">
        <f t="shared" si="64"/>
        <v/>
      </c>
      <c r="AE117" s="102" t="str">
        <f t="shared" si="51"/>
        <v/>
      </c>
      <c r="AF117" s="102" t="str">
        <f t="shared" si="52"/>
        <v/>
      </c>
      <c r="AG117" s="102" t="str">
        <f t="shared" si="53"/>
        <v>x</v>
      </c>
      <c r="AK117" s="95" t="str">
        <f t="shared" si="45"/>
        <v/>
      </c>
      <c r="AL117" s="59" t="str">
        <f>IF(J117="","",VLOOKUP(J117,'Inputs Mapping'!$T$27:$V$30,3))</f>
        <v/>
      </c>
      <c r="AM117" s="59" t="str">
        <f>IF(J117="","",VLOOKUP(J117,'Inputs Mapping'!$T$17:$V$24,3))</f>
        <v/>
      </c>
      <c r="AN117" s="59" t="str">
        <f t="shared" si="46"/>
        <v/>
      </c>
      <c r="AO117" s="102" t="str">
        <f t="shared" si="47"/>
        <v/>
      </c>
      <c r="AP117" s="102" t="str">
        <f>IF(F117="","",IF(G117="Dubai",HLOOKUP(F117,Inputs!$C$26:$M$36,5,0),HLOOKUP(F117,Inputs!$C$45:$M$49,5,0)))</f>
        <v/>
      </c>
      <c r="AQ117" s="102">
        <f t="shared" si="48"/>
        <v>0</v>
      </c>
      <c r="AR117" s="59" t="str">
        <f>IF(AM117="","",IF(AQ117="Dubai",VLOOKUP(AM117,'Inputs Mapping'!$V$17:$W$24,2,0),VLOOKUP(AL117,'Inputs Mapping'!$V$27:$W$30,2,0)))</f>
        <v/>
      </c>
      <c r="AS117" s="333">
        <f>IFERROR(IF($AQ117="","",HLOOKUP($AQ117&amp;RIGHT($AO117,1),'input for formula'!$B$16:$I$20,3,0)),0)</f>
        <v>0</v>
      </c>
      <c r="AT117" s="80">
        <f>IFERROR(IF($AQ117="","",HLOOKUP($AQ117&amp;$F117,'input for formula'!$B$22:$M$25,2,0)),0)</f>
        <v>0</v>
      </c>
      <c r="AU117" s="333">
        <f>IFERROR(IF($AQ117="","",HLOOKUP($AQ117&amp;RIGHT($AO117,1),'input for formula'!$B$16:$I$20,4,0)),0)</f>
        <v>0</v>
      </c>
      <c r="AV117" s="80">
        <f>IFERROR(IF($AQ117="","",HLOOKUP($AQ117&amp;$F117,'input for formula'!$B$22:$M$25,3,0)),0)</f>
        <v>0</v>
      </c>
      <c r="AW117" s="333">
        <f>IFERROR(IF($AQ117="","",HLOOKUP($AQ117&amp;RIGHT($AO117,1),'input for formula'!$B$16:$I$20,5,0)),0)</f>
        <v>0</v>
      </c>
      <c r="AX117" s="80">
        <f>IFERROR(IF($AQ117="","",HLOOKUP($AQ117&amp;$F117,'input for formula'!$B$22:$M$25,4,0)),0)</f>
        <v>0</v>
      </c>
      <c r="AY117" s="333">
        <f>IFERROR(IF($AQ117="","",IF(Additions!$AQ117="Abu Dhabi",VLOOKUP(Additions!$AP117,'input for formula'!$A$28:$C$41,3,0),VLOOKUP(Additions!$AP117,'input for formula'!$A$28:$C$41,2,0))),0)*IFERROR(1+IF(AQ117="Dubai",VLOOKUP(F117,'Quotation for Dubai Plans'!$V$6:$X$12,3,FALSE),VLOOKUP(F117,'Quotation for Abu Dhabi Plans'!$W$6:$Y$12,3,FALSE)),0)</f>
        <v>0</v>
      </c>
      <c r="AZ117" s="80" t="str">
        <f t="shared" si="55"/>
        <v/>
      </c>
      <c r="BA117" s="106" t="str">
        <f>IFERROR(IF(AO117="","",IF(AQ117="Dubai",HLOOKUP((AO117&amp;AP117),Deviation!$B$7:$S$8,2,0)*BI117*BK117*BL117*BJ117,HLOOKUP((AO117&amp;AP117),Deviation!$B$9:$K$10,2,0)*BI117*BK117*BL117*BJ117)),0)</f>
        <v/>
      </c>
      <c r="BB117" s="107" t="e">
        <f>IF(AO117="","",IFERROR(IF(AO117="","",IF(AQ117="Dubai",HLOOKUP(BC117,'input for formula'!$B$3:$F$10,AR117,FALSE), IF(AND(H117="Employee",AQ117="Abu Dhabi"),HLOOKUP(BC117,'input for formula'!$I$3:$K$7,AR117,FALSE),HLOOKUP(BC117,'input for formula'!$M$3:$O$7,AR117,FALSE)))*BA117+AS117*AT117+AU117*AV117+AW117*AX117),0)*$BC$3)*IF(Inputs!$C$19&gt;100,(1+$BC$2),1)</f>
        <v>#VALUE!</v>
      </c>
      <c r="BC117" s="95" t="str">
        <f t="shared" si="54"/>
        <v/>
      </c>
      <c r="BD117" s="334" t="str">
        <f>IF(F117="","",IF(G117="Dubai",HLOOKUP(F117,Inputs!$C$26:$M$37,9,0),HLOOKUP(F117,Inputs!$C$45:$M$56,9,0)))</f>
        <v/>
      </c>
      <c r="BE117" s="335" t="str">
        <f>IF(F117="","",IF(G117="Dubai",HLOOKUP(F117,Inputs!$C$26:$M$37,10,0),HLOOKUP(F117,Inputs!$C$45:$M$56,10,0)))</f>
        <v/>
      </c>
      <c r="BF117" s="335" t="str">
        <f>IF(F117="","",IF(G117="Dubai",HLOOKUP(F117,Inputs!$C$26:$M$37,11,0),HLOOKUP(F117,Inputs!$C$45:$M$56,11,0)))</f>
        <v/>
      </c>
      <c r="BG117" s="334" t="str">
        <f>IF(F117="","",IF(G117="Dubai",HLOOKUP(F117,Inputs!$C$26:$M$37,12,0),HLOOKUP(F117,Inputs!$C$45:$M$56,12,0)))</f>
        <v/>
      </c>
      <c r="BI117" s="334" t="str">
        <f>IFERROR(IF(AO117="","",IF(AQ117="Dubai",IF(OR(AO117="Plan1",AO117="Plan2"),VLOOKUP(BD117,Deviation!$B$31:$D$33,2,FALSE),VLOOKUP(BD117,Deviation!$B$31:$D$33,3,FALSE)),IF(OR(AO117="Plan1",AO117="Plan2"),VLOOKUP(BD117,Deviation!$E$31:$G$33,2,FALSE),VLOOKUP(BD117,Deviation!$E$31:$G$33,3,FALSE)))),0)</f>
        <v/>
      </c>
      <c r="BJ117" s="336" t="str">
        <f>IFERROR(IF(AO117="","",IF(AQ117="Dubai",IF(AO117="Plan1",VLOOKUP(BE117,Deviation!$B$39:$C$40,2,FALSE),IF(AO117="Plan2",VLOOKUP(BE117,Deviation!$B$42:$C$43,2,FALSE),IF(AO117="Plan5",VLOOKUP(BE117,Deviation!$B$48:$C$49,2,FALSE),VLOOKUP(BE117,Deviation!$B$45:$C$46,2,FALSE)))),IF(AO117="Plan1",VLOOKUP(BE117,Deviation!$E$39:$F$40,2,FALSE),IF(AO117="Plan2",VLOOKUP(BE117,Deviation!$E$42:$F$43,2,FALSE),VLOOKUP(BE117,Deviation!$E$45:$F$46,2,FALSE))))),0)</f>
        <v/>
      </c>
      <c r="BK117" s="336" t="str">
        <f>IFERROR(IF(AO117="","",IF(AQ117="Dubai",IF(OR(AO117="Plan1",AO117="Plan2"),VLOOKUP(BF117,Deviation!$B$15:$D$18,2,FALSE),VLOOKUP(BF117,Deviation!$B$15:$D$18,3,FALSE)),IF(OR(AO117="Plan1",AO117="Plan2"),VLOOKUP(BF117,Deviation!$E$15:$G$18,2,FALSE),VLOOKUP(BF117,Deviation!$E$15:$G$18,3,FALSE)))),0)</f>
        <v/>
      </c>
      <c r="BL117" s="334" t="str">
        <f>IFERROR(IF(AO117="","",IF(AQ117="Dubai",VLOOKUP(BG117,Deviation!$B$24:$C$26,2,FALSE),100%)),0)</f>
        <v/>
      </c>
    </row>
    <row r="118" spans="1:64" ht="14.25" x14ac:dyDescent="0.2">
      <c r="A118" s="59">
        <v>113</v>
      </c>
      <c r="B118" s="298"/>
      <c r="C118" s="299"/>
      <c r="D118" s="298"/>
      <c r="E118" s="298"/>
      <c r="F118" s="298"/>
      <c r="G118" s="298"/>
      <c r="H118" s="298"/>
      <c r="I118" s="298"/>
      <c r="J118" s="80" t="str">
        <f>IFERROR(ROUNDDOWN(IF(C118="","",(MAX((eff_date-Additions!C118)/365.25,0))),0),"")</f>
        <v/>
      </c>
      <c r="K118" s="59" t="str">
        <f>IF(F118="","",IF(G118="Dubai",HLOOKUP(F118,Inputs!$C$26:$M$28,3,0),HLOOKUP(F118,Inputs!$C$45:$M$46,2,0)))</f>
        <v/>
      </c>
      <c r="L118" s="335" t="str">
        <f t="shared" si="56"/>
        <v/>
      </c>
      <c r="M118" s="335">
        <f t="shared" si="57"/>
        <v>0</v>
      </c>
      <c r="N118" s="335" t="str">
        <f t="shared" si="58"/>
        <v/>
      </c>
      <c r="O118" s="335">
        <f t="shared" si="59"/>
        <v>0</v>
      </c>
      <c r="P118" s="104"/>
      <c r="Q118" s="105">
        <f t="shared" si="49"/>
        <v>0</v>
      </c>
      <c r="R118" s="59" t="b">
        <f t="shared" si="37"/>
        <v>0</v>
      </c>
      <c r="S118" s="102" t="str">
        <f t="shared" si="50"/>
        <v>x</v>
      </c>
      <c r="T118" s="102" t="str">
        <f t="shared" si="60"/>
        <v>x</v>
      </c>
      <c r="U118" s="102" t="str">
        <f t="shared" si="61"/>
        <v>x</v>
      </c>
      <c r="V118" s="102" t="str">
        <f t="shared" si="62"/>
        <v>x</v>
      </c>
      <c r="W118" s="102" t="str">
        <f t="shared" si="63"/>
        <v>x</v>
      </c>
      <c r="X118" s="102" t="str">
        <f>IF(ISERROR(MATCH(G118,'Inputs Mapping'!$T$4:$T$5,0)),"x","")</f>
        <v>x</v>
      </c>
      <c r="Y118" s="102" t="str">
        <f>IF(ISERROR(MATCH(AE118,'Inputs Mapping'!$U$4:$U$5,0)),"x","")</f>
        <v>x</v>
      </c>
      <c r="Z118" s="102" t="str">
        <f>IF(ISERROR(MATCH(AF118,'Inputs Mapping'!$V$4:$V$5,0)),"x","")</f>
        <v>x</v>
      </c>
      <c r="AA118" s="102" t="str">
        <f>IF(ISERROR(MATCH(F118,'Inputs Mapping'!$W$4:$W$8,0)),"x","")</f>
        <v>x</v>
      </c>
      <c r="AB118" s="102" t="str">
        <f t="shared" si="42"/>
        <v/>
      </c>
      <c r="AC118" s="102" t="str">
        <f t="shared" si="43"/>
        <v/>
      </c>
      <c r="AD118" s="102" t="str">
        <f t="shared" si="64"/>
        <v/>
      </c>
      <c r="AE118" s="102" t="str">
        <f t="shared" si="51"/>
        <v/>
      </c>
      <c r="AF118" s="102" t="str">
        <f t="shared" si="52"/>
        <v/>
      </c>
      <c r="AG118" s="102" t="str">
        <f t="shared" si="53"/>
        <v>x</v>
      </c>
      <c r="AK118" s="95" t="str">
        <f t="shared" si="45"/>
        <v/>
      </c>
      <c r="AL118" s="59" t="str">
        <f>IF(J118="","",VLOOKUP(J118,'Inputs Mapping'!$T$27:$V$30,3))</f>
        <v/>
      </c>
      <c r="AM118" s="59" t="str">
        <f>IF(J118="","",VLOOKUP(J118,'Inputs Mapping'!$T$17:$V$24,3))</f>
        <v/>
      </c>
      <c r="AN118" s="59" t="str">
        <f t="shared" si="46"/>
        <v/>
      </c>
      <c r="AO118" s="102" t="str">
        <f t="shared" si="47"/>
        <v/>
      </c>
      <c r="AP118" s="102" t="str">
        <f>IF(F118="","",IF(G118="Dubai",HLOOKUP(F118,Inputs!$C$26:$M$36,5,0),HLOOKUP(F118,Inputs!$C$45:$M$49,5,0)))</f>
        <v/>
      </c>
      <c r="AQ118" s="102">
        <f t="shared" si="48"/>
        <v>0</v>
      </c>
      <c r="AR118" s="59" t="str">
        <f>IF(AM118="","",IF(AQ118="Dubai",VLOOKUP(AM118,'Inputs Mapping'!$V$17:$W$24,2,0),VLOOKUP(AL118,'Inputs Mapping'!$V$27:$W$30,2,0)))</f>
        <v/>
      </c>
      <c r="AS118" s="333">
        <f>IFERROR(IF($AQ118="","",HLOOKUP($AQ118&amp;RIGHT($AO118,1),'input for formula'!$B$16:$I$20,3,0)),0)</f>
        <v>0</v>
      </c>
      <c r="AT118" s="80">
        <f>IFERROR(IF($AQ118="","",HLOOKUP($AQ118&amp;$F118,'input for formula'!$B$22:$M$25,2,0)),0)</f>
        <v>0</v>
      </c>
      <c r="AU118" s="333">
        <f>IFERROR(IF($AQ118="","",HLOOKUP($AQ118&amp;RIGHT($AO118,1),'input for formula'!$B$16:$I$20,4,0)),0)</f>
        <v>0</v>
      </c>
      <c r="AV118" s="80">
        <f>IFERROR(IF($AQ118="","",HLOOKUP($AQ118&amp;$F118,'input for formula'!$B$22:$M$25,3,0)),0)</f>
        <v>0</v>
      </c>
      <c r="AW118" s="333">
        <f>IFERROR(IF($AQ118="","",HLOOKUP($AQ118&amp;RIGHT($AO118,1),'input for formula'!$B$16:$I$20,5,0)),0)</f>
        <v>0</v>
      </c>
      <c r="AX118" s="80">
        <f>IFERROR(IF($AQ118="","",HLOOKUP($AQ118&amp;$F118,'input for formula'!$B$22:$M$25,4,0)),0)</f>
        <v>0</v>
      </c>
      <c r="AY118" s="333">
        <f>IFERROR(IF($AQ118="","",IF(Additions!$AQ118="Abu Dhabi",VLOOKUP(Additions!$AP118,'input for formula'!$A$28:$C$41,3,0),VLOOKUP(Additions!$AP118,'input for formula'!$A$28:$C$41,2,0))),0)*IFERROR(1+IF(AQ118="Dubai",VLOOKUP(F118,'Quotation for Dubai Plans'!$V$6:$X$12,3,FALSE),VLOOKUP(F118,'Quotation for Abu Dhabi Plans'!$W$6:$Y$12,3,FALSE)),0)</f>
        <v>0</v>
      </c>
      <c r="AZ118" s="80" t="str">
        <f t="shared" si="55"/>
        <v/>
      </c>
      <c r="BA118" s="106" t="str">
        <f>IFERROR(IF(AO118="","",IF(AQ118="Dubai",HLOOKUP((AO118&amp;AP118),Deviation!$B$7:$S$8,2,0)*BI118*BK118*BL118*BJ118,HLOOKUP((AO118&amp;AP118),Deviation!$B$9:$K$10,2,0)*BI118*BK118*BL118*BJ118)),0)</f>
        <v/>
      </c>
      <c r="BB118" s="107" t="e">
        <f>IF(AO118="","",IFERROR(IF(AO118="","",IF(AQ118="Dubai",HLOOKUP(BC118,'input for formula'!$B$3:$F$10,AR118,FALSE), IF(AND(H118="Employee",AQ118="Abu Dhabi"),HLOOKUP(BC118,'input for formula'!$I$3:$K$7,AR118,FALSE),HLOOKUP(BC118,'input for formula'!$M$3:$O$7,AR118,FALSE)))*BA118+AS118*AT118+AU118*AV118+AW118*AX118),0)*$BC$3)*IF(Inputs!$C$19&gt;100,(1+$BC$2),1)</f>
        <v>#VALUE!</v>
      </c>
      <c r="BC118" s="95" t="str">
        <f t="shared" si="54"/>
        <v/>
      </c>
      <c r="BD118" s="334" t="str">
        <f>IF(F118="","",IF(G118="Dubai",HLOOKUP(F118,Inputs!$C$26:$M$37,9,0),HLOOKUP(F118,Inputs!$C$45:$M$56,9,0)))</f>
        <v/>
      </c>
      <c r="BE118" s="335" t="str">
        <f>IF(F118="","",IF(G118="Dubai",HLOOKUP(F118,Inputs!$C$26:$M$37,10,0),HLOOKUP(F118,Inputs!$C$45:$M$56,10,0)))</f>
        <v/>
      </c>
      <c r="BF118" s="335" t="str">
        <f>IF(F118="","",IF(G118="Dubai",HLOOKUP(F118,Inputs!$C$26:$M$37,11,0),HLOOKUP(F118,Inputs!$C$45:$M$56,11,0)))</f>
        <v/>
      </c>
      <c r="BG118" s="334" t="str">
        <f>IF(F118="","",IF(G118="Dubai",HLOOKUP(F118,Inputs!$C$26:$M$37,12,0),HLOOKUP(F118,Inputs!$C$45:$M$56,12,0)))</f>
        <v/>
      </c>
      <c r="BI118" s="334" t="str">
        <f>IFERROR(IF(AO118="","",IF(AQ118="Dubai",IF(OR(AO118="Plan1",AO118="Plan2"),VLOOKUP(BD118,Deviation!$B$31:$D$33,2,FALSE),VLOOKUP(BD118,Deviation!$B$31:$D$33,3,FALSE)),IF(OR(AO118="Plan1",AO118="Plan2"),VLOOKUP(BD118,Deviation!$E$31:$G$33,2,FALSE),VLOOKUP(BD118,Deviation!$E$31:$G$33,3,FALSE)))),0)</f>
        <v/>
      </c>
      <c r="BJ118" s="336" t="str">
        <f>IFERROR(IF(AO118="","",IF(AQ118="Dubai",IF(AO118="Plan1",VLOOKUP(BE118,Deviation!$B$39:$C$40,2,FALSE),IF(AO118="Plan2",VLOOKUP(BE118,Deviation!$B$42:$C$43,2,FALSE),IF(AO118="Plan5",VLOOKUP(BE118,Deviation!$B$48:$C$49,2,FALSE),VLOOKUP(BE118,Deviation!$B$45:$C$46,2,FALSE)))),IF(AO118="Plan1",VLOOKUP(BE118,Deviation!$E$39:$F$40,2,FALSE),IF(AO118="Plan2",VLOOKUP(BE118,Deviation!$E$42:$F$43,2,FALSE),VLOOKUP(BE118,Deviation!$E$45:$F$46,2,FALSE))))),0)</f>
        <v/>
      </c>
      <c r="BK118" s="336" t="str">
        <f>IFERROR(IF(AO118="","",IF(AQ118="Dubai",IF(OR(AO118="Plan1",AO118="Plan2"),VLOOKUP(BF118,Deviation!$B$15:$D$18,2,FALSE),VLOOKUP(BF118,Deviation!$B$15:$D$18,3,FALSE)),IF(OR(AO118="Plan1",AO118="Plan2"),VLOOKUP(BF118,Deviation!$E$15:$G$18,2,FALSE),VLOOKUP(BF118,Deviation!$E$15:$G$18,3,FALSE)))),0)</f>
        <v/>
      </c>
      <c r="BL118" s="334" t="str">
        <f>IFERROR(IF(AO118="","",IF(AQ118="Dubai",VLOOKUP(BG118,Deviation!$B$24:$C$26,2,FALSE),100%)),0)</f>
        <v/>
      </c>
    </row>
    <row r="119" spans="1:64" ht="14.25" x14ac:dyDescent="0.2">
      <c r="A119" s="59">
        <v>114</v>
      </c>
      <c r="B119" s="298"/>
      <c r="C119" s="299"/>
      <c r="D119" s="298"/>
      <c r="E119" s="298"/>
      <c r="F119" s="298"/>
      <c r="G119" s="298"/>
      <c r="H119" s="298"/>
      <c r="I119" s="298"/>
      <c r="J119" s="80" t="str">
        <f>IFERROR(ROUNDDOWN(IF(C119="","",(MAX((eff_date-Additions!C119)/365.25,0))),0),"")</f>
        <v/>
      </c>
      <c r="K119" s="59" t="str">
        <f>IF(F119="","",IF(G119="Dubai",HLOOKUP(F119,Inputs!$C$26:$M$28,3,0),HLOOKUP(F119,Inputs!$C$45:$M$46,2,0)))</f>
        <v/>
      </c>
      <c r="L119" s="335" t="str">
        <f t="shared" si="56"/>
        <v/>
      </c>
      <c r="M119" s="335">
        <f t="shared" si="57"/>
        <v>0</v>
      </c>
      <c r="N119" s="335" t="str">
        <f t="shared" si="58"/>
        <v/>
      </c>
      <c r="O119" s="335">
        <f t="shared" si="59"/>
        <v>0</v>
      </c>
      <c r="P119" s="104"/>
      <c r="Q119" s="105">
        <f t="shared" si="49"/>
        <v>0</v>
      </c>
      <c r="R119" s="59" t="b">
        <f t="shared" si="37"/>
        <v>0</v>
      </c>
      <c r="S119" s="102" t="str">
        <f t="shared" si="50"/>
        <v>x</v>
      </c>
      <c r="T119" s="102" t="str">
        <f t="shared" si="60"/>
        <v>x</v>
      </c>
      <c r="U119" s="102" t="str">
        <f t="shared" si="61"/>
        <v>x</v>
      </c>
      <c r="V119" s="102" t="str">
        <f t="shared" si="62"/>
        <v>x</v>
      </c>
      <c r="W119" s="102" t="str">
        <f t="shared" si="63"/>
        <v>x</v>
      </c>
      <c r="X119" s="102" t="str">
        <f>IF(ISERROR(MATCH(G119,'Inputs Mapping'!$T$4:$T$5,0)),"x","")</f>
        <v>x</v>
      </c>
      <c r="Y119" s="102" t="str">
        <f>IF(ISERROR(MATCH(AE119,'Inputs Mapping'!$U$4:$U$5,0)),"x","")</f>
        <v>x</v>
      </c>
      <c r="Z119" s="102" t="str">
        <f>IF(ISERROR(MATCH(AF119,'Inputs Mapping'!$V$4:$V$5,0)),"x","")</f>
        <v>x</v>
      </c>
      <c r="AA119" s="102" t="str">
        <f>IF(ISERROR(MATCH(F119,'Inputs Mapping'!$W$4:$W$8,0)),"x","")</f>
        <v>x</v>
      </c>
      <c r="AB119" s="102" t="str">
        <f t="shared" si="42"/>
        <v/>
      </c>
      <c r="AC119" s="102" t="str">
        <f t="shared" si="43"/>
        <v/>
      </c>
      <c r="AD119" s="102" t="str">
        <f t="shared" si="64"/>
        <v/>
      </c>
      <c r="AE119" s="102" t="str">
        <f t="shared" si="51"/>
        <v/>
      </c>
      <c r="AF119" s="102" t="str">
        <f t="shared" si="52"/>
        <v/>
      </c>
      <c r="AG119" s="102" t="str">
        <f t="shared" si="53"/>
        <v>x</v>
      </c>
      <c r="AK119" s="95" t="str">
        <f t="shared" si="45"/>
        <v/>
      </c>
      <c r="AL119" s="59" t="str">
        <f>IF(J119="","",VLOOKUP(J119,'Inputs Mapping'!$T$27:$V$30,3))</f>
        <v/>
      </c>
      <c r="AM119" s="59" t="str">
        <f>IF(J119="","",VLOOKUP(J119,'Inputs Mapping'!$T$17:$V$24,3))</f>
        <v/>
      </c>
      <c r="AN119" s="59" t="str">
        <f t="shared" si="46"/>
        <v/>
      </c>
      <c r="AO119" s="102" t="str">
        <f t="shared" si="47"/>
        <v/>
      </c>
      <c r="AP119" s="102" t="str">
        <f>IF(F119="","",IF(G119="Dubai",HLOOKUP(F119,Inputs!$C$26:$M$36,5,0),HLOOKUP(F119,Inputs!$C$45:$M$49,5,0)))</f>
        <v/>
      </c>
      <c r="AQ119" s="102">
        <f t="shared" si="48"/>
        <v>0</v>
      </c>
      <c r="AR119" s="59" t="str">
        <f>IF(AM119="","",IF(AQ119="Dubai",VLOOKUP(AM119,'Inputs Mapping'!$V$17:$W$24,2,0),VLOOKUP(AL119,'Inputs Mapping'!$V$27:$W$30,2,0)))</f>
        <v/>
      </c>
      <c r="AS119" s="333">
        <f>IFERROR(IF($AQ119="","",HLOOKUP($AQ119&amp;RIGHT($AO119,1),'input for formula'!$B$16:$I$20,3,0)),0)</f>
        <v>0</v>
      </c>
      <c r="AT119" s="80">
        <f>IFERROR(IF($AQ119="","",HLOOKUP($AQ119&amp;$F119,'input for formula'!$B$22:$M$25,2,0)),0)</f>
        <v>0</v>
      </c>
      <c r="AU119" s="333">
        <f>IFERROR(IF($AQ119="","",HLOOKUP($AQ119&amp;RIGHT($AO119,1),'input for formula'!$B$16:$I$20,4,0)),0)</f>
        <v>0</v>
      </c>
      <c r="AV119" s="80">
        <f>IFERROR(IF($AQ119="","",HLOOKUP($AQ119&amp;$F119,'input for formula'!$B$22:$M$25,3,0)),0)</f>
        <v>0</v>
      </c>
      <c r="AW119" s="333">
        <f>IFERROR(IF($AQ119="","",HLOOKUP($AQ119&amp;RIGHT($AO119,1),'input for formula'!$B$16:$I$20,5,0)),0)</f>
        <v>0</v>
      </c>
      <c r="AX119" s="80">
        <f>IFERROR(IF($AQ119="","",HLOOKUP($AQ119&amp;$F119,'input for formula'!$B$22:$M$25,4,0)),0)</f>
        <v>0</v>
      </c>
      <c r="AY119" s="333">
        <f>IFERROR(IF($AQ119="","",IF(Additions!$AQ119="Abu Dhabi",VLOOKUP(Additions!$AP119,'input for formula'!$A$28:$C$41,3,0),VLOOKUP(Additions!$AP119,'input for formula'!$A$28:$C$41,2,0))),0)*IFERROR(1+IF(AQ119="Dubai",VLOOKUP(F119,'Quotation for Dubai Plans'!$V$6:$X$12,3,FALSE),VLOOKUP(F119,'Quotation for Abu Dhabi Plans'!$W$6:$Y$12,3,FALSE)),0)</f>
        <v>0</v>
      </c>
      <c r="AZ119" s="80" t="str">
        <f t="shared" si="55"/>
        <v/>
      </c>
      <c r="BA119" s="106" t="str">
        <f>IFERROR(IF(AO119="","",IF(AQ119="Dubai",HLOOKUP((AO119&amp;AP119),Deviation!$B$7:$S$8,2,0)*BI119*BK119*BL119*BJ119,HLOOKUP((AO119&amp;AP119),Deviation!$B$9:$K$10,2,0)*BI119*BK119*BL119*BJ119)),0)</f>
        <v/>
      </c>
      <c r="BB119" s="107" t="e">
        <f>IF(AO119="","",IFERROR(IF(AO119="","",IF(AQ119="Dubai",HLOOKUP(BC119,'input for formula'!$B$3:$F$10,AR119,FALSE), IF(AND(H119="Employee",AQ119="Abu Dhabi"),HLOOKUP(BC119,'input for formula'!$I$3:$K$7,AR119,FALSE),HLOOKUP(BC119,'input for formula'!$M$3:$O$7,AR119,FALSE)))*BA119+AS119*AT119+AU119*AV119+AW119*AX119),0)*$BC$3)*IF(Inputs!$C$19&gt;100,(1+$BC$2),1)</f>
        <v>#VALUE!</v>
      </c>
      <c r="BC119" s="95" t="str">
        <f t="shared" si="54"/>
        <v/>
      </c>
      <c r="BD119" s="334" t="str">
        <f>IF(F119="","",IF(G119="Dubai",HLOOKUP(F119,Inputs!$C$26:$M$37,9,0),HLOOKUP(F119,Inputs!$C$45:$M$56,9,0)))</f>
        <v/>
      </c>
      <c r="BE119" s="335" t="str">
        <f>IF(F119="","",IF(G119="Dubai",HLOOKUP(F119,Inputs!$C$26:$M$37,10,0),HLOOKUP(F119,Inputs!$C$45:$M$56,10,0)))</f>
        <v/>
      </c>
      <c r="BF119" s="335" t="str">
        <f>IF(F119="","",IF(G119="Dubai",HLOOKUP(F119,Inputs!$C$26:$M$37,11,0),HLOOKUP(F119,Inputs!$C$45:$M$56,11,0)))</f>
        <v/>
      </c>
      <c r="BG119" s="334" t="str">
        <f>IF(F119="","",IF(G119="Dubai",HLOOKUP(F119,Inputs!$C$26:$M$37,12,0),HLOOKUP(F119,Inputs!$C$45:$M$56,12,0)))</f>
        <v/>
      </c>
      <c r="BI119" s="334" t="str">
        <f>IFERROR(IF(AO119="","",IF(AQ119="Dubai",IF(OR(AO119="Plan1",AO119="Plan2"),VLOOKUP(BD119,Deviation!$B$31:$D$33,2,FALSE),VLOOKUP(BD119,Deviation!$B$31:$D$33,3,FALSE)),IF(OR(AO119="Plan1",AO119="Plan2"),VLOOKUP(BD119,Deviation!$E$31:$G$33,2,FALSE),VLOOKUP(BD119,Deviation!$E$31:$G$33,3,FALSE)))),0)</f>
        <v/>
      </c>
      <c r="BJ119" s="336" t="str">
        <f>IFERROR(IF(AO119="","",IF(AQ119="Dubai",IF(AO119="Plan1",VLOOKUP(BE119,Deviation!$B$39:$C$40,2,FALSE),IF(AO119="Plan2",VLOOKUP(BE119,Deviation!$B$42:$C$43,2,FALSE),IF(AO119="Plan5",VLOOKUP(BE119,Deviation!$B$48:$C$49,2,FALSE),VLOOKUP(BE119,Deviation!$B$45:$C$46,2,FALSE)))),IF(AO119="Plan1",VLOOKUP(BE119,Deviation!$E$39:$F$40,2,FALSE),IF(AO119="Plan2",VLOOKUP(BE119,Deviation!$E$42:$F$43,2,FALSE),VLOOKUP(BE119,Deviation!$E$45:$F$46,2,FALSE))))),0)</f>
        <v/>
      </c>
      <c r="BK119" s="336" t="str">
        <f>IFERROR(IF(AO119="","",IF(AQ119="Dubai",IF(OR(AO119="Plan1",AO119="Plan2"),VLOOKUP(BF119,Deviation!$B$15:$D$18,2,FALSE),VLOOKUP(BF119,Deviation!$B$15:$D$18,3,FALSE)),IF(OR(AO119="Plan1",AO119="Plan2"),VLOOKUP(BF119,Deviation!$E$15:$G$18,2,FALSE),VLOOKUP(BF119,Deviation!$E$15:$G$18,3,FALSE)))),0)</f>
        <v/>
      </c>
      <c r="BL119" s="334" t="str">
        <f>IFERROR(IF(AO119="","",IF(AQ119="Dubai",VLOOKUP(BG119,Deviation!$B$24:$C$26,2,FALSE),100%)),0)</f>
        <v/>
      </c>
    </row>
    <row r="120" spans="1:64" ht="14.25" x14ac:dyDescent="0.2">
      <c r="A120" s="59">
        <v>115</v>
      </c>
      <c r="B120" s="298"/>
      <c r="C120" s="299"/>
      <c r="D120" s="298"/>
      <c r="E120" s="298"/>
      <c r="F120" s="298"/>
      <c r="G120" s="298"/>
      <c r="H120" s="298"/>
      <c r="I120" s="298"/>
      <c r="J120" s="80" t="str">
        <f>IFERROR(ROUNDDOWN(IF(C120="","",(MAX((eff_date-Additions!C120)/365.25,0))),0),"")</f>
        <v/>
      </c>
      <c r="K120" s="59" t="str">
        <f>IF(F120="","",IF(G120="Dubai",HLOOKUP(F120,Inputs!$C$26:$M$28,3,0),HLOOKUP(F120,Inputs!$C$45:$M$46,2,0)))</f>
        <v/>
      </c>
      <c r="L120" s="335" t="str">
        <f t="shared" si="56"/>
        <v/>
      </c>
      <c r="M120" s="335">
        <f t="shared" si="57"/>
        <v>0</v>
      </c>
      <c r="N120" s="335" t="str">
        <f t="shared" si="58"/>
        <v/>
      </c>
      <c r="O120" s="335">
        <f t="shared" si="59"/>
        <v>0</v>
      </c>
      <c r="P120" s="104"/>
      <c r="Q120" s="105">
        <f t="shared" si="49"/>
        <v>0</v>
      </c>
      <c r="R120" s="59" t="b">
        <f t="shared" si="37"/>
        <v>0</v>
      </c>
      <c r="S120" s="102" t="str">
        <f t="shared" si="50"/>
        <v>x</v>
      </c>
      <c r="T120" s="102" t="str">
        <f t="shared" si="60"/>
        <v>x</v>
      </c>
      <c r="U120" s="102" t="str">
        <f t="shared" si="61"/>
        <v>x</v>
      </c>
      <c r="V120" s="102" t="str">
        <f t="shared" si="62"/>
        <v>x</v>
      </c>
      <c r="W120" s="102" t="str">
        <f t="shared" si="63"/>
        <v>x</v>
      </c>
      <c r="X120" s="102" t="str">
        <f>IF(ISERROR(MATCH(G120,'Inputs Mapping'!$T$4:$T$5,0)),"x","")</f>
        <v>x</v>
      </c>
      <c r="Y120" s="102" t="str">
        <f>IF(ISERROR(MATCH(AE120,'Inputs Mapping'!$U$4:$U$5,0)),"x","")</f>
        <v>x</v>
      </c>
      <c r="Z120" s="102" t="str">
        <f>IF(ISERROR(MATCH(AF120,'Inputs Mapping'!$V$4:$V$5,0)),"x","")</f>
        <v>x</v>
      </c>
      <c r="AA120" s="102" t="str">
        <f>IF(ISERROR(MATCH(F120,'Inputs Mapping'!$W$4:$W$8,0)),"x","")</f>
        <v>x</v>
      </c>
      <c r="AB120" s="102" t="str">
        <f t="shared" si="42"/>
        <v/>
      </c>
      <c r="AC120" s="102" t="str">
        <f t="shared" si="43"/>
        <v/>
      </c>
      <c r="AD120" s="102" t="str">
        <f t="shared" si="64"/>
        <v/>
      </c>
      <c r="AE120" s="102" t="str">
        <f t="shared" si="51"/>
        <v/>
      </c>
      <c r="AF120" s="102" t="str">
        <f t="shared" si="52"/>
        <v/>
      </c>
      <c r="AG120" s="102" t="str">
        <f t="shared" si="53"/>
        <v>x</v>
      </c>
      <c r="AK120" s="95" t="str">
        <f t="shared" si="45"/>
        <v/>
      </c>
      <c r="AL120" s="59" t="str">
        <f>IF(J120="","",VLOOKUP(J120,'Inputs Mapping'!$T$27:$V$30,3))</f>
        <v/>
      </c>
      <c r="AM120" s="59" t="str">
        <f>IF(J120="","",VLOOKUP(J120,'Inputs Mapping'!$T$17:$V$24,3))</f>
        <v/>
      </c>
      <c r="AN120" s="59" t="str">
        <f t="shared" si="46"/>
        <v/>
      </c>
      <c r="AO120" s="102" t="str">
        <f t="shared" si="47"/>
        <v/>
      </c>
      <c r="AP120" s="102" t="str">
        <f>IF(F120="","",IF(G120="Dubai",HLOOKUP(F120,Inputs!$C$26:$M$36,5,0),HLOOKUP(F120,Inputs!$C$45:$M$49,5,0)))</f>
        <v/>
      </c>
      <c r="AQ120" s="102">
        <f t="shared" si="48"/>
        <v>0</v>
      </c>
      <c r="AR120" s="59" t="str">
        <f>IF(AM120="","",IF(AQ120="Dubai",VLOOKUP(AM120,'Inputs Mapping'!$V$17:$W$24,2,0),VLOOKUP(AL120,'Inputs Mapping'!$V$27:$W$30,2,0)))</f>
        <v/>
      </c>
      <c r="AS120" s="333">
        <f>IFERROR(IF($AQ120="","",HLOOKUP($AQ120&amp;RIGHT($AO120,1),'input for formula'!$B$16:$I$20,3,0)),0)</f>
        <v>0</v>
      </c>
      <c r="AT120" s="80">
        <f>IFERROR(IF($AQ120="","",HLOOKUP($AQ120&amp;$F120,'input for formula'!$B$22:$M$25,2,0)),0)</f>
        <v>0</v>
      </c>
      <c r="AU120" s="333">
        <f>IFERROR(IF($AQ120="","",HLOOKUP($AQ120&amp;RIGHT($AO120,1),'input for formula'!$B$16:$I$20,4,0)),0)</f>
        <v>0</v>
      </c>
      <c r="AV120" s="80">
        <f>IFERROR(IF($AQ120="","",HLOOKUP($AQ120&amp;$F120,'input for formula'!$B$22:$M$25,3,0)),0)</f>
        <v>0</v>
      </c>
      <c r="AW120" s="333">
        <f>IFERROR(IF($AQ120="","",HLOOKUP($AQ120&amp;RIGHT($AO120,1),'input for formula'!$B$16:$I$20,5,0)),0)</f>
        <v>0</v>
      </c>
      <c r="AX120" s="80">
        <f>IFERROR(IF($AQ120="","",HLOOKUP($AQ120&amp;$F120,'input for formula'!$B$22:$M$25,4,0)),0)</f>
        <v>0</v>
      </c>
      <c r="AY120" s="333">
        <f>IFERROR(IF($AQ120="","",IF(Additions!$AQ120="Abu Dhabi",VLOOKUP(Additions!$AP120,'input for formula'!$A$28:$C$41,3,0),VLOOKUP(Additions!$AP120,'input for formula'!$A$28:$C$41,2,0))),0)*IFERROR(1+IF(AQ120="Dubai",VLOOKUP(F120,'Quotation for Dubai Plans'!$V$6:$X$12,3,FALSE),VLOOKUP(F120,'Quotation for Abu Dhabi Plans'!$W$6:$Y$12,3,FALSE)),0)</f>
        <v>0</v>
      </c>
      <c r="AZ120" s="80" t="str">
        <f t="shared" si="55"/>
        <v/>
      </c>
      <c r="BA120" s="106" t="str">
        <f>IFERROR(IF(AO120="","",IF(AQ120="Dubai",HLOOKUP((AO120&amp;AP120),Deviation!$B$7:$S$8,2,0)*BI120*BK120*BL120*BJ120,HLOOKUP((AO120&amp;AP120),Deviation!$B$9:$K$10,2,0)*BI120*BK120*BL120*BJ120)),0)</f>
        <v/>
      </c>
      <c r="BB120" s="107" t="e">
        <f>IF(AO120="","",IFERROR(IF(AO120="","",IF(AQ120="Dubai",HLOOKUP(BC120,'input for formula'!$B$3:$F$10,AR120,FALSE), IF(AND(H120="Employee",AQ120="Abu Dhabi"),HLOOKUP(BC120,'input for formula'!$I$3:$K$7,AR120,FALSE),HLOOKUP(BC120,'input for formula'!$M$3:$O$7,AR120,FALSE)))*BA120+AS120*AT120+AU120*AV120+AW120*AX120),0)*$BC$3)*IF(Inputs!$C$19&gt;100,(1+$BC$2),1)</f>
        <v>#VALUE!</v>
      </c>
      <c r="BC120" s="95" t="str">
        <f t="shared" si="54"/>
        <v/>
      </c>
      <c r="BD120" s="334" t="str">
        <f>IF(F120="","",IF(G120="Dubai",HLOOKUP(F120,Inputs!$C$26:$M$37,9,0),HLOOKUP(F120,Inputs!$C$45:$M$56,9,0)))</f>
        <v/>
      </c>
      <c r="BE120" s="335" t="str">
        <f>IF(F120="","",IF(G120="Dubai",HLOOKUP(F120,Inputs!$C$26:$M$37,10,0),HLOOKUP(F120,Inputs!$C$45:$M$56,10,0)))</f>
        <v/>
      </c>
      <c r="BF120" s="335" t="str">
        <f>IF(F120="","",IF(G120="Dubai",HLOOKUP(F120,Inputs!$C$26:$M$37,11,0),HLOOKUP(F120,Inputs!$C$45:$M$56,11,0)))</f>
        <v/>
      </c>
      <c r="BG120" s="334" t="str">
        <f>IF(F120="","",IF(G120="Dubai",HLOOKUP(F120,Inputs!$C$26:$M$37,12,0),HLOOKUP(F120,Inputs!$C$45:$M$56,12,0)))</f>
        <v/>
      </c>
      <c r="BI120" s="334" t="str">
        <f>IFERROR(IF(AO120="","",IF(AQ120="Dubai",IF(OR(AO120="Plan1",AO120="Plan2"),VLOOKUP(BD120,Deviation!$B$31:$D$33,2,FALSE),VLOOKUP(BD120,Deviation!$B$31:$D$33,3,FALSE)),IF(OR(AO120="Plan1",AO120="Plan2"),VLOOKUP(BD120,Deviation!$E$31:$G$33,2,FALSE),VLOOKUP(BD120,Deviation!$E$31:$G$33,3,FALSE)))),0)</f>
        <v/>
      </c>
      <c r="BJ120" s="336" t="str">
        <f>IFERROR(IF(AO120="","",IF(AQ120="Dubai",IF(AO120="Plan1",VLOOKUP(BE120,Deviation!$B$39:$C$40,2,FALSE),IF(AO120="Plan2",VLOOKUP(BE120,Deviation!$B$42:$C$43,2,FALSE),IF(AO120="Plan5",VLOOKUP(BE120,Deviation!$B$48:$C$49,2,FALSE),VLOOKUP(BE120,Deviation!$B$45:$C$46,2,FALSE)))),IF(AO120="Plan1",VLOOKUP(BE120,Deviation!$E$39:$F$40,2,FALSE),IF(AO120="Plan2",VLOOKUP(BE120,Deviation!$E$42:$F$43,2,FALSE),VLOOKUP(BE120,Deviation!$E$45:$F$46,2,FALSE))))),0)</f>
        <v/>
      </c>
      <c r="BK120" s="336" t="str">
        <f>IFERROR(IF(AO120="","",IF(AQ120="Dubai",IF(OR(AO120="Plan1",AO120="Plan2"),VLOOKUP(BF120,Deviation!$B$15:$D$18,2,FALSE),VLOOKUP(BF120,Deviation!$B$15:$D$18,3,FALSE)),IF(OR(AO120="Plan1",AO120="Plan2"),VLOOKUP(BF120,Deviation!$E$15:$G$18,2,FALSE),VLOOKUP(BF120,Deviation!$E$15:$G$18,3,FALSE)))),0)</f>
        <v/>
      </c>
      <c r="BL120" s="334" t="str">
        <f>IFERROR(IF(AO120="","",IF(AQ120="Dubai",VLOOKUP(BG120,Deviation!$B$24:$C$26,2,FALSE),100%)),0)</f>
        <v/>
      </c>
    </row>
    <row r="121" spans="1:64" ht="14.25" x14ac:dyDescent="0.2">
      <c r="A121" s="59">
        <v>116</v>
      </c>
      <c r="B121" s="298"/>
      <c r="C121" s="299"/>
      <c r="D121" s="298"/>
      <c r="E121" s="298"/>
      <c r="F121" s="298"/>
      <c r="G121" s="298"/>
      <c r="H121" s="298"/>
      <c r="I121" s="298"/>
      <c r="J121" s="80" t="str">
        <f>IFERROR(ROUNDDOWN(IF(C121="","",(MAX((eff_date-Additions!C121)/365.25,0))),0),"")</f>
        <v/>
      </c>
      <c r="K121" s="59" t="str">
        <f>IF(F121="","",IF(G121="Dubai",HLOOKUP(F121,Inputs!$C$26:$M$28,3,0),HLOOKUP(F121,Inputs!$C$45:$M$46,2,0)))</f>
        <v/>
      </c>
      <c r="L121" s="335" t="str">
        <f t="shared" si="56"/>
        <v/>
      </c>
      <c r="M121" s="335">
        <f t="shared" si="57"/>
        <v>0</v>
      </c>
      <c r="N121" s="335" t="str">
        <f t="shared" si="58"/>
        <v/>
      </c>
      <c r="O121" s="335">
        <f t="shared" si="59"/>
        <v>0</v>
      </c>
      <c r="P121" s="104"/>
      <c r="Q121" s="105">
        <f t="shared" si="49"/>
        <v>0</v>
      </c>
      <c r="R121" s="59" t="b">
        <f t="shared" si="37"/>
        <v>0</v>
      </c>
      <c r="S121" s="102" t="str">
        <f t="shared" si="50"/>
        <v>x</v>
      </c>
      <c r="T121" s="102" t="str">
        <f t="shared" si="60"/>
        <v>x</v>
      </c>
      <c r="U121" s="102" t="str">
        <f t="shared" si="61"/>
        <v>x</v>
      </c>
      <c r="V121" s="102" t="str">
        <f t="shared" si="62"/>
        <v>x</v>
      </c>
      <c r="W121" s="102" t="str">
        <f t="shared" si="63"/>
        <v>x</v>
      </c>
      <c r="X121" s="102" t="str">
        <f>IF(ISERROR(MATCH(G121,'Inputs Mapping'!$T$4:$T$5,0)),"x","")</f>
        <v>x</v>
      </c>
      <c r="Y121" s="102" t="str">
        <f>IF(ISERROR(MATCH(AE121,'Inputs Mapping'!$U$4:$U$5,0)),"x","")</f>
        <v>x</v>
      </c>
      <c r="Z121" s="102" t="str">
        <f>IF(ISERROR(MATCH(AF121,'Inputs Mapping'!$V$4:$V$5,0)),"x","")</f>
        <v>x</v>
      </c>
      <c r="AA121" s="102" t="str">
        <f>IF(ISERROR(MATCH(F121,'Inputs Mapping'!$W$4:$W$8,0)),"x","")</f>
        <v>x</v>
      </c>
      <c r="AB121" s="102" t="str">
        <f t="shared" si="42"/>
        <v/>
      </c>
      <c r="AC121" s="102" t="str">
        <f t="shared" si="43"/>
        <v/>
      </c>
      <c r="AD121" s="102" t="str">
        <f t="shared" si="64"/>
        <v/>
      </c>
      <c r="AE121" s="102" t="str">
        <f t="shared" si="51"/>
        <v/>
      </c>
      <c r="AF121" s="102" t="str">
        <f t="shared" si="52"/>
        <v/>
      </c>
      <c r="AG121" s="102" t="str">
        <f t="shared" si="53"/>
        <v>x</v>
      </c>
      <c r="AK121" s="95" t="str">
        <f t="shared" si="45"/>
        <v/>
      </c>
      <c r="AL121" s="59" t="str">
        <f>IF(J121="","",VLOOKUP(J121,'Inputs Mapping'!$T$27:$V$30,3))</f>
        <v/>
      </c>
      <c r="AM121" s="59" t="str">
        <f>IF(J121="","",VLOOKUP(J121,'Inputs Mapping'!$T$17:$V$24,3))</f>
        <v/>
      </c>
      <c r="AN121" s="59" t="str">
        <f t="shared" si="46"/>
        <v/>
      </c>
      <c r="AO121" s="102" t="str">
        <f t="shared" si="47"/>
        <v/>
      </c>
      <c r="AP121" s="102" t="str">
        <f>IF(F121="","",IF(G121="Dubai",HLOOKUP(F121,Inputs!$C$26:$M$36,5,0),HLOOKUP(F121,Inputs!$C$45:$M$49,5,0)))</f>
        <v/>
      </c>
      <c r="AQ121" s="102">
        <f t="shared" si="48"/>
        <v>0</v>
      </c>
      <c r="AR121" s="59" t="str">
        <f>IF(AM121="","",IF(AQ121="Dubai",VLOOKUP(AM121,'Inputs Mapping'!$V$17:$W$24,2,0),VLOOKUP(AL121,'Inputs Mapping'!$V$27:$W$30,2,0)))</f>
        <v/>
      </c>
      <c r="AS121" s="333">
        <f>IFERROR(IF($AQ121="","",HLOOKUP($AQ121&amp;RIGHT($AO121,1),'input for formula'!$B$16:$I$20,3,0)),0)</f>
        <v>0</v>
      </c>
      <c r="AT121" s="80">
        <f>IFERROR(IF($AQ121="","",HLOOKUP($AQ121&amp;$F121,'input for formula'!$B$22:$M$25,2,0)),0)</f>
        <v>0</v>
      </c>
      <c r="AU121" s="333">
        <f>IFERROR(IF($AQ121="","",HLOOKUP($AQ121&amp;RIGHT($AO121,1),'input for formula'!$B$16:$I$20,4,0)),0)</f>
        <v>0</v>
      </c>
      <c r="AV121" s="80">
        <f>IFERROR(IF($AQ121="","",HLOOKUP($AQ121&amp;$F121,'input for formula'!$B$22:$M$25,3,0)),0)</f>
        <v>0</v>
      </c>
      <c r="AW121" s="333">
        <f>IFERROR(IF($AQ121="","",HLOOKUP($AQ121&amp;RIGHT($AO121,1),'input for formula'!$B$16:$I$20,5,0)),0)</f>
        <v>0</v>
      </c>
      <c r="AX121" s="80">
        <f>IFERROR(IF($AQ121="","",HLOOKUP($AQ121&amp;$F121,'input for formula'!$B$22:$M$25,4,0)),0)</f>
        <v>0</v>
      </c>
      <c r="AY121" s="333">
        <f>IFERROR(IF($AQ121="","",IF(Additions!$AQ121="Abu Dhabi",VLOOKUP(Additions!$AP121,'input for formula'!$A$28:$C$41,3,0),VLOOKUP(Additions!$AP121,'input for formula'!$A$28:$C$41,2,0))),0)*IFERROR(1+IF(AQ121="Dubai",VLOOKUP(F121,'Quotation for Dubai Plans'!$V$6:$X$12,3,FALSE),VLOOKUP(F121,'Quotation for Abu Dhabi Plans'!$W$6:$Y$12,3,FALSE)),0)</f>
        <v>0</v>
      </c>
      <c r="AZ121" s="80" t="str">
        <f t="shared" si="55"/>
        <v/>
      </c>
      <c r="BA121" s="106" t="str">
        <f>IFERROR(IF(AO121="","",IF(AQ121="Dubai",HLOOKUP((AO121&amp;AP121),Deviation!$B$7:$S$8,2,0)*BI121*BK121*BL121*BJ121,HLOOKUP((AO121&amp;AP121),Deviation!$B$9:$K$10,2,0)*BI121*BK121*BL121*BJ121)),0)</f>
        <v/>
      </c>
      <c r="BB121" s="107" t="e">
        <f>IF(AO121="","",IFERROR(IF(AO121="","",IF(AQ121="Dubai",HLOOKUP(BC121,'input for formula'!$B$3:$F$10,AR121,FALSE), IF(AND(H121="Employee",AQ121="Abu Dhabi"),HLOOKUP(BC121,'input for formula'!$I$3:$K$7,AR121,FALSE),HLOOKUP(BC121,'input for formula'!$M$3:$O$7,AR121,FALSE)))*BA121+AS121*AT121+AU121*AV121+AW121*AX121),0)*$BC$3)*IF(Inputs!$C$19&gt;100,(1+$BC$2),1)</f>
        <v>#VALUE!</v>
      </c>
      <c r="BC121" s="95" t="str">
        <f t="shared" si="54"/>
        <v/>
      </c>
      <c r="BD121" s="334" t="str">
        <f>IF(F121="","",IF(G121="Dubai",HLOOKUP(F121,Inputs!$C$26:$M$37,9,0),HLOOKUP(F121,Inputs!$C$45:$M$56,9,0)))</f>
        <v/>
      </c>
      <c r="BE121" s="335" t="str">
        <f>IF(F121="","",IF(G121="Dubai",HLOOKUP(F121,Inputs!$C$26:$M$37,10,0),HLOOKUP(F121,Inputs!$C$45:$M$56,10,0)))</f>
        <v/>
      </c>
      <c r="BF121" s="335" t="str">
        <f>IF(F121="","",IF(G121="Dubai",HLOOKUP(F121,Inputs!$C$26:$M$37,11,0),HLOOKUP(F121,Inputs!$C$45:$M$56,11,0)))</f>
        <v/>
      </c>
      <c r="BG121" s="334" t="str">
        <f>IF(F121="","",IF(G121="Dubai",HLOOKUP(F121,Inputs!$C$26:$M$37,12,0),HLOOKUP(F121,Inputs!$C$45:$M$56,12,0)))</f>
        <v/>
      </c>
      <c r="BI121" s="334" t="str">
        <f>IFERROR(IF(AO121="","",IF(AQ121="Dubai",IF(OR(AO121="Plan1",AO121="Plan2"),VLOOKUP(BD121,Deviation!$B$31:$D$33,2,FALSE),VLOOKUP(BD121,Deviation!$B$31:$D$33,3,FALSE)),IF(OR(AO121="Plan1",AO121="Plan2"),VLOOKUP(BD121,Deviation!$E$31:$G$33,2,FALSE),VLOOKUP(BD121,Deviation!$E$31:$G$33,3,FALSE)))),0)</f>
        <v/>
      </c>
      <c r="BJ121" s="336" t="str">
        <f>IFERROR(IF(AO121="","",IF(AQ121="Dubai",IF(AO121="Plan1",VLOOKUP(BE121,Deviation!$B$39:$C$40,2,FALSE),IF(AO121="Plan2",VLOOKUP(BE121,Deviation!$B$42:$C$43,2,FALSE),IF(AO121="Plan5",VLOOKUP(BE121,Deviation!$B$48:$C$49,2,FALSE),VLOOKUP(BE121,Deviation!$B$45:$C$46,2,FALSE)))),IF(AO121="Plan1",VLOOKUP(BE121,Deviation!$E$39:$F$40,2,FALSE),IF(AO121="Plan2",VLOOKUP(BE121,Deviation!$E$42:$F$43,2,FALSE),VLOOKUP(BE121,Deviation!$E$45:$F$46,2,FALSE))))),0)</f>
        <v/>
      </c>
      <c r="BK121" s="336" t="str">
        <f>IFERROR(IF(AO121="","",IF(AQ121="Dubai",IF(OR(AO121="Plan1",AO121="Plan2"),VLOOKUP(BF121,Deviation!$B$15:$D$18,2,FALSE),VLOOKUP(BF121,Deviation!$B$15:$D$18,3,FALSE)),IF(OR(AO121="Plan1",AO121="Plan2"),VLOOKUP(BF121,Deviation!$E$15:$G$18,2,FALSE),VLOOKUP(BF121,Deviation!$E$15:$G$18,3,FALSE)))),0)</f>
        <v/>
      </c>
      <c r="BL121" s="334" t="str">
        <f>IFERROR(IF(AO121="","",IF(AQ121="Dubai",VLOOKUP(BG121,Deviation!$B$24:$C$26,2,FALSE),100%)),0)</f>
        <v/>
      </c>
    </row>
    <row r="122" spans="1:64" ht="14.25" x14ac:dyDescent="0.2">
      <c r="A122" s="59">
        <v>117</v>
      </c>
      <c r="B122" s="298"/>
      <c r="C122" s="299"/>
      <c r="D122" s="298"/>
      <c r="E122" s="298"/>
      <c r="F122" s="298"/>
      <c r="G122" s="298"/>
      <c r="H122" s="298"/>
      <c r="I122" s="298"/>
      <c r="J122" s="80" t="str">
        <f>IFERROR(ROUNDDOWN(IF(C122="","",(MAX((eff_date-Additions!C122)/365.25,0))),0),"")</f>
        <v/>
      </c>
      <c r="K122" s="59" t="str">
        <f>IF(F122="","",IF(G122="Dubai",HLOOKUP(F122,Inputs!$C$26:$M$28,3,0),HLOOKUP(F122,Inputs!$C$45:$M$46,2,0)))</f>
        <v/>
      </c>
      <c r="L122" s="335" t="str">
        <f t="shared" si="56"/>
        <v/>
      </c>
      <c r="M122" s="335">
        <f t="shared" si="57"/>
        <v>0</v>
      </c>
      <c r="N122" s="335" t="str">
        <f t="shared" si="58"/>
        <v/>
      </c>
      <c r="O122" s="335">
        <f t="shared" si="59"/>
        <v>0</v>
      </c>
      <c r="P122" s="104"/>
      <c r="Q122" s="105">
        <f t="shared" si="49"/>
        <v>0</v>
      </c>
      <c r="R122" s="59" t="b">
        <f t="shared" si="37"/>
        <v>0</v>
      </c>
      <c r="S122" s="102" t="str">
        <f t="shared" si="50"/>
        <v>x</v>
      </c>
      <c r="T122" s="102" t="str">
        <f t="shared" si="60"/>
        <v>x</v>
      </c>
      <c r="U122" s="102" t="str">
        <f t="shared" si="61"/>
        <v>x</v>
      </c>
      <c r="V122" s="102" t="str">
        <f t="shared" si="62"/>
        <v>x</v>
      </c>
      <c r="W122" s="102" t="str">
        <f t="shared" si="63"/>
        <v>x</v>
      </c>
      <c r="X122" s="102" t="str">
        <f>IF(ISERROR(MATCH(G122,'Inputs Mapping'!$T$4:$T$5,0)),"x","")</f>
        <v>x</v>
      </c>
      <c r="Y122" s="102" t="str">
        <f>IF(ISERROR(MATCH(AE122,'Inputs Mapping'!$U$4:$U$5,0)),"x","")</f>
        <v>x</v>
      </c>
      <c r="Z122" s="102" t="str">
        <f>IF(ISERROR(MATCH(AF122,'Inputs Mapping'!$V$4:$V$5,0)),"x","")</f>
        <v>x</v>
      </c>
      <c r="AA122" s="102" t="str">
        <f>IF(ISERROR(MATCH(F122,'Inputs Mapping'!$W$4:$W$8,0)),"x","")</f>
        <v>x</v>
      </c>
      <c r="AB122" s="102" t="str">
        <f t="shared" si="42"/>
        <v/>
      </c>
      <c r="AC122" s="102" t="str">
        <f t="shared" si="43"/>
        <v/>
      </c>
      <c r="AD122" s="102" t="str">
        <f t="shared" si="64"/>
        <v/>
      </c>
      <c r="AE122" s="102" t="str">
        <f t="shared" si="51"/>
        <v/>
      </c>
      <c r="AF122" s="102" t="str">
        <f t="shared" si="52"/>
        <v/>
      </c>
      <c r="AG122" s="102" t="str">
        <f t="shared" si="53"/>
        <v>x</v>
      </c>
      <c r="AK122" s="95" t="str">
        <f t="shared" si="45"/>
        <v/>
      </c>
      <c r="AL122" s="59" t="str">
        <f>IF(J122="","",VLOOKUP(J122,'Inputs Mapping'!$T$27:$V$30,3))</f>
        <v/>
      </c>
      <c r="AM122" s="59" t="str">
        <f>IF(J122="","",VLOOKUP(J122,'Inputs Mapping'!$T$17:$V$24,3))</f>
        <v/>
      </c>
      <c r="AN122" s="59" t="str">
        <f t="shared" si="46"/>
        <v/>
      </c>
      <c r="AO122" s="102" t="str">
        <f t="shared" si="47"/>
        <v/>
      </c>
      <c r="AP122" s="102" t="str">
        <f>IF(F122="","",IF(G122="Dubai",HLOOKUP(F122,Inputs!$C$26:$M$36,5,0),HLOOKUP(F122,Inputs!$C$45:$M$49,5,0)))</f>
        <v/>
      </c>
      <c r="AQ122" s="102">
        <f t="shared" si="48"/>
        <v>0</v>
      </c>
      <c r="AR122" s="59" t="str">
        <f>IF(AM122="","",IF(AQ122="Dubai",VLOOKUP(AM122,'Inputs Mapping'!$V$17:$W$24,2,0),VLOOKUP(AL122,'Inputs Mapping'!$V$27:$W$30,2,0)))</f>
        <v/>
      </c>
      <c r="AS122" s="333">
        <f>IFERROR(IF($AQ122="","",HLOOKUP($AQ122&amp;RIGHT($AO122,1),'input for formula'!$B$16:$I$20,3,0)),0)</f>
        <v>0</v>
      </c>
      <c r="AT122" s="80">
        <f>IFERROR(IF($AQ122="","",HLOOKUP($AQ122&amp;$F122,'input for formula'!$B$22:$M$25,2,0)),0)</f>
        <v>0</v>
      </c>
      <c r="AU122" s="333">
        <f>IFERROR(IF($AQ122="","",HLOOKUP($AQ122&amp;RIGHT($AO122,1),'input for formula'!$B$16:$I$20,4,0)),0)</f>
        <v>0</v>
      </c>
      <c r="AV122" s="80">
        <f>IFERROR(IF($AQ122="","",HLOOKUP($AQ122&amp;$F122,'input for formula'!$B$22:$M$25,3,0)),0)</f>
        <v>0</v>
      </c>
      <c r="AW122" s="333">
        <f>IFERROR(IF($AQ122="","",HLOOKUP($AQ122&amp;RIGHT($AO122,1),'input for formula'!$B$16:$I$20,5,0)),0)</f>
        <v>0</v>
      </c>
      <c r="AX122" s="80">
        <f>IFERROR(IF($AQ122="","",HLOOKUP($AQ122&amp;$F122,'input for formula'!$B$22:$M$25,4,0)),0)</f>
        <v>0</v>
      </c>
      <c r="AY122" s="333">
        <f>IFERROR(IF($AQ122="","",IF(Additions!$AQ122="Abu Dhabi",VLOOKUP(Additions!$AP122,'input for formula'!$A$28:$C$41,3,0),VLOOKUP(Additions!$AP122,'input for formula'!$A$28:$C$41,2,0))),0)*IFERROR(1+IF(AQ122="Dubai",VLOOKUP(F122,'Quotation for Dubai Plans'!$V$6:$X$12,3,FALSE),VLOOKUP(F122,'Quotation for Abu Dhabi Plans'!$W$6:$Y$12,3,FALSE)),0)</f>
        <v>0</v>
      </c>
      <c r="AZ122" s="80" t="str">
        <f t="shared" si="55"/>
        <v/>
      </c>
      <c r="BA122" s="106" t="str">
        <f>IFERROR(IF(AO122="","",IF(AQ122="Dubai",HLOOKUP((AO122&amp;AP122),Deviation!$B$7:$S$8,2,0)*BI122*BK122*BL122*BJ122,HLOOKUP((AO122&amp;AP122),Deviation!$B$9:$K$10,2,0)*BI122*BK122*BL122*BJ122)),0)</f>
        <v/>
      </c>
      <c r="BB122" s="107" t="e">
        <f>IF(AO122="","",IFERROR(IF(AO122="","",IF(AQ122="Dubai",HLOOKUP(BC122,'input for formula'!$B$3:$F$10,AR122,FALSE), IF(AND(H122="Employee",AQ122="Abu Dhabi"),HLOOKUP(BC122,'input for formula'!$I$3:$K$7,AR122,FALSE),HLOOKUP(BC122,'input for formula'!$M$3:$O$7,AR122,FALSE)))*BA122+AS122*AT122+AU122*AV122+AW122*AX122),0)*$BC$3)*IF(Inputs!$C$19&gt;100,(1+$BC$2),1)</f>
        <v>#VALUE!</v>
      </c>
      <c r="BC122" s="95" t="str">
        <f t="shared" si="54"/>
        <v/>
      </c>
      <c r="BD122" s="334" t="str">
        <f>IF(F122="","",IF(G122="Dubai",HLOOKUP(F122,Inputs!$C$26:$M$37,9,0),HLOOKUP(F122,Inputs!$C$45:$M$56,9,0)))</f>
        <v/>
      </c>
      <c r="BE122" s="335" t="str">
        <f>IF(F122="","",IF(G122="Dubai",HLOOKUP(F122,Inputs!$C$26:$M$37,10,0),HLOOKUP(F122,Inputs!$C$45:$M$56,10,0)))</f>
        <v/>
      </c>
      <c r="BF122" s="335" t="str">
        <f>IF(F122="","",IF(G122="Dubai",HLOOKUP(F122,Inputs!$C$26:$M$37,11,0),HLOOKUP(F122,Inputs!$C$45:$M$56,11,0)))</f>
        <v/>
      </c>
      <c r="BG122" s="334" t="str">
        <f>IF(F122="","",IF(G122="Dubai",HLOOKUP(F122,Inputs!$C$26:$M$37,12,0),HLOOKUP(F122,Inputs!$C$45:$M$56,12,0)))</f>
        <v/>
      </c>
      <c r="BI122" s="334" t="str">
        <f>IFERROR(IF(AO122="","",IF(AQ122="Dubai",IF(OR(AO122="Plan1",AO122="Plan2"),VLOOKUP(BD122,Deviation!$B$31:$D$33,2,FALSE),VLOOKUP(BD122,Deviation!$B$31:$D$33,3,FALSE)),IF(OR(AO122="Plan1",AO122="Plan2"),VLOOKUP(BD122,Deviation!$E$31:$G$33,2,FALSE),VLOOKUP(BD122,Deviation!$E$31:$G$33,3,FALSE)))),0)</f>
        <v/>
      </c>
      <c r="BJ122" s="336" t="str">
        <f>IFERROR(IF(AO122="","",IF(AQ122="Dubai",IF(AO122="Plan1",VLOOKUP(BE122,Deviation!$B$39:$C$40,2,FALSE),IF(AO122="Plan2",VLOOKUP(BE122,Deviation!$B$42:$C$43,2,FALSE),IF(AO122="Plan5",VLOOKUP(BE122,Deviation!$B$48:$C$49,2,FALSE),VLOOKUP(BE122,Deviation!$B$45:$C$46,2,FALSE)))),IF(AO122="Plan1",VLOOKUP(BE122,Deviation!$E$39:$F$40,2,FALSE),IF(AO122="Plan2",VLOOKUP(BE122,Deviation!$E$42:$F$43,2,FALSE),VLOOKUP(BE122,Deviation!$E$45:$F$46,2,FALSE))))),0)</f>
        <v/>
      </c>
      <c r="BK122" s="336" t="str">
        <f>IFERROR(IF(AO122="","",IF(AQ122="Dubai",IF(OR(AO122="Plan1",AO122="Plan2"),VLOOKUP(BF122,Deviation!$B$15:$D$18,2,FALSE),VLOOKUP(BF122,Deviation!$B$15:$D$18,3,FALSE)),IF(OR(AO122="Plan1",AO122="Plan2"),VLOOKUP(BF122,Deviation!$E$15:$G$18,2,FALSE),VLOOKUP(BF122,Deviation!$E$15:$G$18,3,FALSE)))),0)</f>
        <v/>
      </c>
      <c r="BL122" s="334" t="str">
        <f>IFERROR(IF(AO122="","",IF(AQ122="Dubai",VLOOKUP(BG122,Deviation!$B$24:$C$26,2,FALSE),100%)),0)</f>
        <v/>
      </c>
    </row>
    <row r="123" spans="1:64" ht="14.25" x14ac:dyDescent="0.2">
      <c r="A123" s="59">
        <v>118</v>
      </c>
      <c r="B123" s="298"/>
      <c r="C123" s="299"/>
      <c r="D123" s="298"/>
      <c r="E123" s="298"/>
      <c r="F123" s="298"/>
      <c r="G123" s="298"/>
      <c r="H123" s="298"/>
      <c r="I123" s="298"/>
      <c r="J123" s="80" t="str">
        <f>IFERROR(ROUNDDOWN(IF(C123="","",(MAX((eff_date-Additions!C123)/365.25,0))),0),"")</f>
        <v/>
      </c>
      <c r="K123" s="59" t="str">
        <f>IF(F123="","",IF(G123="Dubai",HLOOKUP(F123,Inputs!$C$26:$M$28,3,0),HLOOKUP(F123,Inputs!$C$45:$M$46,2,0)))</f>
        <v/>
      </c>
      <c r="L123" s="335" t="str">
        <f t="shared" si="56"/>
        <v/>
      </c>
      <c r="M123" s="335">
        <f t="shared" si="57"/>
        <v>0</v>
      </c>
      <c r="N123" s="335" t="str">
        <f t="shared" si="58"/>
        <v/>
      </c>
      <c r="O123" s="335">
        <f t="shared" si="59"/>
        <v>0</v>
      </c>
      <c r="P123" s="104"/>
      <c r="Q123" s="105">
        <f t="shared" si="49"/>
        <v>0</v>
      </c>
      <c r="R123" s="59" t="b">
        <f t="shared" si="37"/>
        <v>0</v>
      </c>
      <c r="S123" s="102" t="str">
        <f t="shared" si="50"/>
        <v>x</v>
      </c>
      <c r="T123" s="102" t="str">
        <f t="shared" si="60"/>
        <v>x</v>
      </c>
      <c r="U123" s="102" t="str">
        <f t="shared" si="61"/>
        <v>x</v>
      </c>
      <c r="V123" s="102" t="str">
        <f t="shared" si="62"/>
        <v>x</v>
      </c>
      <c r="W123" s="102" t="str">
        <f t="shared" si="63"/>
        <v>x</v>
      </c>
      <c r="X123" s="102" t="str">
        <f>IF(ISERROR(MATCH(G123,'Inputs Mapping'!$T$4:$T$5,0)),"x","")</f>
        <v>x</v>
      </c>
      <c r="Y123" s="102" t="str">
        <f>IF(ISERROR(MATCH(AE123,'Inputs Mapping'!$U$4:$U$5,0)),"x","")</f>
        <v>x</v>
      </c>
      <c r="Z123" s="102" t="str">
        <f>IF(ISERROR(MATCH(AF123,'Inputs Mapping'!$V$4:$V$5,0)),"x","")</f>
        <v>x</v>
      </c>
      <c r="AA123" s="102" t="str">
        <f>IF(ISERROR(MATCH(F123,'Inputs Mapping'!$W$4:$W$8,0)),"x","")</f>
        <v>x</v>
      </c>
      <c r="AB123" s="102" t="str">
        <f t="shared" si="42"/>
        <v/>
      </c>
      <c r="AC123" s="102" t="str">
        <f t="shared" si="43"/>
        <v/>
      </c>
      <c r="AD123" s="102" t="str">
        <f t="shared" si="64"/>
        <v/>
      </c>
      <c r="AE123" s="102" t="str">
        <f t="shared" si="51"/>
        <v/>
      </c>
      <c r="AF123" s="102" t="str">
        <f t="shared" si="52"/>
        <v/>
      </c>
      <c r="AG123" s="102" t="str">
        <f t="shared" si="53"/>
        <v>x</v>
      </c>
      <c r="AK123" s="95" t="str">
        <f t="shared" si="45"/>
        <v/>
      </c>
      <c r="AL123" s="59" t="str">
        <f>IF(J123="","",VLOOKUP(J123,'Inputs Mapping'!$T$27:$V$30,3))</f>
        <v/>
      </c>
      <c r="AM123" s="59" t="str">
        <f>IF(J123="","",VLOOKUP(J123,'Inputs Mapping'!$T$17:$V$24,3))</f>
        <v/>
      </c>
      <c r="AN123" s="59" t="str">
        <f t="shared" si="46"/>
        <v/>
      </c>
      <c r="AO123" s="102" t="str">
        <f t="shared" si="47"/>
        <v/>
      </c>
      <c r="AP123" s="102" t="str">
        <f>IF(F123="","",IF(G123="Dubai",HLOOKUP(F123,Inputs!$C$26:$M$36,5,0),HLOOKUP(F123,Inputs!$C$45:$M$49,5,0)))</f>
        <v/>
      </c>
      <c r="AQ123" s="102">
        <f t="shared" si="48"/>
        <v>0</v>
      </c>
      <c r="AR123" s="59" t="str">
        <f>IF(AM123="","",IF(AQ123="Dubai",VLOOKUP(AM123,'Inputs Mapping'!$V$17:$W$24,2,0),VLOOKUP(AL123,'Inputs Mapping'!$V$27:$W$30,2,0)))</f>
        <v/>
      </c>
      <c r="AS123" s="333">
        <f>IFERROR(IF($AQ123="","",HLOOKUP($AQ123&amp;RIGHT($AO123,1),'input for formula'!$B$16:$I$20,3,0)),0)</f>
        <v>0</v>
      </c>
      <c r="AT123" s="80">
        <f>IFERROR(IF($AQ123="","",HLOOKUP($AQ123&amp;$F123,'input for formula'!$B$22:$M$25,2,0)),0)</f>
        <v>0</v>
      </c>
      <c r="AU123" s="333">
        <f>IFERROR(IF($AQ123="","",HLOOKUP($AQ123&amp;RIGHT($AO123,1),'input for formula'!$B$16:$I$20,4,0)),0)</f>
        <v>0</v>
      </c>
      <c r="AV123" s="80">
        <f>IFERROR(IF($AQ123="","",HLOOKUP($AQ123&amp;$F123,'input for formula'!$B$22:$M$25,3,0)),0)</f>
        <v>0</v>
      </c>
      <c r="AW123" s="333">
        <f>IFERROR(IF($AQ123="","",HLOOKUP($AQ123&amp;RIGHT($AO123,1),'input for formula'!$B$16:$I$20,5,0)),0)</f>
        <v>0</v>
      </c>
      <c r="AX123" s="80">
        <f>IFERROR(IF($AQ123="","",HLOOKUP($AQ123&amp;$F123,'input for formula'!$B$22:$M$25,4,0)),0)</f>
        <v>0</v>
      </c>
      <c r="AY123" s="333">
        <f>IFERROR(IF($AQ123="","",IF(Additions!$AQ123="Abu Dhabi",VLOOKUP(Additions!$AP123,'input for formula'!$A$28:$C$41,3,0),VLOOKUP(Additions!$AP123,'input for formula'!$A$28:$C$41,2,0))),0)*IFERROR(1+IF(AQ123="Dubai",VLOOKUP(F123,'Quotation for Dubai Plans'!$V$6:$X$12,3,FALSE),VLOOKUP(F123,'Quotation for Abu Dhabi Plans'!$W$6:$Y$12,3,FALSE)),0)</f>
        <v>0</v>
      </c>
      <c r="AZ123" s="80" t="str">
        <f t="shared" si="55"/>
        <v/>
      </c>
      <c r="BA123" s="106" t="str">
        <f>IFERROR(IF(AO123="","",IF(AQ123="Dubai",HLOOKUP((AO123&amp;AP123),Deviation!$B$7:$S$8,2,0)*BI123*BK123*BL123*BJ123,HLOOKUP((AO123&amp;AP123),Deviation!$B$9:$K$10,2,0)*BI123*BK123*BL123*BJ123)),0)</f>
        <v/>
      </c>
      <c r="BB123" s="107" t="e">
        <f>IF(AO123="","",IFERROR(IF(AO123="","",IF(AQ123="Dubai",HLOOKUP(BC123,'input for formula'!$B$3:$F$10,AR123,FALSE), IF(AND(H123="Employee",AQ123="Abu Dhabi"),HLOOKUP(BC123,'input for formula'!$I$3:$K$7,AR123,FALSE),HLOOKUP(BC123,'input for formula'!$M$3:$O$7,AR123,FALSE)))*BA123+AS123*AT123+AU123*AV123+AW123*AX123),0)*$BC$3)*IF(Inputs!$C$19&gt;100,(1+$BC$2),1)</f>
        <v>#VALUE!</v>
      </c>
      <c r="BC123" s="95" t="str">
        <f t="shared" si="54"/>
        <v/>
      </c>
      <c r="BD123" s="334" t="str">
        <f>IF(F123="","",IF(G123="Dubai",HLOOKUP(F123,Inputs!$C$26:$M$37,9,0),HLOOKUP(F123,Inputs!$C$45:$M$56,9,0)))</f>
        <v/>
      </c>
      <c r="BE123" s="335" t="str">
        <f>IF(F123="","",IF(G123="Dubai",HLOOKUP(F123,Inputs!$C$26:$M$37,10,0),HLOOKUP(F123,Inputs!$C$45:$M$56,10,0)))</f>
        <v/>
      </c>
      <c r="BF123" s="335" t="str">
        <f>IF(F123="","",IF(G123="Dubai",HLOOKUP(F123,Inputs!$C$26:$M$37,11,0),HLOOKUP(F123,Inputs!$C$45:$M$56,11,0)))</f>
        <v/>
      </c>
      <c r="BG123" s="334" t="str">
        <f>IF(F123="","",IF(G123="Dubai",HLOOKUP(F123,Inputs!$C$26:$M$37,12,0),HLOOKUP(F123,Inputs!$C$45:$M$56,12,0)))</f>
        <v/>
      </c>
      <c r="BI123" s="334" t="str">
        <f>IFERROR(IF(AO123="","",IF(AQ123="Dubai",IF(OR(AO123="Plan1",AO123="Plan2"),VLOOKUP(BD123,Deviation!$B$31:$D$33,2,FALSE),VLOOKUP(BD123,Deviation!$B$31:$D$33,3,FALSE)),IF(OR(AO123="Plan1",AO123="Plan2"),VLOOKUP(BD123,Deviation!$E$31:$G$33,2,FALSE),VLOOKUP(BD123,Deviation!$E$31:$G$33,3,FALSE)))),0)</f>
        <v/>
      </c>
      <c r="BJ123" s="336" t="str">
        <f>IFERROR(IF(AO123="","",IF(AQ123="Dubai",IF(AO123="Plan1",VLOOKUP(BE123,Deviation!$B$39:$C$40,2,FALSE),IF(AO123="Plan2",VLOOKUP(BE123,Deviation!$B$42:$C$43,2,FALSE),IF(AO123="Plan5",VLOOKUP(BE123,Deviation!$B$48:$C$49,2,FALSE),VLOOKUP(BE123,Deviation!$B$45:$C$46,2,FALSE)))),IF(AO123="Plan1",VLOOKUP(BE123,Deviation!$E$39:$F$40,2,FALSE),IF(AO123="Plan2",VLOOKUP(BE123,Deviation!$E$42:$F$43,2,FALSE),VLOOKUP(BE123,Deviation!$E$45:$F$46,2,FALSE))))),0)</f>
        <v/>
      </c>
      <c r="BK123" s="336" t="str">
        <f>IFERROR(IF(AO123="","",IF(AQ123="Dubai",IF(OR(AO123="Plan1",AO123="Plan2"),VLOOKUP(BF123,Deviation!$B$15:$D$18,2,FALSE),VLOOKUP(BF123,Deviation!$B$15:$D$18,3,FALSE)),IF(OR(AO123="Plan1",AO123="Plan2"),VLOOKUP(BF123,Deviation!$E$15:$G$18,2,FALSE),VLOOKUP(BF123,Deviation!$E$15:$G$18,3,FALSE)))),0)</f>
        <v/>
      </c>
      <c r="BL123" s="334" t="str">
        <f>IFERROR(IF(AO123="","",IF(AQ123="Dubai",VLOOKUP(BG123,Deviation!$B$24:$C$26,2,FALSE),100%)),0)</f>
        <v/>
      </c>
    </row>
    <row r="124" spans="1:64" ht="14.25" x14ac:dyDescent="0.2">
      <c r="A124" s="59">
        <v>119</v>
      </c>
      <c r="B124" s="298"/>
      <c r="C124" s="299"/>
      <c r="D124" s="298"/>
      <c r="E124" s="298"/>
      <c r="F124" s="298"/>
      <c r="G124" s="298"/>
      <c r="H124" s="298"/>
      <c r="I124" s="298"/>
      <c r="J124" s="80" t="str">
        <f>IFERROR(ROUNDDOWN(IF(C124="","",(MAX((eff_date-Additions!C124)/365.25,0))),0),"")</f>
        <v/>
      </c>
      <c r="K124" s="59" t="str">
        <f>IF(F124="","",IF(G124="Dubai",HLOOKUP(F124,Inputs!$C$26:$M$28,3,0),HLOOKUP(F124,Inputs!$C$45:$M$46,2,0)))</f>
        <v/>
      </c>
      <c r="L124" s="335" t="str">
        <f t="shared" si="56"/>
        <v/>
      </c>
      <c r="M124" s="335">
        <f t="shared" si="57"/>
        <v>0</v>
      </c>
      <c r="N124" s="335" t="str">
        <f t="shared" si="58"/>
        <v/>
      </c>
      <c r="O124" s="335">
        <f t="shared" si="59"/>
        <v>0</v>
      </c>
      <c r="P124" s="104"/>
      <c r="Q124" s="105">
        <f t="shared" si="49"/>
        <v>0</v>
      </c>
      <c r="R124" s="59" t="b">
        <f t="shared" si="37"/>
        <v>0</v>
      </c>
      <c r="S124" s="102" t="str">
        <f t="shared" si="50"/>
        <v>x</v>
      </c>
      <c r="T124" s="102" t="str">
        <f t="shared" si="60"/>
        <v>x</v>
      </c>
      <c r="U124" s="102" t="str">
        <f t="shared" si="61"/>
        <v>x</v>
      </c>
      <c r="V124" s="102" t="str">
        <f t="shared" si="62"/>
        <v>x</v>
      </c>
      <c r="W124" s="102" t="str">
        <f t="shared" si="63"/>
        <v>x</v>
      </c>
      <c r="X124" s="102" t="str">
        <f>IF(ISERROR(MATCH(G124,'Inputs Mapping'!$T$4:$T$5,0)),"x","")</f>
        <v>x</v>
      </c>
      <c r="Y124" s="102" t="str">
        <f>IF(ISERROR(MATCH(AE124,'Inputs Mapping'!$U$4:$U$5,0)),"x","")</f>
        <v>x</v>
      </c>
      <c r="Z124" s="102" t="str">
        <f>IF(ISERROR(MATCH(AF124,'Inputs Mapping'!$V$4:$V$5,0)),"x","")</f>
        <v>x</v>
      </c>
      <c r="AA124" s="102" t="str">
        <f>IF(ISERROR(MATCH(F124,'Inputs Mapping'!$W$4:$W$8,0)),"x","")</f>
        <v>x</v>
      </c>
      <c r="AB124" s="102" t="str">
        <f t="shared" si="42"/>
        <v/>
      </c>
      <c r="AC124" s="102" t="str">
        <f t="shared" si="43"/>
        <v/>
      </c>
      <c r="AD124" s="102" t="str">
        <f t="shared" si="64"/>
        <v/>
      </c>
      <c r="AE124" s="102" t="str">
        <f t="shared" si="51"/>
        <v/>
      </c>
      <c r="AF124" s="102" t="str">
        <f t="shared" si="52"/>
        <v/>
      </c>
      <c r="AG124" s="102" t="str">
        <f t="shared" si="53"/>
        <v>x</v>
      </c>
      <c r="AK124" s="95" t="str">
        <f t="shared" si="45"/>
        <v/>
      </c>
      <c r="AL124" s="59" t="str">
        <f>IF(J124="","",VLOOKUP(J124,'Inputs Mapping'!$T$27:$V$30,3))</f>
        <v/>
      </c>
      <c r="AM124" s="59" t="str">
        <f>IF(J124="","",VLOOKUP(J124,'Inputs Mapping'!$T$17:$V$24,3))</f>
        <v/>
      </c>
      <c r="AN124" s="59" t="str">
        <f t="shared" si="46"/>
        <v/>
      </c>
      <c r="AO124" s="102" t="str">
        <f t="shared" si="47"/>
        <v/>
      </c>
      <c r="AP124" s="102" t="str">
        <f>IF(F124="","",IF(G124="Dubai",HLOOKUP(F124,Inputs!$C$26:$M$36,5,0),HLOOKUP(F124,Inputs!$C$45:$M$49,5,0)))</f>
        <v/>
      </c>
      <c r="AQ124" s="102">
        <f t="shared" si="48"/>
        <v>0</v>
      </c>
      <c r="AR124" s="59" t="str">
        <f>IF(AM124="","",IF(AQ124="Dubai",VLOOKUP(AM124,'Inputs Mapping'!$V$17:$W$24,2,0),VLOOKUP(AL124,'Inputs Mapping'!$V$27:$W$30,2,0)))</f>
        <v/>
      </c>
      <c r="AS124" s="333">
        <f>IFERROR(IF($AQ124="","",HLOOKUP($AQ124&amp;RIGHT($AO124,1),'input for formula'!$B$16:$I$20,3,0)),0)</f>
        <v>0</v>
      </c>
      <c r="AT124" s="80">
        <f>IFERROR(IF($AQ124="","",HLOOKUP($AQ124&amp;$F124,'input for formula'!$B$22:$M$25,2,0)),0)</f>
        <v>0</v>
      </c>
      <c r="AU124" s="333">
        <f>IFERROR(IF($AQ124="","",HLOOKUP($AQ124&amp;RIGHT($AO124,1),'input for formula'!$B$16:$I$20,4,0)),0)</f>
        <v>0</v>
      </c>
      <c r="AV124" s="80">
        <f>IFERROR(IF($AQ124="","",HLOOKUP($AQ124&amp;$F124,'input for formula'!$B$22:$M$25,3,0)),0)</f>
        <v>0</v>
      </c>
      <c r="AW124" s="333">
        <f>IFERROR(IF($AQ124="","",HLOOKUP($AQ124&amp;RIGHT($AO124,1),'input for formula'!$B$16:$I$20,5,0)),0)</f>
        <v>0</v>
      </c>
      <c r="AX124" s="80">
        <f>IFERROR(IF($AQ124="","",HLOOKUP($AQ124&amp;$F124,'input for formula'!$B$22:$M$25,4,0)),0)</f>
        <v>0</v>
      </c>
      <c r="AY124" s="333">
        <f>IFERROR(IF($AQ124="","",IF(Additions!$AQ124="Abu Dhabi",VLOOKUP(Additions!$AP124,'input for formula'!$A$28:$C$41,3,0),VLOOKUP(Additions!$AP124,'input for formula'!$A$28:$C$41,2,0))),0)*IFERROR(1+IF(AQ124="Dubai",VLOOKUP(F124,'Quotation for Dubai Plans'!$V$6:$X$12,3,FALSE),VLOOKUP(F124,'Quotation for Abu Dhabi Plans'!$W$6:$Y$12,3,FALSE)),0)</f>
        <v>0</v>
      </c>
      <c r="AZ124" s="80" t="str">
        <f t="shared" si="55"/>
        <v/>
      </c>
      <c r="BA124" s="106" t="str">
        <f>IFERROR(IF(AO124="","",IF(AQ124="Dubai",HLOOKUP((AO124&amp;AP124),Deviation!$B$7:$S$8,2,0)*BI124*BK124*BL124*BJ124,HLOOKUP((AO124&amp;AP124),Deviation!$B$9:$K$10,2,0)*BI124*BK124*BL124*BJ124)),0)</f>
        <v/>
      </c>
      <c r="BB124" s="107" t="e">
        <f>IF(AO124="","",IFERROR(IF(AO124="","",IF(AQ124="Dubai",HLOOKUP(BC124,'input for formula'!$B$3:$F$10,AR124,FALSE), IF(AND(H124="Employee",AQ124="Abu Dhabi"),HLOOKUP(BC124,'input for formula'!$I$3:$K$7,AR124,FALSE),HLOOKUP(BC124,'input for formula'!$M$3:$O$7,AR124,FALSE)))*BA124+AS124*AT124+AU124*AV124+AW124*AX124),0)*$BC$3)*IF(Inputs!$C$19&gt;100,(1+$BC$2),1)</f>
        <v>#VALUE!</v>
      </c>
      <c r="BC124" s="95" t="str">
        <f t="shared" si="54"/>
        <v/>
      </c>
      <c r="BD124" s="334" t="str">
        <f>IF(F124="","",IF(G124="Dubai",HLOOKUP(F124,Inputs!$C$26:$M$37,9,0),HLOOKUP(F124,Inputs!$C$45:$M$56,9,0)))</f>
        <v/>
      </c>
      <c r="BE124" s="335" t="str">
        <f>IF(F124="","",IF(G124="Dubai",HLOOKUP(F124,Inputs!$C$26:$M$37,10,0),HLOOKUP(F124,Inputs!$C$45:$M$56,10,0)))</f>
        <v/>
      </c>
      <c r="BF124" s="335" t="str">
        <f>IF(F124="","",IF(G124="Dubai",HLOOKUP(F124,Inputs!$C$26:$M$37,11,0),HLOOKUP(F124,Inputs!$C$45:$M$56,11,0)))</f>
        <v/>
      </c>
      <c r="BG124" s="334" t="str">
        <f>IF(F124="","",IF(G124="Dubai",HLOOKUP(F124,Inputs!$C$26:$M$37,12,0),HLOOKUP(F124,Inputs!$C$45:$M$56,12,0)))</f>
        <v/>
      </c>
      <c r="BI124" s="334" t="str">
        <f>IFERROR(IF(AO124="","",IF(AQ124="Dubai",IF(OR(AO124="Plan1",AO124="Plan2"),VLOOKUP(BD124,Deviation!$B$31:$D$33,2,FALSE),VLOOKUP(BD124,Deviation!$B$31:$D$33,3,FALSE)),IF(OR(AO124="Plan1",AO124="Plan2"),VLOOKUP(BD124,Deviation!$E$31:$G$33,2,FALSE),VLOOKUP(BD124,Deviation!$E$31:$G$33,3,FALSE)))),0)</f>
        <v/>
      </c>
      <c r="BJ124" s="336" t="str">
        <f>IFERROR(IF(AO124="","",IF(AQ124="Dubai",IF(AO124="Plan1",VLOOKUP(BE124,Deviation!$B$39:$C$40,2,FALSE),IF(AO124="Plan2",VLOOKUP(BE124,Deviation!$B$42:$C$43,2,FALSE),IF(AO124="Plan5",VLOOKUP(BE124,Deviation!$B$48:$C$49,2,FALSE),VLOOKUP(BE124,Deviation!$B$45:$C$46,2,FALSE)))),IF(AO124="Plan1",VLOOKUP(BE124,Deviation!$E$39:$F$40,2,FALSE),IF(AO124="Plan2",VLOOKUP(BE124,Deviation!$E$42:$F$43,2,FALSE),VLOOKUP(BE124,Deviation!$E$45:$F$46,2,FALSE))))),0)</f>
        <v/>
      </c>
      <c r="BK124" s="336" t="str">
        <f>IFERROR(IF(AO124="","",IF(AQ124="Dubai",IF(OR(AO124="Plan1",AO124="Plan2"),VLOOKUP(BF124,Deviation!$B$15:$D$18,2,FALSE),VLOOKUP(BF124,Deviation!$B$15:$D$18,3,FALSE)),IF(OR(AO124="Plan1",AO124="Plan2"),VLOOKUP(BF124,Deviation!$E$15:$G$18,2,FALSE),VLOOKUP(BF124,Deviation!$E$15:$G$18,3,FALSE)))),0)</f>
        <v/>
      </c>
      <c r="BL124" s="334" t="str">
        <f>IFERROR(IF(AO124="","",IF(AQ124="Dubai",VLOOKUP(BG124,Deviation!$B$24:$C$26,2,FALSE),100%)),0)</f>
        <v/>
      </c>
    </row>
    <row r="125" spans="1:64" ht="14.25" x14ac:dyDescent="0.2">
      <c r="A125" s="59">
        <v>120</v>
      </c>
      <c r="B125" s="298"/>
      <c r="C125" s="299"/>
      <c r="D125" s="298"/>
      <c r="E125" s="298"/>
      <c r="F125" s="298"/>
      <c r="G125" s="298"/>
      <c r="H125" s="298"/>
      <c r="I125" s="298"/>
      <c r="J125" s="80" t="str">
        <f>IFERROR(ROUNDDOWN(IF(C125="","",(MAX((eff_date-Additions!C125)/365.25,0))),0),"")</f>
        <v/>
      </c>
      <c r="K125" s="59" t="str">
        <f>IF(F125="","",IF(G125="Dubai",HLOOKUP(F125,Inputs!$C$26:$M$28,3,0),HLOOKUP(F125,Inputs!$C$45:$M$46,2,0)))</f>
        <v/>
      </c>
      <c r="L125" s="335" t="str">
        <f t="shared" si="56"/>
        <v/>
      </c>
      <c r="M125" s="335">
        <f t="shared" si="57"/>
        <v>0</v>
      </c>
      <c r="N125" s="335" t="str">
        <f t="shared" si="58"/>
        <v/>
      </c>
      <c r="O125" s="335">
        <f t="shared" si="59"/>
        <v>0</v>
      </c>
      <c r="P125" s="104"/>
      <c r="Q125" s="105">
        <f t="shared" si="49"/>
        <v>0</v>
      </c>
      <c r="R125" s="59" t="b">
        <f t="shared" si="37"/>
        <v>0</v>
      </c>
      <c r="S125" s="102" t="str">
        <f t="shared" si="50"/>
        <v>x</v>
      </c>
      <c r="T125" s="102" t="str">
        <f t="shared" si="60"/>
        <v>x</v>
      </c>
      <c r="U125" s="102" t="str">
        <f t="shared" si="61"/>
        <v>x</v>
      </c>
      <c r="V125" s="102" t="str">
        <f t="shared" si="62"/>
        <v>x</v>
      </c>
      <c r="W125" s="102" t="str">
        <f t="shared" si="63"/>
        <v>x</v>
      </c>
      <c r="X125" s="102" t="str">
        <f>IF(ISERROR(MATCH(G125,'Inputs Mapping'!$T$4:$T$5,0)),"x","")</f>
        <v>x</v>
      </c>
      <c r="Y125" s="102" t="str">
        <f>IF(ISERROR(MATCH(AE125,'Inputs Mapping'!$U$4:$U$5,0)),"x","")</f>
        <v>x</v>
      </c>
      <c r="Z125" s="102" t="str">
        <f>IF(ISERROR(MATCH(AF125,'Inputs Mapping'!$V$4:$V$5,0)),"x","")</f>
        <v>x</v>
      </c>
      <c r="AA125" s="102" t="str">
        <f>IF(ISERROR(MATCH(F125,'Inputs Mapping'!$W$4:$W$8,0)),"x","")</f>
        <v>x</v>
      </c>
      <c r="AB125" s="102" t="str">
        <f t="shared" si="42"/>
        <v/>
      </c>
      <c r="AC125" s="102" t="str">
        <f t="shared" si="43"/>
        <v/>
      </c>
      <c r="AD125" s="102" t="str">
        <f t="shared" si="64"/>
        <v/>
      </c>
      <c r="AE125" s="102" t="str">
        <f t="shared" si="51"/>
        <v/>
      </c>
      <c r="AF125" s="102" t="str">
        <f t="shared" si="52"/>
        <v/>
      </c>
      <c r="AG125" s="102" t="str">
        <f t="shared" si="53"/>
        <v>x</v>
      </c>
      <c r="AK125" s="95" t="str">
        <f t="shared" si="45"/>
        <v/>
      </c>
      <c r="AL125" s="59" t="str">
        <f>IF(J125="","",VLOOKUP(J125,'Inputs Mapping'!$T$27:$V$30,3))</f>
        <v/>
      </c>
      <c r="AM125" s="59" t="str">
        <f>IF(J125="","",VLOOKUP(J125,'Inputs Mapping'!$T$17:$V$24,3))</f>
        <v/>
      </c>
      <c r="AN125" s="59" t="str">
        <f t="shared" si="46"/>
        <v/>
      </c>
      <c r="AO125" s="102" t="str">
        <f t="shared" si="47"/>
        <v/>
      </c>
      <c r="AP125" s="102" t="str">
        <f>IF(F125="","",IF(G125="Dubai",HLOOKUP(F125,Inputs!$C$26:$M$36,5,0),HLOOKUP(F125,Inputs!$C$45:$M$49,5,0)))</f>
        <v/>
      </c>
      <c r="AQ125" s="102">
        <f t="shared" si="48"/>
        <v>0</v>
      </c>
      <c r="AR125" s="59" t="str">
        <f>IF(AM125="","",IF(AQ125="Dubai",VLOOKUP(AM125,'Inputs Mapping'!$V$17:$W$24,2,0),VLOOKUP(AL125,'Inputs Mapping'!$V$27:$W$30,2,0)))</f>
        <v/>
      </c>
      <c r="AS125" s="333">
        <f>IFERROR(IF($AQ125="","",HLOOKUP($AQ125&amp;RIGHT($AO125,1),'input for formula'!$B$16:$I$20,3,0)),0)</f>
        <v>0</v>
      </c>
      <c r="AT125" s="80">
        <f>IFERROR(IF($AQ125="","",HLOOKUP($AQ125&amp;$F125,'input for formula'!$B$22:$M$25,2,0)),0)</f>
        <v>0</v>
      </c>
      <c r="AU125" s="333">
        <f>IFERROR(IF($AQ125="","",HLOOKUP($AQ125&amp;RIGHT($AO125,1),'input for formula'!$B$16:$I$20,4,0)),0)</f>
        <v>0</v>
      </c>
      <c r="AV125" s="80">
        <f>IFERROR(IF($AQ125="","",HLOOKUP($AQ125&amp;$F125,'input for formula'!$B$22:$M$25,3,0)),0)</f>
        <v>0</v>
      </c>
      <c r="AW125" s="333">
        <f>IFERROR(IF($AQ125="","",HLOOKUP($AQ125&amp;RIGHT($AO125,1),'input for formula'!$B$16:$I$20,5,0)),0)</f>
        <v>0</v>
      </c>
      <c r="AX125" s="80">
        <f>IFERROR(IF($AQ125="","",HLOOKUP($AQ125&amp;$F125,'input for formula'!$B$22:$M$25,4,0)),0)</f>
        <v>0</v>
      </c>
      <c r="AY125" s="333">
        <f>IFERROR(IF($AQ125="","",IF(Additions!$AQ125="Abu Dhabi",VLOOKUP(Additions!$AP125,'input for formula'!$A$28:$C$41,3,0),VLOOKUP(Additions!$AP125,'input for formula'!$A$28:$C$41,2,0))),0)*IFERROR(1+IF(AQ125="Dubai",VLOOKUP(F125,'Quotation for Dubai Plans'!$V$6:$X$12,3,FALSE),VLOOKUP(F125,'Quotation for Abu Dhabi Plans'!$W$6:$Y$12,3,FALSE)),0)</f>
        <v>0</v>
      </c>
      <c r="AZ125" s="80" t="str">
        <f t="shared" si="55"/>
        <v/>
      </c>
      <c r="BA125" s="106" t="str">
        <f>IFERROR(IF(AO125="","",IF(AQ125="Dubai",HLOOKUP((AO125&amp;AP125),Deviation!$B$7:$S$8,2,0)*BI125*BK125*BL125*BJ125,HLOOKUP((AO125&amp;AP125),Deviation!$B$9:$K$10,2,0)*BI125*BK125*BL125*BJ125)),0)</f>
        <v/>
      </c>
      <c r="BB125" s="107" t="e">
        <f>IF(AO125="","",IFERROR(IF(AO125="","",IF(AQ125="Dubai",HLOOKUP(BC125,'input for formula'!$B$3:$F$10,AR125,FALSE), IF(AND(H125="Employee",AQ125="Abu Dhabi"),HLOOKUP(BC125,'input for formula'!$I$3:$K$7,AR125,FALSE),HLOOKUP(BC125,'input for formula'!$M$3:$O$7,AR125,FALSE)))*BA125+AS125*AT125+AU125*AV125+AW125*AX125),0)*$BC$3)*IF(Inputs!$C$19&gt;100,(1+$BC$2),1)</f>
        <v>#VALUE!</v>
      </c>
      <c r="BC125" s="95" t="str">
        <f t="shared" si="54"/>
        <v/>
      </c>
      <c r="BD125" s="334" t="str">
        <f>IF(F125="","",IF(G125="Dubai",HLOOKUP(F125,Inputs!$C$26:$M$37,9,0),HLOOKUP(F125,Inputs!$C$45:$M$56,9,0)))</f>
        <v/>
      </c>
      <c r="BE125" s="335" t="str">
        <f>IF(F125="","",IF(G125="Dubai",HLOOKUP(F125,Inputs!$C$26:$M$37,10,0),HLOOKUP(F125,Inputs!$C$45:$M$56,10,0)))</f>
        <v/>
      </c>
      <c r="BF125" s="335" t="str">
        <f>IF(F125="","",IF(G125="Dubai",HLOOKUP(F125,Inputs!$C$26:$M$37,11,0),HLOOKUP(F125,Inputs!$C$45:$M$56,11,0)))</f>
        <v/>
      </c>
      <c r="BG125" s="334" t="str">
        <f>IF(F125="","",IF(G125="Dubai",HLOOKUP(F125,Inputs!$C$26:$M$37,12,0),HLOOKUP(F125,Inputs!$C$45:$M$56,12,0)))</f>
        <v/>
      </c>
      <c r="BI125" s="334" t="str">
        <f>IFERROR(IF(AO125="","",IF(AQ125="Dubai",IF(OR(AO125="Plan1",AO125="Plan2"),VLOOKUP(BD125,Deviation!$B$31:$D$33,2,FALSE),VLOOKUP(BD125,Deviation!$B$31:$D$33,3,FALSE)),IF(OR(AO125="Plan1",AO125="Plan2"),VLOOKUP(BD125,Deviation!$E$31:$G$33,2,FALSE),VLOOKUP(BD125,Deviation!$E$31:$G$33,3,FALSE)))),0)</f>
        <v/>
      </c>
      <c r="BJ125" s="336" t="str">
        <f>IFERROR(IF(AO125="","",IF(AQ125="Dubai",IF(AO125="Plan1",VLOOKUP(BE125,Deviation!$B$39:$C$40,2,FALSE),IF(AO125="Plan2",VLOOKUP(BE125,Deviation!$B$42:$C$43,2,FALSE),IF(AO125="Plan5",VLOOKUP(BE125,Deviation!$B$48:$C$49,2,FALSE),VLOOKUP(BE125,Deviation!$B$45:$C$46,2,FALSE)))),IF(AO125="Plan1",VLOOKUP(BE125,Deviation!$E$39:$F$40,2,FALSE),IF(AO125="Plan2",VLOOKUP(BE125,Deviation!$E$42:$F$43,2,FALSE),VLOOKUP(BE125,Deviation!$E$45:$F$46,2,FALSE))))),0)</f>
        <v/>
      </c>
      <c r="BK125" s="336" t="str">
        <f>IFERROR(IF(AO125="","",IF(AQ125="Dubai",IF(OR(AO125="Plan1",AO125="Plan2"),VLOOKUP(BF125,Deviation!$B$15:$D$18,2,FALSE),VLOOKUP(BF125,Deviation!$B$15:$D$18,3,FALSE)),IF(OR(AO125="Plan1",AO125="Plan2"),VLOOKUP(BF125,Deviation!$E$15:$G$18,2,FALSE),VLOOKUP(BF125,Deviation!$E$15:$G$18,3,FALSE)))),0)</f>
        <v/>
      </c>
      <c r="BL125" s="334" t="str">
        <f>IFERROR(IF(AO125="","",IF(AQ125="Dubai",VLOOKUP(BG125,Deviation!$B$24:$C$26,2,FALSE),100%)),0)</f>
        <v/>
      </c>
    </row>
    <row r="126" spans="1:64" ht="14.25" x14ac:dyDescent="0.2">
      <c r="A126" s="59">
        <v>121</v>
      </c>
      <c r="B126" s="298"/>
      <c r="C126" s="299"/>
      <c r="D126" s="298"/>
      <c r="E126" s="298"/>
      <c r="F126" s="298"/>
      <c r="G126" s="298"/>
      <c r="H126" s="298"/>
      <c r="I126" s="298"/>
      <c r="J126" s="80" t="str">
        <f>IFERROR(ROUNDDOWN(IF(C126="","",(MAX((eff_date-Additions!C126)/365.25,0))),0),"")</f>
        <v/>
      </c>
      <c r="K126" s="59" t="str">
        <f>IF(F126="","",IF(G126="Dubai",HLOOKUP(F126,Inputs!$C$26:$M$28,3,0),HLOOKUP(F126,Inputs!$C$45:$M$46,2,0)))</f>
        <v/>
      </c>
      <c r="L126" s="335" t="str">
        <f t="shared" si="56"/>
        <v/>
      </c>
      <c r="M126" s="335">
        <f t="shared" si="57"/>
        <v>0</v>
      </c>
      <c r="N126" s="335" t="str">
        <f t="shared" si="58"/>
        <v/>
      </c>
      <c r="O126" s="335">
        <f t="shared" si="59"/>
        <v>0</v>
      </c>
      <c r="Q126" s="105">
        <f t="shared" si="49"/>
        <v>0</v>
      </c>
      <c r="R126" s="59" t="b">
        <f t="shared" si="37"/>
        <v>0</v>
      </c>
      <c r="S126" s="102" t="str">
        <f t="shared" si="50"/>
        <v>x</v>
      </c>
      <c r="T126" s="102" t="str">
        <f t="shared" si="60"/>
        <v>x</v>
      </c>
      <c r="U126" s="102" t="str">
        <f t="shared" si="61"/>
        <v>x</v>
      </c>
      <c r="V126" s="102" t="str">
        <f t="shared" si="62"/>
        <v>x</v>
      </c>
      <c r="W126" s="102" t="str">
        <f t="shared" si="63"/>
        <v>x</v>
      </c>
      <c r="X126" s="102" t="str">
        <f>IF(ISERROR(MATCH(G126,'Inputs Mapping'!$T$4:$T$5,0)),"x","")</f>
        <v>x</v>
      </c>
      <c r="Y126" s="102" t="str">
        <f>IF(ISERROR(MATCH(AE126,'Inputs Mapping'!$U$4:$U$5,0)),"x","")</f>
        <v>x</v>
      </c>
      <c r="Z126" s="102" t="str">
        <f>IF(ISERROR(MATCH(AF126,'Inputs Mapping'!$V$4:$V$5,0)),"x","")</f>
        <v>x</v>
      </c>
      <c r="AA126" s="102" t="str">
        <f>IF(ISERROR(MATCH(F126,'Inputs Mapping'!$W$4:$W$8,0)),"x","")</f>
        <v>x</v>
      </c>
      <c r="AB126" s="102" t="str">
        <f t="shared" si="42"/>
        <v/>
      </c>
      <c r="AC126" s="102" t="str">
        <f t="shared" si="43"/>
        <v/>
      </c>
      <c r="AD126" s="102" t="str">
        <f t="shared" si="64"/>
        <v/>
      </c>
      <c r="AE126" s="102" t="str">
        <f t="shared" si="51"/>
        <v/>
      </c>
      <c r="AF126" s="102" t="str">
        <f t="shared" si="52"/>
        <v/>
      </c>
      <c r="AG126" s="102" t="str">
        <f t="shared" si="53"/>
        <v>x</v>
      </c>
      <c r="AK126" s="95" t="str">
        <f t="shared" si="45"/>
        <v/>
      </c>
      <c r="AL126" s="59" t="str">
        <f>IF(J126="","",VLOOKUP(J126,'Inputs Mapping'!$T$27:$V$30,3))</f>
        <v/>
      </c>
      <c r="AM126" s="59" t="str">
        <f>IF(J126="","",VLOOKUP(J126,'Inputs Mapping'!$T$17:$V$24,3))</f>
        <v/>
      </c>
      <c r="AN126" s="59" t="str">
        <f t="shared" si="46"/>
        <v/>
      </c>
      <c r="AO126" s="102" t="str">
        <f t="shared" si="47"/>
        <v/>
      </c>
      <c r="AP126" s="102" t="str">
        <f>IF(F126="","",IF(G126="Dubai",HLOOKUP(F126,Inputs!$C$26:$M$36,5,0),HLOOKUP(F126,Inputs!$C$45:$M$49,5,0)))</f>
        <v/>
      </c>
      <c r="AQ126" s="102">
        <f t="shared" si="48"/>
        <v>0</v>
      </c>
      <c r="AR126" s="59" t="str">
        <f>IF(AM126="","",IF(AQ126="Dubai",VLOOKUP(AM126,'Inputs Mapping'!$V$17:$W$24,2,0),VLOOKUP(AL126,'Inputs Mapping'!$V$27:$W$30,2,0)))</f>
        <v/>
      </c>
      <c r="AS126" s="333">
        <f>IFERROR(IF($AQ126="","",HLOOKUP($AQ126&amp;RIGHT($AO126,1),'input for formula'!$B$16:$I$20,3,0)),0)</f>
        <v>0</v>
      </c>
      <c r="AT126" s="80">
        <f>IFERROR(IF($AQ126="","",HLOOKUP($AQ126&amp;$F126,'input for formula'!$B$22:$M$25,2,0)),0)</f>
        <v>0</v>
      </c>
      <c r="AU126" s="333">
        <f>IFERROR(IF($AQ126="","",HLOOKUP($AQ126&amp;RIGHT($AO126,1),'input for formula'!$B$16:$I$20,4,0)),0)</f>
        <v>0</v>
      </c>
      <c r="AV126" s="80">
        <f>IFERROR(IF($AQ126="","",HLOOKUP($AQ126&amp;$F126,'input for formula'!$B$22:$M$25,3,0)),0)</f>
        <v>0</v>
      </c>
      <c r="AW126" s="333">
        <f>IFERROR(IF($AQ126="","",HLOOKUP($AQ126&amp;RIGHT($AO126,1),'input for formula'!$B$16:$I$20,5,0)),0)</f>
        <v>0</v>
      </c>
      <c r="AX126" s="80">
        <f>IFERROR(IF($AQ126="","",HLOOKUP($AQ126&amp;$F126,'input for formula'!$B$22:$M$25,4,0)),0)</f>
        <v>0</v>
      </c>
      <c r="AY126" s="333">
        <f>IFERROR(IF($AQ126="","",IF(Additions!$AQ126="Abu Dhabi",VLOOKUP(Additions!$AP126,'input for formula'!$A$28:$C$41,3,0),VLOOKUP(Additions!$AP126,'input for formula'!$A$28:$C$41,2,0))),0)*IFERROR(1+IF(AQ126="Dubai",VLOOKUP(F126,'Quotation for Dubai Plans'!$V$6:$X$12,3,FALSE),VLOOKUP(F126,'Quotation for Abu Dhabi Plans'!$W$6:$Y$12,3,FALSE)),0)</f>
        <v>0</v>
      </c>
      <c r="AZ126" s="80" t="str">
        <f t="shared" si="55"/>
        <v/>
      </c>
      <c r="BA126" s="106" t="str">
        <f>IFERROR(IF(AO126="","",IF(AQ126="Dubai",HLOOKUP((AO126&amp;AP126),Deviation!$B$7:$S$8,2,0)*BI126*BK126*BL126*BJ126,HLOOKUP((AO126&amp;AP126),Deviation!$B$9:$K$10,2,0)*BI126*BK126*BL126*BJ126)),0)</f>
        <v/>
      </c>
      <c r="BB126" s="107" t="e">
        <f>IF(AO126="","",IFERROR(IF(AO126="","",IF(AQ126="Dubai",HLOOKUP(BC126,'input for formula'!$B$3:$F$10,AR126,FALSE), IF(AND(H126="Employee",AQ126="Abu Dhabi"),HLOOKUP(BC126,'input for formula'!$I$3:$K$7,AR126,FALSE),HLOOKUP(BC126,'input for formula'!$M$3:$O$7,AR126,FALSE)))*BA126+AS126*AT126+AU126*AV126+AW126*AX126),0)*$BC$3)*IF(Inputs!$C$19&gt;100,(1+$BC$2),1)</f>
        <v>#VALUE!</v>
      </c>
      <c r="BC126" s="95" t="str">
        <f t="shared" si="54"/>
        <v/>
      </c>
      <c r="BD126" s="334" t="str">
        <f>IF(F126="","",IF(G126="Dubai",HLOOKUP(F126,Inputs!$C$26:$M$37,9,0),HLOOKUP(F126,Inputs!$C$45:$M$56,9,0)))</f>
        <v/>
      </c>
      <c r="BE126" s="335" t="str">
        <f>IF(F126="","",IF(G126="Dubai",HLOOKUP(F126,Inputs!$C$26:$M$37,10,0),HLOOKUP(F126,Inputs!$C$45:$M$56,10,0)))</f>
        <v/>
      </c>
      <c r="BF126" s="335" t="str">
        <f>IF(F126="","",IF(G126="Dubai",HLOOKUP(F126,Inputs!$C$26:$M$37,11,0),HLOOKUP(F126,Inputs!$C$45:$M$56,11,0)))</f>
        <v/>
      </c>
      <c r="BG126" s="334" t="str">
        <f>IF(F126="","",IF(G126="Dubai",HLOOKUP(F126,Inputs!$C$26:$M$37,12,0),HLOOKUP(F126,Inputs!$C$45:$M$56,12,0)))</f>
        <v/>
      </c>
      <c r="BI126" s="334" t="str">
        <f>IFERROR(IF(AO126="","",IF(AQ126="Dubai",IF(OR(AO126="Plan1",AO126="Plan2"),VLOOKUP(BD126,Deviation!$B$31:$D$33,2,FALSE),VLOOKUP(BD126,Deviation!$B$31:$D$33,3,FALSE)),IF(OR(AO126="Plan1",AO126="Plan2"),VLOOKUP(BD126,Deviation!$E$31:$G$33,2,FALSE),VLOOKUP(BD126,Deviation!$E$31:$G$33,3,FALSE)))),0)</f>
        <v/>
      </c>
      <c r="BJ126" s="336" t="str">
        <f>IFERROR(IF(AO126="","",IF(AQ126="Dubai",IF(AO126="Plan1",VLOOKUP(BE126,Deviation!$B$39:$C$40,2,FALSE),IF(AO126="Plan2",VLOOKUP(BE126,Deviation!$B$42:$C$43,2,FALSE),IF(AO126="Plan5",VLOOKUP(BE126,Deviation!$B$48:$C$49,2,FALSE),VLOOKUP(BE126,Deviation!$B$45:$C$46,2,FALSE)))),IF(AO126="Plan1",VLOOKUP(BE126,Deviation!$E$39:$F$40,2,FALSE),IF(AO126="Plan2",VLOOKUP(BE126,Deviation!$E$42:$F$43,2,FALSE),VLOOKUP(BE126,Deviation!$E$45:$F$46,2,FALSE))))),0)</f>
        <v/>
      </c>
      <c r="BK126" s="336" t="str">
        <f>IFERROR(IF(AO126="","",IF(AQ126="Dubai",IF(OR(AO126="Plan1",AO126="Plan2"),VLOOKUP(BF126,Deviation!$B$15:$D$18,2,FALSE),VLOOKUP(BF126,Deviation!$B$15:$D$18,3,FALSE)),IF(OR(AO126="Plan1",AO126="Plan2"),VLOOKUP(BF126,Deviation!$E$15:$G$18,2,FALSE),VLOOKUP(BF126,Deviation!$E$15:$G$18,3,FALSE)))),0)</f>
        <v/>
      </c>
      <c r="BL126" s="334" t="str">
        <f>IFERROR(IF(AO126="","",IF(AQ126="Dubai",VLOOKUP(BG126,Deviation!$B$24:$C$26,2,FALSE),100%)),0)</f>
        <v/>
      </c>
    </row>
    <row r="127" spans="1:64" ht="14.25" x14ac:dyDescent="0.2">
      <c r="A127" s="59">
        <v>122</v>
      </c>
      <c r="B127" s="298"/>
      <c r="C127" s="299"/>
      <c r="D127" s="298"/>
      <c r="E127" s="298"/>
      <c r="F127" s="298"/>
      <c r="G127" s="298"/>
      <c r="H127" s="298"/>
      <c r="I127" s="298"/>
      <c r="J127" s="80" t="str">
        <f>IFERROR(ROUNDDOWN(IF(C127="","",(MAX((eff_date-Additions!C127)/365.25,0))),0),"")</f>
        <v/>
      </c>
      <c r="K127" s="59" t="str">
        <f>IF(F127="","",IF(G127="Dubai",HLOOKUP(F127,Inputs!$C$26:$M$28,3,0),HLOOKUP(F127,Inputs!$C$45:$M$46,2,0)))</f>
        <v/>
      </c>
      <c r="L127" s="335" t="str">
        <f t="shared" si="56"/>
        <v/>
      </c>
      <c r="M127" s="335">
        <f t="shared" si="57"/>
        <v>0</v>
      </c>
      <c r="N127" s="335" t="str">
        <f t="shared" si="58"/>
        <v/>
      </c>
      <c r="O127" s="335">
        <f t="shared" si="59"/>
        <v>0</v>
      </c>
      <c r="Q127" s="105">
        <f t="shared" si="49"/>
        <v>0</v>
      </c>
      <c r="R127" s="59" t="b">
        <f t="shared" si="37"/>
        <v>0</v>
      </c>
      <c r="S127" s="102" t="str">
        <f t="shared" si="50"/>
        <v>x</v>
      </c>
      <c r="T127" s="102" t="str">
        <f t="shared" si="60"/>
        <v>x</v>
      </c>
      <c r="U127" s="102" t="str">
        <f t="shared" si="61"/>
        <v>x</v>
      </c>
      <c r="V127" s="102" t="str">
        <f t="shared" si="62"/>
        <v>x</v>
      </c>
      <c r="W127" s="102" t="str">
        <f t="shared" si="63"/>
        <v>x</v>
      </c>
      <c r="X127" s="102" t="str">
        <f>IF(ISERROR(MATCH(G127,'Inputs Mapping'!$T$4:$T$5,0)),"x","")</f>
        <v>x</v>
      </c>
      <c r="Y127" s="102" t="str">
        <f>IF(ISERROR(MATCH(AE127,'Inputs Mapping'!$U$4:$U$5,0)),"x","")</f>
        <v>x</v>
      </c>
      <c r="Z127" s="102" t="str">
        <f>IF(ISERROR(MATCH(AF127,'Inputs Mapping'!$V$4:$V$5,0)),"x","")</f>
        <v>x</v>
      </c>
      <c r="AA127" s="102" t="str">
        <f>IF(ISERROR(MATCH(F127,'Inputs Mapping'!$W$4:$W$8,0)),"x","")</f>
        <v>x</v>
      </c>
      <c r="AB127" s="102" t="str">
        <f t="shared" si="42"/>
        <v/>
      </c>
      <c r="AC127" s="102" t="str">
        <f t="shared" si="43"/>
        <v/>
      </c>
      <c r="AD127" s="102" t="str">
        <f t="shared" si="64"/>
        <v/>
      </c>
      <c r="AE127" s="102" t="str">
        <f t="shared" si="51"/>
        <v/>
      </c>
      <c r="AF127" s="102" t="str">
        <f t="shared" si="52"/>
        <v/>
      </c>
      <c r="AG127" s="102" t="str">
        <f t="shared" si="53"/>
        <v>x</v>
      </c>
      <c r="AK127" s="95" t="str">
        <f t="shared" si="45"/>
        <v/>
      </c>
      <c r="AL127" s="59" t="str">
        <f>IF(J127="","",VLOOKUP(J127,'Inputs Mapping'!$T$27:$V$30,3))</f>
        <v/>
      </c>
      <c r="AM127" s="59" t="str">
        <f>IF(J127="","",VLOOKUP(J127,'Inputs Mapping'!$T$17:$V$24,3))</f>
        <v/>
      </c>
      <c r="AN127" s="59" t="str">
        <f t="shared" si="46"/>
        <v/>
      </c>
      <c r="AO127" s="102" t="str">
        <f t="shared" si="47"/>
        <v/>
      </c>
      <c r="AP127" s="102" t="str">
        <f>IF(F127="","",IF(G127="Dubai",HLOOKUP(F127,Inputs!$C$26:$M$36,5,0),HLOOKUP(F127,Inputs!$C$45:$M$49,5,0)))</f>
        <v/>
      </c>
      <c r="AQ127" s="102">
        <f t="shared" si="48"/>
        <v>0</v>
      </c>
      <c r="AR127" s="59" t="str">
        <f>IF(AM127="","",IF(AQ127="Dubai",VLOOKUP(AM127,'Inputs Mapping'!$V$17:$W$24,2,0),VLOOKUP(AL127,'Inputs Mapping'!$V$27:$W$30,2,0)))</f>
        <v/>
      </c>
      <c r="AS127" s="333">
        <f>IFERROR(IF($AQ127="","",HLOOKUP($AQ127&amp;RIGHT($AO127,1),'input for formula'!$B$16:$I$20,3,0)),0)</f>
        <v>0</v>
      </c>
      <c r="AT127" s="80">
        <f>IFERROR(IF($AQ127="","",HLOOKUP($AQ127&amp;$F127,'input for formula'!$B$22:$M$25,2,0)),0)</f>
        <v>0</v>
      </c>
      <c r="AU127" s="333">
        <f>IFERROR(IF($AQ127="","",HLOOKUP($AQ127&amp;RIGHT($AO127,1),'input for formula'!$B$16:$I$20,4,0)),0)</f>
        <v>0</v>
      </c>
      <c r="AV127" s="80">
        <f>IFERROR(IF($AQ127="","",HLOOKUP($AQ127&amp;$F127,'input for formula'!$B$22:$M$25,3,0)),0)</f>
        <v>0</v>
      </c>
      <c r="AW127" s="333">
        <f>IFERROR(IF($AQ127="","",HLOOKUP($AQ127&amp;RIGHT($AO127,1),'input for formula'!$B$16:$I$20,5,0)),0)</f>
        <v>0</v>
      </c>
      <c r="AX127" s="80">
        <f>IFERROR(IF($AQ127="","",HLOOKUP($AQ127&amp;$F127,'input for formula'!$B$22:$M$25,4,0)),0)</f>
        <v>0</v>
      </c>
      <c r="AY127" s="333">
        <f>IFERROR(IF($AQ127="","",IF(Additions!$AQ127="Abu Dhabi",VLOOKUP(Additions!$AP127,'input for formula'!$A$28:$C$41,3,0),VLOOKUP(Additions!$AP127,'input for formula'!$A$28:$C$41,2,0))),0)*IFERROR(1+IF(AQ127="Dubai",VLOOKUP(F127,'Quotation for Dubai Plans'!$V$6:$X$12,3,FALSE),VLOOKUP(F127,'Quotation for Abu Dhabi Plans'!$W$6:$Y$12,3,FALSE)),0)</f>
        <v>0</v>
      </c>
      <c r="AZ127" s="80" t="str">
        <f t="shared" si="55"/>
        <v/>
      </c>
      <c r="BA127" s="106" t="str">
        <f>IFERROR(IF(AO127="","",IF(AQ127="Dubai",HLOOKUP((AO127&amp;AP127),Deviation!$B$7:$S$8,2,0)*BI127*BK127*BL127*BJ127,HLOOKUP((AO127&amp;AP127),Deviation!$B$9:$K$10,2,0)*BI127*BK127*BL127*BJ127)),0)</f>
        <v/>
      </c>
      <c r="BB127" s="107" t="e">
        <f>IF(AO127="","",IFERROR(IF(AO127="","",IF(AQ127="Dubai",HLOOKUP(BC127,'input for formula'!$B$3:$F$10,AR127,FALSE), IF(AND(H127="Employee",AQ127="Abu Dhabi"),HLOOKUP(BC127,'input for formula'!$I$3:$K$7,AR127,FALSE),HLOOKUP(BC127,'input for formula'!$M$3:$O$7,AR127,FALSE)))*BA127+AS127*AT127+AU127*AV127+AW127*AX127),0)*$BC$3)*IF(Inputs!$C$19&gt;100,(1+$BC$2),1)</f>
        <v>#VALUE!</v>
      </c>
      <c r="BC127" s="95" t="str">
        <f t="shared" si="54"/>
        <v/>
      </c>
      <c r="BD127" s="334" t="str">
        <f>IF(F127="","",IF(G127="Dubai",HLOOKUP(F127,Inputs!$C$26:$M$37,9,0),HLOOKUP(F127,Inputs!$C$45:$M$56,9,0)))</f>
        <v/>
      </c>
      <c r="BE127" s="335" t="str">
        <f>IF(F127="","",IF(G127="Dubai",HLOOKUP(F127,Inputs!$C$26:$M$37,10,0),HLOOKUP(F127,Inputs!$C$45:$M$56,10,0)))</f>
        <v/>
      </c>
      <c r="BF127" s="335" t="str">
        <f>IF(F127="","",IF(G127="Dubai",HLOOKUP(F127,Inputs!$C$26:$M$37,11,0),HLOOKUP(F127,Inputs!$C$45:$M$56,11,0)))</f>
        <v/>
      </c>
      <c r="BG127" s="334" t="str">
        <f>IF(F127="","",IF(G127="Dubai",HLOOKUP(F127,Inputs!$C$26:$M$37,12,0),HLOOKUP(F127,Inputs!$C$45:$M$56,12,0)))</f>
        <v/>
      </c>
      <c r="BI127" s="334" t="str">
        <f>IFERROR(IF(AO127="","",IF(AQ127="Dubai",IF(OR(AO127="Plan1",AO127="Plan2"),VLOOKUP(BD127,Deviation!$B$31:$D$33,2,FALSE),VLOOKUP(BD127,Deviation!$B$31:$D$33,3,FALSE)),IF(OR(AO127="Plan1",AO127="Plan2"),VLOOKUP(BD127,Deviation!$E$31:$G$33,2,FALSE),VLOOKUP(BD127,Deviation!$E$31:$G$33,3,FALSE)))),0)</f>
        <v/>
      </c>
      <c r="BJ127" s="336" t="str">
        <f>IFERROR(IF(AO127="","",IF(AQ127="Dubai",IF(AO127="Plan1",VLOOKUP(BE127,Deviation!$B$39:$C$40,2,FALSE),IF(AO127="Plan2",VLOOKUP(BE127,Deviation!$B$42:$C$43,2,FALSE),IF(AO127="Plan5",VLOOKUP(BE127,Deviation!$B$48:$C$49,2,FALSE),VLOOKUP(BE127,Deviation!$B$45:$C$46,2,FALSE)))),IF(AO127="Plan1",VLOOKUP(BE127,Deviation!$E$39:$F$40,2,FALSE),IF(AO127="Plan2",VLOOKUP(BE127,Deviation!$E$42:$F$43,2,FALSE),VLOOKUP(BE127,Deviation!$E$45:$F$46,2,FALSE))))),0)</f>
        <v/>
      </c>
      <c r="BK127" s="336" t="str">
        <f>IFERROR(IF(AO127="","",IF(AQ127="Dubai",IF(OR(AO127="Plan1",AO127="Plan2"),VLOOKUP(BF127,Deviation!$B$15:$D$18,2,FALSE),VLOOKUP(BF127,Deviation!$B$15:$D$18,3,FALSE)),IF(OR(AO127="Plan1",AO127="Plan2"),VLOOKUP(BF127,Deviation!$E$15:$G$18,2,FALSE),VLOOKUP(BF127,Deviation!$E$15:$G$18,3,FALSE)))),0)</f>
        <v/>
      </c>
      <c r="BL127" s="334" t="str">
        <f>IFERROR(IF(AO127="","",IF(AQ127="Dubai",VLOOKUP(BG127,Deviation!$B$24:$C$26,2,FALSE),100%)),0)</f>
        <v/>
      </c>
    </row>
    <row r="128" spans="1:64" ht="14.25" x14ac:dyDescent="0.2">
      <c r="A128" s="59">
        <v>123</v>
      </c>
      <c r="B128" s="298"/>
      <c r="C128" s="299"/>
      <c r="D128" s="298"/>
      <c r="E128" s="298"/>
      <c r="F128" s="298"/>
      <c r="G128" s="298"/>
      <c r="H128" s="298"/>
      <c r="I128" s="298"/>
      <c r="J128" s="80" t="str">
        <f>IFERROR(ROUNDDOWN(IF(C128="","",(MAX((eff_date-Additions!C128)/365.25,0))),0),"")</f>
        <v/>
      </c>
      <c r="K128" s="59" t="str">
        <f>IF(F128="","",IF(G128="Dubai",HLOOKUP(F128,Inputs!$C$26:$M$28,3,0),HLOOKUP(F128,Inputs!$C$45:$M$46,2,0)))</f>
        <v/>
      </c>
      <c r="L128" s="335" t="str">
        <f t="shared" si="56"/>
        <v/>
      </c>
      <c r="M128" s="335">
        <f t="shared" si="57"/>
        <v>0</v>
      </c>
      <c r="N128" s="335" t="str">
        <f t="shared" si="58"/>
        <v/>
      </c>
      <c r="O128" s="335">
        <f t="shared" si="59"/>
        <v>0</v>
      </c>
      <c r="Q128" s="105">
        <f t="shared" si="49"/>
        <v>0</v>
      </c>
      <c r="R128" s="59" t="b">
        <f t="shared" si="37"/>
        <v>0</v>
      </c>
      <c r="S128" s="102" t="str">
        <f t="shared" si="50"/>
        <v>x</v>
      </c>
      <c r="T128" s="102" t="str">
        <f t="shared" si="60"/>
        <v>x</v>
      </c>
      <c r="U128" s="102" t="str">
        <f t="shared" si="61"/>
        <v>x</v>
      </c>
      <c r="V128" s="102" t="str">
        <f t="shared" si="62"/>
        <v>x</v>
      </c>
      <c r="W128" s="102" t="str">
        <f t="shared" si="63"/>
        <v>x</v>
      </c>
      <c r="X128" s="102" t="str">
        <f>IF(ISERROR(MATCH(G128,'Inputs Mapping'!$T$4:$T$5,0)),"x","")</f>
        <v>x</v>
      </c>
      <c r="Y128" s="102" t="str">
        <f>IF(ISERROR(MATCH(AE128,'Inputs Mapping'!$U$4:$U$5,0)),"x","")</f>
        <v>x</v>
      </c>
      <c r="Z128" s="102" t="str">
        <f>IF(ISERROR(MATCH(AF128,'Inputs Mapping'!$V$4:$V$5,0)),"x","")</f>
        <v>x</v>
      </c>
      <c r="AA128" s="102" t="str">
        <f>IF(ISERROR(MATCH(F128,'Inputs Mapping'!$W$4:$W$8,0)),"x","")</f>
        <v>x</v>
      </c>
      <c r="AB128" s="102" t="str">
        <f t="shared" si="42"/>
        <v/>
      </c>
      <c r="AC128" s="102" t="str">
        <f t="shared" si="43"/>
        <v/>
      </c>
      <c r="AD128" s="102" t="str">
        <f t="shared" si="64"/>
        <v/>
      </c>
      <c r="AE128" s="102" t="str">
        <f t="shared" si="51"/>
        <v/>
      </c>
      <c r="AF128" s="102" t="str">
        <f t="shared" si="52"/>
        <v/>
      </c>
      <c r="AG128" s="102" t="str">
        <f t="shared" si="53"/>
        <v>x</v>
      </c>
      <c r="AK128" s="95" t="str">
        <f t="shared" si="45"/>
        <v/>
      </c>
      <c r="AL128" s="59" t="str">
        <f>IF(J128="","",VLOOKUP(J128,'Inputs Mapping'!$T$27:$V$30,3))</f>
        <v/>
      </c>
      <c r="AM128" s="59" t="str">
        <f>IF(J128="","",VLOOKUP(J128,'Inputs Mapping'!$T$17:$V$24,3))</f>
        <v/>
      </c>
      <c r="AN128" s="59" t="str">
        <f t="shared" si="46"/>
        <v/>
      </c>
      <c r="AO128" s="102" t="str">
        <f t="shared" si="47"/>
        <v/>
      </c>
      <c r="AP128" s="102" t="str">
        <f>IF(F128="","",IF(G128="Dubai",HLOOKUP(F128,Inputs!$C$26:$M$36,5,0),HLOOKUP(F128,Inputs!$C$45:$M$49,5,0)))</f>
        <v/>
      </c>
      <c r="AQ128" s="102">
        <f t="shared" si="48"/>
        <v>0</v>
      </c>
      <c r="AR128" s="59" t="str">
        <f>IF(AM128="","",IF(AQ128="Dubai",VLOOKUP(AM128,'Inputs Mapping'!$V$17:$W$24,2,0),VLOOKUP(AL128,'Inputs Mapping'!$V$27:$W$30,2,0)))</f>
        <v/>
      </c>
      <c r="AS128" s="333">
        <f>IFERROR(IF($AQ128="","",HLOOKUP($AQ128&amp;RIGHT($AO128,1),'input for formula'!$B$16:$I$20,3,0)),0)</f>
        <v>0</v>
      </c>
      <c r="AT128" s="80">
        <f>IFERROR(IF($AQ128="","",HLOOKUP($AQ128&amp;$F128,'input for formula'!$B$22:$M$25,2,0)),0)</f>
        <v>0</v>
      </c>
      <c r="AU128" s="333">
        <f>IFERROR(IF($AQ128="","",HLOOKUP($AQ128&amp;RIGHT($AO128,1),'input for formula'!$B$16:$I$20,4,0)),0)</f>
        <v>0</v>
      </c>
      <c r="AV128" s="80">
        <f>IFERROR(IF($AQ128="","",HLOOKUP($AQ128&amp;$F128,'input for formula'!$B$22:$M$25,3,0)),0)</f>
        <v>0</v>
      </c>
      <c r="AW128" s="333">
        <f>IFERROR(IF($AQ128="","",HLOOKUP($AQ128&amp;RIGHT($AO128,1),'input for formula'!$B$16:$I$20,5,0)),0)</f>
        <v>0</v>
      </c>
      <c r="AX128" s="80">
        <f>IFERROR(IF($AQ128="","",HLOOKUP($AQ128&amp;$F128,'input for formula'!$B$22:$M$25,4,0)),0)</f>
        <v>0</v>
      </c>
      <c r="AY128" s="333">
        <f>IFERROR(IF($AQ128="","",IF(Additions!$AQ128="Abu Dhabi",VLOOKUP(Additions!$AP128,'input for formula'!$A$28:$C$41,3,0),VLOOKUP(Additions!$AP128,'input for formula'!$A$28:$C$41,2,0))),0)*IFERROR(1+IF(AQ128="Dubai",VLOOKUP(F128,'Quotation for Dubai Plans'!$V$6:$X$12,3,FALSE),VLOOKUP(F128,'Quotation for Abu Dhabi Plans'!$W$6:$Y$12,3,FALSE)),0)</f>
        <v>0</v>
      </c>
      <c r="AZ128" s="80" t="str">
        <f t="shared" si="55"/>
        <v/>
      </c>
      <c r="BA128" s="106" t="str">
        <f>IFERROR(IF(AO128="","",IF(AQ128="Dubai",HLOOKUP((AO128&amp;AP128),Deviation!$B$7:$S$8,2,0)*BI128*BK128*BL128*BJ128,HLOOKUP((AO128&amp;AP128),Deviation!$B$9:$K$10,2,0)*BI128*BK128*BL128*BJ128)),0)</f>
        <v/>
      </c>
      <c r="BB128" s="107" t="e">
        <f>IF(AO128="","",IFERROR(IF(AO128="","",IF(AQ128="Dubai",HLOOKUP(BC128,'input for formula'!$B$3:$F$10,AR128,FALSE), IF(AND(H128="Employee",AQ128="Abu Dhabi"),HLOOKUP(BC128,'input for formula'!$I$3:$K$7,AR128,FALSE),HLOOKUP(BC128,'input for formula'!$M$3:$O$7,AR128,FALSE)))*BA128+AS128*AT128+AU128*AV128+AW128*AX128),0)*$BC$3)*IF(Inputs!$C$19&gt;100,(1+$BC$2),1)</f>
        <v>#VALUE!</v>
      </c>
      <c r="BC128" s="95" t="str">
        <f t="shared" si="54"/>
        <v/>
      </c>
      <c r="BD128" s="334" t="str">
        <f>IF(F128="","",IF(G128="Dubai",HLOOKUP(F128,Inputs!$C$26:$M$37,9,0),HLOOKUP(F128,Inputs!$C$45:$M$56,9,0)))</f>
        <v/>
      </c>
      <c r="BE128" s="335" t="str">
        <f>IF(F128="","",IF(G128="Dubai",HLOOKUP(F128,Inputs!$C$26:$M$37,10,0),HLOOKUP(F128,Inputs!$C$45:$M$56,10,0)))</f>
        <v/>
      </c>
      <c r="BF128" s="335" t="str">
        <f>IF(F128="","",IF(G128="Dubai",HLOOKUP(F128,Inputs!$C$26:$M$37,11,0),HLOOKUP(F128,Inputs!$C$45:$M$56,11,0)))</f>
        <v/>
      </c>
      <c r="BG128" s="334" t="str">
        <f>IF(F128="","",IF(G128="Dubai",HLOOKUP(F128,Inputs!$C$26:$M$37,12,0),HLOOKUP(F128,Inputs!$C$45:$M$56,12,0)))</f>
        <v/>
      </c>
      <c r="BI128" s="334" t="str">
        <f>IFERROR(IF(AO128="","",IF(AQ128="Dubai",IF(OR(AO128="Plan1",AO128="Plan2"),VLOOKUP(BD128,Deviation!$B$31:$D$33,2,FALSE),VLOOKUP(BD128,Deviation!$B$31:$D$33,3,FALSE)),IF(OR(AO128="Plan1",AO128="Plan2"),VLOOKUP(BD128,Deviation!$E$31:$G$33,2,FALSE),VLOOKUP(BD128,Deviation!$E$31:$G$33,3,FALSE)))),0)</f>
        <v/>
      </c>
      <c r="BJ128" s="336" t="str">
        <f>IFERROR(IF(AO128="","",IF(AQ128="Dubai",IF(AO128="Plan1",VLOOKUP(BE128,Deviation!$B$39:$C$40,2,FALSE),IF(AO128="Plan2",VLOOKUP(BE128,Deviation!$B$42:$C$43,2,FALSE),IF(AO128="Plan5",VLOOKUP(BE128,Deviation!$B$48:$C$49,2,FALSE),VLOOKUP(BE128,Deviation!$B$45:$C$46,2,FALSE)))),IF(AO128="Plan1",VLOOKUP(BE128,Deviation!$E$39:$F$40,2,FALSE),IF(AO128="Plan2",VLOOKUP(BE128,Deviation!$E$42:$F$43,2,FALSE),VLOOKUP(BE128,Deviation!$E$45:$F$46,2,FALSE))))),0)</f>
        <v/>
      </c>
      <c r="BK128" s="336" t="str">
        <f>IFERROR(IF(AO128="","",IF(AQ128="Dubai",IF(OR(AO128="Plan1",AO128="Plan2"),VLOOKUP(BF128,Deviation!$B$15:$D$18,2,FALSE),VLOOKUP(BF128,Deviation!$B$15:$D$18,3,FALSE)),IF(OR(AO128="Plan1",AO128="Plan2"),VLOOKUP(BF128,Deviation!$E$15:$G$18,2,FALSE),VLOOKUP(BF128,Deviation!$E$15:$G$18,3,FALSE)))),0)</f>
        <v/>
      </c>
      <c r="BL128" s="334" t="str">
        <f>IFERROR(IF(AO128="","",IF(AQ128="Dubai",VLOOKUP(BG128,Deviation!$B$24:$C$26,2,FALSE),100%)),0)</f>
        <v/>
      </c>
    </row>
    <row r="129" spans="1:64" ht="14.25" x14ac:dyDescent="0.2">
      <c r="A129" s="59">
        <v>124</v>
      </c>
      <c r="B129" s="298"/>
      <c r="C129" s="299"/>
      <c r="D129" s="298"/>
      <c r="E129" s="298"/>
      <c r="F129" s="298"/>
      <c r="G129" s="298"/>
      <c r="H129" s="298"/>
      <c r="I129" s="298"/>
      <c r="J129" s="80" t="str">
        <f>IFERROR(ROUNDDOWN(IF(C129="","",(MAX((eff_date-Additions!C129)/365.25,0))),0),"")</f>
        <v/>
      </c>
      <c r="K129" s="59" t="str">
        <f>IF(F129="","",IF(G129="Dubai",HLOOKUP(F129,Inputs!$C$26:$M$28,3,0),HLOOKUP(F129,Inputs!$C$45:$M$46,2,0)))</f>
        <v/>
      </c>
      <c r="L129" s="335" t="str">
        <f t="shared" si="56"/>
        <v/>
      </c>
      <c r="M129" s="335">
        <f t="shared" si="57"/>
        <v>0</v>
      </c>
      <c r="N129" s="335" t="str">
        <f t="shared" si="58"/>
        <v/>
      </c>
      <c r="O129" s="335">
        <f t="shared" si="59"/>
        <v>0</v>
      </c>
      <c r="Q129" s="105">
        <f t="shared" si="49"/>
        <v>0</v>
      </c>
      <c r="R129" s="59" t="b">
        <f t="shared" si="37"/>
        <v>0</v>
      </c>
      <c r="S129" s="102" t="str">
        <f t="shared" si="50"/>
        <v>x</v>
      </c>
      <c r="T129" s="102" t="str">
        <f t="shared" si="60"/>
        <v>x</v>
      </c>
      <c r="U129" s="102" t="str">
        <f t="shared" si="61"/>
        <v>x</v>
      </c>
      <c r="V129" s="102" t="str">
        <f t="shared" si="62"/>
        <v>x</v>
      </c>
      <c r="W129" s="102" t="str">
        <f t="shared" si="63"/>
        <v>x</v>
      </c>
      <c r="X129" s="102" t="str">
        <f>IF(ISERROR(MATCH(G129,'Inputs Mapping'!$T$4:$T$5,0)),"x","")</f>
        <v>x</v>
      </c>
      <c r="Y129" s="102" t="str">
        <f>IF(ISERROR(MATCH(AE129,'Inputs Mapping'!$U$4:$U$5,0)),"x","")</f>
        <v>x</v>
      </c>
      <c r="Z129" s="102" t="str">
        <f>IF(ISERROR(MATCH(AF129,'Inputs Mapping'!$V$4:$V$5,0)),"x","")</f>
        <v>x</v>
      </c>
      <c r="AA129" s="102" t="str">
        <f>IF(ISERROR(MATCH(F129,'Inputs Mapping'!$W$4:$W$8,0)),"x","")</f>
        <v>x</v>
      </c>
      <c r="AB129" s="102" t="str">
        <f t="shared" si="42"/>
        <v/>
      </c>
      <c r="AC129" s="102" t="str">
        <f t="shared" si="43"/>
        <v/>
      </c>
      <c r="AD129" s="102" t="str">
        <f t="shared" si="64"/>
        <v/>
      </c>
      <c r="AE129" s="102" t="str">
        <f t="shared" si="51"/>
        <v/>
      </c>
      <c r="AF129" s="102" t="str">
        <f t="shared" si="52"/>
        <v/>
      </c>
      <c r="AG129" s="102" t="str">
        <f t="shared" si="53"/>
        <v>x</v>
      </c>
      <c r="AK129" s="95" t="str">
        <f t="shared" si="45"/>
        <v/>
      </c>
      <c r="AL129" s="59" t="str">
        <f>IF(J129="","",VLOOKUP(J129,'Inputs Mapping'!$T$27:$V$30,3))</f>
        <v/>
      </c>
      <c r="AM129" s="59" t="str">
        <f>IF(J129="","",VLOOKUP(J129,'Inputs Mapping'!$T$17:$V$24,3))</f>
        <v/>
      </c>
      <c r="AN129" s="59" t="str">
        <f t="shared" si="46"/>
        <v/>
      </c>
      <c r="AO129" s="102" t="str">
        <f t="shared" si="47"/>
        <v/>
      </c>
      <c r="AP129" s="102" t="str">
        <f>IF(F129="","",IF(G129="Dubai",HLOOKUP(F129,Inputs!$C$26:$M$36,5,0),HLOOKUP(F129,Inputs!$C$45:$M$49,5,0)))</f>
        <v/>
      </c>
      <c r="AQ129" s="102">
        <f t="shared" si="48"/>
        <v>0</v>
      </c>
      <c r="AR129" s="59" t="str">
        <f>IF(AM129="","",IF(AQ129="Dubai",VLOOKUP(AM129,'Inputs Mapping'!$V$17:$W$24,2,0),VLOOKUP(AL129,'Inputs Mapping'!$V$27:$W$30,2,0)))</f>
        <v/>
      </c>
      <c r="AS129" s="333">
        <f>IFERROR(IF($AQ129="","",HLOOKUP($AQ129&amp;RIGHT($AO129,1),'input for formula'!$B$16:$I$20,3,0)),0)</f>
        <v>0</v>
      </c>
      <c r="AT129" s="80">
        <f>IFERROR(IF($AQ129="","",HLOOKUP($AQ129&amp;$F129,'input for formula'!$B$22:$M$25,2,0)),0)</f>
        <v>0</v>
      </c>
      <c r="AU129" s="333">
        <f>IFERROR(IF($AQ129="","",HLOOKUP($AQ129&amp;RIGHT($AO129,1),'input for formula'!$B$16:$I$20,4,0)),0)</f>
        <v>0</v>
      </c>
      <c r="AV129" s="80">
        <f>IFERROR(IF($AQ129="","",HLOOKUP($AQ129&amp;$F129,'input for formula'!$B$22:$M$25,3,0)),0)</f>
        <v>0</v>
      </c>
      <c r="AW129" s="333">
        <f>IFERROR(IF($AQ129="","",HLOOKUP($AQ129&amp;RIGHT($AO129,1),'input for formula'!$B$16:$I$20,5,0)),0)</f>
        <v>0</v>
      </c>
      <c r="AX129" s="80">
        <f>IFERROR(IF($AQ129="","",HLOOKUP($AQ129&amp;$F129,'input for formula'!$B$22:$M$25,4,0)),0)</f>
        <v>0</v>
      </c>
      <c r="AY129" s="333">
        <f>IFERROR(IF($AQ129="","",IF(Additions!$AQ129="Abu Dhabi",VLOOKUP(Additions!$AP129,'input for formula'!$A$28:$C$41,3,0),VLOOKUP(Additions!$AP129,'input for formula'!$A$28:$C$41,2,0))),0)*IFERROR(1+IF(AQ129="Dubai",VLOOKUP(F129,'Quotation for Dubai Plans'!$V$6:$X$12,3,FALSE),VLOOKUP(F129,'Quotation for Abu Dhabi Plans'!$W$6:$Y$12,3,FALSE)),0)</f>
        <v>0</v>
      </c>
      <c r="AZ129" s="80" t="str">
        <f t="shared" si="55"/>
        <v/>
      </c>
      <c r="BA129" s="106" t="str">
        <f>IFERROR(IF(AO129="","",IF(AQ129="Dubai",HLOOKUP((AO129&amp;AP129),Deviation!$B$7:$S$8,2,0)*BI129*BK129*BL129*BJ129,HLOOKUP((AO129&amp;AP129),Deviation!$B$9:$K$10,2,0)*BI129*BK129*BL129*BJ129)),0)</f>
        <v/>
      </c>
      <c r="BB129" s="107" t="e">
        <f>IF(AO129="","",IFERROR(IF(AO129="","",IF(AQ129="Dubai",HLOOKUP(BC129,'input for formula'!$B$3:$F$10,AR129,FALSE), IF(AND(H129="Employee",AQ129="Abu Dhabi"),HLOOKUP(BC129,'input for formula'!$I$3:$K$7,AR129,FALSE),HLOOKUP(BC129,'input for formula'!$M$3:$O$7,AR129,FALSE)))*BA129+AS129*AT129+AU129*AV129+AW129*AX129),0)*$BC$3)*IF(Inputs!$C$19&gt;100,(1+$BC$2),1)</f>
        <v>#VALUE!</v>
      </c>
      <c r="BC129" s="95" t="str">
        <f t="shared" si="54"/>
        <v/>
      </c>
      <c r="BD129" s="334" t="str">
        <f>IF(F129="","",IF(G129="Dubai",HLOOKUP(F129,Inputs!$C$26:$M$37,9,0),HLOOKUP(F129,Inputs!$C$45:$M$56,9,0)))</f>
        <v/>
      </c>
      <c r="BE129" s="335" t="str">
        <f>IF(F129="","",IF(G129="Dubai",HLOOKUP(F129,Inputs!$C$26:$M$37,10,0),HLOOKUP(F129,Inputs!$C$45:$M$56,10,0)))</f>
        <v/>
      </c>
      <c r="BF129" s="335" t="str">
        <f>IF(F129="","",IF(G129="Dubai",HLOOKUP(F129,Inputs!$C$26:$M$37,11,0),HLOOKUP(F129,Inputs!$C$45:$M$56,11,0)))</f>
        <v/>
      </c>
      <c r="BG129" s="334" t="str">
        <f>IF(F129="","",IF(G129="Dubai",HLOOKUP(F129,Inputs!$C$26:$M$37,12,0),HLOOKUP(F129,Inputs!$C$45:$M$56,12,0)))</f>
        <v/>
      </c>
      <c r="BI129" s="334" t="str">
        <f>IFERROR(IF(AO129="","",IF(AQ129="Dubai",IF(OR(AO129="Plan1",AO129="Plan2"),VLOOKUP(BD129,Deviation!$B$31:$D$33,2,FALSE),VLOOKUP(BD129,Deviation!$B$31:$D$33,3,FALSE)),IF(OR(AO129="Plan1",AO129="Plan2"),VLOOKUP(BD129,Deviation!$E$31:$G$33,2,FALSE),VLOOKUP(BD129,Deviation!$E$31:$G$33,3,FALSE)))),0)</f>
        <v/>
      </c>
      <c r="BJ129" s="336" t="str">
        <f>IFERROR(IF(AO129="","",IF(AQ129="Dubai",IF(AO129="Plan1",VLOOKUP(BE129,Deviation!$B$39:$C$40,2,FALSE),IF(AO129="Plan2",VLOOKUP(BE129,Deviation!$B$42:$C$43,2,FALSE),IF(AO129="Plan5",VLOOKUP(BE129,Deviation!$B$48:$C$49,2,FALSE),VLOOKUP(BE129,Deviation!$B$45:$C$46,2,FALSE)))),IF(AO129="Plan1",VLOOKUP(BE129,Deviation!$E$39:$F$40,2,FALSE),IF(AO129="Plan2",VLOOKUP(BE129,Deviation!$E$42:$F$43,2,FALSE),VLOOKUP(BE129,Deviation!$E$45:$F$46,2,FALSE))))),0)</f>
        <v/>
      </c>
      <c r="BK129" s="336" t="str">
        <f>IFERROR(IF(AO129="","",IF(AQ129="Dubai",IF(OR(AO129="Plan1",AO129="Plan2"),VLOOKUP(BF129,Deviation!$B$15:$D$18,2,FALSE),VLOOKUP(BF129,Deviation!$B$15:$D$18,3,FALSE)),IF(OR(AO129="Plan1",AO129="Plan2"),VLOOKUP(BF129,Deviation!$E$15:$G$18,2,FALSE),VLOOKUP(BF129,Deviation!$E$15:$G$18,3,FALSE)))),0)</f>
        <v/>
      </c>
      <c r="BL129" s="334" t="str">
        <f>IFERROR(IF(AO129="","",IF(AQ129="Dubai",VLOOKUP(BG129,Deviation!$B$24:$C$26,2,FALSE),100%)),0)</f>
        <v/>
      </c>
    </row>
    <row r="130" spans="1:64" ht="14.25" x14ac:dyDescent="0.2">
      <c r="A130" s="59">
        <v>125</v>
      </c>
      <c r="B130" s="298"/>
      <c r="C130" s="299"/>
      <c r="D130" s="298"/>
      <c r="E130" s="298"/>
      <c r="F130" s="298"/>
      <c r="G130" s="298"/>
      <c r="H130" s="298"/>
      <c r="I130" s="298"/>
      <c r="J130" s="80" t="str">
        <f>IFERROR(ROUNDDOWN(IF(C130="","",(MAX((eff_date-Additions!C130)/365.25,0))),0),"")</f>
        <v/>
      </c>
      <c r="K130" s="59" t="str">
        <f>IF(F130="","",IF(G130="Dubai",HLOOKUP(F130,Inputs!$C$26:$M$28,3,0),HLOOKUP(F130,Inputs!$C$45:$M$46,2,0)))</f>
        <v/>
      </c>
      <c r="L130" s="335" t="str">
        <f t="shared" si="56"/>
        <v/>
      </c>
      <c r="M130" s="335">
        <f t="shared" si="57"/>
        <v>0</v>
      </c>
      <c r="N130" s="335" t="str">
        <f t="shared" si="58"/>
        <v/>
      </c>
      <c r="O130" s="335">
        <f t="shared" si="59"/>
        <v>0</v>
      </c>
      <c r="Q130" s="105">
        <f t="shared" si="49"/>
        <v>0</v>
      </c>
      <c r="R130" s="59" t="b">
        <f t="shared" si="37"/>
        <v>0</v>
      </c>
      <c r="S130" s="102" t="str">
        <f t="shared" si="50"/>
        <v>x</v>
      </c>
      <c r="T130" s="102" t="str">
        <f t="shared" si="60"/>
        <v>x</v>
      </c>
      <c r="U130" s="102" t="str">
        <f t="shared" si="61"/>
        <v>x</v>
      </c>
      <c r="V130" s="102" t="str">
        <f t="shared" si="62"/>
        <v>x</v>
      </c>
      <c r="W130" s="102" t="str">
        <f t="shared" si="63"/>
        <v>x</v>
      </c>
      <c r="X130" s="102" t="str">
        <f>IF(ISERROR(MATCH(G130,'Inputs Mapping'!$T$4:$T$5,0)),"x","")</f>
        <v>x</v>
      </c>
      <c r="Y130" s="102" t="str">
        <f>IF(ISERROR(MATCH(AE130,'Inputs Mapping'!$U$4:$U$5,0)),"x","")</f>
        <v>x</v>
      </c>
      <c r="Z130" s="102" t="str">
        <f>IF(ISERROR(MATCH(AF130,'Inputs Mapping'!$V$4:$V$5,0)),"x","")</f>
        <v>x</v>
      </c>
      <c r="AA130" s="102" t="str">
        <f>IF(ISERROR(MATCH(F130,'Inputs Mapping'!$W$4:$W$8,0)),"x","")</f>
        <v>x</v>
      </c>
      <c r="AB130" s="102" t="str">
        <f t="shared" si="42"/>
        <v/>
      </c>
      <c r="AC130" s="102" t="str">
        <f t="shared" si="43"/>
        <v/>
      </c>
      <c r="AD130" s="102" t="str">
        <f t="shared" si="64"/>
        <v/>
      </c>
      <c r="AE130" s="102" t="str">
        <f t="shared" si="51"/>
        <v/>
      </c>
      <c r="AF130" s="102" t="str">
        <f t="shared" si="52"/>
        <v/>
      </c>
      <c r="AG130" s="102" t="str">
        <f t="shared" si="53"/>
        <v>x</v>
      </c>
      <c r="AK130" s="95" t="str">
        <f t="shared" si="45"/>
        <v/>
      </c>
      <c r="AL130" s="59" t="str">
        <f>IF(J130="","",VLOOKUP(J130,'Inputs Mapping'!$T$27:$V$30,3))</f>
        <v/>
      </c>
      <c r="AM130" s="59" t="str">
        <f>IF(J130="","",VLOOKUP(J130,'Inputs Mapping'!$T$17:$V$24,3))</f>
        <v/>
      </c>
      <c r="AN130" s="59" t="str">
        <f t="shared" si="46"/>
        <v/>
      </c>
      <c r="AO130" s="102" t="str">
        <f t="shared" si="47"/>
        <v/>
      </c>
      <c r="AP130" s="102" t="str">
        <f>IF(F130="","",IF(G130="Dubai",HLOOKUP(F130,Inputs!$C$26:$M$36,5,0),HLOOKUP(F130,Inputs!$C$45:$M$49,5,0)))</f>
        <v/>
      </c>
      <c r="AQ130" s="102">
        <f t="shared" si="48"/>
        <v>0</v>
      </c>
      <c r="AR130" s="59" t="str">
        <f>IF(AM130="","",IF(AQ130="Dubai",VLOOKUP(AM130,'Inputs Mapping'!$V$17:$W$24,2,0),VLOOKUP(AL130,'Inputs Mapping'!$V$27:$W$30,2,0)))</f>
        <v/>
      </c>
      <c r="AS130" s="333">
        <f>IFERROR(IF($AQ130="","",HLOOKUP($AQ130&amp;RIGHT($AO130,1),'input for formula'!$B$16:$I$20,3,0)),0)</f>
        <v>0</v>
      </c>
      <c r="AT130" s="80">
        <f>IFERROR(IF($AQ130="","",HLOOKUP($AQ130&amp;$F130,'input for formula'!$B$22:$M$25,2,0)),0)</f>
        <v>0</v>
      </c>
      <c r="AU130" s="333">
        <f>IFERROR(IF($AQ130="","",HLOOKUP($AQ130&amp;RIGHT($AO130,1),'input for formula'!$B$16:$I$20,4,0)),0)</f>
        <v>0</v>
      </c>
      <c r="AV130" s="80">
        <f>IFERROR(IF($AQ130="","",HLOOKUP($AQ130&amp;$F130,'input for formula'!$B$22:$M$25,3,0)),0)</f>
        <v>0</v>
      </c>
      <c r="AW130" s="333">
        <f>IFERROR(IF($AQ130="","",HLOOKUP($AQ130&amp;RIGHT($AO130,1),'input for formula'!$B$16:$I$20,5,0)),0)</f>
        <v>0</v>
      </c>
      <c r="AX130" s="80">
        <f>IFERROR(IF($AQ130="","",HLOOKUP($AQ130&amp;$F130,'input for formula'!$B$22:$M$25,4,0)),0)</f>
        <v>0</v>
      </c>
      <c r="AY130" s="333">
        <f>IFERROR(IF($AQ130="","",IF(Additions!$AQ130="Abu Dhabi",VLOOKUP(Additions!$AP130,'input for formula'!$A$28:$C$41,3,0),VLOOKUP(Additions!$AP130,'input for formula'!$A$28:$C$41,2,0))),0)*IFERROR(1+IF(AQ130="Dubai",VLOOKUP(F130,'Quotation for Dubai Plans'!$V$6:$X$12,3,FALSE),VLOOKUP(F130,'Quotation for Abu Dhabi Plans'!$W$6:$Y$12,3,FALSE)),0)</f>
        <v>0</v>
      </c>
      <c r="AZ130" s="80" t="str">
        <f t="shared" si="55"/>
        <v/>
      </c>
      <c r="BA130" s="106" t="str">
        <f>IFERROR(IF(AO130="","",IF(AQ130="Dubai",HLOOKUP((AO130&amp;AP130),Deviation!$B$7:$S$8,2,0)*BI130*BK130*BL130*BJ130,HLOOKUP((AO130&amp;AP130),Deviation!$B$9:$K$10,2,0)*BI130*BK130*BL130*BJ130)),0)</f>
        <v/>
      </c>
      <c r="BB130" s="107" t="e">
        <f>IF(AO130="","",IFERROR(IF(AO130="","",IF(AQ130="Dubai",HLOOKUP(BC130,'input for formula'!$B$3:$F$10,AR130,FALSE), IF(AND(H130="Employee",AQ130="Abu Dhabi"),HLOOKUP(BC130,'input for formula'!$I$3:$K$7,AR130,FALSE),HLOOKUP(BC130,'input for formula'!$M$3:$O$7,AR130,FALSE)))*BA130+AS130*AT130+AU130*AV130+AW130*AX130),0)*$BC$3)*IF(Inputs!$C$19&gt;100,(1+$BC$2),1)</f>
        <v>#VALUE!</v>
      </c>
      <c r="BC130" s="95" t="str">
        <f t="shared" si="54"/>
        <v/>
      </c>
      <c r="BD130" s="334" t="str">
        <f>IF(F130="","",IF(G130="Dubai",HLOOKUP(F130,Inputs!$C$26:$M$37,9,0),HLOOKUP(F130,Inputs!$C$45:$M$56,9,0)))</f>
        <v/>
      </c>
      <c r="BE130" s="335" t="str">
        <f>IF(F130="","",IF(G130="Dubai",HLOOKUP(F130,Inputs!$C$26:$M$37,10,0),HLOOKUP(F130,Inputs!$C$45:$M$56,10,0)))</f>
        <v/>
      </c>
      <c r="BF130" s="335" t="str">
        <f>IF(F130="","",IF(G130="Dubai",HLOOKUP(F130,Inputs!$C$26:$M$37,11,0),HLOOKUP(F130,Inputs!$C$45:$M$56,11,0)))</f>
        <v/>
      </c>
      <c r="BG130" s="334" t="str">
        <f>IF(F130="","",IF(G130="Dubai",HLOOKUP(F130,Inputs!$C$26:$M$37,12,0),HLOOKUP(F130,Inputs!$C$45:$M$56,12,0)))</f>
        <v/>
      </c>
      <c r="BI130" s="334" t="str">
        <f>IFERROR(IF(AO130="","",IF(AQ130="Dubai",IF(OR(AO130="Plan1",AO130="Plan2"),VLOOKUP(BD130,Deviation!$B$31:$D$33,2,FALSE),VLOOKUP(BD130,Deviation!$B$31:$D$33,3,FALSE)),IF(OR(AO130="Plan1",AO130="Plan2"),VLOOKUP(BD130,Deviation!$E$31:$G$33,2,FALSE),VLOOKUP(BD130,Deviation!$E$31:$G$33,3,FALSE)))),0)</f>
        <v/>
      </c>
      <c r="BJ130" s="336" t="str">
        <f>IFERROR(IF(AO130="","",IF(AQ130="Dubai",IF(AO130="Plan1",VLOOKUP(BE130,Deviation!$B$39:$C$40,2,FALSE),IF(AO130="Plan2",VLOOKUP(BE130,Deviation!$B$42:$C$43,2,FALSE),IF(AO130="Plan5",VLOOKUP(BE130,Deviation!$B$48:$C$49,2,FALSE),VLOOKUP(BE130,Deviation!$B$45:$C$46,2,FALSE)))),IF(AO130="Plan1",VLOOKUP(BE130,Deviation!$E$39:$F$40,2,FALSE),IF(AO130="Plan2",VLOOKUP(BE130,Deviation!$E$42:$F$43,2,FALSE),VLOOKUP(BE130,Deviation!$E$45:$F$46,2,FALSE))))),0)</f>
        <v/>
      </c>
      <c r="BK130" s="336" t="str">
        <f>IFERROR(IF(AO130="","",IF(AQ130="Dubai",IF(OR(AO130="Plan1",AO130="Plan2"),VLOOKUP(BF130,Deviation!$B$15:$D$18,2,FALSE),VLOOKUP(BF130,Deviation!$B$15:$D$18,3,FALSE)),IF(OR(AO130="Plan1",AO130="Plan2"),VLOOKUP(BF130,Deviation!$E$15:$G$18,2,FALSE),VLOOKUP(BF130,Deviation!$E$15:$G$18,3,FALSE)))),0)</f>
        <v/>
      </c>
      <c r="BL130" s="334" t="str">
        <f>IFERROR(IF(AO130="","",IF(AQ130="Dubai",VLOOKUP(BG130,Deviation!$B$24:$C$26,2,FALSE),100%)),0)</f>
        <v/>
      </c>
    </row>
    <row r="131" spans="1:64" ht="14.25" x14ac:dyDescent="0.2">
      <c r="A131" s="59">
        <v>126</v>
      </c>
      <c r="B131" s="298"/>
      <c r="C131" s="299"/>
      <c r="D131" s="298"/>
      <c r="E131" s="298"/>
      <c r="F131" s="298"/>
      <c r="G131" s="298"/>
      <c r="H131" s="298"/>
      <c r="I131" s="298"/>
      <c r="J131" s="80" t="str">
        <f>IFERROR(ROUNDDOWN(IF(C131="","",(MAX((eff_date-Additions!C131)/365.25,0))),0),"")</f>
        <v/>
      </c>
      <c r="K131" s="59" t="str">
        <f>IF(F131="","",IF(G131="Dubai",HLOOKUP(F131,Inputs!$C$26:$M$28,3,0),HLOOKUP(F131,Inputs!$C$45:$M$46,2,0)))</f>
        <v/>
      </c>
      <c r="L131" s="335" t="str">
        <f t="shared" si="56"/>
        <v/>
      </c>
      <c r="M131" s="335">
        <f t="shared" si="57"/>
        <v>0</v>
      </c>
      <c r="N131" s="335" t="str">
        <f t="shared" si="58"/>
        <v/>
      </c>
      <c r="O131" s="335">
        <f t="shared" si="59"/>
        <v>0</v>
      </c>
      <c r="Q131" s="105">
        <f t="shared" si="49"/>
        <v>0</v>
      </c>
      <c r="R131" s="59" t="b">
        <f t="shared" si="37"/>
        <v>0</v>
      </c>
      <c r="S131" s="102" t="str">
        <f t="shared" si="50"/>
        <v>x</v>
      </c>
      <c r="T131" s="102" t="str">
        <f t="shared" si="60"/>
        <v>x</v>
      </c>
      <c r="U131" s="102" t="str">
        <f t="shared" si="61"/>
        <v>x</v>
      </c>
      <c r="V131" s="102" t="str">
        <f t="shared" si="62"/>
        <v>x</v>
      </c>
      <c r="W131" s="102" t="str">
        <f t="shared" si="63"/>
        <v>x</v>
      </c>
      <c r="X131" s="102" t="str">
        <f>IF(ISERROR(MATCH(G131,'Inputs Mapping'!$T$4:$T$5,0)),"x","")</f>
        <v>x</v>
      </c>
      <c r="Y131" s="102" t="str">
        <f>IF(ISERROR(MATCH(AE131,'Inputs Mapping'!$U$4:$U$5,0)),"x","")</f>
        <v>x</v>
      </c>
      <c r="Z131" s="102" t="str">
        <f>IF(ISERROR(MATCH(AF131,'Inputs Mapping'!$V$4:$V$5,0)),"x","")</f>
        <v>x</v>
      </c>
      <c r="AA131" s="102" t="str">
        <f>IF(ISERROR(MATCH(F131,'Inputs Mapping'!$W$4:$W$8,0)),"x","")</f>
        <v>x</v>
      </c>
      <c r="AB131" s="102" t="str">
        <f t="shared" si="42"/>
        <v/>
      </c>
      <c r="AC131" s="102" t="str">
        <f t="shared" si="43"/>
        <v/>
      </c>
      <c r="AD131" s="102" t="str">
        <f t="shared" si="64"/>
        <v/>
      </c>
      <c r="AE131" s="102" t="str">
        <f t="shared" si="51"/>
        <v/>
      </c>
      <c r="AF131" s="102" t="str">
        <f t="shared" si="52"/>
        <v/>
      </c>
      <c r="AG131" s="102" t="str">
        <f t="shared" si="53"/>
        <v>x</v>
      </c>
      <c r="AK131" s="95" t="str">
        <f t="shared" si="45"/>
        <v/>
      </c>
      <c r="AL131" s="59" t="str">
        <f>IF(J131="","",VLOOKUP(J131,'Inputs Mapping'!$T$27:$V$30,3))</f>
        <v/>
      </c>
      <c r="AM131" s="59" t="str">
        <f>IF(J131="","",VLOOKUP(J131,'Inputs Mapping'!$T$17:$V$24,3))</f>
        <v/>
      </c>
      <c r="AN131" s="59" t="str">
        <f t="shared" si="46"/>
        <v/>
      </c>
      <c r="AO131" s="102" t="str">
        <f t="shared" si="47"/>
        <v/>
      </c>
      <c r="AP131" s="102" t="str">
        <f>IF(F131="","",IF(G131="Dubai",HLOOKUP(F131,Inputs!$C$26:$M$36,5,0),HLOOKUP(F131,Inputs!$C$45:$M$49,5,0)))</f>
        <v/>
      </c>
      <c r="AQ131" s="102">
        <f t="shared" si="48"/>
        <v>0</v>
      </c>
      <c r="AR131" s="59" t="str">
        <f>IF(AM131="","",IF(AQ131="Dubai",VLOOKUP(AM131,'Inputs Mapping'!$V$17:$W$24,2,0),VLOOKUP(AL131,'Inputs Mapping'!$V$27:$W$30,2,0)))</f>
        <v/>
      </c>
      <c r="AS131" s="333">
        <f>IFERROR(IF($AQ131="","",HLOOKUP($AQ131&amp;RIGHT($AO131,1),'input for formula'!$B$16:$I$20,3,0)),0)</f>
        <v>0</v>
      </c>
      <c r="AT131" s="80">
        <f>IFERROR(IF($AQ131="","",HLOOKUP($AQ131&amp;$F131,'input for formula'!$B$22:$M$25,2,0)),0)</f>
        <v>0</v>
      </c>
      <c r="AU131" s="333">
        <f>IFERROR(IF($AQ131="","",HLOOKUP($AQ131&amp;RIGHT($AO131,1),'input for formula'!$B$16:$I$20,4,0)),0)</f>
        <v>0</v>
      </c>
      <c r="AV131" s="80">
        <f>IFERROR(IF($AQ131="","",HLOOKUP($AQ131&amp;$F131,'input for formula'!$B$22:$M$25,3,0)),0)</f>
        <v>0</v>
      </c>
      <c r="AW131" s="333">
        <f>IFERROR(IF($AQ131="","",HLOOKUP($AQ131&amp;RIGHT($AO131,1),'input for formula'!$B$16:$I$20,5,0)),0)</f>
        <v>0</v>
      </c>
      <c r="AX131" s="80">
        <f>IFERROR(IF($AQ131="","",HLOOKUP($AQ131&amp;$F131,'input for formula'!$B$22:$M$25,4,0)),0)</f>
        <v>0</v>
      </c>
      <c r="AY131" s="333">
        <f>IFERROR(IF($AQ131="","",IF(Additions!$AQ131="Abu Dhabi",VLOOKUP(Additions!$AP131,'input for formula'!$A$28:$C$41,3,0),VLOOKUP(Additions!$AP131,'input for formula'!$A$28:$C$41,2,0))),0)*IFERROR(1+IF(AQ131="Dubai",VLOOKUP(F131,'Quotation for Dubai Plans'!$V$6:$X$12,3,FALSE),VLOOKUP(F131,'Quotation for Abu Dhabi Plans'!$W$6:$Y$12,3,FALSE)),0)</f>
        <v>0</v>
      </c>
      <c r="AZ131" s="80" t="str">
        <f t="shared" si="55"/>
        <v/>
      </c>
      <c r="BA131" s="106" t="str">
        <f>IFERROR(IF(AO131="","",IF(AQ131="Dubai",HLOOKUP((AO131&amp;AP131),Deviation!$B$7:$S$8,2,0)*BI131*BK131*BL131*BJ131,HLOOKUP((AO131&amp;AP131),Deviation!$B$9:$K$10,2,0)*BI131*BK131*BL131*BJ131)),0)</f>
        <v/>
      </c>
      <c r="BB131" s="107" t="e">
        <f>IF(AO131="","",IFERROR(IF(AO131="","",IF(AQ131="Dubai",HLOOKUP(BC131,'input for formula'!$B$3:$F$10,AR131,FALSE), IF(AND(H131="Employee",AQ131="Abu Dhabi"),HLOOKUP(BC131,'input for formula'!$I$3:$K$7,AR131,FALSE),HLOOKUP(BC131,'input for formula'!$M$3:$O$7,AR131,FALSE)))*BA131+AS131*AT131+AU131*AV131+AW131*AX131),0)*$BC$3)*IF(Inputs!$C$19&gt;100,(1+$BC$2),1)</f>
        <v>#VALUE!</v>
      </c>
      <c r="BC131" s="95" t="str">
        <f t="shared" si="54"/>
        <v/>
      </c>
      <c r="BD131" s="334" t="str">
        <f>IF(F131="","",IF(G131="Dubai",HLOOKUP(F131,Inputs!$C$26:$M$37,9,0),HLOOKUP(F131,Inputs!$C$45:$M$56,9,0)))</f>
        <v/>
      </c>
      <c r="BE131" s="335" t="str">
        <f>IF(F131="","",IF(G131="Dubai",HLOOKUP(F131,Inputs!$C$26:$M$37,10,0),HLOOKUP(F131,Inputs!$C$45:$M$56,10,0)))</f>
        <v/>
      </c>
      <c r="BF131" s="335" t="str">
        <f>IF(F131="","",IF(G131="Dubai",HLOOKUP(F131,Inputs!$C$26:$M$37,11,0),HLOOKUP(F131,Inputs!$C$45:$M$56,11,0)))</f>
        <v/>
      </c>
      <c r="BG131" s="334" t="str">
        <f>IF(F131="","",IF(G131="Dubai",HLOOKUP(F131,Inputs!$C$26:$M$37,12,0),HLOOKUP(F131,Inputs!$C$45:$M$56,12,0)))</f>
        <v/>
      </c>
      <c r="BI131" s="334" t="str">
        <f>IFERROR(IF(AO131="","",IF(AQ131="Dubai",IF(OR(AO131="Plan1",AO131="Plan2"),VLOOKUP(BD131,Deviation!$B$31:$D$33,2,FALSE),VLOOKUP(BD131,Deviation!$B$31:$D$33,3,FALSE)),IF(OR(AO131="Plan1",AO131="Plan2"),VLOOKUP(BD131,Deviation!$E$31:$G$33,2,FALSE),VLOOKUP(BD131,Deviation!$E$31:$G$33,3,FALSE)))),0)</f>
        <v/>
      </c>
      <c r="BJ131" s="336" t="str">
        <f>IFERROR(IF(AO131="","",IF(AQ131="Dubai",IF(AO131="Plan1",VLOOKUP(BE131,Deviation!$B$39:$C$40,2,FALSE),IF(AO131="Plan2",VLOOKUP(BE131,Deviation!$B$42:$C$43,2,FALSE),IF(AO131="Plan5",VLOOKUP(BE131,Deviation!$B$48:$C$49,2,FALSE),VLOOKUP(BE131,Deviation!$B$45:$C$46,2,FALSE)))),IF(AO131="Plan1",VLOOKUP(BE131,Deviation!$E$39:$F$40,2,FALSE),IF(AO131="Plan2",VLOOKUP(BE131,Deviation!$E$42:$F$43,2,FALSE),VLOOKUP(BE131,Deviation!$E$45:$F$46,2,FALSE))))),0)</f>
        <v/>
      </c>
      <c r="BK131" s="336" t="str">
        <f>IFERROR(IF(AO131="","",IF(AQ131="Dubai",IF(OR(AO131="Plan1",AO131="Plan2"),VLOOKUP(BF131,Deviation!$B$15:$D$18,2,FALSE),VLOOKUP(BF131,Deviation!$B$15:$D$18,3,FALSE)),IF(OR(AO131="Plan1",AO131="Plan2"),VLOOKUP(BF131,Deviation!$E$15:$G$18,2,FALSE),VLOOKUP(BF131,Deviation!$E$15:$G$18,3,FALSE)))),0)</f>
        <v/>
      </c>
      <c r="BL131" s="334" t="str">
        <f>IFERROR(IF(AO131="","",IF(AQ131="Dubai",VLOOKUP(BG131,Deviation!$B$24:$C$26,2,FALSE),100%)),0)</f>
        <v/>
      </c>
    </row>
    <row r="132" spans="1:64" ht="14.25" x14ac:dyDescent="0.2">
      <c r="A132" s="59">
        <v>127</v>
      </c>
      <c r="B132" s="298"/>
      <c r="C132" s="299"/>
      <c r="D132" s="298"/>
      <c r="E132" s="298"/>
      <c r="F132" s="298"/>
      <c r="G132" s="298"/>
      <c r="H132" s="298"/>
      <c r="I132" s="298"/>
      <c r="J132" s="80" t="str">
        <f>IFERROR(ROUNDDOWN(IF(C132="","",(MAX((eff_date-Additions!C132)/365.25,0))),0),"")</f>
        <v/>
      </c>
      <c r="K132" s="59" t="str">
        <f>IF(F132="","",IF(G132="Dubai",HLOOKUP(F132,Inputs!$C$26:$M$28,3,0),HLOOKUP(F132,Inputs!$C$45:$M$46,2,0)))</f>
        <v/>
      </c>
      <c r="L132" s="335" t="str">
        <f t="shared" si="56"/>
        <v/>
      </c>
      <c r="M132" s="335">
        <f t="shared" si="57"/>
        <v>0</v>
      </c>
      <c r="N132" s="335" t="str">
        <f t="shared" si="58"/>
        <v/>
      </c>
      <c r="O132" s="335">
        <f t="shared" si="59"/>
        <v>0</v>
      </c>
      <c r="Q132" s="105">
        <f t="shared" si="49"/>
        <v>0</v>
      </c>
      <c r="R132" s="59" t="b">
        <f t="shared" si="37"/>
        <v>0</v>
      </c>
      <c r="S132" s="102" t="str">
        <f t="shared" si="50"/>
        <v>x</v>
      </c>
      <c r="T132" s="102" t="str">
        <f t="shared" si="60"/>
        <v>x</v>
      </c>
      <c r="U132" s="102" t="str">
        <f t="shared" si="61"/>
        <v>x</v>
      </c>
      <c r="V132" s="102" t="str">
        <f t="shared" si="62"/>
        <v>x</v>
      </c>
      <c r="W132" s="102" t="str">
        <f t="shared" si="63"/>
        <v>x</v>
      </c>
      <c r="X132" s="102" t="str">
        <f>IF(ISERROR(MATCH(G132,'Inputs Mapping'!$T$4:$T$5,0)),"x","")</f>
        <v>x</v>
      </c>
      <c r="Y132" s="102" t="str">
        <f>IF(ISERROR(MATCH(AE132,'Inputs Mapping'!$U$4:$U$5,0)),"x","")</f>
        <v>x</v>
      </c>
      <c r="Z132" s="102" t="str">
        <f>IF(ISERROR(MATCH(AF132,'Inputs Mapping'!$V$4:$V$5,0)),"x","")</f>
        <v>x</v>
      </c>
      <c r="AA132" s="102" t="str">
        <f>IF(ISERROR(MATCH(F132,'Inputs Mapping'!$W$4:$W$8,0)),"x","")</f>
        <v>x</v>
      </c>
      <c r="AB132" s="102" t="str">
        <f t="shared" si="42"/>
        <v/>
      </c>
      <c r="AC132" s="102" t="str">
        <f t="shared" si="43"/>
        <v/>
      </c>
      <c r="AD132" s="102" t="str">
        <f t="shared" si="64"/>
        <v/>
      </c>
      <c r="AE132" s="102" t="str">
        <f t="shared" si="51"/>
        <v/>
      </c>
      <c r="AF132" s="102" t="str">
        <f t="shared" si="52"/>
        <v/>
      </c>
      <c r="AG132" s="102" t="str">
        <f t="shared" si="53"/>
        <v>x</v>
      </c>
      <c r="AK132" s="95" t="str">
        <f t="shared" si="45"/>
        <v/>
      </c>
      <c r="AL132" s="59" t="str">
        <f>IF(J132="","",VLOOKUP(J132,'Inputs Mapping'!$T$27:$V$30,3))</f>
        <v/>
      </c>
      <c r="AM132" s="59" t="str">
        <f>IF(J132="","",VLOOKUP(J132,'Inputs Mapping'!$T$17:$V$24,3))</f>
        <v/>
      </c>
      <c r="AN132" s="59" t="str">
        <f t="shared" si="46"/>
        <v/>
      </c>
      <c r="AO132" s="102" t="str">
        <f t="shared" si="47"/>
        <v/>
      </c>
      <c r="AP132" s="102" t="str">
        <f>IF(F132="","",IF(G132="Dubai",HLOOKUP(F132,Inputs!$C$26:$M$36,5,0),HLOOKUP(F132,Inputs!$C$45:$M$49,5,0)))</f>
        <v/>
      </c>
      <c r="AQ132" s="102">
        <f t="shared" si="48"/>
        <v>0</v>
      </c>
      <c r="AR132" s="59" t="str">
        <f>IF(AM132="","",IF(AQ132="Dubai",VLOOKUP(AM132,'Inputs Mapping'!$V$17:$W$24,2,0),VLOOKUP(AL132,'Inputs Mapping'!$V$27:$W$30,2,0)))</f>
        <v/>
      </c>
      <c r="AS132" s="333">
        <f>IFERROR(IF($AQ132="","",HLOOKUP($AQ132&amp;RIGHT($AO132,1),'input for formula'!$B$16:$I$20,3,0)),0)</f>
        <v>0</v>
      </c>
      <c r="AT132" s="80">
        <f>IFERROR(IF($AQ132="","",HLOOKUP($AQ132&amp;$F132,'input for formula'!$B$22:$M$25,2,0)),0)</f>
        <v>0</v>
      </c>
      <c r="AU132" s="333">
        <f>IFERROR(IF($AQ132="","",HLOOKUP($AQ132&amp;RIGHT($AO132,1),'input for formula'!$B$16:$I$20,4,0)),0)</f>
        <v>0</v>
      </c>
      <c r="AV132" s="80">
        <f>IFERROR(IF($AQ132="","",HLOOKUP($AQ132&amp;$F132,'input for formula'!$B$22:$M$25,3,0)),0)</f>
        <v>0</v>
      </c>
      <c r="AW132" s="333">
        <f>IFERROR(IF($AQ132="","",HLOOKUP($AQ132&amp;RIGHT($AO132,1),'input for formula'!$B$16:$I$20,5,0)),0)</f>
        <v>0</v>
      </c>
      <c r="AX132" s="80">
        <f>IFERROR(IF($AQ132="","",HLOOKUP($AQ132&amp;$F132,'input for formula'!$B$22:$M$25,4,0)),0)</f>
        <v>0</v>
      </c>
      <c r="AY132" s="333">
        <f>IFERROR(IF($AQ132="","",IF(Additions!$AQ132="Abu Dhabi",VLOOKUP(Additions!$AP132,'input for formula'!$A$28:$C$41,3,0),VLOOKUP(Additions!$AP132,'input for formula'!$A$28:$C$41,2,0))),0)*IFERROR(1+IF(AQ132="Dubai",VLOOKUP(F132,'Quotation for Dubai Plans'!$V$6:$X$12,3,FALSE),VLOOKUP(F132,'Quotation for Abu Dhabi Plans'!$W$6:$Y$12,3,FALSE)),0)</f>
        <v>0</v>
      </c>
      <c r="AZ132" s="80" t="str">
        <f t="shared" si="55"/>
        <v/>
      </c>
      <c r="BA132" s="106" t="str">
        <f>IFERROR(IF(AO132="","",IF(AQ132="Dubai",HLOOKUP((AO132&amp;AP132),Deviation!$B$7:$S$8,2,0)*BI132*BK132*BL132*BJ132,HLOOKUP((AO132&amp;AP132),Deviation!$B$9:$K$10,2,0)*BI132*BK132*BL132*BJ132)),0)</f>
        <v/>
      </c>
      <c r="BB132" s="107" t="e">
        <f>IF(AO132="","",IFERROR(IF(AO132="","",IF(AQ132="Dubai",HLOOKUP(BC132,'input for formula'!$B$3:$F$10,AR132,FALSE), IF(AND(H132="Employee",AQ132="Abu Dhabi"),HLOOKUP(BC132,'input for formula'!$I$3:$K$7,AR132,FALSE),HLOOKUP(BC132,'input for formula'!$M$3:$O$7,AR132,FALSE)))*BA132+AS132*AT132+AU132*AV132+AW132*AX132),0)*$BC$3)*IF(Inputs!$C$19&gt;100,(1+$BC$2),1)</f>
        <v>#VALUE!</v>
      </c>
      <c r="BC132" s="95" t="str">
        <f t="shared" si="54"/>
        <v/>
      </c>
      <c r="BD132" s="334" t="str">
        <f>IF(F132="","",IF(G132="Dubai",HLOOKUP(F132,Inputs!$C$26:$M$37,9,0),HLOOKUP(F132,Inputs!$C$45:$M$56,9,0)))</f>
        <v/>
      </c>
      <c r="BE132" s="335" t="str">
        <f>IF(F132="","",IF(G132="Dubai",HLOOKUP(F132,Inputs!$C$26:$M$37,10,0),HLOOKUP(F132,Inputs!$C$45:$M$56,10,0)))</f>
        <v/>
      </c>
      <c r="BF132" s="335" t="str">
        <f>IF(F132="","",IF(G132="Dubai",HLOOKUP(F132,Inputs!$C$26:$M$37,11,0),HLOOKUP(F132,Inputs!$C$45:$M$56,11,0)))</f>
        <v/>
      </c>
      <c r="BG132" s="334" t="str">
        <f>IF(F132="","",IF(G132="Dubai",HLOOKUP(F132,Inputs!$C$26:$M$37,12,0),HLOOKUP(F132,Inputs!$C$45:$M$56,12,0)))</f>
        <v/>
      </c>
      <c r="BI132" s="334" t="str">
        <f>IFERROR(IF(AO132="","",IF(AQ132="Dubai",IF(OR(AO132="Plan1",AO132="Plan2"),VLOOKUP(BD132,Deviation!$B$31:$D$33,2,FALSE),VLOOKUP(BD132,Deviation!$B$31:$D$33,3,FALSE)),IF(OR(AO132="Plan1",AO132="Plan2"),VLOOKUP(BD132,Deviation!$E$31:$G$33,2,FALSE),VLOOKUP(BD132,Deviation!$E$31:$G$33,3,FALSE)))),0)</f>
        <v/>
      </c>
      <c r="BJ132" s="336" t="str">
        <f>IFERROR(IF(AO132="","",IF(AQ132="Dubai",IF(AO132="Plan1",VLOOKUP(BE132,Deviation!$B$39:$C$40,2,FALSE),IF(AO132="Plan2",VLOOKUP(BE132,Deviation!$B$42:$C$43,2,FALSE),IF(AO132="Plan5",VLOOKUP(BE132,Deviation!$B$48:$C$49,2,FALSE),VLOOKUP(BE132,Deviation!$B$45:$C$46,2,FALSE)))),IF(AO132="Plan1",VLOOKUP(BE132,Deviation!$E$39:$F$40,2,FALSE),IF(AO132="Plan2",VLOOKUP(BE132,Deviation!$E$42:$F$43,2,FALSE),VLOOKUP(BE132,Deviation!$E$45:$F$46,2,FALSE))))),0)</f>
        <v/>
      </c>
      <c r="BK132" s="336" t="str">
        <f>IFERROR(IF(AO132="","",IF(AQ132="Dubai",IF(OR(AO132="Plan1",AO132="Plan2"),VLOOKUP(BF132,Deviation!$B$15:$D$18,2,FALSE),VLOOKUP(BF132,Deviation!$B$15:$D$18,3,FALSE)),IF(OR(AO132="Plan1",AO132="Plan2"),VLOOKUP(BF132,Deviation!$E$15:$G$18,2,FALSE),VLOOKUP(BF132,Deviation!$E$15:$G$18,3,FALSE)))),0)</f>
        <v/>
      </c>
      <c r="BL132" s="334" t="str">
        <f>IFERROR(IF(AO132="","",IF(AQ132="Dubai",VLOOKUP(BG132,Deviation!$B$24:$C$26,2,FALSE),100%)),0)</f>
        <v/>
      </c>
    </row>
    <row r="133" spans="1:64" ht="14.25" x14ac:dyDescent="0.2">
      <c r="A133" s="59">
        <v>128</v>
      </c>
      <c r="B133" s="298"/>
      <c r="C133" s="299"/>
      <c r="D133" s="298"/>
      <c r="E133" s="298"/>
      <c r="F133" s="298"/>
      <c r="G133" s="298"/>
      <c r="H133" s="298"/>
      <c r="I133" s="298"/>
      <c r="J133" s="80" t="str">
        <f>IFERROR(ROUNDDOWN(IF(C133="","",(MAX((eff_date-Additions!C133)/365.25,0))),0),"")</f>
        <v/>
      </c>
      <c r="K133" s="59" t="str">
        <f>IF(F133="","",IF(G133="Dubai",HLOOKUP(F133,Inputs!$C$26:$M$28,3,0),HLOOKUP(F133,Inputs!$C$45:$M$46,2,0)))</f>
        <v/>
      </c>
      <c r="L133" s="335" t="str">
        <f t="shared" si="56"/>
        <v/>
      </c>
      <c r="M133" s="335">
        <f t="shared" si="57"/>
        <v>0</v>
      </c>
      <c r="N133" s="335" t="str">
        <f t="shared" si="58"/>
        <v/>
      </c>
      <c r="O133" s="335">
        <f t="shared" si="59"/>
        <v>0</v>
      </c>
      <c r="Q133" s="105">
        <f t="shared" si="49"/>
        <v>0</v>
      </c>
      <c r="R133" s="59" t="b">
        <f t="shared" si="37"/>
        <v>0</v>
      </c>
      <c r="S133" s="102" t="str">
        <f t="shared" si="50"/>
        <v>x</v>
      </c>
      <c r="T133" s="102" t="str">
        <f t="shared" si="60"/>
        <v>x</v>
      </c>
      <c r="U133" s="102" t="str">
        <f t="shared" si="61"/>
        <v>x</v>
      </c>
      <c r="V133" s="102" t="str">
        <f t="shared" si="62"/>
        <v>x</v>
      </c>
      <c r="W133" s="102" t="str">
        <f t="shared" si="63"/>
        <v>x</v>
      </c>
      <c r="X133" s="102" t="str">
        <f>IF(ISERROR(MATCH(G133,'Inputs Mapping'!$T$4:$T$5,0)),"x","")</f>
        <v>x</v>
      </c>
      <c r="Y133" s="102" t="str">
        <f>IF(ISERROR(MATCH(AE133,'Inputs Mapping'!$U$4:$U$5,0)),"x","")</f>
        <v>x</v>
      </c>
      <c r="Z133" s="102" t="str">
        <f>IF(ISERROR(MATCH(AF133,'Inputs Mapping'!$V$4:$V$5,0)),"x","")</f>
        <v>x</v>
      </c>
      <c r="AA133" s="102" t="str">
        <f>IF(ISERROR(MATCH(F133,'Inputs Mapping'!$W$4:$W$8,0)),"x","")</f>
        <v>x</v>
      </c>
      <c r="AB133" s="102" t="str">
        <f t="shared" si="42"/>
        <v/>
      </c>
      <c r="AC133" s="102" t="str">
        <f t="shared" si="43"/>
        <v/>
      </c>
      <c r="AD133" s="102" t="str">
        <f t="shared" si="64"/>
        <v/>
      </c>
      <c r="AE133" s="102" t="str">
        <f t="shared" si="51"/>
        <v/>
      </c>
      <c r="AF133" s="102" t="str">
        <f t="shared" si="52"/>
        <v/>
      </c>
      <c r="AG133" s="102" t="str">
        <f t="shared" si="53"/>
        <v>x</v>
      </c>
      <c r="AK133" s="95" t="str">
        <f t="shared" si="45"/>
        <v/>
      </c>
      <c r="AL133" s="59" t="str">
        <f>IF(J133="","",VLOOKUP(J133,'Inputs Mapping'!$T$27:$V$30,3))</f>
        <v/>
      </c>
      <c r="AM133" s="59" t="str">
        <f>IF(J133="","",VLOOKUP(J133,'Inputs Mapping'!$T$17:$V$24,3))</f>
        <v/>
      </c>
      <c r="AN133" s="59" t="str">
        <f t="shared" si="46"/>
        <v/>
      </c>
      <c r="AO133" s="102" t="str">
        <f t="shared" si="47"/>
        <v/>
      </c>
      <c r="AP133" s="102" t="str">
        <f>IF(F133="","",IF(G133="Dubai",HLOOKUP(F133,Inputs!$C$26:$M$36,5,0),HLOOKUP(F133,Inputs!$C$45:$M$49,5,0)))</f>
        <v/>
      </c>
      <c r="AQ133" s="102">
        <f t="shared" si="48"/>
        <v>0</v>
      </c>
      <c r="AR133" s="59" t="str">
        <f>IF(AM133="","",IF(AQ133="Dubai",VLOOKUP(AM133,'Inputs Mapping'!$V$17:$W$24,2,0),VLOOKUP(AL133,'Inputs Mapping'!$V$27:$W$30,2,0)))</f>
        <v/>
      </c>
      <c r="AS133" s="333">
        <f>IFERROR(IF($AQ133="","",HLOOKUP($AQ133&amp;RIGHT($AO133,1),'input for formula'!$B$16:$I$20,3,0)),0)</f>
        <v>0</v>
      </c>
      <c r="AT133" s="80">
        <f>IFERROR(IF($AQ133="","",HLOOKUP($AQ133&amp;$F133,'input for formula'!$B$22:$M$25,2,0)),0)</f>
        <v>0</v>
      </c>
      <c r="AU133" s="333">
        <f>IFERROR(IF($AQ133="","",HLOOKUP($AQ133&amp;RIGHT($AO133,1),'input for formula'!$B$16:$I$20,4,0)),0)</f>
        <v>0</v>
      </c>
      <c r="AV133" s="80">
        <f>IFERROR(IF($AQ133="","",HLOOKUP($AQ133&amp;$F133,'input for formula'!$B$22:$M$25,3,0)),0)</f>
        <v>0</v>
      </c>
      <c r="AW133" s="333">
        <f>IFERROR(IF($AQ133="","",HLOOKUP($AQ133&amp;RIGHT($AO133,1),'input for formula'!$B$16:$I$20,5,0)),0)</f>
        <v>0</v>
      </c>
      <c r="AX133" s="80">
        <f>IFERROR(IF($AQ133="","",HLOOKUP($AQ133&amp;$F133,'input for formula'!$B$22:$M$25,4,0)),0)</f>
        <v>0</v>
      </c>
      <c r="AY133" s="333">
        <f>IFERROR(IF($AQ133="","",IF(Additions!$AQ133="Abu Dhabi",VLOOKUP(Additions!$AP133,'input for formula'!$A$28:$C$41,3,0),VLOOKUP(Additions!$AP133,'input for formula'!$A$28:$C$41,2,0))),0)*IFERROR(1+IF(AQ133="Dubai",VLOOKUP(F133,'Quotation for Dubai Plans'!$V$6:$X$12,3,FALSE),VLOOKUP(F133,'Quotation for Abu Dhabi Plans'!$W$6:$Y$12,3,FALSE)),0)</f>
        <v>0</v>
      </c>
      <c r="AZ133" s="80" t="str">
        <f t="shared" si="55"/>
        <v/>
      </c>
      <c r="BA133" s="106" t="str">
        <f>IFERROR(IF(AO133="","",IF(AQ133="Dubai",HLOOKUP((AO133&amp;AP133),Deviation!$B$7:$S$8,2,0)*BI133*BK133*BL133*BJ133,HLOOKUP((AO133&amp;AP133),Deviation!$B$9:$K$10,2,0)*BI133*BK133*BL133*BJ133)),0)</f>
        <v/>
      </c>
      <c r="BB133" s="107" t="e">
        <f>IF(AO133="","",IFERROR(IF(AO133="","",IF(AQ133="Dubai",HLOOKUP(BC133,'input for formula'!$B$3:$F$10,AR133,FALSE), IF(AND(H133="Employee",AQ133="Abu Dhabi"),HLOOKUP(BC133,'input for formula'!$I$3:$K$7,AR133,FALSE),HLOOKUP(BC133,'input for formula'!$M$3:$O$7,AR133,FALSE)))*BA133+AS133*AT133+AU133*AV133+AW133*AX133),0)*$BC$3)*IF(Inputs!$C$19&gt;100,(1+$BC$2),1)</f>
        <v>#VALUE!</v>
      </c>
      <c r="BC133" s="95" t="str">
        <f t="shared" si="54"/>
        <v/>
      </c>
      <c r="BD133" s="334" t="str">
        <f>IF(F133="","",IF(G133="Dubai",HLOOKUP(F133,Inputs!$C$26:$M$37,9,0),HLOOKUP(F133,Inputs!$C$45:$M$56,9,0)))</f>
        <v/>
      </c>
      <c r="BE133" s="335" t="str">
        <f>IF(F133="","",IF(G133="Dubai",HLOOKUP(F133,Inputs!$C$26:$M$37,10,0),HLOOKUP(F133,Inputs!$C$45:$M$56,10,0)))</f>
        <v/>
      </c>
      <c r="BF133" s="335" t="str">
        <f>IF(F133="","",IF(G133="Dubai",HLOOKUP(F133,Inputs!$C$26:$M$37,11,0),HLOOKUP(F133,Inputs!$C$45:$M$56,11,0)))</f>
        <v/>
      </c>
      <c r="BG133" s="334" t="str">
        <f>IF(F133="","",IF(G133="Dubai",HLOOKUP(F133,Inputs!$C$26:$M$37,12,0),HLOOKUP(F133,Inputs!$C$45:$M$56,12,0)))</f>
        <v/>
      </c>
      <c r="BI133" s="334" t="str">
        <f>IFERROR(IF(AO133="","",IF(AQ133="Dubai",IF(OR(AO133="Plan1",AO133="Plan2"),VLOOKUP(BD133,Deviation!$B$31:$D$33,2,FALSE),VLOOKUP(BD133,Deviation!$B$31:$D$33,3,FALSE)),IF(OR(AO133="Plan1",AO133="Plan2"),VLOOKUP(BD133,Deviation!$E$31:$G$33,2,FALSE),VLOOKUP(BD133,Deviation!$E$31:$G$33,3,FALSE)))),0)</f>
        <v/>
      </c>
      <c r="BJ133" s="336" t="str">
        <f>IFERROR(IF(AO133="","",IF(AQ133="Dubai",IF(AO133="Plan1",VLOOKUP(BE133,Deviation!$B$39:$C$40,2,FALSE),IF(AO133="Plan2",VLOOKUP(BE133,Deviation!$B$42:$C$43,2,FALSE),IF(AO133="Plan5",VLOOKUP(BE133,Deviation!$B$48:$C$49,2,FALSE),VLOOKUP(BE133,Deviation!$B$45:$C$46,2,FALSE)))),IF(AO133="Plan1",VLOOKUP(BE133,Deviation!$E$39:$F$40,2,FALSE),IF(AO133="Plan2",VLOOKUP(BE133,Deviation!$E$42:$F$43,2,FALSE),VLOOKUP(BE133,Deviation!$E$45:$F$46,2,FALSE))))),0)</f>
        <v/>
      </c>
      <c r="BK133" s="336" t="str">
        <f>IFERROR(IF(AO133="","",IF(AQ133="Dubai",IF(OR(AO133="Plan1",AO133="Plan2"),VLOOKUP(BF133,Deviation!$B$15:$D$18,2,FALSE),VLOOKUP(BF133,Deviation!$B$15:$D$18,3,FALSE)),IF(OR(AO133="Plan1",AO133="Plan2"),VLOOKUP(BF133,Deviation!$E$15:$G$18,2,FALSE),VLOOKUP(BF133,Deviation!$E$15:$G$18,3,FALSE)))),0)</f>
        <v/>
      </c>
      <c r="BL133" s="334" t="str">
        <f>IFERROR(IF(AO133="","",IF(AQ133="Dubai",VLOOKUP(BG133,Deviation!$B$24:$C$26,2,FALSE),100%)),0)</f>
        <v/>
      </c>
    </row>
    <row r="134" spans="1:64" ht="14.25" x14ac:dyDescent="0.2">
      <c r="A134" s="59">
        <v>129</v>
      </c>
      <c r="B134" s="298"/>
      <c r="C134" s="299"/>
      <c r="D134" s="298"/>
      <c r="E134" s="298"/>
      <c r="F134" s="298"/>
      <c r="G134" s="298"/>
      <c r="H134" s="298"/>
      <c r="I134" s="298"/>
      <c r="J134" s="80" t="str">
        <f>IFERROR(ROUNDDOWN(IF(C134="","",(MAX((eff_date-Additions!C134)/365.25,0))),0),"")</f>
        <v/>
      </c>
      <c r="K134" s="59" t="str">
        <f>IF(F134="","",IF(G134="Dubai",HLOOKUP(F134,Inputs!$C$26:$M$28,3,0),HLOOKUP(F134,Inputs!$C$45:$M$46,2,0)))</f>
        <v/>
      </c>
      <c r="L134" s="335" t="str">
        <f t="shared" ref="L134:L155" si="65">IF(OR(AG134="x",AD134="x",J134&gt;69),"",IFERROR(BB134/(1-Loadings),""))</f>
        <v/>
      </c>
      <c r="M134" s="335">
        <f t="shared" ref="M134:M155" si="66">IFERROR((AY134*AZ134)/(1-Loadings),0)</f>
        <v>0</v>
      </c>
      <c r="N134" s="335" t="str">
        <f t="shared" ref="N134:N155" si="67">IF(OR(AG134="x",AD134="x",J134&gt;69),"",IFERROR(BB134/(1-Loadings)*IFERROR(((end_date-I134+1)/365),0),""))</f>
        <v/>
      </c>
      <c r="O134" s="335">
        <f t="shared" ref="O134:O155" si="68">IFERROR((AY134*AZ134)/(1-Loadings),0)*IFERROR(((end_date-I134+1)/365),0)</f>
        <v>0</v>
      </c>
      <c r="Q134" s="105">
        <f t="shared" si="49"/>
        <v>0</v>
      </c>
      <c r="R134" s="59" t="b">
        <f t="shared" ref="R134:R154" si="69">NOT(AND(ISBLANK(C134),ISBLANK(D134),ISBLANK(E134),ISBLANK(F134),ISBLANK(G134)))</f>
        <v>0</v>
      </c>
      <c r="S134" s="102" t="str">
        <f t="shared" si="50"/>
        <v>x</v>
      </c>
      <c r="T134" s="102" t="str">
        <f t="shared" ref="T134:T155" si="70">IF(ISBLANK(D134),"x","")</f>
        <v>x</v>
      </c>
      <c r="U134" s="102" t="str">
        <f t="shared" ref="U134:U155" si="71">IF(ISBLANK(E134),"x","")</f>
        <v>x</v>
      </c>
      <c r="V134" s="102" t="str">
        <f t="shared" ref="V134:V155" si="72">IF(ISBLANK(F134),"x","")</f>
        <v>x</v>
      </c>
      <c r="W134" s="102" t="str">
        <f t="shared" ref="W134:W155" si="73">IF(ISBLANK(G134),"x","")</f>
        <v>x</v>
      </c>
      <c r="X134" s="102" t="str">
        <f>IF(ISERROR(MATCH(G134,'Inputs Mapping'!$T$4:$T$5,0)),"x","")</f>
        <v>x</v>
      </c>
      <c r="Y134" s="102" t="str">
        <f>IF(ISERROR(MATCH(AE134,'Inputs Mapping'!$U$4:$U$5,0)),"x","")</f>
        <v>x</v>
      </c>
      <c r="Z134" s="102" t="str">
        <f>IF(ISERROR(MATCH(AF134,'Inputs Mapping'!$V$4:$V$5,0)),"x","")</f>
        <v>x</v>
      </c>
      <c r="AA134" s="102" t="str">
        <f>IF(ISERROR(MATCH(F134,'Inputs Mapping'!$W$4:$W$8,0)),"x","")</f>
        <v>x</v>
      </c>
      <c r="AB134" s="102" t="str">
        <f t="shared" ref="AB134:AB154" si="74">IF(ISBLANK(C134),"",IF(OR(ISERROR(J134),NOT(ISNUMBER(C134))),"x",""))</f>
        <v/>
      </c>
      <c r="AC134" s="102" t="str">
        <f t="shared" ref="AC134:AC154" si="75">IF(ISBLANK(C134),"",IF(ISERROR(J134),"",""))</f>
        <v/>
      </c>
      <c r="AD134" s="102" t="str">
        <f t="shared" ref="AD134:AD155" si="76">IF(ISBLANK(C134),"",IF(ISERROR(J134),"",IF(AND(eff_date-C134&lt;0,C134&lt;&gt;""),"x","")))</f>
        <v/>
      </c>
      <c r="AE134" s="102" t="str">
        <f t="shared" si="51"/>
        <v/>
      </c>
      <c r="AF134" s="102" t="str">
        <f t="shared" si="52"/>
        <v/>
      </c>
      <c r="AG134" s="102" t="str">
        <f t="shared" si="53"/>
        <v>x</v>
      </c>
      <c r="AK134" s="95" t="str">
        <f t="shared" ref="AK134:AK155" si="77">F134&amp;G134</f>
        <v/>
      </c>
      <c r="AL134" s="59" t="str">
        <f>IF(J134="","",VLOOKUP(J134,'Inputs Mapping'!$T$27:$V$30,3))</f>
        <v/>
      </c>
      <c r="AM134" s="59" t="str">
        <f>IF(J134="","",VLOOKUP(J134,'Inputs Mapping'!$T$17:$V$24,3))</f>
        <v/>
      </c>
      <c r="AN134" s="59" t="str">
        <f t="shared" ref="AN134:AN155" si="78">IF(G134="Dubai",IF(J134="","",1*AND(LEFT(AE134)="F",LEFT(AF134)="M",J134&gt;=$AN$3,J134&lt;$AN$4+1)),IF(J134="","",1*AND(LEFT(AE134)="F",LEFT(AF134)="M",J134&gt;=$AM$3,J134&lt;$AM$4+1)))</f>
        <v/>
      </c>
      <c r="AO134" s="102" t="str">
        <f t="shared" ref="AO134:AO155" si="79">K134</f>
        <v/>
      </c>
      <c r="AP134" s="102" t="str">
        <f>IF(F134="","",IF(G134="Dubai",HLOOKUP(F134,Inputs!$C$26:$M$36,5,0),HLOOKUP(F134,Inputs!$C$45:$M$49,5,0)))</f>
        <v/>
      </c>
      <c r="AQ134" s="102">
        <f t="shared" ref="AQ134:AQ155" si="80">G134</f>
        <v>0</v>
      </c>
      <c r="AR134" s="59" t="str">
        <f>IF(AM134="","",IF(AQ134="Dubai",VLOOKUP(AM134,'Inputs Mapping'!$V$17:$W$24,2,0),VLOOKUP(AL134,'Inputs Mapping'!$V$27:$W$30,2,0)))</f>
        <v/>
      </c>
      <c r="AS134" s="333">
        <f>IFERROR(IF($AQ134="","",HLOOKUP($AQ134&amp;RIGHT($AO134,1),'input for formula'!$B$16:$I$20,3,0)),0)</f>
        <v>0</v>
      </c>
      <c r="AT134" s="80">
        <f>IFERROR(IF($AQ134="","",HLOOKUP($AQ134&amp;$F134,'input for formula'!$B$22:$M$25,2,0)),0)</f>
        <v>0</v>
      </c>
      <c r="AU134" s="333">
        <f>IFERROR(IF($AQ134="","",HLOOKUP($AQ134&amp;RIGHT($AO134,1),'input for formula'!$B$16:$I$20,4,0)),0)</f>
        <v>0</v>
      </c>
      <c r="AV134" s="80">
        <f>IFERROR(IF($AQ134="","",HLOOKUP($AQ134&amp;$F134,'input for formula'!$B$22:$M$25,3,0)),0)</f>
        <v>0</v>
      </c>
      <c r="AW134" s="333">
        <f>IFERROR(IF($AQ134="","",HLOOKUP($AQ134&amp;RIGHT($AO134,1),'input for formula'!$B$16:$I$20,5,0)),0)</f>
        <v>0</v>
      </c>
      <c r="AX134" s="80">
        <f>IFERROR(IF($AQ134="","",HLOOKUP($AQ134&amp;$F134,'input for formula'!$B$22:$M$25,4,0)),0)</f>
        <v>0</v>
      </c>
      <c r="AY134" s="333">
        <f>IFERROR(IF($AQ134="","",IF(Additions!$AQ134="Abu Dhabi",VLOOKUP(Additions!$AP134,'input for formula'!$A$28:$C$41,3,0),VLOOKUP(Additions!$AP134,'input for formula'!$A$28:$C$41,2,0))),0)*IFERROR(1+IF(AQ134="Dubai",VLOOKUP(F134,'Quotation for Dubai Plans'!$V$6:$X$12,3,FALSE),VLOOKUP(F134,'Quotation for Abu Dhabi Plans'!$W$6:$Y$12,3,FALSE)),0)</f>
        <v>0</v>
      </c>
      <c r="AZ134" s="80" t="str">
        <f t="shared" si="55"/>
        <v/>
      </c>
      <c r="BA134" s="106" t="str">
        <f>IFERROR(IF(AO134="","",IF(AQ134="Dubai",HLOOKUP((AO134&amp;AP134),Deviation!$B$7:$S$8,2,0)*BI134*BK134*BL134*BJ134,HLOOKUP((AO134&amp;AP134),Deviation!$B$9:$K$10,2,0)*BI134*BK134*BL134*BJ134)),0)</f>
        <v/>
      </c>
      <c r="BB134" s="107" t="e">
        <f>IF(AO134="","",IFERROR(IF(AO134="","",IF(AQ134="Dubai",HLOOKUP(BC134,'input for formula'!$B$3:$F$10,AR134,FALSE), IF(AND(H134="Employee",AQ134="Abu Dhabi"),HLOOKUP(BC134,'input for formula'!$I$3:$K$7,AR134,FALSE),HLOOKUP(BC134,'input for formula'!$M$3:$O$7,AR134,FALSE)))*BA134+AS134*AT134+AU134*AV134+AW134*AX134),0)*$BC$3)*IF(Inputs!$C$19&gt;100,(1+$BC$2),1)</f>
        <v>#VALUE!</v>
      </c>
      <c r="BC134" s="95" t="str">
        <f t="shared" si="54"/>
        <v/>
      </c>
      <c r="BD134" s="334" t="str">
        <f>IF(F134="","",IF(G134="Dubai",HLOOKUP(F134,Inputs!$C$26:$M$37,9,0),HLOOKUP(F134,Inputs!$C$45:$M$56,9,0)))</f>
        <v/>
      </c>
      <c r="BE134" s="335" t="str">
        <f>IF(F134="","",IF(G134="Dubai",HLOOKUP(F134,Inputs!$C$26:$M$37,10,0),HLOOKUP(F134,Inputs!$C$45:$M$56,10,0)))</f>
        <v/>
      </c>
      <c r="BF134" s="335" t="str">
        <f>IF(F134="","",IF(G134="Dubai",HLOOKUP(F134,Inputs!$C$26:$M$37,11,0),HLOOKUP(F134,Inputs!$C$45:$M$56,11,0)))</f>
        <v/>
      </c>
      <c r="BG134" s="334" t="str">
        <f>IF(F134="","",IF(G134="Dubai",HLOOKUP(F134,Inputs!$C$26:$M$37,12,0),HLOOKUP(F134,Inputs!$C$45:$M$56,12,0)))</f>
        <v/>
      </c>
      <c r="BI134" s="334" t="str">
        <f>IFERROR(IF(AO134="","",IF(AQ134="Dubai",IF(OR(AO134="Plan1",AO134="Plan2"),VLOOKUP(BD134,Deviation!$B$31:$D$33,2,FALSE),VLOOKUP(BD134,Deviation!$B$31:$D$33,3,FALSE)),IF(OR(AO134="Plan1",AO134="Plan2"),VLOOKUP(BD134,Deviation!$E$31:$G$33,2,FALSE),VLOOKUP(BD134,Deviation!$E$31:$G$33,3,FALSE)))),0)</f>
        <v/>
      </c>
      <c r="BJ134" s="336" t="str">
        <f>IFERROR(IF(AO134="","",IF(AQ134="Dubai",IF(AO134="Plan1",VLOOKUP(BE134,Deviation!$B$39:$C$40,2,FALSE),IF(AO134="Plan2",VLOOKUP(BE134,Deviation!$B$42:$C$43,2,FALSE),IF(AO134="Plan5",VLOOKUP(BE134,Deviation!$B$48:$C$49,2,FALSE),VLOOKUP(BE134,Deviation!$B$45:$C$46,2,FALSE)))),IF(AO134="Plan1",VLOOKUP(BE134,Deviation!$E$39:$F$40,2,FALSE),IF(AO134="Plan2",VLOOKUP(BE134,Deviation!$E$42:$F$43,2,FALSE),VLOOKUP(BE134,Deviation!$E$45:$F$46,2,FALSE))))),0)</f>
        <v/>
      </c>
      <c r="BK134" s="336" t="str">
        <f>IFERROR(IF(AO134="","",IF(AQ134="Dubai",IF(OR(AO134="Plan1",AO134="Plan2"),VLOOKUP(BF134,Deviation!$B$15:$D$18,2,FALSE),VLOOKUP(BF134,Deviation!$B$15:$D$18,3,FALSE)),IF(OR(AO134="Plan1",AO134="Plan2"),VLOOKUP(BF134,Deviation!$E$15:$G$18,2,FALSE),VLOOKUP(BF134,Deviation!$E$15:$G$18,3,FALSE)))),0)</f>
        <v/>
      </c>
      <c r="BL134" s="334" t="str">
        <f>IFERROR(IF(AO134="","",IF(AQ134="Dubai",VLOOKUP(BG134,Deviation!$B$24:$C$26,2,FALSE),100%)),0)</f>
        <v/>
      </c>
    </row>
    <row r="135" spans="1:64" ht="14.25" x14ac:dyDescent="0.2">
      <c r="A135" s="59">
        <v>130</v>
      </c>
      <c r="B135" s="298"/>
      <c r="C135" s="299"/>
      <c r="D135" s="298"/>
      <c r="E135" s="298"/>
      <c r="F135" s="298"/>
      <c r="G135" s="298"/>
      <c r="H135" s="298"/>
      <c r="I135" s="298"/>
      <c r="J135" s="80" t="str">
        <f>IFERROR(ROUNDDOWN(IF(C135="","",(MAX((eff_date-Additions!C135)/365.25,0))),0),"")</f>
        <v/>
      </c>
      <c r="K135" s="59" t="str">
        <f>IF(F135="","",IF(G135="Dubai",HLOOKUP(F135,Inputs!$C$26:$M$28,3,0),HLOOKUP(F135,Inputs!$C$45:$M$46,2,0)))</f>
        <v/>
      </c>
      <c r="L135" s="335" t="str">
        <f t="shared" si="65"/>
        <v/>
      </c>
      <c r="M135" s="335">
        <f t="shared" si="66"/>
        <v>0</v>
      </c>
      <c r="N135" s="335" t="str">
        <f t="shared" si="67"/>
        <v/>
      </c>
      <c r="O135" s="335">
        <f t="shared" si="68"/>
        <v>0</v>
      </c>
      <c r="Q135" s="105">
        <f t="shared" ref="Q135:Q155" si="81">IF(R135,IF(COUNTIF(R135:AG135,"x")=0,1,IF(OR(S135="x",T135="x",U135="×",V135="x",W135="x",X135="x",Z135="x",Y135="x",AA135="x",AB135="x",AC135="x",AD135="x",AG135="x"),-2,-1)),0)</f>
        <v>0</v>
      </c>
      <c r="R135" s="59" t="b">
        <f t="shared" si="69"/>
        <v>0</v>
      </c>
      <c r="S135" s="102" t="str">
        <f t="shared" ref="S135:S155" si="82">IF(OR(ISBLANK(C135),J135&gt;69),"x","")</f>
        <v>x</v>
      </c>
      <c r="T135" s="102" t="str">
        <f t="shared" si="70"/>
        <v>x</v>
      </c>
      <c r="U135" s="102" t="str">
        <f t="shared" si="71"/>
        <v>x</v>
      </c>
      <c r="V135" s="102" t="str">
        <f t="shared" si="72"/>
        <v>x</v>
      </c>
      <c r="W135" s="102" t="str">
        <f t="shared" si="73"/>
        <v>x</v>
      </c>
      <c r="X135" s="102" t="str">
        <f>IF(ISERROR(MATCH(G135,'Inputs Mapping'!$T$4:$T$5,0)),"x","")</f>
        <v>x</v>
      </c>
      <c r="Y135" s="102" t="str">
        <f>IF(ISERROR(MATCH(AE135,'Inputs Mapping'!$U$4:$U$5,0)),"x","")</f>
        <v>x</v>
      </c>
      <c r="Z135" s="102" t="str">
        <f>IF(ISERROR(MATCH(AF135,'Inputs Mapping'!$V$4:$V$5,0)),"x","")</f>
        <v>x</v>
      </c>
      <c r="AA135" s="102" t="str">
        <f>IF(ISERROR(MATCH(F135,'Inputs Mapping'!$W$4:$W$8,0)),"x","")</f>
        <v>x</v>
      </c>
      <c r="AB135" s="102" t="str">
        <f t="shared" si="74"/>
        <v/>
      </c>
      <c r="AC135" s="102" t="str">
        <f t="shared" si="75"/>
        <v/>
      </c>
      <c r="AD135" s="102" t="str">
        <f t="shared" si="76"/>
        <v/>
      </c>
      <c r="AE135" s="102" t="str">
        <f t="shared" ref="AE135:AE155" si="83">IF(D135="","",IF(LEFT(D135,1)="M","M",IF(LEFT(D135,1)="F","F","")))</f>
        <v/>
      </c>
      <c r="AF135" s="102" t="str">
        <f t="shared" ref="AF135:AF155" si="84">IF(E135="","",IF(LEFT(E135)="M","M",IF(LEFT(E135)="S","S","")))</f>
        <v/>
      </c>
      <c r="AG135" s="102" t="str">
        <f t="shared" ref="AG135:AG155" si="85">IF(AND(OR(G135="Dubai",G135="Abu Dhabi"),H135="Employee",J135&gt;=18),"",IF(AND(OR(G135="Dubai",G135="Abu Dhabi"),H135="Dependent"),"","x"))</f>
        <v>x</v>
      </c>
      <c r="AK135" s="95" t="str">
        <f t="shared" si="77"/>
        <v/>
      </c>
      <c r="AL135" s="59" t="str">
        <f>IF(J135="","",VLOOKUP(J135,'Inputs Mapping'!$T$27:$V$30,3))</f>
        <v/>
      </c>
      <c r="AM135" s="59" t="str">
        <f>IF(J135="","",VLOOKUP(J135,'Inputs Mapping'!$T$17:$V$24,3))</f>
        <v/>
      </c>
      <c r="AN135" s="59" t="str">
        <f t="shared" si="78"/>
        <v/>
      </c>
      <c r="AO135" s="102" t="str">
        <f t="shared" si="79"/>
        <v/>
      </c>
      <c r="AP135" s="102" t="str">
        <f>IF(F135="","",IF(G135="Dubai",HLOOKUP(F135,Inputs!$C$26:$M$36,5,0),HLOOKUP(F135,Inputs!$C$45:$M$49,5,0)))</f>
        <v/>
      </c>
      <c r="AQ135" s="102">
        <f t="shared" si="80"/>
        <v>0</v>
      </c>
      <c r="AR135" s="59" t="str">
        <f>IF(AM135="","",IF(AQ135="Dubai",VLOOKUP(AM135,'Inputs Mapping'!$V$17:$W$24,2,0),VLOOKUP(AL135,'Inputs Mapping'!$V$27:$W$30,2,0)))</f>
        <v/>
      </c>
      <c r="AS135" s="333">
        <f>IFERROR(IF($AQ135="","",HLOOKUP($AQ135&amp;RIGHT($AO135,1),'input for formula'!$B$16:$I$20,3,0)),0)</f>
        <v>0</v>
      </c>
      <c r="AT135" s="80">
        <f>IFERROR(IF($AQ135="","",HLOOKUP($AQ135&amp;$F135,'input for formula'!$B$22:$M$25,2,0)),0)</f>
        <v>0</v>
      </c>
      <c r="AU135" s="333">
        <f>IFERROR(IF($AQ135="","",HLOOKUP($AQ135&amp;RIGHT($AO135,1),'input for formula'!$B$16:$I$20,4,0)),0)</f>
        <v>0</v>
      </c>
      <c r="AV135" s="80">
        <f>IFERROR(IF($AQ135="","",HLOOKUP($AQ135&amp;$F135,'input for formula'!$B$22:$M$25,3,0)),0)</f>
        <v>0</v>
      </c>
      <c r="AW135" s="333">
        <f>IFERROR(IF($AQ135="","",HLOOKUP($AQ135&amp;RIGHT($AO135,1),'input for formula'!$B$16:$I$20,5,0)),0)</f>
        <v>0</v>
      </c>
      <c r="AX135" s="80">
        <f>IFERROR(IF($AQ135="","",HLOOKUP($AQ135&amp;$F135,'input for formula'!$B$22:$M$25,4,0)),0)</f>
        <v>0</v>
      </c>
      <c r="AY135" s="333">
        <f>IFERROR(IF($AQ135="","",IF(Additions!$AQ135="Abu Dhabi",VLOOKUP(Additions!$AP135,'input for formula'!$A$28:$C$41,3,0),VLOOKUP(Additions!$AP135,'input for formula'!$A$28:$C$41,2,0))),0)*IFERROR(1+IF(AQ135="Dubai",VLOOKUP(F135,'Quotation for Dubai Plans'!$V$6:$X$12,3,FALSE),VLOOKUP(F135,'Quotation for Abu Dhabi Plans'!$W$6:$Y$12,3,FALSE)),0)</f>
        <v>0</v>
      </c>
      <c r="AZ135" s="80" t="str">
        <f t="shared" si="55"/>
        <v/>
      </c>
      <c r="BA135" s="106" t="str">
        <f>IFERROR(IF(AO135="","",IF(AQ135="Dubai",HLOOKUP((AO135&amp;AP135),Deviation!$B$7:$S$8,2,0)*BI135*BK135*BL135*BJ135,HLOOKUP((AO135&amp;AP135),Deviation!$B$9:$K$10,2,0)*BI135*BK135*BL135*BJ135)),0)</f>
        <v/>
      </c>
      <c r="BB135" s="107" t="e">
        <f>IF(AO135="","",IFERROR(IF(AO135="","",IF(AQ135="Dubai",HLOOKUP(BC135,'input for formula'!$B$3:$F$10,AR135,FALSE), IF(AND(H135="Employee",AQ135="Abu Dhabi"),HLOOKUP(BC135,'input for formula'!$I$3:$K$7,AR135,FALSE),HLOOKUP(BC135,'input for formula'!$M$3:$O$7,AR135,FALSE)))*BA135+AS135*AT135+AU135*AV135+AW135*AX135),0)*$BC$3)*IF(Inputs!$C$19&gt;100,(1+$BC$2),1)</f>
        <v>#VALUE!</v>
      </c>
      <c r="BC135" s="95" t="str">
        <f t="shared" ref="BC135:BC155" si="86">IF(AO135="","",IF(AQ135="","",AQ135&amp;RIGHT(AO135,1)))</f>
        <v/>
      </c>
      <c r="BD135" s="334" t="str">
        <f>IF(F135="","",IF(G135="Dubai",HLOOKUP(F135,Inputs!$C$26:$M$37,9,0),HLOOKUP(F135,Inputs!$C$45:$M$56,9,0)))</f>
        <v/>
      </c>
      <c r="BE135" s="335" t="str">
        <f>IF(F135="","",IF(G135="Dubai",HLOOKUP(F135,Inputs!$C$26:$M$37,10,0),HLOOKUP(F135,Inputs!$C$45:$M$56,10,0)))</f>
        <v/>
      </c>
      <c r="BF135" s="335" t="str">
        <f>IF(F135="","",IF(G135="Dubai",HLOOKUP(F135,Inputs!$C$26:$M$37,11,0),HLOOKUP(F135,Inputs!$C$45:$M$56,11,0)))</f>
        <v/>
      </c>
      <c r="BG135" s="334" t="str">
        <f>IF(F135="","",IF(G135="Dubai",HLOOKUP(F135,Inputs!$C$26:$M$37,12,0),HLOOKUP(F135,Inputs!$C$45:$M$56,12,0)))</f>
        <v/>
      </c>
      <c r="BI135" s="334" t="str">
        <f>IFERROR(IF(AO135="","",IF(AQ135="Dubai",IF(OR(AO135="Plan1",AO135="Plan2"),VLOOKUP(BD135,Deviation!$B$31:$D$33,2,FALSE),VLOOKUP(BD135,Deviation!$B$31:$D$33,3,FALSE)),IF(OR(AO135="Plan1",AO135="Plan2"),VLOOKUP(BD135,Deviation!$E$31:$G$33,2,FALSE),VLOOKUP(BD135,Deviation!$E$31:$G$33,3,FALSE)))),0)</f>
        <v/>
      </c>
      <c r="BJ135" s="336" t="str">
        <f>IFERROR(IF(AO135="","",IF(AQ135="Dubai",IF(AO135="Plan1",VLOOKUP(BE135,Deviation!$B$39:$C$40,2,FALSE),IF(AO135="Plan2",VLOOKUP(BE135,Deviation!$B$42:$C$43,2,FALSE),IF(AO135="Plan5",VLOOKUP(BE135,Deviation!$B$48:$C$49,2,FALSE),VLOOKUP(BE135,Deviation!$B$45:$C$46,2,FALSE)))),IF(AO135="Plan1",VLOOKUP(BE135,Deviation!$E$39:$F$40,2,FALSE),IF(AO135="Plan2",VLOOKUP(BE135,Deviation!$E$42:$F$43,2,FALSE),VLOOKUP(BE135,Deviation!$E$45:$F$46,2,FALSE))))),0)</f>
        <v/>
      </c>
      <c r="BK135" s="336" t="str">
        <f>IFERROR(IF(AO135="","",IF(AQ135="Dubai",IF(OR(AO135="Plan1",AO135="Plan2"),VLOOKUP(BF135,Deviation!$B$15:$D$18,2,FALSE),VLOOKUP(BF135,Deviation!$B$15:$D$18,3,FALSE)),IF(OR(AO135="Plan1",AO135="Plan2"),VLOOKUP(BF135,Deviation!$E$15:$G$18,2,FALSE),VLOOKUP(BF135,Deviation!$E$15:$G$18,3,FALSE)))),0)</f>
        <v/>
      </c>
      <c r="BL135" s="334" t="str">
        <f>IFERROR(IF(AO135="","",IF(AQ135="Dubai",VLOOKUP(BG135,Deviation!$B$24:$C$26,2,FALSE),100%)),0)</f>
        <v/>
      </c>
    </row>
    <row r="136" spans="1:64" ht="14.25" x14ac:dyDescent="0.2">
      <c r="A136" s="59">
        <v>131</v>
      </c>
      <c r="B136" s="298"/>
      <c r="C136" s="299"/>
      <c r="D136" s="298"/>
      <c r="E136" s="298"/>
      <c r="F136" s="298"/>
      <c r="G136" s="298"/>
      <c r="H136" s="298"/>
      <c r="I136" s="298"/>
      <c r="J136" s="80" t="str">
        <f>IFERROR(ROUNDDOWN(IF(C136="","",(MAX((eff_date-Additions!C136)/365.25,0))),0),"")</f>
        <v/>
      </c>
      <c r="K136" s="59" t="str">
        <f>IF(F136="","",IF(G136="Dubai",HLOOKUP(F136,Inputs!$C$26:$M$28,3,0),HLOOKUP(F136,Inputs!$C$45:$M$46,2,0)))</f>
        <v/>
      </c>
      <c r="L136" s="335" t="str">
        <f t="shared" si="65"/>
        <v/>
      </c>
      <c r="M136" s="335">
        <f t="shared" si="66"/>
        <v>0</v>
      </c>
      <c r="N136" s="335" t="str">
        <f t="shared" si="67"/>
        <v/>
      </c>
      <c r="O136" s="335">
        <f t="shared" si="68"/>
        <v>0</v>
      </c>
      <c r="Q136" s="105">
        <f t="shared" si="81"/>
        <v>0</v>
      </c>
      <c r="R136" s="59" t="b">
        <f t="shared" si="69"/>
        <v>0</v>
      </c>
      <c r="S136" s="102" t="str">
        <f t="shared" si="82"/>
        <v>x</v>
      </c>
      <c r="T136" s="102" t="str">
        <f t="shared" si="70"/>
        <v>x</v>
      </c>
      <c r="U136" s="102" t="str">
        <f t="shared" si="71"/>
        <v>x</v>
      </c>
      <c r="V136" s="102" t="str">
        <f t="shared" si="72"/>
        <v>x</v>
      </c>
      <c r="W136" s="102" t="str">
        <f t="shared" si="73"/>
        <v>x</v>
      </c>
      <c r="X136" s="102" t="str">
        <f>IF(ISERROR(MATCH(G136,'Inputs Mapping'!$T$4:$T$5,0)),"x","")</f>
        <v>x</v>
      </c>
      <c r="Y136" s="102" t="str">
        <f>IF(ISERROR(MATCH(AE136,'Inputs Mapping'!$U$4:$U$5,0)),"x","")</f>
        <v>x</v>
      </c>
      <c r="Z136" s="102" t="str">
        <f>IF(ISERROR(MATCH(AF136,'Inputs Mapping'!$V$4:$V$5,0)),"x","")</f>
        <v>x</v>
      </c>
      <c r="AA136" s="102" t="str">
        <f>IF(ISERROR(MATCH(F136,'Inputs Mapping'!$W$4:$W$8,0)),"x","")</f>
        <v>x</v>
      </c>
      <c r="AB136" s="102" t="str">
        <f t="shared" si="74"/>
        <v/>
      </c>
      <c r="AC136" s="102" t="str">
        <f t="shared" si="75"/>
        <v/>
      </c>
      <c r="AD136" s="102" t="str">
        <f t="shared" si="76"/>
        <v/>
      </c>
      <c r="AE136" s="102" t="str">
        <f t="shared" si="83"/>
        <v/>
      </c>
      <c r="AF136" s="102" t="str">
        <f t="shared" si="84"/>
        <v/>
      </c>
      <c r="AG136" s="102" t="str">
        <f t="shared" si="85"/>
        <v>x</v>
      </c>
      <c r="AK136" s="95" t="str">
        <f t="shared" si="77"/>
        <v/>
      </c>
      <c r="AL136" s="59" t="str">
        <f>IF(J136="","",VLOOKUP(J136,'Inputs Mapping'!$T$27:$V$30,3))</f>
        <v/>
      </c>
      <c r="AM136" s="59" t="str">
        <f>IF(J136="","",VLOOKUP(J136,'Inputs Mapping'!$T$17:$V$24,3))</f>
        <v/>
      </c>
      <c r="AN136" s="59" t="str">
        <f t="shared" si="78"/>
        <v/>
      </c>
      <c r="AO136" s="102" t="str">
        <f t="shared" si="79"/>
        <v/>
      </c>
      <c r="AP136" s="102" t="str">
        <f>IF(F136="","",IF(G136="Dubai",HLOOKUP(F136,Inputs!$C$26:$M$36,5,0),HLOOKUP(F136,Inputs!$C$45:$M$49,5,0)))</f>
        <v/>
      </c>
      <c r="AQ136" s="102">
        <f t="shared" si="80"/>
        <v>0</v>
      </c>
      <c r="AR136" s="59" t="str">
        <f>IF(AM136="","",IF(AQ136="Dubai",VLOOKUP(AM136,'Inputs Mapping'!$V$17:$W$24,2,0),VLOOKUP(AL136,'Inputs Mapping'!$V$27:$W$30,2,0)))</f>
        <v/>
      </c>
      <c r="AS136" s="333">
        <f>IFERROR(IF($AQ136="","",HLOOKUP($AQ136&amp;RIGHT($AO136,1),'input for formula'!$B$16:$I$20,3,0)),0)</f>
        <v>0</v>
      </c>
      <c r="AT136" s="80">
        <f>IFERROR(IF($AQ136="","",HLOOKUP($AQ136&amp;$F136,'input for formula'!$B$22:$M$25,2,0)),0)</f>
        <v>0</v>
      </c>
      <c r="AU136" s="333">
        <f>IFERROR(IF($AQ136="","",HLOOKUP($AQ136&amp;RIGHT($AO136,1),'input for formula'!$B$16:$I$20,4,0)),0)</f>
        <v>0</v>
      </c>
      <c r="AV136" s="80">
        <f>IFERROR(IF($AQ136="","",HLOOKUP($AQ136&amp;$F136,'input for formula'!$B$22:$M$25,3,0)),0)</f>
        <v>0</v>
      </c>
      <c r="AW136" s="333">
        <f>IFERROR(IF($AQ136="","",HLOOKUP($AQ136&amp;RIGHT($AO136,1),'input for formula'!$B$16:$I$20,5,0)),0)</f>
        <v>0</v>
      </c>
      <c r="AX136" s="80">
        <f>IFERROR(IF($AQ136="","",HLOOKUP($AQ136&amp;$F136,'input for formula'!$B$22:$M$25,4,0)),0)</f>
        <v>0</v>
      </c>
      <c r="AY136" s="333">
        <f>IFERROR(IF($AQ136="","",IF(Additions!$AQ136="Abu Dhabi",VLOOKUP(Additions!$AP136,'input for formula'!$A$28:$C$41,3,0),VLOOKUP(Additions!$AP136,'input for formula'!$A$28:$C$41,2,0))),0)*IFERROR(1+IF(AQ136="Dubai",VLOOKUP(F136,'Quotation for Dubai Plans'!$V$6:$X$12,3,FALSE),VLOOKUP(F136,'Quotation for Abu Dhabi Plans'!$W$6:$Y$12,3,FALSE)),0)</f>
        <v>0</v>
      </c>
      <c r="AZ136" s="80" t="str">
        <f t="shared" si="55"/>
        <v/>
      </c>
      <c r="BA136" s="106" t="str">
        <f>IFERROR(IF(AO136="","",IF(AQ136="Dubai",HLOOKUP((AO136&amp;AP136),Deviation!$B$7:$S$8,2,0)*BI136*BK136*BL136*BJ136,HLOOKUP((AO136&amp;AP136),Deviation!$B$9:$K$10,2,0)*BI136*BK136*BL136*BJ136)),0)</f>
        <v/>
      </c>
      <c r="BB136" s="107" t="e">
        <f>IF(AO136="","",IFERROR(IF(AO136="","",IF(AQ136="Dubai",HLOOKUP(BC136,'input for formula'!$B$3:$F$10,AR136,FALSE), IF(AND(H136="Employee",AQ136="Abu Dhabi"),HLOOKUP(BC136,'input for formula'!$I$3:$K$7,AR136,FALSE),HLOOKUP(BC136,'input for formula'!$M$3:$O$7,AR136,FALSE)))*BA136+AS136*AT136+AU136*AV136+AW136*AX136),0)*$BC$3)*IF(Inputs!$C$19&gt;100,(1+$BC$2),1)</f>
        <v>#VALUE!</v>
      </c>
      <c r="BC136" s="95" t="str">
        <f t="shared" si="86"/>
        <v/>
      </c>
      <c r="BD136" s="334" t="str">
        <f>IF(F136="","",IF(G136="Dubai",HLOOKUP(F136,Inputs!$C$26:$M$37,9,0),HLOOKUP(F136,Inputs!$C$45:$M$56,9,0)))</f>
        <v/>
      </c>
      <c r="BE136" s="335" t="str">
        <f>IF(F136="","",IF(G136="Dubai",HLOOKUP(F136,Inputs!$C$26:$M$37,10,0),HLOOKUP(F136,Inputs!$C$45:$M$56,10,0)))</f>
        <v/>
      </c>
      <c r="BF136" s="335" t="str">
        <f>IF(F136="","",IF(G136="Dubai",HLOOKUP(F136,Inputs!$C$26:$M$37,11,0),HLOOKUP(F136,Inputs!$C$45:$M$56,11,0)))</f>
        <v/>
      </c>
      <c r="BG136" s="334" t="str">
        <f>IF(F136="","",IF(G136="Dubai",HLOOKUP(F136,Inputs!$C$26:$M$37,12,0),HLOOKUP(F136,Inputs!$C$45:$M$56,12,0)))</f>
        <v/>
      </c>
      <c r="BI136" s="334" t="str">
        <f>IFERROR(IF(AO136="","",IF(AQ136="Dubai",IF(OR(AO136="Plan1",AO136="Plan2"),VLOOKUP(BD136,Deviation!$B$31:$D$33,2,FALSE),VLOOKUP(BD136,Deviation!$B$31:$D$33,3,FALSE)),IF(OR(AO136="Plan1",AO136="Plan2"),VLOOKUP(BD136,Deviation!$E$31:$G$33,2,FALSE),VLOOKUP(BD136,Deviation!$E$31:$G$33,3,FALSE)))),0)</f>
        <v/>
      </c>
      <c r="BJ136" s="336" t="str">
        <f>IFERROR(IF(AO136="","",IF(AQ136="Dubai",IF(AO136="Plan1",VLOOKUP(BE136,Deviation!$B$39:$C$40,2,FALSE),IF(AO136="Plan2",VLOOKUP(BE136,Deviation!$B$42:$C$43,2,FALSE),IF(AO136="Plan5",VLOOKUP(BE136,Deviation!$B$48:$C$49,2,FALSE),VLOOKUP(BE136,Deviation!$B$45:$C$46,2,FALSE)))),IF(AO136="Plan1",VLOOKUP(BE136,Deviation!$E$39:$F$40,2,FALSE),IF(AO136="Plan2",VLOOKUP(BE136,Deviation!$E$42:$F$43,2,FALSE),VLOOKUP(BE136,Deviation!$E$45:$F$46,2,FALSE))))),0)</f>
        <v/>
      </c>
      <c r="BK136" s="336" t="str">
        <f>IFERROR(IF(AO136="","",IF(AQ136="Dubai",IF(OR(AO136="Plan1",AO136="Plan2"),VLOOKUP(BF136,Deviation!$B$15:$D$18,2,FALSE),VLOOKUP(BF136,Deviation!$B$15:$D$18,3,FALSE)),IF(OR(AO136="Plan1",AO136="Plan2"),VLOOKUP(BF136,Deviation!$E$15:$G$18,2,FALSE),VLOOKUP(BF136,Deviation!$E$15:$G$18,3,FALSE)))),0)</f>
        <v/>
      </c>
      <c r="BL136" s="334" t="str">
        <f>IFERROR(IF(AO136="","",IF(AQ136="Dubai",VLOOKUP(BG136,Deviation!$B$24:$C$26,2,FALSE),100%)),0)</f>
        <v/>
      </c>
    </row>
    <row r="137" spans="1:64" ht="14.25" x14ac:dyDescent="0.2">
      <c r="A137" s="59">
        <v>132</v>
      </c>
      <c r="B137" s="298"/>
      <c r="C137" s="299"/>
      <c r="D137" s="298"/>
      <c r="E137" s="298"/>
      <c r="F137" s="298"/>
      <c r="G137" s="298"/>
      <c r="H137" s="298"/>
      <c r="I137" s="298"/>
      <c r="J137" s="80" t="str">
        <f>IFERROR(ROUNDDOWN(IF(C137="","",(MAX((eff_date-Additions!C137)/365.25,0))),0),"")</f>
        <v/>
      </c>
      <c r="K137" s="59" t="str">
        <f>IF(F137="","",IF(G137="Dubai",HLOOKUP(F137,Inputs!$C$26:$M$28,3,0),HLOOKUP(F137,Inputs!$C$45:$M$46,2,0)))</f>
        <v/>
      </c>
      <c r="L137" s="335" t="str">
        <f t="shared" si="65"/>
        <v/>
      </c>
      <c r="M137" s="335">
        <f t="shared" si="66"/>
        <v>0</v>
      </c>
      <c r="N137" s="335" t="str">
        <f t="shared" si="67"/>
        <v/>
      </c>
      <c r="O137" s="335">
        <f t="shared" si="68"/>
        <v>0</v>
      </c>
      <c r="Q137" s="105">
        <f t="shared" si="81"/>
        <v>0</v>
      </c>
      <c r="R137" s="59" t="b">
        <f t="shared" si="69"/>
        <v>0</v>
      </c>
      <c r="S137" s="102" t="str">
        <f t="shared" si="82"/>
        <v>x</v>
      </c>
      <c r="T137" s="102" t="str">
        <f t="shared" si="70"/>
        <v>x</v>
      </c>
      <c r="U137" s="102" t="str">
        <f t="shared" si="71"/>
        <v>x</v>
      </c>
      <c r="V137" s="102" t="str">
        <f t="shared" si="72"/>
        <v>x</v>
      </c>
      <c r="W137" s="102" t="str">
        <f t="shared" si="73"/>
        <v>x</v>
      </c>
      <c r="X137" s="102" t="str">
        <f>IF(ISERROR(MATCH(G137,'Inputs Mapping'!$T$4:$T$5,0)),"x","")</f>
        <v>x</v>
      </c>
      <c r="Y137" s="102" t="str">
        <f>IF(ISERROR(MATCH(AE137,'Inputs Mapping'!$U$4:$U$5,0)),"x","")</f>
        <v>x</v>
      </c>
      <c r="Z137" s="102" t="str">
        <f>IF(ISERROR(MATCH(AF137,'Inputs Mapping'!$V$4:$V$5,0)),"x","")</f>
        <v>x</v>
      </c>
      <c r="AA137" s="102" t="str">
        <f>IF(ISERROR(MATCH(F137,'Inputs Mapping'!$W$4:$W$8,0)),"x","")</f>
        <v>x</v>
      </c>
      <c r="AB137" s="102" t="str">
        <f t="shared" si="74"/>
        <v/>
      </c>
      <c r="AC137" s="102" t="str">
        <f t="shared" si="75"/>
        <v/>
      </c>
      <c r="AD137" s="102" t="str">
        <f t="shared" si="76"/>
        <v/>
      </c>
      <c r="AE137" s="102" t="str">
        <f t="shared" si="83"/>
        <v/>
      </c>
      <c r="AF137" s="102" t="str">
        <f t="shared" si="84"/>
        <v/>
      </c>
      <c r="AG137" s="102" t="str">
        <f t="shared" si="85"/>
        <v>x</v>
      </c>
      <c r="AK137" s="95" t="str">
        <f t="shared" si="77"/>
        <v/>
      </c>
      <c r="AL137" s="59" t="str">
        <f>IF(J137="","",VLOOKUP(J137,'Inputs Mapping'!$T$27:$V$30,3))</f>
        <v/>
      </c>
      <c r="AM137" s="59" t="str">
        <f>IF(J137="","",VLOOKUP(J137,'Inputs Mapping'!$T$17:$V$24,3))</f>
        <v/>
      </c>
      <c r="AN137" s="59" t="str">
        <f t="shared" si="78"/>
        <v/>
      </c>
      <c r="AO137" s="102" t="str">
        <f t="shared" si="79"/>
        <v/>
      </c>
      <c r="AP137" s="102" t="str">
        <f>IF(F137="","",IF(G137="Dubai",HLOOKUP(F137,Inputs!$C$26:$M$36,5,0),HLOOKUP(F137,Inputs!$C$45:$M$49,5,0)))</f>
        <v/>
      </c>
      <c r="AQ137" s="102">
        <f t="shared" si="80"/>
        <v>0</v>
      </c>
      <c r="AR137" s="59" t="str">
        <f>IF(AM137="","",IF(AQ137="Dubai",VLOOKUP(AM137,'Inputs Mapping'!$V$17:$W$24,2,0),VLOOKUP(AL137,'Inputs Mapping'!$V$27:$W$30,2,0)))</f>
        <v/>
      </c>
      <c r="AS137" s="333">
        <f>IFERROR(IF($AQ137="","",HLOOKUP($AQ137&amp;RIGHT($AO137,1),'input for formula'!$B$16:$I$20,3,0)),0)</f>
        <v>0</v>
      </c>
      <c r="AT137" s="80">
        <f>IFERROR(IF($AQ137="","",HLOOKUP($AQ137&amp;$F137,'input for formula'!$B$22:$M$25,2,0)),0)</f>
        <v>0</v>
      </c>
      <c r="AU137" s="333">
        <f>IFERROR(IF($AQ137="","",HLOOKUP($AQ137&amp;RIGHT($AO137,1),'input for formula'!$B$16:$I$20,4,0)),0)</f>
        <v>0</v>
      </c>
      <c r="AV137" s="80">
        <f>IFERROR(IF($AQ137="","",HLOOKUP($AQ137&amp;$F137,'input for formula'!$B$22:$M$25,3,0)),0)</f>
        <v>0</v>
      </c>
      <c r="AW137" s="333">
        <f>IFERROR(IF($AQ137="","",HLOOKUP($AQ137&amp;RIGHT($AO137,1),'input for formula'!$B$16:$I$20,5,0)),0)</f>
        <v>0</v>
      </c>
      <c r="AX137" s="80">
        <f>IFERROR(IF($AQ137="","",HLOOKUP($AQ137&amp;$F137,'input for formula'!$B$22:$M$25,4,0)),0)</f>
        <v>0</v>
      </c>
      <c r="AY137" s="333">
        <f>IFERROR(IF($AQ137="","",IF(Additions!$AQ137="Abu Dhabi",VLOOKUP(Additions!$AP137,'input for formula'!$A$28:$C$41,3,0),VLOOKUP(Additions!$AP137,'input for formula'!$A$28:$C$41,2,0))),0)*IFERROR(1+IF(AQ137="Dubai",VLOOKUP(F137,'Quotation for Dubai Plans'!$V$6:$X$12,3,FALSE),VLOOKUP(F137,'Quotation for Abu Dhabi Plans'!$W$6:$Y$12,3,FALSE)),0)</f>
        <v>0</v>
      </c>
      <c r="AZ137" s="80" t="str">
        <f t="shared" si="55"/>
        <v/>
      </c>
      <c r="BA137" s="106" t="str">
        <f>IFERROR(IF(AO137="","",IF(AQ137="Dubai",HLOOKUP((AO137&amp;AP137),Deviation!$B$7:$S$8,2,0)*BI137*BK137*BL137*BJ137,HLOOKUP((AO137&amp;AP137),Deviation!$B$9:$K$10,2,0)*BI137*BK137*BL137*BJ137)),0)</f>
        <v/>
      </c>
      <c r="BB137" s="107" t="e">
        <f>IF(AO137="","",IFERROR(IF(AO137="","",IF(AQ137="Dubai",HLOOKUP(BC137,'input for formula'!$B$3:$F$10,AR137,FALSE), IF(AND(H137="Employee",AQ137="Abu Dhabi"),HLOOKUP(BC137,'input for formula'!$I$3:$K$7,AR137,FALSE),HLOOKUP(BC137,'input for formula'!$M$3:$O$7,AR137,FALSE)))*BA137+AS137*AT137+AU137*AV137+AW137*AX137),0)*$BC$3)*IF(Inputs!$C$19&gt;100,(1+$BC$2),1)</f>
        <v>#VALUE!</v>
      </c>
      <c r="BC137" s="95" t="str">
        <f t="shared" si="86"/>
        <v/>
      </c>
      <c r="BD137" s="334" t="str">
        <f>IF(F137="","",IF(G137="Dubai",HLOOKUP(F137,Inputs!$C$26:$M$37,9,0),HLOOKUP(F137,Inputs!$C$45:$M$56,9,0)))</f>
        <v/>
      </c>
      <c r="BE137" s="335" t="str">
        <f>IF(F137="","",IF(G137="Dubai",HLOOKUP(F137,Inputs!$C$26:$M$37,10,0),HLOOKUP(F137,Inputs!$C$45:$M$56,10,0)))</f>
        <v/>
      </c>
      <c r="BF137" s="335" t="str">
        <f>IF(F137="","",IF(G137="Dubai",HLOOKUP(F137,Inputs!$C$26:$M$37,11,0),HLOOKUP(F137,Inputs!$C$45:$M$56,11,0)))</f>
        <v/>
      </c>
      <c r="BG137" s="334" t="str">
        <f>IF(F137="","",IF(G137="Dubai",HLOOKUP(F137,Inputs!$C$26:$M$37,12,0),HLOOKUP(F137,Inputs!$C$45:$M$56,12,0)))</f>
        <v/>
      </c>
      <c r="BI137" s="334" t="str">
        <f>IFERROR(IF(AO137="","",IF(AQ137="Dubai",IF(OR(AO137="Plan1",AO137="Plan2"),VLOOKUP(BD137,Deviation!$B$31:$D$33,2,FALSE),VLOOKUP(BD137,Deviation!$B$31:$D$33,3,FALSE)),IF(OR(AO137="Plan1",AO137="Plan2"),VLOOKUP(BD137,Deviation!$E$31:$G$33,2,FALSE),VLOOKUP(BD137,Deviation!$E$31:$G$33,3,FALSE)))),0)</f>
        <v/>
      </c>
      <c r="BJ137" s="336" t="str">
        <f>IFERROR(IF(AO137="","",IF(AQ137="Dubai",IF(AO137="Plan1",VLOOKUP(BE137,Deviation!$B$39:$C$40,2,FALSE),IF(AO137="Plan2",VLOOKUP(BE137,Deviation!$B$42:$C$43,2,FALSE),IF(AO137="Plan5",VLOOKUP(BE137,Deviation!$B$48:$C$49,2,FALSE),VLOOKUP(BE137,Deviation!$B$45:$C$46,2,FALSE)))),IF(AO137="Plan1",VLOOKUP(BE137,Deviation!$E$39:$F$40,2,FALSE),IF(AO137="Plan2",VLOOKUP(BE137,Deviation!$E$42:$F$43,2,FALSE),VLOOKUP(BE137,Deviation!$E$45:$F$46,2,FALSE))))),0)</f>
        <v/>
      </c>
      <c r="BK137" s="336" t="str">
        <f>IFERROR(IF(AO137="","",IF(AQ137="Dubai",IF(OR(AO137="Plan1",AO137="Plan2"),VLOOKUP(BF137,Deviation!$B$15:$D$18,2,FALSE),VLOOKUP(BF137,Deviation!$B$15:$D$18,3,FALSE)),IF(OR(AO137="Plan1",AO137="Plan2"),VLOOKUP(BF137,Deviation!$E$15:$G$18,2,FALSE),VLOOKUP(BF137,Deviation!$E$15:$G$18,3,FALSE)))),0)</f>
        <v/>
      </c>
      <c r="BL137" s="334" t="str">
        <f>IFERROR(IF(AO137="","",IF(AQ137="Dubai",VLOOKUP(BG137,Deviation!$B$24:$C$26,2,FALSE),100%)),0)</f>
        <v/>
      </c>
    </row>
    <row r="138" spans="1:64" ht="14.25" x14ac:dyDescent="0.2">
      <c r="A138" s="59">
        <v>133</v>
      </c>
      <c r="B138" s="298"/>
      <c r="C138" s="299"/>
      <c r="D138" s="298"/>
      <c r="E138" s="298"/>
      <c r="F138" s="298"/>
      <c r="G138" s="298"/>
      <c r="H138" s="298"/>
      <c r="I138" s="298"/>
      <c r="J138" s="80" t="str">
        <f>IFERROR(ROUNDDOWN(IF(C138="","",(MAX((eff_date-Additions!C138)/365.25,0))),0),"")</f>
        <v/>
      </c>
      <c r="K138" s="59" t="str">
        <f>IF(F138="","",IF(G138="Dubai",HLOOKUP(F138,Inputs!$C$26:$M$28,3,0),HLOOKUP(F138,Inputs!$C$45:$M$46,2,0)))</f>
        <v/>
      </c>
      <c r="L138" s="335" t="str">
        <f t="shared" si="65"/>
        <v/>
      </c>
      <c r="M138" s="335">
        <f t="shared" si="66"/>
        <v>0</v>
      </c>
      <c r="N138" s="335" t="str">
        <f t="shared" si="67"/>
        <v/>
      </c>
      <c r="O138" s="335">
        <f t="shared" si="68"/>
        <v>0</v>
      </c>
      <c r="Q138" s="105">
        <f t="shared" si="81"/>
        <v>0</v>
      </c>
      <c r="R138" s="59" t="b">
        <f t="shared" si="69"/>
        <v>0</v>
      </c>
      <c r="S138" s="102" t="str">
        <f t="shared" si="82"/>
        <v>x</v>
      </c>
      <c r="T138" s="102" t="str">
        <f t="shared" si="70"/>
        <v>x</v>
      </c>
      <c r="U138" s="102" t="str">
        <f t="shared" si="71"/>
        <v>x</v>
      </c>
      <c r="V138" s="102" t="str">
        <f t="shared" si="72"/>
        <v>x</v>
      </c>
      <c r="W138" s="102" t="str">
        <f t="shared" si="73"/>
        <v>x</v>
      </c>
      <c r="X138" s="102" t="str">
        <f>IF(ISERROR(MATCH(G138,'Inputs Mapping'!$T$4:$T$5,0)),"x","")</f>
        <v>x</v>
      </c>
      <c r="Y138" s="102" t="str">
        <f>IF(ISERROR(MATCH(AE138,'Inputs Mapping'!$U$4:$U$5,0)),"x","")</f>
        <v>x</v>
      </c>
      <c r="Z138" s="102" t="str">
        <f>IF(ISERROR(MATCH(AF138,'Inputs Mapping'!$V$4:$V$5,0)),"x","")</f>
        <v>x</v>
      </c>
      <c r="AA138" s="102" t="str">
        <f>IF(ISERROR(MATCH(F138,'Inputs Mapping'!$W$4:$W$8,0)),"x","")</f>
        <v>x</v>
      </c>
      <c r="AB138" s="102" t="str">
        <f t="shared" si="74"/>
        <v/>
      </c>
      <c r="AC138" s="102" t="str">
        <f t="shared" si="75"/>
        <v/>
      </c>
      <c r="AD138" s="102" t="str">
        <f t="shared" si="76"/>
        <v/>
      </c>
      <c r="AE138" s="102" t="str">
        <f t="shared" si="83"/>
        <v/>
      </c>
      <c r="AF138" s="102" t="str">
        <f t="shared" si="84"/>
        <v/>
      </c>
      <c r="AG138" s="102" t="str">
        <f t="shared" si="85"/>
        <v>x</v>
      </c>
      <c r="AK138" s="95" t="str">
        <f t="shared" si="77"/>
        <v/>
      </c>
      <c r="AL138" s="59" t="str">
        <f>IF(J138="","",VLOOKUP(J138,'Inputs Mapping'!$T$27:$V$30,3))</f>
        <v/>
      </c>
      <c r="AM138" s="59" t="str">
        <f>IF(J138="","",VLOOKUP(J138,'Inputs Mapping'!$T$17:$V$24,3))</f>
        <v/>
      </c>
      <c r="AN138" s="59" t="str">
        <f t="shared" si="78"/>
        <v/>
      </c>
      <c r="AO138" s="102" t="str">
        <f t="shared" si="79"/>
        <v/>
      </c>
      <c r="AP138" s="102" t="str">
        <f>IF(F138="","",IF(G138="Dubai",HLOOKUP(F138,Inputs!$C$26:$M$36,5,0),HLOOKUP(F138,Inputs!$C$45:$M$49,5,0)))</f>
        <v/>
      </c>
      <c r="AQ138" s="102">
        <f t="shared" si="80"/>
        <v>0</v>
      </c>
      <c r="AR138" s="59" t="str">
        <f>IF(AM138="","",IF(AQ138="Dubai",VLOOKUP(AM138,'Inputs Mapping'!$V$17:$W$24,2,0),VLOOKUP(AL138,'Inputs Mapping'!$V$27:$W$30,2,0)))</f>
        <v/>
      </c>
      <c r="AS138" s="333">
        <f>IFERROR(IF($AQ138="","",HLOOKUP($AQ138&amp;RIGHT($AO138,1),'input for formula'!$B$16:$I$20,3,0)),0)</f>
        <v>0</v>
      </c>
      <c r="AT138" s="80">
        <f>IFERROR(IF($AQ138="","",HLOOKUP($AQ138&amp;$F138,'input for formula'!$B$22:$M$25,2,0)),0)</f>
        <v>0</v>
      </c>
      <c r="AU138" s="333">
        <f>IFERROR(IF($AQ138="","",HLOOKUP($AQ138&amp;RIGHT($AO138,1),'input for formula'!$B$16:$I$20,4,0)),0)</f>
        <v>0</v>
      </c>
      <c r="AV138" s="80">
        <f>IFERROR(IF($AQ138="","",HLOOKUP($AQ138&amp;$F138,'input for formula'!$B$22:$M$25,3,0)),0)</f>
        <v>0</v>
      </c>
      <c r="AW138" s="333">
        <f>IFERROR(IF($AQ138="","",HLOOKUP($AQ138&amp;RIGHT($AO138,1),'input for formula'!$B$16:$I$20,5,0)),0)</f>
        <v>0</v>
      </c>
      <c r="AX138" s="80">
        <f>IFERROR(IF($AQ138="","",HLOOKUP($AQ138&amp;$F138,'input for formula'!$B$22:$M$25,4,0)),0)</f>
        <v>0</v>
      </c>
      <c r="AY138" s="333">
        <f>IFERROR(IF($AQ138="","",IF(Additions!$AQ138="Abu Dhabi",VLOOKUP(Additions!$AP138,'input for formula'!$A$28:$C$41,3,0),VLOOKUP(Additions!$AP138,'input for formula'!$A$28:$C$41,2,0))),0)*IFERROR(1+IF(AQ138="Dubai",VLOOKUP(F138,'Quotation for Dubai Plans'!$V$6:$X$12,3,FALSE),VLOOKUP(F138,'Quotation for Abu Dhabi Plans'!$W$6:$Y$12,3,FALSE)),0)</f>
        <v>0</v>
      </c>
      <c r="AZ138" s="80" t="str">
        <f t="shared" si="55"/>
        <v/>
      </c>
      <c r="BA138" s="106" t="str">
        <f>IFERROR(IF(AO138="","",IF(AQ138="Dubai",HLOOKUP((AO138&amp;AP138),Deviation!$B$7:$S$8,2,0)*BI138*BK138*BL138*BJ138,HLOOKUP((AO138&amp;AP138),Deviation!$B$9:$K$10,2,0)*BI138*BK138*BL138*BJ138)),0)</f>
        <v/>
      </c>
      <c r="BB138" s="107" t="e">
        <f>IF(AO138="","",IFERROR(IF(AO138="","",IF(AQ138="Dubai",HLOOKUP(BC138,'input for formula'!$B$3:$F$10,AR138,FALSE), IF(AND(H138="Employee",AQ138="Abu Dhabi"),HLOOKUP(BC138,'input for formula'!$I$3:$K$7,AR138,FALSE),HLOOKUP(BC138,'input for formula'!$M$3:$O$7,AR138,FALSE)))*BA138+AS138*AT138+AU138*AV138+AW138*AX138),0)*$BC$3)*IF(Inputs!$C$19&gt;100,(1+$BC$2),1)</f>
        <v>#VALUE!</v>
      </c>
      <c r="BC138" s="95" t="str">
        <f t="shared" si="86"/>
        <v/>
      </c>
      <c r="BD138" s="334" t="str">
        <f>IF(F138="","",IF(G138="Dubai",HLOOKUP(F138,Inputs!$C$26:$M$37,9,0),HLOOKUP(F138,Inputs!$C$45:$M$56,9,0)))</f>
        <v/>
      </c>
      <c r="BE138" s="335" t="str">
        <f>IF(F138="","",IF(G138="Dubai",HLOOKUP(F138,Inputs!$C$26:$M$37,10,0),HLOOKUP(F138,Inputs!$C$45:$M$56,10,0)))</f>
        <v/>
      </c>
      <c r="BF138" s="335" t="str">
        <f>IF(F138="","",IF(G138="Dubai",HLOOKUP(F138,Inputs!$C$26:$M$37,11,0),HLOOKUP(F138,Inputs!$C$45:$M$56,11,0)))</f>
        <v/>
      </c>
      <c r="BG138" s="334" t="str">
        <f>IF(F138="","",IF(G138="Dubai",HLOOKUP(F138,Inputs!$C$26:$M$37,12,0),HLOOKUP(F138,Inputs!$C$45:$M$56,12,0)))</f>
        <v/>
      </c>
      <c r="BI138" s="334" t="str">
        <f>IFERROR(IF(AO138="","",IF(AQ138="Dubai",IF(OR(AO138="Plan1",AO138="Plan2"),VLOOKUP(BD138,Deviation!$B$31:$D$33,2,FALSE),VLOOKUP(BD138,Deviation!$B$31:$D$33,3,FALSE)),IF(OR(AO138="Plan1",AO138="Plan2"),VLOOKUP(BD138,Deviation!$E$31:$G$33,2,FALSE),VLOOKUP(BD138,Deviation!$E$31:$G$33,3,FALSE)))),0)</f>
        <v/>
      </c>
      <c r="BJ138" s="336" t="str">
        <f>IFERROR(IF(AO138="","",IF(AQ138="Dubai",IF(AO138="Plan1",VLOOKUP(BE138,Deviation!$B$39:$C$40,2,FALSE),IF(AO138="Plan2",VLOOKUP(BE138,Deviation!$B$42:$C$43,2,FALSE),IF(AO138="Plan5",VLOOKUP(BE138,Deviation!$B$48:$C$49,2,FALSE),VLOOKUP(BE138,Deviation!$B$45:$C$46,2,FALSE)))),IF(AO138="Plan1",VLOOKUP(BE138,Deviation!$E$39:$F$40,2,FALSE),IF(AO138="Plan2",VLOOKUP(BE138,Deviation!$E$42:$F$43,2,FALSE),VLOOKUP(BE138,Deviation!$E$45:$F$46,2,FALSE))))),0)</f>
        <v/>
      </c>
      <c r="BK138" s="336" t="str">
        <f>IFERROR(IF(AO138="","",IF(AQ138="Dubai",IF(OR(AO138="Plan1",AO138="Plan2"),VLOOKUP(BF138,Deviation!$B$15:$D$18,2,FALSE),VLOOKUP(BF138,Deviation!$B$15:$D$18,3,FALSE)),IF(OR(AO138="Plan1",AO138="Plan2"),VLOOKUP(BF138,Deviation!$E$15:$G$18,2,FALSE),VLOOKUP(BF138,Deviation!$E$15:$G$18,3,FALSE)))),0)</f>
        <v/>
      </c>
      <c r="BL138" s="334" t="str">
        <f>IFERROR(IF(AO138="","",IF(AQ138="Dubai",VLOOKUP(BG138,Deviation!$B$24:$C$26,2,FALSE),100%)),0)</f>
        <v/>
      </c>
    </row>
    <row r="139" spans="1:64" ht="14.25" x14ac:dyDescent="0.2">
      <c r="A139" s="59">
        <v>134</v>
      </c>
      <c r="B139" s="298"/>
      <c r="C139" s="299"/>
      <c r="D139" s="298"/>
      <c r="E139" s="298"/>
      <c r="F139" s="298"/>
      <c r="G139" s="298"/>
      <c r="H139" s="298"/>
      <c r="I139" s="298"/>
      <c r="J139" s="80" t="str">
        <f>IFERROR(ROUNDDOWN(IF(C139="","",(MAX((eff_date-Additions!C139)/365.25,0))),0),"")</f>
        <v/>
      </c>
      <c r="K139" s="59" t="str">
        <f>IF(F139="","",IF(G139="Dubai",HLOOKUP(F139,Inputs!$C$26:$M$28,3,0),HLOOKUP(F139,Inputs!$C$45:$M$46,2,0)))</f>
        <v/>
      </c>
      <c r="L139" s="335" t="str">
        <f t="shared" si="65"/>
        <v/>
      </c>
      <c r="M139" s="335">
        <f t="shared" si="66"/>
        <v>0</v>
      </c>
      <c r="N139" s="335" t="str">
        <f t="shared" si="67"/>
        <v/>
      </c>
      <c r="O139" s="335">
        <f t="shared" si="68"/>
        <v>0</v>
      </c>
      <c r="Q139" s="105">
        <f t="shared" si="81"/>
        <v>0</v>
      </c>
      <c r="R139" s="59" t="b">
        <f t="shared" si="69"/>
        <v>0</v>
      </c>
      <c r="S139" s="102" t="str">
        <f t="shared" si="82"/>
        <v>x</v>
      </c>
      <c r="T139" s="102" t="str">
        <f t="shared" si="70"/>
        <v>x</v>
      </c>
      <c r="U139" s="102" t="str">
        <f t="shared" si="71"/>
        <v>x</v>
      </c>
      <c r="V139" s="102" t="str">
        <f t="shared" si="72"/>
        <v>x</v>
      </c>
      <c r="W139" s="102" t="str">
        <f t="shared" si="73"/>
        <v>x</v>
      </c>
      <c r="X139" s="102" t="str">
        <f>IF(ISERROR(MATCH(G139,'Inputs Mapping'!$T$4:$T$5,0)),"x","")</f>
        <v>x</v>
      </c>
      <c r="Y139" s="102" t="str">
        <f>IF(ISERROR(MATCH(AE139,'Inputs Mapping'!$U$4:$U$5,0)),"x","")</f>
        <v>x</v>
      </c>
      <c r="Z139" s="102" t="str">
        <f>IF(ISERROR(MATCH(AF139,'Inputs Mapping'!$V$4:$V$5,0)),"x","")</f>
        <v>x</v>
      </c>
      <c r="AA139" s="102" t="str">
        <f>IF(ISERROR(MATCH(F139,'Inputs Mapping'!$W$4:$W$8,0)),"x","")</f>
        <v>x</v>
      </c>
      <c r="AB139" s="102" t="str">
        <f t="shared" si="74"/>
        <v/>
      </c>
      <c r="AC139" s="102" t="str">
        <f t="shared" si="75"/>
        <v/>
      </c>
      <c r="AD139" s="102" t="str">
        <f t="shared" si="76"/>
        <v/>
      </c>
      <c r="AE139" s="102" t="str">
        <f t="shared" si="83"/>
        <v/>
      </c>
      <c r="AF139" s="102" t="str">
        <f t="shared" si="84"/>
        <v/>
      </c>
      <c r="AG139" s="102" t="str">
        <f t="shared" si="85"/>
        <v>x</v>
      </c>
      <c r="AK139" s="95" t="str">
        <f t="shared" si="77"/>
        <v/>
      </c>
      <c r="AL139" s="59" t="str">
        <f>IF(J139="","",VLOOKUP(J139,'Inputs Mapping'!$T$27:$V$30,3))</f>
        <v/>
      </c>
      <c r="AM139" s="59" t="str">
        <f>IF(J139="","",VLOOKUP(J139,'Inputs Mapping'!$T$17:$V$24,3))</f>
        <v/>
      </c>
      <c r="AN139" s="59" t="str">
        <f t="shared" si="78"/>
        <v/>
      </c>
      <c r="AO139" s="102" t="str">
        <f t="shared" si="79"/>
        <v/>
      </c>
      <c r="AP139" s="102" t="str">
        <f>IF(F139="","",IF(G139="Dubai",HLOOKUP(F139,Inputs!$C$26:$M$36,5,0),HLOOKUP(F139,Inputs!$C$45:$M$49,5,0)))</f>
        <v/>
      </c>
      <c r="AQ139" s="102">
        <f t="shared" si="80"/>
        <v>0</v>
      </c>
      <c r="AR139" s="59" t="str">
        <f>IF(AM139="","",IF(AQ139="Dubai",VLOOKUP(AM139,'Inputs Mapping'!$V$17:$W$24,2,0),VLOOKUP(AL139,'Inputs Mapping'!$V$27:$W$30,2,0)))</f>
        <v/>
      </c>
      <c r="AS139" s="333">
        <f>IFERROR(IF($AQ139="","",HLOOKUP($AQ139&amp;RIGHT($AO139,1),'input for formula'!$B$16:$I$20,3,0)),0)</f>
        <v>0</v>
      </c>
      <c r="AT139" s="80">
        <f>IFERROR(IF($AQ139="","",HLOOKUP($AQ139&amp;$F139,'input for formula'!$B$22:$M$25,2,0)),0)</f>
        <v>0</v>
      </c>
      <c r="AU139" s="333">
        <f>IFERROR(IF($AQ139="","",HLOOKUP($AQ139&amp;RIGHT($AO139,1),'input for formula'!$B$16:$I$20,4,0)),0)</f>
        <v>0</v>
      </c>
      <c r="AV139" s="80">
        <f>IFERROR(IF($AQ139="","",HLOOKUP($AQ139&amp;$F139,'input for formula'!$B$22:$M$25,3,0)),0)</f>
        <v>0</v>
      </c>
      <c r="AW139" s="333">
        <f>IFERROR(IF($AQ139="","",HLOOKUP($AQ139&amp;RIGHT($AO139,1),'input for formula'!$B$16:$I$20,5,0)),0)</f>
        <v>0</v>
      </c>
      <c r="AX139" s="80">
        <f>IFERROR(IF($AQ139="","",HLOOKUP($AQ139&amp;$F139,'input for formula'!$B$22:$M$25,4,0)),0)</f>
        <v>0</v>
      </c>
      <c r="AY139" s="333">
        <f>IFERROR(IF($AQ139="","",IF(Additions!$AQ139="Abu Dhabi",VLOOKUP(Additions!$AP139,'input for formula'!$A$28:$C$41,3,0),VLOOKUP(Additions!$AP139,'input for formula'!$A$28:$C$41,2,0))),0)*IFERROR(1+IF(AQ139="Dubai",VLOOKUP(F139,'Quotation for Dubai Plans'!$V$6:$X$12,3,FALSE),VLOOKUP(F139,'Quotation for Abu Dhabi Plans'!$W$6:$Y$12,3,FALSE)),0)</f>
        <v>0</v>
      </c>
      <c r="AZ139" s="80" t="str">
        <f t="shared" si="55"/>
        <v/>
      </c>
      <c r="BA139" s="106" t="str">
        <f>IFERROR(IF(AO139="","",IF(AQ139="Dubai",HLOOKUP((AO139&amp;AP139),Deviation!$B$7:$S$8,2,0)*BI139*BK139*BL139*BJ139,HLOOKUP((AO139&amp;AP139),Deviation!$B$9:$K$10,2,0)*BI139*BK139*BL139*BJ139)),0)</f>
        <v/>
      </c>
      <c r="BB139" s="107" t="e">
        <f>IF(AO139="","",IFERROR(IF(AO139="","",IF(AQ139="Dubai",HLOOKUP(BC139,'input for formula'!$B$3:$F$10,AR139,FALSE), IF(AND(H139="Employee",AQ139="Abu Dhabi"),HLOOKUP(BC139,'input for formula'!$I$3:$K$7,AR139,FALSE),HLOOKUP(BC139,'input for formula'!$M$3:$O$7,AR139,FALSE)))*BA139+AS139*AT139+AU139*AV139+AW139*AX139),0)*$BC$3)*IF(Inputs!$C$19&gt;100,(1+$BC$2),1)</f>
        <v>#VALUE!</v>
      </c>
      <c r="BC139" s="95" t="str">
        <f t="shared" si="86"/>
        <v/>
      </c>
      <c r="BD139" s="334" t="str">
        <f>IF(F139="","",IF(G139="Dubai",HLOOKUP(F139,Inputs!$C$26:$M$37,9,0),HLOOKUP(F139,Inputs!$C$45:$M$56,9,0)))</f>
        <v/>
      </c>
      <c r="BE139" s="335" t="str">
        <f>IF(F139="","",IF(G139="Dubai",HLOOKUP(F139,Inputs!$C$26:$M$37,10,0),HLOOKUP(F139,Inputs!$C$45:$M$56,10,0)))</f>
        <v/>
      </c>
      <c r="BF139" s="335" t="str">
        <f>IF(F139="","",IF(G139="Dubai",HLOOKUP(F139,Inputs!$C$26:$M$37,11,0),HLOOKUP(F139,Inputs!$C$45:$M$56,11,0)))</f>
        <v/>
      </c>
      <c r="BG139" s="334" t="str">
        <f>IF(F139="","",IF(G139="Dubai",HLOOKUP(F139,Inputs!$C$26:$M$37,12,0),HLOOKUP(F139,Inputs!$C$45:$M$56,12,0)))</f>
        <v/>
      </c>
      <c r="BI139" s="334" t="str">
        <f>IFERROR(IF(AO139="","",IF(AQ139="Dubai",IF(OR(AO139="Plan1",AO139="Plan2"),VLOOKUP(BD139,Deviation!$B$31:$D$33,2,FALSE),VLOOKUP(BD139,Deviation!$B$31:$D$33,3,FALSE)),IF(OR(AO139="Plan1",AO139="Plan2"),VLOOKUP(BD139,Deviation!$E$31:$G$33,2,FALSE),VLOOKUP(BD139,Deviation!$E$31:$G$33,3,FALSE)))),0)</f>
        <v/>
      </c>
      <c r="BJ139" s="336" t="str">
        <f>IFERROR(IF(AO139="","",IF(AQ139="Dubai",IF(AO139="Plan1",VLOOKUP(BE139,Deviation!$B$39:$C$40,2,FALSE),IF(AO139="Plan2",VLOOKUP(BE139,Deviation!$B$42:$C$43,2,FALSE),IF(AO139="Plan5",VLOOKUP(BE139,Deviation!$B$48:$C$49,2,FALSE),VLOOKUP(BE139,Deviation!$B$45:$C$46,2,FALSE)))),IF(AO139="Plan1",VLOOKUP(BE139,Deviation!$E$39:$F$40,2,FALSE),IF(AO139="Plan2",VLOOKUP(BE139,Deviation!$E$42:$F$43,2,FALSE),VLOOKUP(BE139,Deviation!$E$45:$F$46,2,FALSE))))),0)</f>
        <v/>
      </c>
      <c r="BK139" s="336" t="str">
        <f>IFERROR(IF(AO139="","",IF(AQ139="Dubai",IF(OR(AO139="Plan1",AO139="Plan2"),VLOOKUP(BF139,Deviation!$B$15:$D$18,2,FALSE),VLOOKUP(BF139,Deviation!$B$15:$D$18,3,FALSE)),IF(OR(AO139="Plan1",AO139="Plan2"),VLOOKUP(BF139,Deviation!$E$15:$G$18,2,FALSE),VLOOKUP(BF139,Deviation!$E$15:$G$18,3,FALSE)))),0)</f>
        <v/>
      </c>
      <c r="BL139" s="334" t="str">
        <f>IFERROR(IF(AO139="","",IF(AQ139="Dubai",VLOOKUP(BG139,Deviation!$B$24:$C$26,2,FALSE),100%)),0)</f>
        <v/>
      </c>
    </row>
    <row r="140" spans="1:64" ht="14.25" x14ac:dyDescent="0.2">
      <c r="A140" s="59">
        <v>135</v>
      </c>
      <c r="B140" s="298"/>
      <c r="C140" s="299"/>
      <c r="D140" s="298"/>
      <c r="E140" s="298"/>
      <c r="F140" s="298"/>
      <c r="G140" s="298"/>
      <c r="H140" s="298"/>
      <c r="I140" s="298"/>
      <c r="J140" s="80" t="str">
        <f>IFERROR(ROUNDDOWN(IF(C140="","",(MAX((eff_date-Additions!C140)/365.25,0))),0),"")</f>
        <v/>
      </c>
      <c r="K140" s="59" t="str">
        <f>IF(F140="","",IF(G140="Dubai",HLOOKUP(F140,Inputs!$C$26:$M$28,3,0),HLOOKUP(F140,Inputs!$C$45:$M$46,2,0)))</f>
        <v/>
      </c>
      <c r="L140" s="335" t="str">
        <f t="shared" si="65"/>
        <v/>
      </c>
      <c r="M140" s="335">
        <f t="shared" si="66"/>
        <v>0</v>
      </c>
      <c r="N140" s="335" t="str">
        <f t="shared" si="67"/>
        <v/>
      </c>
      <c r="O140" s="335">
        <f t="shared" si="68"/>
        <v>0</v>
      </c>
      <c r="Q140" s="105">
        <f t="shared" si="81"/>
        <v>0</v>
      </c>
      <c r="R140" s="59" t="b">
        <f t="shared" si="69"/>
        <v>0</v>
      </c>
      <c r="S140" s="102" t="str">
        <f t="shared" si="82"/>
        <v>x</v>
      </c>
      <c r="T140" s="102" t="str">
        <f t="shared" si="70"/>
        <v>x</v>
      </c>
      <c r="U140" s="102" t="str">
        <f t="shared" si="71"/>
        <v>x</v>
      </c>
      <c r="V140" s="102" t="str">
        <f t="shared" si="72"/>
        <v>x</v>
      </c>
      <c r="W140" s="102" t="str">
        <f t="shared" si="73"/>
        <v>x</v>
      </c>
      <c r="X140" s="102" t="str">
        <f>IF(ISERROR(MATCH(G140,'Inputs Mapping'!$T$4:$T$5,0)),"x","")</f>
        <v>x</v>
      </c>
      <c r="Y140" s="102" t="str">
        <f>IF(ISERROR(MATCH(AE140,'Inputs Mapping'!$U$4:$U$5,0)),"x","")</f>
        <v>x</v>
      </c>
      <c r="Z140" s="102" t="str">
        <f>IF(ISERROR(MATCH(AF140,'Inputs Mapping'!$V$4:$V$5,0)),"x","")</f>
        <v>x</v>
      </c>
      <c r="AA140" s="102" t="str">
        <f>IF(ISERROR(MATCH(F140,'Inputs Mapping'!$W$4:$W$8,0)),"x","")</f>
        <v>x</v>
      </c>
      <c r="AB140" s="102" t="str">
        <f t="shared" si="74"/>
        <v/>
      </c>
      <c r="AC140" s="102" t="str">
        <f t="shared" si="75"/>
        <v/>
      </c>
      <c r="AD140" s="102" t="str">
        <f t="shared" si="76"/>
        <v/>
      </c>
      <c r="AE140" s="102" t="str">
        <f t="shared" si="83"/>
        <v/>
      </c>
      <c r="AF140" s="102" t="str">
        <f t="shared" si="84"/>
        <v/>
      </c>
      <c r="AG140" s="102" t="str">
        <f t="shared" si="85"/>
        <v>x</v>
      </c>
      <c r="AK140" s="95" t="str">
        <f t="shared" si="77"/>
        <v/>
      </c>
      <c r="AL140" s="59" t="str">
        <f>IF(J140="","",VLOOKUP(J140,'Inputs Mapping'!$T$27:$V$30,3))</f>
        <v/>
      </c>
      <c r="AM140" s="59" t="str">
        <f>IF(J140="","",VLOOKUP(J140,'Inputs Mapping'!$T$17:$V$24,3))</f>
        <v/>
      </c>
      <c r="AN140" s="59" t="str">
        <f t="shared" si="78"/>
        <v/>
      </c>
      <c r="AO140" s="102" t="str">
        <f t="shared" si="79"/>
        <v/>
      </c>
      <c r="AP140" s="102" t="str">
        <f>IF(F140="","",IF(G140="Dubai",HLOOKUP(F140,Inputs!$C$26:$M$36,5,0),HLOOKUP(F140,Inputs!$C$45:$M$49,5,0)))</f>
        <v/>
      </c>
      <c r="AQ140" s="102">
        <f t="shared" si="80"/>
        <v>0</v>
      </c>
      <c r="AR140" s="59" t="str">
        <f>IF(AM140="","",IF(AQ140="Dubai",VLOOKUP(AM140,'Inputs Mapping'!$V$17:$W$24,2,0),VLOOKUP(AL140,'Inputs Mapping'!$V$27:$W$30,2,0)))</f>
        <v/>
      </c>
      <c r="AS140" s="333">
        <f>IFERROR(IF($AQ140="","",HLOOKUP($AQ140&amp;RIGHT($AO140,1),'input for formula'!$B$16:$I$20,3,0)),0)</f>
        <v>0</v>
      </c>
      <c r="AT140" s="80">
        <f>IFERROR(IF($AQ140="","",HLOOKUP($AQ140&amp;$F140,'input for formula'!$B$22:$M$25,2,0)),0)</f>
        <v>0</v>
      </c>
      <c r="AU140" s="333">
        <f>IFERROR(IF($AQ140="","",HLOOKUP($AQ140&amp;RIGHT($AO140,1),'input for formula'!$B$16:$I$20,4,0)),0)</f>
        <v>0</v>
      </c>
      <c r="AV140" s="80">
        <f>IFERROR(IF($AQ140="","",HLOOKUP($AQ140&amp;$F140,'input for formula'!$B$22:$M$25,3,0)),0)</f>
        <v>0</v>
      </c>
      <c r="AW140" s="333">
        <f>IFERROR(IF($AQ140="","",HLOOKUP($AQ140&amp;RIGHT($AO140,1),'input for formula'!$B$16:$I$20,5,0)),0)</f>
        <v>0</v>
      </c>
      <c r="AX140" s="80">
        <f>IFERROR(IF($AQ140="","",HLOOKUP($AQ140&amp;$F140,'input for formula'!$B$22:$M$25,4,0)),0)</f>
        <v>0</v>
      </c>
      <c r="AY140" s="333">
        <f>IFERROR(IF($AQ140="","",IF(Additions!$AQ140="Abu Dhabi",VLOOKUP(Additions!$AP140,'input for formula'!$A$28:$C$41,3,0),VLOOKUP(Additions!$AP140,'input for formula'!$A$28:$C$41,2,0))),0)*IFERROR(1+IF(AQ140="Dubai",VLOOKUP(F140,'Quotation for Dubai Plans'!$V$6:$X$12,3,FALSE),VLOOKUP(F140,'Quotation for Abu Dhabi Plans'!$W$6:$Y$12,3,FALSE)),0)</f>
        <v>0</v>
      </c>
      <c r="AZ140" s="80" t="str">
        <f t="shared" si="55"/>
        <v/>
      </c>
      <c r="BA140" s="106" t="str">
        <f>IFERROR(IF(AO140="","",IF(AQ140="Dubai",HLOOKUP((AO140&amp;AP140),Deviation!$B$7:$S$8,2,0)*BI140*BK140*BL140*BJ140,HLOOKUP((AO140&amp;AP140),Deviation!$B$9:$K$10,2,0)*BI140*BK140*BL140*BJ140)),0)</f>
        <v/>
      </c>
      <c r="BB140" s="107" t="e">
        <f>IF(AO140="","",IFERROR(IF(AO140="","",IF(AQ140="Dubai",HLOOKUP(BC140,'input for formula'!$B$3:$F$10,AR140,FALSE), IF(AND(H140="Employee",AQ140="Abu Dhabi"),HLOOKUP(BC140,'input for formula'!$I$3:$K$7,AR140,FALSE),HLOOKUP(BC140,'input for formula'!$M$3:$O$7,AR140,FALSE)))*BA140+AS140*AT140+AU140*AV140+AW140*AX140),0)*$BC$3)*IF(Inputs!$C$19&gt;100,(1+$BC$2),1)</f>
        <v>#VALUE!</v>
      </c>
      <c r="BC140" s="95" t="str">
        <f t="shared" si="86"/>
        <v/>
      </c>
      <c r="BD140" s="334" t="str">
        <f>IF(F140="","",IF(G140="Dubai",HLOOKUP(F140,Inputs!$C$26:$M$37,9,0),HLOOKUP(F140,Inputs!$C$45:$M$56,9,0)))</f>
        <v/>
      </c>
      <c r="BE140" s="335" t="str">
        <f>IF(F140="","",IF(G140="Dubai",HLOOKUP(F140,Inputs!$C$26:$M$37,10,0),HLOOKUP(F140,Inputs!$C$45:$M$56,10,0)))</f>
        <v/>
      </c>
      <c r="BF140" s="335" t="str">
        <f>IF(F140="","",IF(G140="Dubai",HLOOKUP(F140,Inputs!$C$26:$M$37,11,0),HLOOKUP(F140,Inputs!$C$45:$M$56,11,0)))</f>
        <v/>
      </c>
      <c r="BG140" s="334" t="str">
        <f>IF(F140="","",IF(G140="Dubai",HLOOKUP(F140,Inputs!$C$26:$M$37,12,0),HLOOKUP(F140,Inputs!$C$45:$M$56,12,0)))</f>
        <v/>
      </c>
      <c r="BI140" s="334" t="str">
        <f>IFERROR(IF(AO140="","",IF(AQ140="Dubai",IF(OR(AO140="Plan1",AO140="Plan2"),VLOOKUP(BD140,Deviation!$B$31:$D$33,2,FALSE),VLOOKUP(BD140,Deviation!$B$31:$D$33,3,FALSE)),IF(OR(AO140="Plan1",AO140="Plan2"),VLOOKUP(BD140,Deviation!$E$31:$G$33,2,FALSE),VLOOKUP(BD140,Deviation!$E$31:$G$33,3,FALSE)))),0)</f>
        <v/>
      </c>
      <c r="BJ140" s="336" t="str">
        <f>IFERROR(IF(AO140="","",IF(AQ140="Dubai",IF(AO140="Plan1",VLOOKUP(BE140,Deviation!$B$39:$C$40,2,FALSE),IF(AO140="Plan2",VLOOKUP(BE140,Deviation!$B$42:$C$43,2,FALSE),IF(AO140="Plan5",VLOOKUP(BE140,Deviation!$B$48:$C$49,2,FALSE),VLOOKUP(BE140,Deviation!$B$45:$C$46,2,FALSE)))),IF(AO140="Plan1",VLOOKUP(BE140,Deviation!$E$39:$F$40,2,FALSE),IF(AO140="Plan2",VLOOKUP(BE140,Deviation!$E$42:$F$43,2,FALSE),VLOOKUP(BE140,Deviation!$E$45:$F$46,2,FALSE))))),0)</f>
        <v/>
      </c>
      <c r="BK140" s="336" t="str">
        <f>IFERROR(IF(AO140="","",IF(AQ140="Dubai",IF(OR(AO140="Plan1",AO140="Plan2"),VLOOKUP(BF140,Deviation!$B$15:$D$18,2,FALSE),VLOOKUP(BF140,Deviation!$B$15:$D$18,3,FALSE)),IF(OR(AO140="Plan1",AO140="Plan2"),VLOOKUP(BF140,Deviation!$E$15:$G$18,2,FALSE),VLOOKUP(BF140,Deviation!$E$15:$G$18,3,FALSE)))),0)</f>
        <v/>
      </c>
      <c r="BL140" s="334" t="str">
        <f>IFERROR(IF(AO140="","",IF(AQ140="Dubai",VLOOKUP(BG140,Deviation!$B$24:$C$26,2,FALSE),100%)),0)</f>
        <v/>
      </c>
    </row>
    <row r="141" spans="1:64" ht="14.25" x14ac:dyDescent="0.2">
      <c r="A141" s="59">
        <v>136</v>
      </c>
      <c r="B141" s="298"/>
      <c r="C141" s="299"/>
      <c r="D141" s="298"/>
      <c r="E141" s="298"/>
      <c r="F141" s="298"/>
      <c r="G141" s="298"/>
      <c r="H141" s="298"/>
      <c r="I141" s="298"/>
      <c r="J141" s="80" t="str">
        <f>IFERROR(ROUNDDOWN(IF(C141="","",(MAX((eff_date-Additions!C141)/365.25,0))),0),"")</f>
        <v/>
      </c>
      <c r="K141" s="59" t="str">
        <f>IF(F141="","",IF(G141="Dubai",HLOOKUP(F141,Inputs!$C$26:$M$28,3,0),HLOOKUP(F141,Inputs!$C$45:$M$46,2,0)))</f>
        <v/>
      </c>
      <c r="L141" s="335" t="str">
        <f t="shared" si="65"/>
        <v/>
      </c>
      <c r="M141" s="335">
        <f t="shared" si="66"/>
        <v>0</v>
      </c>
      <c r="N141" s="335" t="str">
        <f t="shared" si="67"/>
        <v/>
      </c>
      <c r="O141" s="335">
        <f t="shared" si="68"/>
        <v>0</v>
      </c>
      <c r="Q141" s="105">
        <f t="shared" si="81"/>
        <v>0</v>
      </c>
      <c r="R141" s="59" t="b">
        <f t="shared" si="69"/>
        <v>0</v>
      </c>
      <c r="S141" s="102" t="str">
        <f t="shared" si="82"/>
        <v>x</v>
      </c>
      <c r="T141" s="102" t="str">
        <f t="shared" si="70"/>
        <v>x</v>
      </c>
      <c r="U141" s="102" t="str">
        <f t="shared" si="71"/>
        <v>x</v>
      </c>
      <c r="V141" s="102" t="str">
        <f t="shared" si="72"/>
        <v>x</v>
      </c>
      <c r="W141" s="102" t="str">
        <f t="shared" si="73"/>
        <v>x</v>
      </c>
      <c r="X141" s="102" t="str">
        <f>IF(ISERROR(MATCH(G141,'Inputs Mapping'!$T$4:$T$5,0)),"x","")</f>
        <v>x</v>
      </c>
      <c r="Y141" s="102" t="str">
        <f>IF(ISERROR(MATCH(AE141,'Inputs Mapping'!$U$4:$U$5,0)),"x","")</f>
        <v>x</v>
      </c>
      <c r="Z141" s="102" t="str">
        <f>IF(ISERROR(MATCH(AF141,'Inputs Mapping'!$V$4:$V$5,0)),"x","")</f>
        <v>x</v>
      </c>
      <c r="AA141" s="102" t="str">
        <f>IF(ISERROR(MATCH(F141,'Inputs Mapping'!$W$4:$W$8,0)),"x","")</f>
        <v>x</v>
      </c>
      <c r="AB141" s="102" t="str">
        <f t="shared" si="74"/>
        <v/>
      </c>
      <c r="AC141" s="102" t="str">
        <f t="shared" si="75"/>
        <v/>
      </c>
      <c r="AD141" s="102" t="str">
        <f t="shared" si="76"/>
        <v/>
      </c>
      <c r="AE141" s="102" t="str">
        <f t="shared" si="83"/>
        <v/>
      </c>
      <c r="AF141" s="102" t="str">
        <f t="shared" si="84"/>
        <v/>
      </c>
      <c r="AG141" s="102" t="str">
        <f t="shared" si="85"/>
        <v>x</v>
      </c>
      <c r="AK141" s="95" t="str">
        <f t="shared" si="77"/>
        <v/>
      </c>
      <c r="AL141" s="59" t="str">
        <f>IF(J141="","",VLOOKUP(J141,'Inputs Mapping'!$T$27:$V$30,3))</f>
        <v/>
      </c>
      <c r="AM141" s="59" t="str">
        <f>IF(J141="","",VLOOKUP(J141,'Inputs Mapping'!$T$17:$V$24,3))</f>
        <v/>
      </c>
      <c r="AN141" s="59" t="str">
        <f t="shared" si="78"/>
        <v/>
      </c>
      <c r="AO141" s="102" t="str">
        <f t="shared" si="79"/>
        <v/>
      </c>
      <c r="AP141" s="102" t="str">
        <f>IF(F141="","",IF(G141="Dubai",HLOOKUP(F141,Inputs!$C$26:$M$36,5,0),HLOOKUP(F141,Inputs!$C$45:$M$49,5,0)))</f>
        <v/>
      </c>
      <c r="AQ141" s="102">
        <f t="shared" si="80"/>
        <v>0</v>
      </c>
      <c r="AR141" s="59" t="str">
        <f>IF(AM141="","",IF(AQ141="Dubai",VLOOKUP(AM141,'Inputs Mapping'!$V$17:$W$24,2,0),VLOOKUP(AL141,'Inputs Mapping'!$V$27:$W$30,2,0)))</f>
        <v/>
      </c>
      <c r="AS141" s="333">
        <f>IFERROR(IF($AQ141="","",HLOOKUP($AQ141&amp;RIGHT($AO141,1),'input for formula'!$B$16:$I$20,3,0)),0)</f>
        <v>0</v>
      </c>
      <c r="AT141" s="80">
        <f>IFERROR(IF($AQ141="","",HLOOKUP($AQ141&amp;$F141,'input for formula'!$B$22:$M$25,2,0)),0)</f>
        <v>0</v>
      </c>
      <c r="AU141" s="333">
        <f>IFERROR(IF($AQ141="","",HLOOKUP($AQ141&amp;RIGHT($AO141,1),'input for formula'!$B$16:$I$20,4,0)),0)</f>
        <v>0</v>
      </c>
      <c r="AV141" s="80">
        <f>IFERROR(IF($AQ141="","",HLOOKUP($AQ141&amp;$F141,'input for formula'!$B$22:$M$25,3,0)),0)</f>
        <v>0</v>
      </c>
      <c r="AW141" s="333">
        <f>IFERROR(IF($AQ141="","",HLOOKUP($AQ141&amp;RIGHT($AO141,1),'input for formula'!$B$16:$I$20,5,0)),0)</f>
        <v>0</v>
      </c>
      <c r="AX141" s="80">
        <f>IFERROR(IF($AQ141="","",HLOOKUP($AQ141&amp;$F141,'input for formula'!$B$22:$M$25,4,0)),0)</f>
        <v>0</v>
      </c>
      <c r="AY141" s="333">
        <f>IFERROR(IF($AQ141="","",IF(Additions!$AQ141="Abu Dhabi",VLOOKUP(Additions!$AP141,'input for formula'!$A$28:$C$41,3,0),VLOOKUP(Additions!$AP141,'input for formula'!$A$28:$C$41,2,0))),0)*IFERROR(1+IF(AQ141="Dubai",VLOOKUP(F141,'Quotation for Dubai Plans'!$V$6:$X$12,3,FALSE),VLOOKUP(F141,'Quotation for Abu Dhabi Plans'!$W$6:$Y$12,3,FALSE)),0)</f>
        <v>0</v>
      </c>
      <c r="AZ141" s="80" t="str">
        <f t="shared" si="55"/>
        <v/>
      </c>
      <c r="BA141" s="106" t="str">
        <f>IFERROR(IF(AO141="","",IF(AQ141="Dubai",HLOOKUP((AO141&amp;AP141),Deviation!$B$7:$S$8,2,0)*BI141*BK141*BL141*BJ141,HLOOKUP((AO141&amp;AP141),Deviation!$B$9:$K$10,2,0)*BI141*BK141*BL141*BJ141)),0)</f>
        <v/>
      </c>
      <c r="BB141" s="107" t="e">
        <f>IF(AO141="","",IFERROR(IF(AO141="","",IF(AQ141="Dubai",HLOOKUP(BC141,'input for formula'!$B$3:$F$10,AR141,FALSE), IF(AND(H141="Employee",AQ141="Abu Dhabi"),HLOOKUP(BC141,'input for formula'!$I$3:$K$7,AR141,FALSE),HLOOKUP(BC141,'input for formula'!$M$3:$O$7,AR141,FALSE)))*BA141+AS141*AT141+AU141*AV141+AW141*AX141),0)*$BC$3)*IF(Inputs!$C$19&gt;100,(1+$BC$2),1)</f>
        <v>#VALUE!</v>
      </c>
      <c r="BC141" s="95" t="str">
        <f t="shared" si="86"/>
        <v/>
      </c>
      <c r="BD141" s="334" t="str">
        <f>IF(F141="","",IF(G141="Dubai",HLOOKUP(F141,Inputs!$C$26:$M$37,9,0),HLOOKUP(F141,Inputs!$C$45:$M$56,9,0)))</f>
        <v/>
      </c>
      <c r="BE141" s="335" t="str">
        <f>IF(F141="","",IF(G141="Dubai",HLOOKUP(F141,Inputs!$C$26:$M$37,10,0),HLOOKUP(F141,Inputs!$C$45:$M$56,10,0)))</f>
        <v/>
      </c>
      <c r="BF141" s="335" t="str">
        <f>IF(F141="","",IF(G141="Dubai",HLOOKUP(F141,Inputs!$C$26:$M$37,11,0),HLOOKUP(F141,Inputs!$C$45:$M$56,11,0)))</f>
        <v/>
      </c>
      <c r="BG141" s="334" t="str">
        <f>IF(F141="","",IF(G141="Dubai",HLOOKUP(F141,Inputs!$C$26:$M$37,12,0),HLOOKUP(F141,Inputs!$C$45:$M$56,12,0)))</f>
        <v/>
      </c>
      <c r="BI141" s="334" t="str">
        <f>IFERROR(IF(AO141="","",IF(AQ141="Dubai",IF(OR(AO141="Plan1",AO141="Plan2"),VLOOKUP(BD141,Deviation!$B$31:$D$33,2,FALSE),VLOOKUP(BD141,Deviation!$B$31:$D$33,3,FALSE)),IF(OR(AO141="Plan1",AO141="Plan2"),VLOOKUP(BD141,Deviation!$E$31:$G$33,2,FALSE),VLOOKUP(BD141,Deviation!$E$31:$G$33,3,FALSE)))),0)</f>
        <v/>
      </c>
      <c r="BJ141" s="336" t="str">
        <f>IFERROR(IF(AO141="","",IF(AQ141="Dubai",IF(AO141="Plan1",VLOOKUP(BE141,Deviation!$B$39:$C$40,2,FALSE),IF(AO141="Plan2",VLOOKUP(BE141,Deviation!$B$42:$C$43,2,FALSE),IF(AO141="Plan5",VLOOKUP(BE141,Deviation!$B$48:$C$49,2,FALSE),VLOOKUP(BE141,Deviation!$B$45:$C$46,2,FALSE)))),IF(AO141="Plan1",VLOOKUP(BE141,Deviation!$E$39:$F$40,2,FALSE),IF(AO141="Plan2",VLOOKUP(BE141,Deviation!$E$42:$F$43,2,FALSE),VLOOKUP(BE141,Deviation!$E$45:$F$46,2,FALSE))))),0)</f>
        <v/>
      </c>
      <c r="BK141" s="336" t="str">
        <f>IFERROR(IF(AO141="","",IF(AQ141="Dubai",IF(OR(AO141="Plan1",AO141="Plan2"),VLOOKUP(BF141,Deviation!$B$15:$D$18,2,FALSE),VLOOKUP(BF141,Deviation!$B$15:$D$18,3,FALSE)),IF(OR(AO141="Plan1",AO141="Plan2"),VLOOKUP(BF141,Deviation!$E$15:$G$18,2,FALSE),VLOOKUP(BF141,Deviation!$E$15:$G$18,3,FALSE)))),0)</f>
        <v/>
      </c>
      <c r="BL141" s="334" t="str">
        <f>IFERROR(IF(AO141="","",IF(AQ141="Dubai",VLOOKUP(BG141,Deviation!$B$24:$C$26,2,FALSE),100%)),0)</f>
        <v/>
      </c>
    </row>
    <row r="142" spans="1:64" ht="14.25" x14ac:dyDescent="0.2">
      <c r="A142" s="59">
        <v>137</v>
      </c>
      <c r="B142" s="298"/>
      <c r="C142" s="299"/>
      <c r="D142" s="298"/>
      <c r="E142" s="298"/>
      <c r="F142" s="298"/>
      <c r="G142" s="298"/>
      <c r="H142" s="298"/>
      <c r="I142" s="298"/>
      <c r="J142" s="80" t="str">
        <f>IFERROR(ROUNDDOWN(IF(C142="","",(MAX((eff_date-Additions!C142)/365.25,0))),0),"")</f>
        <v/>
      </c>
      <c r="K142" s="59" t="str">
        <f>IF(F142="","",IF(G142="Dubai",HLOOKUP(F142,Inputs!$C$26:$M$28,3,0),HLOOKUP(F142,Inputs!$C$45:$M$46,2,0)))</f>
        <v/>
      </c>
      <c r="L142" s="335" t="str">
        <f t="shared" si="65"/>
        <v/>
      </c>
      <c r="M142" s="335">
        <f t="shared" si="66"/>
        <v>0</v>
      </c>
      <c r="N142" s="335" t="str">
        <f t="shared" si="67"/>
        <v/>
      </c>
      <c r="O142" s="335">
        <f t="shared" si="68"/>
        <v>0</v>
      </c>
      <c r="Q142" s="105">
        <f t="shared" si="81"/>
        <v>0</v>
      </c>
      <c r="R142" s="59" t="b">
        <f t="shared" si="69"/>
        <v>0</v>
      </c>
      <c r="S142" s="102" t="str">
        <f t="shared" si="82"/>
        <v>x</v>
      </c>
      <c r="T142" s="102" t="str">
        <f t="shared" si="70"/>
        <v>x</v>
      </c>
      <c r="U142" s="102" t="str">
        <f t="shared" si="71"/>
        <v>x</v>
      </c>
      <c r="V142" s="102" t="str">
        <f t="shared" si="72"/>
        <v>x</v>
      </c>
      <c r="W142" s="102" t="str">
        <f t="shared" si="73"/>
        <v>x</v>
      </c>
      <c r="X142" s="102" t="str">
        <f>IF(ISERROR(MATCH(G142,'Inputs Mapping'!$T$4:$T$5,0)),"x","")</f>
        <v>x</v>
      </c>
      <c r="Y142" s="102" t="str">
        <f>IF(ISERROR(MATCH(AE142,'Inputs Mapping'!$U$4:$U$5,0)),"x","")</f>
        <v>x</v>
      </c>
      <c r="Z142" s="102" t="str">
        <f>IF(ISERROR(MATCH(AF142,'Inputs Mapping'!$V$4:$V$5,0)),"x","")</f>
        <v>x</v>
      </c>
      <c r="AA142" s="102" t="str">
        <f>IF(ISERROR(MATCH(F142,'Inputs Mapping'!$W$4:$W$8,0)),"x","")</f>
        <v>x</v>
      </c>
      <c r="AB142" s="102" t="str">
        <f t="shared" si="74"/>
        <v/>
      </c>
      <c r="AC142" s="102" t="str">
        <f t="shared" si="75"/>
        <v/>
      </c>
      <c r="AD142" s="102" t="str">
        <f t="shared" si="76"/>
        <v/>
      </c>
      <c r="AE142" s="102" t="str">
        <f t="shared" si="83"/>
        <v/>
      </c>
      <c r="AF142" s="102" t="str">
        <f t="shared" si="84"/>
        <v/>
      </c>
      <c r="AG142" s="102" t="str">
        <f t="shared" si="85"/>
        <v>x</v>
      </c>
      <c r="AK142" s="95" t="str">
        <f t="shared" si="77"/>
        <v/>
      </c>
      <c r="AL142" s="59" t="str">
        <f>IF(J142="","",VLOOKUP(J142,'Inputs Mapping'!$T$27:$V$30,3))</f>
        <v/>
      </c>
      <c r="AM142" s="59" t="str">
        <f>IF(J142="","",VLOOKUP(J142,'Inputs Mapping'!$T$17:$V$24,3))</f>
        <v/>
      </c>
      <c r="AN142" s="59" t="str">
        <f t="shared" si="78"/>
        <v/>
      </c>
      <c r="AO142" s="102" t="str">
        <f t="shared" si="79"/>
        <v/>
      </c>
      <c r="AP142" s="102" t="str">
        <f>IF(F142="","",IF(G142="Dubai",HLOOKUP(F142,Inputs!$C$26:$M$36,5,0),HLOOKUP(F142,Inputs!$C$45:$M$49,5,0)))</f>
        <v/>
      </c>
      <c r="AQ142" s="102">
        <f t="shared" si="80"/>
        <v>0</v>
      </c>
      <c r="AR142" s="59" t="str">
        <f>IF(AM142="","",IF(AQ142="Dubai",VLOOKUP(AM142,'Inputs Mapping'!$V$17:$W$24,2,0),VLOOKUP(AL142,'Inputs Mapping'!$V$27:$W$30,2,0)))</f>
        <v/>
      </c>
      <c r="AS142" s="333">
        <f>IFERROR(IF($AQ142="","",HLOOKUP($AQ142&amp;RIGHT($AO142,1),'input for formula'!$B$16:$I$20,3,0)),0)</f>
        <v>0</v>
      </c>
      <c r="AT142" s="80">
        <f>IFERROR(IF($AQ142="","",HLOOKUP($AQ142&amp;$F142,'input for formula'!$B$22:$M$25,2,0)),0)</f>
        <v>0</v>
      </c>
      <c r="AU142" s="333">
        <f>IFERROR(IF($AQ142="","",HLOOKUP($AQ142&amp;RIGHT($AO142,1),'input for formula'!$B$16:$I$20,4,0)),0)</f>
        <v>0</v>
      </c>
      <c r="AV142" s="80">
        <f>IFERROR(IF($AQ142="","",HLOOKUP($AQ142&amp;$F142,'input for formula'!$B$22:$M$25,3,0)),0)</f>
        <v>0</v>
      </c>
      <c r="AW142" s="333">
        <f>IFERROR(IF($AQ142="","",HLOOKUP($AQ142&amp;RIGHT($AO142,1),'input for formula'!$B$16:$I$20,5,0)),0)</f>
        <v>0</v>
      </c>
      <c r="AX142" s="80">
        <f>IFERROR(IF($AQ142="","",HLOOKUP($AQ142&amp;$F142,'input for formula'!$B$22:$M$25,4,0)),0)</f>
        <v>0</v>
      </c>
      <c r="AY142" s="333">
        <f>IFERROR(IF($AQ142="","",IF(Additions!$AQ142="Abu Dhabi",VLOOKUP(Additions!$AP142,'input for formula'!$A$28:$C$41,3,0),VLOOKUP(Additions!$AP142,'input for formula'!$A$28:$C$41,2,0))),0)*IFERROR(1+IF(AQ142="Dubai",VLOOKUP(F142,'Quotation for Dubai Plans'!$V$6:$X$12,3,FALSE),VLOOKUP(F142,'Quotation for Abu Dhabi Plans'!$W$6:$Y$12,3,FALSE)),0)</f>
        <v>0</v>
      </c>
      <c r="AZ142" s="80" t="str">
        <f t="shared" si="55"/>
        <v/>
      </c>
      <c r="BA142" s="106" t="str">
        <f>IFERROR(IF(AO142="","",IF(AQ142="Dubai",HLOOKUP((AO142&amp;AP142),Deviation!$B$7:$S$8,2,0)*BI142*BK142*BL142*BJ142,HLOOKUP((AO142&amp;AP142),Deviation!$B$9:$K$10,2,0)*BI142*BK142*BL142*BJ142)),0)</f>
        <v/>
      </c>
      <c r="BB142" s="107" t="e">
        <f>IF(AO142="","",IFERROR(IF(AO142="","",IF(AQ142="Dubai",HLOOKUP(BC142,'input for formula'!$B$3:$F$10,AR142,FALSE), IF(AND(H142="Employee",AQ142="Abu Dhabi"),HLOOKUP(BC142,'input for formula'!$I$3:$K$7,AR142,FALSE),HLOOKUP(BC142,'input for formula'!$M$3:$O$7,AR142,FALSE)))*BA142+AS142*AT142+AU142*AV142+AW142*AX142),0)*$BC$3)*IF(Inputs!$C$19&gt;100,(1+$BC$2),1)</f>
        <v>#VALUE!</v>
      </c>
      <c r="BC142" s="95" t="str">
        <f t="shared" si="86"/>
        <v/>
      </c>
      <c r="BD142" s="334" t="str">
        <f>IF(F142="","",IF(G142="Dubai",HLOOKUP(F142,Inputs!$C$26:$M$37,9,0),HLOOKUP(F142,Inputs!$C$45:$M$56,9,0)))</f>
        <v/>
      </c>
      <c r="BE142" s="335" t="str">
        <f>IF(F142="","",IF(G142="Dubai",HLOOKUP(F142,Inputs!$C$26:$M$37,10,0),HLOOKUP(F142,Inputs!$C$45:$M$56,10,0)))</f>
        <v/>
      </c>
      <c r="BF142" s="335" t="str">
        <f>IF(F142="","",IF(G142="Dubai",HLOOKUP(F142,Inputs!$C$26:$M$37,11,0),HLOOKUP(F142,Inputs!$C$45:$M$56,11,0)))</f>
        <v/>
      </c>
      <c r="BG142" s="334" t="str">
        <f>IF(F142="","",IF(G142="Dubai",HLOOKUP(F142,Inputs!$C$26:$M$37,12,0),HLOOKUP(F142,Inputs!$C$45:$M$56,12,0)))</f>
        <v/>
      </c>
      <c r="BI142" s="334" t="str">
        <f>IFERROR(IF(AO142="","",IF(AQ142="Dubai",IF(OR(AO142="Plan1",AO142="Plan2"),VLOOKUP(BD142,Deviation!$B$31:$D$33,2,FALSE),VLOOKUP(BD142,Deviation!$B$31:$D$33,3,FALSE)),IF(OR(AO142="Plan1",AO142="Plan2"),VLOOKUP(BD142,Deviation!$E$31:$G$33,2,FALSE),VLOOKUP(BD142,Deviation!$E$31:$G$33,3,FALSE)))),0)</f>
        <v/>
      </c>
      <c r="BJ142" s="336" t="str">
        <f>IFERROR(IF(AO142="","",IF(AQ142="Dubai",IF(AO142="Plan1",VLOOKUP(BE142,Deviation!$B$39:$C$40,2,FALSE),IF(AO142="Plan2",VLOOKUP(BE142,Deviation!$B$42:$C$43,2,FALSE),IF(AO142="Plan5",VLOOKUP(BE142,Deviation!$B$48:$C$49,2,FALSE),VLOOKUP(BE142,Deviation!$B$45:$C$46,2,FALSE)))),IF(AO142="Plan1",VLOOKUP(BE142,Deviation!$E$39:$F$40,2,FALSE),IF(AO142="Plan2",VLOOKUP(BE142,Deviation!$E$42:$F$43,2,FALSE),VLOOKUP(BE142,Deviation!$E$45:$F$46,2,FALSE))))),0)</f>
        <v/>
      </c>
      <c r="BK142" s="336" t="str">
        <f>IFERROR(IF(AO142="","",IF(AQ142="Dubai",IF(OR(AO142="Plan1",AO142="Plan2"),VLOOKUP(BF142,Deviation!$B$15:$D$18,2,FALSE),VLOOKUP(BF142,Deviation!$B$15:$D$18,3,FALSE)),IF(OR(AO142="Plan1",AO142="Plan2"),VLOOKUP(BF142,Deviation!$E$15:$G$18,2,FALSE),VLOOKUP(BF142,Deviation!$E$15:$G$18,3,FALSE)))),0)</f>
        <v/>
      </c>
      <c r="BL142" s="334" t="str">
        <f>IFERROR(IF(AO142="","",IF(AQ142="Dubai",VLOOKUP(BG142,Deviation!$B$24:$C$26,2,FALSE),100%)),0)</f>
        <v/>
      </c>
    </row>
    <row r="143" spans="1:64" ht="14.25" x14ac:dyDescent="0.2">
      <c r="A143" s="59">
        <v>138</v>
      </c>
      <c r="B143" s="298"/>
      <c r="C143" s="299"/>
      <c r="D143" s="298"/>
      <c r="E143" s="298"/>
      <c r="F143" s="298"/>
      <c r="G143" s="298"/>
      <c r="H143" s="298"/>
      <c r="I143" s="298"/>
      <c r="J143" s="80" t="str">
        <f>IFERROR(ROUNDDOWN(IF(C143="","",(MAX((eff_date-Additions!C143)/365.25,0))),0),"")</f>
        <v/>
      </c>
      <c r="K143" s="59" t="str">
        <f>IF(F143="","",IF(G143="Dubai",HLOOKUP(F143,Inputs!$C$26:$M$28,3,0),HLOOKUP(F143,Inputs!$C$45:$M$46,2,0)))</f>
        <v/>
      </c>
      <c r="L143" s="335" t="str">
        <f t="shared" si="65"/>
        <v/>
      </c>
      <c r="M143" s="335">
        <f t="shared" si="66"/>
        <v>0</v>
      </c>
      <c r="N143" s="335" t="str">
        <f t="shared" si="67"/>
        <v/>
      </c>
      <c r="O143" s="335">
        <f t="shared" si="68"/>
        <v>0</v>
      </c>
      <c r="Q143" s="105">
        <f t="shared" si="81"/>
        <v>0</v>
      </c>
      <c r="R143" s="59" t="b">
        <f t="shared" si="69"/>
        <v>0</v>
      </c>
      <c r="S143" s="102" t="str">
        <f t="shared" si="82"/>
        <v>x</v>
      </c>
      <c r="T143" s="102" t="str">
        <f t="shared" si="70"/>
        <v>x</v>
      </c>
      <c r="U143" s="102" t="str">
        <f t="shared" si="71"/>
        <v>x</v>
      </c>
      <c r="V143" s="102" t="str">
        <f t="shared" si="72"/>
        <v>x</v>
      </c>
      <c r="W143" s="102" t="str">
        <f t="shared" si="73"/>
        <v>x</v>
      </c>
      <c r="X143" s="102" t="str">
        <f>IF(ISERROR(MATCH(G143,'Inputs Mapping'!$T$4:$T$5,0)),"x","")</f>
        <v>x</v>
      </c>
      <c r="Y143" s="102" t="str">
        <f>IF(ISERROR(MATCH(AE143,'Inputs Mapping'!$U$4:$U$5,0)),"x","")</f>
        <v>x</v>
      </c>
      <c r="Z143" s="102" t="str">
        <f>IF(ISERROR(MATCH(AF143,'Inputs Mapping'!$V$4:$V$5,0)),"x","")</f>
        <v>x</v>
      </c>
      <c r="AA143" s="102" t="str">
        <f>IF(ISERROR(MATCH(F143,'Inputs Mapping'!$W$4:$W$8,0)),"x","")</f>
        <v>x</v>
      </c>
      <c r="AB143" s="102" t="str">
        <f t="shared" si="74"/>
        <v/>
      </c>
      <c r="AC143" s="102" t="str">
        <f t="shared" si="75"/>
        <v/>
      </c>
      <c r="AD143" s="102" t="str">
        <f t="shared" si="76"/>
        <v/>
      </c>
      <c r="AE143" s="102" t="str">
        <f t="shared" si="83"/>
        <v/>
      </c>
      <c r="AF143" s="102" t="str">
        <f t="shared" si="84"/>
        <v/>
      </c>
      <c r="AG143" s="102" t="str">
        <f t="shared" si="85"/>
        <v>x</v>
      </c>
      <c r="AK143" s="95" t="str">
        <f t="shared" si="77"/>
        <v/>
      </c>
      <c r="AL143" s="59" t="str">
        <f>IF(J143="","",VLOOKUP(J143,'Inputs Mapping'!$T$27:$V$30,3))</f>
        <v/>
      </c>
      <c r="AM143" s="59" t="str">
        <f>IF(J143="","",VLOOKUP(J143,'Inputs Mapping'!$T$17:$V$24,3))</f>
        <v/>
      </c>
      <c r="AN143" s="59" t="str">
        <f t="shared" si="78"/>
        <v/>
      </c>
      <c r="AO143" s="102" t="str">
        <f t="shared" si="79"/>
        <v/>
      </c>
      <c r="AP143" s="102" t="str">
        <f>IF(F143="","",IF(G143="Dubai",HLOOKUP(F143,Inputs!$C$26:$M$36,5,0),HLOOKUP(F143,Inputs!$C$45:$M$49,5,0)))</f>
        <v/>
      </c>
      <c r="AQ143" s="102">
        <f t="shared" si="80"/>
        <v>0</v>
      </c>
      <c r="AR143" s="59" t="str">
        <f>IF(AM143="","",IF(AQ143="Dubai",VLOOKUP(AM143,'Inputs Mapping'!$V$17:$W$24,2,0),VLOOKUP(AL143,'Inputs Mapping'!$V$27:$W$30,2,0)))</f>
        <v/>
      </c>
      <c r="AS143" s="333">
        <f>IFERROR(IF($AQ143="","",HLOOKUP($AQ143&amp;RIGHT($AO143,1),'input for formula'!$B$16:$I$20,3,0)),0)</f>
        <v>0</v>
      </c>
      <c r="AT143" s="80">
        <f>IFERROR(IF($AQ143="","",HLOOKUP($AQ143&amp;$F143,'input for formula'!$B$22:$M$25,2,0)),0)</f>
        <v>0</v>
      </c>
      <c r="AU143" s="333">
        <f>IFERROR(IF($AQ143="","",HLOOKUP($AQ143&amp;RIGHT($AO143,1),'input for formula'!$B$16:$I$20,4,0)),0)</f>
        <v>0</v>
      </c>
      <c r="AV143" s="80">
        <f>IFERROR(IF($AQ143="","",HLOOKUP($AQ143&amp;$F143,'input for formula'!$B$22:$M$25,3,0)),0)</f>
        <v>0</v>
      </c>
      <c r="AW143" s="333">
        <f>IFERROR(IF($AQ143="","",HLOOKUP($AQ143&amp;RIGHT($AO143,1),'input for formula'!$B$16:$I$20,5,0)),0)</f>
        <v>0</v>
      </c>
      <c r="AX143" s="80">
        <f>IFERROR(IF($AQ143="","",HLOOKUP($AQ143&amp;$F143,'input for formula'!$B$22:$M$25,4,0)),0)</f>
        <v>0</v>
      </c>
      <c r="AY143" s="333">
        <f>IFERROR(IF($AQ143="","",IF(Additions!$AQ143="Abu Dhabi",VLOOKUP(Additions!$AP143,'input for formula'!$A$28:$C$41,3,0),VLOOKUP(Additions!$AP143,'input for formula'!$A$28:$C$41,2,0))),0)*IFERROR(1+IF(AQ143="Dubai",VLOOKUP(F143,'Quotation for Dubai Plans'!$V$6:$X$12,3,FALSE),VLOOKUP(F143,'Quotation for Abu Dhabi Plans'!$W$6:$Y$12,3,FALSE)),0)</f>
        <v>0</v>
      </c>
      <c r="AZ143" s="80" t="str">
        <f t="shared" si="55"/>
        <v/>
      </c>
      <c r="BA143" s="106" t="str">
        <f>IFERROR(IF(AO143="","",IF(AQ143="Dubai",HLOOKUP((AO143&amp;AP143),Deviation!$B$7:$S$8,2,0)*BI143*BK143*BL143*BJ143,HLOOKUP((AO143&amp;AP143),Deviation!$B$9:$K$10,2,0)*BI143*BK143*BL143*BJ143)),0)</f>
        <v/>
      </c>
      <c r="BB143" s="107" t="e">
        <f>IF(AO143="","",IFERROR(IF(AO143="","",IF(AQ143="Dubai",HLOOKUP(BC143,'input for formula'!$B$3:$F$10,AR143,FALSE), IF(AND(H143="Employee",AQ143="Abu Dhabi"),HLOOKUP(BC143,'input for formula'!$I$3:$K$7,AR143,FALSE),HLOOKUP(BC143,'input for formula'!$M$3:$O$7,AR143,FALSE)))*BA143+AS143*AT143+AU143*AV143+AW143*AX143),0)*$BC$3)*IF(Inputs!$C$19&gt;100,(1+$BC$2),1)</f>
        <v>#VALUE!</v>
      </c>
      <c r="BC143" s="95" t="str">
        <f t="shared" si="86"/>
        <v/>
      </c>
      <c r="BD143" s="334" t="str">
        <f>IF(F143="","",IF(G143="Dubai",HLOOKUP(F143,Inputs!$C$26:$M$37,9,0),HLOOKUP(F143,Inputs!$C$45:$M$56,9,0)))</f>
        <v/>
      </c>
      <c r="BE143" s="335" t="str">
        <f>IF(F143="","",IF(G143="Dubai",HLOOKUP(F143,Inputs!$C$26:$M$37,10,0),HLOOKUP(F143,Inputs!$C$45:$M$56,10,0)))</f>
        <v/>
      </c>
      <c r="BF143" s="335" t="str">
        <f>IF(F143="","",IF(G143="Dubai",HLOOKUP(F143,Inputs!$C$26:$M$37,11,0),HLOOKUP(F143,Inputs!$C$45:$M$56,11,0)))</f>
        <v/>
      </c>
      <c r="BG143" s="334" t="str">
        <f>IF(F143="","",IF(G143="Dubai",HLOOKUP(F143,Inputs!$C$26:$M$37,12,0),HLOOKUP(F143,Inputs!$C$45:$M$56,12,0)))</f>
        <v/>
      </c>
      <c r="BI143" s="334" t="str">
        <f>IFERROR(IF(AO143="","",IF(AQ143="Dubai",IF(OR(AO143="Plan1",AO143="Plan2"),VLOOKUP(BD143,Deviation!$B$31:$D$33,2,FALSE),VLOOKUP(BD143,Deviation!$B$31:$D$33,3,FALSE)),IF(OR(AO143="Plan1",AO143="Plan2"),VLOOKUP(BD143,Deviation!$E$31:$G$33,2,FALSE),VLOOKUP(BD143,Deviation!$E$31:$G$33,3,FALSE)))),0)</f>
        <v/>
      </c>
      <c r="BJ143" s="336" t="str">
        <f>IFERROR(IF(AO143="","",IF(AQ143="Dubai",IF(AO143="Plan1",VLOOKUP(BE143,Deviation!$B$39:$C$40,2,FALSE),IF(AO143="Plan2",VLOOKUP(BE143,Deviation!$B$42:$C$43,2,FALSE),IF(AO143="Plan5",VLOOKUP(BE143,Deviation!$B$48:$C$49,2,FALSE),VLOOKUP(BE143,Deviation!$B$45:$C$46,2,FALSE)))),IF(AO143="Plan1",VLOOKUP(BE143,Deviation!$E$39:$F$40,2,FALSE),IF(AO143="Plan2",VLOOKUP(BE143,Deviation!$E$42:$F$43,2,FALSE),VLOOKUP(BE143,Deviation!$E$45:$F$46,2,FALSE))))),0)</f>
        <v/>
      </c>
      <c r="BK143" s="336" t="str">
        <f>IFERROR(IF(AO143="","",IF(AQ143="Dubai",IF(OR(AO143="Plan1",AO143="Plan2"),VLOOKUP(BF143,Deviation!$B$15:$D$18,2,FALSE),VLOOKUP(BF143,Deviation!$B$15:$D$18,3,FALSE)),IF(OR(AO143="Plan1",AO143="Plan2"),VLOOKUP(BF143,Deviation!$E$15:$G$18,2,FALSE),VLOOKUP(BF143,Deviation!$E$15:$G$18,3,FALSE)))),0)</f>
        <v/>
      </c>
      <c r="BL143" s="334" t="str">
        <f>IFERROR(IF(AO143="","",IF(AQ143="Dubai",VLOOKUP(BG143,Deviation!$B$24:$C$26,2,FALSE),100%)),0)</f>
        <v/>
      </c>
    </row>
    <row r="144" spans="1:64" ht="14.25" x14ac:dyDescent="0.2">
      <c r="A144" s="59">
        <v>139</v>
      </c>
      <c r="B144" s="298"/>
      <c r="C144" s="299"/>
      <c r="D144" s="298"/>
      <c r="E144" s="298"/>
      <c r="F144" s="298"/>
      <c r="G144" s="298"/>
      <c r="H144" s="298"/>
      <c r="I144" s="298"/>
      <c r="J144" s="80" t="str">
        <f>IFERROR(ROUNDDOWN(IF(C144="","",(MAX((eff_date-Additions!C144)/365.25,0))),0),"")</f>
        <v/>
      </c>
      <c r="K144" s="59" t="str">
        <f>IF(F144="","",IF(G144="Dubai",HLOOKUP(F144,Inputs!$C$26:$M$28,3,0),HLOOKUP(F144,Inputs!$C$45:$M$46,2,0)))</f>
        <v/>
      </c>
      <c r="L144" s="335" t="str">
        <f t="shared" si="65"/>
        <v/>
      </c>
      <c r="M144" s="335">
        <f t="shared" si="66"/>
        <v>0</v>
      </c>
      <c r="N144" s="335" t="str">
        <f t="shared" si="67"/>
        <v/>
      </c>
      <c r="O144" s="335">
        <f t="shared" si="68"/>
        <v>0</v>
      </c>
      <c r="Q144" s="105">
        <f t="shared" si="81"/>
        <v>0</v>
      </c>
      <c r="R144" s="59" t="b">
        <f t="shared" si="69"/>
        <v>0</v>
      </c>
      <c r="S144" s="102" t="str">
        <f t="shared" si="82"/>
        <v>x</v>
      </c>
      <c r="T144" s="102" t="str">
        <f t="shared" si="70"/>
        <v>x</v>
      </c>
      <c r="U144" s="102" t="str">
        <f t="shared" si="71"/>
        <v>x</v>
      </c>
      <c r="V144" s="102" t="str">
        <f t="shared" si="72"/>
        <v>x</v>
      </c>
      <c r="W144" s="102" t="str">
        <f t="shared" si="73"/>
        <v>x</v>
      </c>
      <c r="X144" s="102" t="str">
        <f>IF(ISERROR(MATCH(G144,'Inputs Mapping'!$T$4:$T$5,0)),"x","")</f>
        <v>x</v>
      </c>
      <c r="Y144" s="102" t="str">
        <f>IF(ISERROR(MATCH(AE144,'Inputs Mapping'!$U$4:$U$5,0)),"x","")</f>
        <v>x</v>
      </c>
      <c r="Z144" s="102" t="str">
        <f>IF(ISERROR(MATCH(AF144,'Inputs Mapping'!$V$4:$V$5,0)),"x","")</f>
        <v>x</v>
      </c>
      <c r="AA144" s="102" t="str">
        <f>IF(ISERROR(MATCH(F144,'Inputs Mapping'!$W$4:$W$8,0)),"x","")</f>
        <v>x</v>
      </c>
      <c r="AB144" s="102" t="str">
        <f t="shared" si="74"/>
        <v/>
      </c>
      <c r="AC144" s="102" t="str">
        <f t="shared" si="75"/>
        <v/>
      </c>
      <c r="AD144" s="102" t="str">
        <f t="shared" si="76"/>
        <v/>
      </c>
      <c r="AE144" s="102" t="str">
        <f t="shared" si="83"/>
        <v/>
      </c>
      <c r="AF144" s="102" t="str">
        <f t="shared" si="84"/>
        <v/>
      </c>
      <c r="AG144" s="102" t="str">
        <f t="shared" si="85"/>
        <v>x</v>
      </c>
      <c r="AK144" s="95" t="str">
        <f t="shared" si="77"/>
        <v/>
      </c>
      <c r="AL144" s="59" t="str">
        <f>IF(J144="","",VLOOKUP(J144,'Inputs Mapping'!$T$27:$V$30,3))</f>
        <v/>
      </c>
      <c r="AM144" s="59" t="str">
        <f>IF(J144="","",VLOOKUP(J144,'Inputs Mapping'!$T$17:$V$24,3))</f>
        <v/>
      </c>
      <c r="AN144" s="59" t="str">
        <f t="shared" si="78"/>
        <v/>
      </c>
      <c r="AO144" s="102" t="str">
        <f t="shared" si="79"/>
        <v/>
      </c>
      <c r="AP144" s="102" t="str">
        <f>IF(F144="","",IF(G144="Dubai",HLOOKUP(F144,Inputs!$C$26:$M$36,5,0),HLOOKUP(F144,Inputs!$C$45:$M$49,5,0)))</f>
        <v/>
      </c>
      <c r="AQ144" s="102">
        <f t="shared" si="80"/>
        <v>0</v>
      </c>
      <c r="AR144" s="59" t="str">
        <f>IF(AM144="","",IF(AQ144="Dubai",VLOOKUP(AM144,'Inputs Mapping'!$V$17:$W$24,2,0),VLOOKUP(AL144,'Inputs Mapping'!$V$27:$W$30,2,0)))</f>
        <v/>
      </c>
      <c r="AS144" s="333">
        <f>IFERROR(IF($AQ144="","",HLOOKUP($AQ144&amp;RIGHT($AO144,1),'input for formula'!$B$16:$I$20,3,0)),0)</f>
        <v>0</v>
      </c>
      <c r="AT144" s="80">
        <f>IFERROR(IF($AQ144="","",HLOOKUP($AQ144&amp;$F144,'input for formula'!$B$22:$M$25,2,0)),0)</f>
        <v>0</v>
      </c>
      <c r="AU144" s="333">
        <f>IFERROR(IF($AQ144="","",HLOOKUP($AQ144&amp;RIGHT($AO144,1),'input for formula'!$B$16:$I$20,4,0)),0)</f>
        <v>0</v>
      </c>
      <c r="AV144" s="80">
        <f>IFERROR(IF($AQ144="","",HLOOKUP($AQ144&amp;$F144,'input for formula'!$B$22:$M$25,3,0)),0)</f>
        <v>0</v>
      </c>
      <c r="AW144" s="333">
        <f>IFERROR(IF($AQ144="","",HLOOKUP($AQ144&amp;RIGHT($AO144,1),'input for formula'!$B$16:$I$20,5,0)),0)</f>
        <v>0</v>
      </c>
      <c r="AX144" s="80">
        <f>IFERROR(IF($AQ144="","",HLOOKUP($AQ144&amp;$F144,'input for formula'!$B$22:$M$25,4,0)),0)</f>
        <v>0</v>
      </c>
      <c r="AY144" s="333">
        <f>IFERROR(IF($AQ144="","",IF(Additions!$AQ144="Abu Dhabi",VLOOKUP(Additions!$AP144,'input for formula'!$A$28:$C$41,3,0),VLOOKUP(Additions!$AP144,'input for formula'!$A$28:$C$41,2,0))),0)*IFERROR(1+IF(AQ144="Dubai",VLOOKUP(F144,'Quotation for Dubai Plans'!$V$6:$X$12,3,FALSE),VLOOKUP(F144,'Quotation for Abu Dhabi Plans'!$W$6:$Y$12,3,FALSE)),0)</f>
        <v>0</v>
      </c>
      <c r="AZ144" s="80" t="str">
        <f t="shared" si="55"/>
        <v/>
      </c>
      <c r="BA144" s="106" t="str">
        <f>IFERROR(IF(AO144="","",IF(AQ144="Dubai",HLOOKUP((AO144&amp;AP144),Deviation!$B$7:$S$8,2,0)*BI144*BK144*BL144*BJ144,HLOOKUP((AO144&amp;AP144),Deviation!$B$9:$K$10,2,0)*BI144*BK144*BL144*BJ144)),0)</f>
        <v/>
      </c>
      <c r="BB144" s="107" t="e">
        <f>IF(AO144="","",IFERROR(IF(AO144="","",IF(AQ144="Dubai",HLOOKUP(BC144,'input for formula'!$B$3:$F$10,AR144,FALSE), IF(AND(H144="Employee",AQ144="Abu Dhabi"),HLOOKUP(BC144,'input for formula'!$I$3:$K$7,AR144,FALSE),HLOOKUP(BC144,'input for formula'!$M$3:$O$7,AR144,FALSE)))*BA144+AS144*AT144+AU144*AV144+AW144*AX144),0)*$BC$3)*IF(Inputs!$C$19&gt;100,(1+$BC$2),1)</f>
        <v>#VALUE!</v>
      </c>
      <c r="BC144" s="95" t="str">
        <f t="shared" si="86"/>
        <v/>
      </c>
      <c r="BD144" s="334" t="str">
        <f>IF(F144="","",IF(G144="Dubai",HLOOKUP(F144,Inputs!$C$26:$M$37,9,0),HLOOKUP(F144,Inputs!$C$45:$M$56,9,0)))</f>
        <v/>
      </c>
      <c r="BE144" s="335" t="str">
        <f>IF(F144="","",IF(G144="Dubai",HLOOKUP(F144,Inputs!$C$26:$M$37,10,0),HLOOKUP(F144,Inputs!$C$45:$M$56,10,0)))</f>
        <v/>
      </c>
      <c r="BF144" s="335" t="str">
        <f>IF(F144="","",IF(G144="Dubai",HLOOKUP(F144,Inputs!$C$26:$M$37,11,0),HLOOKUP(F144,Inputs!$C$45:$M$56,11,0)))</f>
        <v/>
      </c>
      <c r="BG144" s="334" t="str">
        <f>IF(F144="","",IF(G144="Dubai",HLOOKUP(F144,Inputs!$C$26:$M$37,12,0),HLOOKUP(F144,Inputs!$C$45:$M$56,12,0)))</f>
        <v/>
      </c>
      <c r="BI144" s="334" t="str">
        <f>IFERROR(IF(AO144="","",IF(AQ144="Dubai",IF(OR(AO144="Plan1",AO144="Plan2"),VLOOKUP(BD144,Deviation!$B$31:$D$33,2,FALSE),VLOOKUP(BD144,Deviation!$B$31:$D$33,3,FALSE)),IF(OR(AO144="Plan1",AO144="Plan2"),VLOOKUP(BD144,Deviation!$E$31:$G$33,2,FALSE),VLOOKUP(BD144,Deviation!$E$31:$G$33,3,FALSE)))),0)</f>
        <v/>
      </c>
      <c r="BJ144" s="336" t="str">
        <f>IFERROR(IF(AO144="","",IF(AQ144="Dubai",IF(AO144="Plan1",VLOOKUP(BE144,Deviation!$B$39:$C$40,2,FALSE),IF(AO144="Plan2",VLOOKUP(BE144,Deviation!$B$42:$C$43,2,FALSE),IF(AO144="Plan5",VLOOKUP(BE144,Deviation!$B$48:$C$49,2,FALSE),VLOOKUP(BE144,Deviation!$B$45:$C$46,2,FALSE)))),IF(AO144="Plan1",VLOOKUP(BE144,Deviation!$E$39:$F$40,2,FALSE),IF(AO144="Plan2",VLOOKUP(BE144,Deviation!$E$42:$F$43,2,FALSE),VLOOKUP(BE144,Deviation!$E$45:$F$46,2,FALSE))))),0)</f>
        <v/>
      </c>
      <c r="BK144" s="336" t="str">
        <f>IFERROR(IF(AO144="","",IF(AQ144="Dubai",IF(OR(AO144="Plan1",AO144="Plan2"),VLOOKUP(BF144,Deviation!$B$15:$D$18,2,FALSE),VLOOKUP(BF144,Deviation!$B$15:$D$18,3,FALSE)),IF(OR(AO144="Plan1",AO144="Plan2"),VLOOKUP(BF144,Deviation!$E$15:$G$18,2,FALSE),VLOOKUP(BF144,Deviation!$E$15:$G$18,3,FALSE)))),0)</f>
        <v/>
      </c>
      <c r="BL144" s="334" t="str">
        <f>IFERROR(IF(AO144="","",IF(AQ144="Dubai",VLOOKUP(BG144,Deviation!$B$24:$C$26,2,FALSE),100%)),0)</f>
        <v/>
      </c>
    </row>
    <row r="145" spans="1:64" ht="14.25" x14ac:dyDescent="0.2">
      <c r="A145" s="59">
        <v>140</v>
      </c>
      <c r="B145" s="298"/>
      <c r="C145" s="299"/>
      <c r="D145" s="298"/>
      <c r="E145" s="298"/>
      <c r="F145" s="298"/>
      <c r="G145" s="298"/>
      <c r="H145" s="298"/>
      <c r="I145" s="298"/>
      <c r="J145" s="80" t="str">
        <f>IFERROR(ROUNDDOWN(IF(C145="","",(MAX((eff_date-Additions!C145)/365.25,0))),0),"")</f>
        <v/>
      </c>
      <c r="K145" s="59" t="str">
        <f>IF(F145="","",IF(G145="Dubai",HLOOKUP(F145,Inputs!$C$26:$M$28,3,0),HLOOKUP(F145,Inputs!$C$45:$M$46,2,0)))</f>
        <v/>
      </c>
      <c r="L145" s="335" t="str">
        <f t="shared" si="65"/>
        <v/>
      </c>
      <c r="M145" s="335">
        <f t="shared" si="66"/>
        <v>0</v>
      </c>
      <c r="N145" s="335" t="str">
        <f t="shared" si="67"/>
        <v/>
      </c>
      <c r="O145" s="335">
        <f t="shared" si="68"/>
        <v>0</v>
      </c>
      <c r="Q145" s="105">
        <f t="shared" si="81"/>
        <v>0</v>
      </c>
      <c r="R145" s="59" t="b">
        <f t="shared" si="69"/>
        <v>0</v>
      </c>
      <c r="S145" s="102" t="str">
        <f t="shared" si="82"/>
        <v>x</v>
      </c>
      <c r="T145" s="102" t="str">
        <f t="shared" si="70"/>
        <v>x</v>
      </c>
      <c r="U145" s="102" t="str">
        <f t="shared" si="71"/>
        <v>x</v>
      </c>
      <c r="V145" s="102" t="str">
        <f t="shared" si="72"/>
        <v>x</v>
      </c>
      <c r="W145" s="102" t="str">
        <f t="shared" si="73"/>
        <v>x</v>
      </c>
      <c r="X145" s="102" t="str">
        <f>IF(ISERROR(MATCH(G145,'Inputs Mapping'!$T$4:$T$5,0)),"x","")</f>
        <v>x</v>
      </c>
      <c r="Y145" s="102" t="str">
        <f>IF(ISERROR(MATCH(AE145,'Inputs Mapping'!$U$4:$U$5,0)),"x","")</f>
        <v>x</v>
      </c>
      <c r="Z145" s="102" t="str">
        <f>IF(ISERROR(MATCH(AF145,'Inputs Mapping'!$V$4:$V$5,0)),"x","")</f>
        <v>x</v>
      </c>
      <c r="AA145" s="102" t="str">
        <f>IF(ISERROR(MATCH(F145,'Inputs Mapping'!$W$4:$W$8,0)),"x","")</f>
        <v>x</v>
      </c>
      <c r="AB145" s="102" t="str">
        <f t="shared" si="74"/>
        <v/>
      </c>
      <c r="AC145" s="102" t="str">
        <f t="shared" si="75"/>
        <v/>
      </c>
      <c r="AD145" s="102" t="str">
        <f t="shared" si="76"/>
        <v/>
      </c>
      <c r="AE145" s="102" t="str">
        <f t="shared" si="83"/>
        <v/>
      </c>
      <c r="AF145" s="102" t="str">
        <f t="shared" si="84"/>
        <v/>
      </c>
      <c r="AG145" s="102" t="str">
        <f t="shared" si="85"/>
        <v>x</v>
      </c>
      <c r="AK145" s="95" t="str">
        <f t="shared" si="77"/>
        <v/>
      </c>
      <c r="AL145" s="59" t="str">
        <f>IF(J145="","",VLOOKUP(J145,'Inputs Mapping'!$T$27:$V$30,3))</f>
        <v/>
      </c>
      <c r="AM145" s="59" t="str">
        <f>IF(J145="","",VLOOKUP(J145,'Inputs Mapping'!$T$17:$V$24,3))</f>
        <v/>
      </c>
      <c r="AN145" s="59" t="str">
        <f t="shared" si="78"/>
        <v/>
      </c>
      <c r="AO145" s="102" t="str">
        <f t="shared" si="79"/>
        <v/>
      </c>
      <c r="AP145" s="102" t="str">
        <f>IF(F145="","",IF(G145="Dubai",HLOOKUP(F145,Inputs!$C$26:$M$36,5,0),HLOOKUP(F145,Inputs!$C$45:$M$49,5,0)))</f>
        <v/>
      </c>
      <c r="AQ145" s="102">
        <f t="shared" si="80"/>
        <v>0</v>
      </c>
      <c r="AR145" s="59" t="str">
        <f>IF(AM145="","",IF(AQ145="Dubai",VLOOKUP(AM145,'Inputs Mapping'!$V$17:$W$24,2,0),VLOOKUP(AL145,'Inputs Mapping'!$V$27:$W$30,2,0)))</f>
        <v/>
      </c>
      <c r="AS145" s="333">
        <f>IFERROR(IF($AQ145="","",HLOOKUP($AQ145&amp;RIGHT($AO145,1),'input for formula'!$B$16:$I$20,3,0)),0)</f>
        <v>0</v>
      </c>
      <c r="AT145" s="80">
        <f>IFERROR(IF($AQ145="","",HLOOKUP($AQ145&amp;$F145,'input for formula'!$B$22:$M$25,2,0)),0)</f>
        <v>0</v>
      </c>
      <c r="AU145" s="333">
        <f>IFERROR(IF($AQ145="","",HLOOKUP($AQ145&amp;RIGHT($AO145,1),'input for formula'!$B$16:$I$20,4,0)),0)</f>
        <v>0</v>
      </c>
      <c r="AV145" s="80">
        <f>IFERROR(IF($AQ145="","",HLOOKUP($AQ145&amp;$F145,'input for formula'!$B$22:$M$25,3,0)),0)</f>
        <v>0</v>
      </c>
      <c r="AW145" s="333">
        <f>IFERROR(IF($AQ145="","",HLOOKUP($AQ145&amp;RIGHT($AO145,1),'input for formula'!$B$16:$I$20,5,0)),0)</f>
        <v>0</v>
      </c>
      <c r="AX145" s="80">
        <f>IFERROR(IF($AQ145="","",HLOOKUP($AQ145&amp;$F145,'input for formula'!$B$22:$M$25,4,0)),0)</f>
        <v>0</v>
      </c>
      <c r="AY145" s="333">
        <f>IFERROR(IF($AQ145="","",IF(Additions!$AQ145="Abu Dhabi",VLOOKUP(Additions!$AP145,'input for formula'!$A$28:$C$41,3,0),VLOOKUP(Additions!$AP145,'input for formula'!$A$28:$C$41,2,0))),0)*IFERROR(1+IF(AQ145="Dubai",VLOOKUP(F145,'Quotation for Dubai Plans'!$V$6:$X$12,3,FALSE),VLOOKUP(F145,'Quotation for Abu Dhabi Plans'!$W$6:$Y$12,3,FALSE)),0)</f>
        <v>0</v>
      </c>
      <c r="AZ145" s="80" t="str">
        <f t="shared" si="55"/>
        <v/>
      </c>
      <c r="BA145" s="106" t="str">
        <f>IFERROR(IF(AO145="","",IF(AQ145="Dubai",HLOOKUP((AO145&amp;AP145),Deviation!$B$7:$S$8,2,0)*BI145*BK145*BL145*BJ145,HLOOKUP((AO145&amp;AP145),Deviation!$B$9:$K$10,2,0)*BI145*BK145*BL145*BJ145)),0)</f>
        <v/>
      </c>
      <c r="BB145" s="107" t="e">
        <f>IF(AO145="","",IFERROR(IF(AO145="","",IF(AQ145="Dubai",HLOOKUP(BC145,'input for formula'!$B$3:$F$10,AR145,FALSE), IF(AND(H145="Employee",AQ145="Abu Dhabi"),HLOOKUP(BC145,'input for formula'!$I$3:$K$7,AR145,FALSE),HLOOKUP(BC145,'input for formula'!$M$3:$O$7,AR145,FALSE)))*BA145+AS145*AT145+AU145*AV145+AW145*AX145),0)*$BC$3)*IF(Inputs!$C$19&gt;100,(1+$BC$2),1)</f>
        <v>#VALUE!</v>
      </c>
      <c r="BC145" s="95" t="str">
        <f t="shared" si="86"/>
        <v/>
      </c>
      <c r="BD145" s="334" t="str">
        <f>IF(F145="","",IF(G145="Dubai",HLOOKUP(F145,Inputs!$C$26:$M$37,9,0),HLOOKUP(F145,Inputs!$C$45:$M$56,9,0)))</f>
        <v/>
      </c>
      <c r="BE145" s="335" t="str">
        <f>IF(F145="","",IF(G145="Dubai",HLOOKUP(F145,Inputs!$C$26:$M$37,10,0),HLOOKUP(F145,Inputs!$C$45:$M$56,10,0)))</f>
        <v/>
      </c>
      <c r="BF145" s="335" t="str">
        <f>IF(F145="","",IF(G145="Dubai",HLOOKUP(F145,Inputs!$C$26:$M$37,11,0),HLOOKUP(F145,Inputs!$C$45:$M$56,11,0)))</f>
        <v/>
      </c>
      <c r="BG145" s="334" t="str">
        <f>IF(F145="","",IF(G145="Dubai",HLOOKUP(F145,Inputs!$C$26:$M$37,12,0),HLOOKUP(F145,Inputs!$C$45:$M$56,12,0)))</f>
        <v/>
      </c>
      <c r="BI145" s="334" t="str">
        <f>IFERROR(IF(AO145="","",IF(AQ145="Dubai",IF(OR(AO145="Plan1",AO145="Plan2"),VLOOKUP(BD145,Deviation!$B$31:$D$33,2,FALSE),VLOOKUP(BD145,Deviation!$B$31:$D$33,3,FALSE)),IF(OR(AO145="Plan1",AO145="Plan2"),VLOOKUP(BD145,Deviation!$E$31:$G$33,2,FALSE),VLOOKUP(BD145,Deviation!$E$31:$G$33,3,FALSE)))),0)</f>
        <v/>
      </c>
      <c r="BJ145" s="336" t="str">
        <f>IFERROR(IF(AO145="","",IF(AQ145="Dubai",IF(AO145="Plan1",VLOOKUP(BE145,Deviation!$B$39:$C$40,2,FALSE),IF(AO145="Plan2",VLOOKUP(BE145,Deviation!$B$42:$C$43,2,FALSE),IF(AO145="Plan5",VLOOKUP(BE145,Deviation!$B$48:$C$49,2,FALSE),VLOOKUP(BE145,Deviation!$B$45:$C$46,2,FALSE)))),IF(AO145="Plan1",VLOOKUP(BE145,Deviation!$E$39:$F$40,2,FALSE),IF(AO145="Plan2",VLOOKUP(BE145,Deviation!$E$42:$F$43,2,FALSE),VLOOKUP(BE145,Deviation!$E$45:$F$46,2,FALSE))))),0)</f>
        <v/>
      </c>
      <c r="BK145" s="336" t="str">
        <f>IFERROR(IF(AO145="","",IF(AQ145="Dubai",IF(OR(AO145="Plan1",AO145="Plan2"),VLOOKUP(BF145,Deviation!$B$15:$D$18,2,FALSE),VLOOKUP(BF145,Deviation!$B$15:$D$18,3,FALSE)),IF(OR(AO145="Plan1",AO145="Plan2"),VLOOKUP(BF145,Deviation!$E$15:$G$18,2,FALSE),VLOOKUP(BF145,Deviation!$E$15:$G$18,3,FALSE)))),0)</f>
        <v/>
      </c>
      <c r="BL145" s="334" t="str">
        <f>IFERROR(IF(AO145="","",IF(AQ145="Dubai",VLOOKUP(BG145,Deviation!$B$24:$C$26,2,FALSE),100%)),0)</f>
        <v/>
      </c>
    </row>
    <row r="146" spans="1:64" ht="14.25" x14ac:dyDescent="0.2">
      <c r="A146" s="59">
        <v>141</v>
      </c>
      <c r="B146" s="298"/>
      <c r="C146" s="299"/>
      <c r="D146" s="298"/>
      <c r="E146" s="298"/>
      <c r="F146" s="298"/>
      <c r="G146" s="298"/>
      <c r="H146" s="298"/>
      <c r="I146" s="298"/>
      <c r="J146" s="80" t="str">
        <f>IFERROR(ROUNDDOWN(IF(C146="","",(MAX((eff_date-Additions!C146)/365.25,0))),0),"")</f>
        <v/>
      </c>
      <c r="K146" s="59" t="str">
        <f>IF(F146="","",IF(G146="Dubai",HLOOKUP(F146,Inputs!$C$26:$M$28,3,0),HLOOKUP(F146,Inputs!$C$45:$M$46,2,0)))</f>
        <v/>
      </c>
      <c r="L146" s="335" t="str">
        <f t="shared" si="65"/>
        <v/>
      </c>
      <c r="M146" s="335">
        <f t="shared" si="66"/>
        <v>0</v>
      </c>
      <c r="N146" s="335" t="str">
        <f t="shared" si="67"/>
        <v/>
      </c>
      <c r="O146" s="335">
        <f t="shared" si="68"/>
        <v>0</v>
      </c>
      <c r="Q146" s="105">
        <f t="shared" si="81"/>
        <v>0</v>
      </c>
      <c r="R146" s="59" t="b">
        <f t="shared" si="69"/>
        <v>0</v>
      </c>
      <c r="S146" s="102" t="str">
        <f t="shared" si="82"/>
        <v>x</v>
      </c>
      <c r="T146" s="102" t="str">
        <f t="shared" si="70"/>
        <v>x</v>
      </c>
      <c r="U146" s="102" t="str">
        <f t="shared" si="71"/>
        <v>x</v>
      </c>
      <c r="V146" s="102" t="str">
        <f t="shared" si="72"/>
        <v>x</v>
      </c>
      <c r="W146" s="102" t="str">
        <f t="shared" si="73"/>
        <v>x</v>
      </c>
      <c r="X146" s="102" t="str">
        <f>IF(ISERROR(MATCH(G146,'Inputs Mapping'!$T$4:$T$5,0)),"x","")</f>
        <v>x</v>
      </c>
      <c r="Y146" s="102" t="str">
        <f>IF(ISERROR(MATCH(AE146,'Inputs Mapping'!$U$4:$U$5,0)),"x","")</f>
        <v>x</v>
      </c>
      <c r="Z146" s="102" t="str">
        <f>IF(ISERROR(MATCH(AF146,'Inputs Mapping'!$V$4:$V$5,0)),"x","")</f>
        <v>x</v>
      </c>
      <c r="AA146" s="102" t="str">
        <f>IF(ISERROR(MATCH(F146,'Inputs Mapping'!$W$4:$W$8,0)),"x","")</f>
        <v>x</v>
      </c>
      <c r="AB146" s="102" t="str">
        <f t="shared" si="74"/>
        <v/>
      </c>
      <c r="AC146" s="102" t="str">
        <f t="shared" si="75"/>
        <v/>
      </c>
      <c r="AD146" s="102" t="str">
        <f t="shared" si="76"/>
        <v/>
      </c>
      <c r="AE146" s="102" t="str">
        <f t="shared" si="83"/>
        <v/>
      </c>
      <c r="AF146" s="102" t="str">
        <f t="shared" si="84"/>
        <v/>
      </c>
      <c r="AG146" s="102" t="str">
        <f t="shared" si="85"/>
        <v>x</v>
      </c>
      <c r="AK146" s="95" t="str">
        <f t="shared" si="77"/>
        <v/>
      </c>
      <c r="AL146" s="59" t="str">
        <f>IF(J146="","",VLOOKUP(J146,'Inputs Mapping'!$T$27:$V$30,3))</f>
        <v/>
      </c>
      <c r="AM146" s="59" t="str">
        <f>IF(J146="","",VLOOKUP(J146,'Inputs Mapping'!$T$17:$V$24,3))</f>
        <v/>
      </c>
      <c r="AN146" s="59" t="str">
        <f t="shared" si="78"/>
        <v/>
      </c>
      <c r="AO146" s="102" t="str">
        <f t="shared" si="79"/>
        <v/>
      </c>
      <c r="AP146" s="102" t="str">
        <f>IF(F146="","",IF(G146="Dubai",HLOOKUP(F146,Inputs!$C$26:$M$36,5,0),HLOOKUP(F146,Inputs!$C$45:$M$49,5,0)))</f>
        <v/>
      </c>
      <c r="AQ146" s="102">
        <f t="shared" si="80"/>
        <v>0</v>
      </c>
      <c r="AR146" s="59" t="str">
        <f>IF(AM146="","",IF(AQ146="Dubai",VLOOKUP(AM146,'Inputs Mapping'!$V$17:$W$24,2,0),VLOOKUP(AL146,'Inputs Mapping'!$V$27:$W$30,2,0)))</f>
        <v/>
      </c>
      <c r="AS146" s="333">
        <f>IFERROR(IF($AQ146="","",HLOOKUP($AQ146&amp;RIGHT($AO146,1),'input for formula'!$B$16:$I$20,3,0)),0)</f>
        <v>0</v>
      </c>
      <c r="AT146" s="80">
        <f>IFERROR(IF($AQ146="","",HLOOKUP($AQ146&amp;$F146,'input for formula'!$B$22:$M$25,2,0)),0)</f>
        <v>0</v>
      </c>
      <c r="AU146" s="333">
        <f>IFERROR(IF($AQ146="","",HLOOKUP($AQ146&amp;RIGHT($AO146,1),'input for formula'!$B$16:$I$20,4,0)),0)</f>
        <v>0</v>
      </c>
      <c r="AV146" s="80">
        <f>IFERROR(IF($AQ146="","",HLOOKUP($AQ146&amp;$F146,'input for formula'!$B$22:$M$25,3,0)),0)</f>
        <v>0</v>
      </c>
      <c r="AW146" s="333">
        <f>IFERROR(IF($AQ146="","",HLOOKUP($AQ146&amp;RIGHT($AO146,1),'input for formula'!$B$16:$I$20,5,0)),0)</f>
        <v>0</v>
      </c>
      <c r="AX146" s="80">
        <f>IFERROR(IF($AQ146="","",HLOOKUP($AQ146&amp;$F146,'input for formula'!$B$22:$M$25,4,0)),0)</f>
        <v>0</v>
      </c>
      <c r="AY146" s="333">
        <f>IFERROR(IF($AQ146="","",IF(Additions!$AQ146="Abu Dhabi",VLOOKUP(Additions!$AP146,'input for formula'!$A$28:$C$41,3,0),VLOOKUP(Additions!$AP146,'input for formula'!$A$28:$C$41,2,0))),0)*IFERROR(1+IF(AQ146="Dubai",VLOOKUP(F146,'Quotation for Dubai Plans'!$V$6:$X$12,3,FALSE),VLOOKUP(F146,'Quotation for Abu Dhabi Plans'!$W$6:$Y$12,3,FALSE)),0)</f>
        <v>0</v>
      </c>
      <c r="AZ146" s="80" t="str">
        <f t="shared" si="55"/>
        <v/>
      </c>
      <c r="BA146" s="106" t="str">
        <f>IFERROR(IF(AO146="","",IF(AQ146="Dubai",HLOOKUP((AO146&amp;AP146),Deviation!$B$7:$S$8,2,0)*BI146*BK146*BL146*BJ146,HLOOKUP((AO146&amp;AP146),Deviation!$B$9:$K$10,2,0)*BI146*BK146*BL146*BJ146)),0)</f>
        <v/>
      </c>
      <c r="BB146" s="107" t="e">
        <f>IF(AO146="","",IFERROR(IF(AO146="","",IF(AQ146="Dubai",HLOOKUP(BC146,'input for formula'!$B$3:$F$10,AR146,FALSE), IF(AND(H146="Employee",AQ146="Abu Dhabi"),HLOOKUP(BC146,'input for formula'!$I$3:$K$7,AR146,FALSE),HLOOKUP(BC146,'input for formula'!$M$3:$O$7,AR146,FALSE)))*BA146+AS146*AT146+AU146*AV146+AW146*AX146),0)*$BC$3)*IF(Inputs!$C$19&gt;100,(1+$BC$2),1)</f>
        <v>#VALUE!</v>
      </c>
      <c r="BC146" s="95" t="str">
        <f t="shared" si="86"/>
        <v/>
      </c>
      <c r="BD146" s="334" t="str">
        <f>IF(F146="","",IF(G146="Dubai",HLOOKUP(F146,Inputs!$C$26:$M$37,9,0),HLOOKUP(F146,Inputs!$C$45:$M$56,9,0)))</f>
        <v/>
      </c>
      <c r="BE146" s="335" t="str">
        <f>IF(F146="","",IF(G146="Dubai",HLOOKUP(F146,Inputs!$C$26:$M$37,10,0),HLOOKUP(F146,Inputs!$C$45:$M$56,10,0)))</f>
        <v/>
      </c>
      <c r="BF146" s="335" t="str">
        <f>IF(F146="","",IF(G146="Dubai",HLOOKUP(F146,Inputs!$C$26:$M$37,11,0),HLOOKUP(F146,Inputs!$C$45:$M$56,11,0)))</f>
        <v/>
      </c>
      <c r="BG146" s="334" t="str">
        <f>IF(F146="","",IF(G146="Dubai",HLOOKUP(F146,Inputs!$C$26:$M$37,12,0),HLOOKUP(F146,Inputs!$C$45:$M$56,12,0)))</f>
        <v/>
      </c>
      <c r="BI146" s="334" t="str">
        <f>IFERROR(IF(AO146="","",IF(AQ146="Dubai",IF(OR(AO146="Plan1",AO146="Plan2"),VLOOKUP(BD146,Deviation!$B$31:$D$33,2,FALSE),VLOOKUP(BD146,Deviation!$B$31:$D$33,3,FALSE)),IF(OR(AO146="Plan1",AO146="Plan2"),VLOOKUP(BD146,Deviation!$E$31:$G$33,2,FALSE),VLOOKUP(BD146,Deviation!$E$31:$G$33,3,FALSE)))),0)</f>
        <v/>
      </c>
      <c r="BJ146" s="336" t="str">
        <f>IFERROR(IF(AO146="","",IF(AQ146="Dubai",IF(AO146="Plan1",VLOOKUP(BE146,Deviation!$B$39:$C$40,2,FALSE),IF(AO146="Plan2",VLOOKUP(BE146,Deviation!$B$42:$C$43,2,FALSE),IF(AO146="Plan5",VLOOKUP(BE146,Deviation!$B$48:$C$49,2,FALSE),VLOOKUP(BE146,Deviation!$B$45:$C$46,2,FALSE)))),IF(AO146="Plan1",VLOOKUP(BE146,Deviation!$E$39:$F$40,2,FALSE),IF(AO146="Plan2",VLOOKUP(BE146,Deviation!$E$42:$F$43,2,FALSE),VLOOKUP(BE146,Deviation!$E$45:$F$46,2,FALSE))))),0)</f>
        <v/>
      </c>
      <c r="BK146" s="336" t="str">
        <f>IFERROR(IF(AO146="","",IF(AQ146="Dubai",IF(OR(AO146="Plan1",AO146="Plan2"),VLOOKUP(BF146,Deviation!$B$15:$D$18,2,FALSE),VLOOKUP(BF146,Deviation!$B$15:$D$18,3,FALSE)),IF(OR(AO146="Plan1",AO146="Plan2"),VLOOKUP(BF146,Deviation!$E$15:$G$18,2,FALSE),VLOOKUP(BF146,Deviation!$E$15:$G$18,3,FALSE)))),0)</f>
        <v/>
      </c>
      <c r="BL146" s="334" t="str">
        <f>IFERROR(IF(AO146="","",IF(AQ146="Dubai",VLOOKUP(BG146,Deviation!$B$24:$C$26,2,FALSE),100%)),0)</f>
        <v/>
      </c>
    </row>
    <row r="147" spans="1:64" ht="14.25" x14ac:dyDescent="0.2">
      <c r="A147" s="59">
        <v>142</v>
      </c>
      <c r="B147" s="298"/>
      <c r="C147" s="299"/>
      <c r="D147" s="298"/>
      <c r="E147" s="298"/>
      <c r="F147" s="298"/>
      <c r="G147" s="298"/>
      <c r="H147" s="298"/>
      <c r="I147" s="298"/>
      <c r="J147" s="80" t="str">
        <f>IFERROR(ROUNDDOWN(IF(C147="","",(MAX((eff_date-Additions!C147)/365.25,0))),0),"")</f>
        <v/>
      </c>
      <c r="K147" s="59" t="str">
        <f>IF(F147="","",IF(G147="Dubai",HLOOKUP(F147,Inputs!$C$26:$M$28,3,0),HLOOKUP(F147,Inputs!$C$45:$M$46,2,0)))</f>
        <v/>
      </c>
      <c r="L147" s="335" t="str">
        <f t="shared" si="65"/>
        <v/>
      </c>
      <c r="M147" s="335">
        <f t="shared" si="66"/>
        <v>0</v>
      </c>
      <c r="N147" s="335" t="str">
        <f t="shared" si="67"/>
        <v/>
      </c>
      <c r="O147" s="335">
        <f t="shared" si="68"/>
        <v>0</v>
      </c>
      <c r="Q147" s="105">
        <f t="shared" si="81"/>
        <v>0</v>
      </c>
      <c r="R147" s="59" t="b">
        <f t="shared" si="69"/>
        <v>0</v>
      </c>
      <c r="S147" s="102" t="str">
        <f t="shared" si="82"/>
        <v>x</v>
      </c>
      <c r="T147" s="102" t="str">
        <f t="shared" si="70"/>
        <v>x</v>
      </c>
      <c r="U147" s="102" t="str">
        <f t="shared" si="71"/>
        <v>x</v>
      </c>
      <c r="V147" s="102" t="str">
        <f t="shared" si="72"/>
        <v>x</v>
      </c>
      <c r="W147" s="102" t="str">
        <f t="shared" si="73"/>
        <v>x</v>
      </c>
      <c r="X147" s="102" t="str">
        <f>IF(ISERROR(MATCH(G147,'Inputs Mapping'!$T$4:$T$5,0)),"x","")</f>
        <v>x</v>
      </c>
      <c r="Y147" s="102" t="str">
        <f>IF(ISERROR(MATCH(AE147,'Inputs Mapping'!$U$4:$U$5,0)),"x","")</f>
        <v>x</v>
      </c>
      <c r="Z147" s="102" t="str">
        <f>IF(ISERROR(MATCH(AF147,'Inputs Mapping'!$V$4:$V$5,0)),"x","")</f>
        <v>x</v>
      </c>
      <c r="AA147" s="102" t="str">
        <f>IF(ISERROR(MATCH(F147,'Inputs Mapping'!$W$4:$W$8,0)),"x","")</f>
        <v>x</v>
      </c>
      <c r="AB147" s="102" t="str">
        <f t="shared" si="74"/>
        <v/>
      </c>
      <c r="AC147" s="102" t="str">
        <f t="shared" si="75"/>
        <v/>
      </c>
      <c r="AD147" s="102" t="str">
        <f t="shared" si="76"/>
        <v/>
      </c>
      <c r="AE147" s="102" t="str">
        <f t="shared" si="83"/>
        <v/>
      </c>
      <c r="AF147" s="102" t="str">
        <f t="shared" si="84"/>
        <v/>
      </c>
      <c r="AG147" s="102" t="str">
        <f t="shared" si="85"/>
        <v>x</v>
      </c>
      <c r="AK147" s="95" t="str">
        <f t="shared" si="77"/>
        <v/>
      </c>
      <c r="AL147" s="59" t="str">
        <f>IF(J147="","",VLOOKUP(J147,'Inputs Mapping'!$T$27:$V$30,3))</f>
        <v/>
      </c>
      <c r="AM147" s="59" t="str">
        <f>IF(J147="","",VLOOKUP(J147,'Inputs Mapping'!$T$17:$V$24,3))</f>
        <v/>
      </c>
      <c r="AN147" s="59" t="str">
        <f t="shared" si="78"/>
        <v/>
      </c>
      <c r="AO147" s="102" t="str">
        <f t="shared" si="79"/>
        <v/>
      </c>
      <c r="AP147" s="102" t="str">
        <f>IF(F147="","",IF(G147="Dubai",HLOOKUP(F147,Inputs!$C$26:$M$36,5,0),HLOOKUP(F147,Inputs!$C$45:$M$49,5,0)))</f>
        <v/>
      </c>
      <c r="AQ147" s="102">
        <f t="shared" si="80"/>
        <v>0</v>
      </c>
      <c r="AR147" s="59" t="str">
        <f>IF(AM147="","",IF(AQ147="Dubai",VLOOKUP(AM147,'Inputs Mapping'!$V$17:$W$24,2,0),VLOOKUP(AL147,'Inputs Mapping'!$V$27:$W$30,2,0)))</f>
        <v/>
      </c>
      <c r="AS147" s="333">
        <f>IFERROR(IF($AQ147="","",HLOOKUP($AQ147&amp;RIGHT($AO147,1),'input for formula'!$B$16:$I$20,3,0)),0)</f>
        <v>0</v>
      </c>
      <c r="AT147" s="80">
        <f>IFERROR(IF($AQ147="","",HLOOKUP($AQ147&amp;$F147,'input for formula'!$B$22:$M$25,2,0)),0)</f>
        <v>0</v>
      </c>
      <c r="AU147" s="333">
        <f>IFERROR(IF($AQ147="","",HLOOKUP($AQ147&amp;RIGHT($AO147,1),'input for formula'!$B$16:$I$20,4,0)),0)</f>
        <v>0</v>
      </c>
      <c r="AV147" s="80">
        <f>IFERROR(IF($AQ147="","",HLOOKUP($AQ147&amp;$F147,'input for formula'!$B$22:$M$25,3,0)),0)</f>
        <v>0</v>
      </c>
      <c r="AW147" s="333">
        <f>IFERROR(IF($AQ147="","",HLOOKUP($AQ147&amp;RIGHT($AO147,1),'input for formula'!$B$16:$I$20,5,0)),0)</f>
        <v>0</v>
      </c>
      <c r="AX147" s="80">
        <f>IFERROR(IF($AQ147="","",HLOOKUP($AQ147&amp;$F147,'input for formula'!$B$22:$M$25,4,0)),0)</f>
        <v>0</v>
      </c>
      <c r="AY147" s="333">
        <f>IFERROR(IF($AQ147="","",IF(Additions!$AQ147="Abu Dhabi",VLOOKUP(Additions!$AP147,'input for formula'!$A$28:$C$41,3,0),VLOOKUP(Additions!$AP147,'input for formula'!$A$28:$C$41,2,0))),0)*IFERROR(1+IF(AQ147="Dubai",VLOOKUP(F147,'Quotation for Dubai Plans'!$V$6:$X$12,3,FALSE),VLOOKUP(F147,'Quotation for Abu Dhabi Plans'!$W$6:$Y$12,3,FALSE)),0)</f>
        <v>0</v>
      </c>
      <c r="AZ147" s="80" t="str">
        <f t="shared" si="55"/>
        <v/>
      </c>
      <c r="BA147" s="106" t="str">
        <f>IFERROR(IF(AO147="","",IF(AQ147="Dubai",HLOOKUP((AO147&amp;AP147),Deviation!$B$7:$S$8,2,0)*BI147*BK147*BL147*BJ147,HLOOKUP((AO147&amp;AP147),Deviation!$B$9:$K$10,2,0)*BI147*BK147*BL147*BJ147)),0)</f>
        <v/>
      </c>
      <c r="BB147" s="107" t="e">
        <f>IF(AO147="","",IFERROR(IF(AO147="","",IF(AQ147="Dubai",HLOOKUP(BC147,'input for formula'!$B$3:$F$10,AR147,FALSE), IF(AND(H147="Employee",AQ147="Abu Dhabi"),HLOOKUP(BC147,'input for formula'!$I$3:$K$7,AR147,FALSE),HLOOKUP(BC147,'input for formula'!$M$3:$O$7,AR147,FALSE)))*BA147+AS147*AT147+AU147*AV147+AW147*AX147),0)*$BC$3)*IF(Inputs!$C$19&gt;100,(1+$BC$2),1)</f>
        <v>#VALUE!</v>
      </c>
      <c r="BC147" s="95" t="str">
        <f t="shared" si="86"/>
        <v/>
      </c>
      <c r="BD147" s="334" t="str">
        <f>IF(F147="","",IF(G147="Dubai",HLOOKUP(F147,Inputs!$C$26:$M$37,9,0),HLOOKUP(F147,Inputs!$C$45:$M$56,9,0)))</f>
        <v/>
      </c>
      <c r="BE147" s="335" t="str">
        <f>IF(F147="","",IF(G147="Dubai",HLOOKUP(F147,Inputs!$C$26:$M$37,10,0),HLOOKUP(F147,Inputs!$C$45:$M$56,10,0)))</f>
        <v/>
      </c>
      <c r="BF147" s="335" t="str">
        <f>IF(F147="","",IF(G147="Dubai",HLOOKUP(F147,Inputs!$C$26:$M$37,11,0),HLOOKUP(F147,Inputs!$C$45:$M$56,11,0)))</f>
        <v/>
      </c>
      <c r="BG147" s="334" t="str">
        <f>IF(F147="","",IF(G147="Dubai",HLOOKUP(F147,Inputs!$C$26:$M$37,12,0),HLOOKUP(F147,Inputs!$C$45:$M$56,12,0)))</f>
        <v/>
      </c>
      <c r="BI147" s="334" t="str">
        <f>IFERROR(IF(AO147="","",IF(AQ147="Dubai",IF(OR(AO147="Plan1",AO147="Plan2"),VLOOKUP(BD147,Deviation!$B$31:$D$33,2,FALSE),VLOOKUP(BD147,Deviation!$B$31:$D$33,3,FALSE)),IF(OR(AO147="Plan1",AO147="Plan2"),VLOOKUP(BD147,Deviation!$E$31:$G$33,2,FALSE),VLOOKUP(BD147,Deviation!$E$31:$G$33,3,FALSE)))),0)</f>
        <v/>
      </c>
      <c r="BJ147" s="336" t="str">
        <f>IFERROR(IF(AO147="","",IF(AQ147="Dubai",IF(AO147="Plan1",VLOOKUP(BE147,Deviation!$B$39:$C$40,2,FALSE),IF(AO147="Plan2",VLOOKUP(BE147,Deviation!$B$42:$C$43,2,FALSE),IF(AO147="Plan5",VLOOKUP(BE147,Deviation!$B$48:$C$49,2,FALSE),VLOOKUP(BE147,Deviation!$B$45:$C$46,2,FALSE)))),IF(AO147="Plan1",VLOOKUP(BE147,Deviation!$E$39:$F$40,2,FALSE),IF(AO147="Plan2",VLOOKUP(BE147,Deviation!$E$42:$F$43,2,FALSE),VLOOKUP(BE147,Deviation!$E$45:$F$46,2,FALSE))))),0)</f>
        <v/>
      </c>
      <c r="BK147" s="336" t="str">
        <f>IFERROR(IF(AO147="","",IF(AQ147="Dubai",IF(OR(AO147="Plan1",AO147="Plan2"),VLOOKUP(BF147,Deviation!$B$15:$D$18,2,FALSE),VLOOKUP(BF147,Deviation!$B$15:$D$18,3,FALSE)),IF(OR(AO147="Plan1",AO147="Plan2"),VLOOKUP(BF147,Deviation!$E$15:$G$18,2,FALSE),VLOOKUP(BF147,Deviation!$E$15:$G$18,3,FALSE)))),0)</f>
        <v/>
      </c>
      <c r="BL147" s="334" t="str">
        <f>IFERROR(IF(AO147="","",IF(AQ147="Dubai",VLOOKUP(BG147,Deviation!$B$24:$C$26,2,FALSE),100%)),0)</f>
        <v/>
      </c>
    </row>
    <row r="148" spans="1:64" ht="14.25" x14ac:dyDescent="0.2">
      <c r="A148" s="59">
        <v>143</v>
      </c>
      <c r="B148" s="298"/>
      <c r="C148" s="299"/>
      <c r="D148" s="298"/>
      <c r="E148" s="298"/>
      <c r="F148" s="298"/>
      <c r="G148" s="298"/>
      <c r="H148" s="298"/>
      <c r="I148" s="298"/>
      <c r="J148" s="80" t="str">
        <f>IFERROR(ROUNDDOWN(IF(C148="","",(MAX((eff_date-Additions!C148)/365.25,0))),0),"")</f>
        <v/>
      </c>
      <c r="K148" s="59" t="str">
        <f>IF(F148="","",IF(G148="Dubai",HLOOKUP(F148,Inputs!$C$26:$M$28,3,0),HLOOKUP(F148,Inputs!$C$45:$M$46,2,0)))</f>
        <v/>
      </c>
      <c r="L148" s="335" t="str">
        <f t="shared" si="65"/>
        <v/>
      </c>
      <c r="M148" s="335">
        <f t="shared" si="66"/>
        <v>0</v>
      </c>
      <c r="N148" s="335" t="str">
        <f t="shared" si="67"/>
        <v/>
      </c>
      <c r="O148" s="335">
        <f t="shared" si="68"/>
        <v>0</v>
      </c>
      <c r="Q148" s="105">
        <f t="shared" si="81"/>
        <v>0</v>
      </c>
      <c r="R148" s="59" t="b">
        <f t="shared" si="69"/>
        <v>0</v>
      </c>
      <c r="S148" s="102" t="str">
        <f t="shared" si="82"/>
        <v>x</v>
      </c>
      <c r="T148" s="102" t="str">
        <f t="shared" si="70"/>
        <v>x</v>
      </c>
      <c r="U148" s="102" t="str">
        <f t="shared" si="71"/>
        <v>x</v>
      </c>
      <c r="V148" s="102" t="str">
        <f t="shared" si="72"/>
        <v>x</v>
      </c>
      <c r="W148" s="102" t="str">
        <f t="shared" si="73"/>
        <v>x</v>
      </c>
      <c r="X148" s="102" t="str">
        <f>IF(ISERROR(MATCH(G148,'Inputs Mapping'!$T$4:$T$5,0)),"x","")</f>
        <v>x</v>
      </c>
      <c r="Y148" s="102" t="str">
        <f>IF(ISERROR(MATCH(AE148,'Inputs Mapping'!$U$4:$U$5,0)),"x","")</f>
        <v>x</v>
      </c>
      <c r="Z148" s="102" t="str">
        <f>IF(ISERROR(MATCH(AF148,'Inputs Mapping'!$V$4:$V$5,0)),"x","")</f>
        <v>x</v>
      </c>
      <c r="AA148" s="102" t="str">
        <f>IF(ISERROR(MATCH(F148,'Inputs Mapping'!$W$4:$W$8,0)),"x","")</f>
        <v>x</v>
      </c>
      <c r="AB148" s="102" t="str">
        <f t="shared" si="74"/>
        <v/>
      </c>
      <c r="AC148" s="102" t="str">
        <f t="shared" si="75"/>
        <v/>
      </c>
      <c r="AD148" s="102" t="str">
        <f t="shared" si="76"/>
        <v/>
      </c>
      <c r="AE148" s="102" t="str">
        <f t="shared" si="83"/>
        <v/>
      </c>
      <c r="AF148" s="102" t="str">
        <f t="shared" si="84"/>
        <v/>
      </c>
      <c r="AG148" s="102" t="str">
        <f t="shared" si="85"/>
        <v>x</v>
      </c>
      <c r="AK148" s="95" t="str">
        <f t="shared" si="77"/>
        <v/>
      </c>
      <c r="AL148" s="59" t="str">
        <f>IF(J148="","",VLOOKUP(J148,'Inputs Mapping'!$T$27:$V$30,3))</f>
        <v/>
      </c>
      <c r="AM148" s="59" t="str">
        <f>IF(J148="","",VLOOKUP(J148,'Inputs Mapping'!$T$17:$V$24,3))</f>
        <v/>
      </c>
      <c r="AN148" s="59" t="str">
        <f t="shared" si="78"/>
        <v/>
      </c>
      <c r="AO148" s="102" t="str">
        <f t="shared" si="79"/>
        <v/>
      </c>
      <c r="AP148" s="102" t="str">
        <f>IF(F148="","",IF(G148="Dubai",HLOOKUP(F148,Inputs!$C$26:$M$36,5,0),HLOOKUP(F148,Inputs!$C$45:$M$49,5,0)))</f>
        <v/>
      </c>
      <c r="AQ148" s="102">
        <f t="shared" si="80"/>
        <v>0</v>
      </c>
      <c r="AR148" s="59" t="str">
        <f>IF(AM148="","",IF(AQ148="Dubai",VLOOKUP(AM148,'Inputs Mapping'!$V$17:$W$24,2,0),VLOOKUP(AL148,'Inputs Mapping'!$V$27:$W$30,2,0)))</f>
        <v/>
      </c>
      <c r="AS148" s="333">
        <f>IFERROR(IF($AQ148="","",HLOOKUP($AQ148&amp;RIGHT($AO148,1),'input for formula'!$B$16:$I$20,3,0)),0)</f>
        <v>0</v>
      </c>
      <c r="AT148" s="80">
        <f>IFERROR(IF($AQ148="","",HLOOKUP($AQ148&amp;$F148,'input for formula'!$B$22:$M$25,2,0)),0)</f>
        <v>0</v>
      </c>
      <c r="AU148" s="333">
        <f>IFERROR(IF($AQ148="","",HLOOKUP($AQ148&amp;RIGHT($AO148,1),'input for formula'!$B$16:$I$20,4,0)),0)</f>
        <v>0</v>
      </c>
      <c r="AV148" s="80">
        <f>IFERROR(IF($AQ148="","",HLOOKUP($AQ148&amp;$F148,'input for formula'!$B$22:$M$25,3,0)),0)</f>
        <v>0</v>
      </c>
      <c r="AW148" s="333">
        <f>IFERROR(IF($AQ148="","",HLOOKUP($AQ148&amp;RIGHT($AO148,1),'input for formula'!$B$16:$I$20,5,0)),0)</f>
        <v>0</v>
      </c>
      <c r="AX148" s="80">
        <f>IFERROR(IF($AQ148="","",HLOOKUP($AQ148&amp;$F148,'input for formula'!$B$22:$M$25,4,0)),0)</f>
        <v>0</v>
      </c>
      <c r="AY148" s="333">
        <f>IFERROR(IF($AQ148="","",IF(Additions!$AQ148="Abu Dhabi",VLOOKUP(Additions!$AP148,'input for formula'!$A$28:$C$41,3,0),VLOOKUP(Additions!$AP148,'input for formula'!$A$28:$C$41,2,0))),0)*IFERROR(1+IF(AQ148="Dubai",VLOOKUP(F148,'Quotation for Dubai Plans'!$V$6:$X$12,3,FALSE),VLOOKUP(F148,'Quotation for Abu Dhabi Plans'!$W$6:$Y$12,3,FALSE)),0)</f>
        <v>0</v>
      </c>
      <c r="AZ148" s="80" t="str">
        <f t="shared" si="55"/>
        <v/>
      </c>
      <c r="BA148" s="106" t="str">
        <f>IFERROR(IF(AO148="","",IF(AQ148="Dubai",HLOOKUP((AO148&amp;AP148),Deviation!$B$7:$S$8,2,0)*BI148*BK148*BL148*BJ148,HLOOKUP((AO148&amp;AP148),Deviation!$B$9:$K$10,2,0)*BI148*BK148*BL148*BJ148)),0)</f>
        <v/>
      </c>
      <c r="BB148" s="107" t="e">
        <f>IF(AO148="","",IFERROR(IF(AO148="","",IF(AQ148="Dubai",HLOOKUP(BC148,'input for formula'!$B$3:$F$10,AR148,FALSE), IF(AND(H148="Employee",AQ148="Abu Dhabi"),HLOOKUP(BC148,'input for formula'!$I$3:$K$7,AR148,FALSE),HLOOKUP(BC148,'input for formula'!$M$3:$O$7,AR148,FALSE)))*BA148+AS148*AT148+AU148*AV148+AW148*AX148),0)*$BC$3)*IF(Inputs!$C$19&gt;100,(1+$BC$2),1)</f>
        <v>#VALUE!</v>
      </c>
      <c r="BC148" s="95" t="str">
        <f t="shared" si="86"/>
        <v/>
      </c>
      <c r="BD148" s="334" t="str">
        <f>IF(F148="","",IF(G148="Dubai",HLOOKUP(F148,Inputs!$C$26:$M$37,9,0),HLOOKUP(F148,Inputs!$C$45:$M$56,9,0)))</f>
        <v/>
      </c>
      <c r="BE148" s="335" t="str">
        <f>IF(F148="","",IF(G148="Dubai",HLOOKUP(F148,Inputs!$C$26:$M$37,10,0),HLOOKUP(F148,Inputs!$C$45:$M$56,10,0)))</f>
        <v/>
      </c>
      <c r="BF148" s="335" t="str">
        <f>IF(F148="","",IF(G148="Dubai",HLOOKUP(F148,Inputs!$C$26:$M$37,11,0),HLOOKUP(F148,Inputs!$C$45:$M$56,11,0)))</f>
        <v/>
      </c>
      <c r="BG148" s="334" t="str">
        <f>IF(F148="","",IF(G148="Dubai",HLOOKUP(F148,Inputs!$C$26:$M$37,12,0),HLOOKUP(F148,Inputs!$C$45:$M$56,12,0)))</f>
        <v/>
      </c>
      <c r="BI148" s="334" t="str">
        <f>IFERROR(IF(AO148="","",IF(AQ148="Dubai",IF(OR(AO148="Plan1",AO148="Plan2"),VLOOKUP(BD148,Deviation!$B$31:$D$33,2,FALSE),VLOOKUP(BD148,Deviation!$B$31:$D$33,3,FALSE)),IF(OR(AO148="Plan1",AO148="Plan2"),VLOOKUP(BD148,Deviation!$E$31:$G$33,2,FALSE),VLOOKUP(BD148,Deviation!$E$31:$G$33,3,FALSE)))),0)</f>
        <v/>
      </c>
      <c r="BJ148" s="336" t="str">
        <f>IFERROR(IF(AO148="","",IF(AQ148="Dubai",IF(AO148="Plan1",VLOOKUP(BE148,Deviation!$B$39:$C$40,2,FALSE),IF(AO148="Plan2",VLOOKUP(BE148,Deviation!$B$42:$C$43,2,FALSE),IF(AO148="Plan5",VLOOKUP(BE148,Deviation!$B$48:$C$49,2,FALSE),VLOOKUP(BE148,Deviation!$B$45:$C$46,2,FALSE)))),IF(AO148="Plan1",VLOOKUP(BE148,Deviation!$E$39:$F$40,2,FALSE),IF(AO148="Plan2",VLOOKUP(BE148,Deviation!$E$42:$F$43,2,FALSE),VLOOKUP(BE148,Deviation!$E$45:$F$46,2,FALSE))))),0)</f>
        <v/>
      </c>
      <c r="BK148" s="336" t="str">
        <f>IFERROR(IF(AO148="","",IF(AQ148="Dubai",IF(OR(AO148="Plan1",AO148="Plan2"),VLOOKUP(BF148,Deviation!$B$15:$D$18,2,FALSE),VLOOKUP(BF148,Deviation!$B$15:$D$18,3,FALSE)),IF(OR(AO148="Plan1",AO148="Plan2"),VLOOKUP(BF148,Deviation!$E$15:$G$18,2,FALSE),VLOOKUP(BF148,Deviation!$E$15:$G$18,3,FALSE)))),0)</f>
        <v/>
      </c>
      <c r="BL148" s="334" t="str">
        <f>IFERROR(IF(AO148="","",IF(AQ148="Dubai",VLOOKUP(BG148,Deviation!$B$24:$C$26,2,FALSE),100%)),0)</f>
        <v/>
      </c>
    </row>
    <row r="149" spans="1:64" ht="14.25" x14ac:dyDescent="0.2">
      <c r="A149" s="59">
        <v>144</v>
      </c>
      <c r="B149" s="298"/>
      <c r="C149" s="299"/>
      <c r="D149" s="298"/>
      <c r="E149" s="298"/>
      <c r="F149" s="298"/>
      <c r="G149" s="298"/>
      <c r="H149" s="298"/>
      <c r="I149" s="298"/>
      <c r="J149" s="80" t="str">
        <f>IFERROR(ROUNDDOWN(IF(C149="","",(MAX((eff_date-Additions!C149)/365.25,0))),0),"")</f>
        <v/>
      </c>
      <c r="K149" s="59" t="str">
        <f>IF(F149="","",IF(G149="Dubai",HLOOKUP(F149,Inputs!$C$26:$M$28,3,0),HLOOKUP(F149,Inputs!$C$45:$M$46,2,0)))</f>
        <v/>
      </c>
      <c r="L149" s="335" t="str">
        <f t="shared" si="65"/>
        <v/>
      </c>
      <c r="M149" s="335">
        <f t="shared" si="66"/>
        <v>0</v>
      </c>
      <c r="N149" s="335" t="str">
        <f t="shared" si="67"/>
        <v/>
      </c>
      <c r="O149" s="335">
        <f t="shared" si="68"/>
        <v>0</v>
      </c>
      <c r="Q149" s="105">
        <f t="shared" si="81"/>
        <v>0</v>
      </c>
      <c r="R149" s="59" t="b">
        <f t="shared" si="69"/>
        <v>0</v>
      </c>
      <c r="S149" s="102" t="str">
        <f t="shared" si="82"/>
        <v>x</v>
      </c>
      <c r="T149" s="102" t="str">
        <f t="shared" si="70"/>
        <v>x</v>
      </c>
      <c r="U149" s="102" t="str">
        <f t="shared" si="71"/>
        <v>x</v>
      </c>
      <c r="V149" s="102" t="str">
        <f t="shared" si="72"/>
        <v>x</v>
      </c>
      <c r="W149" s="102" t="str">
        <f t="shared" si="73"/>
        <v>x</v>
      </c>
      <c r="X149" s="102" t="str">
        <f>IF(ISERROR(MATCH(G149,'Inputs Mapping'!$T$4:$T$5,0)),"x","")</f>
        <v>x</v>
      </c>
      <c r="Y149" s="102" t="str">
        <f>IF(ISERROR(MATCH(AE149,'Inputs Mapping'!$U$4:$U$5,0)),"x","")</f>
        <v>x</v>
      </c>
      <c r="Z149" s="102" t="str">
        <f>IF(ISERROR(MATCH(AF149,'Inputs Mapping'!$V$4:$V$5,0)),"x","")</f>
        <v>x</v>
      </c>
      <c r="AA149" s="102" t="str">
        <f>IF(ISERROR(MATCH(F149,'Inputs Mapping'!$W$4:$W$8,0)),"x","")</f>
        <v>x</v>
      </c>
      <c r="AB149" s="102" t="str">
        <f t="shared" si="74"/>
        <v/>
      </c>
      <c r="AC149" s="102" t="str">
        <f t="shared" si="75"/>
        <v/>
      </c>
      <c r="AD149" s="102" t="str">
        <f t="shared" si="76"/>
        <v/>
      </c>
      <c r="AE149" s="102" t="str">
        <f t="shared" si="83"/>
        <v/>
      </c>
      <c r="AF149" s="102" t="str">
        <f t="shared" si="84"/>
        <v/>
      </c>
      <c r="AG149" s="102" t="str">
        <f t="shared" si="85"/>
        <v>x</v>
      </c>
      <c r="AK149" s="95" t="str">
        <f t="shared" si="77"/>
        <v/>
      </c>
      <c r="AL149" s="59" t="str">
        <f>IF(J149="","",VLOOKUP(J149,'Inputs Mapping'!$T$27:$V$30,3))</f>
        <v/>
      </c>
      <c r="AM149" s="59" t="str">
        <f>IF(J149="","",VLOOKUP(J149,'Inputs Mapping'!$T$17:$V$24,3))</f>
        <v/>
      </c>
      <c r="AN149" s="59" t="str">
        <f t="shared" si="78"/>
        <v/>
      </c>
      <c r="AO149" s="102" t="str">
        <f t="shared" si="79"/>
        <v/>
      </c>
      <c r="AP149" s="102" t="str">
        <f>IF(F149="","",IF(G149="Dubai",HLOOKUP(F149,Inputs!$C$26:$M$36,5,0),HLOOKUP(F149,Inputs!$C$45:$M$49,5,0)))</f>
        <v/>
      </c>
      <c r="AQ149" s="102">
        <f t="shared" si="80"/>
        <v>0</v>
      </c>
      <c r="AR149" s="59" t="str">
        <f>IF(AM149="","",IF(AQ149="Dubai",VLOOKUP(AM149,'Inputs Mapping'!$V$17:$W$24,2,0),VLOOKUP(AL149,'Inputs Mapping'!$V$27:$W$30,2,0)))</f>
        <v/>
      </c>
      <c r="AS149" s="333">
        <f>IFERROR(IF($AQ149="","",HLOOKUP($AQ149&amp;RIGHT($AO149,1),'input for formula'!$B$16:$I$20,3,0)),0)</f>
        <v>0</v>
      </c>
      <c r="AT149" s="80">
        <f>IFERROR(IF($AQ149="","",HLOOKUP($AQ149&amp;$F149,'input for formula'!$B$22:$M$25,2,0)),0)</f>
        <v>0</v>
      </c>
      <c r="AU149" s="333">
        <f>IFERROR(IF($AQ149="","",HLOOKUP($AQ149&amp;RIGHT($AO149,1),'input for formula'!$B$16:$I$20,4,0)),0)</f>
        <v>0</v>
      </c>
      <c r="AV149" s="80">
        <f>IFERROR(IF($AQ149="","",HLOOKUP($AQ149&amp;$F149,'input for formula'!$B$22:$M$25,3,0)),0)</f>
        <v>0</v>
      </c>
      <c r="AW149" s="333">
        <f>IFERROR(IF($AQ149="","",HLOOKUP($AQ149&amp;RIGHT($AO149,1),'input for formula'!$B$16:$I$20,5,0)),0)</f>
        <v>0</v>
      </c>
      <c r="AX149" s="80">
        <f>IFERROR(IF($AQ149="","",HLOOKUP($AQ149&amp;$F149,'input for formula'!$B$22:$M$25,4,0)),0)</f>
        <v>0</v>
      </c>
      <c r="AY149" s="333">
        <f>IFERROR(IF($AQ149="","",IF(Additions!$AQ149="Abu Dhabi",VLOOKUP(Additions!$AP149,'input for formula'!$A$28:$C$41,3,0),VLOOKUP(Additions!$AP149,'input for formula'!$A$28:$C$41,2,0))),0)*IFERROR(1+IF(AQ149="Dubai",VLOOKUP(F149,'Quotation for Dubai Plans'!$V$6:$X$12,3,FALSE),VLOOKUP(F149,'Quotation for Abu Dhabi Plans'!$W$6:$Y$12,3,FALSE)),0)</f>
        <v>0</v>
      </c>
      <c r="AZ149" s="80" t="str">
        <f t="shared" si="55"/>
        <v/>
      </c>
      <c r="BA149" s="106" t="str">
        <f>IFERROR(IF(AO149="","",IF(AQ149="Dubai",HLOOKUP((AO149&amp;AP149),Deviation!$B$7:$S$8,2,0)*BI149*BK149*BL149*BJ149,HLOOKUP((AO149&amp;AP149),Deviation!$B$9:$K$10,2,0)*BI149*BK149*BL149*BJ149)),0)</f>
        <v/>
      </c>
      <c r="BB149" s="107" t="e">
        <f>IF(AO149="","",IFERROR(IF(AO149="","",IF(AQ149="Dubai",HLOOKUP(BC149,'input for formula'!$B$3:$F$10,AR149,FALSE), IF(AND(H149="Employee",AQ149="Abu Dhabi"),HLOOKUP(BC149,'input for formula'!$I$3:$K$7,AR149,FALSE),HLOOKUP(BC149,'input for formula'!$M$3:$O$7,AR149,FALSE)))*BA149+AS149*AT149+AU149*AV149+AW149*AX149),0)*$BC$3)*IF(Inputs!$C$19&gt;100,(1+$BC$2),1)</f>
        <v>#VALUE!</v>
      </c>
      <c r="BC149" s="95" t="str">
        <f t="shared" si="86"/>
        <v/>
      </c>
      <c r="BD149" s="334" t="str">
        <f>IF(F149="","",IF(G149="Dubai",HLOOKUP(F149,Inputs!$C$26:$M$37,9,0),HLOOKUP(F149,Inputs!$C$45:$M$56,9,0)))</f>
        <v/>
      </c>
      <c r="BE149" s="335" t="str">
        <f>IF(F149="","",IF(G149="Dubai",HLOOKUP(F149,Inputs!$C$26:$M$37,10,0),HLOOKUP(F149,Inputs!$C$45:$M$56,10,0)))</f>
        <v/>
      </c>
      <c r="BF149" s="335" t="str">
        <f>IF(F149="","",IF(G149="Dubai",HLOOKUP(F149,Inputs!$C$26:$M$37,11,0),HLOOKUP(F149,Inputs!$C$45:$M$56,11,0)))</f>
        <v/>
      </c>
      <c r="BG149" s="334" t="str">
        <f>IF(F149="","",IF(G149="Dubai",HLOOKUP(F149,Inputs!$C$26:$M$37,12,0),HLOOKUP(F149,Inputs!$C$45:$M$56,12,0)))</f>
        <v/>
      </c>
      <c r="BI149" s="334" t="str">
        <f>IFERROR(IF(AO149="","",IF(AQ149="Dubai",IF(OR(AO149="Plan1",AO149="Plan2"),VLOOKUP(BD149,Deviation!$B$31:$D$33,2,FALSE),VLOOKUP(BD149,Deviation!$B$31:$D$33,3,FALSE)),IF(OR(AO149="Plan1",AO149="Plan2"),VLOOKUP(BD149,Deviation!$E$31:$G$33,2,FALSE),VLOOKUP(BD149,Deviation!$E$31:$G$33,3,FALSE)))),0)</f>
        <v/>
      </c>
      <c r="BJ149" s="336" t="str">
        <f>IFERROR(IF(AO149="","",IF(AQ149="Dubai",IF(AO149="Plan1",VLOOKUP(BE149,Deviation!$B$39:$C$40,2,FALSE),IF(AO149="Plan2",VLOOKUP(BE149,Deviation!$B$42:$C$43,2,FALSE),IF(AO149="Plan5",VLOOKUP(BE149,Deviation!$B$48:$C$49,2,FALSE),VLOOKUP(BE149,Deviation!$B$45:$C$46,2,FALSE)))),IF(AO149="Plan1",VLOOKUP(BE149,Deviation!$E$39:$F$40,2,FALSE),IF(AO149="Plan2",VLOOKUP(BE149,Deviation!$E$42:$F$43,2,FALSE),VLOOKUP(BE149,Deviation!$E$45:$F$46,2,FALSE))))),0)</f>
        <v/>
      </c>
      <c r="BK149" s="336" t="str">
        <f>IFERROR(IF(AO149="","",IF(AQ149="Dubai",IF(OR(AO149="Plan1",AO149="Plan2"),VLOOKUP(BF149,Deviation!$B$15:$D$18,2,FALSE),VLOOKUP(BF149,Deviation!$B$15:$D$18,3,FALSE)),IF(OR(AO149="Plan1",AO149="Plan2"),VLOOKUP(BF149,Deviation!$E$15:$G$18,2,FALSE),VLOOKUP(BF149,Deviation!$E$15:$G$18,3,FALSE)))),0)</f>
        <v/>
      </c>
      <c r="BL149" s="334" t="str">
        <f>IFERROR(IF(AO149="","",IF(AQ149="Dubai",VLOOKUP(BG149,Deviation!$B$24:$C$26,2,FALSE),100%)),0)</f>
        <v/>
      </c>
    </row>
    <row r="150" spans="1:64" ht="14.25" x14ac:dyDescent="0.2">
      <c r="A150" s="59">
        <v>145</v>
      </c>
      <c r="B150" s="298"/>
      <c r="C150" s="299"/>
      <c r="D150" s="298"/>
      <c r="E150" s="298"/>
      <c r="F150" s="298"/>
      <c r="G150" s="298"/>
      <c r="H150" s="298"/>
      <c r="I150" s="298"/>
      <c r="J150" s="80" t="str">
        <f>IFERROR(ROUNDDOWN(IF(C150="","",(MAX((eff_date-Additions!C150)/365.25,0))),0),"")</f>
        <v/>
      </c>
      <c r="K150" s="59" t="str">
        <f>IF(F150="","",IF(G150="Dubai",HLOOKUP(F150,Inputs!$C$26:$M$28,3,0),HLOOKUP(F150,Inputs!$C$45:$M$46,2,0)))</f>
        <v/>
      </c>
      <c r="L150" s="335" t="str">
        <f t="shared" si="65"/>
        <v/>
      </c>
      <c r="M150" s="335">
        <f t="shared" si="66"/>
        <v>0</v>
      </c>
      <c r="N150" s="335" t="str">
        <f t="shared" si="67"/>
        <v/>
      </c>
      <c r="O150" s="335">
        <f t="shared" si="68"/>
        <v>0</v>
      </c>
      <c r="Q150" s="105">
        <f t="shared" si="81"/>
        <v>0</v>
      </c>
      <c r="R150" s="59" t="b">
        <f t="shared" si="69"/>
        <v>0</v>
      </c>
      <c r="S150" s="102" t="str">
        <f t="shared" si="82"/>
        <v>x</v>
      </c>
      <c r="T150" s="102" t="str">
        <f t="shared" si="70"/>
        <v>x</v>
      </c>
      <c r="U150" s="102" t="str">
        <f t="shared" si="71"/>
        <v>x</v>
      </c>
      <c r="V150" s="102" t="str">
        <f t="shared" si="72"/>
        <v>x</v>
      </c>
      <c r="W150" s="102" t="str">
        <f t="shared" si="73"/>
        <v>x</v>
      </c>
      <c r="X150" s="102" t="str">
        <f>IF(ISERROR(MATCH(G150,'Inputs Mapping'!$T$4:$T$5,0)),"x","")</f>
        <v>x</v>
      </c>
      <c r="Y150" s="102" t="str">
        <f>IF(ISERROR(MATCH(AE150,'Inputs Mapping'!$U$4:$U$5,0)),"x","")</f>
        <v>x</v>
      </c>
      <c r="Z150" s="102" t="str">
        <f>IF(ISERROR(MATCH(AF150,'Inputs Mapping'!$V$4:$V$5,0)),"x","")</f>
        <v>x</v>
      </c>
      <c r="AA150" s="102" t="str">
        <f>IF(ISERROR(MATCH(F150,'Inputs Mapping'!$W$4:$W$8,0)),"x","")</f>
        <v>x</v>
      </c>
      <c r="AB150" s="102" t="str">
        <f t="shared" si="74"/>
        <v/>
      </c>
      <c r="AC150" s="102" t="str">
        <f t="shared" si="75"/>
        <v/>
      </c>
      <c r="AD150" s="102" t="str">
        <f t="shared" si="76"/>
        <v/>
      </c>
      <c r="AE150" s="102" t="str">
        <f t="shared" si="83"/>
        <v/>
      </c>
      <c r="AF150" s="102" t="str">
        <f t="shared" si="84"/>
        <v/>
      </c>
      <c r="AG150" s="102" t="str">
        <f t="shared" si="85"/>
        <v>x</v>
      </c>
      <c r="AK150" s="95" t="str">
        <f t="shared" si="77"/>
        <v/>
      </c>
      <c r="AL150" s="59" t="str">
        <f>IF(J150="","",VLOOKUP(J150,'Inputs Mapping'!$T$27:$V$30,3))</f>
        <v/>
      </c>
      <c r="AM150" s="59" t="str">
        <f>IF(J150="","",VLOOKUP(J150,'Inputs Mapping'!$T$17:$V$24,3))</f>
        <v/>
      </c>
      <c r="AN150" s="59" t="str">
        <f t="shared" si="78"/>
        <v/>
      </c>
      <c r="AO150" s="102" t="str">
        <f t="shared" si="79"/>
        <v/>
      </c>
      <c r="AP150" s="102" t="str">
        <f>IF(F150="","",IF(G150="Dubai",HLOOKUP(F150,Inputs!$C$26:$M$36,5,0),HLOOKUP(F150,Inputs!$C$45:$M$49,5,0)))</f>
        <v/>
      </c>
      <c r="AQ150" s="102">
        <f t="shared" si="80"/>
        <v>0</v>
      </c>
      <c r="AR150" s="59" t="str">
        <f>IF(AM150="","",IF(AQ150="Dubai",VLOOKUP(AM150,'Inputs Mapping'!$V$17:$W$24,2,0),VLOOKUP(AL150,'Inputs Mapping'!$V$27:$W$30,2,0)))</f>
        <v/>
      </c>
      <c r="AS150" s="333">
        <f>IFERROR(IF($AQ150="","",HLOOKUP($AQ150&amp;RIGHT($AO150,1),'input for formula'!$B$16:$I$20,3,0)),0)</f>
        <v>0</v>
      </c>
      <c r="AT150" s="80">
        <f>IFERROR(IF($AQ150="","",HLOOKUP($AQ150&amp;$F150,'input for formula'!$B$22:$M$25,2,0)),0)</f>
        <v>0</v>
      </c>
      <c r="AU150" s="333">
        <f>IFERROR(IF($AQ150="","",HLOOKUP($AQ150&amp;RIGHT($AO150,1),'input for formula'!$B$16:$I$20,4,0)),0)</f>
        <v>0</v>
      </c>
      <c r="AV150" s="80">
        <f>IFERROR(IF($AQ150="","",HLOOKUP($AQ150&amp;$F150,'input for formula'!$B$22:$M$25,3,0)),0)</f>
        <v>0</v>
      </c>
      <c r="AW150" s="333">
        <f>IFERROR(IF($AQ150="","",HLOOKUP($AQ150&amp;RIGHT($AO150,1),'input for formula'!$B$16:$I$20,5,0)),0)</f>
        <v>0</v>
      </c>
      <c r="AX150" s="80">
        <f>IFERROR(IF($AQ150="","",HLOOKUP($AQ150&amp;$F150,'input for formula'!$B$22:$M$25,4,0)),0)</f>
        <v>0</v>
      </c>
      <c r="AY150" s="333">
        <f>IFERROR(IF($AQ150="","",IF(Additions!$AQ150="Abu Dhabi",VLOOKUP(Additions!$AP150,'input for formula'!$A$28:$C$41,3,0),VLOOKUP(Additions!$AP150,'input for formula'!$A$28:$C$41,2,0))),0)*IFERROR(1+IF(AQ150="Dubai",VLOOKUP(F150,'Quotation for Dubai Plans'!$V$6:$X$12,3,FALSE),VLOOKUP(F150,'Quotation for Abu Dhabi Plans'!$W$6:$Y$12,3,FALSE)),0)</f>
        <v>0</v>
      </c>
      <c r="AZ150" s="80" t="str">
        <f t="shared" si="55"/>
        <v/>
      </c>
      <c r="BA150" s="106" t="str">
        <f>IFERROR(IF(AO150="","",IF(AQ150="Dubai",HLOOKUP((AO150&amp;AP150),Deviation!$B$7:$S$8,2,0)*BI150*BK150*BL150*BJ150,HLOOKUP((AO150&amp;AP150),Deviation!$B$9:$K$10,2,0)*BI150*BK150*BL150*BJ150)),0)</f>
        <v/>
      </c>
      <c r="BB150" s="107" t="e">
        <f>IF(AO150="","",IFERROR(IF(AO150="","",IF(AQ150="Dubai",HLOOKUP(BC150,'input for formula'!$B$3:$F$10,AR150,FALSE), IF(AND(H150="Employee",AQ150="Abu Dhabi"),HLOOKUP(BC150,'input for formula'!$I$3:$K$7,AR150,FALSE),HLOOKUP(BC150,'input for formula'!$M$3:$O$7,AR150,FALSE)))*BA150+AS150*AT150+AU150*AV150+AW150*AX150),0)*$BC$3)*IF(Inputs!$C$19&gt;100,(1+$BC$2),1)</f>
        <v>#VALUE!</v>
      </c>
      <c r="BC150" s="95" t="str">
        <f t="shared" si="86"/>
        <v/>
      </c>
      <c r="BD150" s="334" t="str">
        <f>IF(F150="","",IF(G150="Dubai",HLOOKUP(F150,Inputs!$C$26:$M$37,9,0),HLOOKUP(F150,Inputs!$C$45:$M$56,9,0)))</f>
        <v/>
      </c>
      <c r="BE150" s="335" t="str">
        <f>IF(F150="","",IF(G150="Dubai",HLOOKUP(F150,Inputs!$C$26:$M$37,10,0),HLOOKUP(F150,Inputs!$C$45:$M$56,10,0)))</f>
        <v/>
      </c>
      <c r="BF150" s="335" t="str">
        <f>IF(F150="","",IF(G150="Dubai",HLOOKUP(F150,Inputs!$C$26:$M$37,11,0),HLOOKUP(F150,Inputs!$C$45:$M$56,11,0)))</f>
        <v/>
      </c>
      <c r="BG150" s="334" t="str">
        <f>IF(F150="","",IF(G150="Dubai",HLOOKUP(F150,Inputs!$C$26:$M$37,12,0),HLOOKUP(F150,Inputs!$C$45:$M$56,12,0)))</f>
        <v/>
      </c>
      <c r="BI150" s="334" t="str">
        <f>IFERROR(IF(AO150="","",IF(AQ150="Dubai",IF(OR(AO150="Plan1",AO150="Plan2"),VLOOKUP(BD150,Deviation!$B$31:$D$33,2,FALSE),VLOOKUP(BD150,Deviation!$B$31:$D$33,3,FALSE)),IF(OR(AO150="Plan1",AO150="Plan2"),VLOOKUP(BD150,Deviation!$E$31:$G$33,2,FALSE),VLOOKUP(BD150,Deviation!$E$31:$G$33,3,FALSE)))),0)</f>
        <v/>
      </c>
      <c r="BJ150" s="336" t="str">
        <f>IFERROR(IF(AO150="","",IF(AQ150="Dubai",IF(AO150="Plan1",VLOOKUP(BE150,Deviation!$B$39:$C$40,2,FALSE),IF(AO150="Plan2",VLOOKUP(BE150,Deviation!$B$42:$C$43,2,FALSE),IF(AO150="Plan5",VLOOKUP(BE150,Deviation!$B$48:$C$49,2,FALSE),VLOOKUP(BE150,Deviation!$B$45:$C$46,2,FALSE)))),IF(AO150="Plan1",VLOOKUP(BE150,Deviation!$E$39:$F$40,2,FALSE),IF(AO150="Plan2",VLOOKUP(BE150,Deviation!$E$42:$F$43,2,FALSE),VLOOKUP(BE150,Deviation!$E$45:$F$46,2,FALSE))))),0)</f>
        <v/>
      </c>
      <c r="BK150" s="336" t="str">
        <f>IFERROR(IF(AO150="","",IF(AQ150="Dubai",IF(OR(AO150="Plan1",AO150="Plan2"),VLOOKUP(BF150,Deviation!$B$15:$D$18,2,FALSE),VLOOKUP(BF150,Deviation!$B$15:$D$18,3,FALSE)),IF(OR(AO150="Plan1",AO150="Plan2"),VLOOKUP(BF150,Deviation!$E$15:$G$18,2,FALSE),VLOOKUP(BF150,Deviation!$E$15:$G$18,3,FALSE)))),0)</f>
        <v/>
      </c>
      <c r="BL150" s="334" t="str">
        <f>IFERROR(IF(AO150="","",IF(AQ150="Dubai",VLOOKUP(BG150,Deviation!$B$24:$C$26,2,FALSE),100%)),0)</f>
        <v/>
      </c>
    </row>
    <row r="151" spans="1:64" ht="14.25" x14ac:dyDescent="0.2">
      <c r="A151" s="59">
        <v>146</v>
      </c>
      <c r="B151" s="298"/>
      <c r="C151" s="299"/>
      <c r="D151" s="298"/>
      <c r="E151" s="298"/>
      <c r="F151" s="298"/>
      <c r="G151" s="298"/>
      <c r="H151" s="298"/>
      <c r="I151" s="298"/>
      <c r="J151" s="80" t="str">
        <f>IFERROR(ROUNDDOWN(IF(C151="","",(MAX((eff_date-Additions!C151)/365.25,0))),0),"")</f>
        <v/>
      </c>
      <c r="K151" s="59" t="str">
        <f>IF(F151="","",IF(G151="Dubai",HLOOKUP(F151,Inputs!$C$26:$M$28,3,0),HLOOKUP(F151,Inputs!$C$45:$M$46,2,0)))</f>
        <v/>
      </c>
      <c r="L151" s="335" t="str">
        <f t="shared" si="65"/>
        <v/>
      </c>
      <c r="M151" s="335">
        <f t="shared" si="66"/>
        <v>0</v>
      </c>
      <c r="N151" s="335" t="str">
        <f t="shared" si="67"/>
        <v/>
      </c>
      <c r="O151" s="335">
        <f t="shared" si="68"/>
        <v>0</v>
      </c>
      <c r="Q151" s="105">
        <f t="shared" si="81"/>
        <v>0</v>
      </c>
      <c r="R151" s="59" t="b">
        <f t="shared" si="69"/>
        <v>0</v>
      </c>
      <c r="S151" s="102" t="str">
        <f t="shared" si="82"/>
        <v>x</v>
      </c>
      <c r="T151" s="102" t="str">
        <f t="shared" si="70"/>
        <v>x</v>
      </c>
      <c r="U151" s="102" t="str">
        <f t="shared" si="71"/>
        <v>x</v>
      </c>
      <c r="V151" s="102" t="str">
        <f t="shared" si="72"/>
        <v>x</v>
      </c>
      <c r="W151" s="102" t="str">
        <f t="shared" si="73"/>
        <v>x</v>
      </c>
      <c r="X151" s="102" t="str">
        <f>IF(ISERROR(MATCH(G151,'Inputs Mapping'!$T$4:$T$5,0)),"x","")</f>
        <v>x</v>
      </c>
      <c r="Y151" s="102" t="str">
        <f>IF(ISERROR(MATCH(AE151,'Inputs Mapping'!$U$4:$U$5,0)),"x","")</f>
        <v>x</v>
      </c>
      <c r="Z151" s="102" t="str">
        <f>IF(ISERROR(MATCH(AF151,'Inputs Mapping'!$V$4:$V$5,0)),"x","")</f>
        <v>x</v>
      </c>
      <c r="AA151" s="102" t="str">
        <f>IF(ISERROR(MATCH(F151,'Inputs Mapping'!$W$4:$W$8,0)),"x","")</f>
        <v>x</v>
      </c>
      <c r="AB151" s="102" t="str">
        <f t="shared" si="74"/>
        <v/>
      </c>
      <c r="AC151" s="102" t="str">
        <f t="shared" si="75"/>
        <v/>
      </c>
      <c r="AD151" s="102" t="str">
        <f t="shared" si="76"/>
        <v/>
      </c>
      <c r="AE151" s="102" t="str">
        <f t="shared" si="83"/>
        <v/>
      </c>
      <c r="AF151" s="102" t="str">
        <f t="shared" si="84"/>
        <v/>
      </c>
      <c r="AG151" s="102" t="str">
        <f t="shared" si="85"/>
        <v>x</v>
      </c>
      <c r="AK151" s="95" t="str">
        <f t="shared" si="77"/>
        <v/>
      </c>
      <c r="AL151" s="59" t="str">
        <f>IF(J151="","",VLOOKUP(J151,'Inputs Mapping'!$T$27:$V$30,3))</f>
        <v/>
      </c>
      <c r="AM151" s="59" t="str">
        <f>IF(J151="","",VLOOKUP(J151,'Inputs Mapping'!$T$17:$V$24,3))</f>
        <v/>
      </c>
      <c r="AN151" s="59" t="str">
        <f t="shared" si="78"/>
        <v/>
      </c>
      <c r="AO151" s="102" t="str">
        <f t="shared" si="79"/>
        <v/>
      </c>
      <c r="AP151" s="102" t="str">
        <f>IF(F151="","",IF(G151="Dubai",HLOOKUP(F151,Inputs!$C$26:$M$36,5,0),HLOOKUP(F151,Inputs!$C$45:$M$49,5,0)))</f>
        <v/>
      </c>
      <c r="AQ151" s="102">
        <f t="shared" si="80"/>
        <v>0</v>
      </c>
      <c r="AR151" s="59" t="str">
        <f>IF(AM151="","",IF(AQ151="Dubai",VLOOKUP(AM151,'Inputs Mapping'!$V$17:$W$24,2,0),VLOOKUP(AL151,'Inputs Mapping'!$V$27:$W$30,2,0)))</f>
        <v/>
      </c>
      <c r="AS151" s="333">
        <f>IFERROR(IF($AQ151="","",HLOOKUP($AQ151&amp;RIGHT($AO151,1),'input for formula'!$B$16:$I$20,3,0)),0)</f>
        <v>0</v>
      </c>
      <c r="AT151" s="80">
        <f>IFERROR(IF($AQ151="","",HLOOKUP($AQ151&amp;$F151,'input for formula'!$B$22:$M$25,2,0)),0)</f>
        <v>0</v>
      </c>
      <c r="AU151" s="333">
        <f>IFERROR(IF($AQ151="","",HLOOKUP($AQ151&amp;RIGHT($AO151,1),'input for formula'!$B$16:$I$20,4,0)),0)</f>
        <v>0</v>
      </c>
      <c r="AV151" s="80">
        <f>IFERROR(IF($AQ151="","",HLOOKUP($AQ151&amp;$F151,'input for formula'!$B$22:$M$25,3,0)),0)</f>
        <v>0</v>
      </c>
      <c r="AW151" s="333">
        <f>IFERROR(IF($AQ151="","",HLOOKUP($AQ151&amp;RIGHT($AO151,1),'input for formula'!$B$16:$I$20,5,0)),0)</f>
        <v>0</v>
      </c>
      <c r="AX151" s="80">
        <f>IFERROR(IF($AQ151="","",HLOOKUP($AQ151&amp;$F151,'input for formula'!$B$22:$M$25,4,0)),0)</f>
        <v>0</v>
      </c>
      <c r="AY151" s="333">
        <f>IFERROR(IF($AQ151="","",IF(Additions!$AQ151="Abu Dhabi",VLOOKUP(Additions!$AP151,'input for formula'!$A$28:$C$41,3,0),VLOOKUP(Additions!$AP151,'input for formula'!$A$28:$C$41,2,0))),0)*IFERROR(1+IF(AQ151="Dubai",VLOOKUP(F151,'Quotation for Dubai Plans'!$V$6:$X$12,3,FALSE),VLOOKUP(F151,'Quotation for Abu Dhabi Plans'!$W$6:$Y$12,3,FALSE)),0)</f>
        <v>0</v>
      </c>
      <c r="AZ151" s="80" t="str">
        <f t="shared" si="55"/>
        <v/>
      </c>
      <c r="BA151" s="106" t="str">
        <f>IFERROR(IF(AO151="","",IF(AQ151="Dubai",HLOOKUP((AO151&amp;AP151),Deviation!$B$7:$S$8,2,0)*BI151*BK151*BL151*BJ151,HLOOKUP((AO151&amp;AP151),Deviation!$B$9:$K$10,2,0)*BI151*BK151*BL151*BJ151)),0)</f>
        <v/>
      </c>
      <c r="BB151" s="107" t="e">
        <f>IF(AO151="","",IFERROR(IF(AO151="","",IF(AQ151="Dubai",HLOOKUP(BC151,'input for formula'!$B$3:$F$10,AR151,FALSE), IF(AND(H151="Employee",AQ151="Abu Dhabi"),HLOOKUP(BC151,'input for formula'!$I$3:$K$7,AR151,FALSE),HLOOKUP(BC151,'input for formula'!$M$3:$O$7,AR151,FALSE)))*BA151+AS151*AT151+AU151*AV151+AW151*AX151),0)*$BC$3)*IF(Inputs!$C$19&gt;100,(1+$BC$2),1)</f>
        <v>#VALUE!</v>
      </c>
      <c r="BC151" s="95" t="str">
        <f t="shared" si="86"/>
        <v/>
      </c>
      <c r="BD151" s="334" t="str">
        <f>IF(F151="","",IF(G151="Dubai",HLOOKUP(F151,Inputs!$C$26:$M$37,9,0),HLOOKUP(F151,Inputs!$C$45:$M$56,9,0)))</f>
        <v/>
      </c>
      <c r="BE151" s="335" t="str">
        <f>IF(F151="","",IF(G151="Dubai",HLOOKUP(F151,Inputs!$C$26:$M$37,10,0),HLOOKUP(F151,Inputs!$C$45:$M$56,10,0)))</f>
        <v/>
      </c>
      <c r="BF151" s="335" t="str">
        <f>IF(F151="","",IF(G151="Dubai",HLOOKUP(F151,Inputs!$C$26:$M$37,11,0),HLOOKUP(F151,Inputs!$C$45:$M$56,11,0)))</f>
        <v/>
      </c>
      <c r="BG151" s="334" t="str">
        <f>IF(F151="","",IF(G151="Dubai",HLOOKUP(F151,Inputs!$C$26:$M$37,12,0),HLOOKUP(F151,Inputs!$C$45:$M$56,12,0)))</f>
        <v/>
      </c>
      <c r="BI151" s="334" t="str">
        <f>IFERROR(IF(AO151="","",IF(AQ151="Dubai",IF(OR(AO151="Plan1",AO151="Plan2"),VLOOKUP(BD151,Deviation!$B$31:$D$33,2,FALSE),VLOOKUP(BD151,Deviation!$B$31:$D$33,3,FALSE)),IF(OR(AO151="Plan1",AO151="Plan2"),VLOOKUP(BD151,Deviation!$E$31:$G$33,2,FALSE),VLOOKUP(BD151,Deviation!$E$31:$G$33,3,FALSE)))),0)</f>
        <v/>
      </c>
      <c r="BJ151" s="336" t="str">
        <f>IFERROR(IF(AO151="","",IF(AQ151="Dubai",IF(AO151="Plan1",VLOOKUP(BE151,Deviation!$B$39:$C$40,2,FALSE),IF(AO151="Plan2",VLOOKUP(BE151,Deviation!$B$42:$C$43,2,FALSE),IF(AO151="Plan5",VLOOKUP(BE151,Deviation!$B$48:$C$49,2,FALSE),VLOOKUP(BE151,Deviation!$B$45:$C$46,2,FALSE)))),IF(AO151="Plan1",VLOOKUP(BE151,Deviation!$E$39:$F$40,2,FALSE),IF(AO151="Plan2",VLOOKUP(BE151,Deviation!$E$42:$F$43,2,FALSE),VLOOKUP(BE151,Deviation!$E$45:$F$46,2,FALSE))))),0)</f>
        <v/>
      </c>
      <c r="BK151" s="336" t="str">
        <f>IFERROR(IF(AO151="","",IF(AQ151="Dubai",IF(OR(AO151="Plan1",AO151="Plan2"),VLOOKUP(BF151,Deviation!$B$15:$D$18,2,FALSE),VLOOKUP(BF151,Deviation!$B$15:$D$18,3,FALSE)),IF(OR(AO151="Plan1",AO151="Plan2"),VLOOKUP(BF151,Deviation!$E$15:$G$18,2,FALSE),VLOOKUP(BF151,Deviation!$E$15:$G$18,3,FALSE)))),0)</f>
        <v/>
      </c>
      <c r="BL151" s="334" t="str">
        <f>IFERROR(IF(AO151="","",IF(AQ151="Dubai",VLOOKUP(BG151,Deviation!$B$24:$C$26,2,FALSE),100%)),0)</f>
        <v/>
      </c>
    </row>
    <row r="152" spans="1:64" ht="14.25" x14ac:dyDescent="0.2">
      <c r="A152" s="59">
        <v>147</v>
      </c>
      <c r="B152" s="298"/>
      <c r="C152" s="299"/>
      <c r="D152" s="298"/>
      <c r="E152" s="298"/>
      <c r="F152" s="298"/>
      <c r="G152" s="298"/>
      <c r="H152" s="298"/>
      <c r="I152" s="298"/>
      <c r="J152" s="80" t="str">
        <f>IFERROR(ROUNDDOWN(IF(C152="","",(MAX((eff_date-Additions!C152)/365.25,0))),0),"")</f>
        <v/>
      </c>
      <c r="K152" s="59" t="str">
        <f>IF(F152="","",IF(G152="Dubai",HLOOKUP(F152,Inputs!$C$26:$M$28,3,0),HLOOKUP(F152,Inputs!$C$45:$M$46,2,0)))</f>
        <v/>
      </c>
      <c r="L152" s="335" t="str">
        <f t="shared" si="65"/>
        <v/>
      </c>
      <c r="M152" s="335">
        <f t="shared" si="66"/>
        <v>0</v>
      </c>
      <c r="N152" s="335" t="str">
        <f t="shared" si="67"/>
        <v/>
      </c>
      <c r="O152" s="335">
        <f t="shared" si="68"/>
        <v>0</v>
      </c>
      <c r="Q152" s="105">
        <f t="shared" si="81"/>
        <v>0</v>
      </c>
      <c r="R152" s="59" t="b">
        <f t="shared" si="69"/>
        <v>0</v>
      </c>
      <c r="S152" s="102" t="str">
        <f t="shared" si="82"/>
        <v>x</v>
      </c>
      <c r="T152" s="102" t="str">
        <f t="shared" si="70"/>
        <v>x</v>
      </c>
      <c r="U152" s="102" t="str">
        <f t="shared" si="71"/>
        <v>x</v>
      </c>
      <c r="V152" s="102" t="str">
        <f t="shared" si="72"/>
        <v>x</v>
      </c>
      <c r="W152" s="102" t="str">
        <f t="shared" si="73"/>
        <v>x</v>
      </c>
      <c r="X152" s="102" t="str">
        <f>IF(ISERROR(MATCH(G152,'Inputs Mapping'!$T$4:$T$5,0)),"x","")</f>
        <v>x</v>
      </c>
      <c r="Y152" s="102" t="str">
        <f>IF(ISERROR(MATCH(AE152,'Inputs Mapping'!$U$4:$U$5,0)),"x","")</f>
        <v>x</v>
      </c>
      <c r="Z152" s="102" t="str">
        <f>IF(ISERROR(MATCH(AF152,'Inputs Mapping'!$V$4:$V$5,0)),"x","")</f>
        <v>x</v>
      </c>
      <c r="AA152" s="102" t="str">
        <f>IF(ISERROR(MATCH(F152,'Inputs Mapping'!$W$4:$W$8,0)),"x","")</f>
        <v>x</v>
      </c>
      <c r="AB152" s="102" t="str">
        <f t="shared" si="74"/>
        <v/>
      </c>
      <c r="AC152" s="102" t="str">
        <f t="shared" si="75"/>
        <v/>
      </c>
      <c r="AD152" s="102" t="str">
        <f t="shared" si="76"/>
        <v/>
      </c>
      <c r="AE152" s="102" t="str">
        <f t="shared" si="83"/>
        <v/>
      </c>
      <c r="AF152" s="102" t="str">
        <f t="shared" si="84"/>
        <v/>
      </c>
      <c r="AG152" s="102" t="str">
        <f t="shared" si="85"/>
        <v>x</v>
      </c>
      <c r="AK152" s="95" t="str">
        <f t="shared" si="77"/>
        <v/>
      </c>
      <c r="AL152" s="59" t="str">
        <f>IF(J152="","",VLOOKUP(J152,'Inputs Mapping'!$T$27:$V$30,3))</f>
        <v/>
      </c>
      <c r="AM152" s="59" t="str">
        <f>IF(J152="","",VLOOKUP(J152,'Inputs Mapping'!$T$17:$V$24,3))</f>
        <v/>
      </c>
      <c r="AN152" s="59" t="str">
        <f t="shared" si="78"/>
        <v/>
      </c>
      <c r="AO152" s="102" t="str">
        <f t="shared" si="79"/>
        <v/>
      </c>
      <c r="AP152" s="102" t="str">
        <f>IF(F152="","",IF(G152="Dubai",HLOOKUP(F152,Inputs!$C$26:$M$36,5,0),HLOOKUP(F152,Inputs!$C$45:$M$49,5,0)))</f>
        <v/>
      </c>
      <c r="AQ152" s="102">
        <f t="shared" si="80"/>
        <v>0</v>
      </c>
      <c r="AR152" s="59" t="str">
        <f>IF(AM152="","",IF(AQ152="Dubai",VLOOKUP(AM152,'Inputs Mapping'!$V$17:$W$24,2,0),VLOOKUP(AL152,'Inputs Mapping'!$V$27:$W$30,2,0)))</f>
        <v/>
      </c>
      <c r="AS152" s="333">
        <f>IFERROR(IF($AQ152="","",HLOOKUP($AQ152&amp;RIGHT($AO152,1),'input for formula'!$B$16:$I$20,3,0)),0)</f>
        <v>0</v>
      </c>
      <c r="AT152" s="80">
        <f>IFERROR(IF($AQ152="","",HLOOKUP($AQ152&amp;$F152,'input for formula'!$B$22:$M$25,2,0)),0)</f>
        <v>0</v>
      </c>
      <c r="AU152" s="333">
        <f>IFERROR(IF($AQ152="","",HLOOKUP($AQ152&amp;RIGHT($AO152,1),'input for formula'!$B$16:$I$20,4,0)),0)</f>
        <v>0</v>
      </c>
      <c r="AV152" s="80">
        <f>IFERROR(IF($AQ152="","",HLOOKUP($AQ152&amp;$F152,'input for formula'!$B$22:$M$25,3,0)),0)</f>
        <v>0</v>
      </c>
      <c r="AW152" s="333">
        <f>IFERROR(IF($AQ152="","",HLOOKUP($AQ152&amp;RIGHT($AO152,1),'input for formula'!$B$16:$I$20,5,0)),0)</f>
        <v>0</v>
      </c>
      <c r="AX152" s="80">
        <f>IFERROR(IF($AQ152="","",HLOOKUP($AQ152&amp;$F152,'input for formula'!$B$22:$M$25,4,0)),0)</f>
        <v>0</v>
      </c>
      <c r="AY152" s="333">
        <f>IFERROR(IF($AQ152="","",IF(Additions!$AQ152="Abu Dhabi",VLOOKUP(Additions!$AP152,'input for formula'!$A$28:$C$41,3,0),VLOOKUP(Additions!$AP152,'input for formula'!$A$28:$C$41,2,0))),0)*IFERROR(1+IF(AQ152="Dubai",VLOOKUP(F152,'Quotation for Dubai Plans'!$V$6:$X$12,3,FALSE),VLOOKUP(F152,'Quotation for Abu Dhabi Plans'!$W$6:$Y$12,3,FALSE)),0)</f>
        <v>0</v>
      </c>
      <c r="AZ152" s="80" t="str">
        <f t="shared" si="55"/>
        <v/>
      </c>
      <c r="BA152" s="106" t="str">
        <f>IFERROR(IF(AO152="","",IF(AQ152="Dubai",HLOOKUP((AO152&amp;AP152),Deviation!$B$7:$S$8,2,0)*BI152*BK152*BL152*BJ152,HLOOKUP((AO152&amp;AP152),Deviation!$B$9:$K$10,2,0)*BI152*BK152*BL152*BJ152)),0)</f>
        <v/>
      </c>
      <c r="BB152" s="107" t="e">
        <f>IF(AO152="","",IFERROR(IF(AO152="","",IF(AQ152="Dubai",HLOOKUP(BC152,'input for formula'!$B$3:$F$10,AR152,FALSE), IF(AND(H152="Employee",AQ152="Abu Dhabi"),HLOOKUP(BC152,'input for formula'!$I$3:$K$7,AR152,FALSE),HLOOKUP(BC152,'input for formula'!$M$3:$O$7,AR152,FALSE)))*BA152+AS152*AT152+AU152*AV152+AW152*AX152),0)*$BC$3)*IF(Inputs!$C$19&gt;100,(1+$BC$2),1)</f>
        <v>#VALUE!</v>
      </c>
      <c r="BC152" s="95" t="str">
        <f t="shared" si="86"/>
        <v/>
      </c>
      <c r="BD152" s="334" t="str">
        <f>IF(F152="","",IF(G152="Dubai",HLOOKUP(F152,Inputs!$C$26:$M$37,9,0),HLOOKUP(F152,Inputs!$C$45:$M$56,9,0)))</f>
        <v/>
      </c>
      <c r="BE152" s="335" t="str">
        <f>IF(F152="","",IF(G152="Dubai",HLOOKUP(F152,Inputs!$C$26:$M$37,10,0),HLOOKUP(F152,Inputs!$C$45:$M$56,10,0)))</f>
        <v/>
      </c>
      <c r="BF152" s="335" t="str">
        <f>IF(F152="","",IF(G152="Dubai",HLOOKUP(F152,Inputs!$C$26:$M$37,11,0),HLOOKUP(F152,Inputs!$C$45:$M$56,11,0)))</f>
        <v/>
      </c>
      <c r="BG152" s="334" t="str">
        <f>IF(F152="","",IF(G152="Dubai",HLOOKUP(F152,Inputs!$C$26:$M$37,12,0),HLOOKUP(F152,Inputs!$C$45:$M$56,12,0)))</f>
        <v/>
      </c>
      <c r="BI152" s="334" t="str">
        <f>IFERROR(IF(AO152="","",IF(AQ152="Dubai",IF(OR(AO152="Plan1",AO152="Plan2"),VLOOKUP(BD152,Deviation!$B$31:$D$33,2,FALSE),VLOOKUP(BD152,Deviation!$B$31:$D$33,3,FALSE)),IF(OR(AO152="Plan1",AO152="Plan2"),VLOOKUP(BD152,Deviation!$E$31:$G$33,2,FALSE),VLOOKUP(BD152,Deviation!$E$31:$G$33,3,FALSE)))),0)</f>
        <v/>
      </c>
      <c r="BJ152" s="336" t="str">
        <f>IFERROR(IF(AO152="","",IF(AQ152="Dubai",IF(AO152="Plan1",VLOOKUP(BE152,Deviation!$B$39:$C$40,2,FALSE),IF(AO152="Plan2",VLOOKUP(BE152,Deviation!$B$42:$C$43,2,FALSE),IF(AO152="Plan5",VLOOKUP(BE152,Deviation!$B$48:$C$49,2,FALSE),VLOOKUP(BE152,Deviation!$B$45:$C$46,2,FALSE)))),IF(AO152="Plan1",VLOOKUP(BE152,Deviation!$E$39:$F$40,2,FALSE),IF(AO152="Plan2",VLOOKUP(BE152,Deviation!$E$42:$F$43,2,FALSE),VLOOKUP(BE152,Deviation!$E$45:$F$46,2,FALSE))))),0)</f>
        <v/>
      </c>
      <c r="BK152" s="336" t="str">
        <f>IFERROR(IF(AO152="","",IF(AQ152="Dubai",IF(OR(AO152="Plan1",AO152="Plan2"),VLOOKUP(BF152,Deviation!$B$15:$D$18,2,FALSE),VLOOKUP(BF152,Deviation!$B$15:$D$18,3,FALSE)),IF(OR(AO152="Plan1",AO152="Plan2"),VLOOKUP(BF152,Deviation!$E$15:$G$18,2,FALSE),VLOOKUP(BF152,Deviation!$E$15:$G$18,3,FALSE)))),0)</f>
        <v/>
      </c>
      <c r="BL152" s="334" t="str">
        <f>IFERROR(IF(AO152="","",IF(AQ152="Dubai",VLOOKUP(BG152,Deviation!$B$24:$C$26,2,FALSE),100%)),0)</f>
        <v/>
      </c>
    </row>
    <row r="153" spans="1:64" ht="14.25" x14ac:dyDescent="0.2">
      <c r="A153" s="59">
        <v>148</v>
      </c>
      <c r="B153" s="298"/>
      <c r="C153" s="299"/>
      <c r="D153" s="298"/>
      <c r="E153" s="298"/>
      <c r="F153" s="298"/>
      <c r="G153" s="298"/>
      <c r="H153" s="298"/>
      <c r="I153" s="298"/>
      <c r="J153" s="80" t="str">
        <f>IFERROR(ROUNDDOWN(IF(C153="","",(MAX((eff_date-Additions!C153)/365.25,0))),0),"")</f>
        <v/>
      </c>
      <c r="K153" s="59" t="str">
        <f>IF(F153="","",IF(G153="Dubai",HLOOKUP(F153,Inputs!$C$26:$M$28,3,0),HLOOKUP(F153,Inputs!$C$45:$M$46,2,0)))</f>
        <v/>
      </c>
      <c r="L153" s="335" t="str">
        <f t="shared" si="65"/>
        <v/>
      </c>
      <c r="M153" s="335">
        <f t="shared" si="66"/>
        <v>0</v>
      </c>
      <c r="N153" s="335" t="str">
        <f t="shared" si="67"/>
        <v/>
      </c>
      <c r="O153" s="335">
        <f t="shared" si="68"/>
        <v>0</v>
      </c>
      <c r="Q153" s="105">
        <f t="shared" si="81"/>
        <v>0</v>
      </c>
      <c r="R153" s="59" t="b">
        <f t="shared" si="69"/>
        <v>0</v>
      </c>
      <c r="S153" s="102" t="str">
        <f t="shared" si="82"/>
        <v>x</v>
      </c>
      <c r="T153" s="102" t="str">
        <f t="shared" si="70"/>
        <v>x</v>
      </c>
      <c r="U153" s="102" t="str">
        <f t="shared" si="71"/>
        <v>x</v>
      </c>
      <c r="V153" s="102" t="str">
        <f t="shared" si="72"/>
        <v>x</v>
      </c>
      <c r="W153" s="102" t="str">
        <f t="shared" si="73"/>
        <v>x</v>
      </c>
      <c r="X153" s="102" t="str">
        <f>IF(ISERROR(MATCH(G153,'Inputs Mapping'!$T$4:$T$5,0)),"x","")</f>
        <v>x</v>
      </c>
      <c r="Y153" s="102" t="str">
        <f>IF(ISERROR(MATCH(AE153,'Inputs Mapping'!$U$4:$U$5,0)),"x","")</f>
        <v>x</v>
      </c>
      <c r="Z153" s="102" t="str">
        <f>IF(ISERROR(MATCH(AF153,'Inputs Mapping'!$V$4:$V$5,0)),"x","")</f>
        <v>x</v>
      </c>
      <c r="AA153" s="102" t="str">
        <f>IF(ISERROR(MATCH(F153,'Inputs Mapping'!$W$4:$W$8,0)),"x","")</f>
        <v>x</v>
      </c>
      <c r="AB153" s="102" t="str">
        <f t="shared" si="74"/>
        <v/>
      </c>
      <c r="AC153" s="102" t="str">
        <f t="shared" si="75"/>
        <v/>
      </c>
      <c r="AD153" s="102" t="str">
        <f t="shared" si="76"/>
        <v/>
      </c>
      <c r="AE153" s="102" t="str">
        <f t="shared" si="83"/>
        <v/>
      </c>
      <c r="AF153" s="102" t="str">
        <f t="shared" si="84"/>
        <v/>
      </c>
      <c r="AG153" s="102" t="str">
        <f t="shared" si="85"/>
        <v>x</v>
      </c>
      <c r="AK153" s="95" t="str">
        <f t="shared" si="77"/>
        <v/>
      </c>
      <c r="AL153" s="59" t="str">
        <f>IF(J153="","",VLOOKUP(J153,'Inputs Mapping'!$T$27:$V$30,3))</f>
        <v/>
      </c>
      <c r="AM153" s="59" t="str">
        <f>IF(J153="","",VLOOKUP(J153,'Inputs Mapping'!$T$17:$V$24,3))</f>
        <v/>
      </c>
      <c r="AN153" s="59" t="str">
        <f t="shared" si="78"/>
        <v/>
      </c>
      <c r="AO153" s="102" t="str">
        <f t="shared" si="79"/>
        <v/>
      </c>
      <c r="AP153" s="102" t="str">
        <f>IF(F153="","",IF(G153="Dubai",HLOOKUP(F153,Inputs!$C$26:$M$36,5,0),HLOOKUP(F153,Inputs!$C$45:$M$49,5,0)))</f>
        <v/>
      </c>
      <c r="AQ153" s="102">
        <f t="shared" si="80"/>
        <v>0</v>
      </c>
      <c r="AR153" s="59" t="str">
        <f>IF(AM153="","",IF(AQ153="Dubai",VLOOKUP(AM153,'Inputs Mapping'!$V$17:$W$24,2,0),VLOOKUP(AL153,'Inputs Mapping'!$V$27:$W$30,2,0)))</f>
        <v/>
      </c>
      <c r="AS153" s="333">
        <f>IFERROR(IF($AQ153="","",HLOOKUP($AQ153&amp;RIGHT($AO153,1),'input for formula'!$B$16:$I$20,3,0)),0)</f>
        <v>0</v>
      </c>
      <c r="AT153" s="80">
        <f>IFERROR(IF($AQ153="","",HLOOKUP($AQ153&amp;$F153,'input for formula'!$B$22:$M$25,2,0)),0)</f>
        <v>0</v>
      </c>
      <c r="AU153" s="333">
        <f>IFERROR(IF($AQ153="","",HLOOKUP($AQ153&amp;RIGHT($AO153,1),'input for formula'!$B$16:$I$20,4,0)),0)</f>
        <v>0</v>
      </c>
      <c r="AV153" s="80">
        <f>IFERROR(IF($AQ153="","",HLOOKUP($AQ153&amp;$F153,'input for formula'!$B$22:$M$25,3,0)),0)</f>
        <v>0</v>
      </c>
      <c r="AW153" s="333">
        <f>IFERROR(IF($AQ153="","",HLOOKUP($AQ153&amp;RIGHT($AO153,1),'input for formula'!$B$16:$I$20,5,0)),0)</f>
        <v>0</v>
      </c>
      <c r="AX153" s="80">
        <f>IFERROR(IF($AQ153="","",HLOOKUP($AQ153&amp;$F153,'input for formula'!$B$22:$M$25,4,0)),0)</f>
        <v>0</v>
      </c>
      <c r="AY153" s="333">
        <f>IFERROR(IF($AQ153="","",IF(Additions!$AQ153="Abu Dhabi",VLOOKUP(Additions!$AP153,'input for formula'!$A$28:$C$41,3,0),VLOOKUP(Additions!$AP153,'input for formula'!$A$28:$C$41,2,0))),0)*IFERROR(1+IF(AQ153="Dubai",VLOOKUP(F153,'Quotation for Dubai Plans'!$V$6:$X$12,3,FALSE),VLOOKUP(F153,'Quotation for Abu Dhabi Plans'!$W$6:$Y$12,3,FALSE)),0)</f>
        <v>0</v>
      </c>
      <c r="AZ153" s="80" t="str">
        <f t="shared" si="55"/>
        <v/>
      </c>
      <c r="BA153" s="106" t="str">
        <f>IFERROR(IF(AO153="","",IF(AQ153="Dubai",HLOOKUP((AO153&amp;AP153),Deviation!$B$7:$S$8,2,0)*BI153*BK153*BL153*BJ153,HLOOKUP((AO153&amp;AP153),Deviation!$B$9:$K$10,2,0)*BI153*BK153*BL153*BJ153)),0)</f>
        <v/>
      </c>
      <c r="BB153" s="107" t="e">
        <f>IF(AO153="","",IFERROR(IF(AO153="","",IF(AQ153="Dubai",HLOOKUP(BC153,'input for formula'!$B$3:$F$10,AR153,FALSE), IF(AND(H153="Employee",AQ153="Abu Dhabi"),HLOOKUP(BC153,'input for formula'!$I$3:$K$7,AR153,FALSE),HLOOKUP(BC153,'input for formula'!$M$3:$O$7,AR153,FALSE)))*BA153+AS153*AT153+AU153*AV153+AW153*AX153),0)*$BC$3)*IF(Inputs!$C$19&gt;100,(1+$BC$2),1)</f>
        <v>#VALUE!</v>
      </c>
      <c r="BC153" s="95" t="str">
        <f t="shared" si="86"/>
        <v/>
      </c>
      <c r="BD153" s="334" t="str">
        <f>IF(F153="","",IF(G153="Dubai",HLOOKUP(F153,Inputs!$C$26:$M$37,9,0),HLOOKUP(F153,Inputs!$C$45:$M$56,9,0)))</f>
        <v/>
      </c>
      <c r="BE153" s="335" t="str">
        <f>IF(F153="","",IF(G153="Dubai",HLOOKUP(F153,Inputs!$C$26:$M$37,10,0),HLOOKUP(F153,Inputs!$C$45:$M$56,10,0)))</f>
        <v/>
      </c>
      <c r="BF153" s="335" t="str">
        <f>IF(F153="","",IF(G153="Dubai",HLOOKUP(F153,Inputs!$C$26:$M$37,11,0),HLOOKUP(F153,Inputs!$C$45:$M$56,11,0)))</f>
        <v/>
      </c>
      <c r="BG153" s="334" t="str">
        <f>IF(F153="","",IF(G153="Dubai",HLOOKUP(F153,Inputs!$C$26:$M$37,12,0),HLOOKUP(F153,Inputs!$C$45:$M$56,12,0)))</f>
        <v/>
      </c>
      <c r="BI153" s="334" t="str">
        <f>IFERROR(IF(AO153="","",IF(AQ153="Dubai",IF(OR(AO153="Plan1",AO153="Plan2"),VLOOKUP(BD153,Deviation!$B$31:$D$33,2,FALSE),VLOOKUP(BD153,Deviation!$B$31:$D$33,3,FALSE)),IF(OR(AO153="Plan1",AO153="Plan2"),VLOOKUP(BD153,Deviation!$E$31:$G$33,2,FALSE),VLOOKUP(BD153,Deviation!$E$31:$G$33,3,FALSE)))),0)</f>
        <v/>
      </c>
      <c r="BJ153" s="336" t="str">
        <f>IFERROR(IF(AO153="","",IF(AQ153="Dubai",IF(AO153="Plan1",VLOOKUP(BE153,Deviation!$B$39:$C$40,2,FALSE),IF(AO153="Plan2",VLOOKUP(BE153,Deviation!$B$42:$C$43,2,FALSE),IF(AO153="Plan5",VLOOKUP(BE153,Deviation!$B$48:$C$49,2,FALSE),VLOOKUP(BE153,Deviation!$B$45:$C$46,2,FALSE)))),IF(AO153="Plan1",VLOOKUP(BE153,Deviation!$E$39:$F$40,2,FALSE),IF(AO153="Plan2",VLOOKUP(BE153,Deviation!$E$42:$F$43,2,FALSE),VLOOKUP(BE153,Deviation!$E$45:$F$46,2,FALSE))))),0)</f>
        <v/>
      </c>
      <c r="BK153" s="336" t="str">
        <f>IFERROR(IF(AO153="","",IF(AQ153="Dubai",IF(OR(AO153="Plan1",AO153="Plan2"),VLOOKUP(BF153,Deviation!$B$15:$D$18,2,FALSE),VLOOKUP(BF153,Deviation!$B$15:$D$18,3,FALSE)),IF(OR(AO153="Plan1",AO153="Plan2"),VLOOKUP(BF153,Deviation!$E$15:$G$18,2,FALSE),VLOOKUP(BF153,Deviation!$E$15:$G$18,3,FALSE)))),0)</f>
        <v/>
      </c>
      <c r="BL153" s="334" t="str">
        <f>IFERROR(IF(AO153="","",IF(AQ153="Dubai",VLOOKUP(BG153,Deviation!$B$24:$C$26,2,FALSE),100%)),0)</f>
        <v/>
      </c>
    </row>
    <row r="154" spans="1:64" ht="14.25" x14ac:dyDescent="0.2">
      <c r="A154" s="59">
        <v>149</v>
      </c>
      <c r="B154" s="298"/>
      <c r="C154" s="299"/>
      <c r="D154" s="298"/>
      <c r="E154" s="298"/>
      <c r="F154" s="298"/>
      <c r="G154" s="298"/>
      <c r="H154" s="298"/>
      <c r="I154" s="298"/>
      <c r="J154" s="80" t="str">
        <f>IFERROR(ROUNDDOWN(IF(C154="","",(MAX((eff_date-Additions!C154)/365.25,0))),0),"")</f>
        <v/>
      </c>
      <c r="K154" s="59" t="str">
        <f>IF(F154="","",IF(G154="Dubai",HLOOKUP(F154,Inputs!$C$26:$M$28,3,0),HLOOKUP(F154,Inputs!$C$45:$M$46,2,0)))</f>
        <v/>
      </c>
      <c r="L154" s="335" t="str">
        <f t="shared" si="65"/>
        <v/>
      </c>
      <c r="M154" s="335">
        <f t="shared" si="66"/>
        <v>0</v>
      </c>
      <c r="N154" s="335" t="str">
        <f t="shared" si="67"/>
        <v/>
      </c>
      <c r="O154" s="335">
        <f t="shared" si="68"/>
        <v>0</v>
      </c>
      <c r="Q154" s="105">
        <f t="shared" si="81"/>
        <v>0</v>
      </c>
      <c r="R154" s="59" t="b">
        <f t="shared" si="69"/>
        <v>0</v>
      </c>
      <c r="S154" s="102" t="str">
        <f t="shared" si="82"/>
        <v>x</v>
      </c>
      <c r="T154" s="102" t="str">
        <f t="shared" si="70"/>
        <v>x</v>
      </c>
      <c r="U154" s="102" t="str">
        <f t="shared" si="71"/>
        <v>x</v>
      </c>
      <c r="V154" s="102" t="str">
        <f t="shared" si="72"/>
        <v>x</v>
      </c>
      <c r="W154" s="102" t="str">
        <f t="shared" si="73"/>
        <v>x</v>
      </c>
      <c r="X154" s="102" t="str">
        <f>IF(ISERROR(MATCH(G154,'Inputs Mapping'!$T$4:$T$5,0)),"x","")</f>
        <v>x</v>
      </c>
      <c r="Y154" s="102" t="str">
        <f>IF(ISERROR(MATCH(AE154,'Inputs Mapping'!$U$4:$U$5,0)),"x","")</f>
        <v>x</v>
      </c>
      <c r="Z154" s="102" t="str">
        <f>IF(ISERROR(MATCH(AF154,'Inputs Mapping'!$V$4:$V$5,0)),"x","")</f>
        <v>x</v>
      </c>
      <c r="AA154" s="102" t="str">
        <f>IF(ISERROR(MATCH(F154,'Inputs Mapping'!$W$4:$W$8,0)),"x","")</f>
        <v>x</v>
      </c>
      <c r="AB154" s="102" t="str">
        <f t="shared" si="74"/>
        <v/>
      </c>
      <c r="AC154" s="102" t="str">
        <f t="shared" si="75"/>
        <v/>
      </c>
      <c r="AD154" s="102" t="str">
        <f t="shared" si="76"/>
        <v/>
      </c>
      <c r="AE154" s="102" t="str">
        <f t="shared" si="83"/>
        <v/>
      </c>
      <c r="AF154" s="102" t="str">
        <f t="shared" si="84"/>
        <v/>
      </c>
      <c r="AG154" s="102" t="str">
        <f t="shared" si="85"/>
        <v>x</v>
      </c>
      <c r="AK154" s="95" t="str">
        <f t="shared" si="77"/>
        <v/>
      </c>
      <c r="AL154" s="59" t="str">
        <f>IF(J154="","",VLOOKUP(J154,'Inputs Mapping'!$T$27:$V$30,3))</f>
        <v/>
      </c>
      <c r="AM154" s="59" t="str">
        <f>IF(J154="","",VLOOKUP(J154,'Inputs Mapping'!$T$17:$V$24,3))</f>
        <v/>
      </c>
      <c r="AN154" s="59" t="str">
        <f t="shared" si="78"/>
        <v/>
      </c>
      <c r="AO154" s="102" t="str">
        <f t="shared" si="79"/>
        <v/>
      </c>
      <c r="AP154" s="102" t="str">
        <f>IF(F154="","",IF(G154="Dubai",HLOOKUP(F154,Inputs!$C$26:$M$36,5,0),HLOOKUP(F154,Inputs!$C$45:$M$49,5,0)))</f>
        <v/>
      </c>
      <c r="AQ154" s="102">
        <f t="shared" si="80"/>
        <v>0</v>
      </c>
      <c r="AR154" s="59" t="str">
        <f>IF(AM154="","",IF(AQ154="Dubai",VLOOKUP(AM154,'Inputs Mapping'!$V$17:$W$24,2,0),VLOOKUP(AL154,'Inputs Mapping'!$V$27:$W$30,2,0)))</f>
        <v/>
      </c>
      <c r="AS154" s="333">
        <f>IFERROR(IF($AQ154="","",HLOOKUP($AQ154&amp;RIGHT($AO154,1),'input for formula'!$B$16:$I$20,3,0)),0)</f>
        <v>0</v>
      </c>
      <c r="AT154" s="80">
        <f>IFERROR(IF($AQ154="","",HLOOKUP($AQ154&amp;$F154,'input for formula'!$B$22:$M$25,2,0)),0)</f>
        <v>0</v>
      </c>
      <c r="AU154" s="333">
        <f>IFERROR(IF($AQ154="","",HLOOKUP($AQ154&amp;RIGHT($AO154,1),'input for formula'!$B$16:$I$20,4,0)),0)</f>
        <v>0</v>
      </c>
      <c r="AV154" s="80">
        <f>IFERROR(IF($AQ154="","",HLOOKUP($AQ154&amp;$F154,'input for formula'!$B$22:$M$25,3,0)),0)</f>
        <v>0</v>
      </c>
      <c r="AW154" s="333">
        <f>IFERROR(IF($AQ154="","",HLOOKUP($AQ154&amp;RIGHT($AO154,1),'input for formula'!$B$16:$I$20,5,0)),0)</f>
        <v>0</v>
      </c>
      <c r="AX154" s="80">
        <f>IFERROR(IF($AQ154="","",HLOOKUP($AQ154&amp;$F154,'input for formula'!$B$22:$M$25,4,0)),0)</f>
        <v>0</v>
      </c>
      <c r="AY154" s="333">
        <f>IFERROR(IF($AQ154="","",IF(Additions!$AQ154="Abu Dhabi",VLOOKUP(Additions!$AP154,'input for formula'!$A$28:$C$41,3,0),VLOOKUP(Additions!$AP154,'input for formula'!$A$28:$C$41,2,0))),0)*IFERROR(1+IF(AQ154="Dubai",VLOOKUP(F154,'Quotation for Dubai Plans'!$V$6:$X$12,3,FALSE),VLOOKUP(F154,'Quotation for Abu Dhabi Plans'!$W$6:$Y$12,3,FALSE)),0)</f>
        <v>0</v>
      </c>
      <c r="AZ154" s="80" t="str">
        <f t="shared" si="55"/>
        <v/>
      </c>
      <c r="BA154" s="106" t="str">
        <f>IFERROR(IF(AO154="","",IF(AQ154="Dubai",HLOOKUP((AO154&amp;AP154),Deviation!$B$7:$S$8,2,0)*BI154*BK154*BL154*BJ154,HLOOKUP((AO154&amp;AP154),Deviation!$B$9:$K$10,2,0)*BI154*BK154*BL154*BJ154)),0)</f>
        <v/>
      </c>
      <c r="BB154" s="107" t="e">
        <f>IF(AO154="","",IFERROR(IF(AO154="","",IF(AQ154="Dubai",HLOOKUP(BC154,'input for formula'!$B$3:$F$10,AR154,FALSE), IF(AND(H154="Employee",AQ154="Abu Dhabi"),HLOOKUP(BC154,'input for formula'!$I$3:$K$7,AR154,FALSE),HLOOKUP(BC154,'input for formula'!$M$3:$O$7,AR154,FALSE)))*BA154+AS154*AT154+AU154*AV154+AW154*AX154),0)*$BC$3)*IF(Inputs!$C$19&gt;100,(1+$BC$2),1)</f>
        <v>#VALUE!</v>
      </c>
      <c r="BC154" s="95" t="str">
        <f t="shared" si="86"/>
        <v/>
      </c>
      <c r="BD154" s="334" t="str">
        <f>IF(F154="","",IF(G154="Dubai",HLOOKUP(F154,Inputs!$C$26:$M$37,9,0),HLOOKUP(F154,Inputs!$C$45:$M$56,9,0)))</f>
        <v/>
      </c>
      <c r="BE154" s="335" t="str">
        <f>IF(F154="","",IF(G154="Dubai",HLOOKUP(F154,Inputs!$C$26:$M$37,10,0),HLOOKUP(F154,Inputs!$C$45:$M$56,10,0)))</f>
        <v/>
      </c>
      <c r="BF154" s="335" t="str">
        <f>IF(F154="","",IF(G154="Dubai",HLOOKUP(F154,Inputs!$C$26:$M$37,11,0),HLOOKUP(F154,Inputs!$C$45:$M$56,11,0)))</f>
        <v/>
      </c>
      <c r="BG154" s="334" t="str">
        <f>IF(F154="","",IF(G154="Dubai",HLOOKUP(F154,Inputs!$C$26:$M$37,12,0),HLOOKUP(F154,Inputs!$C$45:$M$56,12,0)))</f>
        <v/>
      </c>
      <c r="BI154" s="334" t="str">
        <f>IFERROR(IF(AO154="","",IF(AQ154="Dubai",IF(OR(AO154="Plan1",AO154="Plan2"),VLOOKUP(BD154,Deviation!$B$31:$D$33,2,FALSE),VLOOKUP(BD154,Deviation!$B$31:$D$33,3,FALSE)),IF(OR(AO154="Plan1",AO154="Plan2"),VLOOKUP(BD154,Deviation!$E$31:$G$33,2,FALSE),VLOOKUP(BD154,Deviation!$E$31:$G$33,3,FALSE)))),0)</f>
        <v/>
      </c>
      <c r="BJ154" s="336" t="str">
        <f>IFERROR(IF(AO154="","",IF(AQ154="Dubai",IF(AO154="Plan1",VLOOKUP(BE154,Deviation!$B$39:$C$40,2,FALSE),IF(AO154="Plan2",VLOOKUP(BE154,Deviation!$B$42:$C$43,2,FALSE),IF(AO154="Plan5",VLOOKUP(BE154,Deviation!$B$48:$C$49,2,FALSE),VLOOKUP(BE154,Deviation!$B$45:$C$46,2,FALSE)))),IF(AO154="Plan1",VLOOKUP(BE154,Deviation!$E$39:$F$40,2,FALSE),IF(AO154="Plan2",VLOOKUP(BE154,Deviation!$E$42:$F$43,2,FALSE),VLOOKUP(BE154,Deviation!$E$45:$F$46,2,FALSE))))),0)</f>
        <v/>
      </c>
      <c r="BK154" s="336" t="str">
        <f>IFERROR(IF(AO154="","",IF(AQ154="Dubai",IF(OR(AO154="Plan1",AO154="Plan2"),VLOOKUP(BF154,Deviation!$B$15:$D$18,2,FALSE),VLOOKUP(BF154,Deviation!$B$15:$D$18,3,FALSE)),IF(OR(AO154="Plan1",AO154="Plan2"),VLOOKUP(BF154,Deviation!$E$15:$G$18,2,FALSE),VLOOKUP(BF154,Deviation!$E$15:$G$18,3,FALSE)))),0)</f>
        <v/>
      </c>
      <c r="BL154" s="334" t="str">
        <f>IFERROR(IF(AO154="","",IF(AQ154="Dubai",VLOOKUP(BG154,Deviation!$B$24:$C$26,2,FALSE),100%)),0)</f>
        <v/>
      </c>
    </row>
    <row r="155" spans="1:64" ht="15" customHeight="1" x14ac:dyDescent="0.2">
      <c r="A155" s="59">
        <v>150</v>
      </c>
      <c r="B155" s="298"/>
      <c r="C155" s="299"/>
      <c r="D155" s="298"/>
      <c r="E155" s="298"/>
      <c r="F155" s="298"/>
      <c r="G155" s="298"/>
      <c r="H155" s="298"/>
      <c r="I155" s="298"/>
      <c r="J155" s="80" t="str">
        <f>IFERROR(ROUNDDOWN(IF(C155="","",(MAX((eff_date-Additions!C155)/365.25,0))),0),"")</f>
        <v/>
      </c>
      <c r="K155" s="59" t="str">
        <f>IF(F155="","",IF(G155="Dubai",HLOOKUP(F155,Inputs!$C$26:$M$28,3,0),HLOOKUP(F155,Inputs!$C$45:$M$46,2,0)))</f>
        <v/>
      </c>
      <c r="L155" s="335" t="str">
        <f t="shared" si="65"/>
        <v/>
      </c>
      <c r="M155" s="335">
        <f t="shared" si="66"/>
        <v>0</v>
      </c>
      <c r="N155" s="335" t="str">
        <f t="shared" si="67"/>
        <v/>
      </c>
      <c r="O155" s="335">
        <f t="shared" si="68"/>
        <v>0</v>
      </c>
      <c r="Q155" s="105">
        <f t="shared" si="81"/>
        <v>0</v>
      </c>
      <c r="R155" s="59" t="b">
        <f>NOT(AND(ISBLANK(C155),ISBLANK(D155),ISBLANK(E155),ISBLANK(F155),ISBLANK(G155)))</f>
        <v>0</v>
      </c>
      <c r="S155" s="102" t="str">
        <f t="shared" si="82"/>
        <v>x</v>
      </c>
      <c r="T155" s="102" t="str">
        <f t="shared" si="70"/>
        <v>x</v>
      </c>
      <c r="U155" s="102" t="str">
        <f t="shared" si="71"/>
        <v>x</v>
      </c>
      <c r="V155" s="102" t="str">
        <f t="shared" si="72"/>
        <v>x</v>
      </c>
      <c r="W155" s="102" t="str">
        <f t="shared" si="73"/>
        <v>x</v>
      </c>
      <c r="X155" s="102" t="str">
        <f>IF(ISERROR(MATCH(G155,'Inputs Mapping'!$T$4:$T$5,0)),"x","")</f>
        <v>x</v>
      </c>
      <c r="Y155" s="102" t="str">
        <f>IF(ISERROR(MATCH(AE155,'Inputs Mapping'!$U$4:$U$5,0)),"x","")</f>
        <v>x</v>
      </c>
      <c r="Z155" s="102" t="str">
        <f>IF(ISERROR(MATCH(AF155,'Inputs Mapping'!$V$4:$V$5,0)),"x","")</f>
        <v>x</v>
      </c>
      <c r="AA155" s="102" t="str">
        <f>IF(ISERROR(MATCH(F155,'Inputs Mapping'!$W$4:$W$8,0)),"x","")</f>
        <v>x</v>
      </c>
      <c r="AB155" s="102" t="str">
        <f>IF(ISBLANK(C155),"",IF(OR(ISERROR(J155),NOT(ISNUMBER(C155))),"x",""))</f>
        <v/>
      </c>
      <c r="AC155" s="102" t="str">
        <f>IF(ISBLANK(C155),"",IF(ISERROR(J155),"",""))</f>
        <v/>
      </c>
      <c r="AD155" s="102" t="str">
        <f t="shared" si="76"/>
        <v/>
      </c>
      <c r="AE155" s="102" t="str">
        <f t="shared" si="83"/>
        <v/>
      </c>
      <c r="AF155" s="102" t="str">
        <f t="shared" si="84"/>
        <v/>
      </c>
      <c r="AG155" s="102" t="str">
        <f t="shared" si="85"/>
        <v>x</v>
      </c>
      <c r="AK155" s="95" t="str">
        <f t="shared" si="77"/>
        <v/>
      </c>
      <c r="AL155" s="59" t="str">
        <f>IF(J155="","",VLOOKUP(J155,'Inputs Mapping'!$T$27:$V$30,3))</f>
        <v/>
      </c>
      <c r="AM155" s="59" t="str">
        <f>IF(J155="","",VLOOKUP(J155,'Inputs Mapping'!$T$17:$V$24,3))</f>
        <v/>
      </c>
      <c r="AN155" s="59" t="str">
        <f t="shared" si="78"/>
        <v/>
      </c>
      <c r="AO155" s="102" t="str">
        <f t="shared" si="79"/>
        <v/>
      </c>
      <c r="AP155" s="102" t="str">
        <f>IF(F155="","",IF(G155="Dubai",HLOOKUP(F155,Inputs!$C$26:$M$36,5,0),HLOOKUP(F155,Inputs!$C$45:$M$49,5,0)))</f>
        <v/>
      </c>
      <c r="AQ155" s="102">
        <f t="shared" si="80"/>
        <v>0</v>
      </c>
      <c r="AR155" s="59" t="str">
        <f>IF(AM155="","",IF(AQ155="Dubai",VLOOKUP(AM155,'Inputs Mapping'!$V$17:$W$24,2,0),VLOOKUP(AL155,'Inputs Mapping'!$V$27:$W$30,2,0)))</f>
        <v/>
      </c>
      <c r="AS155" s="333">
        <f>IFERROR(IF($AQ155="","",HLOOKUP($AQ155&amp;RIGHT($AO155,1),'input for formula'!$B$16:$I$20,3,0)),0)</f>
        <v>0</v>
      </c>
      <c r="AT155" s="80">
        <f>IFERROR(IF($AQ155="","",HLOOKUP($AQ155&amp;$F155,'input for formula'!$B$22:$M$25,2,0)),0)</f>
        <v>0</v>
      </c>
      <c r="AU155" s="333">
        <f>IFERROR(IF($AQ155="","",HLOOKUP($AQ155&amp;RIGHT($AO155,1),'input for formula'!$B$16:$I$20,4,0)),0)</f>
        <v>0</v>
      </c>
      <c r="AV155" s="80">
        <f>IFERROR(IF($AQ155="","",HLOOKUP($AQ155&amp;$F155,'input for formula'!$B$22:$M$25,3,0)),0)</f>
        <v>0</v>
      </c>
      <c r="AW155" s="333">
        <f>IFERROR(IF($AQ155="","",HLOOKUP($AQ155&amp;RIGHT($AO155,1),'input for formula'!$B$16:$I$20,5,0)),0)</f>
        <v>0</v>
      </c>
      <c r="AX155" s="80">
        <f>IFERROR(IF($AQ155="","",HLOOKUP($AQ155&amp;$F155,'input for formula'!$B$22:$M$25,4,0)),0)</f>
        <v>0</v>
      </c>
      <c r="AY155" s="333">
        <f>IFERROR(IF($AQ155="","",IF(Additions!$AQ155="Abu Dhabi",VLOOKUP(Additions!$AP155,'input for formula'!$A$28:$C$41,3,0),VLOOKUP(Additions!$AP155,'input for formula'!$A$28:$C$41,2,0))),0)*IFERROR(1+IF(AQ155="Dubai",VLOOKUP(F155,'Quotation for Dubai Plans'!$V$6:$X$12,3,FALSE),VLOOKUP(F155,'Quotation for Abu Dhabi Plans'!$W$6:$Y$12,3,FALSE)),0)</f>
        <v>0</v>
      </c>
      <c r="AZ155" s="80" t="str">
        <f t="shared" si="55"/>
        <v/>
      </c>
      <c r="BA155" s="106" t="str">
        <f>IFERROR(IF(AO155="","",IF(AQ155="Dubai",HLOOKUP((AO155&amp;AP155),Deviation!$B$7:$S$8,2,0)*BI155*BK155*BL155*BJ155,HLOOKUP((AO155&amp;AP155),Deviation!$B$9:$K$10,2,0)*BI155*BK155*BL155*BJ155)),0)</f>
        <v/>
      </c>
      <c r="BB155" s="107" t="e">
        <f>IF(AO155="","",IFERROR(IF(AO155="","",IF(AQ155="Dubai",HLOOKUP(BC155,'input for formula'!$B$3:$F$10,AR155,FALSE), IF(AND(H155="Employee",AQ155="Abu Dhabi"),HLOOKUP(BC155,'input for formula'!$I$3:$K$7,AR155,FALSE),HLOOKUP(BC155,'input for formula'!$M$3:$O$7,AR155,FALSE)))*BA155+AS155*AT155+AU155*AV155+AW155*AX155),0)*$BC$3)*IF(Inputs!$C$19&gt;100,(1+$BC$2),1)</f>
        <v>#VALUE!</v>
      </c>
      <c r="BC155" s="95" t="str">
        <f t="shared" si="86"/>
        <v/>
      </c>
      <c r="BD155" s="334" t="str">
        <f>IF(F155="","",IF(G155="Dubai",HLOOKUP(F155,Inputs!$C$26:$M$37,9,0),HLOOKUP(F155,Inputs!$C$45:$M$56,9,0)))</f>
        <v/>
      </c>
      <c r="BE155" s="335" t="str">
        <f>IF(F155="","",IF(G155="Dubai",HLOOKUP(F155,Inputs!$C$26:$M$37,10,0),HLOOKUP(F155,Inputs!$C$45:$M$56,10,0)))</f>
        <v/>
      </c>
      <c r="BF155" s="335" t="str">
        <f>IF(F155="","",IF(G155="Dubai",HLOOKUP(F155,Inputs!$C$26:$M$37,11,0),HLOOKUP(F155,Inputs!$C$45:$M$56,11,0)))</f>
        <v/>
      </c>
      <c r="BG155" s="334" t="str">
        <f>IF(F155="","",IF(G155="Dubai",HLOOKUP(F155,Inputs!$C$26:$M$37,12,0),HLOOKUP(F155,Inputs!$C$45:$M$56,12,0)))</f>
        <v/>
      </c>
      <c r="BI155" s="334" t="str">
        <f>IFERROR(IF(AO155="","",IF(AQ155="Dubai",IF(OR(AO155="Plan1",AO155="Plan2"),VLOOKUP(BD155,Deviation!$B$31:$D$33,2,FALSE),VLOOKUP(BD155,Deviation!$B$31:$D$33,3,FALSE)),IF(OR(AO155="Plan1",AO155="Plan2"),VLOOKUP(BD155,Deviation!$E$31:$G$33,2,FALSE),VLOOKUP(BD155,Deviation!$E$31:$G$33,3,FALSE)))),0)</f>
        <v/>
      </c>
      <c r="BJ155" s="336" t="str">
        <f>IFERROR(IF(AO155="","",IF(AQ155="Dubai",IF(AO155="Plan1",VLOOKUP(BE155,Deviation!$B$39:$C$40,2,FALSE),IF(AO155="Plan2",VLOOKUP(BE155,Deviation!$B$42:$C$43,2,FALSE),IF(AO155="Plan5",VLOOKUP(BE155,Deviation!$B$48:$C$49,2,FALSE),VLOOKUP(BE155,Deviation!$B$45:$C$46,2,FALSE)))),IF(AO155="Plan1",VLOOKUP(BE155,Deviation!$E$39:$F$40,2,FALSE),IF(AO155="Plan2",VLOOKUP(BE155,Deviation!$E$42:$F$43,2,FALSE),VLOOKUP(BE155,Deviation!$E$45:$F$46,2,FALSE))))),0)</f>
        <v/>
      </c>
      <c r="BK155" s="336" t="str">
        <f>IFERROR(IF(AO155="","",IF(AQ155="Dubai",IF(OR(AO155="Plan1",AO155="Plan2"),VLOOKUP(BF155,Deviation!$B$15:$D$18,2,FALSE),VLOOKUP(BF155,Deviation!$B$15:$D$18,3,FALSE)),IF(OR(AO155="Plan1",AO155="Plan2"),VLOOKUP(BF155,Deviation!$E$15:$G$18,2,FALSE),VLOOKUP(BF155,Deviation!$E$15:$G$18,3,FALSE)))),0)</f>
        <v/>
      </c>
      <c r="BL155" s="334" t="str">
        <f>IFERROR(IF(AO155="","",IF(AQ155="Dubai",VLOOKUP(BG155,Deviation!$B$24:$C$26,2,FALSE),100%)),0)</f>
        <v/>
      </c>
    </row>
    <row r="156" spans="1:64" ht="14.25" hidden="1" customHeight="1" x14ac:dyDescent="0.2"/>
    <row r="157" spans="1:64" ht="14.25" hidden="1" customHeight="1" x14ac:dyDescent="0.2"/>
    <row r="158" spans="1:64" ht="14.25" hidden="1" customHeight="1" x14ac:dyDescent="0.2"/>
    <row r="159" spans="1:64" ht="14.25" hidden="1" customHeight="1" x14ac:dyDescent="0.2"/>
    <row r="160" spans="1:64" ht="14.25" hidden="1" customHeight="1" x14ac:dyDescent="0.2"/>
    <row r="161" ht="14.25" hidden="1" customHeight="1" x14ac:dyDescent="0.2"/>
    <row r="162" ht="14.25" hidden="1" customHeight="1" x14ac:dyDescent="0.2"/>
    <row r="163" ht="14.25" hidden="1" customHeight="1" x14ac:dyDescent="0.2"/>
    <row r="164" ht="14.25" hidden="1" customHeight="1" x14ac:dyDescent="0.2"/>
    <row r="165" ht="14.25" hidden="1" customHeight="1" x14ac:dyDescent="0.2"/>
    <row r="166" ht="14.25" hidden="1" customHeight="1" x14ac:dyDescent="0.2"/>
    <row r="167" ht="14.25" hidden="1" customHeight="1" x14ac:dyDescent="0.2"/>
    <row r="168" ht="14.25" hidden="1" customHeight="1" x14ac:dyDescent="0.2"/>
    <row r="169" ht="14.25" hidden="1" customHeight="1" x14ac:dyDescent="0.2"/>
    <row r="170" ht="14.25" hidden="1" customHeight="1" x14ac:dyDescent="0.2"/>
    <row r="171" ht="14.25" hidden="1" customHeight="1" x14ac:dyDescent="0.2"/>
    <row r="172" ht="14.25" hidden="1" customHeight="1" x14ac:dyDescent="0.2"/>
    <row r="173" ht="14.25" hidden="1" customHeight="1" x14ac:dyDescent="0.2"/>
    <row r="174" ht="14.25" hidden="1" customHeight="1" x14ac:dyDescent="0.2"/>
    <row r="175" ht="14.25" hidden="1" customHeight="1" x14ac:dyDescent="0.2"/>
    <row r="176" ht="14.25" hidden="1" customHeight="1" x14ac:dyDescent="0.2"/>
    <row r="177" ht="14.25" hidden="1" customHeight="1" x14ac:dyDescent="0.2"/>
    <row r="178" ht="14.25" hidden="1" customHeight="1" x14ac:dyDescent="0.2"/>
    <row r="179" ht="14.25" hidden="1" customHeight="1" x14ac:dyDescent="0.2"/>
  </sheetData>
  <sheetProtection algorithmName="SHA-512" hashValue="MWAUw4uKIhi5JYBtP4uJgQFnlRuNr+uKd+X4bmOvAIN2fxHmMh6+eV7oJviA3uL9bsoMt8B/Zwg4zupGG2AliA==" saltValue="ssG3G8Uq6U2CvLi7IZWMlg==" spinCount="100000" sheet="1" objects="1" scenarios="1"/>
  <mergeCells count="5">
    <mergeCell ref="D1:E1"/>
    <mergeCell ref="AO4:BB4"/>
    <mergeCell ref="BD4:BG4"/>
    <mergeCell ref="BI4:BL4"/>
    <mergeCell ref="P5:Q5"/>
  </mergeCells>
  <conditionalFormatting sqref="J6:J155">
    <cfRule type="cellIs" dxfId="2" priority="22" operator="greaterThanOrEqual">
      <formula>60</formula>
    </cfRule>
  </conditionalFormatting>
  <conditionalFormatting sqref="F1">
    <cfRule type="cellIs" dxfId="1" priority="18" operator="greaterThan">
      <formula>0</formula>
    </cfRule>
    <cfRule type="expression" dxfId="0" priority="21">
      <formula>$G$1&gt;0</formula>
    </cfRule>
  </conditionalFormatting>
  <conditionalFormatting sqref="Q6:Q155">
    <cfRule type="iconSet" priority="1">
      <iconSet iconSet="3Symbols2">
        <cfvo type="percent" val="0"/>
        <cfvo type="num" val="0"/>
        <cfvo type="num" val="1"/>
      </iconSet>
    </cfRule>
  </conditionalFormatting>
  <dataValidations disablePrompts="1" count="2">
    <dataValidation operator="greaterThan" showInputMessage="1" showErrorMessage="1" sqref="J6:J155" xr:uid="{00000000-0002-0000-1200-000000000000}"/>
    <dataValidation type="date" operator="greaterThanOrEqual" allowBlank="1" showInputMessage="1" showErrorMessage="1" sqref="I6:I155" xr:uid="{00000000-0002-0000-1200-000001000000}">
      <formula1>eff_date</formula1>
    </dataValidation>
  </dataValidations>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9014C49AE584478A6D98E27F982058" ma:contentTypeVersion="19" ma:contentTypeDescription="Create a new document." ma:contentTypeScope="" ma:versionID="8ef254272e1f1c9887e29fe2c3c95347">
  <xsd:schema xmlns:xsd="http://www.w3.org/2001/XMLSchema" xmlns:xs="http://www.w3.org/2001/XMLSchema" xmlns:p="http://schemas.microsoft.com/office/2006/metadata/properties" xmlns:ns2="b0b45682-ec7f-43d8-8aaf-246c68ba1cb6" xmlns:ns3="bd352e38-0e45-495c-8f3e-b8051e5bca65" targetNamespace="http://schemas.microsoft.com/office/2006/metadata/properties" ma:root="true" ma:fieldsID="ca6dfe823995f13b74800522f7acdd6a" ns2:_="" ns3:_="">
    <xsd:import namespace="b0b45682-ec7f-43d8-8aaf-246c68ba1cb6"/>
    <xsd:import namespace="bd352e38-0e45-495c-8f3e-b8051e5bca6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TaxCatchAll" minOccurs="0"/>
                <xsd:element ref="ns3:lcf76f155ced4ddcb4097134ff3c332f"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b45682-ec7f-43d8-8aaf-246c68ba1cb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5d441497-b5e0-4419-b47e-c573f7017a03}" ma:internalName="TaxCatchAll" ma:showField="CatchAllData" ma:web="b0b45682-ec7f-43d8-8aaf-246c68ba1c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352e38-0e45-495c-8f3e-b8051e5bca6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8f60f6e-4c54-4b06-a919-0565a8deea4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0b45682-ec7f-43d8-8aaf-246c68ba1cb6" xsi:nil="true"/>
    <lcf76f155ced4ddcb4097134ff3c332f xmlns="bd352e38-0e45-495c-8f3e-b8051e5bca6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3D40DB9-2EFD-4C1F-A739-708D26C933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b45682-ec7f-43d8-8aaf-246c68ba1cb6"/>
    <ds:schemaRef ds:uri="bd352e38-0e45-495c-8f3e-b8051e5bca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EBDF0F-C78F-404C-B7D5-BCAAD81106D6}">
  <ds:schemaRefs>
    <ds:schemaRef ds:uri="http://schemas.microsoft.com/sharepoint/v3/contenttype/forms"/>
  </ds:schemaRefs>
</ds:datastoreItem>
</file>

<file path=customXml/itemProps3.xml><?xml version="1.0" encoding="utf-8"?>
<ds:datastoreItem xmlns:ds="http://schemas.openxmlformats.org/officeDocument/2006/customXml" ds:itemID="{24A4087B-47C1-4630-AE5A-7D0237CB9240}">
  <ds:schemaRefs>
    <ds:schemaRef ds:uri="http://schemas.microsoft.com/office/2006/metadata/properties"/>
    <ds:schemaRef ds:uri="http://schemas.microsoft.com/office/infopath/2007/PartnerControls"/>
    <ds:schemaRef ds:uri="b0b45682-ec7f-43d8-8aaf-246c68ba1cb6"/>
    <ds:schemaRef ds:uri="bd352e38-0e45-495c-8f3e-b8051e5bca65"/>
  </ds:schemaRefs>
</ds:datastoreItem>
</file>

<file path=docMetadata/LabelInfo.xml><?xml version="1.0" encoding="utf-8"?>
<clbl:labelList xmlns:clbl="http://schemas.microsoft.com/office/2020/mipLabelMetadata">
  <clbl:label id="{0b60b1aa-5463-455a-9f86-2156b1943906}" enabled="1" method="Standard" siteId="{08ac4503-bab9-4ee3-b714-6c3af55ef9b2}"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87</vt:i4>
      </vt:variant>
    </vt:vector>
  </HeadingPairs>
  <TitlesOfParts>
    <vt:vector size="106" baseType="lpstr">
      <vt:lpstr>Guidelines</vt:lpstr>
      <vt:lpstr>Inputs</vt:lpstr>
      <vt:lpstr>Loadings</vt:lpstr>
      <vt:lpstr>Loading</vt:lpstr>
      <vt:lpstr>Census Data</vt:lpstr>
      <vt:lpstr>Inputs Mapping</vt:lpstr>
      <vt:lpstr>input for formula</vt:lpstr>
      <vt:lpstr>Computation</vt:lpstr>
      <vt:lpstr>Deviation</vt:lpstr>
      <vt:lpstr>Rates</vt:lpstr>
      <vt:lpstr>Quotation for Dubai Plans</vt:lpstr>
      <vt:lpstr>Quotation for Abu Dhabi Plans</vt:lpstr>
      <vt:lpstr>Selected TOB DXB</vt:lpstr>
      <vt:lpstr>Selected TOB AUH</vt:lpstr>
      <vt:lpstr>Plans -Dubai &amp; Other Emirates</vt:lpstr>
      <vt:lpstr>Plans-Abudhabi &amp; Al Ain Emirate</vt:lpstr>
      <vt:lpstr>Protection</vt:lpstr>
      <vt:lpstr>GAF</vt:lpstr>
      <vt:lpstr>Additions</vt:lpstr>
      <vt:lpstr>AUH_CAT_A_above69_Dependent</vt:lpstr>
      <vt:lpstr>AUH_CAT_A_above69_Employee</vt:lpstr>
      <vt:lpstr>AUH_CAT_A_above69_Maternity</vt:lpstr>
      <vt:lpstr>AUH_CAT_B_above69_Dependent</vt:lpstr>
      <vt:lpstr>AUH_CAT_B_above69_Employee</vt:lpstr>
      <vt:lpstr>AUH_CAT_B_above69_Maternity</vt:lpstr>
      <vt:lpstr>AUH_CAT_C_above69_Dependent</vt:lpstr>
      <vt:lpstr>AUH_CAT_C_above69_Employee</vt:lpstr>
      <vt:lpstr>AUH_CAT_C_above69_Maternity</vt:lpstr>
      <vt:lpstr>AUH_Plan1</vt:lpstr>
      <vt:lpstr>AUH_Plan2</vt:lpstr>
      <vt:lpstr>AUH_Plan3</vt:lpstr>
      <vt:lpstr>AUHPharm1</vt:lpstr>
      <vt:lpstr>AUHPharm2</vt:lpstr>
      <vt:lpstr>AUHPharm3</vt:lpstr>
      <vt:lpstr>AUHPlan1</vt:lpstr>
      <vt:lpstr>AUHPlan2</vt:lpstr>
      <vt:lpstr>AUHPlan3</vt:lpstr>
      <vt:lpstr>BASMAH_FEE</vt:lpstr>
      <vt:lpstr>Broker_Commissions</vt:lpstr>
      <vt:lpstr>check_min_per_cat</vt:lpstr>
      <vt:lpstr>complete_plan_input</vt:lpstr>
      <vt:lpstr>data_check</vt:lpstr>
      <vt:lpstr>DHA_Report_Claims_Experience</vt:lpstr>
      <vt:lpstr>DXB_CAT_A_above69</vt:lpstr>
      <vt:lpstr>DXB_CAT_B_above69</vt:lpstr>
      <vt:lpstr>DXB_CAT_C_above69</vt:lpstr>
      <vt:lpstr>DXBPharm1</vt:lpstr>
      <vt:lpstr>DXBPharm2</vt:lpstr>
      <vt:lpstr>DXBPharm3</vt:lpstr>
      <vt:lpstr>DXBPharm4</vt:lpstr>
      <vt:lpstr>DXBPharm5</vt:lpstr>
      <vt:lpstr>DXBPlan1</vt:lpstr>
      <vt:lpstr>DXBPlan2</vt:lpstr>
      <vt:lpstr>DXBPlan3</vt:lpstr>
      <vt:lpstr>DXBPlan4</vt:lpstr>
      <vt:lpstr>DXBPlan5</vt:lpstr>
      <vt:lpstr>Inputs!eff_date</vt:lpstr>
      <vt:lpstr>Loadings!eff_date</vt:lpstr>
      <vt:lpstr>eff_date</vt:lpstr>
      <vt:lpstr>Inputs!end_date</vt:lpstr>
      <vt:lpstr>Loadings!end_date</vt:lpstr>
      <vt:lpstr>end_date</vt:lpstr>
      <vt:lpstr>General_Expenses</vt:lpstr>
      <vt:lpstr>Group_Size</vt:lpstr>
      <vt:lpstr>ICP_FEE</vt:lpstr>
      <vt:lpstr>Loadings</vt:lpstr>
      <vt:lpstr>Minimum_Employees</vt:lpstr>
      <vt:lpstr>Nationality</vt:lpstr>
      <vt:lpstr>Number_Of_CAT_AUH</vt:lpstr>
      <vt:lpstr>Number_Of_CAT_DXB</vt:lpstr>
      <vt:lpstr>Number_Of_Schemes_AUH</vt:lpstr>
      <vt:lpstr>Number_Of_Schemes_Checking_AUH</vt:lpstr>
      <vt:lpstr>Number_Of_Schemes_Checking_DXB</vt:lpstr>
      <vt:lpstr>Number_Of_Schemes_DXB</vt:lpstr>
      <vt:lpstr>Other_Broker_Checking</vt:lpstr>
      <vt:lpstr>Picture_Place1</vt:lpstr>
      <vt:lpstr>Picture_Place2</vt:lpstr>
      <vt:lpstr>Picture_Place3</vt:lpstr>
      <vt:lpstr>Picture_Place4</vt:lpstr>
      <vt:lpstr>Picture_Place5</vt:lpstr>
      <vt:lpstr>Picture_Place6</vt:lpstr>
      <vt:lpstr>Plan1</vt:lpstr>
      <vt:lpstr>Plan2</vt:lpstr>
      <vt:lpstr>Plan3</vt:lpstr>
      <vt:lpstr>Plan4</vt:lpstr>
      <vt:lpstr>Plan5</vt:lpstr>
      <vt:lpstr>Plan6</vt:lpstr>
      <vt:lpstr>Inputs!Plans_AUH</vt:lpstr>
      <vt:lpstr>Plans_AUH</vt:lpstr>
      <vt:lpstr>Plans_DXB</vt:lpstr>
      <vt:lpstr>plans_dxb_new</vt:lpstr>
      <vt:lpstr>GAF!Print_Area</vt:lpstr>
      <vt:lpstr>'Plans -Dubai &amp; Other Emirates'!Print_Area</vt:lpstr>
      <vt:lpstr>'Plans-Abudhabi &amp; Al Ain Emirate'!Print_Area</vt:lpstr>
      <vt:lpstr>'Quotation for Abu Dhabi Plans'!Print_Area</vt:lpstr>
      <vt:lpstr>'Quotation for Dubai Plans'!Print_Area</vt:lpstr>
      <vt:lpstr>Rates!Print_Area</vt:lpstr>
      <vt:lpstr>'Selected TOB AUH'!Print_Area</vt:lpstr>
      <vt:lpstr>'Selected TOB DXB'!Print_Area</vt:lpstr>
      <vt:lpstr>'Plans -Dubai &amp; Other Emirates'!Print_Titles</vt:lpstr>
      <vt:lpstr>'Plans-Abudhabi &amp; Al Ain Emirate'!Print_Titles</vt:lpstr>
      <vt:lpstr>'Selected TOB AUH'!Print_Titles</vt:lpstr>
      <vt:lpstr>'Selected TOB DXB'!Print_Titles</vt:lpstr>
      <vt:lpstr>RI_Margin</vt:lpstr>
      <vt:lpstr>VAT</vt:lpstr>
      <vt:lpstr>Visa_Emirate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Qasim Chughtai</dc:creator>
  <cp:keywords/>
  <dc:description/>
  <cp:lastModifiedBy>rpa-dev</cp:lastModifiedBy>
  <cp:revision/>
  <dcterms:created xsi:type="dcterms:W3CDTF">2016-03-10T08:12:08Z</dcterms:created>
  <dcterms:modified xsi:type="dcterms:W3CDTF">2025-04-22T11:37:08Z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3bc15e-e7bf-41c1-bdb3-03882d8a2e2c_Enabled">
    <vt:lpwstr>true</vt:lpwstr>
  </property>
  <property fmtid="{D5CDD505-2E9C-101B-9397-08002B2CF9AE}" pid="3" name="MSIP_Label_863bc15e-e7bf-41c1-bdb3-03882d8a2e2c_SetDate">
    <vt:lpwstr>2024-11-29T12:59:56Z</vt:lpwstr>
  </property>
  <property fmtid="{D5CDD505-2E9C-101B-9397-08002B2CF9AE}" pid="4" name="MSIP_Label_863bc15e-e7bf-41c1-bdb3-03882d8a2e2c_Method">
    <vt:lpwstr>Privileged</vt:lpwstr>
  </property>
  <property fmtid="{D5CDD505-2E9C-101B-9397-08002B2CF9AE}" pid="5" name="MSIP_Label_863bc15e-e7bf-41c1-bdb3-03882d8a2e2c_Name">
    <vt:lpwstr>863bc15e-e7bf-41c1-bdb3-03882d8a2e2c</vt:lpwstr>
  </property>
  <property fmtid="{D5CDD505-2E9C-101B-9397-08002B2CF9AE}" pid="6" name="MSIP_Label_863bc15e-e7bf-41c1-bdb3-03882d8a2e2c_SiteId">
    <vt:lpwstr>6e06e42d-6925-47c6-b9e7-9581c7ca302a</vt:lpwstr>
  </property>
  <property fmtid="{D5CDD505-2E9C-101B-9397-08002B2CF9AE}" pid="7" name="MSIP_Label_863bc15e-e7bf-41c1-bdb3-03882d8a2e2c_ActionId">
    <vt:lpwstr>ba28a5c3-d8be-4c8f-9a3b-3b49787ab61a</vt:lpwstr>
  </property>
  <property fmtid="{D5CDD505-2E9C-101B-9397-08002B2CF9AE}" pid="8" name="MSIP_Label_863bc15e-e7bf-41c1-bdb3-03882d8a2e2c_ContentBits">
    <vt:lpwstr>1</vt:lpwstr>
  </property>
  <property fmtid="{D5CDD505-2E9C-101B-9397-08002B2CF9AE}" pid="9" name="ContentTypeId">
    <vt:lpwstr>0x010100D19014C49AE584478A6D98E27F982058</vt:lpwstr>
  </property>
</Properties>
</file>