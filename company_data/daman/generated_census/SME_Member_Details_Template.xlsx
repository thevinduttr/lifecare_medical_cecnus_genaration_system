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gospringcom-my.sharepoint.com/personal/thevindu_r_algospring_com/Documents/Desktop/Medical_RPA_Systems/LifeCare_International/company_data/daman/generated_census/"/>
    </mc:Choice>
  </mc:AlternateContent>
  <xr:revisionPtr revIDLastSave="0" documentId="11_99FF190971C3C629EC775ABC939087EDBD8BF27A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mber_Details" sheetId="1" r:id="rId1"/>
  </sheets>
  <definedNames>
    <definedName name="_xlnm._FilterDatabase" localSheetId="0" hidden="1">Member_Details!$A$51:$X$51</definedName>
    <definedName name="Error_Member">Member_Details!$B$29</definedName>
    <definedName name="Error_Section">Member_Details!$29:$41</definedName>
    <definedName name="Member_Input">Member_Details!$B$52:$G$201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1" l="1"/>
  <c r="G201" i="1"/>
  <c r="J201" i="1" s="1"/>
  <c r="M200" i="1"/>
  <c r="L200" i="1"/>
  <c r="H200" i="1"/>
  <c r="G200" i="1"/>
  <c r="J200" i="1" s="1"/>
  <c r="U200" i="1" s="1"/>
  <c r="R199" i="1"/>
  <c r="J199" i="1"/>
  <c r="H199" i="1"/>
  <c r="G199" i="1"/>
  <c r="H198" i="1"/>
  <c r="G198" i="1"/>
  <c r="J198" i="1" s="1"/>
  <c r="H197" i="1"/>
  <c r="G197" i="1"/>
  <c r="J197" i="1" s="1"/>
  <c r="L196" i="1"/>
  <c r="H196" i="1"/>
  <c r="G196" i="1"/>
  <c r="J196" i="1" s="1"/>
  <c r="S195" i="1"/>
  <c r="R195" i="1"/>
  <c r="J195" i="1"/>
  <c r="H195" i="1"/>
  <c r="G195" i="1"/>
  <c r="H194" i="1"/>
  <c r="G194" i="1"/>
  <c r="J194" i="1" s="1"/>
  <c r="H193" i="1"/>
  <c r="G193" i="1"/>
  <c r="J193" i="1" s="1"/>
  <c r="M192" i="1"/>
  <c r="L192" i="1"/>
  <c r="H192" i="1"/>
  <c r="G192" i="1"/>
  <c r="J192" i="1" s="1"/>
  <c r="U192" i="1" s="1"/>
  <c r="R191" i="1"/>
  <c r="J191" i="1"/>
  <c r="H191" i="1"/>
  <c r="G191" i="1"/>
  <c r="H190" i="1"/>
  <c r="G190" i="1"/>
  <c r="J190" i="1" s="1"/>
  <c r="H189" i="1"/>
  <c r="G189" i="1"/>
  <c r="J189" i="1" s="1"/>
  <c r="U188" i="1"/>
  <c r="T188" i="1"/>
  <c r="M188" i="1"/>
  <c r="L188" i="1"/>
  <c r="J188" i="1"/>
  <c r="S188" i="1" s="1"/>
  <c r="H188" i="1"/>
  <c r="G188" i="1"/>
  <c r="S187" i="1"/>
  <c r="J187" i="1"/>
  <c r="H187" i="1"/>
  <c r="G187" i="1"/>
  <c r="Q186" i="1"/>
  <c r="P186" i="1"/>
  <c r="H186" i="1"/>
  <c r="G186" i="1"/>
  <c r="J186" i="1" s="1"/>
  <c r="T185" i="1"/>
  <c r="N185" i="1"/>
  <c r="L185" i="1"/>
  <c r="H185" i="1"/>
  <c r="G185" i="1"/>
  <c r="J185" i="1" s="1"/>
  <c r="O185" i="1" s="1"/>
  <c r="J184" i="1"/>
  <c r="H184" i="1"/>
  <c r="G184" i="1"/>
  <c r="H183" i="1"/>
  <c r="G183" i="1"/>
  <c r="J183" i="1" s="1"/>
  <c r="P182" i="1"/>
  <c r="N182" i="1"/>
  <c r="H182" i="1"/>
  <c r="G182" i="1"/>
  <c r="J182" i="1" s="1"/>
  <c r="O181" i="1"/>
  <c r="N181" i="1"/>
  <c r="H181" i="1"/>
  <c r="G181" i="1"/>
  <c r="J181" i="1" s="1"/>
  <c r="T181" i="1" s="1"/>
  <c r="U180" i="1"/>
  <c r="R180" i="1"/>
  <c r="M180" i="1"/>
  <c r="L180" i="1"/>
  <c r="J180" i="1"/>
  <c r="T180" i="1" s="1"/>
  <c r="H180" i="1"/>
  <c r="G180" i="1"/>
  <c r="J179" i="1"/>
  <c r="H179" i="1"/>
  <c r="G179" i="1"/>
  <c r="H178" i="1"/>
  <c r="G178" i="1"/>
  <c r="J178" i="1" s="1"/>
  <c r="T177" i="1"/>
  <c r="O177" i="1"/>
  <c r="N177" i="1"/>
  <c r="L177" i="1"/>
  <c r="H177" i="1"/>
  <c r="G177" i="1"/>
  <c r="J177" i="1" s="1"/>
  <c r="T176" i="1"/>
  <c r="R176" i="1"/>
  <c r="L176" i="1"/>
  <c r="J176" i="1"/>
  <c r="U176" i="1" s="1"/>
  <c r="H176" i="1"/>
  <c r="G176" i="1"/>
  <c r="H175" i="1"/>
  <c r="G175" i="1"/>
  <c r="J175" i="1" s="1"/>
  <c r="N174" i="1"/>
  <c r="H174" i="1"/>
  <c r="G174" i="1"/>
  <c r="J174" i="1" s="1"/>
  <c r="Q174" i="1" s="1"/>
  <c r="H173" i="1"/>
  <c r="G173" i="1"/>
  <c r="J173" i="1" s="1"/>
  <c r="U172" i="1"/>
  <c r="T172" i="1"/>
  <c r="R172" i="1"/>
  <c r="M172" i="1"/>
  <c r="L172" i="1"/>
  <c r="J172" i="1"/>
  <c r="H172" i="1"/>
  <c r="G172" i="1"/>
  <c r="S171" i="1"/>
  <c r="J171" i="1"/>
  <c r="H171" i="1"/>
  <c r="G171" i="1"/>
  <c r="Q170" i="1"/>
  <c r="P170" i="1"/>
  <c r="H170" i="1"/>
  <c r="G170" i="1"/>
  <c r="J170" i="1" s="1"/>
  <c r="T169" i="1"/>
  <c r="L169" i="1"/>
  <c r="H169" i="1"/>
  <c r="G169" i="1"/>
  <c r="J169" i="1" s="1"/>
  <c r="O169" i="1" s="1"/>
  <c r="J168" i="1"/>
  <c r="H168" i="1"/>
  <c r="G168" i="1"/>
  <c r="H167" i="1"/>
  <c r="G167" i="1"/>
  <c r="J167" i="1" s="1"/>
  <c r="Q166" i="1"/>
  <c r="P166" i="1"/>
  <c r="N166" i="1"/>
  <c r="H166" i="1"/>
  <c r="G166" i="1"/>
  <c r="J166" i="1" s="1"/>
  <c r="O165" i="1"/>
  <c r="N165" i="1"/>
  <c r="H165" i="1"/>
  <c r="G165" i="1"/>
  <c r="J165" i="1" s="1"/>
  <c r="T165" i="1" s="1"/>
  <c r="U164" i="1"/>
  <c r="M164" i="1"/>
  <c r="L164" i="1"/>
  <c r="J164" i="1"/>
  <c r="T164" i="1" s="1"/>
  <c r="H164" i="1"/>
  <c r="G164" i="1"/>
  <c r="K163" i="1"/>
  <c r="J163" i="1"/>
  <c r="H163" i="1"/>
  <c r="G163" i="1"/>
  <c r="H162" i="1"/>
  <c r="G162" i="1"/>
  <c r="J162" i="1" s="1"/>
  <c r="T161" i="1"/>
  <c r="O161" i="1"/>
  <c r="N161" i="1"/>
  <c r="L161" i="1"/>
  <c r="H161" i="1"/>
  <c r="G161" i="1"/>
  <c r="J161" i="1" s="1"/>
  <c r="T160" i="1"/>
  <c r="R160" i="1"/>
  <c r="M160" i="1"/>
  <c r="L160" i="1"/>
  <c r="J160" i="1"/>
  <c r="U160" i="1" s="1"/>
  <c r="H160" i="1"/>
  <c r="G160" i="1"/>
  <c r="H159" i="1"/>
  <c r="G159" i="1"/>
  <c r="J159" i="1" s="1"/>
  <c r="N158" i="1"/>
  <c r="H158" i="1"/>
  <c r="G158" i="1"/>
  <c r="J158" i="1" s="1"/>
  <c r="Q158" i="1" s="1"/>
  <c r="H157" i="1"/>
  <c r="G157" i="1"/>
  <c r="J157" i="1" s="1"/>
  <c r="U156" i="1"/>
  <c r="T156" i="1"/>
  <c r="R156" i="1"/>
  <c r="M156" i="1"/>
  <c r="L156" i="1"/>
  <c r="J156" i="1"/>
  <c r="H156" i="1"/>
  <c r="G156" i="1"/>
  <c r="J155" i="1"/>
  <c r="H155" i="1"/>
  <c r="G155" i="1"/>
  <c r="Q154" i="1"/>
  <c r="P154" i="1"/>
  <c r="N154" i="1"/>
  <c r="H154" i="1"/>
  <c r="G154" i="1"/>
  <c r="J154" i="1" s="1"/>
  <c r="T153" i="1"/>
  <c r="L153" i="1"/>
  <c r="H153" i="1"/>
  <c r="G153" i="1"/>
  <c r="J153" i="1" s="1"/>
  <c r="O153" i="1" s="1"/>
  <c r="R152" i="1"/>
  <c r="J152" i="1"/>
  <c r="H152" i="1"/>
  <c r="G152" i="1"/>
  <c r="P151" i="1"/>
  <c r="H151" i="1"/>
  <c r="G151" i="1"/>
  <c r="J151" i="1" s="1"/>
  <c r="Q150" i="1"/>
  <c r="P150" i="1"/>
  <c r="O150" i="1"/>
  <c r="N150" i="1"/>
  <c r="H150" i="1"/>
  <c r="G150" i="1"/>
  <c r="J150" i="1" s="1"/>
  <c r="U149" i="1"/>
  <c r="T149" i="1"/>
  <c r="O149" i="1"/>
  <c r="N149" i="1"/>
  <c r="M149" i="1"/>
  <c r="L149" i="1"/>
  <c r="H149" i="1"/>
  <c r="G149" i="1"/>
  <c r="J149" i="1" s="1"/>
  <c r="U148" i="1"/>
  <c r="N148" i="1"/>
  <c r="K148" i="1"/>
  <c r="J148" i="1"/>
  <c r="H148" i="1"/>
  <c r="G148" i="1"/>
  <c r="T147" i="1"/>
  <c r="Q147" i="1"/>
  <c r="K147" i="1"/>
  <c r="H147" i="1"/>
  <c r="G147" i="1"/>
  <c r="J147" i="1" s="1"/>
  <c r="T146" i="1"/>
  <c r="P146" i="1"/>
  <c r="L146" i="1"/>
  <c r="K146" i="1"/>
  <c r="J146" i="1"/>
  <c r="R146" i="1" s="1"/>
  <c r="H146" i="1"/>
  <c r="G146" i="1"/>
  <c r="L145" i="1"/>
  <c r="H145" i="1"/>
  <c r="G145" i="1"/>
  <c r="J145" i="1" s="1"/>
  <c r="U145" i="1" s="1"/>
  <c r="R144" i="1"/>
  <c r="O144" i="1"/>
  <c r="N144" i="1"/>
  <c r="J144" i="1"/>
  <c r="H144" i="1"/>
  <c r="G144" i="1"/>
  <c r="U143" i="1"/>
  <c r="T143" i="1"/>
  <c r="P143" i="1"/>
  <c r="M143" i="1"/>
  <c r="L143" i="1"/>
  <c r="H143" i="1"/>
  <c r="G143" i="1"/>
  <c r="J143" i="1" s="1"/>
  <c r="S142" i="1"/>
  <c r="R142" i="1"/>
  <c r="J142" i="1"/>
  <c r="H142" i="1"/>
  <c r="G142" i="1"/>
  <c r="Q141" i="1"/>
  <c r="P141" i="1"/>
  <c r="H141" i="1"/>
  <c r="G141" i="1"/>
  <c r="J141" i="1" s="1"/>
  <c r="T141" i="1" s="1"/>
  <c r="J140" i="1"/>
  <c r="H140" i="1"/>
  <c r="G140" i="1"/>
  <c r="M139" i="1"/>
  <c r="L139" i="1"/>
  <c r="H139" i="1"/>
  <c r="G139" i="1"/>
  <c r="J139" i="1" s="1"/>
  <c r="T139" i="1" s="1"/>
  <c r="O138" i="1"/>
  <c r="N138" i="1"/>
  <c r="J138" i="1"/>
  <c r="S138" i="1" s="1"/>
  <c r="H138" i="1"/>
  <c r="G138" i="1"/>
  <c r="Q137" i="1"/>
  <c r="P137" i="1"/>
  <c r="O137" i="1"/>
  <c r="N137" i="1"/>
  <c r="M137" i="1"/>
  <c r="L137" i="1"/>
  <c r="H137" i="1"/>
  <c r="G137" i="1"/>
  <c r="J137" i="1" s="1"/>
  <c r="T136" i="1"/>
  <c r="K136" i="1"/>
  <c r="J136" i="1"/>
  <c r="H136" i="1"/>
  <c r="G136" i="1"/>
  <c r="U135" i="1"/>
  <c r="Q135" i="1"/>
  <c r="P135" i="1"/>
  <c r="M135" i="1"/>
  <c r="L135" i="1"/>
  <c r="K135" i="1"/>
  <c r="J135" i="1"/>
  <c r="S135" i="1" s="1"/>
  <c r="H135" i="1"/>
  <c r="G135" i="1"/>
  <c r="S134" i="1"/>
  <c r="H134" i="1"/>
  <c r="G134" i="1"/>
  <c r="J134" i="1" s="1"/>
  <c r="Q133" i="1"/>
  <c r="M133" i="1"/>
  <c r="L133" i="1"/>
  <c r="H133" i="1"/>
  <c r="G133" i="1"/>
  <c r="J133" i="1" s="1"/>
  <c r="P133" i="1" s="1"/>
  <c r="U132" i="1"/>
  <c r="O132" i="1"/>
  <c r="N132" i="1"/>
  <c r="M132" i="1"/>
  <c r="L132" i="1"/>
  <c r="K132" i="1"/>
  <c r="J132" i="1"/>
  <c r="S132" i="1" s="1"/>
  <c r="H132" i="1"/>
  <c r="G132" i="1"/>
  <c r="J131" i="1"/>
  <c r="H131" i="1"/>
  <c r="G131" i="1"/>
  <c r="O130" i="1"/>
  <c r="N130" i="1"/>
  <c r="J130" i="1"/>
  <c r="S130" i="1" s="1"/>
  <c r="H130" i="1"/>
  <c r="G130" i="1"/>
  <c r="Q129" i="1"/>
  <c r="P129" i="1"/>
  <c r="O129" i="1"/>
  <c r="N129" i="1"/>
  <c r="M129" i="1"/>
  <c r="L129" i="1"/>
  <c r="H129" i="1"/>
  <c r="G129" i="1"/>
  <c r="J129" i="1" s="1"/>
  <c r="U128" i="1"/>
  <c r="T128" i="1"/>
  <c r="J128" i="1"/>
  <c r="H128" i="1"/>
  <c r="G128" i="1"/>
  <c r="U127" i="1"/>
  <c r="Q127" i="1"/>
  <c r="P127" i="1"/>
  <c r="M127" i="1"/>
  <c r="L127" i="1"/>
  <c r="K127" i="1"/>
  <c r="J127" i="1"/>
  <c r="S127" i="1" s="1"/>
  <c r="H127" i="1"/>
  <c r="G127" i="1"/>
  <c r="R126" i="1"/>
  <c r="H126" i="1"/>
  <c r="G126" i="1"/>
  <c r="J126" i="1" s="1"/>
  <c r="S126" i="1" s="1"/>
  <c r="M125" i="1"/>
  <c r="L125" i="1"/>
  <c r="H125" i="1"/>
  <c r="G125" i="1"/>
  <c r="J125" i="1" s="1"/>
  <c r="Q125" i="1" s="1"/>
  <c r="U124" i="1"/>
  <c r="O124" i="1"/>
  <c r="N124" i="1"/>
  <c r="M124" i="1"/>
  <c r="L124" i="1"/>
  <c r="K124" i="1"/>
  <c r="J124" i="1"/>
  <c r="S124" i="1" s="1"/>
  <c r="H124" i="1"/>
  <c r="G124" i="1"/>
  <c r="U123" i="1"/>
  <c r="T123" i="1"/>
  <c r="J123" i="1"/>
  <c r="H123" i="1"/>
  <c r="G123" i="1"/>
  <c r="O122" i="1"/>
  <c r="N122" i="1"/>
  <c r="J122" i="1"/>
  <c r="S122" i="1" s="1"/>
  <c r="H122" i="1"/>
  <c r="G122" i="1"/>
  <c r="Q121" i="1"/>
  <c r="P121" i="1"/>
  <c r="O121" i="1"/>
  <c r="N121" i="1"/>
  <c r="M121" i="1"/>
  <c r="L121" i="1"/>
  <c r="H121" i="1"/>
  <c r="G121" i="1"/>
  <c r="J121" i="1" s="1"/>
  <c r="U120" i="1"/>
  <c r="J120" i="1"/>
  <c r="H120" i="1"/>
  <c r="G120" i="1"/>
  <c r="U119" i="1"/>
  <c r="Q119" i="1"/>
  <c r="P119" i="1"/>
  <c r="M119" i="1"/>
  <c r="L119" i="1"/>
  <c r="K119" i="1"/>
  <c r="J119" i="1"/>
  <c r="S119" i="1" s="1"/>
  <c r="H119" i="1"/>
  <c r="G119" i="1"/>
  <c r="S118" i="1"/>
  <c r="R118" i="1"/>
  <c r="H118" i="1"/>
  <c r="G118" i="1"/>
  <c r="J118" i="1" s="1"/>
  <c r="M117" i="1"/>
  <c r="L117" i="1"/>
  <c r="H117" i="1"/>
  <c r="G117" i="1"/>
  <c r="J117" i="1" s="1"/>
  <c r="Q117" i="1" s="1"/>
  <c r="U116" i="1"/>
  <c r="O116" i="1"/>
  <c r="N116" i="1"/>
  <c r="M116" i="1"/>
  <c r="L116" i="1"/>
  <c r="K116" i="1"/>
  <c r="J116" i="1"/>
  <c r="S116" i="1" s="1"/>
  <c r="H116" i="1"/>
  <c r="G116" i="1"/>
  <c r="U115" i="1"/>
  <c r="K115" i="1"/>
  <c r="J115" i="1"/>
  <c r="H115" i="1"/>
  <c r="G115" i="1"/>
  <c r="O114" i="1"/>
  <c r="N114" i="1"/>
  <c r="J114" i="1"/>
  <c r="S114" i="1" s="1"/>
  <c r="H114" i="1"/>
  <c r="G114" i="1"/>
  <c r="Q113" i="1"/>
  <c r="P113" i="1"/>
  <c r="O113" i="1"/>
  <c r="N113" i="1"/>
  <c r="M113" i="1"/>
  <c r="L113" i="1"/>
  <c r="H113" i="1"/>
  <c r="G113" i="1"/>
  <c r="J113" i="1" s="1"/>
  <c r="J112" i="1"/>
  <c r="H112" i="1"/>
  <c r="G112" i="1"/>
  <c r="U111" i="1"/>
  <c r="Q111" i="1"/>
  <c r="P111" i="1"/>
  <c r="M111" i="1"/>
  <c r="L111" i="1"/>
  <c r="K111" i="1"/>
  <c r="J111" i="1"/>
  <c r="S111" i="1" s="1"/>
  <c r="H111" i="1"/>
  <c r="G111" i="1"/>
  <c r="S110" i="1"/>
  <c r="R110" i="1"/>
  <c r="J110" i="1"/>
  <c r="H110" i="1"/>
  <c r="G110" i="1"/>
  <c r="P109" i="1"/>
  <c r="O109" i="1"/>
  <c r="H109" i="1"/>
  <c r="G109" i="1"/>
  <c r="J109" i="1" s="1"/>
  <c r="U108" i="1"/>
  <c r="S108" i="1"/>
  <c r="N108" i="1"/>
  <c r="M108" i="1"/>
  <c r="K108" i="1"/>
  <c r="J108" i="1"/>
  <c r="T108" i="1" s="1"/>
  <c r="H108" i="1"/>
  <c r="G108" i="1"/>
  <c r="L107" i="1"/>
  <c r="K107" i="1"/>
  <c r="H107" i="1"/>
  <c r="G107" i="1"/>
  <c r="J107" i="1" s="1"/>
  <c r="T107" i="1" s="1"/>
  <c r="J106" i="1"/>
  <c r="H106" i="1"/>
  <c r="G106" i="1"/>
  <c r="P105" i="1"/>
  <c r="O105" i="1"/>
  <c r="H105" i="1"/>
  <c r="G105" i="1"/>
  <c r="J105" i="1" s="1"/>
  <c r="U104" i="1"/>
  <c r="S104" i="1"/>
  <c r="N104" i="1"/>
  <c r="M104" i="1"/>
  <c r="K104" i="1"/>
  <c r="J104" i="1"/>
  <c r="T104" i="1" s="1"/>
  <c r="H104" i="1"/>
  <c r="G104" i="1"/>
  <c r="K103" i="1"/>
  <c r="H103" i="1"/>
  <c r="G103" i="1"/>
  <c r="J103" i="1" s="1"/>
  <c r="T103" i="1" s="1"/>
  <c r="R102" i="1"/>
  <c r="J102" i="1"/>
  <c r="H102" i="1"/>
  <c r="G102" i="1"/>
  <c r="P101" i="1"/>
  <c r="O101" i="1"/>
  <c r="H101" i="1"/>
  <c r="G101" i="1"/>
  <c r="J101" i="1" s="1"/>
  <c r="U100" i="1"/>
  <c r="S100" i="1"/>
  <c r="N100" i="1"/>
  <c r="M100" i="1"/>
  <c r="K100" i="1"/>
  <c r="J100" i="1"/>
  <c r="T100" i="1" s="1"/>
  <c r="H100" i="1"/>
  <c r="G100" i="1"/>
  <c r="L99" i="1"/>
  <c r="K99" i="1"/>
  <c r="J99" i="1"/>
  <c r="H99" i="1"/>
  <c r="Q99" i="1" s="1"/>
  <c r="U98" i="1"/>
  <c r="T98" i="1" s="1"/>
  <c r="Q98" i="1"/>
  <c r="O98" i="1"/>
  <c r="N98" i="1"/>
  <c r="M98" i="1"/>
  <c r="L98" i="1"/>
  <c r="J98" i="1"/>
  <c r="S98" i="1" s="1"/>
  <c r="H98" i="1"/>
  <c r="U97" i="1"/>
  <c r="T97" i="1" s="1"/>
  <c r="N97" i="1"/>
  <c r="M97" i="1"/>
  <c r="L97" i="1"/>
  <c r="K97" i="1"/>
  <c r="J97" i="1"/>
  <c r="R97" i="1" s="1"/>
  <c r="H97" i="1"/>
  <c r="K96" i="1"/>
  <c r="J96" i="1"/>
  <c r="H96" i="1"/>
  <c r="U95" i="1"/>
  <c r="O95" i="1"/>
  <c r="N95" i="1"/>
  <c r="M95" i="1"/>
  <c r="L95" i="1"/>
  <c r="K95" i="1"/>
  <c r="J95" i="1"/>
  <c r="H95" i="1"/>
  <c r="Q95" i="1" s="1"/>
  <c r="J94" i="1"/>
  <c r="H94" i="1"/>
  <c r="J93" i="1"/>
  <c r="H93" i="1"/>
  <c r="U92" i="1"/>
  <c r="S92" i="1" s="1"/>
  <c r="T92" i="1"/>
  <c r="O92" i="1"/>
  <c r="N92" i="1"/>
  <c r="M92" i="1"/>
  <c r="L92" i="1"/>
  <c r="K92" i="1"/>
  <c r="J92" i="1"/>
  <c r="R92" i="1" s="1"/>
  <c r="H92" i="1"/>
  <c r="L91" i="1"/>
  <c r="J91" i="1"/>
  <c r="H91" i="1"/>
  <c r="U90" i="1"/>
  <c r="T90" i="1" s="1"/>
  <c r="O90" i="1"/>
  <c r="N90" i="1"/>
  <c r="M90" i="1"/>
  <c r="L90" i="1"/>
  <c r="J90" i="1"/>
  <c r="H90" i="1"/>
  <c r="Q90" i="1" s="1"/>
  <c r="N89" i="1"/>
  <c r="M89" i="1"/>
  <c r="K89" i="1"/>
  <c r="J89" i="1"/>
  <c r="H89" i="1"/>
  <c r="Q88" i="1"/>
  <c r="K88" i="1"/>
  <c r="J88" i="1"/>
  <c r="H88" i="1"/>
  <c r="U87" i="1"/>
  <c r="S87" i="1" s="1"/>
  <c r="T87" i="1"/>
  <c r="O87" i="1"/>
  <c r="N87" i="1"/>
  <c r="M87" i="1"/>
  <c r="L87" i="1"/>
  <c r="K87" i="1"/>
  <c r="J87" i="1"/>
  <c r="R87" i="1" s="1"/>
  <c r="H87" i="1"/>
  <c r="Q87" i="1" s="1"/>
  <c r="L86" i="1"/>
  <c r="K86" i="1"/>
  <c r="J86" i="1"/>
  <c r="H86" i="1"/>
  <c r="O85" i="1"/>
  <c r="N85" i="1"/>
  <c r="J85" i="1"/>
  <c r="U85" i="1" s="1"/>
  <c r="H85" i="1"/>
  <c r="U84" i="1"/>
  <c r="R84" i="1"/>
  <c r="O84" i="1"/>
  <c r="N84" i="1"/>
  <c r="M84" i="1"/>
  <c r="K84" i="1"/>
  <c r="J84" i="1"/>
  <c r="S84" i="1" s="1"/>
  <c r="H84" i="1"/>
  <c r="J83" i="1"/>
  <c r="H83" i="1"/>
  <c r="U82" i="1"/>
  <c r="T82" i="1"/>
  <c r="O82" i="1"/>
  <c r="N82" i="1"/>
  <c r="M82" i="1"/>
  <c r="L82" i="1"/>
  <c r="J82" i="1"/>
  <c r="S82" i="1" s="1"/>
  <c r="H82" i="1"/>
  <c r="Q82" i="1" s="1"/>
  <c r="Q81" i="1"/>
  <c r="N81" i="1"/>
  <c r="M81" i="1"/>
  <c r="L81" i="1"/>
  <c r="J81" i="1"/>
  <c r="H81" i="1"/>
  <c r="Q80" i="1"/>
  <c r="O80" i="1"/>
  <c r="K80" i="1"/>
  <c r="J80" i="1"/>
  <c r="H80" i="1"/>
  <c r="U79" i="1"/>
  <c r="S79" i="1" s="1"/>
  <c r="T79" i="1"/>
  <c r="O79" i="1"/>
  <c r="N79" i="1"/>
  <c r="M79" i="1"/>
  <c r="L79" i="1"/>
  <c r="K79" i="1"/>
  <c r="J79" i="1"/>
  <c r="R79" i="1" s="1"/>
  <c r="H79" i="1"/>
  <c r="U78" i="1"/>
  <c r="S78" i="1" s="1"/>
  <c r="M78" i="1"/>
  <c r="L78" i="1"/>
  <c r="K78" i="1"/>
  <c r="J78" i="1"/>
  <c r="Q78" i="1" s="1"/>
  <c r="H78" i="1"/>
  <c r="Q77" i="1"/>
  <c r="P77" i="1"/>
  <c r="O77" i="1"/>
  <c r="N77" i="1"/>
  <c r="J77" i="1"/>
  <c r="U77" i="1" s="1"/>
  <c r="H77" i="1"/>
  <c r="J76" i="1"/>
  <c r="H76" i="1"/>
  <c r="U75" i="1"/>
  <c r="T75" i="1"/>
  <c r="O75" i="1"/>
  <c r="N75" i="1"/>
  <c r="M75" i="1"/>
  <c r="L75" i="1"/>
  <c r="J75" i="1"/>
  <c r="S75" i="1" s="1"/>
  <c r="H75" i="1"/>
  <c r="L74" i="1"/>
  <c r="K74" i="1"/>
  <c r="J74" i="1"/>
  <c r="H74" i="1"/>
  <c r="Q74" i="1" s="1"/>
  <c r="U73" i="1"/>
  <c r="T73" i="1"/>
  <c r="S73" i="1"/>
  <c r="P73" i="1"/>
  <c r="O73" i="1"/>
  <c r="N73" i="1"/>
  <c r="M73" i="1"/>
  <c r="L73" i="1"/>
  <c r="K73" i="1"/>
  <c r="J73" i="1"/>
  <c r="R73" i="1" s="1"/>
  <c r="H73" i="1"/>
  <c r="Q73" i="1" s="1"/>
  <c r="U72" i="1"/>
  <c r="T72" i="1" s="1"/>
  <c r="N72" i="1"/>
  <c r="M72" i="1"/>
  <c r="L72" i="1"/>
  <c r="K72" i="1"/>
  <c r="J72" i="1"/>
  <c r="R72" i="1" s="1"/>
  <c r="H72" i="1"/>
  <c r="Q72" i="1" s="1"/>
  <c r="J71" i="1"/>
  <c r="Q71" i="1" s="1"/>
  <c r="H71" i="1"/>
  <c r="U70" i="1"/>
  <c r="S70" i="1" s="1"/>
  <c r="O70" i="1"/>
  <c r="N70" i="1"/>
  <c r="M70" i="1"/>
  <c r="K70" i="1"/>
  <c r="J70" i="1"/>
  <c r="T70" i="1" s="1"/>
  <c r="H70" i="1"/>
  <c r="U69" i="1"/>
  <c r="T69" i="1"/>
  <c r="M69" i="1"/>
  <c r="L69" i="1"/>
  <c r="J69" i="1"/>
  <c r="S69" i="1" s="1"/>
  <c r="H69" i="1"/>
  <c r="J68" i="1"/>
  <c r="P68" i="1" s="1"/>
  <c r="H68" i="1"/>
  <c r="Q68" i="1" s="1"/>
  <c r="U67" i="1"/>
  <c r="T67" i="1"/>
  <c r="O67" i="1"/>
  <c r="N67" i="1"/>
  <c r="M67" i="1"/>
  <c r="L67" i="1"/>
  <c r="J67" i="1"/>
  <c r="S67" i="1" s="1"/>
  <c r="H67" i="1"/>
  <c r="L66" i="1"/>
  <c r="K66" i="1"/>
  <c r="J66" i="1"/>
  <c r="H66" i="1"/>
  <c r="Q66" i="1" s="1"/>
  <c r="U65" i="1"/>
  <c r="T65" i="1"/>
  <c r="S65" i="1"/>
  <c r="P65" i="1"/>
  <c r="O65" i="1"/>
  <c r="N65" i="1"/>
  <c r="M65" i="1"/>
  <c r="L65" i="1"/>
  <c r="K65" i="1"/>
  <c r="J65" i="1"/>
  <c r="R65" i="1" s="1"/>
  <c r="H65" i="1"/>
  <c r="Q65" i="1" s="1"/>
  <c r="U64" i="1"/>
  <c r="T64" i="1" s="1"/>
  <c r="N64" i="1"/>
  <c r="M64" i="1"/>
  <c r="L64" i="1"/>
  <c r="K64" i="1"/>
  <c r="J64" i="1"/>
  <c r="R64" i="1" s="1"/>
  <c r="H64" i="1"/>
  <c r="Q64" i="1" s="1"/>
  <c r="J63" i="1"/>
  <c r="Q63" i="1" s="1"/>
  <c r="H63" i="1"/>
  <c r="U62" i="1"/>
  <c r="S62" i="1" s="1"/>
  <c r="O62" i="1"/>
  <c r="N62" i="1"/>
  <c r="M62" i="1"/>
  <c r="K62" i="1"/>
  <c r="J62" i="1"/>
  <c r="T62" i="1" s="1"/>
  <c r="H62" i="1"/>
  <c r="L61" i="1"/>
  <c r="J61" i="1"/>
  <c r="H61" i="1"/>
  <c r="J60" i="1"/>
  <c r="P60" i="1" s="1"/>
  <c r="H60" i="1"/>
  <c r="Q60" i="1" s="1"/>
  <c r="U59" i="1"/>
  <c r="T59" i="1"/>
  <c r="O59" i="1"/>
  <c r="N59" i="1"/>
  <c r="M59" i="1"/>
  <c r="L59" i="1"/>
  <c r="J59" i="1"/>
  <c r="S59" i="1" s="1"/>
  <c r="H59" i="1"/>
  <c r="L58" i="1"/>
  <c r="K58" i="1"/>
  <c r="J58" i="1"/>
  <c r="H58" i="1"/>
  <c r="Q58" i="1" s="1"/>
  <c r="U57" i="1"/>
  <c r="T57" i="1"/>
  <c r="S57" i="1"/>
  <c r="P57" i="1"/>
  <c r="O57" i="1"/>
  <c r="N57" i="1"/>
  <c r="M57" i="1"/>
  <c r="L57" i="1"/>
  <c r="K57" i="1"/>
  <c r="J57" i="1"/>
  <c r="R57" i="1" s="1"/>
  <c r="H57" i="1"/>
  <c r="Q57" i="1" s="1"/>
  <c r="U56" i="1"/>
  <c r="T56" i="1" s="1"/>
  <c r="N56" i="1"/>
  <c r="M56" i="1"/>
  <c r="L56" i="1"/>
  <c r="K56" i="1"/>
  <c r="J56" i="1"/>
  <c r="R56" i="1" s="1"/>
  <c r="H56" i="1"/>
  <c r="Q56" i="1" s="1"/>
  <c r="J55" i="1"/>
  <c r="Q55" i="1" s="1"/>
  <c r="H55" i="1"/>
  <c r="U54" i="1"/>
  <c r="S54" i="1" s="1"/>
  <c r="O54" i="1"/>
  <c r="N54" i="1"/>
  <c r="M54" i="1"/>
  <c r="K54" i="1"/>
  <c r="J54" i="1"/>
  <c r="T54" i="1" s="1"/>
  <c r="H54" i="1"/>
  <c r="L53" i="1"/>
  <c r="J53" i="1"/>
  <c r="H53" i="1"/>
  <c r="O52" i="1"/>
  <c r="J52" i="1"/>
  <c r="P52" i="1" s="1"/>
  <c r="H52" i="1"/>
  <c r="AA25" i="1" s="1"/>
  <c r="F48" i="1"/>
  <c r="F47" i="1"/>
  <c r="F46" i="1"/>
  <c r="F45" i="1"/>
  <c r="T44" i="1"/>
  <c r="F44" i="1"/>
  <c r="P95" i="1" s="1"/>
  <c r="T43" i="1"/>
  <c r="T42" i="1"/>
  <c r="T45" i="1" s="1"/>
  <c r="T41" i="1"/>
  <c r="B39" i="1"/>
  <c r="AD25" i="1"/>
  <c r="AE25" i="1" s="1"/>
  <c r="AC25" i="1"/>
  <c r="AB25" i="1"/>
  <c r="Z25" i="1"/>
  <c r="U25" i="1"/>
  <c r="T25" i="1"/>
  <c r="S25" i="1"/>
  <c r="R25" i="1"/>
  <c r="Q25" i="1"/>
  <c r="P25" i="1"/>
  <c r="O25" i="1"/>
  <c r="I25" i="1" s="1"/>
  <c r="AC24" i="1"/>
  <c r="AB24" i="1"/>
  <c r="AA24" i="1"/>
  <c r="Z24" i="1"/>
  <c r="AD24" i="1" s="1"/>
  <c r="AE24" i="1" s="1"/>
  <c r="U24" i="1"/>
  <c r="Q24" i="1" s="1"/>
  <c r="R24" i="1" s="1"/>
  <c r="T24" i="1"/>
  <c r="S24" i="1"/>
  <c r="O24" i="1"/>
  <c r="P24" i="1" s="1"/>
  <c r="I24" i="1"/>
  <c r="AC23" i="1"/>
  <c r="AB23" i="1"/>
  <c r="Z23" i="1"/>
  <c r="AD23" i="1" s="1"/>
  <c r="AE23" i="1" s="1"/>
  <c r="U23" i="1"/>
  <c r="T23" i="1"/>
  <c r="S23" i="1"/>
  <c r="Q23" i="1" s="1"/>
  <c r="R23" i="1" s="1"/>
  <c r="O23" i="1"/>
  <c r="P23" i="1" s="1"/>
  <c r="I23" i="1"/>
  <c r="AD22" i="1"/>
  <c r="AE22" i="1" s="1"/>
  <c r="AC22" i="1"/>
  <c r="AB22" i="1"/>
  <c r="Z22" i="1"/>
  <c r="U22" i="1"/>
  <c r="T22" i="1"/>
  <c r="S22" i="1"/>
  <c r="Q22" i="1" s="1"/>
  <c r="R22" i="1" s="1"/>
  <c r="O22" i="1"/>
  <c r="P22" i="1" s="1"/>
  <c r="AB21" i="1"/>
  <c r="AC21" i="1" s="1"/>
  <c r="AD21" i="1" s="1"/>
  <c r="AA21" i="1"/>
  <c r="Z21" i="1"/>
  <c r="U21" i="1"/>
  <c r="T21" i="1"/>
  <c r="S21" i="1"/>
  <c r="Q21" i="1"/>
  <c r="O21" i="1"/>
  <c r="S81" i="1" l="1"/>
  <c r="AD26" i="1"/>
  <c r="AE21" i="1"/>
  <c r="AE26" i="1" s="1"/>
  <c r="Q26" i="1"/>
  <c r="Q52" i="1"/>
  <c r="Q94" i="1"/>
  <c r="P94" i="1"/>
  <c r="O94" i="1"/>
  <c r="N94" i="1"/>
  <c r="T95" i="1"/>
  <c r="S95" i="1"/>
  <c r="Q112" i="1"/>
  <c r="P112" i="1"/>
  <c r="S112" i="1"/>
  <c r="R112" i="1"/>
  <c r="O112" i="1"/>
  <c r="N112" i="1"/>
  <c r="M112" i="1"/>
  <c r="L112" i="1"/>
  <c r="Q179" i="1"/>
  <c r="O179" i="1"/>
  <c r="N179" i="1"/>
  <c r="U179" i="1"/>
  <c r="M179" i="1"/>
  <c r="T179" i="1"/>
  <c r="L179" i="1"/>
  <c r="S179" i="1"/>
  <c r="R179" i="1"/>
  <c r="P179" i="1"/>
  <c r="O194" i="1"/>
  <c r="N194" i="1"/>
  <c r="U194" i="1"/>
  <c r="M194" i="1"/>
  <c r="T194" i="1"/>
  <c r="L194" i="1"/>
  <c r="S194" i="1"/>
  <c r="K194" i="1"/>
  <c r="R194" i="1"/>
  <c r="Q194" i="1"/>
  <c r="P194" i="1"/>
  <c r="M53" i="1"/>
  <c r="M61" i="1"/>
  <c r="R68" i="1"/>
  <c r="P70" i="1"/>
  <c r="K71" i="1"/>
  <c r="P91" i="1"/>
  <c r="U93" i="1"/>
  <c r="M93" i="1"/>
  <c r="T93" i="1"/>
  <c r="L93" i="1"/>
  <c r="S93" i="1"/>
  <c r="K93" i="1"/>
  <c r="K94" i="1"/>
  <c r="R95" i="1"/>
  <c r="K112" i="1"/>
  <c r="O131" i="1"/>
  <c r="N131" i="1"/>
  <c r="S131" i="1"/>
  <c r="R131" i="1"/>
  <c r="Q131" i="1"/>
  <c r="P131" i="1"/>
  <c r="M131" i="1"/>
  <c r="L131" i="1"/>
  <c r="U140" i="1"/>
  <c r="T140" i="1"/>
  <c r="L140" i="1"/>
  <c r="S140" i="1"/>
  <c r="K140" i="1"/>
  <c r="Q140" i="1"/>
  <c r="P140" i="1"/>
  <c r="R140" i="1"/>
  <c r="O140" i="1"/>
  <c r="N140" i="1"/>
  <c r="K179" i="1"/>
  <c r="Q183" i="1"/>
  <c r="O183" i="1"/>
  <c r="N183" i="1"/>
  <c r="U183" i="1"/>
  <c r="M183" i="1"/>
  <c r="T183" i="1"/>
  <c r="L183" i="1"/>
  <c r="S183" i="1"/>
  <c r="R183" i="1"/>
  <c r="P183" i="1"/>
  <c r="K183" i="1"/>
  <c r="AA23" i="1"/>
  <c r="U53" i="1"/>
  <c r="T53" i="1" s="1"/>
  <c r="K55" i="1"/>
  <c r="U61" i="1"/>
  <c r="T61" i="1" s="1"/>
  <c r="P62" i="1"/>
  <c r="K63" i="1"/>
  <c r="Q76" i="1"/>
  <c r="P76" i="1"/>
  <c r="P78" i="1"/>
  <c r="N83" i="1"/>
  <c r="U83" i="1"/>
  <c r="S83" i="1" s="1"/>
  <c r="M83" i="1"/>
  <c r="T83" i="1"/>
  <c r="I22" i="1"/>
  <c r="K52" i="1"/>
  <c r="N53" i="1"/>
  <c r="Q54" i="1"/>
  <c r="L55" i="1"/>
  <c r="O56" i="1"/>
  <c r="M58" i="1"/>
  <c r="U58" i="1"/>
  <c r="P59" i="1"/>
  <c r="K60" i="1"/>
  <c r="N61" i="1"/>
  <c r="Q62" i="1"/>
  <c r="L63" i="1"/>
  <c r="T63" i="1"/>
  <c r="O64" i="1"/>
  <c r="M66" i="1"/>
  <c r="U66" i="1"/>
  <c r="P67" i="1"/>
  <c r="K68" i="1"/>
  <c r="N69" i="1"/>
  <c r="Q70" i="1"/>
  <c r="L71" i="1"/>
  <c r="T71" i="1"/>
  <c r="O72" i="1"/>
  <c r="M74" i="1"/>
  <c r="U74" i="1"/>
  <c r="P75" i="1"/>
  <c r="K76" i="1"/>
  <c r="U76" i="1"/>
  <c r="S76" i="1" s="1"/>
  <c r="R77" i="1"/>
  <c r="K83" i="1"/>
  <c r="P85" i="1"/>
  <c r="M86" i="1"/>
  <c r="P90" i="1"/>
  <c r="Q91" i="1"/>
  <c r="N93" i="1"/>
  <c r="L94" i="1"/>
  <c r="Q96" i="1"/>
  <c r="O96" i="1"/>
  <c r="N96" i="1"/>
  <c r="U96" i="1"/>
  <c r="M96" i="1"/>
  <c r="T96" i="1"/>
  <c r="L96" i="1"/>
  <c r="L103" i="1"/>
  <c r="S107" i="1"/>
  <c r="U110" i="1"/>
  <c r="T110" i="1"/>
  <c r="L110" i="1"/>
  <c r="Q110" i="1"/>
  <c r="P110" i="1"/>
  <c r="O110" i="1"/>
  <c r="N110" i="1"/>
  <c r="M110" i="1"/>
  <c r="K110" i="1"/>
  <c r="T112" i="1"/>
  <c r="K131" i="1"/>
  <c r="Q136" i="1"/>
  <c r="P136" i="1"/>
  <c r="S136" i="1"/>
  <c r="R136" i="1"/>
  <c r="O136" i="1"/>
  <c r="N136" i="1"/>
  <c r="M136" i="1"/>
  <c r="L136" i="1"/>
  <c r="M140" i="1"/>
  <c r="L52" i="1"/>
  <c r="O53" i="1"/>
  <c r="O48" i="1" s="1"/>
  <c r="B35" i="1" s="1"/>
  <c r="R54" i="1"/>
  <c r="M55" i="1"/>
  <c r="U55" i="1"/>
  <c r="R55" i="1" s="1"/>
  <c r="P56" i="1"/>
  <c r="N58" i="1"/>
  <c r="Q59" i="1"/>
  <c r="L60" i="1"/>
  <c r="T60" i="1"/>
  <c r="O61" i="1"/>
  <c r="R62" i="1"/>
  <c r="M63" i="1"/>
  <c r="U63" i="1"/>
  <c r="S63" i="1" s="1"/>
  <c r="P64" i="1"/>
  <c r="N66" i="1"/>
  <c r="Q67" i="1"/>
  <c r="L68" i="1"/>
  <c r="T68" i="1"/>
  <c r="O69" i="1"/>
  <c r="R70" i="1"/>
  <c r="M71" i="1"/>
  <c r="U71" i="1"/>
  <c r="S71" i="1" s="1"/>
  <c r="P72" i="1"/>
  <c r="N74" i="1"/>
  <c r="Q75" i="1"/>
  <c r="L76" i="1"/>
  <c r="R78" i="1"/>
  <c r="U80" i="1"/>
  <c r="R80" i="1" s="1"/>
  <c r="M80" i="1"/>
  <c r="L80" i="1"/>
  <c r="L83" i="1"/>
  <c r="Q84" i="1"/>
  <c r="P84" i="1"/>
  <c r="T84" i="1"/>
  <c r="Q85" i="1"/>
  <c r="Q86" i="1"/>
  <c r="N88" i="1"/>
  <c r="U88" i="1"/>
  <c r="M88" i="1"/>
  <c r="T88" i="1"/>
  <c r="L88" i="1"/>
  <c r="Q89" i="1"/>
  <c r="P89" i="1"/>
  <c r="O89" i="1"/>
  <c r="U89" i="1"/>
  <c r="T89" i="1" s="1"/>
  <c r="O93" i="1"/>
  <c r="M94" i="1"/>
  <c r="S103" i="1"/>
  <c r="P106" i="1"/>
  <c r="O106" i="1"/>
  <c r="N106" i="1"/>
  <c r="U106" i="1"/>
  <c r="M106" i="1"/>
  <c r="T106" i="1"/>
  <c r="L106" i="1"/>
  <c r="S106" i="1"/>
  <c r="K106" i="1"/>
  <c r="U112" i="1"/>
  <c r="O115" i="1"/>
  <c r="N115" i="1"/>
  <c r="S115" i="1"/>
  <c r="R115" i="1"/>
  <c r="Q115" i="1"/>
  <c r="P115" i="1"/>
  <c r="M115" i="1"/>
  <c r="L115" i="1"/>
  <c r="Q120" i="1"/>
  <c r="P120" i="1"/>
  <c r="S120" i="1"/>
  <c r="R120" i="1"/>
  <c r="O120" i="1"/>
  <c r="N120" i="1"/>
  <c r="M120" i="1"/>
  <c r="L120" i="1"/>
  <c r="T131" i="1"/>
  <c r="U134" i="1"/>
  <c r="M134" i="1"/>
  <c r="T134" i="1"/>
  <c r="L134" i="1"/>
  <c r="Q134" i="1"/>
  <c r="P134" i="1"/>
  <c r="O134" i="1"/>
  <c r="N134" i="1"/>
  <c r="K134" i="1"/>
  <c r="O162" i="1"/>
  <c r="U162" i="1"/>
  <c r="M162" i="1"/>
  <c r="T162" i="1"/>
  <c r="L162" i="1"/>
  <c r="S162" i="1"/>
  <c r="K162" i="1"/>
  <c r="R162" i="1"/>
  <c r="Q162" i="1"/>
  <c r="P162" i="1"/>
  <c r="N162" i="1"/>
  <c r="P21" i="1"/>
  <c r="P26" i="1" s="1"/>
  <c r="R21" i="1"/>
  <c r="I21" i="1" s="1"/>
  <c r="R63" i="1"/>
  <c r="P54" i="1"/>
  <c r="S55" i="1"/>
  <c r="AA22" i="1"/>
  <c r="M52" i="1"/>
  <c r="U52" i="1"/>
  <c r="S52" i="1" s="1"/>
  <c r="P53" i="1"/>
  <c r="P48" i="1" s="1"/>
  <c r="B36" i="1" s="1"/>
  <c r="N55" i="1"/>
  <c r="O58" i="1"/>
  <c r="R59" i="1"/>
  <c r="M60" i="1"/>
  <c r="U60" i="1"/>
  <c r="R60" i="1" s="1"/>
  <c r="P61" i="1"/>
  <c r="N63" i="1"/>
  <c r="O66" i="1"/>
  <c r="R67" i="1"/>
  <c r="M68" i="1"/>
  <c r="U68" i="1"/>
  <c r="S68" i="1" s="1"/>
  <c r="P69" i="1"/>
  <c r="N71" i="1"/>
  <c r="O74" i="1"/>
  <c r="R75" i="1"/>
  <c r="M76" i="1"/>
  <c r="T77" i="1"/>
  <c r="L77" i="1"/>
  <c r="S77" i="1"/>
  <c r="K77" i="1"/>
  <c r="P81" i="1"/>
  <c r="O81" i="1"/>
  <c r="T81" i="1"/>
  <c r="P82" i="1"/>
  <c r="O83" i="1"/>
  <c r="R85" i="1"/>
  <c r="P93" i="1"/>
  <c r="R94" i="1"/>
  <c r="P96" i="1"/>
  <c r="P102" i="1"/>
  <c r="O102" i="1"/>
  <c r="N102" i="1"/>
  <c r="U102" i="1"/>
  <c r="M102" i="1"/>
  <c r="T102" i="1"/>
  <c r="L102" i="1"/>
  <c r="S102" i="1"/>
  <c r="K102" i="1"/>
  <c r="Q106" i="1"/>
  <c r="N109" i="1"/>
  <c r="U109" i="1"/>
  <c r="M109" i="1"/>
  <c r="T109" i="1"/>
  <c r="L109" i="1"/>
  <c r="S109" i="1"/>
  <c r="K109" i="1"/>
  <c r="R109" i="1"/>
  <c r="Q109" i="1"/>
  <c r="U118" i="1"/>
  <c r="M118" i="1"/>
  <c r="T118" i="1"/>
  <c r="L118" i="1"/>
  <c r="Q118" i="1"/>
  <c r="P118" i="1"/>
  <c r="O118" i="1"/>
  <c r="N118" i="1"/>
  <c r="K118" i="1"/>
  <c r="K120" i="1"/>
  <c r="U131" i="1"/>
  <c r="Q159" i="1"/>
  <c r="O159" i="1"/>
  <c r="N159" i="1"/>
  <c r="U159" i="1"/>
  <c r="M159" i="1"/>
  <c r="T159" i="1"/>
  <c r="L159" i="1"/>
  <c r="K159" i="1"/>
  <c r="S159" i="1"/>
  <c r="R159" i="1"/>
  <c r="P159" i="1"/>
  <c r="N52" i="1"/>
  <c r="Q53" i="1"/>
  <c r="L54" i="1"/>
  <c r="O55" i="1"/>
  <c r="P58" i="1"/>
  <c r="K59" i="1"/>
  <c r="N60" i="1"/>
  <c r="Q61" i="1"/>
  <c r="L62" i="1"/>
  <c r="O63" i="1"/>
  <c r="P66" i="1"/>
  <c r="K67" i="1"/>
  <c r="N68" i="1"/>
  <c r="Q69" i="1"/>
  <c r="L70" i="1"/>
  <c r="O71" i="1"/>
  <c r="P74" i="1"/>
  <c r="K75" i="1"/>
  <c r="N76" i="1"/>
  <c r="M77" i="1"/>
  <c r="O78" i="1"/>
  <c r="N78" i="1"/>
  <c r="T78" i="1"/>
  <c r="N80" i="1"/>
  <c r="K81" i="1"/>
  <c r="U81" i="1"/>
  <c r="R81" i="1" s="1"/>
  <c r="P83" i="1"/>
  <c r="L84" i="1"/>
  <c r="O88" i="1"/>
  <c r="L89" i="1"/>
  <c r="S90" i="1"/>
  <c r="Q93" i="1"/>
  <c r="S94" i="1"/>
  <c r="S97" i="1"/>
  <c r="P98" i="1"/>
  <c r="Q102" i="1"/>
  <c r="N105" i="1"/>
  <c r="U105" i="1"/>
  <c r="M105" i="1"/>
  <c r="T105" i="1"/>
  <c r="L105" i="1"/>
  <c r="S105" i="1"/>
  <c r="K105" i="1"/>
  <c r="R105" i="1"/>
  <c r="Q105" i="1"/>
  <c r="R106" i="1"/>
  <c r="T115" i="1"/>
  <c r="T120" i="1"/>
  <c r="R134" i="1"/>
  <c r="U136" i="1"/>
  <c r="P55" i="1"/>
  <c r="S56" i="1"/>
  <c r="O60" i="1"/>
  <c r="R61" i="1"/>
  <c r="P63" i="1"/>
  <c r="S64" i="1"/>
  <c r="O68" i="1"/>
  <c r="R69" i="1"/>
  <c r="P71" i="1"/>
  <c r="S72" i="1"/>
  <c r="O76" i="1"/>
  <c r="P79" i="1"/>
  <c r="Q83" i="1"/>
  <c r="T85" i="1"/>
  <c r="L85" i="1"/>
  <c r="S85" i="1"/>
  <c r="K85" i="1"/>
  <c r="P88" i="1"/>
  <c r="O91" i="1"/>
  <c r="N91" i="1"/>
  <c r="U91" i="1"/>
  <c r="T91" i="1" s="1"/>
  <c r="M91" i="1"/>
  <c r="R93" i="1"/>
  <c r="N101" i="1"/>
  <c r="U101" i="1"/>
  <c r="M101" i="1"/>
  <c r="T101" i="1"/>
  <c r="L101" i="1"/>
  <c r="S101" i="1"/>
  <c r="K101" i="1"/>
  <c r="R101" i="1"/>
  <c r="Q101" i="1"/>
  <c r="R107" i="1"/>
  <c r="Q107" i="1"/>
  <c r="P107" i="1"/>
  <c r="O107" i="1"/>
  <c r="N107" i="1"/>
  <c r="U107" i="1"/>
  <c r="M107" i="1"/>
  <c r="O123" i="1"/>
  <c r="N123" i="1"/>
  <c r="S123" i="1"/>
  <c r="R123" i="1"/>
  <c r="Q123" i="1"/>
  <c r="P123" i="1"/>
  <c r="M123" i="1"/>
  <c r="L123" i="1"/>
  <c r="Q128" i="1"/>
  <c r="P128" i="1"/>
  <c r="S128" i="1"/>
  <c r="R128" i="1"/>
  <c r="O128" i="1"/>
  <c r="N128" i="1"/>
  <c r="M128" i="1"/>
  <c r="L128" i="1"/>
  <c r="Q155" i="1"/>
  <c r="O155" i="1"/>
  <c r="N155" i="1"/>
  <c r="U155" i="1"/>
  <c r="M155" i="1"/>
  <c r="T155" i="1"/>
  <c r="L155" i="1"/>
  <c r="R155" i="1"/>
  <c r="P155" i="1"/>
  <c r="K155" i="1"/>
  <c r="S155" i="1"/>
  <c r="K53" i="1"/>
  <c r="K61" i="1"/>
  <c r="K69" i="1"/>
  <c r="R76" i="1"/>
  <c r="P80" i="1"/>
  <c r="R83" i="1"/>
  <c r="M85" i="1"/>
  <c r="P86" i="1"/>
  <c r="O86" i="1"/>
  <c r="N86" i="1"/>
  <c r="U86" i="1"/>
  <c r="T86" i="1" s="1"/>
  <c r="P87" i="1"/>
  <c r="K91" i="1"/>
  <c r="U94" i="1"/>
  <c r="T94" i="1" s="1"/>
  <c r="R103" i="1"/>
  <c r="Q103" i="1"/>
  <c r="P103" i="1"/>
  <c r="O103" i="1"/>
  <c r="N103" i="1"/>
  <c r="U103" i="1"/>
  <c r="M103" i="1"/>
  <c r="K123" i="1"/>
  <c r="U126" i="1"/>
  <c r="M126" i="1"/>
  <c r="T126" i="1"/>
  <c r="L126" i="1"/>
  <c r="Q126" i="1"/>
  <c r="P126" i="1"/>
  <c r="O126" i="1"/>
  <c r="N126" i="1"/>
  <c r="K126" i="1"/>
  <c r="K128" i="1"/>
  <c r="Q79" i="1"/>
  <c r="R82" i="1"/>
  <c r="R90" i="1"/>
  <c r="P92" i="1"/>
  <c r="O97" i="1"/>
  <c r="R98" i="1"/>
  <c r="M99" i="1"/>
  <c r="U99" i="1"/>
  <c r="O100" i="1"/>
  <c r="O104" i="1"/>
  <c r="O108" i="1"/>
  <c r="R111" i="1"/>
  <c r="S113" i="1"/>
  <c r="K113" i="1"/>
  <c r="R113" i="1"/>
  <c r="T113" i="1"/>
  <c r="P114" i="1"/>
  <c r="R116" i="1"/>
  <c r="N117" i="1"/>
  <c r="R119" i="1"/>
  <c r="S121" i="1"/>
  <c r="K121" i="1"/>
  <c r="R121" i="1"/>
  <c r="T121" i="1"/>
  <c r="P122" i="1"/>
  <c r="R124" i="1"/>
  <c r="N125" i="1"/>
  <c r="R127" i="1"/>
  <c r="S129" i="1"/>
  <c r="K129" i="1"/>
  <c r="R129" i="1"/>
  <c r="T129" i="1"/>
  <c r="P130" i="1"/>
  <c r="R132" i="1"/>
  <c r="N133" i="1"/>
  <c r="R135" i="1"/>
  <c r="S137" i="1"/>
  <c r="K137" i="1"/>
  <c r="R137" i="1"/>
  <c r="T137" i="1"/>
  <c r="Q138" i="1"/>
  <c r="P139" i="1"/>
  <c r="S143" i="1"/>
  <c r="K143" i="1"/>
  <c r="R143" i="1"/>
  <c r="Q143" i="1"/>
  <c r="O143" i="1"/>
  <c r="N143" i="1"/>
  <c r="P145" i="1"/>
  <c r="S168" i="1"/>
  <c r="K168" i="1"/>
  <c r="Q168" i="1"/>
  <c r="P168" i="1"/>
  <c r="O168" i="1"/>
  <c r="N168" i="1"/>
  <c r="U168" i="1"/>
  <c r="T168" i="1"/>
  <c r="R168" i="1"/>
  <c r="M168" i="1"/>
  <c r="L168" i="1"/>
  <c r="U189" i="1"/>
  <c r="M189" i="1"/>
  <c r="T189" i="1"/>
  <c r="L189" i="1"/>
  <c r="S189" i="1"/>
  <c r="K189" i="1"/>
  <c r="R189" i="1"/>
  <c r="Q189" i="1"/>
  <c r="P189" i="1"/>
  <c r="O189" i="1"/>
  <c r="N189" i="1"/>
  <c r="U197" i="1"/>
  <c r="M197" i="1"/>
  <c r="T197" i="1"/>
  <c r="L197" i="1"/>
  <c r="S197" i="1"/>
  <c r="K197" i="1"/>
  <c r="R197" i="1"/>
  <c r="Q197" i="1"/>
  <c r="P197" i="1"/>
  <c r="O197" i="1"/>
  <c r="N197" i="1"/>
  <c r="K82" i="1"/>
  <c r="K90" i="1"/>
  <c r="Q92" i="1"/>
  <c r="P97" i="1"/>
  <c r="K98" i="1"/>
  <c r="N99" i="1"/>
  <c r="P100" i="1"/>
  <c r="P104" i="1"/>
  <c r="P108" i="1"/>
  <c r="U113" i="1"/>
  <c r="Q114" i="1"/>
  <c r="O117" i="1"/>
  <c r="U121" i="1"/>
  <c r="Q122" i="1"/>
  <c r="O125" i="1"/>
  <c r="U129" i="1"/>
  <c r="Q130" i="1"/>
  <c r="O133" i="1"/>
  <c r="U137" i="1"/>
  <c r="R138" i="1"/>
  <c r="S139" i="1"/>
  <c r="U144" i="1"/>
  <c r="M144" i="1"/>
  <c r="T144" i="1"/>
  <c r="L144" i="1"/>
  <c r="S144" i="1"/>
  <c r="K144" i="1"/>
  <c r="Q144" i="1"/>
  <c r="P144" i="1"/>
  <c r="Q145" i="1"/>
  <c r="U157" i="1"/>
  <c r="M157" i="1"/>
  <c r="S157" i="1"/>
  <c r="K157" i="1"/>
  <c r="R157" i="1"/>
  <c r="Q157" i="1"/>
  <c r="P157" i="1"/>
  <c r="T157" i="1"/>
  <c r="O157" i="1"/>
  <c r="N157" i="1"/>
  <c r="L157" i="1"/>
  <c r="Q97" i="1"/>
  <c r="O99" i="1"/>
  <c r="Q100" i="1"/>
  <c r="Q104" i="1"/>
  <c r="Q108" i="1"/>
  <c r="O111" i="1"/>
  <c r="N111" i="1"/>
  <c r="T111" i="1"/>
  <c r="R114" i="1"/>
  <c r="Q116" i="1"/>
  <c r="P116" i="1"/>
  <c r="T116" i="1"/>
  <c r="P117" i="1"/>
  <c r="O119" i="1"/>
  <c r="N119" i="1"/>
  <c r="T119" i="1"/>
  <c r="R122" i="1"/>
  <c r="Q124" i="1"/>
  <c r="P124" i="1"/>
  <c r="T124" i="1"/>
  <c r="P125" i="1"/>
  <c r="O127" i="1"/>
  <c r="N127" i="1"/>
  <c r="T127" i="1"/>
  <c r="R130" i="1"/>
  <c r="Q132" i="1"/>
  <c r="P132" i="1"/>
  <c r="T132" i="1"/>
  <c r="O135" i="1"/>
  <c r="N135" i="1"/>
  <c r="T135" i="1"/>
  <c r="O147" i="1"/>
  <c r="N147" i="1"/>
  <c r="M147" i="1"/>
  <c r="U147" i="1"/>
  <c r="L147" i="1"/>
  <c r="S147" i="1"/>
  <c r="R147" i="1"/>
  <c r="Q148" i="1"/>
  <c r="P148" i="1"/>
  <c r="S148" i="1"/>
  <c r="R148" i="1"/>
  <c r="O148" i="1"/>
  <c r="M148" i="1"/>
  <c r="L148" i="1"/>
  <c r="S152" i="1"/>
  <c r="K152" i="1"/>
  <c r="Q152" i="1"/>
  <c r="P152" i="1"/>
  <c r="O152" i="1"/>
  <c r="N152" i="1"/>
  <c r="U152" i="1"/>
  <c r="T152" i="1"/>
  <c r="M152" i="1"/>
  <c r="L152" i="1"/>
  <c r="Q175" i="1"/>
  <c r="O175" i="1"/>
  <c r="N175" i="1"/>
  <c r="U175" i="1"/>
  <c r="M175" i="1"/>
  <c r="T175" i="1"/>
  <c r="L175" i="1"/>
  <c r="K175" i="1"/>
  <c r="S175" i="1"/>
  <c r="O178" i="1"/>
  <c r="U178" i="1"/>
  <c r="M178" i="1"/>
  <c r="T178" i="1"/>
  <c r="L178" i="1"/>
  <c r="S178" i="1"/>
  <c r="K178" i="1"/>
  <c r="R178" i="1"/>
  <c r="Q178" i="1"/>
  <c r="P178" i="1"/>
  <c r="N178" i="1"/>
  <c r="P99" i="1"/>
  <c r="R100" i="1"/>
  <c r="R104" i="1"/>
  <c r="R108" i="1"/>
  <c r="R139" i="1"/>
  <c r="Q139" i="1"/>
  <c r="O139" i="1"/>
  <c r="N139" i="1"/>
  <c r="U139" i="1"/>
  <c r="O141" i="1"/>
  <c r="N141" i="1"/>
  <c r="U141" i="1"/>
  <c r="M141" i="1"/>
  <c r="S141" i="1"/>
  <c r="K141" i="1"/>
  <c r="R141" i="1"/>
  <c r="Q142" i="1"/>
  <c r="P142" i="1"/>
  <c r="O142" i="1"/>
  <c r="U142" i="1"/>
  <c r="M142" i="1"/>
  <c r="T142" i="1"/>
  <c r="L142" i="1"/>
  <c r="Q163" i="1"/>
  <c r="O163" i="1"/>
  <c r="N163" i="1"/>
  <c r="U163" i="1"/>
  <c r="M163" i="1"/>
  <c r="T163" i="1"/>
  <c r="L163" i="1"/>
  <c r="S163" i="1"/>
  <c r="R163" i="1"/>
  <c r="P163" i="1"/>
  <c r="S184" i="1"/>
  <c r="K184" i="1"/>
  <c r="Q184" i="1"/>
  <c r="P184" i="1"/>
  <c r="O184" i="1"/>
  <c r="N184" i="1"/>
  <c r="U184" i="1"/>
  <c r="T184" i="1"/>
  <c r="R184" i="1"/>
  <c r="M184" i="1"/>
  <c r="L184" i="1"/>
  <c r="U114" i="1"/>
  <c r="M114" i="1"/>
  <c r="T114" i="1"/>
  <c r="L114" i="1"/>
  <c r="S117" i="1"/>
  <c r="K117" i="1"/>
  <c r="R117" i="1"/>
  <c r="T117" i="1"/>
  <c r="U122" i="1"/>
  <c r="M122" i="1"/>
  <c r="T122" i="1"/>
  <c r="L122" i="1"/>
  <c r="S125" i="1"/>
  <c r="K125" i="1"/>
  <c r="R125" i="1"/>
  <c r="T125" i="1"/>
  <c r="U130" i="1"/>
  <c r="M130" i="1"/>
  <c r="T130" i="1"/>
  <c r="L130" i="1"/>
  <c r="S133" i="1"/>
  <c r="K133" i="1"/>
  <c r="R133" i="1"/>
  <c r="T133" i="1"/>
  <c r="P138" i="1"/>
  <c r="U138" i="1"/>
  <c r="M138" i="1"/>
  <c r="T138" i="1"/>
  <c r="L138" i="1"/>
  <c r="K142" i="1"/>
  <c r="Q167" i="1"/>
  <c r="O167" i="1"/>
  <c r="N167" i="1"/>
  <c r="U167" i="1"/>
  <c r="M167" i="1"/>
  <c r="T167" i="1"/>
  <c r="L167" i="1"/>
  <c r="S167" i="1"/>
  <c r="R167" i="1"/>
  <c r="P167" i="1"/>
  <c r="K167" i="1"/>
  <c r="P175" i="1"/>
  <c r="L100" i="1"/>
  <c r="L104" i="1"/>
  <c r="L108" i="1"/>
  <c r="K114" i="1"/>
  <c r="U117" i="1"/>
  <c r="K122" i="1"/>
  <c r="U125" i="1"/>
  <c r="K130" i="1"/>
  <c r="U133" i="1"/>
  <c r="K138" i="1"/>
  <c r="K139" i="1"/>
  <c r="L141" i="1"/>
  <c r="N142" i="1"/>
  <c r="S145" i="1"/>
  <c r="O145" i="1"/>
  <c r="N145" i="1"/>
  <c r="M145" i="1"/>
  <c r="T145" i="1"/>
  <c r="K145" i="1"/>
  <c r="R145" i="1"/>
  <c r="P147" i="1"/>
  <c r="T148" i="1"/>
  <c r="Q151" i="1"/>
  <c r="O151" i="1"/>
  <c r="N151" i="1"/>
  <c r="U151" i="1"/>
  <c r="M151" i="1"/>
  <c r="T151" i="1"/>
  <c r="L151" i="1"/>
  <c r="S151" i="1"/>
  <c r="R151" i="1"/>
  <c r="K151" i="1"/>
  <c r="U173" i="1"/>
  <c r="M173" i="1"/>
  <c r="S173" i="1"/>
  <c r="K173" i="1"/>
  <c r="R173" i="1"/>
  <c r="Q173" i="1"/>
  <c r="P173" i="1"/>
  <c r="T173" i="1"/>
  <c r="O173" i="1"/>
  <c r="N173" i="1"/>
  <c r="L173" i="1"/>
  <c r="R175" i="1"/>
  <c r="N146" i="1"/>
  <c r="S149" i="1"/>
  <c r="K149" i="1"/>
  <c r="R149" i="1"/>
  <c r="Q149" i="1"/>
  <c r="P149" i="1"/>
  <c r="U150" i="1"/>
  <c r="M150" i="1"/>
  <c r="T150" i="1"/>
  <c r="L150" i="1"/>
  <c r="S150" i="1"/>
  <c r="K150" i="1"/>
  <c r="R150" i="1"/>
  <c r="N153" i="1"/>
  <c r="P158" i="1"/>
  <c r="R164" i="1"/>
  <c r="N169" i="1"/>
  <c r="P174" i="1"/>
  <c r="Q191" i="1"/>
  <c r="P191" i="1"/>
  <c r="O191" i="1"/>
  <c r="N191" i="1"/>
  <c r="U191" i="1"/>
  <c r="M191" i="1"/>
  <c r="T191" i="1"/>
  <c r="L191" i="1"/>
  <c r="T192" i="1"/>
  <c r="S196" i="1"/>
  <c r="K196" i="1"/>
  <c r="R196" i="1"/>
  <c r="Q196" i="1"/>
  <c r="P196" i="1"/>
  <c r="O196" i="1"/>
  <c r="N196" i="1"/>
  <c r="Q199" i="1"/>
  <c r="P199" i="1"/>
  <c r="O199" i="1"/>
  <c r="N199" i="1"/>
  <c r="U199" i="1"/>
  <c r="M199" i="1"/>
  <c r="T199" i="1"/>
  <c r="L199" i="1"/>
  <c r="T200" i="1"/>
  <c r="O146" i="1"/>
  <c r="S156" i="1"/>
  <c r="K156" i="1"/>
  <c r="Q156" i="1"/>
  <c r="P156" i="1"/>
  <c r="O156" i="1"/>
  <c r="N156" i="1"/>
  <c r="U161" i="1"/>
  <c r="M161" i="1"/>
  <c r="S161" i="1"/>
  <c r="K161" i="1"/>
  <c r="R161" i="1"/>
  <c r="Q161" i="1"/>
  <c r="P161" i="1"/>
  <c r="O166" i="1"/>
  <c r="U166" i="1"/>
  <c r="M166" i="1"/>
  <c r="T166" i="1"/>
  <c r="L166" i="1"/>
  <c r="S166" i="1"/>
  <c r="K166" i="1"/>
  <c r="R166" i="1"/>
  <c r="S172" i="1"/>
  <c r="K172" i="1"/>
  <c r="Q172" i="1"/>
  <c r="P172" i="1"/>
  <c r="O172" i="1"/>
  <c r="N172" i="1"/>
  <c r="U177" i="1"/>
  <c r="M177" i="1"/>
  <c r="S177" i="1"/>
  <c r="K177" i="1"/>
  <c r="R177" i="1"/>
  <c r="Q177" i="1"/>
  <c r="P177" i="1"/>
  <c r="O182" i="1"/>
  <c r="U182" i="1"/>
  <c r="M182" i="1"/>
  <c r="T182" i="1"/>
  <c r="L182" i="1"/>
  <c r="S182" i="1"/>
  <c r="K182" i="1"/>
  <c r="R182" i="1"/>
  <c r="K191" i="1"/>
  <c r="K199" i="1"/>
  <c r="Q171" i="1"/>
  <c r="O171" i="1"/>
  <c r="N171" i="1"/>
  <c r="U171" i="1"/>
  <c r="M171" i="1"/>
  <c r="T171" i="1"/>
  <c r="L171" i="1"/>
  <c r="Q187" i="1"/>
  <c r="O187" i="1"/>
  <c r="N187" i="1"/>
  <c r="U187" i="1"/>
  <c r="M187" i="1"/>
  <c r="T187" i="1"/>
  <c r="L187" i="1"/>
  <c r="O190" i="1"/>
  <c r="N190" i="1"/>
  <c r="U190" i="1"/>
  <c r="M190" i="1"/>
  <c r="T190" i="1"/>
  <c r="L190" i="1"/>
  <c r="S190" i="1"/>
  <c r="K190" i="1"/>
  <c r="R190" i="1"/>
  <c r="U193" i="1"/>
  <c r="M193" i="1"/>
  <c r="T193" i="1"/>
  <c r="L193" i="1"/>
  <c r="S193" i="1"/>
  <c r="K193" i="1"/>
  <c r="R193" i="1"/>
  <c r="Q193" i="1"/>
  <c r="P193" i="1"/>
  <c r="O198" i="1"/>
  <c r="N198" i="1"/>
  <c r="U198" i="1"/>
  <c r="M198" i="1"/>
  <c r="T198" i="1"/>
  <c r="L198" i="1"/>
  <c r="S198" i="1"/>
  <c r="K198" i="1"/>
  <c r="R198" i="1"/>
  <c r="U201" i="1"/>
  <c r="M201" i="1"/>
  <c r="T201" i="1"/>
  <c r="L201" i="1"/>
  <c r="S201" i="1"/>
  <c r="K201" i="1"/>
  <c r="R201" i="1"/>
  <c r="Q201" i="1"/>
  <c r="P201" i="1"/>
  <c r="Q146" i="1"/>
  <c r="O154" i="1"/>
  <c r="U154" i="1"/>
  <c r="M154" i="1"/>
  <c r="T154" i="1"/>
  <c r="L154" i="1"/>
  <c r="S154" i="1"/>
  <c r="K154" i="1"/>
  <c r="R154" i="1"/>
  <c r="S160" i="1"/>
  <c r="K160" i="1"/>
  <c r="Q160" i="1"/>
  <c r="P160" i="1"/>
  <c r="O160" i="1"/>
  <c r="N160" i="1"/>
  <c r="U165" i="1"/>
  <c r="M165" i="1"/>
  <c r="S165" i="1"/>
  <c r="K165" i="1"/>
  <c r="R165" i="1"/>
  <c r="Q165" i="1"/>
  <c r="P165" i="1"/>
  <c r="O170" i="1"/>
  <c r="U170" i="1"/>
  <c r="M170" i="1"/>
  <c r="T170" i="1"/>
  <c r="L170" i="1"/>
  <c r="S170" i="1"/>
  <c r="K170" i="1"/>
  <c r="R170" i="1"/>
  <c r="K171" i="1"/>
  <c r="S176" i="1"/>
  <c r="K176" i="1"/>
  <c r="Q176" i="1"/>
  <c r="P176" i="1"/>
  <c r="O176" i="1"/>
  <c r="N176" i="1"/>
  <c r="U181" i="1"/>
  <c r="M181" i="1"/>
  <c r="S181" i="1"/>
  <c r="K181" i="1"/>
  <c r="R181" i="1"/>
  <c r="Q181" i="1"/>
  <c r="P181" i="1"/>
  <c r="O186" i="1"/>
  <c r="U186" i="1"/>
  <c r="M186" i="1"/>
  <c r="T186" i="1"/>
  <c r="L186" i="1"/>
  <c r="S186" i="1"/>
  <c r="K186" i="1"/>
  <c r="R186" i="1"/>
  <c r="K187" i="1"/>
  <c r="S191" i="1"/>
  <c r="M196" i="1"/>
  <c r="S199" i="1"/>
  <c r="P171" i="1"/>
  <c r="P187" i="1"/>
  <c r="P190" i="1"/>
  <c r="S192" i="1"/>
  <c r="K192" i="1"/>
  <c r="R192" i="1"/>
  <c r="Q192" i="1"/>
  <c r="P192" i="1"/>
  <c r="O192" i="1"/>
  <c r="N192" i="1"/>
  <c r="N193" i="1"/>
  <c r="Q195" i="1"/>
  <c r="P195" i="1"/>
  <c r="O195" i="1"/>
  <c r="N195" i="1"/>
  <c r="U195" i="1"/>
  <c r="M195" i="1"/>
  <c r="T195" i="1"/>
  <c r="L195" i="1"/>
  <c r="T196" i="1"/>
  <c r="P198" i="1"/>
  <c r="S200" i="1"/>
  <c r="K200" i="1"/>
  <c r="R200" i="1"/>
  <c r="Q200" i="1"/>
  <c r="P200" i="1"/>
  <c r="O200" i="1"/>
  <c r="N200" i="1"/>
  <c r="N201" i="1"/>
  <c r="U146" i="1"/>
  <c r="M146" i="1"/>
  <c r="S146" i="1"/>
  <c r="U153" i="1"/>
  <c r="M153" i="1"/>
  <c r="S153" i="1"/>
  <c r="K153" i="1"/>
  <c r="R153" i="1"/>
  <c r="Q153" i="1"/>
  <c r="P153" i="1"/>
  <c r="O158" i="1"/>
  <c r="U158" i="1"/>
  <c r="M158" i="1"/>
  <c r="T158" i="1"/>
  <c r="L158" i="1"/>
  <c r="S158" i="1"/>
  <c r="K158" i="1"/>
  <c r="R158" i="1"/>
  <c r="S164" i="1"/>
  <c r="K164" i="1"/>
  <c r="Q164" i="1"/>
  <c r="P164" i="1"/>
  <c r="O164" i="1"/>
  <c r="N164" i="1"/>
  <c r="L165" i="1"/>
  <c r="U169" i="1"/>
  <c r="M169" i="1"/>
  <c r="S169" i="1"/>
  <c r="K169" i="1"/>
  <c r="R169" i="1"/>
  <c r="Q169" i="1"/>
  <c r="P169" i="1"/>
  <c r="N170" i="1"/>
  <c r="R171" i="1"/>
  <c r="O174" i="1"/>
  <c r="U174" i="1"/>
  <c r="M174" i="1"/>
  <c r="T174" i="1"/>
  <c r="L174" i="1"/>
  <c r="S174" i="1"/>
  <c r="K174" i="1"/>
  <c r="R174" i="1"/>
  <c r="M176" i="1"/>
  <c r="S180" i="1"/>
  <c r="K180" i="1"/>
  <c r="Q180" i="1"/>
  <c r="P180" i="1"/>
  <c r="O180" i="1"/>
  <c r="N180" i="1"/>
  <c r="L181" i="1"/>
  <c r="Q182" i="1"/>
  <c r="U185" i="1"/>
  <c r="M185" i="1"/>
  <c r="S185" i="1"/>
  <c r="K185" i="1"/>
  <c r="R185" i="1"/>
  <c r="Q185" i="1"/>
  <c r="P185" i="1"/>
  <c r="N186" i="1"/>
  <c r="R187" i="1"/>
  <c r="Q190" i="1"/>
  <c r="O193" i="1"/>
  <c r="K195" i="1"/>
  <c r="U196" i="1"/>
  <c r="Q198" i="1"/>
  <c r="O201" i="1"/>
  <c r="N188" i="1"/>
  <c r="O188" i="1"/>
  <c r="P188" i="1"/>
  <c r="Q188" i="1"/>
  <c r="R188" i="1"/>
  <c r="K188" i="1"/>
  <c r="S48" i="1" l="1"/>
  <c r="B40" i="1" s="1"/>
  <c r="T58" i="1"/>
  <c r="S58" i="1"/>
  <c r="K48" i="1"/>
  <c r="B31" i="1" s="1"/>
  <c r="S53" i="1"/>
  <c r="T99" i="1"/>
  <c r="S99" i="1"/>
  <c r="M48" i="1"/>
  <c r="B33" i="1" s="1"/>
  <c r="T52" i="1"/>
  <c r="R52" i="1"/>
  <c r="S86" i="1"/>
  <c r="R91" i="1"/>
  <c r="S88" i="1"/>
  <c r="R88" i="1"/>
  <c r="L48" i="1"/>
  <c r="B32" i="1" s="1"/>
  <c r="S91" i="1"/>
  <c r="S89" i="1"/>
  <c r="R89" i="1"/>
  <c r="T80" i="1"/>
  <c r="T55" i="1"/>
  <c r="R99" i="1"/>
  <c r="R71" i="1"/>
  <c r="R58" i="1"/>
  <c r="S80" i="1"/>
  <c r="R53" i="1"/>
  <c r="R86" i="1"/>
  <c r="S96" i="1"/>
  <c r="R96" i="1"/>
  <c r="S74" i="1"/>
  <c r="T74" i="1"/>
  <c r="S61" i="1"/>
  <c r="S60" i="1"/>
  <c r="R74" i="1"/>
  <c r="N48" i="1"/>
  <c r="B34" i="1" s="1"/>
  <c r="T66" i="1"/>
  <c r="S66" i="1"/>
  <c r="T76" i="1"/>
  <c r="Q48" i="1"/>
  <c r="B37" i="1" s="1"/>
  <c r="B41" i="1"/>
  <c r="AE27" i="1"/>
  <c r="R66" i="1"/>
  <c r="R48" i="1" l="1"/>
  <c r="B42" i="1" s="1"/>
  <c r="T48" i="1"/>
  <c r="B38" i="1" s="1"/>
  <c r="B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Khusboo Sanghvi</author>
  </authors>
  <commentList>
    <comment ref="D20" authorId="0" shapeId="0" xr:uid="{00000000-0006-0000-0000-000001000000}">
      <text>
        <r>
          <rPr>
            <sz val="8"/>
            <color theme="1"/>
            <rFont val="Verdana"/>
            <family val="2"/>
          </rPr>
          <t xml:space="preserve">Please note that NAS networks are available only for Dubai LSB members.
For Dubai HSB members, Abu Dhabi members &amp; Northern Emirates members please select Daman networks only.
</t>
        </r>
      </text>
    </comment>
  </commentList>
</comments>
</file>

<file path=xl/sharedStrings.xml><?xml version="1.0" encoding="utf-8"?>
<sst xmlns="http://schemas.openxmlformats.org/spreadsheetml/2006/main" count="547" uniqueCount="221">
  <si>
    <t>SME Plans : Member Details</t>
  </si>
  <si>
    <t>The sheet is used to input member details for the quotation process.</t>
  </si>
  <si>
    <t>Version</t>
  </si>
  <si>
    <t>1.0.6</t>
  </si>
  <si>
    <t>Steps:</t>
  </si>
  <si>
    <t>1. Input the policy inception date and Category name as used in the tool</t>
  </si>
  <si>
    <t>2. Input the member details</t>
  </si>
  <si>
    <t>3. Before uploading the file to the portal, ensure that the sheet has no member detail error (See Check section below)</t>
  </si>
  <si>
    <t>4. If no error, then proceed with step 5, otherwise proceed from step 6 onwards</t>
  </si>
  <si>
    <t>5. No errors in the tool: please proceed further to upload this file on the tool.</t>
  </si>
  <si>
    <t>6. Errors in the tool:  There are some errors, please check the errors sections as well as individual member detail error check columns (J onwards) and correct them</t>
  </si>
  <si>
    <t>7. Once errors corrected, please proceed with step 3 above</t>
  </si>
  <si>
    <t>Policy Inception Date</t>
  </si>
  <si>
    <t>Please input the policy inception date</t>
  </si>
  <si>
    <t>Inception Date</t>
  </si>
  <si>
    <t>Input the name used in the tool against Category 1, cannot be blank</t>
  </si>
  <si>
    <t>Networks</t>
  </si>
  <si>
    <t>Daman/NAS</t>
  </si>
  <si>
    <t>Royal</t>
  </si>
  <si>
    <t>Daman</t>
  </si>
  <si>
    <t>Category Name &amp; Visa</t>
  </si>
  <si>
    <t>Supreme</t>
  </si>
  <si>
    <t>Please input the Category name and Visa used as part of benefit selection as against each category name. Ensure it is exactly the same for appropriate mapping of members</t>
  </si>
  <si>
    <t>Field Error check</t>
  </si>
  <si>
    <t>Extra space in Cat Name</t>
  </si>
  <si>
    <t>Grand</t>
  </si>
  <si>
    <t>Category Name</t>
  </si>
  <si>
    <t>Visa Location</t>
  </si>
  <si>
    <t>Network</t>
  </si>
  <si>
    <t>Salary Band</t>
  </si>
  <si>
    <t>Category Name warning</t>
  </si>
  <si>
    <t>Mandatory field Count</t>
  </si>
  <si>
    <t>Error</t>
  </si>
  <si>
    <t>Error Message</t>
  </si>
  <si>
    <t>Ahead</t>
  </si>
  <si>
    <t>Last</t>
  </si>
  <si>
    <t>Double space</t>
  </si>
  <si>
    <t>Key</t>
  </si>
  <si>
    <t>Network Chosen</t>
  </si>
  <si>
    <t>Members</t>
  </si>
  <si>
    <t>DNE-LSB Members?</t>
  </si>
  <si>
    <t>Network Expected</t>
  </si>
  <si>
    <t>Network Error</t>
  </si>
  <si>
    <t>Category 1</t>
  </si>
  <si>
    <t>CAT A</t>
  </si>
  <si>
    <t>Dubai</t>
  </si>
  <si>
    <t>Default Network</t>
  </si>
  <si>
    <t>HSB</t>
  </si>
  <si>
    <t>Input the details as used in the tool against each category - it should match exactly and ensure there are no extra space or incorrect information otherwise the tool will throw an error in premium computation</t>
  </si>
  <si>
    <t>Advanced</t>
  </si>
  <si>
    <t>Category 2</t>
  </si>
  <si>
    <t>CAT B</t>
  </si>
  <si>
    <t>Primary</t>
  </si>
  <si>
    <t>Category 3</t>
  </si>
  <si>
    <t>NAS_Comprehensive</t>
  </si>
  <si>
    <t>NAS</t>
  </si>
  <si>
    <t>Category 4</t>
  </si>
  <si>
    <t>NAS_General</t>
  </si>
  <si>
    <t>Category 5</t>
  </si>
  <si>
    <t>NAS_Restricted</t>
  </si>
  <si>
    <t>NAS_Super Restricted</t>
  </si>
  <si>
    <t>Check Errors</t>
  </si>
  <si>
    <t>NAS_Workers</t>
  </si>
  <si>
    <t>Error Result:</t>
  </si>
  <si>
    <t>Mandatory field</t>
  </si>
  <si>
    <t>DOB format</t>
  </si>
  <si>
    <t>Gender</t>
  </si>
  <si>
    <t>Marital Status</t>
  </si>
  <si>
    <t>Relationship</t>
  </si>
  <si>
    <t>Category</t>
  </si>
  <si>
    <t>Negative Age</t>
  </si>
  <si>
    <t>Member Count Error</t>
  </si>
  <si>
    <t>Aged above 66</t>
  </si>
  <si>
    <t>Total Principal members</t>
  </si>
  <si>
    <t>Principal aged below 21</t>
  </si>
  <si>
    <t>Total Members</t>
  </si>
  <si>
    <t>Inputs allowed in columns below</t>
  </si>
  <si>
    <t>Total AUH Members</t>
  </si>
  <si>
    <t>Male</t>
  </si>
  <si>
    <t>Married</t>
  </si>
  <si>
    <t>Principal</t>
  </si>
  <si>
    <t>Abu Dhabi</t>
  </si>
  <si>
    <t>Total DNE LSB Members</t>
  </si>
  <si>
    <t>Female</t>
  </si>
  <si>
    <t>Single</t>
  </si>
  <si>
    <t>Spouse</t>
  </si>
  <si>
    <t>Total AUH Members Proportion</t>
  </si>
  <si>
    <t>Not Used</t>
  </si>
  <si>
    <t>Child</t>
  </si>
  <si>
    <t>Northern Emirate</t>
  </si>
  <si>
    <t>Mandatory</t>
  </si>
  <si>
    <t>Calculated</t>
  </si>
  <si>
    <t>Error Checks</t>
  </si>
  <si>
    <t>Member Identifier</t>
  </si>
  <si>
    <t>Date of Birth</t>
  </si>
  <si>
    <t>Category Number</t>
  </si>
  <si>
    <t>Entry Count</t>
  </si>
  <si>
    <t>Mandatory fields</t>
  </si>
  <si>
    <t>Principal aged less than 21</t>
  </si>
  <si>
    <t>Member age greater than 65</t>
  </si>
  <si>
    <t>Age</t>
  </si>
  <si>
    <t>Gayani</t>
  </si>
  <si>
    <t>7/11/1989</t>
  </si>
  <si>
    <t>INDIA</t>
  </si>
  <si>
    <t>Sandali</t>
  </si>
  <si>
    <t>AUSTRIA</t>
  </si>
  <si>
    <t>Thanuji</t>
  </si>
  <si>
    <t>KUWAIT</t>
  </si>
  <si>
    <t>Chamudi</t>
  </si>
  <si>
    <t>EMIRATES</t>
  </si>
  <si>
    <t>Udeshi</t>
  </si>
  <si>
    <t>CANADA</t>
  </si>
  <si>
    <t>Nayomi</t>
  </si>
  <si>
    <t>SWIZERLAND</t>
  </si>
  <si>
    <t>Dana</t>
  </si>
  <si>
    <t>CHILE</t>
  </si>
  <si>
    <t>Aruni</t>
  </si>
  <si>
    <t>CHINA</t>
  </si>
  <si>
    <t>Kasuni</t>
  </si>
  <si>
    <t>Member 49</t>
  </si>
  <si>
    <t>Member 50</t>
  </si>
  <si>
    <t>Member 51</t>
  </si>
  <si>
    <t>Member 52</t>
  </si>
  <si>
    <t>Member 53</t>
  </si>
  <si>
    <t>Member 54</t>
  </si>
  <si>
    <t>Member 55</t>
  </si>
  <si>
    <t>Member 56</t>
  </si>
  <si>
    <t>Member 57</t>
  </si>
  <si>
    <t>Member 58</t>
  </si>
  <si>
    <t>Member 59</t>
  </si>
  <si>
    <t>Member 60</t>
  </si>
  <si>
    <t>Member 61</t>
  </si>
  <si>
    <t>Member 62</t>
  </si>
  <si>
    <t>Member 63</t>
  </si>
  <si>
    <t>Member 64</t>
  </si>
  <si>
    <t>Member 65</t>
  </si>
  <si>
    <t>Member 66</t>
  </si>
  <si>
    <t>Member 67</t>
  </si>
  <si>
    <t>Member 68</t>
  </si>
  <si>
    <t>Member 69</t>
  </si>
  <si>
    <t>Member 70</t>
  </si>
  <si>
    <t>Member 71</t>
  </si>
  <si>
    <t>Member 72</t>
  </si>
  <si>
    <t>Member 73</t>
  </si>
  <si>
    <t>Member 74</t>
  </si>
  <si>
    <t>Member 75</t>
  </si>
  <si>
    <t>Member 76</t>
  </si>
  <si>
    <t>Member 77</t>
  </si>
  <si>
    <t>Member 78</t>
  </si>
  <si>
    <t>Member 79</t>
  </si>
  <si>
    <t>Member 80</t>
  </si>
  <si>
    <t>Member 81</t>
  </si>
  <si>
    <t>Member 82</t>
  </si>
  <si>
    <t>Member 83</t>
  </si>
  <si>
    <t>Member 84</t>
  </si>
  <si>
    <t>Member 85</t>
  </si>
  <si>
    <t>Member 86</t>
  </si>
  <si>
    <t>Member 87</t>
  </si>
  <si>
    <t>Member 88</t>
  </si>
  <si>
    <t>Member 89</t>
  </si>
  <si>
    <t>Member 90</t>
  </si>
  <si>
    <t>Member 91</t>
  </si>
  <si>
    <t>Member 92</t>
  </si>
  <si>
    <t>Member 93</t>
  </si>
  <si>
    <t>Member 94</t>
  </si>
  <si>
    <t>Member 95</t>
  </si>
  <si>
    <t>Member 96</t>
  </si>
  <si>
    <t>Member 97</t>
  </si>
  <si>
    <t>Member 98</t>
  </si>
  <si>
    <t>Member 99</t>
  </si>
  <si>
    <t>Member 100</t>
  </si>
  <si>
    <t>Member 101</t>
  </si>
  <si>
    <t>Member 102</t>
  </si>
  <si>
    <t>Member 103</t>
  </si>
  <si>
    <t>Member 104</t>
  </si>
  <si>
    <t>Member 105</t>
  </si>
  <si>
    <t>Member 106</t>
  </si>
  <si>
    <t>Member 107</t>
  </si>
  <si>
    <t>Member 108</t>
  </si>
  <si>
    <t>Member 109</t>
  </si>
  <si>
    <t>Member 110</t>
  </si>
  <si>
    <t>Member 111</t>
  </si>
  <si>
    <t>Member 112</t>
  </si>
  <si>
    <t>Member 113</t>
  </si>
  <si>
    <t>Member 114</t>
  </si>
  <si>
    <t>Member 115</t>
  </si>
  <si>
    <t>Member 116</t>
  </si>
  <si>
    <t>Member 117</t>
  </si>
  <si>
    <t>Member 118</t>
  </si>
  <si>
    <t>Member 119</t>
  </si>
  <si>
    <t>Member 120</t>
  </si>
  <si>
    <t>Member 121</t>
  </si>
  <si>
    <t>Member 122</t>
  </si>
  <si>
    <t>Member 123</t>
  </si>
  <si>
    <t>Member 124</t>
  </si>
  <si>
    <t>Member 125</t>
  </si>
  <si>
    <t>Member 126</t>
  </si>
  <si>
    <t>Member 127</t>
  </si>
  <si>
    <t>Member 128</t>
  </si>
  <si>
    <t>Member 129</t>
  </si>
  <si>
    <t>Member 130</t>
  </si>
  <si>
    <t>Member 131</t>
  </si>
  <si>
    <t>Member 132</t>
  </si>
  <si>
    <t>Member 133</t>
  </si>
  <si>
    <t>Member 134</t>
  </si>
  <si>
    <t>Member 135</t>
  </si>
  <si>
    <t>Member 136</t>
  </si>
  <si>
    <t>Member 137</t>
  </si>
  <si>
    <t>Member 138</t>
  </si>
  <si>
    <t>Member 139</t>
  </si>
  <si>
    <t>Member 140</t>
  </si>
  <si>
    <t>Member 141</t>
  </si>
  <si>
    <t>Member 142</t>
  </si>
  <si>
    <t>Member 143</t>
  </si>
  <si>
    <t>Member 144</t>
  </si>
  <si>
    <t>Member 145</t>
  </si>
  <si>
    <t>Member 146</t>
  </si>
  <si>
    <t>Member 147</t>
  </si>
  <si>
    <t>Member 148</t>
  </si>
  <si>
    <t>Member 149</t>
  </si>
  <si>
    <t>Member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</si>
</sst>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0" x14ac:knownFonts="1">
    <font>
      <sz val="8"/>
      <color theme="1"/>
      <name val="Verdana"/>
      <family val="2"/>
    </font>
    <font>
      <sz val="18"/>
      <color theme="0"/>
      <name val="Verdana"/>
      <family val="2"/>
    </font>
    <font>
      <sz val="9"/>
      <color theme="1"/>
      <name val="Verdana"/>
      <family val="2"/>
    </font>
    <font>
      <i/>
      <sz val="8"/>
      <color theme="1"/>
      <name val="Verdana"/>
      <family val="2"/>
    </font>
    <font>
      <b/>
      <i/>
      <sz val="8"/>
      <color theme="5"/>
      <name val="Verdana"/>
      <family val="2"/>
    </font>
    <font>
      <sz val="8"/>
      <name val="Verdana"/>
      <family val="2"/>
    </font>
    <font>
      <b/>
      <sz val="8"/>
      <color theme="5"/>
      <name val="Verdana"/>
      <family val="2"/>
    </font>
    <font>
      <i/>
      <sz val="8"/>
      <color theme="6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9" fontId="8" fillId="0" borderId="0"/>
  </cellStyleXfs>
  <cellXfs count="59">
    <xf numFmtId="0" fontId="0" fillId="0" borderId="0" xfId="0"/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 wrapText="1"/>
      <protection hidden="1"/>
    </xf>
    <xf numFmtId="0" fontId="0" fillId="0" borderId="7" xfId="0" applyBorder="1" applyAlignment="1" applyProtection="1">
      <alignment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5" borderId="6" xfId="0" applyFill="1" applyBorder="1" applyAlignment="1" applyProtection="1">
      <alignment vertical="center"/>
      <protection locked="0" hidden="1"/>
    </xf>
    <xf numFmtId="164" fontId="0" fillId="5" borderId="6" xfId="0" applyNumberFormat="1" applyFill="1" applyBorder="1" applyAlignment="1" applyProtection="1">
      <alignment vertical="center"/>
      <protection locked="0" hidden="1"/>
    </xf>
    <xf numFmtId="1" fontId="0" fillId="0" borderId="1" xfId="0" applyNumberFormat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14" fontId="5" fillId="5" borderId="1" xfId="0" applyNumberFormat="1" applyFont="1" applyFill="1" applyBorder="1" applyAlignment="1" applyProtection="1">
      <alignment horizontal="center" vertical="center"/>
      <protection locked="0" hidden="1"/>
    </xf>
    <xf numFmtId="0" fontId="0" fillId="5" borderId="1" xfId="0" applyFill="1" applyBorder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9" fontId="0" fillId="0" borderId="1" xfId="1" applyFont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7" borderId="0" xfId="0" applyFill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locked="0" hidden="1"/>
    </xf>
    <xf numFmtId="0" fontId="5" fillId="0" borderId="1" xfId="0" applyFont="1" applyBorder="1" applyAlignment="1" applyProtection="1">
      <alignment vertical="center"/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Protection="1"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6" xfId="0" applyBorder="1" applyProtection="1"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</cellXfs>
  <cellStyles count="2">
    <cellStyle name="Normal" xfId="0" builtinId="0"/>
    <cellStyle name="Percent" xfId="1" builtinId="5"/>
  </cellStyles>
  <dxfs count="11"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  <dxf>
      <font>
        <b/>
        <color rgb="FFFF0000"/>
      </font>
    </dxf>
    <dxf>
      <font>
        <b/>
        <color rgb="FFFF0000"/>
      </font>
    </dxf>
    <dxf>
      <font>
        <i/>
        <color rgb="FFFF0000"/>
      </font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FF0000"/>
      </font>
    </dxf>
    <dxf>
      <font>
        <b/>
        <color rgb="FFFF0000"/>
      </font>
      <fill>
        <patternFill>
          <bgColor rgb="FFFFFF00"/>
        </patternFill>
      </fill>
    </dxf>
    <dxf>
      <font>
        <color theme="0" tint="-0.149937437055574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aman">
  <a:themeElements>
    <a:clrScheme name="Daman">
      <a:dk1>
        <a:sysClr val="windowText" lastClr="000000"/>
      </a:dk1>
      <a:lt1>
        <a:sysClr val="window" lastClr="FFFFFF"/>
      </a:lt1>
      <a:dk2>
        <a:srgbClr val="85CDDB"/>
      </a:dk2>
      <a:lt2>
        <a:srgbClr val="D0D1B4"/>
      </a:lt2>
      <a:accent1>
        <a:srgbClr val="003478"/>
      </a:accent1>
      <a:accent2>
        <a:srgbClr val="882345"/>
      </a:accent2>
      <a:accent3>
        <a:srgbClr val="00A599"/>
      </a:accent3>
      <a:accent4>
        <a:srgbClr val="85754E"/>
      </a:accent4>
      <a:accent5>
        <a:srgbClr val="6C6F70"/>
      </a:accent5>
      <a:accent6>
        <a:srgbClr val="CA770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5"/>
  </sheetPr>
  <dimension ref="A1:AE204"/>
  <sheetViews>
    <sheetView showGridLines="0" tabSelected="1" topLeftCell="A49" zoomScaleNormal="100" workbookViewId="0">
      <selection activeCell="B21" sqref="B21:E21"/>
    </sheetView>
  </sheetViews>
  <sheetFormatPr defaultColWidth="9.140625" defaultRowHeight="10.5" outlineLevelCol="1" x14ac:dyDescent="0.15"/>
  <cols>
    <col min="1" max="1" width="20.5703125" style="3" bestFit="1" customWidth="1"/>
    <col min="2" max="2" width="22.85546875" style="3" customWidth="1"/>
    <col min="3" max="3" width="11.7109375" style="3" bestFit="1" customWidth="1"/>
    <col min="4" max="4" width="11.42578125" style="22" bestFit="1" customWidth="1"/>
    <col min="5" max="5" width="11.42578125" style="3" bestFit="1" customWidth="1"/>
    <col min="6" max="6" width="12.140625" style="3" bestFit="1" customWidth="1"/>
    <col min="7" max="7" width="15.140625" style="3" bestFit="1" customWidth="1"/>
    <col min="8" max="8" width="15.140625" style="3" customWidth="1"/>
    <col min="9" max="9" width="10.140625" style="3" bestFit="1" customWidth="1"/>
    <col min="10" max="10" width="19.140625" style="3" bestFit="1" customWidth="1"/>
    <col min="11" max="11" width="11.28515625" style="3" customWidth="1"/>
    <col min="12" max="12" width="10.140625" style="4" customWidth="1"/>
    <col min="13" max="13" width="15.85546875" style="4" customWidth="1"/>
    <col min="14" max="16" width="10.140625" style="4" customWidth="1"/>
    <col min="17" max="17" width="11.28515625" style="4" customWidth="1"/>
    <col min="18" max="22" width="10.140625" style="4" customWidth="1"/>
    <col min="23" max="23" width="10.140625" style="4" customWidth="1" outlineLevel="1"/>
    <col min="24" max="25" width="15.42578125" style="4" customWidth="1" outlineLevel="1"/>
    <col min="26" max="26" width="16.140625" style="4" customWidth="1" outlineLevel="1"/>
    <col min="27" max="27" width="15.42578125" style="4" customWidth="1" outlineLevel="1"/>
    <col min="28" max="28" width="11.85546875" style="3" customWidth="1" outlineLevel="1"/>
    <col min="29" max="29" width="10.42578125" style="3" customWidth="1" outlineLevel="1"/>
    <col min="30" max="31" width="9.140625" style="3" customWidth="1"/>
    <col min="32" max="16384" width="9.140625" style="3"/>
  </cols>
  <sheetData>
    <row r="1" spans="1:27" s="2" customFormat="1" ht="23.1" customHeight="1" x14ac:dyDescent="0.15">
      <c r="A1" s="58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1"/>
      <c r="T1" s="1"/>
      <c r="U1" s="1"/>
      <c r="V1" s="1"/>
      <c r="W1" s="1"/>
      <c r="X1" s="1"/>
      <c r="Y1" s="1"/>
      <c r="Z1" s="1"/>
      <c r="AA1" s="1"/>
    </row>
    <row r="2" spans="1:27" x14ac:dyDescent="0.15">
      <c r="A2" s="54" t="s">
        <v>1</v>
      </c>
      <c r="B2" s="42"/>
      <c r="C2" s="42"/>
      <c r="D2" s="42"/>
      <c r="E2" s="42"/>
      <c r="F2" s="42"/>
      <c r="G2" s="42"/>
      <c r="H2" s="42"/>
      <c r="I2" s="42"/>
      <c r="J2" s="42"/>
    </row>
    <row r="3" spans="1:27" x14ac:dyDescent="0.15">
      <c r="A3" s="5"/>
      <c r="D3" s="3"/>
      <c r="J3" s="8" t="s">
        <v>2</v>
      </c>
      <c r="K3" s="30" t="s">
        <v>3</v>
      </c>
    </row>
    <row r="4" spans="1:27" x14ac:dyDescent="0.15">
      <c r="A4" s="23" t="s">
        <v>4</v>
      </c>
      <c r="D4" s="3"/>
    </row>
    <row r="5" spans="1:27" x14ac:dyDescent="0.15">
      <c r="A5" s="41" t="s">
        <v>5</v>
      </c>
      <c r="B5" s="42"/>
      <c r="C5" s="42"/>
      <c r="D5" s="42"/>
      <c r="E5" s="42"/>
      <c r="F5" s="42"/>
      <c r="G5" s="42"/>
      <c r="H5" s="42"/>
      <c r="I5" s="42"/>
      <c r="J5" s="42"/>
    </row>
    <row r="6" spans="1:27" x14ac:dyDescent="0.15">
      <c r="A6" s="41" t="s">
        <v>6</v>
      </c>
      <c r="B6" s="42"/>
      <c r="C6" s="42"/>
      <c r="D6" s="42"/>
      <c r="E6" s="42"/>
      <c r="F6" s="42"/>
      <c r="G6" s="42"/>
      <c r="H6" s="42"/>
      <c r="I6" s="42"/>
      <c r="J6" s="42"/>
    </row>
    <row r="7" spans="1:27" x14ac:dyDescent="0.15">
      <c r="A7" s="41" t="s">
        <v>7</v>
      </c>
      <c r="B7" s="42"/>
      <c r="C7" s="42"/>
      <c r="D7" s="42"/>
      <c r="E7" s="42"/>
      <c r="F7" s="42"/>
      <c r="G7" s="42"/>
      <c r="H7" s="42"/>
      <c r="I7" s="42"/>
      <c r="J7" s="42"/>
    </row>
    <row r="8" spans="1:27" x14ac:dyDescent="0.15">
      <c r="A8" s="41" t="s">
        <v>8</v>
      </c>
      <c r="B8" s="42"/>
      <c r="C8" s="42"/>
      <c r="D8" s="42"/>
      <c r="E8" s="42"/>
      <c r="F8" s="42"/>
      <c r="G8" s="42"/>
      <c r="H8" s="42"/>
      <c r="I8" s="42"/>
      <c r="J8" s="42"/>
    </row>
    <row r="9" spans="1:27" x14ac:dyDescent="0.15">
      <c r="A9" s="41" t="s">
        <v>9</v>
      </c>
      <c r="B9" s="42"/>
      <c r="C9" s="42"/>
      <c r="D9" s="42"/>
      <c r="E9" s="42"/>
      <c r="F9" s="42"/>
      <c r="G9" s="42"/>
      <c r="H9" s="42"/>
      <c r="I9" s="42"/>
      <c r="J9" s="42"/>
    </row>
    <row r="10" spans="1:27" x14ac:dyDescent="0.15">
      <c r="A10" s="41" t="s">
        <v>10</v>
      </c>
      <c r="B10" s="42"/>
      <c r="C10" s="42"/>
      <c r="D10" s="42"/>
      <c r="E10" s="42"/>
      <c r="F10" s="42"/>
      <c r="G10" s="42"/>
      <c r="H10" s="42"/>
      <c r="I10" s="42"/>
      <c r="J10" s="42"/>
    </row>
    <row r="11" spans="1:27" x14ac:dyDescent="0.15">
      <c r="A11" s="3" t="s">
        <v>11</v>
      </c>
      <c r="D11" s="3"/>
    </row>
    <row r="12" spans="1:27" x14ac:dyDescent="0.15">
      <c r="D12" s="3"/>
      <c r="M12" s="31"/>
    </row>
    <row r="13" spans="1:27" x14ac:dyDescent="0.15">
      <c r="A13" s="23" t="s">
        <v>12</v>
      </c>
      <c r="D13" s="3"/>
      <c r="M13" s="31"/>
    </row>
    <row r="14" spans="1:27" x14ac:dyDescent="0.15">
      <c r="A14" s="5" t="s">
        <v>13</v>
      </c>
      <c r="D14" s="3"/>
      <c r="M14" s="31"/>
    </row>
    <row r="15" spans="1:27" x14ac:dyDescent="0.15">
      <c r="A15" s="5"/>
      <c r="D15" s="3"/>
      <c r="M15" s="31"/>
    </row>
    <row r="16" spans="1:27" x14ac:dyDescent="0.15">
      <c r="A16" s="28" t="s">
        <v>14</v>
      </c>
      <c r="B16" s="29"/>
      <c r="C16" s="55" t="s">
        <v>15</v>
      </c>
      <c r="D16" s="42"/>
      <c r="E16" s="42"/>
      <c r="F16" s="42"/>
      <c r="G16" s="42"/>
      <c r="H16" s="42"/>
      <c r="I16" s="42"/>
      <c r="J16" s="42"/>
      <c r="M16" s="31"/>
      <c r="W16" s="32" t="s">
        <v>16</v>
      </c>
      <c r="X16" s="32" t="s">
        <v>17</v>
      </c>
    </row>
    <row r="17" spans="1:31" x14ac:dyDescent="0.15">
      <c r="C17" s="5"/>
      <c r="D17" s="3"/>
      <c r="W17" s="34" t="s">
        <v>18</v>
      </c>
      <c r="X17" s="34" t="s">
        <v>19</v>
      </c>
    </row>
    <row r="18" spans="1:31" x14ac:dyDescent="0.15">
      <c r="A18" s="23" t="s">
        <v>20</v>
      </c>
      <c r="D18" s="3"/>
      <c r="W18" s="34" t="s">
        <v>21</v>
      </c>
      <c r="X18" s="34" t="s">
        <v>19</v>
      </c>
      <c r="Y18" s="3"/>
      <c r="Z18" s="3"/>
      <c r="AA18" s="3"/>
    </row>
    <row r="19" spans="1:31" x14ac:dyDescent="0.15">
      <c r="A19" s="54" t="s">
        <v>22</v>
      </c>
      <c r="B19" s="42"/>
      <c r="C19" s="42"/>
      <c r="D19" s="42"/>
      <c r="E19" s="42"/>
      <c r="F19" s="42"/>
      <c r="G19" s="42"/>
      <c r="H19" s="42"/>
      <c r="I19" s="42"/>
      <c r="J19" s="42"/>
      <c r="O19" s="44" t="s">
        <v>23</v>
      </c>
      <c r="P19" s="45"/>
      <c r="Q19" s="44" t="s">
        <v>24</v>
      </c>
      <c r="R19" s="45"/>
      <c r="S19" s="45"/>
      <c r="T19" s="45"/>
      <c r="U19" s="45"/>
      <c r="W19" s="34" t="s">
        <v>25</v>
      </c>
      <c r="X19" s="34" t="s">
        <v>19</v>
      </c>
      <c r="AB19" s="4"/>
      <c r="AC19" s="4"/>
    </row>
    <row r="20" spans="1:31" ht="20.100000000000001" customHeight="1" x14ac:dyDescent="0.15">
      <c r="A20" s="5"/>
      <c r="B20" s="9" t="s">
        <v>26</v>
      </c>
      <c r="C20" s="9" t="s">
        <v>27</v>
      </c>
      <c r="D20" s="9" t="s">
        <v>28</v>
      </c>
      <c r="E20" s="9" t="s">
        <v>29</v>
      </c>
      <c r="I20" s="35" t="s">
        <v>30</v>
      </c>
      <c r="O20" s="26" t="s">
        <v>31</v>
      </c>
      <c r="P20" s="26" t="s">
        <v>32</v>
      </c>
      <c r="Q20" s="26" t="s">
        <v>32</v>
      </c>
      <c r="R20" s="26" t="s">
        <v>33</v>
      </c>
      <c r="S20" s="26" t="s">
        <v>34</v>
      </c>
      <c r="T20" s="26" t="s">
        <v>35</v>
      </c>
      <c r="U20" s="26" t="s">
        <v>36</v>
      </c>
      <c r="W20" s="34" t="s">
        <v>37</v>
      </c>
      <c r="X20" s="34" t="s">
        <v>19</v>
      </c>
      <c r="Z20" s="4" t="s">
        <v>38</v>
      </c>
      <c r="AA20" s="4" t="s">
        <v>39</v>
      </c>
      <c r="AB20" s="4" t="s">
        <v>40</v>
      </c>
      <c r="AC20" s="3" t="s">
        <v>41</v>
      </c>
      <c r="AD20" s="3" t="s">
        <v>42</v>
      </c>
      <c r="AE20" s="3" t="s">
        <v>33</v>
      </c>
    </row>
    <row r="21" spans="1:31" x14ac:dyDescent="0.15">
      <c r="A21" s="8" t="s">
        <v>43</v>
      </c>
      <c r="B21" s="30" t="s">
        <v>44</v>
      </c>
      <c r="C21" s="30" t="s">
        <v>45</v>
      </c>
      <c r="D21" s="30" t="s">
        <v>46</v>
      </c>
      <c r="E21" s="30" t="s">
        <v>47</v>
      </c>
      <c r="F21" s="46" t="s">
        <v>48</v>
      </c>
      <c r="G21" s="47"/>
      <c r="H21" s="48"/>
      <c r="I21" s="38" t="str">
        <f>IF(O21=0,"",R21)</f>
        <v>No specific warning</v>
      </c>
      <c r="J21" s="39"/>
      <c r="K21" s="39"/>
      <c r="L21" s="39"/>
      <c r="M21" s="39"/>
      <c r="N21" s="40"/>
      <c r="O21" s="9">
        <f>COUNTA(B21:E21)</f>
        <v>4</v>
      </c>
      <c r="P21" s="9" t="str">
        <f>IF(OR(O21=0,O21=4),"No","Yes")</f>
        <v>No</v>
      </c>
      <c r="Q21" s="9">
        <f>COUNTIF(S21:U21,"Yes")</f>
        <v>0</v>
      </c>
      <c r="R21" s="9" t="str">
        <f>IF(Q21&gt;0,"Potential extra space in the name. Please double check the space, if needed. ","No specific warning")</f>
        <v>No specific warning</v>
      </c>
      <c r="S21" s="9" t="str">
        <f>IF(LEFT($B21,1)=" ","Yes","No")</f>
        <v>No</v>
      </c>
      <c r="T21" s="9" t="str">
        <f>IF(RIGHT($B21,1)=" ","Yes","No")</f>
        <v>No</v>
      </c>
      <c r="U21" s="9" t="str">
        <f>IFERROR(IF(FIND("  ",B21,1)&gt;0,"Yes",""),"No")</f>
        <v>No</v>
      </c>
      <c r="W21" s="34" t="s">
        <v>49</v>
      </c>
      <c r="X21" s="34" t="s">
        <v>19</v>
      </c>
      <c r="Y21" s="8" t="s">
        <v>43</v>
      </c>
      <c r="Z21" s="9" t="e">
        <f>IF($B21="","",VLOOKUP(D21,$W$17:$X$30,2,0))</f>
        <v>#N/A</v>
      </c>
      <c r="AA21" s="9">
        <f>COUNTIF($H$52:$H$201,$Y21)</f>
        <v>30</v>
      </c>
      <c r="AB21" s="9" t="str">
        <f>IF(AND(C21="Dubai",E21="LSB"),"Yes","No")</f>
        <v>No</v>
      </c>
      <c r="AC21" s="9" t="str">
        <f>IF($B21="","",IF(AB21="Yes","NAS","Daman"))</f>
        <v>Daman</v>
      </c>
      <c r="AD21" s="9" t="e">
        <f>IF(Z21&lt;&gt;AC21,"Error","OK")</f>
        <v>#N/A</v>
      </c>
      <c r="AE21" s="32" t="str">
        <f>IFERROR(IF(AD21="OK","",Y21&amp;": "&amp;IF(AND(AB21="Yes",AD21="Error"),"Please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 xml:space="preserve">Please input the network name. </v>
      </c>
    </row>
    <row r="22" spans="1:31" x14ac:dyDescent="0.15">
      <c r="A22" s="8" t="s">
        <v>50</v>
      </c>
      <c r="B22" s="30" t="s">
        <v>51</v>
      </c>
      <c r="C22" s="30" t="s">
        <v>45</v>
      </c>
      <c r="D22" s="30" t="s">
        <v>46</v>
      </c>
      <c r="E22" s="30" t="s">
        <v>47</v>
      </c>
      <c r="F22" s="49"/>
      <c r="G22" s="42"/>
      <c r="H22" s="50"/>
      <c r="I22" s="38" t="str">
        <f>IF(O22=0,"",R22)</f>
        <v>No specific warning</v>
      </c>
      <c r="J22" s="39"/>
      <c r="K22" s="39"/>
      <c r="L22" s="39"/>
      <c r="M22" s="39"/>
      <c r="N22" s="40"/>
      <c r="O22" s="9">
        <f>COUNTA(B22:E22)</f>
        <v>4</v>
      </c>
      <c r="P22" s="9" t="str">
        <f>IF(OR(O22=0,O22=4),"No","Yes")</f>
        <v>No</v>
      </c>
      <c r="Q22" s="9">
        <f>COUNTIF(S22:U22,"Yes")</f>
        <v>0</v>
      </c>
      <c r="R22" s="9" t="str">
        <f>IF(Q22&gt;0,"Potential extra space in the name. Please double check the space, if needed. ","No specific warning")</f>
        <v>No specific warning</v>
      </c>
      <c r="S22" s="9" t="str">
        <f>IF(LEFT($B22,1)=" ","Yes","No")</f>
        <v>No</v>
      </c>
      <c r="T22" s="9" t="str">
        <f>IF(RIGHT($B22,1)=" ","Yes","No")</f>
        <v>No</v>
      </c>
      <c r="U22" s="9" t="str">
        <f>IFERROR(IF(FIND("  ",B22,1)&gt;0,"Yes",""),"No")</f>
        <v>No</v>
      </c>
      <c r="W22" s="34" t="s">
        <v>52</v>
      </c>
      <c r="X22" s="34" t="s">
        <v>19</v>
      </c>
      <c r="Y22" s="8" t="s">
        <v>50</v>
      </c>
      <c r="Z22" s="9" t="e">
        <f>IF($B22="","",VLOOKUP(D22,$W$17:$X$30,2,0))</f>
        <v>#N/A</v>
      </c>
      <c r="AA22" s="9">
        <f>COUNTIF($H$52:$H$201,$Y22)</f>
        <v>18</v>
      </c>
      <c r="AB22" s="9" t="str">
        <f>IF(AND(C22="Dubai",E22="LSB"),"Yes","No")</f>
        <v>No</v>
      </c>
      <c r="AC22" s="9" t="str">
        <f>IF($B22="","",IF(AB22="Yes","NAS","Daman"))</f>
        <v>Daman</v>
      </c>
      <c r="AD22" s="9" t="e">
        <f>IF(Z22&lt;&gt;AC22,"Error","OK")</f>
        <v>#N/A</v>
      </c>
      <c r="AE22" s="32" t="str">
        <f>IFERROR(IF(AD22="OK","",Y22&amp;": "&amp;IF(AND(AB22="Yes",AD22="Error"),"Please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 xml:space="preserve">Please input the network name. </v>
      </c>
    </row>
    <row r="23" spans="1:31" x14ac:dyDescent="0.15">
      <c r="A23" s="8" t="s">
        <v>53</v>
      </c>
      <c r="B23" s="30"/>
      <c r="C23" s="30"/>
      <c r="D23" s="30"/>
      <c r="E23" s="30"/>
      <c r="F23" s="49"/>
      <c r="G23" s="42"/>
      <c r="H23" s="50"/>
      <c r="I23" s="38" t="str">
        <f>IF(O23=0,"",R23)</f>
        <v/>
      </c>
      <c r="J23" s="39"/>
      <c r="K23" s="39"/>
      <c r="L23" s="39"/>
      <c r="M23" s="39"/>
      <c r="N23" s="40"/>
      <c r="O23" s="9">
        <f>COUNTA(B23:E23)</f>
        <v>0</v>
      </c>
      <c r="P23" s="9" t="str">
        <f>IF(OR(O23=0,O23=4),"No","Yes")</f>
        <v>No</v>
      </c>
      <c r="Q23" s="9">
        <f>COUNTIF(S23:U23,"Yes")</f>
        <v>0</v>
      </c>
      <c r="R23" s="9" t="str">
        <f>IF(Q23&gt;0,"Potential extra space in the name. Please double check the space, if needed. ","No specific warning")</f>
        <v>No specific warning</v>
      </c>
      <c r="S23" s="9" t="str">
        <f>IF(LEFT($B23,1)=" ","Yes","No")</f>
        <v>No</v>
      </c>
      <c r="T23" s="9" t="str">
        <f>IF(RIGHT($B23,1)=" ","Yes","No")</f>
        <v>No</v>
      </c>
      <c r="U23" s="9" t="str">
        <f>IFERROR(IF(FIND("  ",B23,1)&gt;0,"Yes",""),"No")</f>
        <v>No</v>
      </c>
      <c r="W23" s="34" t="s">
        <v>54</v>
      </c>
      <c r="X23" s="34" t="s">
        <v>55</v>
      </c>
      <c r="Y23" s="8" t="s">
        <v>53</v>
      </c>
      <c r="Z23" s="9" t="str">
        <f>IF($B23="","",VLOOKUP(D23,$W$17:$X$30,2,0))</f>
        <v/>
      </c>
      <c r="AA23" s="9">
        <f>COUNTIF($H$52:$H$201,$Y23)</f>
        <v>0</v>
      </c>
      <c r="AB23" s="9" t="str">
        <f>IF(AND(C23="Dubai",E23="LSB"),"Yes","No")</f>
        <v>No</v>
      </c>
      <c r="AC23" s="9" t="str">
        <f>IF($B23="","",IF(AB23="Yes","NAS","Daman"))</f>
        <v/>
      </c>
      <c r="AD23" s="9" t="str">
        <f>IF(Z23&lt;&gt;AC23,"Error","OK")</f>
        <v>OK</v>
      </c>
      <c r="AE23" s="32" t="str">
        <f>IFERROR(IF(AD23="OK","",Y23&amp;": "&amp;IF(AND(AB23="Yes",AD23="Error"),"Please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4" spans="1:31" x14ac:dyDescent="0.15">
      <c r="A24" s="8" t="s">
        <v>56</v>
      </c>
      <c r="B24" s="30"/>
      <c r="C24" s="30"/>
      <c r="D24" s="30"/>
      <c r="E24" s="30"/>
      <c r="F24" s="49"/>
      <c r="G24" s="42"/>
      <c r="H24" s="50"/>
      <c r="I24" s="38" t="str">
        <f>IF(O24=0,"",R24)</f>
        <v/>
      </c>
      <c r="J24" s="39"/>
      <c r="K24" s="39"/>
      <c r="L24" s="39"/>
      <c r="M24" s="39"/>
      <c r="N24" s="40"/>
      <c r="O24" s="9">
        <f>COUNTA(B24:E24)</f>
        <v>0</v>
      </c>
      <c r="P24" s="9" t="str">
        <f>IF(OR(O24=0,O24=4),"No","Yes")</f>
        <v>No</v>
      </c>
      <c r="Q24" s="9">
        <f>COUNTIF(S24:U24,"Yes")</f>
        <v>0</v>
      </c>
      <c r="R24" s="9" t="str">
        <f>IF(Q24&gt;0,"Potential extra space in the name. Please double check the space, if needed. ","No specific warning")</f>
        <v>No specific warning</v>
      </c>
      <c r="S24" s="9" t="str">
        <f>IF(LEFT($B24,1)=" ","Yes","No")</f>
        <v>No</v>
      </c>
      <c r="T24" s="9" t="str">
        <f>IF(RIGHT($B24,1)=" ","Yes","No")</f>
        <v>No</v>
      </c>
      <c r="U24" s="9" t="str">
        <f>IFERROR(IF(FIND("  ",B24,1)&gt;0,"Yes",""),"No")</f>
        <v>No</v>
      </c>
      <c r="W24" s="34" t="s">
        <v>57</v>
      </c>
      <c r="X24" s="34" t="s">
        <v>55</v>
      </c>
      <c r="Y24" s="8" t="s">
        <v>56</v>
      </c>
      <c r="Z24" s="9" t="str">
        <f>IF($B24="","",VLOOKUP(D24,$W$17:$X$30,2,0))</f>
        <v/>
      </c>
      <c r="AA24" s="9">
        <f>COUNTIF($H$52:$H$201,$Y24)</f>
        <v>0</v>
      </c>
      <c r="AB24" s="9" t="str">
        <f>IF(AND(C24="Dubai",E24="LSB"),"Yes","No")</f>
        <v>No</v>
      </c>
      <c r="AC24" s="9" t="str">
        <f>IF($B24="","",IF(AB24="Yes","NAS","Daman"))</f>
        <v/>
      </c>
      <c r="AD24" s="9" t="str">
        <f>IF(Z24&lt;&gt;AC24,"Error","OK")</f>
        <v>OK</v>
      </c>
      <c r="AE24" s="32" t="str">
        <f>IFERROR(IF(AD24="OK","",Y24&amp;": "&amp;IF(AND(AB24="Yes",AD24="Error"),"Please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5" spans="1:31" x14ac:dyDescent="0.15">
      <c r="A25" s="8" t="s">
        <v>58</v>
      </c>
      <c r="B25" s="30"/>
      <c r="C25" s="30"/>
      <c r="D25" s="30"/>
      <c r="E25" s="30"/>
      <c r="F25" s="51"/>
      <c r="G25" s="45"/>
      <c r="H25" s="52"/>
      <c r="I25" s="38" t="str">
        <f>IF(O25=0,"",R25)</f>
        <v/>
      </c>
      <c r="J25" s="39"/>
      <c r="K25" s="39"/>
      <c r="L25" s="39"/>
      <c r="M25" s="39"/>
      <c r="N25" s="40"/>
      <c r="O25" s="9">
        <f>COUNTA(B25:E25)</f>
        <v>0</v>
      </c>
      <c r="P25" s="9" t="str">
        <f>IF(OR(O25=0,O25=4),"No","Yes")</f>
        <v>No</v>
      </c>
      <c r="Q25" s="9">
        <f>COUNTIF(S25:U25,"Yes")</f>
        <v>0</v>
      </c>
      <c r="R25" s="9" t="str">
        <f>IF(Q25&gt;0,"Potential extra space in the name. Please double check the space, if needed. ","No specific warning")</f>
        <v>No specific warning</v>
      </c>
      <c r="S25" s="9" t="str">
        <f>IF(LEFT($B25,1)=" ","Yes","No")</f>
        <v>No</v>
      </c>
      <c r="T25" s="9" t="str">
        <f>IF(RIGHT($B25,1)=" ","Yes","No")</f>
        <v>No</v>
      </c>
      <c r="U25" s="9" t="str">
        <f>IFERROR(IF(FIND("  ",B25,1)&gt;0,"Yes",""),"No")</f>
        <v>No</v>
      </c>
      <c r="W25" s="34" t="s">
        <v>59</v>
      </c>
      <c r="X25" s="34" t="s">
        <v>55</v>
      </c>
      <c r="Y25" s="8" t="s">
        <v>58</v>
      </c>
      <c r="Z25" s="9" t="str">
        <f>IF($B25="","",VLOOKUP(D25,$W$17:$X$30,2,0))</f>
        <v/>
      </c>
      <c r="AA25" s="9">
        <f>COUNTIF($H$52:$H$201,$Y25)</f>
        <v>0</v>
      </c>
      <c r="AB25" s="9" t="str">
        <f>IF(AND(C25="Dubai",E25="LSB"),"Yes","No")</f>
        <v>No</v>
      </c>
      <c r="AC25" s="9" t="str">
        <f>IF($B25="","",IF(AB25="Yes","NAS","Daman"))</f>
        <v/>
      </c>
      <c r="AD25" s="9" t="str">
        <f>IF(Z25&lt;&gt;AC25,"Error","OK")</f>
        <v>OK</v>
      </c>
      <c r="AE25" s="32" t="str">
        <f>IFERROR(IF(AD25="OK","",Y25&amp;": "&amp;IF(AND(AB25="Yes",AD25="Error"),"Please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6" spans="1:31" x14ac:dyDescent="0.15">
      <c r="D26" s="3"/>
      <c r="F26" s="5"/>
      <c r="G26" s="5"/>
      <c r="H26" s="5"/>
      <c r="J26" s="5"/>
      <c r="P26" s="9">
        <f>COUNTIF($P$21:$P$25,"Yes")</f>
        <v>0</v>
      </c>
      <c r="Q26" s="9">
        <f>SUM(Q21:Q25)</f>
        <v>0</v>
      </c>
      <c r="W26" s="34" t="s">
        <v>60</v>
      </c>
      <c r="X26" s="34" t="s">
        <v>55</v>
      </c>
      <c r="AB26" s="4"/>
      <c r="AD26" s="9">
        <f>COUNTIF(AD21:AD25,"Error")</f>
        <v>0</v>
      </c>
      <c r="AE26" s="9" t="str">
        <f>AE21&amp;AE22&amp;AE23&amp;AE24&amp;AE25</f>
        <v xml:space="preserve">Please input the network name. Please input the network name. </v>
      </c>
    </row>
    <row r="27" spans="1:31" x14ac:dyDescent="0.15">
      <c r="A27" s="23" t="s">
        <v>61</v>
      </c>
      <c r="D27" s="3"/>
      <c r="F27" s="5"/>
      <c r="G27" s="5"/>
      <c r="H27" s="5"/>
      <c r="I27" s="5"/>
      <c r="J27" s="5"/>
      <c r="K27" s="5"/>
      <c r="L27" s="5"/>
      <c r="W27" s="34" t="s">
        <v>62</v>
      </c>
      <c r="X27" s="34" t="s">
        <v>55</v>
      </c>
      <c r="AB27" s="4"/>
      <c r="AC27" s="4"/>
      <c r="AE27" s="3" t="str">
        <f>IF(AD26&lt;&gt;0,IF($AC$21="NAS","Daman Network not applicable, please use NAS networks for plan benefit selection","NAS Network not applicable, please use Daman networks for plan benefit selection"),"")</f>
        <v/>
      </c>
    </row>
    <row r="28" spans="1:31" x14ac:dyDescent="0.15">
      <c r="B28" s="7"/>
      <c r="C28" s="6"/>
      <c r="D28" s="6"/>
      <c r="F28" s="5"/>
      <c r="G28" s="5"/>
      <c r="H28" s="5"/>
      <c r="I28" s="5"/>
      <c r="J28" s="5"/>
      <c r="K28" s="5"/>
      <c r="L28" s="5"/>
      <c r="W28" s="34"/>
      <c r="X28" s="34"/>
      <c r="AB28" s="4"/>
      <c r="AC28" s="4"/>
    </row>
    <row r="29" spans="1:31" x14ac:dyDescent="0.15">
      <c r="A29" s="3" t="s">
        <v>63</v>
      </c>
      <c r="B29" s="53" t="str">
        <f ca="1">IF(COUNTIF($B$31:$J$41,"No errors")=COUNTA(B31:J41),"No errors","Error in Member Data")</f>
        <v>Error in Member Data</v>
      </c>
      <c r="C29" s="42"/>
      <c r="D29" s="42"/>
      <c r="F29" s="5"/>
      <c r="G29" s="5"/>
      <c r="H29" s="5"/>
      <c r="I29" s="5"/>
      <c r="J29" s="5"/>
      <c r="K29" s="5"/>
      <c r="L29" s="5"/>
      <c r="W29" s="34"/>
      <c r="X29" s="34"/>
    </row>
    <row r="30" spans="1:31" x14ac:dyDescent="0.15">
      <c r="B30" s="7"/>
      <c r="C30" s="6"/>
      <c r="D30" s="6"/>
      <c r="F30" s="5"/>
      <c r="G30" s="5"/>
      <c r="H30" s="5"/>
      <c r="I30" s="5"/>
      <c r="J30" s="5"/>
      <c r="K30" s="5"/>
      <c r="L30" s="5"/>
      <c r="W30" s="34"/>
      <c r="X30" s="34"/>
    </row>
    <row r="31" spans="1:31" x14ac:dyDescent="0.15">
      <c r="A31" s="8" t="s">
        <v>64</v>
      </c>
      <c r="B31" s="43" t="str">
        <f>IF(P26&lt;&gt;0,"Please input all the fields in the 'Category Name &amp; Visa' section above, certain fields are missing.",IF(K48&lt;&gt;0,"Please input Mandatory fields in all rows. Check 'column O' to filter rows with errors.","No errors"))</f>
        <v>No errors</v>
      </c>
      <c r="C31" s="39"/>
      <c r="D31" s="39"/>
      <c r="E31" s="39"/>
      <c r="F31" s="39"/>
      <c r="G31" s="39"/>
      <c r="H31" s="39"/>
      <c r="I31" s="39"/>
      <c r="J31" s="40"/>
    </row>
    <row r="32" spans="1:31" x14ac:dyDescent="0.15">
      <c r="A32" s="8" t="s">
        <v>65</v>
      </c>
      <c r="B32" s="43" t="str">
        <f ca="1">IF(L48&lt;&gt;0,"Please input DOB in correct format in all rows. Check 'column P' to filter rows with errors.","No errors")</f>
        <v>Please input DOB in correct format in all rows. Check 'column P' to filter rows with errors.</v>
      </c>
      <c r="C32" s="39"/>
      <c r="D32" s="39"/>
      <c r="E32" s="39"/>
      <c r="F32" s="39"/>
      <c r="G32" s="39"/>
      <c r="H32" s="39"/>
      <c r="I32" s="39"/>
      <c r="J32" s="40"/>
      <c r="M32" s="31"/>
    </row>
    <row r="33" spans="1:27" x14ac:dyDescent="0.15">
      <c r="A33" s="8" t="s">
        <v>66</v>
      </c>
      <c r="B33" s="43" t="str">
        <f>IF(M48&lt;&gt;0,"Gender input is incorrect in some rows - not matching to cell in-drop options. Check 'column Q' to filter rows with errors.","No errors")</f>
        <v>No errors</v>
      </c>
      <c r="C33" s="39"/>
      <c r="D33" s="39"/>
      <c r="E33" s="39"/>
      <c r="F33" s="39"/>
      <c r="G33" s="39"/>
      <c r="H33" s="39"/>
      <c r="I33" s="39"/>
      <c r="J33" s="40"/>
      <c r="M33" s="31"/>
    </row>
    <row r="34" spans="1:27" x14ac:dyDescent="0.15">
      <c r="A34" s="8" t="s">
        <v>67</v>
      </c>
      <c r="B34" s="43" t="str">
        <f>IF(N48&lt;&gt;0,"Marital Status input is incorrect in some rows - not matching to cell in-drop options. Check 'column R' to filter rows with errors.","No errors")</f>
        <v>Marital Status input is incorrect in some rows - not matching to cell in-drop options. Check 'column R' to filter rows with errors.</v>
      </c>
      <c r="C34" s="39"/>
      <c r="D34" s="39"/>
      <c r="E34" s="39"/>
      <c r="F34" s="39"/>
      <c r="G34" s="39"/>
      <c r="H34" s="39"/>
      <c r="I34" s="39"/>
      <c r="J34" s="40"/>
      <c r="M34" s="31"/>
    </row>
    <row r="35" spans="1:27" x14ac:dyDescent="0.15">
      <c r="A35" s="8" t="s">
        <v>68</v>
      </c>
      <c r="B35" s="43" t="str">
        <f>IF(O48&lt;&gt;0,"Relationship input is incorrect in some rows - not matching to cell in-drop options. Check 'column S' to filter rows with errors.","No errors")</f>
        <v>No errors</v>
      </c>
      <c r="C35" s="39"/>
      <c r="D35" s="39"/>
      <c r="E35" s="39"/>
      <c r="F35" s="39"/>
      <c r="G35" s="39"/>
      <c r="H35" s="39"/>
      <c r="I35" s="39"/>
      <c r="J35" s="40"/>
      <c r="M35" s="31"/>
    </row>
    <row r="36" spans="1:27" x14ac:dyDescent="0.15">
      <c r="A36" s="8" t="s">
        <v>69</v>
      </c>
      <c r="B36" s="43" t="str">
        <f>IF(P48&lt;&gt;0,"Category input is incorrect in some rows - not matching to cell in-drop options. Check 'column T' to filter rows with errors.","No errors")</f>
        <v>No errors</v>
      </c>
      <c r="C36" s="39"/>
      <c r="D36" s="39"/>
      <c r="E36" s="39"/>
      <c r="F36" s="39"/>
      <c r="G36" s="39"/>
      <c r="H36" s="39"/>
      <c r="I36" s="39"/>
      <c r="J36" s="40"/>
      <c r="M36" s="31"/>
    </row>
    <row r="37" spans="1:27" x14ac:dyDescent="0.15">
      <c r="A37" s="8" t="s">
        <v>27</v>
      </c>
      <c r="B37" s="43" t="str">
        <f>IF(Q48&lt;&gt;0,"Visa Location input is incorrect in some rows - not matching to cell in-drop options. Check 'column U' to filter rows with errors.","No errors")</f>
        <v>No errors</v>
      </c>
      <c r="C37" s="39"/>
      <c r="D37" s="39"/>
      <c r="E37" s="39"/>
      <c r="F37" s="39"/>
      <c r="G37" s="39"/>
      <c r="H37" s="39"/>
      <c r="I37" s="39"/>
      <c r="J37" s="40"/>
      <c r="M37" s="31"/>
    </row>
    <row r="38" spans="1:27" x14ac:dyDescent="0.15">
      <c r="A38" s="8" t="s">
        <v>70</v>
      </c>
      <c r="B38" s="43" t="str">
        <f>IF(T48&lt;&gt;0,"There are some Date of Birth after inception date or inception date input is not accurate, please check. Check 'column U' to filter rows with errors.","No errors")</f>
        <v>There are some Date of Birth after inception date or inception date input is not accurate, please check. Check 'column U' to filter rows with errors.</v>
      </c>
      <c r="C38" s="39"/>
      <c r="D38" s="39"/>
      <c r="E38" s="39"/>
      <c r="F38" s="39"/>
      <c r="G38" s="39"/>
      <c r="H38" s="39"/>
      <c r="I38" s="39"/>
      <c r="J38" s="40"/>
      <c r="M38" s="31"/>
    </row>
    <row r="39" spans="1:27" x14ac:dyDescent="0.15">
      <c r="A39" s="8" t="s">
        <v>71</v>
      </c>
      <c r="B39" s="43" t="str">
        <f>IF($T$41&lt;11,"Principal members are less than 11, the client does not qualify for SME Quotation.",IF($T$42&gt;150,"Total members greater than 150,the client does not qualify for SME Quotation, please contact UW.","No errors"))</f>
        <v>No errors</v>
      </c>
      <c r="C39" s="39"/>
      <c r="D39" s="39"/>
      <c r="E39" s="39"/>
      <c r="F39" s="39"/>
      <c r="G39" s="39"/>
      <c r="H39" s="39"/>
      <c r="I39" s="39"/>
      <c r="J39" s="40"/>
    </row>
    <row r="40" spans="1:27" x14ac:dyDescent="0.15">
      <c r="A40" s="8" t="s">
        <v>72</v>
      </c>
      <c r="B40" s="43" t="str">
        <f>IF(S48&lt;&gt;0,"There are some members aged 66 years and above, please contact UW Team. Check 'column W' to filter rows with errors.","No errors")</f>
        <v>No errors</v>
      </c>
      <c r="C40" s="39"/>
      <c r="D40" s="39"/>
      <c r="E40" s="39"/>
      <c r="F40" s="39"/>
      <c r="G40" s="39"/>
      <c r="H40" s="39"/>
      <c r="I40" s="39"/>
      <c r="J40" s="40"/>
      <c r="K40" s="22"/>
    </row>
    <row r="41" spans="1:27" x14ac:dyDescent="0.15">
      <c r="A41" s="8" t="s">
        <v>28</v>
      </c>
      <c r="B41" s="43" t="str">
        <f>IF(AD26&lt;&gt;0,AE26,"No errors")</f>
        <v>No errors</v>
      </c>
      <c r="C41" s="39"/>
      <c r="D41" s="39"/>
      <c r="E41" s="39"/>
      <c r="F41" s="39"/>
      <c r="G41" s="39"/>
      <c r="H41" s="39"/>
      <c r="I41" s="39"/>
      <c r="J41" s="40"/>
      <c r="T41" s="9">
        <f>COUNTIF($E$52:$E$201,"Principal")</f>
        <v>37</v>
      </c>
      <c r="U41" s="10" t="s">
        <v>73</v>
      </c>
    </row>
    <row r="42" spans="1:27" x14ac:dyDescent="0.15">
      <c r="A42" s="8" t="s">
        <v>74</v>
      </c>
      <c r="B42" s="43" t="str">
        <f>IF(R48&lt;&gt;0,"Warning: There are some principal members with less than age 21, please check. Check 'column V' to filter rows with errors.","No errors")</f>
        <v>Warning: There are some principal members with less than age 21, please check. Check 'column V' to filter rows with errors.</v>
      </c>
      <c r="C42" s="39"/>
      <c r="D42" s="39"/>
      <c r="E42" s="39"/>
      <c r="F42" s="39"/>
      <c r="G42" s="39"/>
      <c r="H42" s="39"/>
      <c r="I42" s="39"/>
      <c r="J42" s="40"/>
      <c r="T42" s="9">
        <f>COUNT($B$52:$B$201)</f>
        <v>40</v>
      </c>
      <c r="U42" s="10" t="s">
        <v>75</v>
      </c>
    </row>
    <row r="43" spans="1:27" x14ac:dyDescent="0.15">
      <c r="C43" s="56" t="s">
        <v>76</v>
      </c>
      <c r="D43" s="45"/>
      <c r="E43" s="45"/>
      <c r="F43" s="45"/>
      <c r="G43" s="45"/>
      <c r="H43" s="24"/>
      <c r="J43" s="4"/>
      <c r="K43" s="4"/>
      <c r="T43" s="9">
        <f>COUNTIF($G$52:$G$201,"Abu Dhabi")</f>
        <v>0</v>
      </c>
      <c r="U43" s="10" t="s">
        <v>77</v>
      </c>
      <c r="W43" s="3"/>
      <c r="X43" s="3"/>
      <c r="Y43" s="3"/>
      <c r="Z43" s="3"/>
      <c r="AA43" s="3"/>
    </row>
    <row r="44" spans="1:27" x14ac:dyDescent="0.15">
      <c r="C44" s="8" t="s">
        <v>78</v>
      </c>
      <c r="D44" s="8" t="s">
        <v>79</v>
      </c>
      <c r="E44" s="8" t="s">
        <v>80</v>
      </c>
      <c r="F44" s="8" t="str">
        <f>IF(B21="","Not Used",B21)</f>
        <v>CAT A</v>
      </c>
      <c r="G44" s="8" t="s">
        <v>81</v>
      </c>
      <c r="J44" s="4"/>
      <c r="K44" s="4"/>
      <c r="T44" s="9">
        <f>COUNTIF($G$52:$G$201,"Abu Dhabi")</f>
        <v>0</v>
      </c>
      <c r="U44" s="10" t="s">
        <v>82</v>
      </c>
      <c r="W44" s="3"/>
      <c r="X44" s="3"/>
      <c r="Y44" s="3"/>
      <c r="Z44" s="3"/>
      <c r="AA44" s="3"/>
    </row>
    <row r="45" spans="1:27" x14ac:dyDescent="0.15">
      <c r="C45" s="8" t="s">
        <v>83</v>
      </c>
      <c r="D45" s="8" t="s">
        <v>84</v>
      </c>
      <c r="E45" s="8" t="s">
        <v>85</v>
      </c>
      <c r="F45" s="8" t="str">
        <f>IF(B22="","Not Used",B22)</f>
        <v>CAT B</v>
      </c>
      <c r="G45" s="8" t="s">
        <v>45</v>
      </c>
      <c r="J45" s="4"/>
      <c r="K45" s="4"/>
      <c r="T45" s="33">
        <f>COUNTIF($G$52:$G$201,"Abu Dhabi")/T42</f>
        <v>0</v>
      </c>
      <c r="U45" s="10" t="s">
        <v>86</v>
      </c>
      <c r="W45" s="3"/>
      <c r="X45" s="3"/>
      <c r="Y45" s="3"/>
      <c r="Z45" s="3"/>
      <c r="AA45" s="3"/>
    </row>
    <row r="46" spans="1:27" x14ac:dyDescent="0.15">
      <c r="C46" s="8" t="s">
        <v>87</v>
      </c>
      <c r="D46" s="8" t="s">
        <v>87</v>
      </c>
      <c r="E46" s="8" t="s">
        <v>88</v>
      </c>
      <c r="F46" s="8" t="str">
        <f>IF(B23="","Not Used",B23)</f>
        <v>Not Used</v>
      </c>
      <c r="G46" s="8" t="s">
        <v>89</v>
      </c>
      <c r="J46" s="4"/>
      <c r="K46" s="4"/>
      <c r="W46" s="3"/>
      <c r="X46" s="3"/>
      <c r="Y46" s="3"/>
      <c r="Z46" s="3"/>
      <c r="AA46" s="3"/>
    </row>
    <row r="47" spans="1:27" x14ac:dyDescent="0.15">
      <c r="C47" s="8" t="s">
        <v>87</v>
      </c>
      <c r="D47" s="8" t="s">
        <v>87</v>
      </c>
      <c r="E47" s="8" t="s">
        <v>87</v>
      </c>
      <c r="F47" s="8" t="str">
        <f>IF(B24="","Not Used",B24)</f>
        <v>Not Used</v>
      </c>
      <c r="G47" s="8" t="s">
        <v>87</v>
      </c>
      <c r="J47" s="4"/>
      <c r="K47" s="4"/>
      <c r="S47" s="36">
        <v>100</v>
      </c>
      <c r="W47" s="3"/>
      <c r="X47" s="3"/>
      <c r="Y47" s="3"/>
      <c r="Z47" s="3"/>
      <c r="AA47" s="3"/>
    </row>
    <row r="48" spans="1:27" x14ac:dyDescent="0.15">
      <c r="C48" s="8" t="s">
        <v>87</v>
      </c>
      <c r="D48" s="8" t="s">
        <v>87</v>
      </c>
      <c r="E48" s="8" t="s">
        <v>87</v>
      </c>
      <c r="F48" s="8" t="str">
        <f>IF(B25="","Not Used",B25)</f>
        <v>Not Used</v>
      </c>
      <c r="G48" s="8" t="s">
        <v>87</v>
      </c>
      <c r="J48" s="4"/>
      <c r="K48" s="9">
        <f t="shared" ref="K48:T48" si="0">COUNTIF(K52:K1048576,"Error")</f>
        <v>0</v>
      </c>
      <c r="L48" s="9">
        <f t="shared" ca="1" si="0"/>
        <v>8</v>
      </c>
      <c r="M48" s="9">
        <f t="shared" si="0"/>
        <v>0</v>
      </c>
      <c r="N48" s="9">
        <f t="shared" si="0"/>
        <v>48</v>
      </c>
      <c r="O48" s="9">
        <f t="shared" si="0"/>
        <v>0</v>
      </c>
      <c r="P48" s="9">
        <f t="shared" si="0"/>
        <v>0</v>
      </c>
      <c r="Q48" s="9">
        <f t="shared" si="0"/>
        <v>0</v>
      </c>
      <c r="R48" s="9">
        <f t="shared" si="0"/>
        <v>37</v>
      </c>
      <c r="S48" s="9">
        <f t="shared" si="0"/>
        <v>0</v>
      </c>
      <c r="T48" s="9">
        <f t="shared" si="0"/>
        <v>48</v>
      </c>
      <c r="W48" s="3"/>
      <c r="X48" s="3"/>
      <c r="Y48" s="3"/>
      <c r="Z48" s="3"/>
      <c r="AA48" s="3"/>
    </row>
    <row r="49" spans="1:28" x14ac:dyDescent="0.15">
      <c r="A49" s="5"/>
      <c r="D49" s="3"/>
      <c r="J49" s="4"/>
      <c r="L49" s="3"/>
      <c r="M49" s="3"/>
      <c r="N49" s="3"/>
      <c r="O49" s="3"/>
      <c r="P49" s="3"/>
      <c r="Q49" s="3"/>
      <c r="R49" s="3"/>
      <c r="S49" s="3"/>
      <c r="W49" s="3"/>
      <c r="X49" s="3"/>
      <c r="Y49" s="3"/>
      <c r="Z49" s="3"/>
      <c r="AA49" s="3"/>
    </row>
    <row r="50" spans="1:28" x14ac:dyDescent="0.15">
      <c r="A50" s="5"/>
      <c r="B50" s="11" t="s">
        <v>90</v>
      </c>
      <c r="C50" s="11" t="s">
        <v>90</v>
      </c>
      <c r="D50" s="11" t="s">
        <v>90</v>
      </c>
      <c r="E50" s="11" t="s">
        <v>90</v>
      </c>
      <c r="F50" s="11" t="s">
        <v>90</v>
      </c>
      <c r="G50" s="11" t="s">
        <v>90</v>
      </c>
      <c r="H50" s="11" t="s">
        <v>91</v>
      </c>
      <c r="J50" s="4"/>
      <c r="K50" s="57" t="s">
        <v>92</v>
      </c>
      <c r="L50" s="39"/>
      <c r="M50" s="39"/>
      <c r="N50" s="39"/>
      <c r="O50" s="39"/>
      <c r="P50" s="39"/>
      <c r="Q50" s="39"/>
      <c r="R50" s="39"/>
      <c r="S50" s="39"/>
      <c r="T50" s="40"/>
      <c r="W50" s="3"/>
      <c r="X50" s="3"/>
      <c r="Y50" s="3"/>
      <c r="Z50" s="3"/>
      <c r="AA50" s="3"/>
    </row>
    <row r="51" spans="1:28" s="14" customFormat="1" ht="39.950000000000003" customHeight="1" x14ac:dyDescent="0.15">
      <c r="A51" s="12" t="s">
        <v>93</v>
      </c>
      <c r="B51" s="13" t="s">
        <v>94</v>
      </c>
      <c r="C51" s="13" t="s">
        <v>66</v>
      </c>
      <c r="D51" s="13" t="s">
        <v>67</v>
      </c>
      <c r="E51" s="13" t="s">
        <v>68</v>
      </c>
      <c r="F51" s="13" t="s">
        <v>69</v>
      </c>
      <c r="G51" s="13" t="s">
        <v>27</v>
      </c>
      <c r="H51" s="13" t="s">
        <v>95</v>
      </c>
      <c r="J51" s="26" t="s">
        <v>96</v>
      </c>
      <c r="K51" s="25" t="s">
        <v>97</v>
      </c>
      <c r="L51" s="16" t="s">
        <v>65</v>
      </c>
      <c r="M51" s="16" t="s">
        <v>66</v>
      </c>
      <c r="N51" s="16" t="s">
        <v>67</v>
      </c>
      <c r="O51" s="16" t="s">
        <v>68</v>
      </c>
      <c r="P51" s="16" t="s">
        <v>69</v>
      </c>
      <c r="Q51" s="16" t="s">
        <v>27</v>
      </c>
      <c r="R51" s="16" t="s">
        <v>98</v>
      </c>
      <c r="S51" s="16" t="s">
        <v>99</v>
      </c>
      <c r="T51" s="16" t="s">
        <v>70</v>
      </c>
      <c r="U51" s="15" t="s">
        <v>100</v>
      </c>
      <c r="V51" s="17"/>
      <c r="W51" s="3"/>
      <c r="X51" s="3"/>
      <c r="Y51" s="3"/>
      <c r="Z51" s="3"/>
      <c r="AA51" s="3"/>
    </row>
    <row r="52" spans="1:28" x14ac:dyDescent="0.15">
      <c r="A52" s="27" t="s">
        <v>101</v>
      </c>
      <c r="B52" s="19" t="s">
        <v>102</v>
      </c>
      <c r="C52" s="18" t="s">
        <v>78</v>
      </c>
      <c r="D52" s="18" t="s">
        <v>103</v>
      </c>
      <c r="E52" s="18" t="s">
        <v>80</v>
      </c>
      <c r="F52" s="18" t="s">
        <v>44</v>
      </c>
      <c r="G52" s="37" t="s">
        <v>45</v>
      </c>
      <c r="H52" s="27" t="str">
        <f t="shared" ref="H52:H83" si="1">IF(F52="","",INDEX($A$21:$B$25,MATCH(F52,$B$21:$B$25,0),1))</f>
        <v>Category 1</v>
      </c>
      <c r="J52" s="20">
        <f t="shared" ref="J52:J83" si="2">COUNTA(B52:G52)-IF(G52="",COUNTA(G52),0)</f>
        <v>6</v>
      </c>
      <c r="K52" s="9" t="str">
        <f t="shared" ref="K52:K83" si="3">IF($J52=0,"",IF(COUNTA(B52:G52)&lt;&gt;COUNTA($B$50:$G$50),"Error","OK"))</f>
        <v>OK</v>
      </c>
      <c r="L52" s="9" t="str">
        <f t="shared" ref="L52:L83" ca="1" si="4">IF($J52=0,"",IF(AND(B52&gt;=DATE(1900,1,1),B52&lt;=TODAY()),"OK","Error"))</f>
        <v>Error</v>
      </c>
      <c r="M52" s="9" t="str">
        <f t="shared" ref="M52:M83" si="5">IF($J52=0,"",IF(C52="Not Used","Error",IFERROR(IF(VLOOKUP(C52,C$44:C$48,1,0)=C52,"OK",""),"Error")))</f>
        <v>OK</v>
      </c>
      <c r="N52" s="9" t="str">
        <f t="shared" ref="N52:N83" si="6">IF($J52=0,"",IF(D52="Not Used","Error",IFERROR(IF(VLOOKUP(D52,D$44:D$48,1,0)=D52,"OK",""),"Error")))</f>
        <v>Error</v>
      </c>
      <c r="O52" s="9" t="str">
        <f t="shared" ref="O52:O83" si="7">IF($J52=0,"",IF(E52="Not Used","Error",IFERROR(IF(VLOOKUP(E52,E$44:E$48,1,0)=E52,"OK",""),"Error")))</f>
        <v>OK</v>
      </c>
      <c r="P52" s="9" t="str">
        <f t="shared" ref="P52:P83" si="8">IF($J52=0,"",IFERROR(IF(VLOOKUP(F52,F$44:F$48,1,0)=F52,"OK",""),"Error"))</f>
        <v>OK</v>
      </c>
      <c r="Q52" s="9" t="str">
        <f t="shared" ref="Q52:Q83" si="9">IF($J52=0,"",IFERROR(IF(VLOOKUP(H52,$A$21:$C$25,3,0)=G52,"OK","Error"),"Error"))</f>
        <v>OK</v>
      </c>
      <c r="R52" s="9" t="str">
        <f t="shared" ref="R52:R83" si="10">IF($J52=0,"",IFERROR(IF(AND($E52="Principal",$U52&lt;21),"Error","OK"),"Error"))</f>
        <v>Error</v>
      </c>
      <c r="S52" s="9" t="str">
        <f t="shared" ref="S52:S83" si="11">IF($J52=0,"",IFERROR(IF($U52&gt;=$S$47,"Error","OK"),"Error"))</f>
        <v>OK</v>
      </c>
      <c r="T52" s="9" t="str">
        <f t="shared" ref="T52:T83" si="12">IF($J52=0,"",IFERROR(IF(U52&lt;0,"Error","OK"),"Error"))</f>
        <v>Error</v>
      </c>
      <c r="U52" s="21">
        <f t="shared" ref="U52:U83" si="13">IF($J52=0,"",($B$16-B52)/365.25)</f>
        <v>-89.527720739219717</v>
      </c>
      <c r="W52" s="3"/>
      <c r="X52" s="3"/>
      <c r="Y52" s="3"/>
      <c r="Z52" s="3"/>
      <c r="AA52" s="3"/>
    </row>
    <row r="53" spans="1:28" x14ac:dyDescent="0.15">
      <c r="A53" s="27" t="s">
        <v>104</v>
      </c>
      <c r="B53" s="19" t="s">
        <v>102</v>
      </c>
      <c r="C53" s="18" t="s">
        <v>78</v>
      </c>
      <c r="D53" s="18" t="s">
        <v>105</v>
      </c>
      <c r="E53" s="18" t="s">
        <v>85</v>
      </c>
      <c r="F53" s="18" t="s">
        <v>44</v>
      </c>
      <c r="G53" s="37" t="s">
        <v>45</v>
      </c>
      <c r="H53" s="27" t="str">
        <f t="shared" si="1"/>
        <v>Category 1</v>
      </c>
      <c r="J53" s="20">
        <f t="shared" si="2"/>
        <v>6</v>
      </c>
      <c r="K53" s="9" t="str">
        <f t="shared" si="3"/>
        <v>OK</v>
      </c>
      <c r="L53" s="9" t="str">
        <f t="shared" ca="1" si="4"/>
        <v>Error</v>
      </c>
      <c r="M53" s="9" t="str">
        <f t="shared" si="5"/>
        <v>OK</v>
      </c>
      <c r="N53" s="9" t="str">
        <f t="shared" si="6"/>
        <v>Error</v>
      </c>
      <c r="O53" s="9" t="str">
        <f t="shared" si="7"/>
        <v>OK</v>
      </c>
      <c r="P53" s="9" t="str">
        <f t="shared" si="8"/>
        <v>OK</v>
      </c>
      <c r="Q53" s="9" t="str">
        <f t="shared" si="9"/>
        <v>OK</v>
      </c>
      <c r="R53" s="9" t="str">
        <f t="shared" si="10"/>
        <v>OK</v>
      </c>
      <c r="S53" s="9" t="str">
        <f t="shared" si="11"/>
        <v>OK</v>
      </c>
      <c r="T53" s="9" t="str">
        <f t="shared" si="12"/>
        <v>Error</v>
      </c>
      <c r="U53" s="21">
        <f t="shared" si="13"/>
        <v>-89.527720739219717</v>
      </c>
      <c r="W53" s="3"/>
      <c r="X53" s="3"/>
      <c r="Y53" s="3"/>
      <c r="Z53" s="3"/>
      <c r="AA53" s="3"/>
    </row>
    <row r="54" spans="1:28" x14ac:dyDescent="0.15">
      <c r="A54" s="27" t="s">
        <v>106</v>
      </c>
      <c r="B54" s="19">
        <v>36352</v>
      </c>
      <c r="C54" s="18" t="s">
        <v>78</v>
      </c>
      <c r="D54" s="18" t="s">
        <v>107</v>
      </c>
      <c r="E54" s="18" t="s">
        <v>80</v>
      </c>
      <c r="F54" s="18" t="s">
        <v>44</v>
      </c>
      <c r="G54" s="37" t="s">
        <v>45</v>
      </c>
      <c r="H54" s="27" t="str">
        <f t="shared" si="1"/>
        <v>Category 1</v>
      </c>
      <c r="J54" s="20">
        <f t="shared" si="2"/>
        <v>6</v>
      </c>
      <c r="K54" s="9" t="str">
        <f t="shared" si="3"/>
        <v>OK</v>
      </c>
      <c r="L54" s="9" t="str">
        <f t="shared" ca="1" si="4"/>
        <v>OK</v>
      </c>
      <c r="M54" s="9" t="str">
        <f t="shared" si="5"/>
        <v>OK</v>
      </c>
      <c r="N54" s="9" t="str">
        <f t="shared" si="6"/>
        <v>Error</v>
      </c>
      <c r="O54" s="9" t="str">
        <f t="shared" si="7"/>
        <v>OK</v>
      </c>
      <c r="P54" s="9" t="str">
        <f t="shared" si="8"/>
        <v>OK</v>
      </c>
      <c r="Q54" s="9" t="str">
        <f t="shared" si="9"/>
        <v>OK</v>
      </c>
      <c r="R54" s="9" t="str">
        <f t="shared" si="10"/>
        <v>Error</v>
      </c>
      <c r="S54" s="9" t="str">
        <f t="shared" si="11"/>
        <v>OK</v>
      </c>
      <c r="T54" s="9" t="str">
        <f t="shared" si="12"/>
        <v>Error</v>
      </c>
      <c r="U54" s="21">
        <f t="shared" si="13"/>
        <v>-99.526351813826153</v>
      </c>
      <c r="W54" s="3"/>
      <c r="X54" s="3"/>
      <c r="Y54" s="3"/>
      <c r="Z54" s="3"/>
      <c r="AA54" s="3"/>
    </row>
    <row r="55" spans="1:28" x14ac:dyDescent="0.15">
      <c r="A55" s="27" t="s">
        <v>108</v>
      </c>
      <c r="B55" s="19">
        <v>29047</v>
      </c>
      <c r="C55" s="18" t="s">
        <v>78</v>
      </c>
      <c r="D55" s="18" t="s">
        <v>109</v>
      </c>
      <c r="E55" s="18" t="s">
        <v>80</v>
      </c>
      <c r="F55" s="18" t="s">
        <v>44</v>
      </c>
      <c r="G55" s="37" t="s">
        <v>45</v>
      </c>
      <c r="H55" s="27" t="str">
        <f t="shared" si="1"/>
        <v>Category 1</v>
      </c>
      <c r="J55" s="20">
        <f t="shared" si="2"/>
        <v>6</v>
      </c>
      <c r="K55" s="9" t="str">
        <f t="shared" si="3"/>
        <v>OK</v>
      </c>
      <c r="L55" s="9" t="str">
        <f t="shared" ca="1" si="4"/>
        <v>OK</v>
      </c>
      <c r="M55" s="9" t="str">
        <f t="shared" si="5"/>
        <v>OK</v>
      </c>
      <c r="N55" s="9" t="str">
        <f t="shared" si="6"/>
        <v>Error</v>
      </c>
      <c r="O55" s="9" t="str">
        <f t="shared" si="7"/>
        <v>OK</v>
      </c>
      <c r="P55" s="9" t="str">
        <f t="shared" si="8"/>
        <v>OK</v>
      </c>
      <c r="Q55" s="9" t="str">
        <f t="shared" si="9"/>
        <v>OK</v>
      </c>
      <c r="R55" s="9" t="str">
        <f t="shared" si="10"/>
        <v>Error</v>
      </c>
      <c r="S55" s="9" t="str">
        <f t="shared" si="11"/>
        <v>OK</v>
      </c>
      <c r="T55" s="9" t="str">
        <f t="shared" si="12"/>
        <v>Error</v>
      </c>
      <c r="U55" s="21">
        <f t="shared" si="13"/>
        <v>-79.526351813826153</v>
      </c>
      <c r="W55" s="3"/>
      <c r="X55" s="3"/>
      <c r="Y55" s="3"/>
      <c r="Z55" s="3"/>
      <c r="AA55" s="3"/>
    </row>
    <row r="56" spans="1:28" x14ac:dyDescent="0.15">
      <c r="A56" s="27" t="s">
        <v>110</v>
      </c>
      <c r="B56" s="19">
        <v>29047</v>
      </c>
      <c r="C56" s="18" t="s">
        <v>78</v>
      </c>
      <c r="D56" s="18" t="s">
        <v>111</v>
      </c>
      <c r="E56" s="18" t="s">
        <v>80</v>
      </c>
      <c r="F56" s="18" t="s">
        <v>44</v>
      </c>
      <c r="G56" s="37" t="s">
        <v>45</v>
      </c>
      <c r="H56" s="27" t="str">
        <f t="shared" si="1"/>
        <v>Category 1</v>
      </c>
      <c r="J56" s="20">
        <f t="shared" si="2"/>
        <v>6</v>
      </c>
      <c r="K56" s="9" t="str">
        <f t="shared" si="3"/>
        <v>OK</v>
      </c>
      <c r="L56" s="9" t="str">
        <f t="shared" ca="1" si="4"/>
        <v>OK</v>
      </c>
      <c r="M56" s="9" t="str">
        <f t="shared" si="5"/>
        <v>OK</v>
      </c>
      <c r="N56" s="9" t="str">
        <f t="shared" si="6"/>
        <v>Error</v>
      </c>
      <c r="O56" s="9" t="str">
        <f t="shared" si="7"/>
        <v>OK</v>
      </c>
      <c r="P56" s="9" t="str">
        <f t="shared" si="8"/>
        <v>OK</v>
      </c>
      <c r="Q56" s="9" t="str">
        <f t="shared" si="9"/>
        <v>OK</v>
      </c>
      <c r="R56" s="9" t="str">
        <f t="shared" si="10"/>
        <v>Error</v>
      </c>
      <c r="S56" s="9" t="str">
        <f t="shared" si="11"/>
        <v>OK</v>
      </c>
      <c r="T56" s="9" t="str">
        <f t="shared" si="12"/>
        <v>Error</v>
      </c>
      <c r="U56" s="21">
        <f t="shared" si="13"/>
        <v>-79.526351813826153</v>
      </c>
      <c r="W56" s="3"/>
      <c r="X56" s="3"/>
      <c r="Y56" s="3"/>
      <c r="Z56" s="3"/>
      <c r="AA56" s="3"/>
    </row>
    <row r="57" spans="1:28" x14ac:dyDescent="0.15">
      <c r="A57" s="27" t="s">
        <v>112</v>
      </c>
      <c r="B57" s="19">
        <v>40370</v>
      </c>
      <c r="C57" s="18" t="s">
        <v>78</v>
      </c>
      <c r="D57" s="18" t="s">
        <v>113</v>
      </c>
      <c r="E57" s="18" t="s">
        <v>88</v>
      </c>
      <c r="F57" s="18" t="s">
        <v>44</v>
      </c>
      <c r="G57" s="37" t="s">
        <v>45</v>
      </c>
      <c r="H57" s="27" t="str">
        <f t="shared" si="1"/>
        <v>Category 1</v>
      </c>
      <c r="J57" s="20">
        <f t="shared" si="2"/>
        <v>6</v>
      </c>
      <c r="K57" s="9" t="str">
        <f t="shared" si="3"/>
        <v>OK</v>
      </c>
      <c r="L57" s="9" t="str">
        <f t="shared" ca="1" si="4"/>
        <v>OK</v>
      </c>
      <c r="M57" s="9" t="str">
        <f t="shared" si="5"/>
        <v>OK</v>
      </c>
      <c r="N57" s="9" t="str">
        <f t="shared" si="6"/>
        <v>Error</v>
      </c>
      <c r="O57" s="9" t="str">
        <f t="shared" si="7"/>
        <v>OK</v>
      </c>
      <c r="P57" s="9" t="str">
        <f t="shared" si="8"/>
        <v>OK</v>
      </c>
      <c r="Q57" s="9" t="str">
        <f t="shared" si="9"/>
        <v>OK</v>
      </c>
      <c r="R57" s="9" t="str">
        <f t="shared" si="10"/>
        <v>OK</v>
      </c>
      <c r="S57" s="9" t="str">
        <f t="shared" si="11"/>
        <v>OK</v>
      </c>
      <c r="T57" s="9" t="str">
        <f t="shared" si="12"/>
        <v>Error</v>
      </c>
      <c r="U57" s="21">
        <f t="shared" si="13"/>
        <v>-110.52703627652294</v>
      </c>
      <c r="W57" s="3"/>
      <c r="X57" s="3"/>
      <c r="Y57" s="3"/>
      <c r="Z57" s="3"/>
      <c r="AA57" s="3"/>
    </row>
    <row r="58" spans="1:28" x14ac:dyDescent="0.15">
      <c r="A58" s="27" t="s">
        <v>114</v>
      </c>
      <c r="B58" s="19">
        <v>29047</v>
      </c>
      <c r="C58" s="18" t="s">
        <v>78</v>
      </c>
      <c r="D58" s="18" t="s">
        <v>115</v>
      </c>
      <c r="E58" s="18" t="s">
        <v>80</v>
      </c>
      <c r="F58" s="18" t="s">
        <v>44</v>
      </c>
      <c r="G58" s="37" t="s">
        <v>45</v>
      </c>
      <c r="H58" s="27" t="str">
        <f t="shared" si="1"/>
        <v>Category 1</v>
      </c>
      <c r="J58" s="20">
        <f t="shared" si="2"/>
        <v>6</v>
      </c>
      <c r="K58" s="9" t="str">
        <f t="shared" si="3"/>
        <v>OK</v>
      </c>
      <c r="L58" s="9" t="str">
        <f t="shared" ca="1" si="4"/>
        <v>OK</v>
      </c>
      <c r="M58" s="9" t="str">
        <f t="shared" si="5"/>
        <v>OK</v>
      </c>
      <c r="N58" s="9" t="str">
        <f t="shared" si="6"/>
        <v>Error</v>
      </c>
      <c r="O58" s="9" t="str">
        <f t="shared" si="7"/>
        <v>OK</v>
      </c>
      <c r="P58" s="9" t="str">
        <f t="shared" si="8"/>
        <v>OK</v>
      </c>
      <c r="Q58" s="9" t="str">
        <f t="shared" si="9"/>
        <v>OK</v>
      </c>
      <c r="R58" s="9" t="str">
        <f t="shared" si="10"/>
        <v>Error</v>
      </c>
      <c r="S58" s="9" t="str">
        <f t="shared" si="11"/>
        <v>OK</v>
      </c>
      <c r="T58" s="9" t="str">
        <f t="shared" si="12"/>
        <v>Error</v>
      </c>
      <c r="U58" s="21">
        <f t="shared" si="13"/>
        <v>-79.526351813826153</v>
      </c>
      <c r="W58" s="3"/>
      <c r="X58" s="3"/>
      <c r="Y58" s="3"/>
      <c r="Z58" s="3"/>
      <c r="AA58" s="3"/>
    </row>
    <row r="59" spans="1:28" x14ac:dyDescent="0.15">
      <c r="A59" s="27" t="s">
        <v>116</v>
      </c>
      <c r="B59" s="19">
        <v>29047</v>
      </c>
      <c r="C59" s="18" t="s">
        <v>78</v>
      </c>
      <c r="D59" s="18" t="s">
        <v>117</v>
      </c>
      <c r="E59" s="18" t="s">
        <v>80</v>
      </c>
      <c r="F59" s="18" t="s">
        <v>44</v>
      </c>
      <c r="G59" s="37" t="s">
        <v>45</v>
      </c>
      <c r="H59" s="27" t="str">
        <f t="shared" si="1"/>
        <v>Category 1</v>
      </c>
      <c r="J59" s="20">
        <f t="shared" si="2"/>
        <v>6</v>
      </c>
      <c r="K59" s="9" t="str">
        <f t="shared" si="3"/>
        <v>OK</v>
      </c>
      <c r="L59" s="9" t="str">
        <f t="shared" ca="1" si="4"/>
        <v>OK</v>
      </c>
      <c r="M59" s="9" t="str">
        <f t="shared" si="5"/>
        <v>OK</v>
      </c>
      <c r="N59" s="9" t="str">
        <f t="shared" si="6"/>
        <v>Error</v>
      </c>
      <c r="O59" s="9" t="str">
        <f t="shared" si="7"/>
        <v>OK</v>
      </c>
      <c r="P59" s="9" t="str">
        <f t="shared" si="8"/>
        <v>OK</v>
      </c>
      <c r="Q59" s="9" t="str">
        <f t="shared" si="9"/>
        <v>OK</v>
      </c>
      <c r="R59" s="9" t="str">
        <f t="shared" si="10"/>
        <v>Error</v>
      </c>
      <c r="S59" s="9" t="str">
        <f t="shared" si="11"/>
        <v>OK</v>
      </c>
      <c r="T59" s="9" t="str">
        <f t="shared" si="12"/>
        <v>Error</v>
      </c>
      <c r="U59" s="21">
        <f t="shared" si="13"/>
        <v>-79.526351813826153</v>
      </c>
      <c r="W59" s="3"/>
      <c r="X59" s="3"/>
      <c r="Y59" s="3"/>
      <c r="Z59" s="3"/>
      <c r="AA59" s="3"/>
    </row>
    <row r="60" spans="1:28" x14ac:dyDescent="0.15">
      <c r="A60" s="27" t="s">
        <v>118</v>
      </c>
      <c r="B60" s="19">
        <v>29047</v>
      </c>
      <c r="C60" s="18" t="s">
        <v>78</v>
      </c>
      <c r="D60" s="18" t="s">
        <v>117</v>
      </c>
      <c r="E60" s="18" t="s">
        <v>80</v>
      </c>
      <c r="F60" s="18" t="s">
        <v>44</v>
      </c>
      <c r="G60" s="37" t="s">
        <v>45</v>
      </c>
      <c r="H60" s="27" t="str">
        <f t="shared" si="1"/>
        <v>Category 1</v>
      </c>
      <c r="J60" s="20">
        <f t="shared" si="2"/>
        <v>6</v>
      </c>
      <c r="K60" s="9" t="str">
        <f t="shared" si="3"/>
        <v>OK</v>
      </c>
      <c r="L60" s="9" t="str">
        <f t="shared" ca="1" si="4"/>
        <v>OK</v>
      </c>
      <c r="M60" s="9" t="str">
        <f t="shared" si="5"/>
        <v>OK</v>
      </c>
      <c r="N60" s="9" t="str">
        <f t="shared" si="6"/>
        <v>Error</v>
      </c>
      <c r="O60" s="9" t="str">
        <f t="shared" si="7"/>
        <v>OK</v>
      </c>
      <c r="P60" s="9" t="str">
        <f t="shared" si="8"/>
        <v>OK</v>
      </c>
      <c r="Q60" s="9" t="str">
        <f t="shared" si="9"/>
        <v>OK</v>
      </c>
      <c r="R60" s="9" t="str">
        <f t="shared" si="10"/>
        <v>Error</v>
      </c>
      <c r="S60" s="9" t="str">
        <f t="shared" si="11"/>
        <v>OK</v>
      </c>
      <c r="T60" s="9" t="str">
        <f t="shared" si="12"/>
        <v>Error</v>
      </c>
      <c r="U60" s="21">
        <f t="shared" si="13"/>
        <v>-79.526351813826153</v>
      </c>
      <c r="W60" s="3"/>
      <c r="X60" s="3"/>
      <c r="Y60" s="3"/>
      <c r="Z60" s="3"/>
      <c r="AA60" s="3"/>
    </row>
    <row r="61" spans="1:28" x14ac:dyDescent="0.15">
      <c r="A61" s="27" t="s">
        <v>101</v>
      </c>
      <c r="B61" s="19">
        <v>29047</v>
      </c>
      <c r="C61" s="18" t="s">
        <v>78</v>
      </c>
      <c r="D61" s="18" t="s">
        <v>103</v>
      </c>
      <c r="E61" s="18" t="s">
        <v>80</v>
      </c>
      <c r="F61" s="18" t="s">
        <v>44</v>
      </c>
      <c r="G61" s="37" t="s">
        <v>45</v>
      </c>
      <c r="H61" s="27" t="str">
        <f t="shared" si="1"/>
        <v>Category 1</v>
      </c>
      <c r="J61" s="20">
        <f t="shared" si="2"/>
        <v>6</v>
      </c>
      <c r="K61" s="9" t="str">
        <f t="shared" si="3"/>
        <v>OK</v>
      </c>
      <c r="L61" s="9" t="str">
        <f t="shared" ca="1" si="4"/>
        <v>OK</v>
      </c>
      <c r="M61" s="9" t="str">
        <f t="shared" si="5"/>
        <v>OK</v>
      </c>
      <c r="N61" s="9" t="str">
        <f t="shared" si="6"/>
        <v>Error</v>
      </c>
      <c r="O61" s="9" t="str">
        <f t="shared" si="7"/>
        <v>OK</v>
      </c>
      <c r="P61" s="9" t="str">
        <f t="shared" si="8"/>
        <v>OK</v>
      </c>
      <c r="Q61" s="9" t="str">
        <f t="shared" si="9"/>
        <v>OK</v>
      </c>
      <c r="R61" s="9" t="str">
        <f t="shared" si="10"/>
        <v>Error</v>
      </c>
      <c r="S61" s="9" t="str">
        <f t="shared" si="11"/>
        <v>OK</v>
      </c>
      <c r="T61" s="9" t="str">
        <f t="shared" si="12"/>
        <v>Error</v>
      </c>
      <c r="U61" s="21">
        <f t="shared" si="13"/>
        <v>-79.526351813826153</v>
      </c>
      <c r="W61" s="3"/>
      <c r="X61" s="3"/>
      <c r="Y61" s="3"/>
      <c r="Z61" s="3"/>
      <c r="AA61" s="3"/>
    </row>
    <row r="62" spans="1:28" x14ac:dyDescent="0.15">
      <c r="A62" s="27" t="s">
        <v>104</v>
      </c>
      <c r="B62" s="19" t="s">
        <v>102</v>
      </c>
      <c r="C62" s="18" t="s">
        <v>78</v>
      </c>
      <c r="D62" s="18" t="s">
        <v>105</v>
      </c>
      <c r="E62" s="18" t="s">
        <v>85</v>
      </c>
      <c r="F62" s="18" t="s">
        <v>44</v>
      </c>
      <c r="G62" s="37" t="s">
        <v>45</v>
      </c>
      <c r="H62" s="27" t="str">
        <f t="shared" si="1"/>
        <v>Category 1</v>
      </c>
      <c r="J62" s="20">
        <f t="shared" si="2"/>
        <v>6</v>
      </c>
      <c r="K62" s="9" t="str">
        <f t="shared" si="3"/>
        <v>OK</v>
      </c>
      <c r="L62" s="9" t="str">
        <f t="shared" ca="1" si="4"/>
        <v>Error</v>
      </c>
      <c r="M62" s="9" t="str">
        <f t="shared" si="5"/>
        <v>OK</v>
      </c>
      <c r="N62" s="9" t="str">
        <f t="shared" si="6"/>
        <v>Error</v>
      </c>
      <c r="O62" s="9" t="str">
        <f t="shared" si="7"/>
        <v>OK</v>
      </c>
      <c r="P62" s="9" t="str">
        <f t="shared" si="8"/>
        <v>OK</v>
      </c>
      <c r="Q62" s="9" t="str">
        <f t="shared" si="9"/>
        <v>OK</v>
      </c>
      <c r="R62" s="9" t="str">
        <f t="shared" si="10"/>
        <v>OK</v>
      </c>
      <c r="S62" s="9" t="str">
        <f t="shared" si="11"/>
        <v>OK</v>
      </c>
      <c r="T62" s="9" t="str">
        <f t="shared" si="12"/>
        <v>Error</v>
      </c>
      <c r="U62" s="21">
        <f t="shared" si="13"/>
        <v>-89.527720739219717</v>
      </c>
      <c r="W62" s="3"/>
      <c r="X62" s="3"/>
      <c r="Y62" s="3"/>
      <c r="Z62" s="3"/>
      <c r="AA62" s="3"/>
    </row>
    <row r="63" spans="1:28" x14ac:dyDescent="0.15">
      <c r="A63" s="27" t="s">
        <v>106</v>
      </c>
      <c r="B63" s="19">
        <v>36352</v>
      </c>
      <c r="C63" s="18" t="s">
        <v>78</v>
      </c>
      <c r="D63" s="18" t="s">
        <v>107</v>
      </c>
      <c r="E63" s="18" t="s">
        <v>80</v>
      </c>
      <c r="F63" s="18" t="s">
        <v>44</v>
      </c>
      <c r="G63" s="37" t="s">
        <v>45</v>
      </c>
      <c r="H63" s="27" t="str">
        <f t="shared" si="1"/>
        <v>Category 1</v>
      </c>
      <c r="J63" s="20">
        <f t="shared" si="2"/>
        <v>6</v>
      </c>
      <c r="K63" s="9" t="str">
        <f t="shared" si="3"/>
        <v>OK</v>
      </c>
      <c r="L63" s="9" t="str">
        <f t="shared" ca="1" si="4"/>
        <v>OK</v>
      </c>
      <c r="M63" s="9" t="str">
        <f t="shared" si="5"/>
        <v>OK</v>
      </c>
      <c r="N63" s="9" t="str">
        <f t="shared" si="6"/>
        <v>Error</v>
      </c>
      <c r="O63" s="9" t="str">
        <f t="shared" si="7"/>
        <v>OK</v>
      </c>
      <c r="P63" s="9" t="str">
        <f t="shared" si="8"/>
        <v>OK</v>
      </c>
      <c r="Q63" s="9" t="str">
        <f t="shared" si="9"/>
        <v>OK</v>
      </c>
      <c r="R63" s="9" t="str">
        <f t="shared" si="10"/>
        <v>Error</v>
      </c>
      <c r="S63" s="9" t="str">
        <f t="shared" si="11"/>
        <v>OK</v>
      </c>
      <c r="T63" s="9" t="str">
        <f t="shared" si="12"/>
        <v>Error</v>
      </c>
      <c r="U63" s="21">
        <f t="shared" si="13"/>
        <v>-99.526351813826153</v>
      </c>
      <c r="W63" s="3"/>
      <c r="X63" s="3"/>
      <c r="Y63" s="3"/>
      <c r="Z63" s="3"/>
      <c r="AA63" s="3"/>
    </row>
    <row r="64" spans="1:28" x14ac:dyDescent="0.15">
      <c r="A64" s="27" t="s">
        <v>108</v>
      </c>
      <c r="B64" s="19">
        <v>29047</v>
      </c>
      <c r="C64" s="18" t="s">
        <v>78</v>
      </c>
      <c r="D64" s="18" t="s">
        <v>109</v>
      </c>
      <c r="E64" s="18" t="s">
        <v>80</v>
      </c>
      <c r="F64" s="18" t="s">
        <v>44</v>
      </c>
      <c r="G64" s="37" t="s">
        <v>45</v>
      </c>
      <c r="H64" s="27" t="str">
        <f t="shared" si="1"/>
        <v>Category 1</v>
      </c>
      <c r="J64" s="20">
        <f t="shared" si="2"/>
        <v>6</v>
      </c>
      <c r="K64" s="9" t="str">
        <f t="shared" si="3"/>
        <v>OK</v>
      </c>
      <c r="L64" s="9" t="str">
        <f t="shared" ca="1" si="4"/>
        <v>OK</v>
      </c>
      <c r="M64" s="9" t="str">
        <f t="shared" si="5"/>
        <v>OK</v>
      </c>
      <c r="N64" s="9" t="str">
        <f t="shared" si="6"/>
        <v>Error</v>
      </c>
      <c r="O64" s="9" t="str">
        <f t="shared" si="7"/>
        <v>OK</v>
      </c>
      <c r="P64" s="9" t="str">
        <f t="shared" si="8"/>
        <v>OK</v>
      </c>
      <c r="Q64" s="9" t="str">
        <f t="shared" si="9"/>
        <v>OK</v>
      </c>
      <c r="R64" s="9" t="str">
        <f t="shared" si="10"/>
        <v>Error</v>
      </c>
      <c r="S64" s="9" t="str">
        <f t="shared" si="11"/>
        <v>OK</v>
      </c>
      <c r="T64" s="9" t="str">
        <f t="shared" si="12"/>
        <v>Error</v>
      </c>
      <c r="U64" s="21">
        <f t="shared" si="13"/>
        <v>-79.526351813826153</v>
      </c>
      <c r="W64" s="3"/>
      <c r="X64" s="3"/>
      <c r="Y64" s="3"/>
      <c r="Z64" s="3"/>
      <c r="AA64" s="3"/>
      <c r="AB64" s="4"/>
    </row>
    <row r="65" spans="1:27" x14ac:dyDescent="0.15">
      <c r="A65" s="27" t="s">
        <v>110</v>
      </c>
      <c r="B65" s="19">
        <v>29047</v>
      </c>
      <c r="C65" s="18" t="s">
        <v>78</v>
      </c>
      <c r="D65" s="18" t="s">
        <v>111</v>
      </c>
      <c r="E65" s="18" t="s">
        <v>80</v>
      </c>
      <c r="F65" s="18" t="s">
        <v>44</v>
      </c>
      <c r="G65" s="37" t="s">
        <v>45</v>
      </c>
      <c r="H65" s="27" t="str">
        <f t="shared" si="1"/>
        <v>Category 1</v>
      </c>
      <c r="J65" s="20">
        <f t="shared" si="2"/>
        <v>6</v>
      </c>
      <c r="K65" s="9" t="str">
        <f t="shared" si="3"/>
        <v>OK</v>
      </c>
      <c r="L65" s="9" t="str">
        <f t="shared" ca="1" si="4"/>
        <v>OK</v>
      </c>
      <c r="M65" s="9" t="str">
        <f t="shared" si="5"/>
        <v>OK</v>
      </c>
      <c r="N65" s="9" t="str">
        <f t="shared" si="6"/>
        <v>Error</v>
      </c>
      <c r="O65" s="9" t="str">
        <f t="shared" si="7"/>
        <v>OK</v>
      </c>
      <c r="P65" s="9" t="str">
        <f t="shared" si="8"/>
        <v>OK</v>
      </c>
      <c r="Q65" s="9" t="str">
        <f t="shared" si="9"/>
        <v>OK</v>
      </c>
      <c r="R65" s="9" t="str">
        <f t="shared" si="10"/>
        <v>Error</v>
      </c>
      <c r="S65" s="9" t="str">
        <f t="shared" si="11"/>
        <v>OK</v>
      </c>
      <c r="T65" s="9" t="str">
        <f t="shared" si="12"/>
        <v>Error</v>
      </c>
      <c r="U65" s="21">
        <f t="shared" si="13"/>
        <v>-79.526351813826153</v>
      </c>
      <c r="W65" s="3"/>
      <c r="X65" s="3"/>
      <c r="Y65" s="3"/>
      <c r="Z65" s="3"/>
      <c r="AA65" s="3"/>
    </row>
    <row r="66" spans="1:27" x14ac:dyDescent="0.15">
      <c r="A66" s="27" t="s">
        <v>112</v>
      </c>
      <c r="B66" s="19">
        <v>40370</v>
      </c>
      <c r="C66" s="18" t="s">
        <v>78</v>
      </c>
      <c r="D66" s="18" t="s">
        <v>113</v>
      </c>
      <c r="E66" s="18" t="s">
        <v>88</v>
      </c>
      <c r="F66" s="18" t="s">
        <v>44</v>
      </c>
      <c r="G66" s="37" t="s">
        <v>45</v>
      </c>
      <c r="H66" s="27" t="str">
        <f t="shared" si="1"/>
        <v>Category 1</v>
      </c>
      <c r="J66" s="20">
        <f t="shared" si="2"/>
        <v>6</v>
      </c>
      <c r="K66" s="9" t="str">
        <f t="shared" si="3"/>
        <v>OK</v>
      </c>
      <c r="L66" s="9" t="str">
        <f t="shared" ca="1" si="4"/>
        <v>OK</v>
      </c>
      <c r="M66" s="9" t="str">
        <f t="shared" si="5"/>
        <v>OK</v>
      </c>
      <c r="N66" s="9" t="str">
        <f t="shared" si="6"/>
        <v>Error</v>
      </c>
      <c r="O66" s="9" t="str">
        <f t="shared" si="7"/>
        <v>OK</v>
      </c>
      <c r="P66" s="9" t="str">
        <f t="shared" si="8"/>
        <v>OK</v>
      </c>
      <c r="Q66" s="9" t="str">
        <f t="shared" si="9"/>
        <v>OK</v>
      </c>
      <c r="R66" s="9" t="str">
        <f t="shared" si="10"/>
        <v>OK</v>
      </c>
      <c r="S66" s="9" t="str">
        <f t="shared" si="11"/>
        <v>OK</v>
      </c>
      <c r="T66" s="9" t="str">
        <f t="shared" si="12"/>
        <v>Error</v>
      </c>
      <c r="U66" s="21">
        <f t="shared" si="13"/>
        <v>-110.52703627652294</v>
      </c>
      <c r="W66" s="3"/>
      <c r="X66" s="3"/>
      <c r="Y66" s="3"/>
      <c r="Z66" s="3"/>
      <c r="AA66" s="3"/>
    </row>
    <row r="67" spans="1:27" x14ac:dyDescent="0.15">
      <c r="A67" s="27" t="s">
        <v>114</v>
      </c>
      <c r="B67" s="19">
        <v>29047</v>
      </c>
      <c r="C67" s="18" t="s">
        <v>78</v>
      </c>
      <c r="D67" s="18" t="s">
        <v>115</v>
      </c>
      <c r="E67" s="18" t="s">
        <v>80</v>
      </c>
      <c r="F67" s="18" t="s">
        <v>44</v>
      </c>
      <c r="G67" s="37" t="s">
        <v>45</v>
      </c>
      <c r="H67" s="27" t="str">
        <f t="shared" si="1"/>
        <v>Category 1</v>
      </c>
      <c r="J67" s="20">
        <f t="shared" si="2"/>
        <v>6</v>
      </c>
      <c r="K67" s="9" t="str">
        <f t="shared" si="3"/>
        <v>OK</v>
      </c>
      <c r="L67" s="9" t="str">
        <f t="shared" ca="1" si="4"/>
        <v>OK</v>
      </c>
      <c r="M67" s="9" t="str">
        <f t="shared" si="5"/>
        <v>OK</v>
      </c>
      <c r="N67" s="9" t="str">
        <f t="shared" si="6"/>
        <v>Error</v>
      </c>
      <c r="O67" s="9" t="str">
        <f t="shared" si="7"/>
        <v>OK</v>
      </c>
      <c r="P67" s="9" t="str">
        <f t="shared" si="8"/>
        <v>OK</v>
      </c>
      <c r="Q67" s="9" t="str">
        <f t="shared" si="9"/>
        <v>OK</v>
      </c>
      <c r="R67" s="9" t="str">
        <f t="shared" si="10"/>
        <v>Error</v>
      </c>
      <c r="S67" s="9" t="str">
        <f t="shared" si="11"/>
        <v>OK</v>
      </c>
      <c r="T67" s="9" t="str">
        <f t="shared" si="12"/>
        <v>Error</v>
      </c>
      <c r="U67" s="21">
        <f t="shared" si="13"/>
        <v>-79.526351813826153</v>
      </c>
      <c r="W67" s="3"/>
      <c r="X67" s="3"/>
      <c r="Y67" s="3"/>
      <c r="Z67" s="3"/>
      <c r="AA67" s="3"/>
    </row>
    <row r="68" spans="1:27" x14ac:dyDescent="0.15">
      <c r="A68" s="27" t="s">
        <v>116</v>
      </c>
      <c r="B68" s="19">
        <v>29047</v>
      </c>
      <c r="C68" s="18" t="s">
        <v>78</v>
      </c>
      <c r="D68" s="18" t="s">
        <v>117</v>
      </c>
      <c r="E68" s="18" t="s">
        <v>80</v>
      </c>
      <c r="F68" s="18" t="s">
        <v>44</v>
      </c>
      <c r="G68" s="37" t="s">
        <v>45</v>
      </c>
      <c r="H68" s="27" t="str">
        <f t="shared" si="1"/>
        <v>Category 1</v>
      </c>
      <c r="J68" s="20">
        <f t="shared" si="2"/>
        <v>6</v>
      </c>
      <c r="K68" s="9" t="str">
        <f t="shared" si="3"/>
        <v>OK</v>
      </c>
      <c r="L68" s="9" t="str">
        <f t="shared" ca="1" si="4"/>
        <v>OK</v>
      </c>
      <c r="M68" s="9" t="str">
        <f t="shared" si="5"/>
        <v>OK</v>
      </c>
      <c r="N68" s="9" t="str">
        <f t="shared" si="6"/>
        <v>Error</v>
      </c>
      <c r="O68" s="9" t="str">
        <f t="shared" si="7"/>
        <v>OK</v>
      </c>
      <c r="P68" s="9" t="str">
        <f t="shared" si="8"/>
        <v>OK</v>
      </c>
      <c r="Q68" s="9" t="str">
        <f t="shared" si="9"/>
        <v>OK</v>
      </c>
      <c r="R68" s="9" t="str">
        <f t="shared" si="10"/>
        <v>Error</v>
      </c>
      <c r="S68" s="9" t="str">
        <f t="shared" si="11"/>
        <v>OK</v>
      </c>
      <c r="T68" s="9" t="str">
        <f t="shared" si="12"/>
        <v>Error</v>
      </c>
      <c r="U68" s="21">
        <f t="shared" si="13"/>
        <v>-79.526351813826153</v>
      </c>
      <c r="W68" s="3"/>
      <c r="X68" s="3"/>
      <c r="Y68" s="3"/>
      <c r="Z68" s="3"/>
      <c r="AA68" s="3"/>
    </row>
    <row r="69" spans="1:27" x14ac:dyDescent="0.15">
      <c r="A69" s="27" t="s">
        <v>118</v>
      </c>
      <c r="B69" s="19">
        <v>29047</v>
      </c>
      <c r="C69" s="18" t="s">
        <v>78</v>
      </c>
      <c r="D69" s="18" t="s">
        <v>117</v>
      </c>
      <c r="E69" s="18" t="s">
        <v>80</v>
      </c>
      <c r="F69" s="18" t="s">
        <v>44</v>
      </c>
      <c r="G69" s="37" t="s">
        <v>45</v>
      </c>
      <c r="H69" s="27" t="str">
        <f t="shared" si="1"/>
        <v>Category 1</v>
      </c>
      <c r="J69" s="20">
        <f t="shared" si="2"/>
        <v>6</v>
      </c>
      <c r="K69" s="9" t="str">
        <f t="shared" si="3"/>
        <v>OK</v>
      </c>
      <c r="L69" s="9" t="str">
        <f t="shared" ca="1" si="4"/>
        <v>OK</v>
      </c>
      <c r="M69" s="9" t="str">
        <f t="shared" si="5"/>
        <v>OK</v>
      </c>
      <c r="N69" s="9" t="str">
        <f t="shared" si="6"/>
        <v>Error</v>
      </c>
      <c r="O69" s="9" t="str">
        <f t="shared" si="7"/>
        <v>OK</v>
      </c>
      <c r="P69" s="9" t="str">
        <f t="shared" si="8"/>
        <v>OK</v>
      </c>
      <c r="Q69" s="9" t="str">
        <f t="shared" si="9"/>
        <v>OK</v>
      </c>
      <c r="R69" s="9" t="str">
        <f t="shared" si="10"/>
        <v>Error</v>
      </c>
      <c r="S69" s="9" t="str">
        <f t="shared" si="11"/>
        <v>OK</v>
      </c>
      <c r="T69" s="9" t="str">
        <f t="shared" si="12"/>
        <v>Error</v>
      </c>
      <c r="U69" s="21">
        <f t="shared" si="13"/>
        <v>-79.526351813826153</v>
      </c>
      <c r="W69" s="3"/>
      <c r="X69" s="3"/>
      <c r="Y69" s="3"/>
      <c r="Z69" s="3"/>
      <c r="AA69" s="3"/>
    </row>
    <row r="70" spans="1:27" x14ac:dyDescent="0.15">
      <c r="A70" s="27" t="s">
        <v>101</v>
      </c>
      <c r="B70" s="19">
        <v>29047</v>
      </c>
      <c r="C70" s="18" t="s">
        <v>78</v>
      </c>
      <c r="D70" s="18" t="s">
        <v>103</v>
      </c>
      <c r="E70" s="18" t="s">
        <v>80</v>
      </c>
      <c r="F70" s="18" t="s">
        <v>44</v>
      </c>
      <c r="G70" s="37" t="s">
        <v>45</v>
      </c>
      <c r="H70" s="27" t="str">
        <f t="shared" si="1"/>
        <v>Category 1</v>
      </c>
      <c r="J70" s="20">
        <f t="shared" si="2"/>
        <v>6</v>
      </c>
      <c r="K70" s="9" t="str">
        <f t="shared" si="3"/>
        <v>OK</v>
      </c>
      <c r="L70" s="9" t="str">
        <f t="shared" ca="1" si="4"/>
        <v>OK</v>
      </c>
      <c r="M70" s="9" t="str">
        <f t="shared" si="5"/>
        <v>OK</v>
      </c>
      <c r="N70" s="9" t="str">
        <f t="shared" si="6"/>
        <v>Error</v>
      </c>
      <c r="O70" s="9" t="str">
        <f t="shared" si="7"/>
        <v>OK</v>
      </c>
      <c r="P70" s="9" t="str">
        <f t="shared" si="8"/>
        <v>OK</v>
      </c>
      <c r="Q70" s="9" t="str">
        <f t="shared" si="9"/>
        <v>OK</v>
      </c>
      <c r="R70" s="9" t="str">
        <f t="shared" si="10"/>
        <v>Error</v>
      </c>
      <c r="S70" s="9" t="str">
        <f t="shared" si="11"/>
        <v>OK</v>
      </c>
      <c r="T70" s="9" t="str">
        <f t="shared" si="12"/>
        <v>Error</v>
      </c>
      <c r="U70" s="21">
        <f t="shared" si="13"/>
        <v>-79.526351813826153</v>
      </c>
      <c r="W70" s="3"/>
      <c r="X70" s="3"/>
      <c r="Y70" s="3"/>
      <c r="Z70" s="3"/>
      <c r="AA70" s="3"/>
    </row>
    <row r="71" spans="1:27" x14ac:dyDescent="0.15">
      <c r="A71" s="27" t="s">
        <v>104</v>
      </c>
      <c r="B71" s="19" t="s">
        <v>102</v>
      </c>
      <c r="C71" s="18" t="s">
        <v>78</v>
      </c>
      <c r="D71" s="18" t="s">
        <v>105</v>
      </c>
      <c r="E71" s="18" t="s">
        <v>85</v>
      </c>
      <c r="F71" s="18" t="s">
        <v>44</v>
      </c>
      <c r="G71" s="37" t="s">
        <v>45</v>
      </c>
      <c r="H71" s="27" t="str">
        <f t="shared" si="1"/>
        <v>Category 1</v>
      </c>
      <c r="J71" s="20">
        <f t="shared" si="2"/>
        <v>6</v>
      </c>
      <c r="K71" s="9" t="str">
        <f t="shared" si="3"/>
        <v>OK</v>
      </c>
      <c r="L71" s="9" t="str">
        <f t="shared" ca="1" si="4"/>
        <v>Error</v>
      </c>
      <c r="M71" s="9" t="str">
        <f t="shared" si="5"/>
        <v>OK</v>
      </c>
      <c r="N71" s="9" t="str">
        <f t="shared" si="6"/>
        <v>Error</v>
      </c>
      <c r="O71" s="9" t="str">
        <f t="shared" si="7"/>
        <v>OK</v>
      </c>
      <c r="P71" s="9" t="str">
        <f t="shared" si="8"/>
        <v>OK</v>
      </c>
      <c r="Q71" s="9" t="str">
        <f t="shared" si="9"/>
        <v>OK</v>
      </c>
      <c r="R71" s="9" t="str">
        <f t="shared" si="10"/>
        <v>OK</v>
      </c>
      <c r="S71" s="9" t="str">
        <f t="shared" si="11"/>
        <v>OK</v>
      </c>
      <c r="T71" s="9" t="str">
        <f t="shared" si="12"/>
        <v>Error</v>
      </c>
      <c r="U71" s="21">
        <f t="shared" si="13"/>
        <v>-89.527720739219717</v>
      </c>
      <c r="W71" s="3"/>
      <c r="X71" s="3"/>
      <c r="Y71" s="3"/>
      <c r="Z71" s="3"/>
      <c r="AA71" s="3"/>
    </row>
    <row r="72" spans="1:27" x14ac:dyDescent="0.15">
      <c r="A72" s="27" t="s">
        <v>106</v>
      </c>
      <c r="B72" s="19">
        <v>36352</v>
      </c>
      <c r="C72" s="18" t="s">
        <v>78</v>
      </c>
      <c r="D72" s="18" t="s">
        <v>107</v>
      </c>
      <c r="E72" s="18" t="s">
        <v>80</v>
      </c>
      <c r="F72" s="18" t="s">
        <v>44</v>
      </c>
      <c r="G72" s="37" t="s">
        <v>45</v>
      </c>
      <c r="H72" s="27" t="str">
        <f t="shared" si="1"/>
        <v>Category 1</v>
      </c>
      <c r="J72" s="20">
        <f t="shared" si="2"/>
        <v>6</v>
      </c>
      <c r="K72" s="9" t="str">
        <f t="shared" si="3"/>
        <v>OK</v>
      </c>
      <c r="L72" s="9" t="str">
        <f t="shared" ca="1" si="4"/>
        <v>OK</v>
      </c>
      <c r="M72" s="9" t="str">
        <f t="shared" si="5"/>
        <v>OK</v>
      </c>
      <c r="N72" s="9" t="str">
        <f t="shared" si="6"/>
        <v>Error</v>
      </c>
      <c r="O72" s="9" t="str">
        <f t="shared" si="7"/>
        <v>OK</v>
      </c>
      <c r="P72" s="9" t="str">
        <f t="shared" si="8"/>
        <v>OK</v>
      </c>
      <c r="Q72" s="9" t="str">
        <f t="shared" si="9"/>
        <v>OK</v>
      </c>
      <c r="R72" s="9" t="str">
        <f t="shared" si="10"/>
        <v>Error</v>
      </c>
      <c r="S72" s="9" t="str">
        <f t="shared" si="11"/>
        <v>OK</v>
      </c>
      <c r="T72" s="9" t="str">
        <f t="shared" si="12"/>
        <v>Error</v>
      </c>
      <c r="U72" s="21">
        <f t="shared" si="13"/>
        <v>-99.526351813826153</v>
      </c>
      <c r="W72" s="3"/>
      <c r="X72" s="3"/>
      <c r="Y72" s="3"/>
      <c r="Z72" s="3"/>
      <c r="AA72" s="3"/>
    </row>
    <row r="73" spans="1:27" x14ac:dyDescent="0.15">
      <c r="A73" s="27" t="s">
        <v>108</v>
      </c>
      <c r="B73" s="19">
        <v>29047</v>
      </c>
      <c r="C73" s="18" t="s">
        <v>78</v>
      </c>
      <c r="D73" s="18" t="s">
        <v>109</v>
      </c>
      <c r="E73" s="18" t="s">
        <v>80</v>
      </c>
      <c r="F73" s="18" t="s">
        <v>44</v>
      </c>
      <c r="G73" s="37" t="s">
        <v>45</v>
      </c>
      <c r="H73" s="27" t="str">
        <f t="shared" si="1"/>
        <v>Category 1</v>
      </c>
      <c r="J73" s="20">
        <f t="shared" si="2"/>
        <v>6</v>
      </c>
      <c r="K73" s="9" t="str">
        <f t="shared" si="3"/>
        <v>OK</v>
      </c>
      <c r="L73" s="9" t="str">
        <f t="shared" ca="1" si="4"/>
        <v>OK</v>
      </c>
      <c r="M73" s="9" t="str">
        <f t="shared" si="5"/>
        <v>OK</v>
      </c>
      <c r="N73" s="9" t="str">
        <f t="shared" si="6"/>
        <v>Error</v>
      </c>
      <c r="O73" s="9" t="str">
        <f t="shared" si="7"/>
        <v>OK</v>
      </c>
      <c r="P73" s="9" t="str">
        <f t="shared" si="8"/>
        <v>OK</v>
      </c>
      <c r="Q73" s="9" t="str">
        <f t="shared" si="9"/>
        <v>OK</v>
      </c>
      <c r="R73" s="9" t="str">
        <f t="shared" si="10"/>
        <v>Error</v>
      </c>
      <c r="S73" s="9" t="str">
        <f t="shared" si="11"/>
        <v>OK</v>
      </c>
      <c r="T73" s="9" t="str">
        <f t="shared" si="12"/>
        <v>Error</v>
      </c>
      <c r="U73" s="21">
        <f t="shared" si="13"/>
        <v>-79.526351813826153</v>
      </c>
      <c r="W73" s="3"/>
      <c r="X73" s="3"/>
      <c r="Y73" s="3"/>
      <c r="Z73" s="3"/>
      <c r="AA73" s="3"/>
    </row>
    <row r="74" spans="1:27" x14ac:dyDescent="0.15">
      <c r="A74" s="27" t="s">
        <v>110</v>
      </c>
      <c r="B74" s="19">
        <v>29047</v>
      </c>
      <c r="C74" s="18" t="s">
        <v>78</v>
      </c>
      <c r="D74" s="18" t="s">
        <v>111</v>
      </c>
      <c r="E74" s="18" t="s">
        <v>80</v>
      </c>
      <c r="F74" s="18" t="s">
        <v>44</v>
      </c>
      <c r="G74" s="37" t="s">
        <v>45</v>
      </c>
      <c r="H74" s="27" t="str">
        <f t="shared" si="1"/>
        <v>Category 1</v>
      </c>
      <c r="J74" s="20">
        <f t="shared" si="2"/>
        <v>6</v>
      </c>
      <c r="K74" s="9" t="str">
        <f t="shared" si="3"/>
        <v>OK</v>
      </c>
      <c r="L74" s="9" t="str">
        <f t="shared" ca="1" si="4"/>
        <v>OK</v>
      </c>
      <c r="M74" s="9" t="str">
        <f t="shared" si="5"/>
        <v>OK</v>
      </c>
      <c r="N74" s="9" t="str">
        <f t="shared" si="6"/>
        <v>Error</v>
      </c>
      <c r="O74" s="9" t="str">
        <f t="shared" si="7"/>
        <v>OK</v>
      </c>
      <c r="P74" s="9" t="str">
        <f t="shared" si="8"/>
        <v>OK</v>
      </c>
      <c r="Q74" s="9" t="str">
        <f t="shared" si="9"/>
        <v>OK</v>
      </c>
      <c r="R74" s="9" t="str">
        <f t="shared" si="10"/>
        <v>Error</v>
      </c>
      <c r="S74" s="9" t="str">
        <f t="shared" si="11"/>
        <v>OK</v>
      </c>
      <c r="T74" s="9" t="str">
        <f t="shared" si="12"/>
        <v>Error</v>
      </c>
      <c r="U74" s="21">
        <f t="shared" si="13"/>
        <v>-79.526351813826153</v>
      </c>
      <c r="W74" s="3"/>
      <c r="X74" s="3"/>
      <c r="Y74" s="3"/>
      <c r="Z74" s="3"/>
      <c r="AA74" s="3"/>
    </row>
    <row r="75" spans="1:27" x14ac:dyDescent="0.15">
      <c r="A75" s="27" t="s">
        <v>112</v>
      </c>
      <c r="B75" s="19">
        <v>43657</v>
      </c>
      <c r="C75" s="18" t="s">
        <v>78</v>
      </c>
      <c r="D75" s="18" t="s">
        <v>113</v>
      </c>
      <c r="E75" s="18" t="s">
        <v>88</v>
      </c>
      <c r="F75" s="18" t="s">
        <v>44</v>
      </c>
      <c r="G75" s="37" t="s">
        <v>45</v>
      </c>
      <c r="H75" s="27" t="str">
        <f t="shared" si="1"/>
        <v>Category 1</v>
      </c>
      <c r="J75" s="20">
        <f t="shared" si="2"/>
        <v>6</v>
      </c>
      <c r="K75" s="9" t="str">
        <f t="shared" si="3"/>
        <v>OK</v>
      </c>
      <c r="L75" s="9" t="str">
        <f t="shared" ca="1" si="4"/>
        <v>OK</v>
      </c>
      <c r="M75" s="9" t="str">
        <f t="shared" si="5"/>
        <v>OK</v>
      </c>
      <c r="N75" s="9" t="str">
        <f t="shared" si="6"/>
        <v>Error</v>
      </c>
      <c r="O75" s="9" t="str">
        <f t="shared" si="7"/>
        <v>OK</v>
      </c>
      <c r="P75" s="9" t="str">
        <f t="shared" si="8"/>
        <v>OK</v>
      </c>
      <c r="Q75" s="9" t="str">
        <f t="shared" si="9"/>
        <v>OK</v>
      </c>
      <c r="R75" s="9" t="str">
        <f t="shared" si="10"/>
        <v>OK</v>
      </c>
      <c r="S75" s="9" t="str">
        <f t="shared" si="11"/>
        <v>OK</v>
      </c>
      <c r="T75" s="9" t="str">
        <f t="shared" si="12"/>
        <v>Error</v>
      </c>
      <c r="U75" s="21">
        <f t="shared" si="13"/>
        <v>-119.52635181382615</v>
      </c>
      <c r="W75" s="3"/>
      <c r="X75" s="3"/>
      <c r="Y75" s="3"/>
      <c r="Z75" s="3"/>
      <c r="AA75" s="3"/>
    </row>
    <row r="76" spans="1:27" x14ac:dyDescent="0.15">
      <c r="A76" s="27" t="s">
        <v>114</v>
      </c>
      <c r="B76" s="19">
        <v>29047</v>
      </c>
      <c r="C76" s="18" t="s">
        <v>78</v>
      </c>
      <c r="D76" s="18" t="s">
        <v>115</v>
      </c>
      <c r="E76" s="18" t="s">
        <v>80</v>
      </c>
      <c r="F76" s="18" t="s">
        <v>44</v>
      </c>
      <c r="G76" s="37" t="s">
        <v>45</v>
      </c>
      <c r="H76" s="27" t="str">
        <f t="shared" si="1"/>
        <v>Category 1</v>
      </c>
      <c r="J76" s="20">
        <f t="shared" si="2"/>
        <v>6</v>
      </c>
      <c r="K76" s="9" t="str">
        <f t="shared" si="3"/>
        <v>OK</v>
      </c>
      <c r="L76" s="9" t="str">
        <f t="shared" ca="1" si="4"/>
        <v>OK</v>
      </c>
      <c r="M76" s="9" t="str">
        <f t="shared" si="5"/>
        <v>OK</v>
      </c>
      <c r="N76" s="9" t="str">
        <f t="shared" si="6"/>
        <v>Error</v>
      </c>
      <c r="O76" s="9" t="str">
        <f t="shared" si="7"/>
        <v>OK</v>
      </c>
      <c r="P76" s="9" t="str">
        <f t="shared" si="8"/>
        <v>OK</v>
      </c>
      <c r="Q76" s="9" t="str">
        <f t="shared" si="9"/>
        <v>OK</v>
      </c>
      <c r="R76" s="9" t="str">
        <f t="shared" si="10"/>
        <v>Error</v>
      </c>
      <c r="S76" s="9" t="str">
        <f t="shared" si="11"/>
        <v>OK</v>
      </c>
      <c r="T76" s="9" t="str">
        <f t="shared" si="12"/>
        <v>Error</v>
      </c>
      <c r="U76" s="21">
        <f t="shared" si="13"/>
        <v>-79.526351813826153</v>
      </c>
      <c r="W76" s="3"/>
      <c r="X76" s="3"/>
      <c r="Y76" s="3"/>
      <c r="Z76" s="3"/>
      <c r="AA76" s="3"/>
    </row>
    <row r="77" spans="1:27" x14ac:dyDescent="0.15">
      <c r="A77" s="27" t="s">
        <v>116</v>
      </c>
      <c r="B77" s="19">
        <v>29047</v>
      </c>
      <c r="C77" s="18" t="s">
        <v>78</v>
      </c>
      <c r="D77" s="18" t="s">
        <v>117</v>
      </c>
      <c r="E77" s="18" t="s">
        <v>80</v>
      </c>
      <c r="F77" s="18" t="s">
        <v>44</v>
      </c>
      <c r="G77" s="37" t="s">
        <v>45</v>
      </c>
      <c r="H77" s="27" t="str">
        <f t="shared" si="1"/>
        <v>Category 1</v>
      </c>
      <c r="J77" s="20">
        <f t="shared" si="2"/>
        <v>6</v>
      </c>
      <c r="K77" s="9" t="str">
        <f t="shared" si="3"/>
        <v>OK</v>
      </c>
      <c r="L77" s="9" t="str">
        <f t="shared" ca="1" si="4"/>
        <v>OK</v>
      </c>
      <c r="M77" s="9" t="str">
        <f t="shared" si="5"/>
        <v>OK</v>
      </c>
      <c r="N77" s="9" t="str">
        <f t="shared" si="6"/>
        <v>Error</v>
      </c>
      <c r="O77" s="9" t="str">
        <f t="shared" si="7"/>
        <v>OK</v>
      </c>
      <c r="P77" s="9" t="str">
        <f t="shared" si="8"/>
        <v>OK</v>
      </c>
      <c r="Q77" s="9" t="str">
        <f t="shared" si="9"/>
        <v>OK</v>
      </c>
      <c r="R77" s="9" t="str">
        <f t="shared" si="10"/>
        <v>Error</v>
      </c>
      <c r="S77" s="9" t="str">
        <f t="shared" si="11"/>
        <v>OK</v>
      </c>
      <c r="T77" s="9" t="str">
        <f t="shared" si="12"/>
        <v>Error</v>
      </c>
      <c r="U77" s="21">
        <f t="shared" si="13"/>
        <v>-79.526351813826153</v>
      </c>
      <c r="W77" s="3"/>
      <c r="X77" s="3"/>
      <c r="Y77" s="3"/>
      <c r="Z77" s="3"/>
      <c r="AA77" s="3"/>
    </row>
    <row r="78" spans="1:27" x14ac:dyDescent="0.15">
      <c r="A78" s="27" t="s">
        <v>118</v>
      </c>
      <c r="B78" s="19">
        <v>29047</v>
      </c>
      <c r="C78" s="18" t="s">
        <v>78</v>
      </c>
      <c r="D78" s="18" t="s">
        <v>117</v>
      </c>
      <c r="E78" s="18" t="s">
        <v>80</v>
      </c>
      <c r="F78" s="18" t="s">
        <v>44</v>
      </c>
      <c r="G78" s="37" t="s">
        <v>45</v>
      </c>
      <c r="H78" s="27" t="str">
        <f t="shared" si="1"/>
        <v>Category 1</v>
      </c>
      <c r="J78" s="20">
        <f t="shared" si="2"/>
        <v>6</v>
      </c>
      <c r="K78" s="9" t="str">
        <f t="shared" si="3"/>
        <v>OK</v>
      </c>
      <c r="L78" s="9" t="str">
        <f t="shared" ca="1" si="4"/>
        <v>OK</v>
      </c>
      <c r="M78" s="9" t="str">
        <f t="shared" si="5"/>
        <v>OK</v>
      </c>
      <c r="N78" s="9" t="str">
        <f t="shared" si="6"/>
        <v>Error</v>
      </c>
      <c r="O78" s="9" t="str">
        <f t="shared" si="7"/>
        <v>OK</v>
      </c>
      <c r="P78" s="9" t="str">
        <f t="shared" si="8"/>
        <v>OK</v>
      </c>
      <c r="Q78" s="9" t="str">
        <f t="shared" si="9"/>
        <v>OK</v>
      </c>
      <c r="R78" s="9" t="str">
        <f t="shared" si="10"/>
        <v>Error</v>
      </c>
      <c r="S78" s="9" t="str">
        <f t="shared" si="11"/>
        <v>OK</v>
      </c>
      <c r="T78" s="9" t="str">
        <f t="shared" si="12"/>
        <v>Error</v>
      </c>
      <c r="U78" s="21">
        <f t="shared" si="13"/>
        <v>-79.526351813826153</v>
      </c>
      <c r="W78" s="3"/>
      <c r="X78" s="3"/>
      <c r="Y78" s="3"/>
      <c r="Z78" s="3"/>
      <c r="AA78" s="3"/>
    </row>
    <row r="79" spans="1:27" x14ac:dyDescent="0.15">
      <c r="A79" s="27" t="s">
        <v>101</v>
      </c>
      <c r="B79" s="19">
        <v>29047</v>
      </c>
      <c r="C79" s="18" t="s">
        <v>78</v>
      </c>
      <c r="D79" s="18" t="s">
        <v>103</v>
      </c>
      <c r="E79" s="18" t="s">
        <v>80</v>
      </c>
      <c r="F79" s="18" t="s">
        <v>44</v>
      </c>
      <c r="G79" s="37" t="s">
        <v>45</v>
      </c>
      <c r="H79" s="27" t="str">
        <f t="shared" si="1"/>
        <v>Category 1</v>
      </c>
      <c r="J79" s="20">
        <f t="shared" si="2"/>
        <v>6</v>
      </c>
      <c r="K79" s="9" t="str">
        <f t="shared" si="3"/>
        <v>OK</v>
      </c>
      <c r="L79" s="9" t="str">
        <f t="shared" ca="1" si="4"/>
        <v>OK</v>
      </c>
      <c r="M79" s="9" t="str">
        <f t="shared" si="5"/>
        <v>OK</v>
      </c>
      <c r="N79" s="9" t="str">
        <f t="shared" si="6"/>
        <v>Error</v>
      </c>
      <c r="O79" s="9" t="str">
        <f t="shared" si="7"/>
        <v>OK</v>
      </c>
      <c r="P79" s="9" t="str">
        <f t="shared" si="8"/>
        <v>OK</v>
      </c>
      <c r="Q79" s="9" t="str">
        <f t="shared" si="9"/>
        <v>OK</v>
      </c>
      <c r="R79" s="9" t="str">
        <f t="shared" si="10"/>
        <v>Error</v>
      </c>
      <c r="S79" s="9" t="str">
        <f t="shared" si="11"/>
        <v>OK</v>
      </c>
      <c r="T79" s="9" t="str">
        <f t="shared" si="12"/>
        <v>Error</v>
      </c>
      <c r="U79" s="21">
        <f t="shared" si="13"/>
        <v>-79.526351813826153</v>
      </c>
      <c r="W79" s="3"/>
      <c r="X79" s="3"/>
      <c r="Y79" s="3"/>
      <c r="Z79" s="3"/>
      <c r="AA79" s="3"/>
    </row>
    <row r="80" spans="1:27" x14ac:dyDescent="0.15">
      <c r="A80" s="27" t="s">
        <v>104</v>
      </c>
      <c r="B80" s="19" t="s">
        <v>102</v>
      </c>
      <c r="C80" s="18" t="s">
        <v>78</v>
      </c>
      <c r="D80" s="18" t="s">
        <v>105</v>
      </c>
      <c r="E80" s="18" t="s">
        <v>85</v>
      </c>
      <c r="F80" s="18" t="s">
        <v>44</v>
      </c>
      <c r="G80" s="37" t="s">
        <v>45</v>
      </c>
      <c r="H80" s="27" t="str">
        <f t="shared" si="1"/>
        <v>Category 1</v>
      </c>
      <c r="J80" s="20">
        <f t="shared" si="2"/>
        <v>6</v>
      </c>
      <c r="K80" s="9" t="str">
        <f t="shared" si="3"/>
        <v>OK</v>
      </c>
      <c r="L80" s="9" t="str">
        <f t="shared" ca="1" si="4"/>
        <v>Error</v>
      </c>
      <c r="M80" s="9" t="str">
        <f t="shared" si="5"/>
        <v>OK</v>
      </c>
      <c r="N80" s="9" t="str">
        <f t="shared" si="6"/>
        <v>Error</v>
      </c>
      <c r="O80" s="9" t="str">
        <f t="shared" si="7"/>
        <v>OK</v>
      </c>
      <c r="P80" s="9" t="str">
        <f t="shared" si="8"/>
        <v>OK</v>
      </c>
      <c r="Q80" s="9" t="str">
        <f t="shared" si="9"/>
        <v>OK</v>
      </c>
      <c r="R80" s="9" t="str">
        <f t="shared" si="10"/>
        <v>OK</v>
      </c>
      <c r="S80" s="9" t="str">
        <f t="shared" si="11"/>
        <v>OK</v>
      </c>
      <c r="T80" s="9" t="str">
        <f t="shared" si="12"/>
        <v>Error</v>
      </c>
      <c r="U80" s="21">
        <f t="shared" si="13"/>
        <v>-89.527720739219717</v>
      </c>
      <c r="W80" s="3"/>
      <c r="X80" s="3"/>
      <c r="Y80" s="3"/>
      <c r="Z80" s="3"/>
      <c r="AA80" s="3"/>
    </row>
    <row r="81" spans="1:27" x14ac:dyDescent="0.15">
      <c r="A81" s="27" t="s">
        <v>106</v>
      </c>
      <c r="B81" s="19">
        <v>36352</v>
      </c>
      <c r="C81" s="18" t="s">
        <v>78</v>
      </c>
      <c r="D81" s="18" t="s">
        <v>107</v>
      </c>
      <c r="E81" s="18" t="s">
        <v>80</v>
      </c>
      <c r="F81" s="18" t="s">
        <v>44</v>
      </c>
      <c r="G81" s="37" t="s">
        <v>45</v>
      </c>
      <c r="H81" s="27" t="str">
        <f t="shared" si="1"/>
        <v>Category 1</v>
      </c>
      <c r="J81" s="20">
        <f t="shared" si="2"/>
        <v>6</v>
      </c>
      <c r="K81" s="9" t="str">
        <f t="shared" si="3"/>
        <v>OK</v>
      </c>
      <c r="L81" s="9" t="str">
        <f t="shared" ca="1" si="4"/>
        <v>OK</v>
      </c>
      <c r="M81" s="9" t="str">
        <f t="shared" si="5"/>
        <v>OK</v>
      </c>
      <c r="N81" s="9" t="str">
        <f t="shared" si="6"/>
        <v>Error</v>
      </c>
      <c r="O81" s="9" t="str">
        <f t="shared" si="7"/>
        <v>OK</v>
      </c>
      <c r="P81" s="9" t="str">
        <f t="shared" si="8"/>
        <v>OK</v>
      </c>
      <c r="Q81" s="9" t="str">
        <f t="shared" si="9"/>
        <v>OK</v>
      </c>
      <c r="R81" s="9" t="str">
        <f t="shared" si="10"/>
        <v>Error</v>
      </c>
      <c r="S81" s="9" t="str">
        <f t="shared" si="11"/>
        <v>OK</v>
      </c>
      <c r="T81" s="9" t="str">
        <f t="shared" si="12"/>
        <v>Error</v>
      </c>
      <c r="U81" s="21">
        <f t="shared" si="13"/>
        <v>-99.526351813826153</v>
      </c>
      <c r="W81" s="3"/>
      <c r="X81" s="3"/>
      <c r="Y81" s="3"/>
      <c r="Z81" s="3"/>
      <c r="AA81" s="3"/>
    </row>
    <row r="82" spans="1:27" x14ac:dyDescent="0.15">
      <c r="A82" s="27" t="s">
        <v>108</v>
      </c>
      <c r="B82" s="19">
        <v>29047</v>
      </c>
      <c r="C82" s="18" t="s">
        <v>78</v>
      </c>
      <c r="D82" s="18" t="s">
        <v>109</v>
      </c>
      <c r="E82" s="18" t="s">
        <v>80</v>
      </c>
      <c r="F82" s="18" t="s">
        <v>51</v>
      </c>
      <c r="G82" s="37" t="s">
        <v>45</v>
      </c>
      <c r="H82" s="27" t="str">
        <f t="shared" si="1"/>
        <v>Category 2</v>
      </c>
      <c r="J82" s="20">
        <f t="shared" si="2"/>
        <v>6</v>
      </c>
      <c r="K82" s="9" t="str">
        <f t="shared" si="3"/>
        <v>OK</v>
      </c>
      <c r="L82" s="9" t="str">
        <f t="shared" ca="1" si="4"/>
        <v>OK</v>
      </c>
      <c r="M82" s="9" t="str">
        <f t="shared" si="5"/>
        <v>OK</v>
      </c>
      <c r="N82" s="9" t="str">
        <f t="shared" si="6"/>
        <v>Error</v>
      </c>
      <c r="O82" s="9" t="str">
        <f t="shared" si="7"/>
        <v>OK</v>
      </c>
      <c r="P82" s="9" t="str">
        <f t="shared" si="8"/>
        <v>OK</v>
      </c>
      <c r="Q82" s="9" t="str">
        <f t="shared" si="9"/>
        <v>OK</v>
      </c>
      <c r="R82" s="9" t="str">
        <f t="shared" si="10"/>
        <v>Error</v>
      </c>
      <c r="S82" s="9" t="str">
        <f t="shared" si="11"/>
        <v>OK</v>
      </c>
      <c r="T82" s="9" t="str">
        <f t="shared" si="12"/>
        <v>Error</v>
      </c>
      <c r="U82" s="21">
        <f t="shared" si="13"/>
        <v>-79.526351813826153</v>
      </c>
      <c r="W82" s="3"/>
      <c r="X82" s="3"/>
      <c r="Y82" s="3"/>
      <c r="Z82" s="3"/>
      <c r="AA82" s="3"/>
    </row>
    <row r="83" spans="1:27" x14ac:dyDescent="0.15">
      <c r="A83" s="27" t="s">
        <v>110</v>
      </c>
      <c r="B83" s="19">
        <v>29047</v>
      </c>
      <c r="C83" s="18" t="s">
        <v>78</v>
      </c>
      <c r="D83" s="18" t="s">
        <v>111</v>
      </c>
      <c r="E83" s="18" t="s">
        <v>80</v>
      </c>
      <c r="F83" s="18" t="s">
        <v>51</v>
      </c>
      <c r="G83" s="37" t="s">
        <v>45</v>
      </c>
      <c r="H83" s="27" t="str">
        <f t="shared" si="1"/>
        <v>Category 2</v>
      </c>
      <c r="J83" s="20">
        <f t="shared" si="2"/>
        <v>6</v>
      </c>
      <c r="K83" s="9" t="str">
        <f t="shared" si="3"/>
        <v>OK</v>
      </c>
      <c r="L83" s="9" t="str">
        <f t="shared" ca="1" si="4"/>
        <v>OK</v>
      </c>
      <c r="M83" s="9" t="str">
        <f t="shared" si="5"/>
        <v>OK</v>
      </c>
      <c r="N83" s="9" t="str">
        <f t="shared" si="6"/>
        <v>Error</v>
      </c>
      <c r="O83" s="9" t="str">
        <f t="shared" si="7"/>
        <v>OK</v>
      </c>
      <c r="P83" s="9" t="str">
        <f t="shared" si="8"/>
        <v>OK</v>
      </c>
      <c r="Q83" s="9" t="str">
        <f t="shared" si="9"/>
        <v>OK</v>
      </c>
      <c r="R83" s="9" t="str">
        <f t="shared" si="10"/>
        <v>Error</v>
      </c>
      <c r="S83" s="9" t="str">
        <f t="shared" si="11"/>
        <v>OK</v>
      </c>
      <c r="T83" s="9" t="str">
        <f t="shared" si="12"/>
        <v>Error</v>
      </c>
      <c r="U83" s="21">
        <f t="shared" si="13"/>
        <v>-79.526351813826153</v>
      </c>
      <c r="W83" s="3"/>
      <c r="X83" s="3"/>
      <c r="Y83" s="3"/>
      <c r="Z83" s="3"/>
      <c r="AA83" s="3"/>
    </row>
    <row r="84" spans="1:27" x14ac:dyDescent="0.15">
      <c r="A84" s="27" t="s">
        <v>112</v>
      </c>
      <c r="B84" s="19">
        <v>44023</v>
      </c>
      <c r="C84" s="18" t="s">
        <v>78</v>
      </c>
      <c r="D84" s="18" t="s">
        <v>113</v>
      </c>
      <c r="E84" s="18" t="s">
        <v>88</v>
      </c>
      <c r="F84" s="18" t="s">
        <v>51</v>
      </c>
      <c r="G84" s="37" t="s">
        <v>45</v>
      </c>
      <c r="H84" s="27" t="str">
        <f t="shared" ref="H84:H115" si="14">IF(F84="","",INDEX($A$21:$B$25,MATCH(F84,$B$21:$B$25,0),1))</f>
        <v>Category 2</v>
      </c>
      <c r="J84" s="20">
        <f t="shared" ref="J84:J115" si="15">COUNTA(B84:G84)-IF(G84="",COUNTA(G84),0)</f>
        <v>6</v>
      </c>
      <c r="K84" s="9" t="str">
        <f t="shared" ref="K84:K115" si="16">IF($J84=0,"",IF(COUNTA(B84:G84)&lt;&gt;COUNTA($B$50:$G$50),"Error","OK"))</f>
        <v>OK</v>
      </c>
      <c r="L84" s="9" t="str">
        <f t="shared" ref="L84:L115" ca="1" si="17">IF($J84=0,"",IF(AND(B84&gt;=DATE(1900,1,1),B84&lt;=TODAY()),"OK","Error"))</f>
        <v>OK</v>
      </c>
      <c r="M84" s="9" t="str">
        <f t="shared" ref="M84:M115" si="18">IF($J84=0,"",IF(C84="Not Used","Error",IFERROR(IF(VLOOKUP(C84,C$44:C$48,1,0)=C84,"OK",""),"Error")))</f>
        <v>OK</v>
      </c>
      <c r="N84" s="9" t="str">
        <f t="shared" ref="N84:N115" si="19">IF($J84=0,"",IF(D84="Not Used","Error",IFERROR(IF(VLOOKUP(D84,D$44:D$48,1,0)=D84,"OK",""),"Error")))</f>
        <v>Error</v>
      </c>
      <c r="O84" s="9" t="str">
        <f t="shared" ref="O84:O115" si="20">IF($J84=0,"",IF(E84="Not Used","Error",IFERROR(IF(VLOOKUP(E84,E$44:E$48,1,0)=E84,"OK",""),"Error")))</f>
        <v>OK</v>
      </c>
      <c r="P84" s="9" t="str">
        <f t="shared" ref="P84:P115" si="21">IF($J84=0,"",IFERROR(IF(VLOOKUP(F84,F$44:F$48,1,0)=F84,"OK",""),"Error"))</f>
        <v>OK</v>
      </c>
      <c r="Q84" s="9" t="str">
        <f t="shared" ref="Q84:Q115" si="22">IF($J84=0,"",IFERROR(IF(VLOOKUP(H84,$A$21:$C$25,3,0)=G84,"OK","Error"),"Error"))</f>
        <v>OK</v>
      </c>
      <c r="R84" s="9" t="str">
        <f t="shared" ref="R84:R115" si="23">IF($J84=0,"",IFERROR(IF(AND($E84="Principal",$U84&lt;21),"Error","OK"),"Error"))</f>
        <v>OK</v>
      </c>
      <c r="S84" s="9" t="str">
        <f t="shared" ref="S84:S115" si="24">IF($J84=0,"",IFERROR(IF($U84&gt;=$S$47,"Error","OK"),"Error"))</f>
        <v>OK</v>
      </c>
      <c r="T84" s="9" t="str">
        <f t="shared" ref="T84:T115" si="25">IF($J84=0,"",IFERROR(IF(U84&lt;0,"Error","OK"),"Error"))</f>
        <v>Error</v>
      </c>
      <c r="U84" s="21">
        <f t="shared" ref="U84:U115" si="26">IF($J84=0,"",($B$16-B84)/365.25)</f>
        <v>-120.5284052019165</v>
      </c>
      <c r="W84" s="3"/>
      <c r="X84" s="3"/>
      <c r="Y84" s="3"/>
      <c r="Z84" s="3"/>
      <c r="AA84" s="3"/>
    </row>
    <row r="85" spans="1:27" x14ac:dyDescent="0.15">
      <c r="A85" s="27" t="s">
        <v>114</v>
      </c>
      <c r="B85" s="19">
        <v>29047</v>
      </c>
      <c r="C85" s="18" t="s">
        <v>78</v>
      </c>
      <c r="D85" s="18" t="s">
        <v>115</v>
      </c>
      <c r="E85" s="18" t="s">
        <v>80</v>
      </c>
      <c r="F85" s="18" t="s">
        <v>51</v>
      </c>
      <c r="G85" s="37" t="s">
        <v>45</v>
      </c>
      <c r="H85" s="27" t="str">
        <f t="shared" si="14"/>
        <v>Category 2</v>
      </c>
      <c r="J85" s="20">
        <f t="shared" si="15"/>
        <v>6</v>
      </c>
      <c r="K85" s="9" t="str">
        <f t="shared" si="16"/>
        <v>OK</v>
      </c>
      <c r="L85" s="9" t="str">
        <f t="shared" ca="1" si="17"/>
        <v>OK</v>
      </c>
      <c r="M85" s="9" t="str">
        <f t="shared" si="18"/>
        <v>OK</v>
      </c>
      <c r="N85" s="9" t="str">
        <f t="shared" si="19"/>
        <v>Error</v>
      </c>
      <c r="O85" s="9" t="str">
        <f t="shared" si="20"/>
        <v>OK</v>
      </c>
      <c r="P85" s="9" t="str">
        <f t="shared" si="21"/>
        <v>OK</v>
      </c>
      <c r="Q85" s="9" t="str">
        <f t="shared" si="22"/>
        <v>OK</v>
      </c>
      <c r="R85" s="9" t="str">
        <f t="shared" si="23"/>
        <v>Error</v>
      </c>
      <c r="S85" s="9" t="str">
        <f t="shared" si="24"/>
        <v>OK</v>
      </c>
      <c r="T85" s="9" t="str">
        <f t="shared" si="25"/>
        <v>Error</v>
      </c>
      <c r="U85" s="21">
        <f t="shared" si="26"/>
        <v>-79.526351813826153</v>
      </c>
      <c r="W85" s="3"/>
      <c r="X85" s="3"/>
      <c r="Y85" s="3"/>
      <c r="Z85" s="3"/>
      <c r="AA85" s="3"/>
    </row>
    <row r="86" spans="1:27" x14ac:dyDescent="0.15">
      <c r="A86" s="27" t="s">
        <v>101</v>
      </c>
      <c r="B86" s="19" t="s">
        <v>102</v>
      </c>
      <c r="C86" s="18" t="s">
        <v>78</v>
      </c>
      <c r="D86" s="18" t="s">
        <v>103</v>
      </c>
      <c r="E86" s="18" t="s">
        <v>80</v>
      </c>
      <c r="F86" s="18" t="s">
        <v>51</v>
      </c>
      <c r="G86" s="37" t="s">
        <v>45</v>
      </c>
      <c r="H86" s="27" t="str">
        <f t="shared" si="14"/>
        <v>Category 2</v>
      </c>
      <c r="J86" s="20">
        <f t="shared" si="15"/>
        <v>6</v>
      </c>
      <c r="K86" s="9" t="str">
        <f t="shared" si="16"/>
        <v>OK</v>
      </c>
      <c r="L86" s="9" t="str">
        <f t="shared" ca="1" si="17"/>
        <v>Error</v>
      </c>
      <c r="M86" s="9" t="str">
        <f t="shared" si="18"/>
        <v>OK</v>
      </c>
      <c r="N86" s="9" t="str">
        <f t="shared" si="19"/>
        <v>Error</v>
      </c>
      <c r="O86" s="9" t="str">
        <f t="shared" si="20"/>
        <v>OK</v>
      </c>
      <c r="P86" s="9" t="str">
        <f t="shared" si="21"/>
        <v>OK</v>
      </c>
      <c r="Q86" s="9" t="str">
        <f t="shared" si="22"/>
        <v>OK</v>
      </c>
      <c r="R86" s="9" t="str">
        <f t="shared" si="23"/>
        <v>Error</v>
      </c>
      <c r="S86" s="9" t="str">
        <f t="shared" si="24"/>
        <v>OK</v>
      </c>
      <c r="T86" s="9" t="str">
        <f t="shared" si="25"/>
        <v>Error</v>
      </c>
      <c r="U86" s="21">
        <f t="shared" si="26"/>
        <v>-89.527720739219717</v>
      </c>
      <c r="W86" s="3"/>
      <c r="X86" s="3"/>
      <c r="Y86" s="3"/>
      <c r="Z86" s="3"/>
      <c r="AA86" s="3"/>
    </row>
    <row r="87" spans="1:27" x14ac:dyDescent="0.15">
      <c r="A87" s="27" t="s">
        <v>104</v>
      </c>
      <c r="B87" s="19" t="s">
        <v>102</v>
      </c>
      <c r="C87" s="18" t="s">
        <v>78</v>
      </c>
      <c r="D87" s="18" t="s">
        <v>105</v>
      </c>
      <c r="E87" s="18" t="s">
        <v>85</v>
      </c>
      <c r="F87" s="18" t="s">
        <v>51</v>
      </c>
      <c r="G87" s="37" t="s">
        <v>45</v>
      </c>
      <c r="H87" s="27" t="str">
        <f t="shared" si="14"/>
        <v>Category 2</v>
      </c>
      <c r="J87" s="20">
        <f t="shared" si="15"/>
        <v>6</v>
      </c>
      <c r="K87" s="9" t="str">
        <f t="shared" si="16"/>
        <v>OK</v>
      </c>
      <c r="L87" s="9" t="str">
        <f t="shared" ca="1" si="17"/>
        <v>Error</v>
      </c>
      <c r="M87" s="9" t="str">
        <f t="shared" si="18"/>
        <v>OK</v>
      </c>
      <c r="N87" s="9" t="str">
        <f t="shared" si="19"/>
        <v>Error</v>
      </c>
      <c r="O87" s="9" t="str">
        <f t="shared" si="20"/>
        <v>OK</v>
      </c>
      <c r="P87" s="9" t="str">
        <f t="shared" si="21"/>
        <v>OK</v>
      </c>
      <c r="Q87" s="9" t="str">
        <f t="shared" si="22"/>
        <v>OK</v>
      </c>
      <c r="R87" s="9" t="str">
        <f t="shared" si="23"/>
        <v>OK</v>
      </c>
      <c r="S87" s="9" t="str">
        <f t="shared" si="24"/>
        <v>OK</v>
      </c>
      <c r="T87" s="9" t="str">
        <f t="shared" si="25"/>
        <v>Error</v>
      </c>
      <c r="U87" s="21">
        <f t="shared" si="26"/>
        <v>-89.527720739219717</v>
      </c>
      <c r="W87" s="3"/>
      <c r="X87" s="3"/>
      <c r="Y87" s="3"/>
      <c r="Z87" s="3"/>
      <c r="AA87" s="3"/>
    </row>
    <row r="88" spans="1:27" x14ac:dyDescent="0.15">
      <c r="A88" s="27" t="s">
        <v>106</v>
      </c>
      <c r="B88" s="19">
        <v>36352</v>
      </c>
      <c r="C88" s="18" t="s">
        <v>78</v>
      </c>
      <c r="D88" s="18" t="s">
        <v>107</v>
      </c>
      <c r="E88" s="18" t="s">
        <v>80</v>
      </c>
      <c r="F88" s="18" t="s">
        <v>51</v>
      </c>
      <c r="G88" s="37" t="s">
        <v>45</v>
      </c>
      <c r="H88" s="27" t="str">
        <f t="shared" si="14"/>
        <v>Category 2</v>
      </c>
      <c r="J88" s="20">
        <f t="shared" si="15"/>
        <v>6</v>
      </c>
      <c r="K88" s="9" t="str">
        <f t="shared" si="16"/>
        <v>OK</v>
      </c>
      <c r="L88" s="9" t="str">
        <f t="shared" ca="1" si="17"/>
        <v>OK</v>
      </c>
      <c r="M88" s="9" t="str">
        <f t="shared" si="18"/>
        <v>OK</v>
      </c>
      <c r="N88" s="9" t="str">
        <f t="shared" si="19"/>
        <v>Error</v>
      </c>
      <c r="O88" s="9" t="str">
        <f t="shared" si="20"/>
        <v>OK</v>
      </c>
      <c r="P88" s="9" t="str">
        <f t="shared" si="21"/>
        <v>OK</v>
      </c>
      <c r="Q88" s="9" t="str">
        <f t="shared" si="22"/>
        <v>OK</v>
      </c>
      <c r="R88" s="9" t="str">
        <f t="shared" si="23"/>
        <v>Error</v>
      </c>
      <c r="S88" s="9" t="str">
        <f t="shared" si="24"/>
        <v>OK</v>
      </c>
      <c r="T88" s="9" t="str">
        <f t="shared" si="25"/>
        <v>Error</v>
      </c>
      <c r="U88" s="21">
        <f t="shared" si="26"/>
        <v>-99.526351813826153</v>
      </c>
      <c r="W88" s="3"/>
      <c r="X88" s="3"/>
      <c r="Y88" s="3"/>
      <c r="Z88" s="3"/>
      <c r="AA88" s="3"/>
    </row>
    <row r="89" spans="1:27" x14ac:dyDescent="0.15">
      <c r="A89" s="27" t="s">
        <v>108</v>
      </c>
      <c r="B89" s="19">
        <v>29047</v>
      </c>
      <c r="C89" s="18" t="s">
        <v>78</v>
      </c>
      <c r="D89" s="18" t="s">
        <v>109</v>
      </c>
      <c r="E89" s="18" t="s">
        <v>80</v>
      </c>
      <c r="F89" s="18" t="s">
        <v>51</v>
      </c>
      <c r="G89" s="37" t="s">
        <v>45</v>
      </c>
      <c r="H89" s="27" t="str">
        <f t="shared" si="14"/>
        <v>Category 2</v>
      </c>
      <c r="J89" s="20">
        <f t="shared" si="15"/>
        <v>6</v>
      </c>
      <c r="K89" s="9" t="str">
        <f t="shared" si="16"/>
        <v>OK</v>
      </c>
      <c r="L89" s="9" t="str">
        <f t="shared" ca="1" si="17"/>
        <v>OK</v>
      </c>
      <c r="M89" s="9" t="str">
        <f t="shared" si="18"/>
        <v>OK</v>
      </c>
      <c r="N89" s="9" t="str">
        <f t="shared" si="19"/>
        <v>Error</v>
      </c>
      <c r="O89" s="9" t="str">
        <f t="shared" si="20"/>
        <v>OK</v>
      </c>
      <c r="P89" s="9" t="str">
        <f t="shared" si="21"/>
        <v>OK</v>
      </c>
      <c r="Q89" s="9" t="str">
        <f t="shared" si="22"/>
        <v>OK</v>
      </c>
      <c r="R89" s="9" t="str">
        <f t="shared" si="23"/>
        <v>Error</v>
      </c>
      <c r="S89" s="9" t="str">
        <f t="shared" si="24"/>
        <v>OK</v>
      </c>
      <c r="T89" s="9" t="str">
        <f t="shared" si="25"/>
        <v>Error</v>
      </c>
      <c r="U89" s="21">
        <f t="shared" si="26"/>
        <v>-79.526351813826153</v>
      </c>
      <c r="W89" s="3"/>
      <c r="X89" s="3"/>
      <c r="Y89" s="3"/>
      <c r="Z89" s="3"/>
      <c r="AA89" s="3"/>
    </row>
    <row r="90" spans="1:27" x14ac:dyDescent="0.15">
      <c r="A90" s="27" t="s">
        <v>110</v>
      </c>
      <c r="B90" s="19">
        <v>29047</v>
      </c>
      <c r="C90" s="18" t="s">
        <v>78</v>
      </c>
      <c r="D90" s="18" t="s">
        <v>111</v>
      </c>
      <c r="E90" s="18" t="s">
        <v>80</v>
      </c>
      <c r="F90" s="18" t="s">
        <v>51</v>
      </c>
      <c r="G90" s="37" t="s">
        <v>45</v>
      </c>
      <c r="H90" s="27" t="str">
        <f t="shared" si="14"/>
        <v>Category 2</v>
      </c>
      <c r="J90" s="20">
        <f t="shared" si="15"/>
        <v>6</v>
      </c>
      <c r="K90" s="9" t="str">
        <f t="shared" si="16"/>
        <v>OK</v>
      </c>
      <c r="L90" s="9" t="str">
        <f t="shared" ca="1" si="17"/>
        <v>OK</v>
      </c>
      <c r="M90" s="9" t="str">
        <f t="shared" si="18"/>
        <v>OK</v>
      </c>
      <c r="N90" s="9" t="str">
        <f t="shared" si="19"/>
        <v>Error</v>
      </c>
      <c r="O90" s="9" t="str">
        <f t="shared" si="20"/>
        <v>OK</v>
      </c>
      <c r="P90" s="9" t="str">
        <f t="shared" si="21"/>
        <v>OK</v>
      </c>
      <c r="Q90" s="9" t="str">
        <f t="shared" si="22"/>
        <v>OK</v>
      </c>
      <c r="R90" s="9" t="str">
        <f t="shared" si="23"/>
        <v>Error</v>
      </c>
      <c r="S90" s="9" t="str">
        <f t="shared" si="24"/>
        <v>OK</v>
      </c>
      <c r="T90" s="9" t="str">
        <f t="shared" si="25"/>
        <v>Error</v>
      </c>
      <c r="U90" s="21">
        <f t="shared" si="26"/>
        <v>-79.526351813826153</v>
      </c>
      <c r="W90" s="3"/>
      <c r="X90" s="3"/>
      <c r="Y90" s="3"/>
      <c r="Z90" s="3"/>
      <c r="AA90" s="3"/>
    </row>
    <row r="91" spans="1:27" x14ac:dyDescent="0.15">
      <c r="A91" s="27" t="s">
        <v>112</v>
      </c>
      <c r="B91" s="19">
        <v>40370</v>
      </c>
      <c r="C91" s="18" t="s">
        <v>78</v>
      </c>
      <c r="D91" s="18" t="s">
        <v>113</v>
      </c>
      <c r="E91" s="18" t="s">
        <v>88</v>
      </c>
      <c r="F91" s="18" t="s">
        <v>51</v>
      </c>
      <c r="G91" s="37" t="s">
        <v>45</v>
      </c>
      <c r="H91" s="27" t="str">
        <f t="shared" si="14"/>
        <v>Category 2</v>
      </c>
      <c r="J91" s="20">
        <f t="shared" si="15"/>
        <v>6</v>
      </c>
      <c r="K91" s="9" t="str">
        <f t="shared" si="16"/>
        <v>OK</v>
      </c>
      <c r="L91" s="9" t="str">
        <f t="shared" ca="1" si="17"/>
        <v>OK</v>
      </c>
      <c r="M91" s="9" t="str">
        <f t="shared" si="18"/>
        <v>OK</v>
      </c>
      <c r="N91" s="9" t="str">
        <f t="shared" si="19"/>
        <v>Error</v>
      </c>
      <c r="O91" s="9" t="str">
        <f t="shared" si="20"/>
        <v>OK</v>
      </c>
      <c r="P91" s="9" t="str">
        <f t="shared" si="21"/>
        <v>OK</v>
      </c>
      <c r="Q91" s="9" t="str">
        <f t="shared" si="22"/>
        <v>OK</v>
      </c>
      <c r="R91" s="9" t="str">
        <f t="shared" si="23"/>
        <v>OK</v>
      </c>
      <c r="S91" s="9" t="str">
        <f t="shared" si="24"/>
        <v>OK</v>
      </c>
      <c r="T91" s="9" t="str">
        <f t="shared" si="25"/>
        <v>Error</v>
      </c>
      <c r="U91" s="21">
        <f t="shared" si="26"/>
        <v>-110.52703627652294</v>
      </c>
      <c r="W91" s="3"/>
      <c r="X91" s="3"/>
      <c r="Y91" s="3"/>
      <c r="Z91" s="3"/>
      <c r="AA91" s="3"/>
    </row>
    <row r="92" spans="1:27" x14ac:dyDescent="0.15">
      <c r="A92" s="27" t="s">
        <v>114</v>
      </c>
      <c r="B92" s="19">
        <v>29047</v>
      </c>
      <c r="C92" s="18" t="s">
        <v>78</v>
      </c>
      <c r="D92" s="18" t="s">
        <v>115</v>
      </c>
      <c r="E92" s="18" t="s">
        <v>80</v>
      </c>
      <c r="F92" s="18" t="s">
        <v>51</v>
      </c>
      <c r="G92" s="37" t="s">
        <v>45</v>
      </c>
      <c r="H92" s="27" t="str">
        <f t="shared" si="14"/>
        <v>Category 2</v>
      </c>
      <c r="J92" s="20">
        <f t="shared" si="15"/>
        <v>6</v>
      </c>
      <c r="K92" s="9" t="str">
        <f t="shared" si="16"/>
        <v>OK</v>
      </c>
      <c r="L92" s="9" t="str">
        <f t="shared" ca="1" si="17"/>
        <v>OK</v>
      </c>
      <c r="M92" s="9" t="str">
        <f t="shared" si="18"/>
        <v>OK</v>
      </c>
      <c r="N92" s="9" t="str">
        <f t="shared" si="19"/>
        <v>Error</v>
      </c>
      <c r="O92" s="9" t="str">
        <f t="shared" si="20"/>
        <v>OK</v>
      </c>
      <c r="P92" s="9" t="str">
        <f t="shared" si="21"/>
        <v>OK</v>
      </c>
      <c r="Q92" s="9" t="str">
        <f t="shared" si="22"/>
        <v>OK</v>
      </c>
      <c r="R92" s="9" t="str">
        <f t="shared" si="23"/>
        <v>Error</v>
      </c>
      <c r="S92" s="9" t="str">
        <f t="shared" si="24"/>
        <v>OK</v>
      </c>
      <c r="T92" s="9" t="str">
        <f t="shared" si="25"/>
        <v>Error</v>
      </c>
      <c r="U92" s="21">
        <f t="shared" si="26"/>
        <v>-79.526351813826153</v>
      </c>
      <c r="W92" s="3"/>
      <c r="X92" s="3"/>
      <c r="Y92" s="3"/>
      <c r="Z92" s="3"/>
      <c r="AA92" s="3"/>
    </row>
    <row r="93" spans="1:27" x14ac:dyDescent="0.15">
      <c r="A93" s="27" t="s">
        <v>116</v>
      </c>
      <c r="B93" s="19">
        <v>29047</v>
      </c>
      <c r="C93" s="18" t="s">
        <v>78</v>
      </c>
      <c r="D93" s="18" t="s">
        <v>117</v>
      </c>
      <c r="E93" s="18" t="s">
        <v>80</v>
      </c>
      <c r="F93" s="18" t="s">
        <v>51</v>
      </c>
      <c r="G93" s="37" t="s">
        <v>45</v>
      </c>
      <c r="H93" s="27" t="str">
        <f t="shared" si="14"/>
        <v>Category 2</v>
      </c>
      <c r="J93" s="20">
        <f t="shared" si="15"/>
        <v>6</v>
      </c>
      <c r="K93" s="9" t="str">
        <f t="shared" si="16"/>
        <v>OK</v>
      </c>
      <c r="L93" s="9" t="str">
        <f t="shared" ca="1" si="17"/>
        <v>OK</v>
      </c>
      <c r="M93" s="9" t="str">
        <f t="shared" si="18"/>
        <v>OK</v>
      </c>
      <c r="N93" s="9" t="str">
        <f t="shared" si="19"/>
        <v>Error</v>
      </c>
      <c r="O93" s="9" t="str">
        <f t="shared" si="20"/>
        <v>OK</v>
      </c>
      <c r="P93" s="9" t="str">
        <f t="shared" si="21"/>
        <v>OK</v>
      </c>
      <c r="Q93" s="9" t="str">
        <f t="shared" si="22"/>
        <v>OK</v>
      </c>
      <c r="R93" s="9" t="str">
        <f t="shared" si="23"/>
        <v>Error</v>
      </c>
      <c r="S93" s="9" t="str">
        <f t="shared" si="24"/>
        <v>OK</v>
      </c>
      <c r="T93" s="9" t="str">
        <f t="shared" si="25"/>
        <v>Error</v>
      </c>
      <c r="U93" s="21">
        <f t="shared" si="26"/>
        <v>-79.526351813826153</v>
      </c>
      <c r="W93" s="3"/>
      <c r="X93" s="3"/>
      <c r="Y93" s="3"/>
      <c r="Z93" s="3"/>
      <c r="AA93" s="3"/>
    </row>
    <row r="94" spans="1:27" x14ac:dyDescent="0.15">
      <c r="A94" s="27" t="s">
        <v>118</v>
      </c>
      <c r="B94" s="19">
        <v>29047</v>
      </c>
      <c r="C94" s="18" t="s">
        <v>78</v>
      </c>
      <c r="D94" s="18" t="s">
        <v>117</v>
      </c>
      <c r="E94" s="18" t="s">
        <v>80</v>
      </c>
      <c r="F94" s="18" t="s">
        <v>51</v>
      </c>
      <c r="G94" s="37" t="s">
        <v>45</v>
      </c>
      <c r="H94" s="27" t="str">
        <f t="shared" si="14"/>
        <v>Category 2</v>
      </c>
      <c r="J94" s="20">
        <f t="shared" si="15"/>
        <v>6</v>
      </c>
      <c r="K94" s="9" t="str">
        <f t="shared" si="16"/>
        <v>OK</v>
      </c>
      <c r="L94" s="9" t="str">
        <f t="shared" ca="1" si="17"/>
        <v>OK</v>
      </c>
      <c r="M94" s="9" t="str">
        <f t="shared" si="18"/>
        <v>OK</v>
      </c>
      <c r="N94" s="9" t="str">
        <f t="shared" si="19"/>
        <v>Error</v>
      </c>
      <c r="O94" s="9" t="str">
        <f t="shared" si="20"/>
        <v>OK</v>
      </c>
      <c r="P94" s="9" t="str">
        <f t="shared" si="21"/>
        <v>OK</v>
      </c>
      <c r="Q94" s="9" t="str">
        <f t="shared" si="22"/>
        <v>OK</v>
      </c>
      <c r="R94" s="9" t="str">
        <f t="shared" si="23"/>
        <v>Error</v>
      </c>
      <c r="S94" s="9" t="str">
        <f t="shared" si="24"/>
        <v>OK</v>
      </c>
      <c r="T94" s="9" t="str">
        <f t="shared" si="25"/>
        <v>Error</v>
      </c>
      <c r="U94" s="21">
        <f t="shared" si="26"/>
        <v>-79.526351813826153</v>
      </c>
      <c r="W94" s="3"/>
      <c r="X94" s="3"/>
      <c r="Y94" s="3"/>
      <c r="Z94" s="3"/>
      <c r="AA94" s="3"/>
    </row>
    <row r="95" spans="1:27" x14ac:dyDescent="0.15">
      <c r="A95" s="27" t="s">
        <v>101</v>
      </c>
      <c r="B95" s="19">
        <v>29047</v>
      </c>
      <c r="C95" s="18" t="s">
        <v>78</v>
      </c>
      <c r="D95" s="18" t="s">
        <v>103</v>
      </c>
      <c r="E95" s="18" t="s">
        <v>80</v>
      </c>
      <c r="F95" s="18" t="s">
        <v>51</v>
      </c>
      <c r="G95" s="37" t="s">
        <v>45</v>
      </c>
      <c r="H95" s="27" t="str">
        <f t="shared" si="14"/>
        <v>Category 2</v>
      </c>
      <c r="J95" s="20">
        <f t="shared" si="15"/>
        <v>6</v>
      </c>
      <c r="K95" s="9" t="str">
        <f t="shared" si="16"/>
        <v>OK</v>
      </c>
      <c r="L95" s="9" t="str">
        <f t="shared" ca="1" si="17"/>
        <v>OK</v>
      </c>
      <c r="M95" s="9" t="str">
        <f t="shared" si="18"/>
        <v>OK</v>
      </c>
      <c r="N95" s="9" t="str">
        <f t="shared" si="19"/>
        <v>Error</v>
      </c>
      <c r="O95" s="9" t="str">
        <f t="shared" si="20"/>
        <v>OK</v>
      </c>
      <c r="P95" s="9" t="str">
        <f t="shared" si="21"/>
        <v>OK</v>
      </c>
      <c r="Q95" s="9" t="str">
        <f t="shared" si="22"/>
        <v>OK</v>
      </c>
      <c r="R95" s="9" t="str">
        <f t="shared" si="23"/>
        <v>Error</v>
      </c>
      <c r="S95" s="9" t="str">
        <f t="shared" si="24"/>
        <v>OK</v>
      </c>
      <c r="T95" s="9" t="str">
        <f t="shared" si="25"/>
        <v>Error</v>
      </c>
      <c r="U95" s="21">
        <f t="shared" si="26"/>
        <v>-79.526351813826153</v>
      </c>
      <c r="W95" s="3"/>
      <c r="X95" s="3"/>
      <c r="Y95" s="3"/>
      <c r="Z95" s="3"/>
      <c r="AA95" s="3"/>
    </row>
    <row r="96" spans="1:27" x14ac:dyDescent="0.15">
      <c r="A96" s="27" t="s">
        <v>104</v>
      </c>
      <c r="B96" s="19" t="s">
        <v>102</v>
      </c>
      <c r="C96" s="18" t="s">
        <v>78</v>
      </c>
      <c r="D96" s="18" t="s">
        <v>105</v>
      </c>
      <c r="E96" s="18" t="s">
        <v>85</v>
      </c>
      <c r="F96" s="18" t="s">
        <v>51</v>
      </c>
      <c r="G96" s="37" t="s">
        <v>45</v>
      </c>
      <c r="H96" s="27" t="str">
        <f t="shared" si="14"/>
        <v>Category 2</v>
      </c>
      <c r="J96" s="20">
        <f t="shared" si="15"/>
        <v>6</v>
      </c>
      <c r="K96" s="9" t="str">
        <f t="shared" si="16"/>
        <v>OK</v>
      </c>
      <c r="L96" s="9" t="str">
        <f t="shared" ca="1" si="17"/>
        <v>Error</v>
      </c>
      <c r="M96" s="9" t="str">
        <f t="shared" si="18"/>
        <v>OK</v>
      </c>
      <c r="N96" s="9" t="str">
        <f t="shared" si="19"/>
        <v>Error</v>
      </c>
      <c r="O96" s="9" t="str">
        <f t="shared" si="20"/>
        <v>OK</v>
      </c>
      <c r="P96" s="9" t="str">
        <f t="shared" si="21"/>
        <v>OK</v>
      </c>
      <c r="Q96" s="9" t="str">
        <f t="shared" si="22"/>
        <v>OK</v>
      </c>
      <c r="R96" s="9" t="str">
        <f t="shared" si="23"/>
        <v>OK</v>
      </c>
      <c r="S96" s="9" t="str">
        <f t="shared" si="24"/>
        <v>OK</v>
      </c>
      <c r="T96" s="9" t="str">
        <f t="shared" si="25"/>
        <v>Error</v>
      </c>
      <c r="U96" s="21">
        <f t="shared" si="26"/>
        <v>-89.527720739219717</v>
      </c>
      <c r="W96" s="3"/>
      <c r="X96" s="3"/>
      <c r="Y96" s="3"/>
      <c r="Z96" s="3"/>
      <c r="AA96" s="3"/>
    </row>
    <row r="97" spans="1:27" x14ac:dyDescent="0.15">
      <c r="A97" s="27" t="s">
        <v>106</v>
      </c>
      <c r="B97" s="19">
        <v>36352</v>
      </c>
      <c r="C97" s="18" t="s">
        <v>78</v>
      </c>
      <c r="D97" s="18" t="s">
        <v>107</v>
      </c>
      <c r="E97" s="18" t="s">
        <v>80</v>
      </c>
      <c r="F97" s="18" t="s">
        <v>51</v>
      </c>
      <c r="G97" s="37" t="s">
        <v>45</v>
      </c>
      <c r="H97" s="27" t="str">
        <f t="shared" si="14"/>
        <v>Category 2</v>
      </c>
      <c r="J97" s="20">
        <f t="shared" si="15"/>
        <v>6</v>
      </c>
      <c r="K97" s="9" t="str">
        <f t="shared" si="16"/>
        <v>OK</v>
      </c>
      <c r="L97" s="9" t="str">
        <f t="shared" ca="1" si="17"/>
        <v>OK</v>
      </c>
      <c r="M97" s="9" t="str">
        <f t="shared" si="18"/>
        <v>OK</v>
      </c>
      <c r="N97" s="9" t="str">
        <f t="shared" si="19"/>
        <v>Error</v>
      </c>
      <c r="O97" s="9" t="str">
        <f t="shared" si="20"/>
        <v>OK</v>
      </c>
      <c r="P97" s="9" t="str">
        <f t="shared" si="21"/>
        <v>OK</v>
      </c>
      <c r="Q97" s="9" t="str">
        <f t="shared" si="22"/>
        <v>OK</v>
      </c>
      <c r="R97" s="9" t="str">
        <f t="shared" si="23"/>
        <v>Error</v>
      </c>
      <c r="S97" s="9" t="str">
        <f t="shared" si="24"/>
        <v>OK</v>
      </c>
      <c r="T97" s="9" t="str">
        <f t="shared" si="25"/>
        <v>Error</v>
      </c>
      <c r="U97" s="21">
        <f t="shared" si="26"/>
        <v>-99.526351813826153</v>
      </c>
      <c r="W97" s="3"/>
      <c r="X97" s="3"/>
      <c r="Y97" s="3"/>
      <c r="Z97" s="3"/>
      <c r="AA97" s="3"/>
    </row>
    <row r="98" spans="1:27" x14ac:dyDescent="0.15">
      <c r="A98" s="27" t="s">
        <v>108</v>
      </c>
      <c r="B98" s="19">
        <v>29047</v>
      </c>
      <c r="C98" s="18" t="s">
        <v>78</v>
      </c>
      <c r="D98" s="18" t="s">
        <v>109</v>
      </c>
      <c r="E98" s="18" t="s">
        <v>80</v>
      </c>
      <c r="F98" s="18" t="s">
        <v>51</v>
      </c>
      <c r="G98" s="37" t="s">
        <v>45</v>
      </c>
      <c r="H98" s="27" t="str">
        <f t="shared" si="14"/>
        <v>Category 2</v>
      </c>
      <c r="J98" s="20">
        <f t="shared" si="15"/>
        <v>6</v>
      </c>
      <c r="K98" s="9" t="str">
        <f t="shared" si="16"/>
        <v>OK</v>
      </c>
      <c r="L98" s="9" t="str">
        <f t="shared" ca="1" si="17"/>
        <v>OK</v>
      </c>
      <c r="M98" s="9" t="str">
        <f t="shared" si="18"/>
        <v>OK</v>
      </c>
      <c r="N98" s="9" t="str">
        <f t="shared" si="19"/>
        <v>Error</v>
      </c>
      <c r="O98" s="9" t="str">
        <f t="shared" si="20"/>
        <v>OK</v>
      </c>
      <c r="P98" s="9" t="str">
        <f t="shared" si="21"/>
        <v>OK</v>
      </c>
      <c r="Q98" s="9" t="str">
        <f t="shared" si="22"/>
        <v>OK</v>
      </c>
      <c r="R98" s="9" t="str">
        <f t="shared" si="23"/>
        <v>Error</v>
      </c>
      <c r="S98" s="9" t="str">
        <f t="shared" si="24"/>
        <v>OK</v>
      </c>
      <c r="T98" s="9" t="str">
        <f t="shared" si="25"/>
        <v>Error</v>
      </c>
      <c r="U98" s="21">
        <f t="shared" si="26"/>
        <v>-79.526351813826153</v>
      </c>
      <c r="W98" s="3"/>
      <c r="X98" s="3"/>
      <c r="Y98" s="3"/>
      <c r="Z98" s="3"/>
      <c r="AA98" s="3"/>
    </row>
    <row r="99" spans="1:27" x14ac:dyDescent="0.15">
      <c r="A99" s="27" t="s">
        <v>110</v>
      </c>
      <c r="B99" s="19">
        <v>29047</v>
      </c>
      <c r="C99" s="18" t="s">
        <v>78</v>
      </c>
      <c r="D99" s="18" t="s">
        <v>111</v>
      </c>
      <c r="E99" s="18" t="s">
        <v>80</v>
      </c>
      <c r="F99" s="18" t="s">
        <v>51</v>
      </c>
      <c r="G99" s="37" t="s">
        <v>45</v>
      </c>
      <c r="H99" s="27" t="str">
        <f t="shared" si="14"/>
        <v>Category 2</v>
      </c>
      <c r="J99" s="20">
        <f t="shared" si="15"/>
        <v>6</v>
      </c>
      <c r="K99" s="9" t="str">
        <f t="shared" si="16"/>
        <v>OK</v>
      </c>
      <c r="L99" s="9" t="str">
        <f t="shared" ca="1" si="17"/>
        <v>OK</v>
      </c>
      <c r="M99" s="9" t="str">
        <f t="shared" si="18"/>
        <v>OK</v>
      </c>
      <c r="N99" s="9" t="str">
        <f t="shared" si="19"/>
        <v>Error</v>
      </c>
      <c r="O99" s="9" t="str">
        <f t="shared" si="20"/>
        <v>OK</v>
      </c>
      <c r="P99" s="9" t="str">
        <f t="shared" si="21"/>
        <v>OK</v>
      </c>
      <c r="Q99" s="9" t="str">
        <f t="shared" si="22"/>
        <v>OK</v>
      </c>
      <c r="R99" s="9" t="str">
        <f t="shared" si="23"/>
        <v>Error</v>
      </c>
      <c r="S99" s="9" t="str">
        <f t="shared" si="24"/>
        <v>OK</v>
      </c>
      <c r="T99" s="9" t="str">
        <f t="shared" si="25"/>
        <v>Error</v>
      </c>
      <c r="U99" s="21">
        <f t="shared" si="26"/>
        <v>-79.526351813826153</v>
      </c>
      <c r="W99" s="3"/>
      <c r="X99" s="3"/>
      <c r="Y99" s="3"/>
      <c r="Z99" s="3"/>
      <c r="AA99" s="3"/>
    </row>
    <row r="100" spans="1:27" x14ac:dyDescent="0.15">
      <c r="A100" s="27" t="s">
        <v>119</v>
      </c>
      <c r="B100" s="19"/>
      <c r="C100" s="18"/>
      <c r="D100" s="18"/>
      <c r="E100" s="18"/>
      <c r="F100" s="18"/>
      <c r="G100" s="37" t="str">
        <f t="shared" ref="G100:G131" si="27">IF(F100="","",VLOOKUP(F100,$B$21:$C$25,2,0))</f>
        <v/>
      </c>
      <c r="H100" s="27" t="str">
        <f t="shared" si="14"/>
        <v/>
      </c>
      <c r="J100" s="20">
        <f t="shared" si="15"/>
        <v>0</v>
      </c>
      <c r="K100" s="9" t="str">
        <f t="shared" si="16"/>
        <v/>
      </c>
      <c r="L100" s="9" t="str">
        <f t="shared" ca="1" si="17"/>
        <v/>
      </c>
      <c r="M100" s="9" t="str">
        <f t="shared" si="18"/>
        <v/>
      </c>
      <c r="N100" s="9" t="str">
        <f t="shared" si="19"/>
        <v/>
      </c>
      <c r="O100" s="9" t="str">
        <f t="shared" si="20"/>
        <v/>
      </c>
      <c r="P100" s="9" t="str">
        <f t="shared" si="21"/>
        <v/>
      </c>
      <c r="Q100" s="9" t="str">
        <f t="shared" si="22"/>
        <v/>
      </c>
      <c r="R100" s="9" t="str">
        <f t="shared" si="23"/>
        <v/>
      </c>
      <c r="S100" s="9" t="str">
        <f t="shared" si="24"/>
        <v/>
      </c>
      <c r="T100" s="9" t="str">
        <f t="shared" si="25"/>
        <v/>
      </c>
      <c r="U100" s="21" t="str">
        <f t="shared" si="26"/>
        <v/>
      </c>
      <c r="W100" s="3"/>
      <c r="X100" s="3"/>
      <c r="Y100" s="3"/>
      <c r="Z100" s="3"/>
      <c r="AA100" s="3"/>
    </row>
    <row r="101" spans="1:27" x14ac:dyDescent="0.15">
      <c r="A101" s="27" t="s">
        <v>120</v>
      </c>
      <c r="B101" s="19"/>
      <c r="C101" s="18"/>
      <c r="D101" s="18"/>
      <c r="E101" s="18"/>
      <c r="F101" s="18"/>
      <c r="G101" s="37" t="str">
        <f t="shared" si="27"/>
        <v/>
      </c>
      <c r="H101" s="27" t="str">
        <f t="shared" si="14"/>
        <v/>
      </c>
      <c r="J101" s="20">
        <f t="shared" si="15"/>
        <v>0</v>
      </c>
      <c r="K101" s="9" t="str">
        <f t="shared" si="16"/>
        <v/>
      </c>
      <c r="L101" s="9" t="str">
        <f t="shared" ca="1" si="17"/>
        <v/>
      </c>
      <c r="M101" s="9" t="str">
        <f t="shared" si="18"/>
        <v/>
      </c>
      <c r="N101" s="9" t="str">
        <f t="shared" si="19"/>
        <v/>
      </c>
      <c r="O101" s="9" t="str">
        <f t="shared" si="20"/>
        <v/>
      </c>
      <c r="P101" s="9" t="str">
        <f t="shared" si="21"/>
        <v/>
      </c>
      <c r="Q101" s="9" t="str">
        <f t="shared" si="22"/>
        <v/>
      </c>
      <c r="R101" s="9" t="str">
        <f t="shared" si="23"/>
        <v/>
      </c>
      <c r="S101" s="9" t="str">
        <f t="shared" si="24"/>
        <v/>
      </c>
      <c r="T101" s="9" t="str">
        <f t="shared" si="25"/>
        <v/>
      </c>
      <c r="U101" s="21" t="str">
        <f t="shared" si="26"/>
        <v/>
      </c>
      <c r="W101" s="3"/>
      <c r="X101" s="3"/>
      <c r="Y101" s="3"/>
      <c r="Z101" s="3"/>
      <c r="AA101" s="3"/>
    </row>
    <row r="102" spans="1:27" x14ac:dyDescent="0.15">
      <c r="A102" s="27" t="s">
        <v>121</v>
      </c>
      <c r="B102" s="19"/>
      <c r="C102" s="18"/>
      <c r="D102" s="18"/>
      <c r="E102" s="18"/>
      <c r="F102" s="18"/>
      <c r="G102" s="37" t="str">
        <f t="shared" si="27"/>
        <v/>
      </c>
      <c r="H102" s="27" t="str">
        <f t="shared" si="14"/>
        <v/>
      </c>
      <c r="J102" s="20">
        <f t="shared" si="15"/>
        <v>0</v>
      </c>
      <c r="K102" s="9" t="str">
        <f t="shared" si="16"/>
        <v/>
      </c>
      <c r="L102" s="9" t="str">
        <f t="shared" ca="1" si="17"/>
        <v/>
      </c>
      <c r="M102" s="9" t="str">
        <f t="shared" si="18"/>
        <v/>
      </c>
      <c r="N102" s="9" t="str">
        <f t="shared" si="19"/>
        <v/>
      </c>
      <c r="O102" s="9" t="str">
        <f t="shared" si="20"/>
        <v/>
      </c>
      <c r="P102" s="9" t="str">
        <f t="shared" si="21"/>
        <v/>
      </c>
      <c r="Q102" s="9" t="str">
        <f t="shared" si="22"/>
        <v/>
      </c>
      <c r="R102" s="9" t="str">
        <f t="shared" si="23"/>
        <v/>
      </c>
      <c r="S102" s="9" t="str">
        <f t="shared" si="24"/>
        <v/>
      </c>
      <c r="T102" s="9" t="str">
        <f t="shared" si="25"/>
        <v/>
      </c>
      <c r="U102" s="21" t="str">
        <f t="shared" si="26"/>
        <v/>
      </c>
      <c r="W102" s="3"/>
      <c r="X102" s="3"/>
      <c r="Y102" s="3"/>
      <c r="Z102" s="3"/>
      <c r="AA102" s="3"/>
    </row>
    <row r="103" spans="1:27" x14ac:dyDescent="0.15">
      <c r="A103" s="27" t="s">
        <v>122</v>
      </c>
      <c r="B103" s="19"/>
      <c r="C103" s="18"/>
      <c r="D103" s="18"/>
      <c r="E103" s="18"/>
      <c r="F103" s="18"/>
      <c r="G103" s="37" t="str">
        <f t="shared" si="27"/>
        <v/>
      </c>
      <c r="H103" s="27" t="str">
        <f t="shared" si="14"/>
        <v/>
      </c>
      <c r="J103" s="20">
        <f t="shared" si="15"/>
        <v>0</v>
      </c>
      <c r="K103" s="9" t="str">
        <f t="shared" si="16"/>
        <v/>
      </c>
      <c r="L103" s="9" t="str">
        <f t="shared" ca="1" si="17"/>
        <v/>
      </c>
      <c r="M103" s="9" t="str">
        <f t="shared" si="18"/>
        <v/>
      </c>
      <c r="N103" s="9" t="str">
        <f t="shared" si="19"/>
        <v/>
      </c>
      <c r="O103" s="9" t="str">
        <f t="shared" si="20"/>
        <v/>
      </c>
      <c r="P103" s="9" t="str">
        <f t="shared" si="21"/>
        <v/>
      </c>
      <c r="Q103" s="9" t="str">
        <f t="shared" si="22"/>
        <v/>
      </c>
      <c r="R103" s="9" t="str">
        <f t="shared" si="23"/>
        <v/>
      </c>
      <c r="S103" s="9" t="str">
        <f t="shared" si="24"/>
        <v/>
      </c>
      <c r="T103" s="9" t="str">
        <f t="shared" si="25"/>
        <v/>
      </c>
      <c r="U103" s="21" t="str">
        <f t="shared" si="26"/>
        <v/>
      </c>
      <c r="W103" s="3"/>
      <c r="X103" s="3"/>
      <c r="Y103" s="3"/>
      <c r="Z103" s="3"/>
      <c r="AA103" s="3"/>
    </row>
    <row r="104" spans="1:27" x14ac:dyDescent="0.15">
      <c r="A104" s="27" t="s">
        <v>123</v>
      </c>
      <c r="B104" s="19"/>
      <c r="C104" s="18"/>
      <c r="D104" s="18"/>
      <c r="E104" s="18"/>
      <c r="F104" s="18"/>
      <c r="G104" s="37" t="str">
        <f t="shared" si="27"/>
        <v/>
      </c>
      <c r="H104" s="27" t="str">
        <f t="shared" si="14"/>
        <v/>
      </c>
      <c r="J104" s="20">
        <f t="shared" si="15"/>
        <v>0</v>
      </c>
      <c r="K104" s="9" t="str">
        <f t="shared" si="16"/>
        <v/>
      </c>
      <c r="L104" s="9" t="str">
        <f t="shared" ca="1" si="17"/>
        <v/>
      </c>
      <c r="M104" s="9" t="str">
        <f t="shared" si="18"/>
        <v/>
      </c>
      <c r="N104" s="9" t="str">
        <f t="shared" si="19"/>
        <v/>
      </c>
      <c r="O104" s="9" t="str">
        <f t="shared" si="20"/>
        <v/>
      </c>
      <c r="P104" s="9" t="str">
        <f t="shared" si="21"/>
        <v/>
      </c>
      <c r="Q104" s="9" t="str">
        <f t="shared" si="22"/>
        <v/>
      </c>
      <c r="R104" s="9" t="str">
        <f t="shared" si="23"/>
        <v/>
      </c>
      <c r="S104" s="9" t="str">
        <f t="shared" si="24"/>
        <v/>
      </c>
      <c r="T104" s="9" t="str">
        <f t="shared" si="25"/>
        <v/>
      </c>
      <c r="U104" s="21" t="str">
        <f t="shared" si="26"/>
        <v/>
      </c>
      <c r="W104" s="3"/>
      <c r="X104" s="3"/>
      <c r="Y104" s="3"/>
      <c r="Z104" s="3"/>
      <c r="AA104" s="3"/>
    </row>
    <row r="105" spans="1:27" x14ac:dyDescent="0.15">
      <c r="A105" s="27" t="s">
        <v>124</v>
      </c>
      <c r="B105" s="19"/>
      <c r="C105" s="18"/>
      <c r="D105" s="18"/>
      <c r="E105" s="18"/>
      <c r="F105" s="18"/>
      <c r="G105" s="37" t="str">
        <f t="shared" si="27"/>
        <v/>
      </c>
      <c r="H105" s="27" t="str">
        <f t="shared" si="14"/>
        <v/>
      </c>
      <c r="J105" s="20">
        <f t="shared" si="15"/>
        <v>0</v>
      </c>
      <c r="K105" s="9" t="str">
        <f t="shared" si="16"/>
        <v/>
      </c>
      <c r="L105" s="9" t="str">
        <f t="shared" ca="1" si="17"/>
        <v/>
      </c>
      <c r="M105" s="9" t="str">
        <f t="shared" si="18"/>
        <v/>
      </c>
      <c r="N105" s="9" t="str">
        <f t="shared" si="19"/>
        <v/>
      </c>
      <c r="O105" s="9" t="str">
        <f t="shared" si="20"/>
        <v/>
      </c>
      <c r="P105" s="9" t="str">
        <f t="shared" si="21"/>
        <v/>
      </c>
      <c r="Q105" s="9" t="str">
        <f t="shared" si="22"/>
        <v/>
      </c>
      <c r="R105" s="9" t="str">
        <f t="shared" si="23"/>
        <v/>
      </c>
      <c r="S105" s="9" t="str">
        <f t="shared" si="24"/>
        <v/>
      </c>
      <c r="T105" s="9" t="str">
        <f t="shared" si="25"/>
        <v/>
      </c>
      <c r="U105" s="21" t="str">
        <f t="shared" si="26"/>
        <v/>
      </c>
      <c r="W105" s="3"/>
      <c r="X105" s="3"/>
      <c r="Y105" s="3"/>
      <c r="Z105" s="3"/>
      <c r="AA105" s="3"/>
    </row>
    <row r="106" spans="1:27" x14ac:dyDescent="0.15">
      <c r="A106" s="27" t="s">
        <v>125</v>
      </c>
      <c r="B106" s="19"/>
      <c r="C106" s="18"/>
      <c r="D106" s="18"/>
      <c r="E106" s="18"/>
      <c r="F106" s="18"/>
      <c r="G106" s="37" t="str">
        <f t="shared" si="27"/>
        <v/>
      </c>
      <c r="H106" s="27" t="str">
        <f t="shared" si="14"/>
        <v/>
      </c>
      <c r="J106" s="20">
        <f t="shared" si="15"/>
        <v>0</v>
      </c>
      <c r="K106" s="9" t="str">
        <f t="shared" si="16"/>
        <v/>
      </c>
      <c r="L106" s="9" t="str">
        <f t="shared" ca="1" si="17"/>
        <v/>
      </c>
      <c r="M106" s="9" t="str">
        <f t="shared" si="18"/>
        <v/>
      </c>
      <c r="N106" s="9" t="str">
        <f t="shared" si="19"/>
        <v/>
      </c>
      <c r="O106" s="9" t="str">
        <f t="shared" si="20"/>
        <v/>
      </c>
      <c r="P106" s="9" t="str">
        <f t="shared" si="21"/>
        <v/>
      </c>
      <c r="Q106" s="9" t="str">
        <f t="shared" si="22"/>
        <v/>
      </c>
      <c r="R106" s="9" t="str">
        <f t="shared" si="23"/>
        <v/>
      </c>
      <c r="S106" s="9" t="str">
        <f t="shared" si="24"/>
        <v/>
      </c>
      <c r="T106" s="9" t="str">
        <f t="shared" si="25"/>
        <v/>
      </c>
      <c r="U106" s="21" t="str">
        <f t="shared" si="26"/>
        <v/>
      </c>
      <c r="W106" s="3"/>
      <c r="X106" s="3"/>
      <c r="Y106" s="3"/>
      <c r="Z106" s="3"/>
      <c r="AA106" s="3"/>
    </row>
    <row r="107" spans="1:27" x14ac:dyDescent="0.15">
      <c r="A107" s="27" t="s">
        <v>126</v>
      </c>
      <c r="B107" s="19"/>
      <c r="C107" s="18"/>
      <c r="D107" s="18"/>
      <c r="E107" s="18"/>
      <c r="F107" s="18"/>
      <c r="G107" s="37" t="str">
        <f t="shared" si="27"/>
        <v/>
      </c>
      <c r="H107" s="27" t="str">
        <f t="shared" si="14"/>
        <v/>
      </c>
      <c r="J107" s="20">
        <f t="shared" si="15"/>
        <v>0</v>
      </c>
      <c r="K107" s="9" t="str">
        <f t="shared" si="16"/>
        <v/>
      </c>
      <c r="L107" s="9" t="str">
        <f t="shared" ca="1" si="17"/>
        <v/>
      </c>
      <c r="M107" s="9" t="str">
        <f t="shared" si="18"/>
        <v/>
      </c>
      <c r="N107" s="9" t="str">
        <f t="shared" si="19"/>
        <v/>
      </c>
      <c r="O107" s="9" t="str">
        <f t="shared" si="20"/>
        <v/>
      </c>
      <c r="P107" s="9" t="str">
        <f t="shared" si="21"/>
        <v/>
      </c>
      <c r="Q107" s="9" t="str">
        <f t="shared" si="22"/>
        <v/>
      </c>
      <c r="R107" s="9" t="str">
        <f t="shared" si="23"/>
        <v/>
      </c>
      <c r="S107" s="9" t="str">
        <f t="shared" si="24"/>
        <v/>
      </c>
      <c r="T107" s="9" t="str">
        <f t="shared" si="25"/>
        <v/>
      </c>
      <c r="U107" s="21" t="str">
        <f t="shared" si="26"/>
        <v/>
      </c>
      <c r="W107" s="3"/>
      <c r="X107" s="3"/>
      <c r="Y107" s="3"/>
      <c r="Z107" s="3"/>
      <c r="AA107" s="3"/>
    </row>
    <row r="108" spans="1:27" x14ac:dyDescent="0.15">
      <c r="A108" s="27" t="s">
        <v>127</v>
      </c>
      <c r="B108" s="19"/>
      <c r="C108" s="18"/>
      <c r="D108" s="18"/>
      <c r="E108" s="18"/>
      <c r="F108" s="18"/>
      <c r="G108" s="37" t="str">
        <f t="shared" si="27"/>
        <v/>
      </c>
      <c r="H108" s="27" t="str">
        <f t="shared" si="14"/>
        <v/>
      </c>
      <c r="J108" s="20">
        <f t="shared" si="15"/>
        <v>0</v>
      </c>
      <c r="K108" s="9" t="str">
        <f t="shared" si="16"/>
        <v/>
      </c>
      <c r="L108" s="9" t="str">
        <f t="shared" ca="1" si="17"/>
        <v/>
      </c>
      <c r="M108" s="9" t="str">
        <f t="shared" si="18"/>
        <v/>
      </c>
      <c r="N108" s="9" t="str">
        <f t="shared" si="19"/>
        <v/>
      </c>
      <c r="O108" s="9" t="str">
        <f t="shared" si="20"/>
        <v/>
      </c>
      <c r="P108" s="9" t="str">
        <f t="shared" si="21"/>
        <v/>
      </c>
      <c r="Q108" s="9" t="str">
        <f t="shared" si="22"/>
        <v/>
      </c>
      <c r="R108" s="9" t="str">
        <f t="shared" si="23"/>
        <v/>
      </c>
      <c r="S108" s="9" t="str">
        <f t="shared" si="24"/>
        <v/>
      </c>
      <c r="T108" s="9" t="str">
        <f t="shared" si="25"/>
        <v/>
      </c>
      <c r="U108" s="21" t="str">
        <f t="shared" si="26"/>
        <v/>
      </c>
      <c r="W108" s="3"/>
      <c r="X108" s="3"/>
      <c r="Y108" s="3"/>
      <c r="Z108" s="3"/>
      <c r="AA108" s="3"/>
    </row>
    <row r="109" spans="1:27" x14ac:dyDescent="0.15">
      <c r="A109" s="27" t="s">
        <v>128</v>
      </c>
      <c r="B109" s="19"/>
      <c r="C109" s="18"/>
      <c r="D109" s="18"/>
      <c r="E109" s="18"/>
      <c r="F109" s="18"/>
      <c r="G109" s="37" t="str">
        <f t="shared" si="27"/>
        <v/>
      </c>
      <c r="H109" s="27" t="str">
        <f t="shared" si="14"/>
        <v/>
      </c>
      <c r="J109" s="20">
        <f t="shared" si="15"/>
        <v>0</v>
      </c>
      <c r="K109" s="9" t="str">
        <f t="shared" si="16"/>
        <v/>
      </c>
      <c r="L109" s="9" t="str">
        <f t="shared" ca="1" si="17"/>
        <v/>
      </c>
      <c r="M109" s="9" t="str">
        <f t="shared" si="18"/>
        <v/>
      </c>
      <c r="N109" s="9" t="str">
        <f t="shared" si="19"/>
        <v/>
      </c>
      <c r="O109" s="9" t="str">
        <f t="shared" si="20"/>
        <v/>
      </c>
      <c r="P109" s="9" t="str">
        <f t="shared" si="21"/>
        <v/>
      </c>
      <c r="Q109" s="9" t="str">
        <f t="shared" si="22"/>
        <v/>
      </c>
      <c r="R109" s="9" t="str">
        <f t="shared" si="23"/>
        <v/>
      </c>
      <c r="S109" s="9" t="str">
        <f t="shared" si="24"/>
        <v/>
      </c>
      <c r="T109" s="9" t="str">
        <f t="shared" si="25"/>
        <v/>
      </c>
      <c r="U109" s="21" t="str">
        <f t="shared" si="26"/>
        <v/>
      </c>
      <c r="W109" s="3"/>
      <c r="X109" s="3"/>
      <c r="Y109" s="3"/>
      <c r="Z109" s="3"/>
      <c r="AA109" s="3"/>
    </row>
    <row r="110" spans="1:27" x14ac:dyDescent="0.15">
      <c r="A110" s="27" t="s">
        <v>129</v>
      </c>
      <c r="B110" s="19"/>
      <c r="C110" s="18"/>
      <c r="D110" s="18"/>
      <c r="E110" s="18"/>
      <c r="F110" s="18"/>
      <c r="G110" s="37" t="str">
        <f t="shared" si="27"/>
        <v/>
      </c>
      <c r="H110" s="27" t="str">
        <f t="shared" si="14"/>
        <v/>
      </c>
      <c r="J110" s="20">
        <f t="shared" si="15"/>
        <v>0</v>
      </c>
      <c r="K110" s="9" t="str">
        <f t="shared" si="16"/>
        <v/>
      </c>
      <c r="L110" s="9" t="str">
        <f t="shared" ca="1" si="17"/>
        <v/>
      </c>
      <c r="M110" s="9" t="str">
        <f t="shared" si="18"/>
        <v/>
      </c>
      <c r="N110" s="9" t="str">
        <f t="shared" si="19"/>
        <v/>
      </c>
      <c r="O110" s="9" t="str">
        <f t="shared" si="20"/>
        <v/>
      </c>
      <c r="P110" s="9" t="str">
        <f t="shared" si="21"/>
        <v/>
      </c>
      <c r="Q110" s="9" t="str">
        <f t="shared" si="22"/>
        <v/>
      </c>
      <c r="R110" s="9" t="str">
        <f t="shared" si="23"/>
        <v/>
      </c>
      <c r="S110" s="9" t="str">
        <f t="shared" si="24"/>
        <v/>
      </c>
      <c r="T110" s="9" t="str">
        <f t="shared" si="25"/>
        <v/>
      </c>
      <c r="U110" s="21" t="str">
        <f t="shared" si="26"/>
        <v/>
      </c>
      <c r="W110" s="3"/>
      <c r="X110" s="3"/>
      <c r="Y110" s="3"/>
      <c r="Z110" s="3"/>
      <c r="AA110" s="3"/>
    </row>
    <row r="111" spans="1:27" x14ac:dyDescent="0.15">
      <c r="A111" s="27" t="s">
        <v>130</v>
      </c>
      <c r="B111" s="19"/>
      <c r="C111" s="18"/>
      <c r="D111" s="18"/>
      <c r="E111" s="18"/>
      <c r="F111" s="18"/>
      <c r="G111" s="37" t="str">
        <f t="shared" si="27"/>
        <v/>
      </c>
      <c r="H111" s="27" t="str">
        <f t="shared" si="14"/>
        <v/>
      </c>
      <c r="J111" s="20">
        <f t="shared" si="15"/>
        <v>0</v>
      </c>
      <c r="K111" s="9" t="str">
        <f t="shared" si="16"/>
        <v/>
      </c>
      <c r="L111" s="9" t="str">
        <f t="shared" ca="1" si="17"/>
        <v/>
      </c>
      <c r="M111" s="9" t="str">
        <f t="shared" si="18"/>
        <v/>
      </c>
      <c r="N111" s="9" t="str">
        <f t="shared" si="19"/>
        <v/>
      </c>
      <c r="O111" s="9" t="str">
        <f t="shared" si="20"/>
        <v/>
      </c>
      <c r="P111" s="9" t="str">
        <f t="shared" si="21"/>
        <v/>
      </c>
      <c r="Q111" s="9" t="str">
        <f t="shared" si="22"/>
        <v/>
      </c>
      <c r="R111" s="9" t="str">
        <f t="shared" si="23"/>
        <v/>
      </c>
      <c r="S111" s="9" t="str">
        <f t="shared" si="24"/>
        <v/>
      </c>
      <c r="T111" s="9" t="str">
        <f t="shared" si="25"/>
        <v/>
      </c>
      <c r="U111" s="21" t="str">
        <f t="shared" si="26"/>
        <v/>
      </c>
      <c r="W111" s="3"/>
      <c r="X111" s="3"/>
      <c r="Y111" s="3"/>
      <c r="Z111" s="3"/>
      <c r="AA111" s="3"/>
    </row>
    <row r="112" spans="1:27" x14ac:dyDescent="0.15">
      <c r="A112" s="27" t="s">
        <v>131</v>
      </c>
      <c r="B112" s="19"/>
      <c r="C112" s="18"/>
      <c r="D112" s="18"/>
      <c r="E112" s="18"/>
      <c r="F112" s="18"/>
      <c r="G112" s="37" t="str">
        <f t="shared" si="27"/>
        <v/>
      </c>
      <c r="H112" s="27" t="str">
        <f t="shared" si="14"/>
        <v/>
      </c>
      <c r="J112" s="20">
        <f t="shared" si="15"/>
        <v>0</v>
      </c>
      <c r="K112" s="9" t="str">
        <f t="shared" si="16"/>
        <v/>
      </c>
      <c r="L112" s="9" t="str">
        <f t="shared" ca="1" si="17"/>
        <v/>
      </c>
      <c r="M112" s="9" t="str">
        <f t="shared" si="18"/>
        <v/>
      </c>
      <c r="N112" s="9" t="str">
        <f t="shared" si="19"/>
        <v/>
      </c>
      <c r="O112" s="9" t="str">
        <f t="shared" si="20"/>
        <v/>
      </c>
      <c r="P112" s="9" t="str">
        <f t="shared" si="21"/>
        <v/>
      </c>
      <c r="Q112" s="9" t="str">
        <f t="shared" si="22"/>
        <v/>
      </c>
      <c r="R112" s="9" t="str">
        <f t="shared" si="23"/>
        <v/>
      </c>
      <c r="S112" s="9" t="str">
        <f t="shared" si="24"/>
        <v/>
      </c>
      <c r="T112" s="9" t="str">
        <f t="shared" si="25"/>
        <v/>
      </c>
      <c r="U112" s="21" t="str">
        <f t="shared" si="26"/>
        <v/>
      </c>
      <c r="W112" s="3"/>
      <c r="X112" s="3"/>
      <c r="Y112" s="3"/>
      <c r="Z112" s="3"/>
      <c r="AA112" s="3"/>
    </row>
    <row r="113" spans="1:27" x14ac:dyDescent="0.15">
      <c r="A113" s="27" t="s">
        <v>132</v>
      </c>
      <c r="B113" s="19"/>
      <c r="C113" s="18"/>
      <c r="D113" s="18"/>
      <c r="E113" s="18"/>
      <c r="F113" s="18"/>
      <c r="G113" s="37" t="str">
        <f t="shared" si="27"/>
        <v/>
      </c>
      <c r="H113" s="27" t="str">
        <f t="shared" si="14"/>
        <v/>
      </c>
      <c r="J113" s="20">
        <f t="shared" si="15"/>
        <v>0</v>
      </c>
      <c r="K113" s="9" t="str">
        <f t="shared" si="16"/>
        <v/>
      </c>
      <c r="L113" s="9" t="str">
        <f t="shared" ca="1" si="17"/>
        <v/>
      </c>
      <c r="M113" s="9" t="str">
        <f t="shared" si="18"/>
        <v/>
      </c>
      <c r="N113" s="9" t="str">
        <f t="shared" si="19"/>
        <v/>
      </c>
      <c r="O113" s="9" t="str">
        <f t="shared" si="20"/>
        <v/>
      </c>
      <c r="P113" s="9" t="str">
        <f t="shared" si="21"/>
        <v/>
      </c>
      <c r="Q113" s="9" t="str">
        <f t="shared" si="22"/>
        <v/>
      </c>
      <c r="R113" s="9" t="str">
        <f t="shared" si="23"/>
        <v/>
      </c>
      <c r="S113" s="9" t="str">
        <f t="shared" si="24"/>
        <v/>
      </c>
      <c r="T113" s="9" t="str">
        <f t="shared" si="25"/>
        <v/>
      </c>
      <c r="U113" s="21" t="str">
        <f t="shared" si="26"/>
        <v/>
      </c>
      <c r="W113" s="3"/>
      <c r="X113" s="3"/>
      <c r="Y113" s="3"/>
      <c r="Z113" s="3"/>
      <c r="AA113" s="3"/>
    </row>
    <row r="114" spans="1:27" x14ac:dyDescent="0.15">
      <c r="A114" s="27" t="s">
        <v>133</v>
      </c>
      <c r="B114" s="19"/>
      <c r="C114" s="18"/>
      <c r="D114" s="18"/>
      <c r="E114" s="18"/>
      <c r="F114" s="18"/>
      <c r="G114" s="37" t="str">
        <f t="shared" si="27"/>
        <v/>
      </c>
      <c r="H114" s="27" t="str">
        <f t="shared" si="14"/>
        <v/>
      </c>
      <c r="J114" s="20">
        <f t="shared" si="15"/>
        <v>0</v>
      </c>
      <c r="K114" s="9" t="str">
        <f t="shared" si="16"/>
        <v/>
      </c>
      <c r="L114" s="9" t="str">
        <f t="shared" ca="1" si="17"/>
        <v/>
      </c>
      <c r="M114" s="9" t="str">
        <f t="shared" si="18"/>
        <v/>
      </c>
      <c r="N114" s="9" t="str">
        <f t="shared" si="19"/>
        <v/>
      </c>
      <c r="O114" s="9" t="str">
        <f t="shared" si="20"/>
        <v/>
      </c>
      <c r="P114" s="9" t="str">
        <f t="shared" si="21"/>
        <v/>
      </c>
      <c r="Q114" s="9" t="str">
        <f t="shared" si="22"/>
        <v/>
      </c>
      <c r="R114" s="9" t="str">
        <f t="shared" si="23"/>
        <v/>
      </c>
      <c r="S114" s="9" t="str">
        <f t="shared" si="24"/>
        <v/>
      </c>
      <c r="T114" s="9" t="str">
        <f t="shared" si="25"/>
        <v/>
      </c>
      <c r="U114" s="21" t="str">
        <f t="shared" si="26"/>
        <v/>
      </c>
      <c r="W114" s="3"/>
      <c r="X114" s="3"/>
      <c r="Y114" s="3"/>
      <c r="Z114" s="3"/>
      <c r="AA114" s="3"/>
    </row>
    <row r="115" spans="1:27" x14ac:dyDescent="0.15">
      <c r="A115" s="27" t="s">
        <v>134</v>
      </c>
      <c r="B115" s="19"/>
      <c r="C115" s="18"/>
      <c r="D115" s="18"/>
      <c r="E115" s="18"/>
      <c r="F115" s="18"/>
      <c r="G115" s="37" t="str">
        <f t="shared" si="27"/>
        <v/>
      </c>
      <c r="H115" s="27" t="str">
        <f t="shared" si="14"/>
        <v/>
      </c>
      <c r="J115" s="20">
        <f t="shared" si="15"/>
        <v>0</v>
      </c>
      <c r="K115" s="9" t="str">
        <f t="shared" si="16"/>
        <v/>
      </c>
      <c r="L115" s="9" t="str">
        <f t="shared" ca="1" si="17"/>
        <v/>
      </c>
      <c r="M115" s="9" t="str">
        <f t="shared" si="18"/>
        <v/>
      </c>
      <c r="N115" s="9" t="str">
        <f t="shared" si="19"/>
        <v/>
      </c>
      <c r="O115" s="9" t="str">
        <f t="shared" si="20"/>
        <v/>
      </c>
      <c r="P115" s="9" t="str">
        <f t="shared" si="21"/>
        <v/>
      </c>
      <c r="Q115" s="9" t="str">
        <f t="shared" si="22"/>
        <v/>
      </c>
      <c r="R115" s="9" t="str">
        <f t="shared" si="23"/>
        <v/>
      </c>
      <c r="S115" s="9" t="str">
        <f t="shared" si="24"/>
        <v/>
      </c>
      <c r="T115" s="9" t="str">
        <f t="shared" si="25"/>
        <v/>
      </c>
      <c r="U115" s="21" t="str">
        <f t="shared" si="26"/>
        <v/>
      </c>
      <c r="W115" s="3"/>
      <c r="X115" s="3"/>
      <c r="Y115" s="3"/>
      <c r="Z115" s="3"/>
      <c r="AA115" s="3"/>
    </row>
    <row r="116" spans="1:27" x14ac:dyDescent="0.15">
      <c r="A116" s="27" t="s">
        <v>135</v>
      </c>
      <c r="B116" s="19"/>
      <c r="C116" s="18"/>
      <c r="D116" s="18"/>
      <c r="E116" s="18"/>
      <c r="F116" s="18"/>
      <c r="G116" s="37" t="str">
        <f t="shared" si="27"/>
        <v/>
      </c>
      <c r="H116" s="27" t="str">
        <f t="shared" ref="H116:H147" si="28">IF(F116="","",INDEX($A$21:$B$25,MATCH(F116,$B$21:$B$25,0),1))</f>
        <v/>
      </c>
      <c r="J116" s="20">
        <f t="shared" ref="J116:J147" si="29">COUNTA(B116:G116)-IF(G116="",COUNTA(G116),0)</f>
        <v>0</v>
      </c>
      <c r="K116" s="9" t="str">
        <f t="shared" ref="K116:K147" si="30">IF($J116=0,"",IF(COUNTA(B116:G116)&lt;&gt;COUNTA($B$50:$G$50),"Error","OK"))</f>
        <v/>
      </c>
      <c r="L116" s="9" t="str">
        <f t="shared" ref="L116:L147" ca="1" si="31">IF($J116=0,"",IF(AND(B116&gt;=DATE(1900,1,1),B116&lt;=TODAY()),"OK","Error"))</f>
        <v/>
      </c>
      <c r="M116" s="9" t="str">
        <f t="shared" ref="M116:M147" si="32">IF($J116=0,"",IF(C116="Not Used","Error",IFERROR(IF(VLOOKUP(C116,C$44:C$48,1,0)=C116,"OK",""),"Error")))</f>
        <v/>
      </c>
      <c r="N116" s="9" t="str">
        <f t="shared" ref="N116:N147" si="33">IF($J116=0,"",IF(D116="Not Used","Error",IFERROR(IF(VLOOKUP(D116,D$44:D$48,1,0)=D116,"OK",""),"Error")))</f>
        <v/>
      </c>
      <c r="O116" s="9" t="str">
        <f t="shared" ref="O116:O147" si="34">IF($J116=0,"",IF(E116="Not Used","Error",IFERROR(IF(VLOOKUP(E116,E$44:E$48,1,0)=E116,"OK",""),"Error")))</f>
        <v/>
      </c>
      <c r="P116" s="9" t="str">
        <f t="shared" ref="P116:P147" si="35">IF($J116=0,"",IFERROR(IF(VLOOKUP(F116,F$44:F$48,1,0)=F116,"OK",""),"Error"))</f>
        <v/>
      </c>
      <c r="Q116" s="9" t="str">
        <f t="shared" ref="Q116:Q147" si="36">IF($J116=0,"",IFERROR(IF(VLOOKUP(H116,$A$21:$C$25,3,0)=G116,"OK","Error"),"Error"))</f>
        <v/>
      </c>
      <c r="R116" s="9" t="str">
        <f t="shared" ref="R116:R147" si="37">IF($J116=0,"",IFERROR(IF(AND($E116="Principal",$U116&lt;21),"Error","OK"),"Error"))</f>
        <v/>
      </c>
      <c r="S116" s="9" t="str">
        <f t="shared" ref="S116:S147" si="38">IF($J116=0,"",IFERROR(IF($U116&gt;=$S$47,"Error","OK"),"Error"))</f>
        <v/>
      </c>
      <c r="T116" s="9" t="str">
        <f t="shared" ref="T116:T147" si="39">IF($J116=0,"",IFERROR(IF(U116&lt;0,"Error","OK"),"Error"))</f>
        <v/>
      </c>
      <c r="U116" s="21" t="str">
        <f t="shared" ref="U116:U147" si="40">IF($J116=0,"",($B$16-B116)/365.25)</f>
        <v/>
      </c>
      <c r="W116" s="3"/>
      <c r="X116" s="3"/>
      <c r="Y116" s="3"/>
      <c r="Z116" s="3"/>
      <c r="AA116" s="3"/>
    </row>
    <row r="117" spans="1:27" x14ac:dyDescent="0.15">
      <c r="A117" s="27" t="s">
        <v>136</v>
      </c>
      <c r="B117" s="19"/>
      <c r="C117" s="18"/>
      <c r="D117" s="18"/>
      <c r="E117" s="18"/>
      <c r="F117" s="18"/>
      <c r="G117" s="37" t="str">
        <f t="shared" si="27"/>
        <v/>
      </c>
      <c r="H117" s="27" t="str">
        <f t="shared" si="28"/>
        <v/>
      </c>
      <c r="J117" s="20">
        <f t="shared" si="29"/>
        <v>0</v>
      </c>
      <c r="K117" s="9" t="str">
        <f t="shared" si="30"/>
        <v/>
      </c>
      <c r="L117" s="9" t="str">
        <f t="shared" ca="1" si="31"/>
        <v/>
      </c>
      <c r="M117" s="9" t="str">
        <f t="shared" si="32"/>
        <v/>
      </c>
      <c r="N117" s="9" t="str">
        <f t="shared" si="33"/>
        <v/>
      </c>
      <c r="O117" s="9" t="str">
        <f t="shared" si="34"/>
        <v/>
      </c>
      <c r="P117" s="9" t="str">
        <f t="shared" si="35"/>
        <v/>
      </c>
      <c r="Q117" s="9" t="str">
        <f t="shared" si="36"/>
        <v/>
      </c>
      <c r="R117" s="9" t="str">
        <f t="shared" si="37"/>
        <v/>
      </c>
      <c r="S117" s="9" t="str">
        <f t="shared" si="38"/>
        <v/>
      </c>
      <c r="T117" s="9" t="str">
        <f t="shared" si="39"/>
        <v/>
      </c>
      <c r="U117" s="21" t="str">
        <f t="shared" si="40"/>
        <v/>
      </c>
      <c r="W117" s="3"/>
      <c r="X117" s="3"/>
      <c r="Y117" s="3"/>
      <c r="Z117" s="3"/>
      <c r="AA117" s="3"/>
    </row>
    <row r="118" spans="1:27" x14ac:dyDescent="0.15">
      <c r="A118" s="27" t="s">
        <v>137</v>
      </c>
      <c r="B118" s="19"/>
      <c r="C118" s="18"/>
      <c r="D118" s="18"/>
      <c r="E118" s="18"/>
      <c r="F118" s="18"/>
      <c r="G118" s="37" t="str">
        <f t="shared" si="27"/>
        <v/>
      </c>
      <c r="H118" s="27" t="str">
        <f t="shared" si="28"/>
        <v/>
      </c>
      <c r="J118" s="20">
        <f t="shared" si="29"/>
        <v>0</v>
      </c>
      <c r="K118" s="9" t="str">
        <f t="shared" si="30"/>
        <v/>
      </c>
      <c r="L118" s="9" t="str">
        <f t="shared" ca="1" si="31"/>
        <v/>
      </c>
      <c r="M118" s="9" t="str">
        <f t="shared" si="32"/>
        <v/>
      </c>
      <c r="N118" s="9" t="str">
        <f t="shared" si="33"/>
        <v/>
      </c>
      <c r="O118" s="9" t="str">
        <f t="shared" si="34"/>
        <v/>
      </c>
      <c r="P118" s="9" t="str">
        <f t="shared" si="35"/>
        <v/>
      </c>
      <c r="Q118" s="9" t="str">
        <f t="shared" si="36"/>
        <v/>
      </c>
      <c r="R118" s="9" t="str">
        <f t="shared" si="37"/>
        <v/>
      </c>
      <c r="S118" s="9" t="str">
        <f t="shared" si="38"/>
        <v/>
      </c>
      <c r="T118" s="9" t="str">
        <f t="shared" si="39"/>
        <v/>
      </c>
      <c r="U118" s="21" t="str">
        <f t="shared" si="40"/>
        <v/>
      </c>
      <c r="W118" s="3"/>
      <c r="X118" s="3"/>
      <c r="Y118" s="3"/>
      <c r="Z118" s="3"/>
      <c r="AA118" s="3"/>
    </row>
    <row r="119" spans="1:27" x14ac:dyDescent="0.15">
      <c r="A119" s="27" t="s">
        <v>138</v>
      </c>
      <c r="B119" s="19"/>
      <c r="C119" s="18"/>
      <c r="D119" s="18"/>
      <c r="E119" s="18"/>
      <c r="F119" s="18"/>
      <c r="G119" s="37" t="str">
        <f t="shared" si="27"/>
        <v/>
      </c>
      <c r="H119" s="27" t="str">
        <f t="shared" si="28"/>
        <v/>
      </c>
      <c r="J119" s="20">
        <f t="shared" si="29"/>
        <v>0</v>
      </c>
      <c r="K119" s="9" t="str">
        <f t="shared" si="30"/>
        <v/>
      </c>
      <c r="L119" s="9" t="str">
        <f t="shared" ca="1" si="31"/>
        <v/>
      </c>
      <c r="M119" s="9" t="str">
        <f t="shared" si="32"/>
        <v/>
      </c>
      <c r="N119" s="9" t="str">
        <f t="shared" si="33"/>
        <v/>
      </c>
      <c r="O119" s="9" t="str">
        <f t="shared" si="34"/>
        <v/>
      </c>
      <c r="P119" s="9" t="str">
        <f t="shared" si="35"/>
        <v/>
      </c>
      <c r="Q119" s="9" t="str">
        <f t="shared" si="36"/>
        <v/>
      </c>
      <c r="R119" s="9" t="str">
        <f t="shared" si="37"/>
        <v/>
      </c>
      <c r="S119" s="9" t="str">
        <f t="shared" si="38"/>
        <v/>
      </c>
      <c r="T119" s="9" t="str">
        <f t="shared" si="39"/>
        <v/>
      </c>
      <c r="U119" s="21" t="str">
        <f t="shared" si="40"/>
        <v/>
      </c>
      <c r="W119" s="3"/>
      <c r="X119" s="3"/>
      <c r="Y119" s="3"/>
      <c r="Z119" s="3"/>
      <c r="AA119" s="3"/>
    </row>
    <row r="120" spans="1:27" x14ac:dyDescent="0.15">
      <c r="A120" s="27" t="s">
        <v>139</v>
      </c>
      <c r="B120" s="19"/>
      <c r="C120" s="18"/>
      <c r="D120" s="18"/>
      <c r="E120" s="18"/>
      <c r="F120" s="18"/>
      <c r="G120" s="37" t="str">
        <f t="shared" si="27"/>
        <v/>
      </c>
      <c r="H120" s="27" t="str">
        <f t="shared" si="28"/>
        <v/>
      </c>
      <c r="J120" s="20">
        <f t="shared" si="29"/>
        <v>0</v>
      </c>
      <c r="K120" s="9" t="str">
        <f t="shared" si="30"/>
        <v/>
      </c>
      <c r="L120" s="9" t="str">
        <f t="shared" ca="1" si="31"/>
        <v/>
      </c>
      <c r="M120" s="9" t="str">
        <f t="shared" si="32"/>
        <v/>
      </c>
      <c r="N120" s="9" t="str">
        <f t="shared" si="33"/>
        <v/>
      </c>
      <c r="O120" s="9" t="str">
        <f t="shared" si="34"/>
        <v/>
      </c>
      <c r="P120" s="9" t="str">
        <f t="shared" si="35"/>
        <v/>
      </c>
      <c r="Q120" s="9" t="str">
        <f t="shared" si="36"/>
        <v/>
      </c>
      <c r="R120" s="9" t="str">
        <f t="shared" si="37"/>
        <v/>
      </c>
      <c r="S120" s="9" t="str">
        <f t="shared" si="38"/>
        <v/>
      </c>
      <c r="T120" s="9" t="str">
        <f t="shared" si="39"/>
        <v/>
      </c>
      <c r="U120" s="21" t="str">
        <f t="shared" si="40"/>
        <v/>
      </c>
      <c r="W120" s="3"/>
      <c r="X120" s="3"/>
      <c r="Y120" s="3"/>
      <c r="Z120" s="3"/>
      <c r="AA120" s="3"/>
    </row>
    <row r="121" spans="1:27" x14ac:dyDescent="0.15">
      <c r="A121" s="27" t="s">
        <v>140</v>
      </c>
      <c r="B121" s="19"/>
      <c r="C121" s="18"/>
      <c r="D121" s="18"/>
      <c r="E121" s="18"/>
      <c r="F121" s="18"/>
      <c r="G121" s="37" t="str">
        <f t="shared" si="27"/>
        <v/>
      </c>
      <c r="H121" s="27" t="str">
        <f t="shared" si="28"/>
        <v/>
      </c>
      <c r="J121" s="20">
        <f t="shared" si="29"/>
        <v>0</v>
      </c>
      <c r="K121" s="9" t="str">
        <f t="shared" si="30"/>
        <v/>
      </c>
      <c r="L121" s="9" t="str">
        <f t="shared" ca="1" si="31"/>
        <v/>
      </c>
      <c r="M121" s="9" t="str">
        <f t="shared" si="32"/>
        <v/>
      </c>
      <c r="N121" s="9" t="str">
        <f t="shared" si="33"/>
        <v/>
      </c>
      <c r="O121" s="9" t="str">
        <f t="shared" si="34"/>
        <v/>
      </c>
      <c r="P121" s="9" t="str">
        <f t="shared" si="35"/>
        <v/>
      </c>
      <c r="Q121" s="9" t="str">
        <f t="shared" si="36"/>
        <v/>
      </c>
      <c r="R121" s="9" t="str">
        <f t="shared" si="37"/>
        <v/>
      </c>
      <c r="S121" s="9" t="str">
        <f t="shared" si="38"/>
        <v/>
      </c>
      <c r="T121" s="9" t="str">
        <f t="shared" si="39"/>
        <v/>
      </c>
      <c r="U121" s="21" t="str">
        <f t="shared" si="40"/>
        <v/>
      </c>
      <c r="W121" s="3"/>
      <c r="X121" s="3"/>
      <c r="Y121" s="3"/>
      <c r="Z121" s="3"/>
      <c r="AA121" s="3"/>
    </row>
    <row r="122" spans="1:27" x14ac:dyDescent="0.15">
      <c r="A122" s="27" t="s">
        <v>141</v>
      </c>
      <c r="B122" s="19"/>
      <c r="C122" s="18"/>
      <c r="D122" s="18"/>
      <c r="E122" s="18"/>
      <c r="F122" s="18"/>
      <c r="G122" s="37" t="str">
        <f t="shared" si="27"/>
        <v/>
      </c>
      <c r="H122" s="27" t="str">
        <f t="shared" si="28"/>
        <v/>
      </c>
      <c r="J122" s="20">
        <f t="shared" si="29"/>
        <v>0</v>
      </c>
      <c r="K122" s="9" t="str">
        <f t="shared" si="30"/>
        <v/>
      </c>
      <c r="L122" s="9" t="str">
        <f t="shared" ca="1" si="31"/>
        <v/>
      </c>
      <c r="M122" s="9" t="str">
        <f t="shared" si="32"/>
        <v/>
      </c>
      <c r="N122" s="9" t="str">
        <f t="shared" si="33"/>
        <v/>
      </c>
      <c r="O122" s="9" t="str">
        <f t="shared" si="34"/>
        <v/>
      </c>
      <c r="P122" s="9" t="str">
        <f t="shared" si="35"/>
        <v/>
      </c>
      <c r="Q122" s="9" t="str">
        <f t="shared" si="36"/>
        <v/>
      </c>
      <c r="R122" s="9" t="str">
        <f t="shared" si="37"/>
        <v/>
      </c>
      <c r="S122" s="9" t="str">
        <f t="shared" si="38"/>
        <v/>
      </c>
      <c r="T122" s="9" t="str">
        <f t="shared" si="39"/>
        <v/>
      </c>
      <c r="U122" s="21" t="str">
        <f t="shared" si="40"/>
        <v/>
      </c>
      <c r="W122" s="3"/>
      <c r="X122" s="3"/>
      <c r="Y122" s="3"/>
      <c r="Z122" s="3"/>
      <c r="AA122" s="3"/>
    </row>
    <row r="123" spans="1:27" x14ac:dyDescent="0.15">
      <c r="A123" s="27" t="s">
        <v>142</v>
      </c>
      <c r="B123" s="19"/>
      <c r="C123" s="18"/>
      <c r="D123" s="18"/>
      <c r="E123" s="18"/>
      <c r="F123" s="18"/>
      <c r="G123" s="37" t="str">
        <f t="shared" si="27"/>
        <v/>
      </c>
      <c r="H123" s="27" t="str">
        <f t="shared" si="28"/>
        <v/>
      </c>
      <c r="J123" s="20">
        <f t="shared" si="29"/>
        <v>0</v>
      </c>
      <c r="K123" s="9" t="str">
        <f t="shared" si="30"/>
        <v/>
      </c>
      <c r="L123" s="9" t="str">
        <f t="shared" ca="1" si="31"/>
        <v/>
      </c>
      <c r="M123" s="9" t="str">
        <f t="shared" si="32"/>
        <v/>
      </c>
      <c r="N123" s="9" t="str">
        <f t="shared" si="33"/>
        <v/>
      </c>
      <c r="O123" s="9" t="str">
        <f t="shared" si="34"/>
        <v/>
      </c>
      <c r="P123" s="9" t="str">
        <f t="shared" si="35"/>
        <v/>
      </c>
      <c r="Q123" s="9" t="str">
        <f t="shared" si="36"/>
        <v/>
      </c>
      <c r="R123" s="9" t="str">
        <f t="shared" si="37"/>
        <v/>
      </c>
      <c r="S123" s="9" t="str">
        <f t="shared" si="38"/>
        <v/>
      </c>
      <c r="T123" s="9" t="str">
        <f t="shared" si="39"/>
        <v/>
      </c>
      <c r="U123" s="21" t="str">
        <f t="shared" si="40"/>
        <v/>
      </c>
      <c r="W123" s="3"/>
      <c r="X123" s="3"/>
      <c r="Y123" s="3"/>
      <c r="Z123" s="3"/>
      <c r="AA123" s="3"/>
    </row>
    <row r="124" spans="1:27" x14ac:dyDescent="0.15">
      <c r="A124" s="27" t="s">
        <v>143</v>
      </c>
      <c r="B124" s="19"/>
      <c r="C124" s="18"/>
      <c r="D124" s="18"/>
      <c r="E124" s="18"/>
      <c r="F124" s="18"/>
      <c r="G124" s="37" t="str">
        <f t="shared" si="27"/>
        <v/>
      </c>
      <c r="H124" s="27" t="str">
        <f t="shared" si="28"/>
        <v/>
      </c>
      <c r="J124" s="20">
        <f t="shared" si="29"/>
        <v>0</v>
      </c>
      <c r="K124" s="9" t="str">
        <f t="shared" si="30"/>
        <v/>
      </c>
      <c r="L124" s="9" t="str">
        <f t="shared" ca="1" si="31"/>
        <v/>
      </c>
      <c r="M124" s="9" t="str">
        <f t="shared" si="32"/>
        <v/>
      </c>
      <c r="N124" s="9" t="str">
        <f t="shared" si="33"/>
        <v/>
      </c>
      <c r="O124" s="9" t="str">
        <f t="shared" si="34"/>
        <v/>
      </c>
      <c r="P124" s="9" t="str">
        <f t="shared" si="35"/>
        <v/>
      </c>
      <c r="Q124" s="9" t="str">
        <f t="shared" si="36"/>
        <v/>
      </c>
      <c r="R124" s="9" t="str">
        <f t="shared" si="37"/>
        <v/>
      </c>
      <c r="S124" s="9" t="str">
        <f t="shared" si="38"/>
        <v/>
      </c>
      <c r="T124" s="9" t="str">
        <f t="shared" si="39"/>
        <v/>
      </c>
      <c r="U124" s="21" t="str">
        <f t="shared" si="40"/>
        <v/>
      </c>
      <c r="W124" s="3"/>
      <c r="X124" s="3"/>
      <c r="Y124" s="3"/>
      <c r="Z124" s="3"/>
      <c r="AA124" s="3"/>
    </row>
    <row r="125" spans="1:27" x14ac:dyDescent="0.15">
      <c r="A125" s="27" t="s">
        <v>144</v>
      </c>
      <c r="B125" s="19"/>
      <c r="C125" s="18"/>
      <c r="D125" s="18"/>
      <c r="E125" s="18"/>
      <c r="F125" s="18"/>
      <c r="G125" s="37" t="str">
        <f t="shared" si="27"/>
        <v/>
      </c>
      <c r="H125" s="27" t="str">
        <f t="shared" si="28"/>
        <v/>
      </c>
      <c r="J125" s="20">
        <f t="shared" si="29"/>
        <v>0</v>
      </c>
      <c r="K125" s="9" t="str">
        <f t="shared" si="30"/>
        <v/>
      </c>
      <c r="L125" s="9" t="str">
        <f t="shared" ca="1" si="31"/>
        <v/>
      </c>
      <c r="M125" s="9" t="str">
        <f t="shared" si="32"/>
        <v/>
      </c>
      <c r="N125" s="9" t="str">
        <f t="shared" si="33"/>
        <v/>
      </c>
      <c r="O125" s="9" t="str">
        <f t="shared" si="34"/>
        <v/>
      </c>
      <c r="P125" s="9" t="str">
        <f t="shared" si="35"/>
        <v/>
      </c>
      <c r="Q125" s="9" t="str">
        <f t="shared" si="36"/>
        <v/>
      </c>
      <c r="R125" s="9" t="str">
        <f t="shared" si="37"/>
        <v/>
      </c>
      <c r="S125" s="9" t="str">
        <f t="shared" si="38"/>
        <v/>
      </c>
      <c r="T125" s="9" t="str">
        <f t="shared" si="39"/>
        <v/>
      </c>
      <c r="U125" s="21" t="str">
        <f t="shared" si="40"/>
        <v/>
      </c>
      <c r="W125" s="3"/>
      <c r="X125" s="3"/>
      <c r="Y125" s="3"/>
      <c r="Z125" s="3"/>
      <c r="AA125" s="3"/>
    </row>
    <row r="126" spans="1:27" x14ac:dyDescent="0.15">
      <c r="A126" s="27" t="s">
        <v>145</v>
      </c>
      <c r="B126" s="19"/>
      <c r="C126" s="18"/>
      <c r="D126" s="18"/>
      <c r="E126" s="18"/>
      <c r="F126" s="18"/>
      <c r="G126" s="37" t="str">
        <f t="shared" si="27"/>
        <v/>
      </c>
      <c r="H126" s="27" t="str">
        <f t="shared" si="28"/>
        <v/>
      </c>
      <c r="J126" s="20">
        <f t="shared" si="29"/>
        <v>0</v>
      </c>
      <c r="K126" s="9" t="str">
        <f t="shared" si="30"/>
        <v/>
      </c>
      <c r="L126" s="9" t="str">
        <f t="shared" ca="1" si="31"/>
        <v/>
      </c>
      <c r="M126" s="9" t="str">
        <f t="shared" si="32"/>
        <v/>
      </c>
      <c r="N126" s="9" t="str">
        <f t="shared" si="33"/>
        <v/>
      </c>
      <c r="O126" s="9" t="str">
        <f t="shared" si="34"/>
        <v/>
      </c>
      <c r="P126" s="9" t="str">
        <f t="shared" si="35"/>
        <v/>
      </c>
      <c r="Q126" s="9" t="str">
        <f t="shared" si="36"/>
        <v/>
      </c>
      <c r="R126" s="9" t="str">
        <f t="shared" si="37"/>
        <v/>
      </c>
      <c r="S126" s="9" t="str">
        <f t="shared" si="38"/>
        <v/>
      </c>
      <c r="T126" s="9" t="str">
        <f t="shared" si="39"/>
        <v/>
      </c>
      <c r="U126" s="21" t="str">
        <f t="shared" si="40"/>
        <v/>
      </c>
      <c r="W126" s="3"/>
      <c r="X126" s="3"/>
      <c r="Y126" s="3"/>
      <c r="Z126" s="3"/>
      <c r="AA126" s="3"/>
    </row>
    <row r="127" spans="1:27" x14ac:dyDescent="0.15">
      <c r="A127" s="27" t="s">
        <v>146</v>
      </c>
      <c r="B127" s="19"/>
      <c r="C127" s="18"/>
      <c r="D127" s="18"/>
      <c r="E127" s="18"/>
      <c r="F127" s="18"/>
      <c r="G127" s="37" t="str">
        <f t="shared" si="27"/>
        <v/>
      </c>
      <c r="H127" s="27" t="str">
        <f t="shared" si="28"/>
        <v/>
      </c>
      <c r="J127" s="20">
        <f t="shared" si="29"/>
        <v>0</v>
      </c>
      <c r="K127" s="9" t="str">
        <f t="shared" si="30"/>
        <v/>
      </c>
      <c r="L127" s="9" t="str">
        <f t="shared" ca="1" si="31"/>
        <v/>
      </c>
      <c r="M127" s="9" t="str">
        <f t="shared" si="32"/>
        <v/>
      </c>
      <c r="N127" s="9" t="str">
        <f t="shared" si="33"/>
        <v/>
      </c>
      <c r="O127" s="9" t="str">
        <f t="shared" si="34"/>
        <v/>
      </c>
      <c r="P127" s="9" t="str">
        <f t="shared" si="35"/>
        <v/>
      </c>
      <c r="Q127" s="9" t="str">
        <f t="shared" si="36"/>
        <v/>
      </c>
      <c r="R127" s="9" t="str">
        <f t="shared" si="37"/>
        <v/>
      </c>
      <c r="S127" s="9" t="str">
        <f t="shared" si="38"/>
        <v/>
      </c>
      <c r="T127" s="9" t="str">
        <f t="shared" si="39"/>
        <v/>
      </c>
      <c r="U127" s="21" t="str">
        <f t="shared" si="40"/>
        <v/>
      </c>
      <c r="W127" s="3"/>
      <c r="X127" s="3"/>
      <c r="Y127" s="3"/>
      <c r="Z127" s="3"/>
      <c r="AA127" s="3"/>
    </row>
    <row r="128" spans="1:27" x14ac:dyDescent="0.15">
      <c r="A128" s="27" t="s">
        <v>147</v>
      </c>
      <c r="B128" s="19"/>
      <c r="C128" s="18"/>
      <c r="D128" s="18"/>
      <c r="E128" s="18"/>
      <c r="F128" s="18"/>
      <c r="G128" s="37" t="str">
        <f t="shared" si="27"/>
        <v/>
      </c>
      <c r="H128" s="27" t="str">
        <f t="shared" si="28"/>
        <v/>
      </c>
      <c r="J128" s="20">
        <f t="shared" si="29"/>
        <v>0</v>
      </c>
      <c r="K128" s="9" t="str">
        <f t="shared" si="30"/>
        <v/>
      </c>
      <c r="L128" s="9" t="str">
        <f t="shared" ca="1" si="31"/>
        <v/>
      </c>
      <c r="M128" s="9" t="str">
        <f t="shared" si="32"/>
        <v/>
      </c>
      <c r="N128" s="9" t="str">
        <f t="shared" si="33"/>
        <v/>
      </c>
      <c r="O128" s="9" t="str">
        <f t="shared" si="34"/>
        <v/>
      </c>
      <c r="P128" s="9" t="str">
        <f t="shared" si="35"/>
        <v/>
      </c>
      <c r="Q128" s="9" t="str">
        <f t="shared" si="36"/>
        <v/>
      </c>
      <c r="R128" s="9" t="str">
        <f t="shared" si="37"/>
        <v/>
      </c>
      <c r="S128" s="9" t="str">
        <f t="shared" si="38"/>
        <v/>
      </c>
      <c r="T128" s="9" t="str">
        <f t="shared" si="39"/>
        <v/>
      </c>
      <c r="U128" s="21" t="str">
        <f t="shared" si="40"/>
        <v/>
      </c>
      <c r="W128" s="3"/>
      <c r="X128" s="3"/>
      <c r="Y128" s="3"/>
      <c r="Z128" s="3"/>
      <c r="AA128" s="3"/>
    </row>
    <row r="129" spans="1:27" x14ac:dyDescent="0.15">
      <c r="A129" s="27" t="s">
        <v>148</v>
      </c>
      <c r="B129" s="19"/>
      <c r="C129" s="18"/>
      <c r="D129" s="18"/>
      <c r="E129" s="18"/>
      <c r="F129" s="18"/>
      <c r="G129" s="37" t="str">
        <f t="shared" si="27"/>
        <v/>
      </c>
      <c r="H129" s="27" t="str">
        <f t="shared" si="28"/>
        <v/>
      </c>
      <c r="J129" s="20">
        <f t="shared" si="29"/>
        <v>0</v>
      </c>
      <c r="K129" s="9" t="str">
        <f t="shared" si="30"/>
        <v/>
      </c>
      <c r="L129" s="9" t="str">
        <f t="shared" ca="1" si="31"/>
        <v/>
      </c>
      <c r="M129" s="9" t="str">
        <f t="shared" si="32"/>
        <v/>
      </c>
      <c r="N129" s="9" t="str">
        <f t="shared" si="33"/>
        <v/>
      </c>
      <c r="O129" s="9" t="str">
        <f t="shared" si="34"/>
        <v/>
      </c>
      <c r="P129" s="9" t="str">
        <f t="shared" si="35"/>
        <v/>
      </c>
      <c r="Q129" s="9" t="str">
        <f t="shared" si="36"/>
        <v/>
      </c>
      <c r="R129" s="9" t="str">
        <f t="shared" si="37"/>
        <v/>
      </c>
      <c r="S129" s="9" t="str">
        <f t="shared" si="38"/>
        <v/>
      </c>
      <c r="T129" s="9" t="str">
        <f t="shared" si="39"/>
        <v/>
      </c>
      <c r="U129" s="21" t="str">
        <f t="shared" si="40"/>
        <v/>
      </c>
      <c r="W129" s="3"/>
      <c r="X129" s="3"/>
      <c r="Y129" s="3"/>
      <c r="Z129" s="3"/>
      <c r="AA129" s="3"/>
    </row>
    <row r="130" spans="1:27" x14ac:dyDescent="0.15">
      <c r="A130" s="27" t="s">
        <v>149</v>
      </c>
      <c r="B130" s="19"/>
      <c r="C130" s="18"/>
      <c r="D130" s="18"/>
      <c r="E130" s="18"/>
      <c r="F130" s="18"/>
      <c r="G130" s="37" t="str">
        <f t="shared" si="27"/>
        <v/>
      </c>
      <c r="H130" s="27" t="str">
        <f t="shared" si="28"/>
        <v/>
      </c>
      <c r="J130" s="20">
        <f t="shared" si="29"/>
        <v>0</v>
      </c>
      <c r="K130" s="9" t="str">
        <f t="shared" si="30"/>
        <v/>
      </c>
      <c r="L130" s="9" t="str">
        <f t="shared" ca="1" si="31"/>
        <v/>
      </c>
      <c r="M130" s="9" t="str">
        <f t="shared" si="32"/>
        <v/>
      </c>
      <c r="N130" s="9" t="str">
        <f t="shared" si="33"/>
        <v/>
      </c>
      <c r="O130" s="9" t="str">
        <f t="shared" si="34"/>
        <v/>
      </c>
      <c r="P130" s="9" t="str">
        <f t="shared" si="35"/>
        <v/>
      </c>
      <c r="Q130" s="9" t="str">
        <f t="shared" si="36"/>
        <v/>
      </c>
      <c r="R130" s="9" t="str">
        <f t="shared" si="37"/>
        <v/>
      </c>
      <c r="S130" s="9" t="str">
        <f t="shared" si="38"/>
        <v/>
      </c>
      <c r="T130" s="9" t="str">
        <f t="shared" si="39"/>
        <v/>
      </c>
      <c r="U130" s="21" t="str">
        <f t="shared" si="40"/>
        <v/>
      </c>
      <c r="W130" s="3"/>
      <c r="X130" s="3"/>
      <c r="Y130" s="3"/>
      <c r="Z130" s="3"/>
      <c r="AA130" s="3"/>
    </row>
    <row r="131" spans="1:27" x14ac:dyDescent="0.15">
      <c r="A131" s="27" t="s">
        <v>150</v>
      </c>
      <c r="B131" s="19"/>
      <c r="C131" s="18"/>
      <c r="D131" s="18"/>
      <c r="E131" s="18"/>
      <c r="F131" s="18"/>
      <c r="G131" s="37" t="str">
        <f t="shared" si="27"/>
        <v/>
      </c>
      <c r="H131" s="27" t="str">
        <f t="shared" si="28"/>
        <v/>
      </c>
      <c r="J131" s="20">
        <f t="shared" si="29"/>
        <v>0</v>
      </c>
      <c r="K131" s="9" t="str">
        <f t="shared" si="30"/>
        <v/>
      </c>
      <c r="L131" s="9" t="str">
        <f t="shared" ca="1" si="31"/>
        <v/>
      </c>
      <c r="M131" s="9" t="str">
        <f t="shared" si="32"/>
        <v/>
      </c>
      <c r="N131" s="9" t="str">
        <f t="shared" si="33"/>
        <v/>
      </c>
      <c r="O131" s="9" t="str">
        <f t="shared" si="34"/>
        <v/>
      </c>
      <c r="P131" s="9" t="str">
        <f t="shared" si="35"/>
        <v/>
      </c>
      <c r="Q131" s="9" t="str">
        <f t="shared" si="36"/>
        <v/>
      </c>
      <c r="R131" s="9" t="str">
        <f t="shared" si="37"/>
        <v/>
      </c>
      <c r="S131" s="9" t="str">
        <f t="shared" si="38"/>
        <v/>
      </c>
      <c r="T131" s="9" t="str">
        <f t="shared" si="39"/>
        <v/>
      </c>
      <c r="U131" s="21" t="str">
        <f t="shared" si="40"/>
        <v/>
      </c>
      <c r="W131" s="3"/>
      <c r="X131" s="3"/>
      <c r="Y131" s="3"/>
      <c r="Z131" s="3"/>
      <c r="AA131" s="3"/>
    </row>
    <row r="132" spans="1:27" x14ac:dyDescent="0.15">
      <c r="A132" s="27" t="s">
        <v>151</v>
      </c>
      <c r="B132" s="19"/>
      <c r="C132" s="18"/>
      <c r="D132" s="18"/>
      <c r="E132" s="18"/>
      <c r="F132" s="18"/>
      <c r="G132" s="37" t="str">
        <f t="shared" ref="G132:G163" si="41">IF(F132="","",VLOOKUP(F132,$B$21:$C$25,2,0))</f>
        <v/>
      </c>
      <c r="H132" s="27" t="str">
        <f t="shared" si="28"/>
        <v/>
      </c>
      <c r="J132" s="20">
        <f t="shared" si="29"/>
        <v>0</v>
      </c>
      <c r="K132" s="9" t="str">
        <f t="shared" si="30"/>
        <v/>
      </c>
      <c r="L132" s="9" t="str">
        <f t="shared" ca="1" si="31"/>
        <v/>
      </c>
      <c r="M132" s="9" t="str">
        <f t="shared" si="32"/>
        <v/>
      </c>
      <c r="N132" s="9" t="str">
        <f t="shared" si="33"/>
        <v/>
      </c>
      <c r="O132" s="9" t="str">
        <f t="shared" si="34"/>
        <v/>
      </c>
      <c r="P132" s="9" t="str">
        <f t="shared" si="35"/>
        <v/>
      </c>
      <c r="Q132" s="9" t="str">
        <f t="shared" si="36"/>
        <v/>
      </c>
      <c r="R132" s="9" t="str">
        <f t="shared" si="37"/>
        <v/>
      </c>
      <c r="S132" s="9" t="str">
        <f t="shared" si="38"/>
        <v/>
      </c>
      <c r="T132" s="9" t="str">
        <f t="shared" si="39"/>
        <v/>
      </c>
      <c r="U132" s="21" t="str">
        <f t="shared" si="40"/>
        <v/>
      </c>
      <c r="W132" s="3"/>
      <c r="X132" s="3"/>
      <c r="Y132" s="3"/>
      <c r="Z132" s="3"/>
      <c r="AA132" s="3"/>
    </row>
    <row r="133" spans="1:27" x14ac:dyDescent="0.15">
      <c r="A133" s="27" t="s">
        <v>152</v>
      </c>
      <c r="B133" s="19"/>
      <c r="C133" s="18"/>
      <c r="D133" s="18"/>
      <c r="E133" s="18"/>
      <c r="F133" s="18"/>
      <c r="G133" s="37" t="str">
        <f t="shared" si="41"/>
        <v/>
      </c>
      <c r="H133" s="27" t="str">
        <f t="shared" si="28"/>
        <v/>
      </c>
      <c r="J133" s="20">
        <f t="shared" si="29"/>
        <v>0</v>
      </c>
      <c r="K133" s="9" t="str">
        <f t="shared" si="30"/>
        <v/>
      </c>
      <c r="L133" s="9" t="str">
        <f t="shared" ca="1" si="31"/>
        <v/>
      </c>
      <c r="M133" s="9" t="str">
        <f t="shared" si="32"/>
        <v/>
      </c>
      <c r="N133" s="9" t="str">
        <f t="shared" si="33"/>
        <v/>
      </c>
      <c r="O133" s="9" t="str">
        <f t="shared" si="34"/>
        <v/>
      </c>
      <c r="P133" s="9" t="str">
        <f t="shared" si="35"/>
        <v/>
      </c>
      <c r="Q133" s="9" t="str">
        <f t="shared" si="36"/>
        <v/>
      </c>
      <c r="R133" s="9" t="str">
        <f t="shared" si="37"/>
        <v/>
      </c>
      <c r="S133" s="9" t="str">
        <f t="shared" si="38"/>
        <v/>
      </c>
      <c r="T133" s="9" t="str">
        <f t="shared" si="39"/>
        <v/>
      </c>
      <c r="U133" s="21" t="str">
        <f t="shared" si="40"/>
        <v/>
      </c>
      <c r="W133" s="3"/>
      <c r="X133" s="3"/>
      <c r="Y133" s="3"/>
      <c r="Z133" s="3"/>
      <c r="AA133" s="3"/>
    </row>
    <row r="134" spans="1:27" x14ac:dyDescent="0.15">
      <c r="A134" s="27" t="s">
        <v>153</v>
      </c>
      <c r="B134" s="19"/>
      <c r="C134" s="18"/>
      <c r="D134" s="18"/>
      <c r="E134" s="18"/>
      <c r="F134" s="18"/>
      <c r="G134" s="37" t="str">
        <f t="shared" si="41"/>
        <v/>
      </c>
      <c r="H134" s="27" t="str">
        <f t="shared" si="28"/>
        <v/>
      </c>
      <c r="J134" s="20">
        <f t="shared" si="29"/>
        <v>0</v>
      </c>
      <c r="K134" s="9" t="str">
        <f t="shared" si="30"/>
        <v/>
      </c>
      <c r="L134" s="9" t="str">
        <f t="shared" ca="1" si="31"/>
        <v/>
      </c>
      <c r="M134" s="9" t="str">
        <f t="shared" si="32"/>
        <v/>
      </c>
      <c r="N134" s="9" t="str">
        <f t="shared" si="33"/>
        <v/>
      </c>
      <c r="O134" s="9" t="str">
        <f t="shared" si="34"/>
        <v/>
      </c>
      <c r="P134" s="9" t="str">
        <f t="shared" si="35"/>
        <v/>
      </c>
      <c r="Q134" s="9" t="str">
        <f t="shared" si="36"/>
        <v/>
      </c>
      <c r="R134" s="9" t="str">
        <f t="shared" si="37"/>
        <v/>
      </c>
      <c r="S134" s="9" t="str">
        <f t="shared" si="38"/>
        <v/>
      </c>
      <c r="T134" s="9" t="str">
        <f t="shared" si="39"/>
        <v/>
      </c>
      <c r="U134" s="21" t="str">
        <f t="shared" si="40"/>
        <v/>
      </c>
      <c r="W134" s="3"/>
      <c r="X134" s="3"/>
      <c r="Y134" s="3"/>
      <c r="Z134" s="3"/>
      <c r="AA134" s="3"/>
    </row>
    <row r="135" spans="1:27" x14ac:dyDescent="0.15">
      <c r="A135" s="27" t="s">
        <v>154</v>
      </c>
      <c r="B135" s="19"/>
      <c r="C135" s="18"/>
      <c r="D135" s="18"/>
      <c r="E135" s="18"/>
      <c r="F135" s="18"/>
      <c r="G135" s="37" t="str">
        <f t="shared" si="41"/>
        <v/>
      </c>
      <c r="H135" s="27" t="str">
        <f t="shared" si="28"/>
        <v/>
      </c>
      <c r="J135" s="20">
        <f t="shared" si="29"/>
        <v>0</v>
      </c>
      <c r="K135" s="9" t="str">
        <f t="shared" si="30"/>
        <v/>
      </c>
      <c r="L135" s="9" t="str">
        <f t="shared" ca="1" si="31"/>
        <v/>
      </c>
      <c r="M135" s="9" t="str">
        <f t="shared" si="32"/>
        <v/>
      </c>
      <c r="N135" s="9" t="str">
        <f t="shared" si="33"/>
        <v/>
      </c>
      <c r="O135" s="9" t="str">
        <f t="shared" si="34"/>
        <v/>
      </c>
      <c r="P135" s="9" t="str">
        <f t="shared" si="35"/>
        <v/>
      </c>
      <c r="Q135" s="9" t="str">
        <f t="shared" si="36"/>
        <v/>
      </c>
      <c r="R135" s="9" t="str">
        <f t="shared" si="37"/>
        <v/>
      </c>
      <c r="S135" s="9" t="str">
        <f t="shared" si="38"/>
        <v/>
      </c>
      <c r="T135" s="9" t="str">
        <f t="shared" si="39"/>
        <v/>
      </c>
      <c r="U135" s="21" t="str">
        <f t="shared" si="40"/>
        <v/>
      </c>
      <c r="W135" s="3"/>
      <c r="X135" s="3"/>
      <c r="Y135" s="3"/>
      <c r="Z135" s="3"/>
      <c r="AA135" s="3"/>
    </row>
    <row r="136" spans="1:27" x14ac:dyDescent="0.15">
      <c r="A136" s="27" t="s">
        <v>155</v>
      </c>
      <c r="B136" s="19"/>
      <c r="C136" s="18"/>
      <c r="D136" s="18"/>
      <c r="E136" s="18"/>
      <c r="F136" s="18"/>
      <c r="G136" s="37" t="str">
        <f t="shared" si="41"/>
        <v/>
      </c>
      <c r="H136" s="27" t="str">
        <f t="shared" si="28"/>
        <v/>
      </c>
      <c r="J136" s="20">
        <f t="shared" si="29"/>
        <v>0</v>
      </c>
      <c r="K136" s="9" t="str">
        <f t="shared" si="30"/>
        <v/>
      </c>
      <c r="L136" s="9" t="str">
        <f t="shared" ca="1" si="31"/>
        <v/>
      </c>
      <c r="M136" s="9" t="str">
        <f t="shared" si="32"/>
        <v/>
      </c>
      <c r="N136" s="9" t="str">
        <f t="shared" si="33"/>
        <v/>
      </c>
      <c r="O136" s="9" t="str">
        <f t="shared" si="34"/>
        <v/>
      </c>
      <c r="P136" s="9" t="str">
        <f t="shared" si="35"/>
        <v/>
      </c>
      <c r="Q136" s="9" t="str">
        <f t="shared" si="36"/>
        <v/>
      </c>
      <c r="R136" s="9" t="str">
        <f t="shared" si="37"/>
        <v/>
      </c>
      <c r="S136" s="9" t="str">
        <f t="shared" si="38"/>
        <v/>
      </c>
      <c r="T136" s="9" t="str">
        <f t="shared" si="39"/>
        <v/>
      </c>
      <c r="U136" s="21" t="str">
        <f t="shared" si="40"/>
        <v/>
      </c>
      <c r="W136" s="3"/>
      <c r="X136" s="3"/>
      <c r="Y136" s="3"/>
      <c r="Z136" s="3"/>
      <c r="AA136" s="3"/>
    </row>
    <row r="137" spans="1:27" x14ac:dyDescent="0.15">
      <c r="A137" s="27" t="s">
        <v>156</v>
      </c>
      <c r="B137" s="19"/>
      <c r="C137" s="18"/>
      <c r="D137" s="18"/>
      <c r="E137" s="18"/>
      <c r="F137" s="18"/>
      <c r="G137" s="37" t="str">
        <f t="shared" si="41"/>
        <v/>
      </c>
      <c r="H137" s="27" t="str">
        <f t="shared" si="28"/>
        <v/>
      </c>
      <c r="J137" s="20">
        <f t="shared" si="29"/>
        <v>0</v>
      </c>
      <c r="K137" s="9" t="str">
        <f t="shared" si="30"/>
        <v/>
      </c>
      <c r="L137" s="9" t="str">
        <f t="shared" ca="1" si="31"/>
        <v/>
      </c>
      <c r="M137" s="9" t="str">
        <f t="shared" si="32"/>
        <v/>
      </c>
      <c r="N137" s="9" t="str">
        <f t="shared" si="33"/>
        <v/>
      </c>
      <c r="O137" s="9" t="str">
        <f t="shared" si="34"/>
        <v/>
      </c>
      <c r="P137" s="9" t="str">
        <f t="shared" si="35"/>
        <v/>
      </c>
      <c r="Q137" s="9" t="str">
        <f t="shared" si="36"/>
        <v/>
      </c>
      <c r="R137" s="9" t="str">
        <f t="shared" si="37"/>
        <v/>
      </c>
      <c r="S137" s="9" t="str">
        <f t="shared" si="38"/>
        <v/>
      </c>
      <c r="T137" s="9" t="str">
        <f t="shared" si="39"/>
        <v/>
      </c>
      <c r="U137" s="21" t="str">
        <f t="shared" si="40"/>
        <v/>
      </c>
      <c r="W137" s="3"/>
      <c r="X137" s="3"/>
      <c r="Y137" s="3"/>
      <c r="Z137" s="3"/>
      <c r="AA137" s="3"/>
    </row>
    <row r="138" spans="1:27" x14ac:dyDescent="0.15">
      <c r="A138" s="27" t="s">
        <v>157</v>
      </c>
      <c r="B138" s="19"/>
      <c r="C138" s="18"/>
      <c r="D138" s="18"/>
      <c r="E138" s="18"/>
      <c r="F138" s="18"/>
      <c r="G138" s="37" t="str">
        <f t="shared" si="41"/>
        <v/>
      </c>
      <c r="H138" s="27" t="str">
        <f t="shared" si="28"/>
        <v/>
      </c>
      <c r="J138" s="20">
        <f t="shared" si="29"/>
        <v>0</v>
      </c>
      <c r="K138" s="9" t="str">
        <f t="shared" si="30"/>
        <v/>
      </c>
      <c r="L138" s="9" t="str">
        <f t="shared" ca="1" si="31"/>
        <v/>
      </c>
      <c r="M138" s="9" t="str">
        <f t="shared" si="32"/>
        <v/>
      </c>
      <c r="N138" s="9" t="str">
        <f t="shared" si="33"/>
        <v/>
      </c>
      <c r="O138" s="9" t="str">
        <f t="shared" si="34"/>
        <v/>
      </c>
      <c r="P138" s="9" t="str">
        <f t="shared" si="35"/>
        <v/>
      </c>
      <c r="Q138" s="9" t="str">
        <f t="shared" si="36"/>
        <v/>
      </c>
      <c r="R138" s="9" t="str">
        <f t="shared" si="37"/>
        <v/>
      </c>
      <c r="S138" s="9" t="str">
        <f t="shared" si="38"/>
        <v/>
      </c>
      <c r="T138" s="9" t="str">
        <f t="shared" si="39"/>
        <v/>
      </c>
      <c r="U138" s="21" t="str">
        <f t="shared" si="40"/>
        <v/>
      </c>
      <c r="W138" s="3"/>
      <c r="X138" s="3"/>
      <c r="Y138" s="3"/>
      <c r="Z138" s="3"/>
      <c r="AA138" s="3"/>
    </row>
    <row r="139" spans="1:27" x14ac:dyDescent="0.15">
      <c r="A139" s="27" t="s">
        <v>158</v>
      </c>
      <c r="B139" s="19"/>
      <c r="C139" s="18"/>
      <c r="D139" s="18"/>
      <c r="E139" s="18"/>
      <c r="F139" s="18"/>
      <c r="G139" s="37" t="str">
        <f t="shared" si="41"/>
        <v/>
      </c>
      <c r="H139" s="27" t="str">
        <f t="shared" si="28"/>
        <v/>
      </c>
      <c r="J139" s="20">
        <f t="shared" si="29"/>
        <v>0</v>
      </c>
      <c r="K139" s="9" t="str">
        <f t="shared" si="30"/>
        <v/>
      </c>
      <c r="L139" s="9" t="str">
        <f t="shared" ca="1" si="31"/>
        <v/>
      </c>
      <c r="M139" s="9" t="str">
        <f t="shared" si="32"/>
        <v/>
      </c>
      <c r="N139" s="9" t="str">
        <f t="shared" si="33"/>
        <v/>
      </c>
      <c r="O139" s="9" t="str">
        <f t="shared" si="34"/>
        <v/>
      </c>
      <c r="P139" s="9" t="str">
        <f t="shared" si="35"/>
        <v/>
      </c>
      <c r="Q139" s="9" t="str">
        <f t="shared" si="36"/>
        <v/>
      </c>
      <c r="R139" s="9" t="str">
        <f t="shared" si="37"/>
        <v/>
      </c>
      <c r="S139" s="9" t="str">
        <f t="shared" si="38"/>
        <v/>
      </c>
      <c r="T139" s="9" t="str">
        <f t="shared" si="39"/>
        <v/>
      </c>
      <c r="U139" s="21" t="str">
        <f t="shared" si="40"/>
        <v/>
      </c>
      <c r="W139" s="3"/>
      <c r="X139" s="3"/>
      <c r="Y139" s="3"/>
      <c r="Z139" s="3"/>
      <c r="AA139" s="3"/>
    </row>
    <row r="140" spans="1:27" x14ac:dyDescent="0.15">
      <c r="A140" s="27" t="s">
        <v>159</v>
      </c>
      <c r="B140" s="19"/>
      <c r="C140" s="18"/>
      <c r="D140" s="18"/>
      <c r="E140" s="18"/>
      <c r="F140" s="18"/>
      <c r="G140" s="37" t="str">
        <f t="shared" si="41"/>
        <v/>
      </c>
      <c r="H140" s="27" t="str">
        <f t="shared" si="28"/>
        <v/>
      </c>
      <c r="J140" s="20">
        <f t="shared" si="29"/>
        <v>0</v>
      </c>
      <c r="K140" s="9" t="str">
        <f t="shared" si="30"/>
        <v/>
      </c>
      <c r="L140" s="9" t="str">
        <f t="shared" ca="1" si="31"/>
        <v/>
      </c>
      <c r="M140" s="9" t="str">
        <f t="shared" si="32"/>
        <v/>
      </c>
      <c r="N140" s="9" t="str">
        <f t="shared" si="33"/>
        <v/>
      </c>
      <c r="O140" s="9" t="str">
        <f t="shared" si="34"/>
        <v/>
      </c>
      <c r="P140" s="9" t="str">
        <f t="shared" si="35"/>
        <v/>
      </c>
      <c r="Q140" s="9" t="str">
        <f t="shared" si="36"/>
        <v/>
      </c>
      <c r="R140" s="9" t="str">
        <f t="shared" si="37"/>
        <v/>
      </c>
      <c r="S140" s="9" t="str">
        <f t="shared" si="38"/>
        <v/>
      </c>
      <c r="T140" s="9" t="str">
        <f t="shared" si="39"/>
        <v/>
      </c>
      <c r="U140" s="21" t="str">
        <f t="shared" si="40"/>
        <v/>
      </c>
      <c r="W140" s="3"/>
      <c r="X140" s="3"/>
      <c r="Y140" s="3"/>
      <c r="Z140" s="3"/>
      <c r="AA140" s="3"/>
    </row>
    <row r="141" spans="1:27" x14ac:dyDescent="0.15">
      <c r="A141" s="27" t="s">
        <v>160</v>
      </c>
      <c r="B141" s="19"/>
      <c r="C141" s="18"/>
      <c r="D141" s="18"/>
      <c r="E141" s="18"/>
      <c r="F141" s="18"/>
      <c r="G141" s="37" t="str">
        <f t="shared" si="41"/>
        <v/>
      </c>
      <c r="H141" s="27" t="str">
        <f t="shared" si="28"/>
        <v/>
      </c>
      <c r="J141" s="20">
        <f t="shared" si="29"/>
        <v>0</v>
      </c>
      <c r="K141" s="9" t="str">
        <f t="shared" si="30"/>
        <v/>
      </c>
      <c r="L141" s="9" t="str">
        <f t="shared" ca="1" si="31"/>
        <v/>
      </c>
      <c r="M141" s="9" t="str">
        <f t="shared" si="32"/>
        <v/>
      </c>
      <c r="N141" s="9" t="str">
        <f t="shared" si="33"/>
        <v/>
      </c>
      <c r="O141" s="9" t="str">
        <f t="shared" si="34"/>
        <v/>
      </c>
      <c r="P141" s="9" t="str">
        <f t="shared" si="35"/>
        <v/>
      </c>
      <c r="Q141" s="9" t="str">
        <f t="shared" si="36"/>
        <v/>
      </c>
      <c r="R141" s="9" t="str">
        <f t="shared" si="37"/>
        <v/>
      </c>
      <c r="S141" s="9" t="str">
        <f t="shared" si="38"/>
        <v/>
      </c>
      <c r="T141" s="9" t="str">
        <f t="shared" si="39"/>
        <v/>
      </c>
      <c r="U141" s="21" t="str">
        <f t="shared" si="40"/>
        <v/>
      </c>
      <c r="W141" s="3"/>
      <c r="X141" s="3"/>
      <c r="Y141" s="3"/>
      <c r="Z141" s="3"/>
      <c r="AA141" s="3"/>
    </row>
    <row r="142" spans="1:27" x14ac:dyDescent="0.15">
      <c r="A142" s="27" t="s">
        <v>161</v>
      </c>
      <c r="B142" s="19"/>
      <c r="C142" s="18"/>
      <c r="D142" s="18"/>
      <c r="E142" s="18"/>
      <c r="F142" s="18"/>
      <c r="G142" s="37" t="str">
        <f t="shared" si="41"/>
        <v/>
      </c>
      <c r="H142" s="27" t="str">
        <f t="shared" si="28"/>
        <v/>
      </c>
      <c r="J142" s="20">
        <f t="shared" si="29"/>
        <v>0</v>
      </c>
      <c r="K142" s="9" t="str">
        <f t="shared" si="30"/>
        <v/>
      </c>
      <c r="L142" s="9" t="str">
        <f t="shared" ca="1" si="31"/>
        <v/>
      </c>
      <c r="M142" s="9" t="str">
        <f t="shared" si="32"/>
        <v/>
      </c>
      <c r="N142" s="9" t="str">
        <f t="shared" si="33"/>
        <v/>
      </c>
      <c r="O142" s="9" t="str">
        <f t="shared" si="34"/>
        <v/>
      </c>
      <c r="P142" s="9" t="str">
        <f t="shared" si="35"/>
        <v/>
      </c>
      <c r="Q142" s="9" t="str">
        <f t="shared" si="36"/>
        <v/>
      </c>
      <c r="R142" s="9" t="str">
        <f t="shared" si="37"/>
        <v/>
      </c>
      <c r="S142" s="9" t="str">
        <f t="shared" si="38"/>
        <v/>
      </c>
      <c r="T142" s="9" t="str">
        <f t="shared" si="39"/>
        <v/>
      </c>
      <c r="U142" s="21" t="str">
        <f t="shared" si="40"/>
        <v/>
      </c>
      <c r="W142" s="3"/>
      <c r="X142" s="3"/>
      <c r="Y142" s="3"/>
      <c r="Z142" s="3"/>
      <c r="AA142" s="3"/>
    </row>
    <row r="143" spans="1:27" x14ac:dyDescent="0.15">
      <c r="A143" s="27" t="s">
        <v>162</v>
      </c>
      <c r="B143" s="19"/>
      <c r="C143" s="18"/>
      <c r="D143" s="18"/>
      <c r="E143" s="18"/>
      <c r="F143" s="18"/>
      <c r="G143" s="37" t="str">
        <f t="shared" si="41"/>
        <v/>
      </c>
      <c r="H143" s="27" t="str">
        <f t="shared" si="28"/>
        <v/>
      </c>
      <c r="J143" s="20">
        <f t="shared" si="29"/>
        <v>0</v>
      </c>
      <c r="K143" s="9" t="str">
        <f t="shared" si="30"/>
        <v/>
      </c>
      <c r="L143" s="9" t="str">
        <f t="shared" ca="1" si="31"/>
        <v/>
      </c>
      <c r="M143" s="9" t="str">
        <f t="shared" si="32"/>
        <v/>
      </c>
      <c r="N143" s="9" t="str">
        <f t="shared" si="33"/>
        <v/>
      </c>
      <c r="O143" s="9" t="str">
        <f t="shared" si="34"/>
        <v/>
      </c>
      <c r="P143" s="9" t="str">
        <f t="shared" si="35"/>
        <v/>
      </c>
      <c r="Q143" s="9" t="str">
        <f t="shared" si="36"/>
        <v/>
      </c>
      <c r="R143" s="9" t="str">
        <f t="shared" si="37"/>
        <v/>
      </c>
      <c r="S143" s="9" t="str">
        <f t="shared" si="38"/>
        <v/>
      </c>
      <c r="T143" s="9" t="str">
        <f t="shared" si="39"/>
        <v/>
      </c>
      <c r="U143" s="21" t="str">
        <f t="shared" si="40"/>
        <v/>
      </c>
      <c r="W143" s="3"/>
      <c r="X143" s="3"/>
      <c r="Y143" s="3"/>
      <c r="Z143" s="3"/>
      <c r="AA143" s="3"/>
    </row>
    <row r="144" spans="1:27" x14ac:dyDescent="0.15">
      <c r="A144" s="27" t="s">
        <v>163</v>
      </c>
      <c r="B144" s="19"/>
      <c r="C144" s="18"/>
      <c r="D144" s="18"/>
      <c r="E144" s="18"/>
      <c r="F144" s="18"/>
      <c r="G144" s="37" t="str">
        <f t="shared" si="41"/>
        <v/>
      </c>
      <c r="H144" s="27" t="str">
        <f t="shared" si="28"/>
        <v/>
      </c>
      <c r="J144" s="20">
        <f t="shared" si="29"/>
        <v>0</v>
      </c>
      <c r="K144" s="9" t="str">
        <f t="shared" si="30"/>
        <v/>
      </c>
      <c r="L144" s="9" t="str">
        <f t="shared" ca="1" si="31"/>
        <v/>
      </c>
      <c r="M144" s="9" t="str">
        <f t="shared" si="32"/>
        <v/>
      </c>
      <c r="N144" s="9" t="str">
        <f t="shared" si="33"/>
        <v/>
      </c>
      <c r="O144" s="9" t="str">
        <f t="shared" si="34"/>
        <v/>
      </c>
      <c r="P144" s="9" t="str">
        <f t="shared" si="35"/>
        <v/>
      </c>
      <c r="Q144" s="9" t="str">
        <f t="shared" si="36"/>
        <v/>
      </c>
      <c r="R144" s="9" t="str">
        <f t="shared" si="37"/>
        <v/>
      </c>
      <c r="S144" s="9" t="str">
        <f t="shared" si="38"/>
        <v/>
      </c>
      <c r="T144" s="9" t="str">
        <f t="shared" si="39"/>
        <v/>
      </c>
      <c r="U144" s="21" t="str">
        <f t="shared" si="40"/>
        <v/>
      </c>
      <c r="W144" s="3"/>
      <c r="X144" s="3"/>
      <c r="Y144" s="3"/>
      <c r="Z144" s="3"/>
      <c r="AA144" s="3"/>
    </row>
    <row r="145" spans="1:27" x14ac:dyDescent="0.15">
      <c r="A145" s="27" t="s">
        <v>164</v>
      </c>
      <c r="B145" s="19"/>
      <c r="C145" s="18"/>
      <c r="D145" s="18"/>
      <c r="E145" s="18"/>
      <c r="F145" s="18"/>
      <c r="G145" s="37" t="str">
        <f t="shared" si="41"/>
        <v/>
      </c>
      <c r="H145" s="27" t="str">
        <f t="shared" si="28"/>
        <v/>
      </c>
      <c r="J145" s="20">
        <f t="shared" si="29"/>
        <v>0</v>
      </c>
      <c r="K145" s="9" t="str">
        <f t="shared" si="30"/>
        <v/>
      </c>
      <c r="L145" s="9" t="str">
        <f t="shared" ca="1" si="31"/>
        <v/>
      </c>
      <c r="M145" s="9" t="str">
        <f t="shared" si="32"/>
        <v/>
      </c>
      <c r="N145" s="9" t="str">
        <f t="shared" si="33"/>
        <v/>
      </c>
      <c r="O145" s="9" t="str">
        <f t="shared" si="34"/>
        <v/>
      </c>
      <c r="P145" s="9" t="str">
        <f t="shared" si="35"/>
        <v/>
      </c>
      <c r="Q145" s="9" t="str">
        <f t="shared" si="36"/>
        <v/>
      </c>
      <c r="R145" s="9" t="str">
        <f t="shared" si="37"/>
        <v/>
      </c>
      <c r="S145" s="9" t="str">
        <f t="shared" si="38"/>
        <v/>
      </c>
      <c r="T145" s="9" t="str">
        <f t="shared" si="39"/>
        <v/>
      </c>
      <c r="U145" s="21" t="str">
        <f t="shared" si="40"/>
        <v/>
      </c>
      <c r="W145" s="3"/>
      <c r="X145" s="3"/>
      <c r="Y145" s="3"/>
      <c r="Z145" s="3"/>
      <c r="AA145" s="3"/>
    </row>
    <row r="146" spans="1:27" x14ac:dyDescent="0.15">
      <c r="A146" s="27" t="s">
        <v>165</v>
      </c>
      <c r="B146" s="19"/>
      <c r="C146" s="18"/>
      <c r="D146" s="18"/>
      <c r="E146" s="18"/>
      <c r="F146" s="18"/>
      <c r="G146" s="37" t="str">
        <f t="shared" si="41"/>
        <v/>
      </c>
      <c r="H146" s="27" t="str">
        <f t="shared" si="28"/>
        <v/>
      </c>
      <c r="J146" s="20">
        <f t="shared" si="29"/>
        <v>0</v>
      </c>
      <c r="K146" s="9" t="str">
        <f t="shared" si="30"/>
        <v/>
      </c>
      <c r="L146" s="9" t="str">
        <f t="shared" ca="1" si="31"/>
        <v/>
      </c>
      <c r="M146" s="9" t="str">
        <f t="shared" si="32"/>
        <v/>
      </c>
      <c r="N146" s="9" t="str">
        <f t="shared" si="33"/>
        <v/>
      </c>
      <c r="O146" s="9" t="str">
        <f t="shared" si="34"/>
        <v/>
      </c>
      <c r="P146" s="9" t="str">
        <f t="shared" si="35"/>
        <v/>
      </c>
      <c r="Q146" s="9" t="str">
        <f t="shared" si="36"/>
        <v/>
      </c>
      <c r="R146" s="9" t="str">
        <f t="shared" si="37"/>
        <v/>
      </c>
      <c r="S146" s="9" t="str">
        <f t="shared" si="38"/>
        <v/>
      </c>
      <c r="T146" s="9" t="str">
        <f t="shared" si="39"/>
        <v/>
      </c>
      <c r="U146" s="21" t="str">
        <f t="shared" si="40"/>
        <v/>
      </c>
      <c r="W146" s="3"/>
      <c r="X146" s="3"/>
      <c r="Y146" s="3"/>
      <c r="Z146" s="3"/>
      <c r="AA146" s="3"/>
    </row>
    <row r="147" spans="1:27" x14ac:dyDescent="0.15">
      <c r="A147" s="27" t="s">
        <v>166</v>
      </c>
      <c r="B147" s="19"/>
      <c r="C147" s="18"/>
      <c r="D147" s="18"/>
      <c r="E147" s="18"/>
      <c r="F147" s="18"/>
      <c r="G147" s="37" t="str">
        <f t="shared" si="41"/>
        <v/>
      </c>
      <c r="H147" s="27" t="str">
        <f t="shared" si="28"/>
        <v/>
      </c>
      <c r="J147" s="20">
        <f t="shared" si="29"/>
        <v>0</v>
      </c>
      <c r="K147" s="9" t="str">
        <f t="shared" si="30"/>
        <v/>
      </c>
      <c r="L147" s="9" t="str">
        <f t="shared" ca="1" si="31"/>
        <v/>
      </c>
      <c r="M147" s="9" t="str">
        <f t="shared" si="32"/>
        <v/>
      </c>
      <c r="N147" s="9" t="str">
        <f t="shared" si="33"/>
        <v/>
      </c>
      <c r="O147" s="9" t="str">
        <f t="shared" si="34"/>
        <v/>
      </c>
      <c r="P147" s="9" t="str">
        <f t="shared" si="35"/>
        <v/>
      </c>
      <c r="Q147" s="9" t="str">
        <f t="shared" si="36"/>
        <v/>
      </c>
      <c r="R147" s="9" t="str">
        <f t="shared" si="37"/>
        <v/>
      </c>
      <c r="S147" s="9" t="str">
        <f t="shared" si="38"/>
        <v/>
      </c>
      <c r="T147" s="9" t="str">
        <f t="shared" si="39"/>
        <v/>
      </c>
      <c r="U147" s="21" t="str">
        <f t="shared" si="40"/>
        <v/>
      </c>
      <c r="W147" s="3"/>
      <c r="X147" s="3"/>
      <c r="Y147" s="3"/>
      <c r="Z147" s="3"/>
      <c r="AA147" s="3"/>
    </row>
    <row r="148" spans="1:27" x14ac:dyDescent="0.15">
      <c r="A148" s="27" t="s">
        <v>167</v>
      </c>
      <c r="B148" s="19"/>
      <c r="C148" s="18"/>
      <c r="D148" s="18"/>
      <c r="E148" s="18"/>
      <c r="F148" s="18"/>
      <c r="G148" s="37" t="str">
        <f t="shared" si="41"/>
        <v/>
      </c>
      <c r="H148" s="27" t="str">
        <f t="shared" ref="H148:H179" si="42">IF(F148="","",INDEX($A$21:$B$25,MATCH(F148,$B$21:$B$25,0),1))</f>
        <v/>
      </c>
      <c r="J148" s="20">
        <f t="shared" ref="J148:J179" si="43">COUNTA(B148:G148)-IF(G148="",COUNTA(G148),0)</f>
        <v>0</v>
      </c>
      <c r="K148" s="9" t="str">
        <f t="shared" ref="K148:K179" si="44">IF($J148=0,"",IF(COUNTA(B148:G148)&lt;&gt;COUNTA($B$50:$G$50),"Error","OK"))</f>
        <v/>
      </c>
      <c r="L148" s="9" t="str">
        <f t="shared" ref="L148:L179" ca="1" si="45">IF($J148=0,"",IF(AND(B148&gt;=DATE(1900,1,1),B148&lt;=TODAY()),"OK","Error"))</f>
        <v/>
      </c>
      <c r="M148" s="9" t="str">
        <f t="shared" ref="M148:M179" si="46">IF($J148=0,"",IF(C148="Not Used","Error",IFERROR(IF(VLOOKUP(C148,C$44:C$48,1,0)=C148,"OK",""),"Error")))</f>
        <v/>
      </c>
      <c r="N148" s="9" t="str">
        <f t="shared" ref="N148:N179" si="47">IF($J148=0,"",IF(D148="Not Used","Error",IFERROR(IF(VLOOKUP(D148,D$44:D$48,1,0)=D148,"OK",""),"Error")))</f>
        <v/>
      </c>
      <c r="O148" s="9" t="str">
        <f t="shared" ref="O148:O179" si="48">IF($J148=0,"",IF(E148="Not Used","Error",IFERROR(IF(VLOOKUP(E148,E$44:E$48,1,0)=E148,"OK",""),"Error")))</f>
        <v/>
      </c>
      <c r="P148" s="9" t="str">
        <f t="shared" ref="P148:P179" si="49">IF($J148=0,"",IFERROR(IF(VLOOKUP(F148,F$44:F$48,1,0)=F148,"OK",""),"Error"))</f>
        <v/>
      </c>
      <c r="Q148" s="9" t="str">
        <f t="shared" ref="Q148:Q179" si="50">IF($J148=0,"",IFERROR(IF(VLOOKUP(H148,$A$21:$C$25,3,0)=G148,"OK","Error"),"Error"))</f>
        <v/>
      </c>
      <c r="R148" s="9" t="str">
        <f t="shared" ref="R148:R179" si="51">IF($J148=0,"",IFERROR(IF(AND($E148="Principal",$U148&lt;21),"Error","OK"),"Error"))</f>
        <v/>
      </c>
      <c r="S148" s="9" t="str">
        <f t="shared" ref="S148:S179" si="52">IF($J148=0,"",IFERROR(IF($U148&gt;=$S$47,"Error","OK"),"Error"))</f>
        <v/>
      </c>
      <c r="T148" s="9" t="str">
        <f t="shared" ref="T148:T179" si="53">IF($J148=0,"",IFERROR(IF(U148&lt;0,"Error","OK"),"Error"))</f>
        <v/>
      </c>
      <c r="U148" s="21" t="str">
        <f t="shared" ref="U148:U179" si="54">IF($J148=0,"",($B$16-B148)/365.25)</f>
        <v/>
      </c>
      <c r="W148" s="3"/>
      <c r="X148" s="3"/>
      <c r="Y148" s="3"/>
      <c r="Z148" s="3"/>
      <c r="AA148" s="3"/>
    </row>
    <row r="149" spans="1:27" x14ac:dyDescent="0.15">
      <c r="A149" s="27" t="s">
        <v>168</v>
      </c>
      <c r="B149" s="19"/>
      <c r="C149" s="18"/>
      <c r="D149" s="18"/>
      <c r="E149" s="18"/>
      <c r="F149" s="18"/>
      <c r="G149" s="37" t="str">
        <f t="shared" si="41"/>
        <v/>
      </c>
      <c r="H149" s="27" t="str">
        <f t="shared" si="42"/>
        <v/>
      </c>
      <c r="J149" s="20">
        <f t="shared" si="43"/>
        <v>0</v>
      </c>
      <c r="K149" s="9" t="str">
        <f t="shared" si="44"/>
        <v/>
      </c>
      <c r="L149" s="9" t="str">
        <f t="shared" ca="1" si="45"/>
        <v/>
      </c>
      <c r="M149" s="9" t="str">
        <f t="shared" si="46"/>
        <v/>
      </c>
      <c r="N149" s="9" t="str">
        <f t="shared" si="47"/>
        <v/>
      </c>
      <c r="O149" s="9" t="str">
        <f t="shared" si="48"/>
        <v/>
      </c>
      <c r="P149" s="9" t="str">
        <f t="shared" si="49"/>
        <v/>
      </c>
      <c r="Q149" s="9" t="str">
        <f t="shared" si="50"/>
        <v/>
      </c>
      <c r="R149" s="9" t="str">
        <f t="shared" si="51"/>
        <v/>
      </c>
      <c r="S149" s="9" t="str">
        <f t="shared" si="52"/>
        <v/>
      </c>
      <c r="T149" s="9" t="str">
        <f t="shared" si="53"/>
        <v/>
      </c>
      <c r="U149" s="21" t="str">
        <f t="shared" si="54"/>
        <v/>
      </c>
      <c r="W149" s="3"/>
      <c r="X149" s="3"/>
      <c r="Y149" s="3"/>
      <c r="Z149" s="3"/>
      <c r="AA149" s="3"/>
    </row>
    <row r="150" spans="1:27" x14ac:dyDescent="0.15">
      <c r="A150" s="27" t="s">
        <v>169</v>
      </c>
      <c r="B150" s="19"/>
      <c r="C150" s="18"/>
      <c r="D150" s="18"/>
      <c r="E150" s="18"/>
      <c r="F150" s="18"/>
      <c r="G150" s="37" t="str">
        <f t="shared" si="41"/>
        <v/>
      </c>
      <c r="H150" s="27" t="str">
        <f t="shared" si="42"/>
        <v/>
      </c>
      <c r="J150" s="20">
        <f t="shared" si="43"/>
        <v>0</v>
      </c>
      <c r="K150" s="9" t="str">
        <f t="shared" si="44"/>
        <v/>
      </c>
      <c r="L150" s="9" t="str">
        <f t="shared" ca="1" si="45"/>
        <v/>
      </c>
      <c r="M150" s="9" t="str">
        <f t="shared" si="46"/>
        <v/>
      </c>
      <c r="N150" s="9" t="str">
        <f t="shared" si="47"/>
        <v/>
      </c>
      <c r="O150" s="9" t="str">
        <f t="shared" si="48"/>
        <v/>
      </c>
      <c r="P150" s="9" t="str">
        <f t="shared" si="49"/>
        <v/>
      </c>
      <c r="Q150" s="9" t="str">
        <f t="shared" si="50"/>
        <v/>
      </c>
      <c r="R150" s="9" t="str">
        <f t="shared" si="51"/>
        <v/>
      </c>
      <c r="S150" s="9" t="str">
        <f t="shared" si="52"/>
        <v/>
      </c>
      <c r="T150" s="9" t="str">
        <f t="shared" si="53"/>
        <v/>
      </c>
      <c r="U150" s="21" t="str">
        <f t="shared" si="54"/>
        <v/>
      </c>
      <c r="W150" s="3"/>
      <c r="X150" s="3"/>
      <c r="Y150" s="3"/>
      <c r="Z150" s="3"/>
      <c r="AA150" s="3"/>
    </row>
    <row r="151" spans="1:27" x14ac:dyDescent="0.15">
      <c r="A151" s="27" t="s">
        <v>170</v>
      </c>
      <c r="B151" s="19"/>
      <c r="C151" s="18"/>
      <c r="D151" s="18"/>
      <c r="E151" s="18"/>
      <c r="F151" s="18"/>
      <c r="G151" s="37" t="str">
        <f t="shared" si="41"/>
        <v/>
      </c>
      <c r="H151" s="27" t="str">
        <f t="shared" si="42"/>
        <v/>
      </c>
      <c r="J151" s="20">
        <f t="shared" si="43"/>
        <v>0</v>
      </c>
      <c r="K151" s="9" t="str">
        <f t="shared" si="44"/>
        <v/>
      </c>
      <c r="L151" s="9" t="str">
        <f t="shared" ca="1" si="45"/>
        <v/>
      </c>
      <c r="M151" s="9" t="str">
        <f t="shared" si="46"/>
        <v/>
      </c>
      <c r="N151" s="9" t="str">
        <f t="shared" si="47"/>
        <v/>
      </c>
      <c r="O151" s="9" t="str">
        <f t="shared" si="48"/>
        <v/>
      </c>
      <c r="P151" s="9" t="str">
        <f t="shared" si="49"/>
        <v/>
      </c>
      <c r="Q151" s="9" t="str">
        <f t="shared" si="50"/>
        <v/>
      </c>
      <c r="R151" s="9" t="str">
        <f t="shared" si="51"/>
        <v/>
      </c>
      <c r="S151" s="9" t="str">
        <f t="shared" si="52"/>
        <v/>
      </c>
      <c r="T151" s="9" t="str">
        <f t="shared" si="53"/>
        <v/>
      </c>
      <c r="U151" s="21" t="str">
        <f t="shared" si="54"/>
        <v/>
      </c>
      <c r="W151" s="3"/>
      <c r="X151" s="3"/>
      <c r="Y151" s="3"/>
      <c r="Z151" s="3"/>
      <c r="AA151" s="3"/>
    </row>
    <row r="152" spans="1:27" x14ac:dyDescent="0.15">
      <c r="A152" s="27" t="s">
        <v>171</v>
      </c>
      <c r="B152" s="19"/>
      <c r="C152" s="18"/>
      <c r="D152" s="18"/>
      <c r="E152" s="18"/>
      <c r="F152" s="18"/>
      <c r="G152" s="37" t="str">
        <f t="shared" si="41"/>
        <v/>
      </c>
      <c r="H152" s="27" t="str">
        <f t="shared" si="42"/>
        <v/>
      </c>
      <c r="J152" s="20">
        <f t="shared" si="43"/>
        <v>0</v>
      </c>
      <c r="K152" s="9" t="str">
        <f t="shared" si="44"/>
        <v/>
      </c>
      <c r="L152" s="9" t="str">
        <f t="shared" ca="1" si="45"/>
        <v/>
      </c>
      <c r="M152" s="9" t="str">
        <f t="shared" si="46"/>
        <v/>
      </c>
      <c r="N152" s="9" t="str">
        <f t="shared" si="47"/>
        <v/>
      </c>
      <c r="O152" s="9" t="str">
        <f t="shared" si="48"/>
        <v/>
      </c>
      <c r="P152" s="9" t="str">
        <f t="shared" si="49"/>
        <v/>
      </c>
      <c r="Q152" s="9" t="str">
        <f t="shared" si="50"/>
        <v/>
      </c>
      <c r="R152" s="9" t="str">
        <f t="shared" si="51"/>
        <v/>
      </c>
      <c r="S152" s="9" t="str">
        <f t="shared" si="52"/>
        <v/>
      </c>
      <c r="T152" s="9" t="str">
        <f t="shared" si="53"/>
        <v/>
      </c>
      <c r="U152" s="21" t="str">
        <f t="shared" si="54"/>
        <v/>
      </c>
      <c r="W152" s="3"/>
      <c r="X152" s="3"/>
      <c r="Y152" s="3"/>
      <c r="Z152" s="3"/>
      <c r="AA152" s="3"/>
    </row>
    <row r="153" spans="1:27" x14ac:dyDescent="0.15">
      <c r="A153" s="27" t="s">
        <v>172</v>
      </c>
      <c r="B153" s="19"/>
      <c r="C153" s="18"/>
      <c r="D153" s="18"/>
      <c r="E153" s="18"/>
      <c r="F153" s="18"/>
      <c r="G153" s="37" t="str">
        <f t="shared" si="41"/>
        <v/>
      </c>
      <c r="H153" s="27" t="str">
        <f t="shared" si="42"/>
        <v/>
      </c>
      <c r="J153" s="20">
        <f t="shared" si="43"/>
        <v>0</v>
      </c>
      <c r="K153" s="9" t="str">
        <f t="shared" si="44"/>
        <v/>
      </c>
      <c r="L153" s="9" t="str">
        <f t="shared" ca="1" si="45"/>
        <v/>
      </c>
      <c r="M153" s="9" t="str">
        <f t="shared" si="46"/>
        <v/>
      </c>
      <c r="N153" s="9" t="str">
        <f t="shared" si="47"/>
        <v/>
      </c>
      <c r="O153" s="9" t="str">
        <f t="shared" si="48"/>
        <v/>
      </c>
      <c r="P153" s="9" t="str">
        <f t="shared" si="49"/>
        <v/>
      </c>
      <c r="Q153" s="9" t="str">
        <f t="shared" si="50"/>
        <v/>
      </c>
      <c r="R153" s="9" t="str">
        <f t="shared" si="51"/>
        <v/>
      </c>
      <c r="S153" s="9" t="str">
        <f t="shared" si="52"/>
        <v/>
      </c>
      <c r="T153" s="9" t="str">
        <f t="shared" si="53"/>
        <v/>
      </c>
      <c r="U153" s="21" t="str">
        <f t="shared" si="54"/>
        <v/>
      </c>
      <c r="W153" s="3"/>
      <c r="X153" s="3"/>
      <c r="Y153" s="3"/>
      <c r="Z153" s="3"/>
      <c r="AA153" s="3"/>
    </row>
    <row r="154" spans="1:27" x14ac:dyDescent="0.15">
      <c r="A154" s="27" t="s">
        <v>173</v>
      </c>
      <c r="B154" s="19"/>
      <c r="C154" s="18"/>
      <c r="D154" s="18"/>
      <c r="E154" s="18"/>
      <c r="F154" s="18"/>
      <c r="G154" s="37" t="str">
        <f t="shared" si="41"/>
        <v/>
      </c>
      <c r="H154" s="27" t="str">
        <f t="shared" si="42"/>
        <v/>
      </c>
      <c r="J154" s="20">
        <f t="shared" si="43"/>
        <v>0</v>
      </c>
      <c r="K154" s="9" t="str">
        <f t="shared" si="44"/>
        <v/>
      </c>
      <c r="L154" s="9" t="str">
        <f t="shared" ca="1" si="45"/>
        <v/>
      </c>
      <c r="M154" s="9" t="str">
        <f t="shared" si="46"/>
        <v/>
      </c>
      <c r="N154" s="9" t="str">
        <f t="shared" si="47"/>
        <v/>
      </c>
      <c r="O154" s="9" t="str">
        <f t="shared" si="48"/>
        <v/>
      </c>
      <c r="P154" s="9" t="str">
        <f t="shared" si="49"/>
        <v/>
      </c>
      <c r="Q154" s="9" t="str">
        <f t="shared" si="50"/>
        <v/>
      </c>
      <c r="R154" s="9" t="str">
        <f t="shared" si="51"/>
        <v/>
      </c>
      <c r="S154" s="9" t="str">
        <f t="shared" si="52"/>
        <v/>
      </c>
      <c r="T154" s="9" t="str">
        <f t="shared" si="53"/>
        <v/>
      </c>
      <c r="U154" s="21" t="str">
        <f t="shared" si="54"/>
        <v/>
      </c>
      <c r="W154" s="3"/>
      <c r="X154" s="3"/>
      <c r="Y154" s="3"/>
      <c r="Z154" s="3"/>
      <c r="AA154" s="3"/>
    </row>
    <row r="155" spans="1:27" x14ac:dyDescent="0.15">
      <c r="A155" s="27" t="s">
        <v>174</v>
      </c>
      <c r="B155" s="19"/>
      <c r="C155" s="18"/>
      <c r="D155" s="18"/>
      <c r="E155" s="18"/>
      <c r="F155" s="18"/>
      <c r="G155" s="37" t="str">
        <f t="shared" si="41"/>
        <v/>
      </c>
      <c r="H155" s="27" t="str">
        <f t="shared" si="42"/>
        <v/>
      </c>
      <c r="J155" s="20">
        <f t="shared" si="43"/>
        <v>0</v>
      </c>
      <c r="K155" s="9" t="str">
        <f t="shared" si="44"/>
        <v/>
      </c>
      <c r="L155" s="9" t="str">
        <f t="shared" ca="1" si="45"/>
        <v/>
      </c>
      <c r="M155" s="9" t="str">
        <f t="shared" si="46"/>
        <v/>
      </c>
      <c r="N155" s="9" t="str">
        <f t="shared" si="47"/>
        <v/>
      </c>
      <c r="O155" s="9" t="str">
        <f t="shared" si="48"/>
        <v/>
      </c>
      <c r="P155" s="9" t="str">
        <f t="shared" si="49"/>
        <v/>
      </c>
      <c r="Q155" s="9" t="str">
        <f t="shared" si="50"/>
        <v/>
      </c>
      <c r="R155" s="9" t="str">
        <f t="shared" si="51"/>
        <v/>
      </c>
      <c r="S155" s="9" t="str">
        <f t="shared" si="52"/>
        <v/>
      </c>
      <c r="T155" s="9" t="str">
        <f t="shared" si="53"/>
        <v/>
      </c>
      <c r="U155" s="21" t="str">
        <f t="shared" si="54"/>
        <v/>
      </c>
      <c r="W155" s="3"/>
      <c r="X155" s="3"/>
      <c r="Y155" s="3"/>
      <c r="Z155" s="3"/>
      <c r="AA155" s="3"/>
    </row>
    <row r="156" spans="1:27" x14ac:dyDescent="0.15">
      <c r="A156" s="27" t="s">
        <v>175</v>
      </c>
      <c r="B156" s="19"/>
      <c r="C156" s="18"/>
      <c r="D156" s="18"/>
      <c r="E156" s="18"/>
      <c r="F156" s="18"/>
      <c r="G156" s="37" t="str">
        <f t="shared" si="41"/>
        <v/>
      </c>
      <c r="H156" s="27" t="str">
        <f t="shared" si="42"/>
        <v/>
      </c>
      <c r="J156" s="20">
        <f t="shared" si="43"/>
        <v>0</v>
      </c>
      <c r="K156" s="9" t="str">
        <f t="shared" si="44"/>
        <v/>
      </c>
      <c r="L156" s="9" t="str">
        <f t="shared" ca="1" si="45"/>
        <v/>
      </c>
      <c r="M156" s="9" t="str">
        <f t="shared" si="46"/>
        <v/>
      </c>
      <c r="N156" s="9" t="str">
        <f t="shared" si="47"/>
        <v/>
      </c>
      <c r="O156" s="9" t="str">
        <f t="shared" si="48"/>
        <v/>
      </c>
      <c r="P156" s="9" t="str">
        <f t="shared" si="49"/>
        <v/>
      </c>
      <c r="Q156" s="9" t="str">
        <f t="shared" si="50"/>
        <v/>
      </c>
      <c r="R156" s="9" t="str">
        <f t="shared" si="51"/>
        <v/>
      </c>
      <c r="S156" s="9" t="str">
        <f t="shared" si="52"/>
        <v/>
      </c>
      <c r="T156" s="9" t="str">
        <f t="shared" si="53"/>
        <v/>
      </c>
      <c r="U156" s="21" t="str">
        <f t="shared" si="54"/>
        <v/>
      </c>
      <c r="W156" s="3"/>
      <c r="X156" s="3"/>
      <c r="Y156" s="3"/>
      <c r="Z156" s="3"/>
      <c r="AA156" s="3"/>
    </row>
    <row r="157" spans="1:27" x14ac:dyDescent="0.15">
      <c r="A157" s="27" t="s">
        <v>176</v>
      </c>
      <c r="B157" s="19"/>
      <c r="C157" s="18"/>
      <c r="D157" s="18"/>
      <c r="E157" s="18"/>
      <c r="F157" s="18"/>
      <c r="G157" s="37" t="str">
        <f t="shared" si="41"/>
        <v/>
      </c>
      <c r="H157" s="27" t="str">
        <f t="shared" si="42"/>
        <v/>
      </c>
      <c r="J157" s="20">
        <f t="shared" si="43"/>
        <v>0</v>
      </c>
      <c r="K157" s="9" t="str">
        <f t="shared" si="44"/>
        <v/>
      </c>
      <c r="L157" s="9" t="str">
        <f t="shared" ca="1" si="45"/>
        <v/>
      </c>
      <c r="M157" s="9" t="str">
        <f t="shared" si="46"/>
        <v/>
      </c>
      <c r="N157" s="9" t="str">
        <f t="shared" si="47"/>
        <v/>
      </c>
      <c r="O157" s="9" t="str">
        <f t="shared" si="48"/>
        <v/>
      </c>
      <c r="P157" s="9" t="str">
        <f t="shared" si="49"/>
        <v/>
      </c>
      <c r="Q157" s="9" t="str">
        <f t="shared" si="50"/>
        <v/>
      </c>
      <c r="R157" s="9" t="str">
        <f t="shared" si="51"/>
        <v/>
      </c>
      <c r="S157" s="9" t="str">
        <f t="shared" si="52"/>
        <v/>
      </c>
      <c r="T157" s="9" t="str">
        <f t="shared" si="53"/>
        <v/>
      </c>
      <c r="U157" s="21" t="str">
        <f t="shared" si="54"/>
        <v/>
      </c>
      <c r="W157" s="3"/>
      <c r="X157" s="3"/>
      <c r="Y157" s="3"/>
      <c r="Z157" s="3"/>
      <c r="AA157" s="3"/>
    </row>
    <row r="158" spans="1:27" x14ac:dyDescent="0.15">
      <c r="A158" s="27" t="s">
        <v>177</v>
      </c>
      <c r="B158" s="19"/>
      <c r="C158" s="18"/>
      <c r="D158" s="18"/>
      <c r="E158" s="18"/>
      <c r="F158" s="18"/>
      <c r="G158" s="37" t="str">
        <f t="shared" si="41"/>
        <v/>
      </c>
      <c r="H158" s="27" t="str">
        <f t="shared" si="42"/>
        <v/>
      </c>
      <c r="J158" s="20">
        <f t="shared" si="43"/>
        <v>0</v>
      </c>
      <c r="K158" s="9" t="str">
        <f t="shared" si="44"/>
        <v/>
      </c>
      <c r="L158" s="9" t="str">
        <f t="shared" ca="1" si="45"/>
        <v/>
      </c>
      <c r="M158" s="9" t="str">
        <f t="shared" si="46"/>
        <v/>
      </c>
      <c r="N158" s="9" t="str">
        <f t="shared" si="47"/>
        <v/>
      </c>
      <c r="O158" s="9" t="str">
        <f t="shared" si="48"/>
        <v/>
      </c>
      <c r="P158" s="9" t="str">
        <f t="shared" si="49"/>
        <v/>
      </c>
      <c r="Q158" s="9" t="str">
        <f t="shared" si="50"/>
        <v/>
      </c>
      <c r="R158" s="9" t="str">
        <f t="shared" si="51"/>
        <v/>
      </c>
      <c r="S158" s="9" t="str">
        <f t="shared" si="52"/>
        <v/>
      </c>
      <c r="T158" s="9" t="str">
        <f t="shared" si="53"/>
        <v/>
      </c>
      <c r="U158" s="21" t="str">
        <f t="shared" si="54"/>
        <v/>
      </c>
      <c r="W158" s="3"/>
      <c r="X158" s="3"/>
      <c r="Y158" s="3"/>
      <c r="Z158" s="3"/>
      <c r="AA158" s="3"/>
    </row>
    <row r="159" spans="1:27" x14ac:dyDescent="0.15">
      <c r="A159" s="27" t="s">
        <v>178</v>
      </c>
      <c r="B159" s="19"/>
      <c r="C159" s="18"/>
      <c r="D159" s="18"/>
      <c r="E159" s="18"/>
      <c r="F159" s="18"/>
      <c r="G159" s="37" t="str">
        <f t="shared" si="41"/>
        <v/>
      </c>
      <c r="H159" s="27" t="str">
        <f t="shared" si="42"/>
        <v/>
      </c>
      <c r="J159" s="20">
        <f t="shared" si="43"/>
        <v>0</v>
      </c>
      <c r="K159" s="9" t="str">
        <f t="shared" si="44"/>
        <v/>
      </c>
      <c r="L159" s="9" t="str">
        <f t="shared" ca="1" si="45"/>
        <v/>
      </c>
      <c r="M159" s="9" t="str">
        <f t="shared" si="46"/>
        <v/>
      </c>
      <c r="N159" s="9" t="str">
        <f t="shared" si="47"/>
        <v/>
      </c>
      <c r="O159" s="9" t="str">
        <f t="shared" si="48"/>
        <v/>
      </c>
      <c r="P159" s="9" t="str">
        <f t="shared" si="49"/>
        <v/>
      </c>
      <c r="Q159" s="9" t="str">
        <f t="shared" si="50"/>
        <v/>
      </c>
      <c r="R159" s="9" t="str">
        <f t="shared" si="51"/>
        <v/>
      </c>
      <c r="S159" s="9" t="str">
        <f t="shared" si="52"/>
        <v/>
      </c>
      <c r="T159" s="9" t="str">
        <f t="shared" si="53"/>
        <v/>
      </c>
      <c r="U159" s="21" t="str">
        <f t="shared" si="54"/>
        <v/>
      </c>
      <c r="W159" s="3"/>
      <c r="X159" s="3"/>
      <c r="Y159" s="3"/>
      <c r="Z159" s="3"/>
      <c r="AA159" s="3"/>
    </row>
    <row r="160" spans="1:27" x14ac:dyDescent="0.15">
      <c r="A160" s="27" t="s">
        <v>179</v>
      </c>
      <c r="B160" s="19"/>
      <c r="C160" s="18"/>
      <c r="D160" s="18"/>
      <c r="E160" s="18"/>
      <c r="F160" s="18"/>
      <c r="G160" s="37" t="str">
        <f t="shared" si="41"/>
        <v/>
      </c>
      <c r="H160" s="27" t="str">
        <f t="shared" si="42"/>
        <v/>
      </c>
      <c r="J160" s="20">
        <f t="shared" si="43"/>
        <v>0</v>
      </c>
      <c r="K160" s="9" t="str">
        <f t="shared" si="44"/>
        <v/>
      </c>
      <c r="L160" s="9" t="str">
        <f t="shared" ca="1" si="45"/>
        <v/>
      </c>
      <c r="M160" s="9" t="str">
        <f t="shared" si="46"/>
        <v/>
      </c>
      <c r="N160" s="9" t="str">
        <f t="shared" si="47"/>
        <v/>
      </c>
      <c r="O160" s="9" t="str">
        <f t="shared" si="48"/>
        <v/>
      </c>
      <c r="P160" s="9" t="str">
        <f t="shared" si="49"/>
        <v/>
      </c>
      <c r="Q160" s="9" t="str">
        <f t="shared" si="50"/>
        <v/>
      </c>
      <c r="R160" s="9" t="str">
        <f t="shared" si="51"/>
        <v/>
      </c>
      <c r="S160" s="9" t="str">
        <f t="shared" si="52"/>
        <v/>
      </c>
      <c r="T160" s="9" t="str">
        <f t="shared" si="53"/>
        <v/>
      </c>
      <c r="U160" s="21" t="str">
        <f t="shared" si="54"/>
        <v/>
      </c>
      <c r="W160" s="3"/>
      <c r="X160" s="3"/>
      <c r="Y160" s="3"/>
      <c r="Z160" s="3"/>
      <c r="AA160" s="3"/>
    </row>
    <row r="161" spans="1:27" x14ac:dyDescent="0.15">
      <c r="A161" s="27" t="s">
        <v>180</v>
      </c>
      <c r="B161" s="19"/>
      <c r="C161" s="18"/>
      <c r="D161" s="18"/>
      <c r="E161" s="18"/>
      <c r="F161" s="18"/>
      <c r="G161" s="37" t="str">
        <f t="shared" si="41"/>
        <v/>
      </c>
      <c r="H161" s="27" t="str">
        <f t="shared" si="42"/>
        <v/>
      </c>
      <c r="J161" s="20">
        <f t="shared" si="43"/>
        <v>0</v>
      </c>
      <c r="K161" s="9" t="str">
        <f t="shared" si="44"/>
        <v/>
      </c>
      <c r="L161" s="9" t="str">
        <f t="shared" ca="1" si="45"/>
        <v/>
      </c>
      <c r="M161" s="9" t="str">
        <f t="shared" si="46"/>
        <v/>
      </c>
      <c r="N161" s="9" t="str">
        <f t="shared" si="47"/>
        <v/>
      </c>
      <c r="O161" s="9" t="str">
        <f t="shared" si="48"/>
        <v/>
      </c>
      <c r="P161" s="9" t="str">
        <f t="shared" si="49"/>
        <v/>
      </c>
      <c r="Q161" s="9" t="str">
        <f t="shared" si="50"/>
        <v/>
      </c>
      <c r="R161" s="9" t="str">
        <f t="shared" si="51"/>
        <v/>
      </c>
      <c r="S161" s="9" t="str">
        <f t="shared" si="52"/>
        <v/>
      </c>
      <c r="T161" s="9" t="str">
        <f t="shared" si="53"/>
        <v/>
      </c>
      <c r="U161" s="21" t="str">
        <f t="shared" si="54"/>
        <v/>
      </c>
      <c r="W161" s="3"/>
      <c r="X161" s="3"/>
      <c r="Y161" s="3"/>
      <c r="Z161" s="3"/>
      <c r="AA161" s="3"/>
    </row>
    <row r="162" spans="1:27" x14ac:dyDescent="0.15">
      <c r="A162" s="27" t="s">
        <v>181</v>
      </c>
      <c r="B162" s="19"/>
      <c r="C162" s="18"/>
      <c r="D162" s="18"/>
      <c r="E162" s="18"/>
      <c r="F162" s="18"/>
      <c r="G162" s="37" t="str">
        <f t="shared" si="41"/>
        <v/>
      </c>
      <c r="H162" s="27" t="str">
        <f t="shared" si="42"/>
        <v/>
      </c>
      <c r="J162" s="20">
        <f t="shared" si="43"/>
        <v>0</v>
      </c>
      <c r="K162" s="9" t="str">
        <f t="shared" si="44"/>
        <v/>
      </c>
      <c r="L162" s="9" t="str">
        <f t="shared" ca="1" si="45"/>
        <v/>
      </c>
      <c r="M162" s="9" t="str">
        <f t="shared" si="46"/>
        <v/>
      </c>
      <c r="N162" s="9" t="str">
        <f t="shared" si="47"/>
        <v/>
      </c>
      <c r="O162" s="9" t="str">
        <f t="shared" si="48"/>
        <v/>
      </c>
      <c r="P162" s="9" t="str">
        <f t="shared" si="49"/>
        <v/>
      </c>
      <c r="Q162" s="9" t="str">
        <f t="shared" si="50"/>
        <v/>
      </c>
      <c r="R162" s="9" t="str">
        <f t="shared" si="51"/>
        <v/>
      </c>
      <c r="S162" s="9" t="str">
        <f t="shared" si="52"/>
        <v/>
      </c>
      <c r="T162" s="9" t="str">
        <f t="shared" si="53"/>
        <v/>
      </c>
      <c r="U162" s="21" t="str">
        <f t="shared" si="54"/>
        <v/>
      </c>
      <c r="W162" s="3"/>
      <c r="X162" s="3"/>
      <c r="Y162" s="3"/>
      <c r="Z162" s="3"/>
      <c r="AA162" s="3"/>
    </row>
    <row r="163" spans="1:27" x14ac:dyDescent="0.15">
      <c r="A163" s="27" t="s">
        <v>182</v>
      </c>
      <c r="B163" s="19"/>
      <c r="C163" s="18"/>
      <c r="D163" s="18"/>
      <c r="E163" s="18"/>
      <c r="F163" s="18"/>
      <c r="G163" s="37" t="str">
        <f t="shared" si="41"/>
        <v/>
      </c>
      <c r="H163" s="27" t="str">
        <f t="shared" si="42"/>
        <v/>
      </c>
      <c r="J163" s="20">
        <f t="shared" si="43"/>
        <v>0</v>
      </c>
      <c r="K163" s="9" t="str">
        <f t="shared" si="44"/>
        <v/>
      </c>
      <c r="L163" s="9" t="str">
        <f t="shared" ca="1" si="45"/>
        <v/>
      </c>
      <c r="M163" s="9" t="str">
        <f t="shared" si="46"/>
        <v/>
      </c>
      <c r="N163" s="9" t="str">
        <f t="shared" si="47"/>
        <v/>
      </c>
      <c r="O163" s="9" t="str">
        <f t="shared" si="48"/>
        <v/>
      </c>
      <c r="P163" s="9" t="str">
        <f t="shared" si="49"/>
        <v/>
      </c>
      <c r="Q163" s="9" t="str">
        <f t="shared" si="50"/>
        <v/>
      </c>
      <c r="R163" s="9" t="str">
        <f t="shared" si="51"/>
        <v/>
      </c>
      <c r="S163" s="9" t="str">
        <f t="shared" si="52"/>
        <v/>
      </c>
      <c r="T163" s="9" t="str">
        <f t="shared" si="53"/>
        <v/>
      </c>
      <c r="U163" s="21" t="str">
        <f t="shared" si="54"/>
        <v/>
      </c>
      <c r="W163" s="3"/>
      <c r="X163" s="3"/>
      <c r="Y163" s="3"/>
      <c r="Z163" s="3"/>
      <c r="AA163" s="3"/>
    </row>
    <row r="164" spans="1:27" x14ac:dyDescent="0.15">
      <c r="A164" s="27" t="s">
        <v>183</v>
      </c>
      <c r="B164" s="19"/>
      <c r="C164" s="18"/>
      <c r="D164" s="18"/>
      <c r="E164" s="18"/>
      <c r="F164" s="18"/>
      <c r="G164" s="37" t="str">
        <f t="shared" ref="G164:G195" si="55">IF(F164="","",VLOOKUP(F164,$B$21:$C$25,2,0))</f>
        <v/>
      </c>
      <c r="H164" s="27" t="str">
        <f t="shared" si="42"/>
        <v/>
      </c>
      <c r="J164" s="20">
        <f t="shared" si="43"/>
        <v>0</v>
      </c>
      <c r="K164" s="9" t="str">
        <f t="shared" si="44"/>
        <v/>
      </c>
      <c r="L164" s="9" t="str">
        <f t="shared" ca="1" si="45"/>
        <v/>
      </c>
      <c r="M164" s="9" t="str">
        <f t="shared" si="46"/>
        <v/>
      </c>
      <c r="N164" s="9" t="str">
        <f t="shared" si="47"/>
        <v/>
      </c>
      <c r="O164" s="9" t="str">
        <f t="shared" si="48"/>
        <v/>
      </c>
      <c r="P164" s="9" t="str">
        <f t="shared" si="49"/>
        <v/>
      </c>
      <c r="Q164" s="9" t="str">
        <f t="shared" si="50"/>
        <v/>
      </c>
      <c r="R164" s="9" t="str">
        <f t="shared" si="51"/>
        <v/>
      </c>
      <c r="S164" s="9" t="str">
        <f t="shared" si="52"/>
        <v/>
      </c>
      <c r="T164" s="9" t="str">
        <f t="shared" si="53"/>
        <v/>
      </c>
      <c r="U164" s="21" t="str">
        <f t="shared" si="54"/>
        <v/>
      </c>
      <c r="W164" s="3"/>
      <c r="X164" s="3"/>
      <c r="Y164" s="3"/>
      <c r="Z164" s="3"/>
      <c r="AA164" s="3"/>
    </row>
    <row r="165" spans="1:27" x14ac:dyDescent="0.15">
      <c r="A165" s="27" t="s">
        <v>184</v>
      </c>
      <c r="B165" s="19"/>
      <c r="C165" s="18"/>
      <c r="D165" s="18"/>
      <c r="E165" s="18"/>
      <c r="F165" s="18"/>
      <c r="G165" s="37" t="str">
        <f t="shared" si="55"/>
        <v/>
      </c>
      <c r="H165" s="27" t="str">
        <f t="shared" si="42"/>
        <v/>
      </c>
      <c r="J165" s="20">
        <f t="shared" si="43"/>
        <v>0</v>
      </c>
      <c r="K165" s="9" t="str">
        <f t="shared" si="44"/>
        <v/>
      </c>
      <c r="L165" s="9" t="str">
        <f t="shared" ca="1" si="45"/>
        <v/>
      </c>
      <c r="M165" s="9" t="str">
        <f t="shared" si="46"/>
        <v/>
      </c>
      <c r="N165" s="9" t="str">
        <f t="shared" si="47"/>
        <v/>
      </c>
      <c r="O165" s="9" t="str">
        <f t="shared" si="48"/>
        <v/>
      </c>
      <c r="P165" s="9" t="str">
        <f t="shared" si="49"/>
        <v/>
      </c>
      <c r="Q165" s="9" t="str">
        <f t="shared" si="50"/>
        <v/>
      </c>
      <c r="R165" s="9" t="str">
        <f t="shared" si="51"/>
        <v/>
      </c>
      <c r="S165" s="9" t="str">
        <f t="shared" si="52"/>
        <v/>
      </c>
      <c r="T165" s="9" t="str">
        <f t="shared" si="53"/>
        <v/>
      </c>
      <c r="U165" s="21" t="str">
        <f t="shared" si="54"/>
        <v/>
      </c>
      <c r="W165" s="3"/>
      <c r="X165" s="3"/>
      <c r="Y165" s="3"/>
      <c r="Z165" s="3"/>
      <c r="AA165" s="3"/>
    </row>
    <row r="166" spans="1:27" x14ac:dyDescent="0.15">
      <c r="A166" s="27" t="s">
        <v>185</v>
      </c>
      <c r="B166" s="19"/>
      <c r="C166" s="18"/>
      <c r="D166" s="18"/>
      <c r="E166" s="18"/>
      <c r="F166" s="18"/>
      <c r="G166" s="37" t="str">
        <f t="shared" si="55"/>
        <v/>
      </c>
      <c r="H166" s="27" t="str">
        <f t="shared" si="42"/>
        <v/>
      </c>
      <c r="J166" s="20">
        <f t="shared" si="43"/>
        <v>0</v>
      </c>
      <c r="K166" s="9" t="str">
        <f t="shared" si="44"/>
        <v/>
      </c>
      <c r="L166" s="9" t="str">
        <f t="shared" ca="1" si="45"/>
        <v/>
      </c>
      <c r="M166" s="9" t="str">
        <f t="shared" si="46"/>
        <v/>
      </c>
      <c r="N166" s="9" t="str">
        <f t="shared" si="47"/>
        <v/>
      </c>
      <c r="O166" s="9" t="str">
        <f t="shared" si="48"/>
        <v/>
      </c>
      <c r="P166" s="9" t="str">
        <f t="shared" si="49"/>
        <v/>
      </c>
      <c r="Q166" s="9" t="str">
        <f t="shared" si="50"/>
        <v/>
      </c>
      <c r="R166" s="9" t="str">
        <f t="shared" si="51"/>
        <v/>
      </c>
      <c r="S166" s="9" t="str">
        <f t="shared" si="52"/>
        <v/>
      </c>
      <c r="T166" s="9" t="str">
        <f t="shared" si="53"/>
        <v/>
      </c>
      <c r="U166" s="21" t="str">
        <f t="shared" si="54"/>
        <v/>
      </c>
      <c r="W166" s="3"/>
      <c r="X166" s="3"/>
      <c r="Y166" s="3"/>
      <c r="Z166" s="3"/>
      <c r="AA166" s="3"/>
    </row>
    <row r="167" spans="1:27" x14ac:dyDescent="0.15">
      <c r="A167" s="27" t="s">
        <v>186</v>
      </c>
      <c r="B167" s="19"/>
      <c r="C167" s="18"/>
      <c r="D167" s="18"/>
      <c r="E167" s="18"/>
      <c r="F167" s="18"/>
      <c r="G167" s="37" t="str">
        <f t="shared" si="55"/>
        <v/>
      </c>
      <c r="H167" s="27" t="str">
        <f t="shared" si="42"/>
        <v/>
      </c>
      <c r="J167" s="20">
        <f t="shared" si="43"/>
        <v>0</v>
      </c>
      <c r="K167" s="9" t="str">
        <f t="shared" si="44"/>
        <v/>
      </c>
      <c r="L167" s="9" t="str">
        <f t="shared" ca="1" si="45"/>
        <v/>
      </c>
      <c r="M167" s="9" t="str">
        <f t="shared" si="46"/>
        <v/>
      </c>
      <c r="N167" s="9" t="str">
        <f t="shared" si="47"/>
        <v/>
      </c>
      <c r="O167" s="9" t="str">
        <f t="shared" si="48"/>
        <v/>
      </c>
      <c r="P167" s="9" t="str">
        <f t="shared" si="49"/>
        <v/>
      </c>
      <c r="Q167" s="9" t="str">
        <f t="shared" si="50"/>
        <v/>
      </c>
      <c r="R167" s="9" t="str">
        <f t="shared" si="51"/>
        <v/>
      </c>
      <c r="S167" s="9" t="str">
        <f t="shared" si="52"/>
        <v/>
      </c>
      <c r="T167" s="9" t="str">
        <f t="shared" si="53"/>
        <v/>
      </c>
      <c r="U167" s="21" t="str">
        <f t="shared" si="54"/>
        <v/>
      </c>
      <c r="W167" s="3"/>
      <c r="X167" s="3"/>
      <c r="Y167" s="3"/>
      <c r="Z167" s="3"/>
      <c r="AA167" s="3"/>
    </row>
    <row r="168" spans="1:27" x14ac:dyDescent="0.15">
      <c r="A168" s="27" t="s">
        <v>187</v>
      </c>
      <c r="B168" s="19"/>
      <c r="C168" s="18"/>
      <c r="D168" s="18"/>
      <c r="E168" s="18"/>
      <c r="F168" s="18"/>
      <c r="G168" s="37" t="str">
        <f t="shared" si="55"/>
        <v/>
      </c>
      <c r="H168" s="27" t="str">
        <f t="shared" si="42"/>
        <v/>
      </c>
      <c r="J168" s="20">
        <f t="shared" si="43"/>
        <v>0</v>
      </c>
      <c r="K168" s="9" t="str">
        <f t="shared" si="44"/>
        <v/>
      </c>
      <c r="L168" s="9" t="str">
        <f t="shared" ca="1" si="45"/>
        <v/>
      </c>
      <c r="M168" s="9" t="str">
        <f t="shared" si="46"/>
        <v/>
      </c>
      <c r="N168" s="9" t="str">
        <f t="shared" si="47"/>
        <v/>
      </c>
      <c r="O168" s="9" t="str">
        <f t="shared" si="48"/>
        <v/>
      </c>
      <c r="P168" s="9" t="str">
        <f t="shared" si="49"/>
        <v/>
      </c>
      <c r="Q168" s="9" t="str">
        <f t="shared" si="50"/>
        <v/>
      </c>
      <c r="R168" s="9" t="str">
        <f t="shared" si="51"/>
        <v/>
      </c>
      <c r="S168" s="9" t="str">
        <f t="shared" si="52"/>
        <v/>
      </c>
      <c r="T168" s="9" t="str">
        <f t="shared" si="53"/>
        <v/>
      </c>
      <c r="U168" s="21" t="str">
        <f t="shared" si="54"/>
        <v/>
      </c>
      <c r="W168" s="3"/>
      <c r="X168" s="3"/>
      <c r="Y168" s="3"/>
      <c r="Z168" s="3"/>
      <c r="AA168" s="3"/>
    </row>
    <row r="169" spans="1:27" x14ac:dyDescent="0.15">
      <c r="A169" s="27" t="s">
        <v>188</v>
      </c>
      <c r="B169" s="19"/>
      <c r="C169" s="18"/>
      <c r="D169" s="18"/>
      <c r="E169" s="18"/>
      <c r="F169" s="18"/>
      <c r="G169" s="37" t="str">
        <f t="shared" si="55"/>
        <v/>
      </c>
      <c r="H169" s="27" t="str">
        <f t="shared" si="42"/>
        <v/>
      </c>
      <c r="J169" s="20">
        <f t="shared" si="43"/>
        <v>0</v>
      </c>
      <c r="K169" s="9" t="str">
        <f t="shared" si="44"/>
        <v/>
      </c>
      <c r="L169" s="9" t="str">
        <f t="shared" ca="1" si="45"/>
        <v/>
      </c>
      <c r="M169" s="9" t="str">
        <f t="shared" si="46"/>
        <v/>
      </c>
      <c r="N169" s="9" t="str">
        <f t="shared" si="47"/>
        <v/>
      </c>
      <c r="O169" s="9" t="str">
        <f t="shared" si="48"/>
        <v/>
      </c>
      <c r="P169" s="9" t="str">
        <f t="shared" si="49"/>
        <v/>
      </c>
      <c r="Q169" s="9" t="str">
        <f t="shared" si="50"/>
        <v/>
      </c>
      <c r="R169" s="9" t="str">
        <f t="shared" si="51"/>
        <v/>
      </c>
      <c r="S169" s="9" t="str">
        <f t="shared" si="52"/>
        <v/>
      </c>
      <c r="T169" s="9" t="str">
        <f t="shared" si="53"/>
        <v/>
      </c>
      <c r="U169" s="21" t="str">
        <f t="shared" si="54"/>
        <v/>
      </c>
      <c r="W169" s="3"/>
      <c r="X169" s="3"/>
      <c r="Y169" s="3"/>
      <c r="Z169" s="3"/>
      <c r="AA169" s="3"/>
    </row>
    <row r="170" spans="1:27" x14ac:dyDescent="0.15">
      <c r="A170" s="27" t="s">
        <v>189</v>
      </c>
      <c r="B170" s="19"/>
      <c r="C170" s="18"/>
      <c r="D170" s="18"/>
      <c r="E170" s="18"/>
      <c r="F170" s="18"/>
      <c r="G170" s="37" t="str">
        <f t="shared" si="55"/>
        <v/>
      </c>
      <c r="H170" s="27" t="str">
        <f t="shared" si="42"/>
        <v/>
      </c>
      <c r="J170" s="20">
        <f t="shared" si="43"/>
        <v>0</v>
      </c>
      <c r="K170" s="9" t="str">
        <f t="shared" si="44"/>
        <v/>
      </c>
      <c r="L170" s="9" t="str">
        <f t="shared" ca="1" si="45"/>
        <v/>
      </c>
      <c r="M170" s="9" t="str">
        <f t="shared" si="46"/>
        <v/>
      </c>
      <c r="N170" s="9" t="str">
        <f t="shared" si="47"/>
        <v/>
      </c>
      <c r="O170" s="9" t="str">
        <f t="shared" si="48"/>
        <v/>
      </c>
      <c r="P170" s="9" t="str">
        <f t="shared" si="49"/>
        <v/>
      </c>
      <c r="Q170" s="9" t="str">
        <f t="shared" si="50"/>
        <v/>
      </c>
      <c r="R170" s="9" t="str">
        <f t="shared" si="51"/>
        <v/>
      </c>
      <c r="S170" s="9" t="str">
        <f t="shared" si="52"/>
        <v/>
      </c>
      <c r="T170" s="9" t="str">
        <f t="shared" si="53"/>
        <v/>
      </c>
      <c r="U170" s="21" t="str">
        <f t="shared" si="54"/>
        <v/>
      </c>
      <c r="W170" s="3"/>
      <c r="X170" s="3"/>
      <c r="Y170" s="3"/>
      <c r="Z170" s="3"/>
      <c r="AA170" s="3"/>
    </row>
    <row r="171" spans="1:27" x14ac:dyDescent="0.15">
      <c r="A171" s="27" t="s">
        <v>190</v>
      </c>
      <c r="B171" s="19"/>
      <c r="C171" s="18"/>
      <c r="D171" s="18"/>
      <c r="E171" s="18"/>
      <c r="F171" s="18"/>
      <c r="G171" s="37" t="str">
        <f t="shared" si="55"/>
        <v/>
      </c>
      <c r="H171" s="27" t="str">
        <f t="shared" si="42"/>
        <v/>
      </c>
      <c r="J171" s="20">
        <f t="shared" si="43"/>
        <v>0</v>
      </c>
      <c r="K171" s="9" t="str">
        <f t="shared" si="44"/>
        <v/>
      </c>
      <c r="L171" s="9" t="str">
        <f t="shared" ca="1" si="45"/>
        <v/>
      </c>
      <c r="M171" s="9" t="str">
        <f t="shared" si="46"/>
        <v/>
      </c>
      <c r="N171" s="9" t="str">
        <f t="shared" si="47"/>
        <v/>
      </c>
      <c r="O171" s="9" t="str">
        <f t="shared" si="48"/>
        <v/>
      </c>
      <c r="P171" s="9" t="str">
        <f t="shared" si="49"/>
        <v/>
      </c>
      <c r="Q171" s="9" t="str">
        <f t="shared" si="50"/>
        <v/>
      </c>
      <c r="R171" s="9" t="str">
        <f t="shared" si="51"/>
        <v/>
      </c>
      <c r="S171" s="9" t="str">
        <f t="shared" si="52"/>
        <v/>
      </c>
      <c r="T171" s="9" t="str">
        <f t="shared" si="53"/>
        <v/>
      </c>
      <c r="U171" s="21" t="str">
        <f t="shared" si="54"/>
        <v/>
      </c>
      <c r="W171" s="3"/>
      <c r="X171" s="3"/>
      <c r="Y171" s="3"/>
      <c r="Z171" s="3"/>
      <c r="AA171" s="3"/>
    </row>
    <row r="172" spans="1:27" x14ac:dyDescent="0.15">
      <c r="A172" s="27" t="s">
        <v>191</v>
      </c>
      <c r="B172" s="19"/>
      <c r="C172" s="18"/>
      <c r="D172" s="18"/>
      <c r="E172" s="18"/>
      <c r="F172" s="18"/>
      <c r="G172" s="37" t="str">
        <f t="shared" si="55"/>
        <v/>
      </c>
      <c r="H172" s="27" t="str">
        <f t="shared" si="42"/>
        <v/>
      </c>
      <c r="J172" s="20">
        <f t="shared" si="43"/>
        <v>0</v>
      </c>
      <c r="K172" s="9" t="str">
        <f t="shared" si="44"/>
        <v/>
      </c>
      <c r="L172" s="9" t="str">
        <f t="shared" ca="1" si="45"/>
        <v/>
      </c>
      <c r="M172" s="9" t="str">
        <f t="shared" si="46"/>
        <v/>
      </c>
      <c r="N172" s="9" t="str">
        <f t="shared" si="47"/>
        <v/>
      </c>
      <c r="O172" s="9" t="str">
        <f t="shared" si="48"/>
        <v/>
      </c>
      <c r="P172" s="9" t="str">
        <f t="shared" si="49"/>
        <v/>
      </c>
      <c r="Q172" s="9" t="str">
        <f t="shared" si="50"/>
        <v/>
      </c>
      <c r="R172" s="9" t="str">
        <f t="shared" si="51"/>
        <v/>
      </c>
      <c r="S172" s="9" t="str">
        <f t="shared" si="52"/>
        <v/>
      </c>
      <c r="T172" s="9" t="str">
        <f t="shared" si="53"/>
        <v/>
      </c>
      <c r="U172" s="21" t="str">
        <f t="shared" si="54"/>
        <v/>
      </c>
      <c r="W172" s="3"/>
      <c r="X172" s="3"/>
      <c r="Y172" s="3"/>
      <c r="Z172" s="3"/>
      <c r="AA172" s="3"/>
    </row>
    <row r="173" spans="1:27" x14ac:dyDescent="0.15">
      <c r="A173" s="27" t="s">
        <v>192</v>
      </c>
      <c r="B173" s="19"/>
      <c r="C173" s="18"/>
      <c r="D173" s="18"/>
      <c r="E173" s="18"/>
      <c r="F173" s="18"/>
      <c r="G173" s="37" t="str">
        <f t="shared" si="55"/>
        <v/>
      </c>
      <c r="H173" s="27" t="str">
        <f t="shared" si="42"/>
        <v/>
      </c>
      <c r="J173" s="20">
        <f t="shared" si="43"/>
        <v>0</v>
      </c>
      <c r="K173" s="9" t="str">
        <f t="shared" si="44"/>
        <v/>
      </c>
      <c r="L173" s="9" t="str">
        <f t="shared" ca="1" si="45"/>
        <v/>
      </c>
      <c r="M173" s="9" t="str">
        <f t="shared" si="46"/>
        <v/>
      </c>
      <c r="N173" s="9" t="str">
        <f t="shared" si="47"/>
        <v/>
      </c>
      <c r="O173" s="9" t="str">
        <f t="shared" si="48"/>
        <v/>
      </c>
      <c r="P173" s="9" t="str">
        <f t="shared" si="49"/>
        <v/>
      </c>
      <c r="Q173" s="9" t="str">
        <f t="shared" si="50"/>
        <v/>
      </c>
      <c r="R173" s="9" t="str">
        <f t="shared" si="51"/>
        <v/>
      </c>
      <c r="S173" s="9" t="str">
        <f t="shared" si="52"/>
        <v/>
      </c>
      <c r="T173" s="9" t="str">
        <f t="shared" si="53"/>
        <v/>
      </c>
      <c r="U173" s="21" t="str">
        <f t="shared" si="54"/>
        <v/>
      </c>
      <c r="W173" s="3"/>
      <c r="X173" s="3"/>
      <c r="Y173" s="3"/>
      <c r="Z173" s="3"/>
      <c r="AA173" s="3"/>
    </row>
    <row r="174" spans="1:27" x14ac:dyDescent="0.15">
      <c r="A174" s="27" t="s">
        <v>193</v>
      </c>
      <c r="B174" s="19"/>
      <c r="C174" s="18"/>
      <c r="D174" s="18"/>
      <c r="E174" s="18"/>
      <c r="F174" s="18"/>
      <c r="G174" s="37" t="str">
        <f t="shared" si="55"/>
        <v/>
      </c>
      <c r="H174" s="27" t="str">
        <f t="shared" si="42"/>
        <v/>
      </c>
      <c r="J174" s="20">
        <f t="shared" si="43"/>
        <v>0</v>
      </c>
      <c r="K174" s="9" t="str">
        <f t="shared" si="44"/>
        <v/>
      </c>
      <c r="L174" s="9" t="str">
        <f t="shared" ca="1" si="45"/>
        <v/>
      </c>
      <c r="M174" s="9" t="str">
        <f t="shared" si="46"/>
        <v/>
      </c>
      <c r="N174" s="9" t="str">
        <f t="shared" si="47"/>
        <v/>
      </c>
      <c r="O174" s="9" t="str">
        <f t="shared" si="48"/>
        <v/>
      </c>
      <c r="P174" s="9" t="str">
        <f t="shared" si="49"/>
        <v/>
      </c>
      <c r="Q174" s="9" t="str">
        <f t="shared" si="50"/>
        <v/>
      </c>
      <c r="R174" s="9" t="str">
        <f t="shared" si="51"/>
        <v/>
      </c>
      <c r="S174" s="9" t="str">
        <f t="shared" si="52"/>
        <v/>
      </c>
      <c r="T174" s="9" t="str">
        <f t="shared" si="53"/>
        <v/>
      </c>
      <c r="U174" s="21" t="str">
        <f t="shared" si="54"/>
        <v/>
      </c>
      <c r="W174" s="3"/>
      <c r="X174" s="3"/>
      <c r="Y174" s="3"/>
      <c r="Z174" s="3"/>
      <c r="AA174" s="3"/>
    </row>
    <row r="175" spans="1:27" x14ac:dyDescent="0.15">
      <c r="A175" s="27" t="s">
        <v>194</v>
      </c>
      <c r="B175" s="19"/>
      <c r="C175" s="18"/>
      <c r="D175" s="18"/>
      <c r="E175" s="18"/>
      <c r="F175" s="18"/>
      <c r="G175" s="37" t="str">
        <f t="shared" si="55"/>
        <v/>
      </c>
      <c r="H175" s="27" t="str">
        <f t="shared" si="42"/>
        <v/>
      </c>
      <c r="J175" s="20">
        <f t="shared" si="43"/>
        <v>0</v>
      </c>
      <c r="K175" s="9" t="str">
        <f t="shared" si="44"/>
        <v/>
      </c>
      <c r="L175" s="9" t="str">
        <f t="shared" ca="1" si="45"/>
        <v/>
      </c>
      <c r="M175" s="9" t="str">
        <f t="shared" si="46"/>
        <v/>
      </c>
      <c r="N175" s="9" t="str">
        <f t="shared" si="47"/>
        <v/>
      </c>
      <c r="O175" s="9" t="str">
        <f t="shared" si="48"/>
        <v/>
      </c>
      <c r="P175" s="9" t="str">
        <f t="shared" si="49"/>
        <v/>
      </c>
      <c r="Q175" s="9" t="str">
        <f t="shared" si="50"/>
        <v/>
      </c>
      <c r="R175" s="9" t="str">
        <f t="shared" si="51"/>
        <v/>
      </c>
      <c r="S175" s="9" t="str">
        <f t="shared" si="52"/>
        <v/>
      </c>
      <c r="T175" s="9" t="str">
        <f t="shared" si="53"/>
        <v/>
      </c>
      <c r="U175" s="21" t="str">
        <f t="shared" si="54"/>
        <v/>
      </c>
      <c r="W175" s="3"/>
      <c r="X175" s="3"/>
      <c r="Y175" s="3"/>
      <c r="Z175" s="3"/>
      <c r="AA175" s="3"/>
    </row>
    <row r="176" spans="1:27" x14ac:dyDescent="0.15">
      <c r="A176" s="27" t="s">
        <v>195</v>
      </c>
      <c r="B176" s="19"/>
      <c r="C176" s="18"/>
      <c r="D176" s="18"/>
      <c r="E176" s="18"/>
      <c r="F176" s="18"/>
      <c r="G176" s="37" t="str">
        <f t="shared" si="55"/>
        <v/>
      </c>
      <c r="H176" s="27" t="str">
        <f t="shared" si="42"/>
        <v/>
      </c>
      <c r="J176" s="20">
        <f t="shared" si="43"/>
        <v>0</v>
      </c>
      <c r="K176" s="9" t="str">
        <f t="shared" si="44"/>
        <v/>
      </c>
      <c r="L176" s="9" t="str">
        <f t="shared" ca="1" si="45"/>
        <v/>
      </c>
      <c r="M176" s="9" t="str">
        <f t="shared" si="46"/>
        <v/>
      </c>
      <c r="N176" s="9" t="str">
        <f t="shared" si="47"/>
        <v/>
      </c>
      <c r="O176" s="9" t="str">
        <f t="shared" si="48"/>
        <v/>
      </c>
      <c r="P176" s="9" t="str">
        <f t="shared" si="49"/>
        <v/>
      </c>
      <c r="Q176" s="9" t="str">
        <f t="shared" si="50"/>
        <v/>
      </c>
      <c r="R176" s="9" t="str">
        <f t="shared" si="51"/>
        <v/>
      </c>
      <c r="S176" s="9" t="str">
        <f t="shared" si="52"/>
        <v/>
      </c>
      <c r="T176" s="9" t="str">
        <f t="shared" si="53"/>
        <v/>
      </c>
      <c r="U176" s="21" t="str">
        <f t="shared" si="54"/>
        <v/>
      </c>
      <c r="W176" s="3"/>
      <c r="X176" s="3"/>
      <c r="Y176" s="3"/>
      <c r="Z176" s="3"/>
      <c r="AA176" s="3"/>
    </row>
    <row r="177" spans="1:27" x14ac:dyDescent="0.15">
      <c r="A177" s="27" t="s">
        <v>196</v>
      </c>
      <c r="B177" s="19"/>
      <c r="C177" s="18"/>
      <c r="D177" s="18"/>
      <c r="E177" s="18"/>
      <c r="F177" s="18"/>
      <c r="G177" s="37" t="str">
        <f t="shared" si="55"/>
        <v/>
      </c>
      <c r="H177" s="27" t="str">
        <f t="shared" si="42"/>
        <v/>
      </c>
      <c r="J177" s="20">
        <f t="shared" si="43"/>
        <v>0</v>
      </c>
      <c r="K177" s="9" t="str">
        <f t="shared" si="44"/>
        <v/>
      </c>
      <c r="L177" s="9" t="str">
        <f t="shared" ca="1" si="45"/>
        <v/>
      </c>
      <c r="M177" s="9" t="str">
        <f t="shared" si="46"/>
        <v/>
      </c>
      <c r="N177" s="9" t="str">
        <f t="shared" si="47"/>
        <v/>
      </c>
      <c r="O177" s="9" t="str">
        <f t="shared" si="48"/>
        <v/>
      </c>
      <c r="P177" s="9" t="str">
        <f t="shared" si="49"/>
        <v/>
      </c>
      <c r="Q177" s="9" t="str">
        <f t="shared" si="50"/>
        <v/>
      </c>
      <c r="R177" s="9" t="str">
        <f t="shared" si="51"/>
        <v/>
      </c>
      <c r="S177" s="9" t="str">
        <f t="shared" si="52"/>
        <v/>
      </c>
      <c r="T177" s="9" t="str">
        <f t="shared" si="53"/>
        <v/>
      </c>
      <c r="U177" s="21" t="str">
        <f t="shared" si="54"/>
        <v/>
      </c>
      <c r="W177" s="3"/>
      <c r="X177" s="3"/>
      <c r="Y177" s="3"/>
      <c r="Z177" s="3"/>
      <c r="AA177" s="3"/>
    </row>
    <row r="178" spans="1:27" x14ac:dyDescent="0.15">
      <c r="A178" s="27" t="s">
        <v>197</v>
      </c>
      <c r="B178" s="19"/>
      <c r="C178" s="18"/>
      <c r="D178" s="18"/>
      <c r="E178" s="18"/>
      <c r="F178" s="18"/>
      <c r="G178" s="37" t="str">
        <f t="shared" si="55"/>
        <v/>
      </c>
      <c r="H178" s="27" t="str">
        <f t="shared" si="42"/>
        <v/>
      </c>
      <c r="J178" s="20">
        <f t="shared" si="43"/>
        <v>0</v>
      </c>
      <c r="K178" s="9" t="str">
        <f t="shared" si="44"/>
        <v/>
      </c>
      <c r="L178" s="9" t="str">
        <f t="shared" ca="1" si="45"/>
        <v/>
      </c>
      <c r="M178" s="9" t="str">
        <f t="shared" si="46"/>
        <v/>
      </c>
      <c r="N178" s="9" t="str">
        <f t="shared" si="47"/>
        <v/>
      </c>
      <c r="O178" s="9" t="str">
        <f t="shared" si="48"/>
        <v/>
      </c>
      <c r="P178" s="9" t="str">
        <f t="shared" si="49"/>
        <v/>
      </c>
      <c r="Q178" s="9" t="str">
        <f t="shared" si="50"/>
        <v/>
      </c>
      <c r="R178" s="9" t="str">
        <f t="shared" si="51"/>
        <v/>
      </c>
      <c r="S178" s="9" t="str">
        <f t="shared" si="52"/>
        <v/>
      </c>
      <c r="T178" s="9" t="str">
        <f t="shared" si="53"/>
        <v/>
      </c>
      <c r="U178" s="21" t="str">
        <f t="shared" si="54"/>
        <v/>
      </c>
      <c r="W178" s="3"/>
      <c r="X178" s="3"/>
      <c r="Y178" s="3"/>
      <c r="Z178" s="3"/>
      <c r="AA178" s="3"/>
    </row>
    <row r="179" spans="1:27" x14ac:dyDescent="0.15">
      <c r="A179" s="27" t="s">
        <v>198</v>
      </c>
      <c r="B179" s="19"/>
      <c r="C179" s="18"/>
      <c r="D179" s="18"/>
      <c r="E179" s="18"/>
      <c r="F179" s="18"/>
      <c r="G179" s="37" t="str">
        <f t="shared" si="55"/>
        <v/>
      </c>
      <c r="H179" s="27" t="str">
        <f t="shared" si="42"/>
        <v/>
      </c>
      <c r="J179" s="20">
        <f t="shared" si="43"/>
        <v>0</v>
      </c>
      <c r="K179" s="9" t="str">
        <f t="shared" si="44"/>
        <v/>
      </c>
      <c r="L179" s="9" t="str">
        <f t="shared" ca="1" si="45"/>
        <v/>
      </c>
      <c r="M179" s="9" t="str">
        <f t="shared" si="46"/>
        <v/>
      </c>
      <c r="N179" s="9" t="str">
        <f t="shared" si="47"/>
        <v/>
      </c>
      <c r="O179" s="9" t="str">
        <f t="shared" si="48"/>
        <v/>
      </c>
      <c r="P179" s="9" t="str">
        <f t="shared" si="49"/>
        <v/>
      </c>
      <c r="Q179" s="9" t="str">
        <f t="shared" si="50"/>
        <v/>
      </c>
      <c r="R179" s="9" t="str">
        <f t="shared" si="51"/>
        <v/>
      </c>
      <c r="S179" s="9" t="str">
        <f t="shared" si="52"/>
        <v/>
      </c>
      <c r="T179" s="9" t="str">
        <f t="shared" si="53"/>
        <v/>
      </c>
      <c r="U179" s="21" t="str">
        <f t="shared" si="54"/>
        <v/>
      </c>
      <c r="W179" s="3"/>
      <c r="X179" s="3"/>
      <c r="Y179" s="3"/>
      <c r="Z179" s="3"/>
      <c r="AA179" s="3"/>
    </row>
    <row r="180" spans="1:27" x14ac:dyDescent="0.15">
      <c r="A180" s="27" t="s">
        <v>199</v>
      </c>
      <c r="B180" s="19"/>
      <c r="C180" s="18"/>
      <c r="D180" s="18"/>
      <c r="E180" s="18"/>
      <c r="F180" s="18"/>
      <c r="G180" s="37" t="str">
        <f t="shared" si="55"/>
        <v/>
      </c>
      <c r="H180" s="27" t="str">
        <f t="shared" ref="H180:H201" si="56">IF(F180="","",INDEX($A$21:$B$25,MATCH(F180,$B$21:$B$25,0),1))</f>
        <v/>
      </c>
      <c r="J180" s="20">
        <f t="shared" ref="J180:J201" si="57">COUNTA(B180:G180)-IF(G180="",COUNTA(G180),0)</f>
        <v>0</v>
      </c>
      <c r="K180" s="9" t="str">
        <f t="shared" ref="K180:K201" si="58">IF($J180=0,"",IF(COUNTA(B180:G180)&lt;&gt;COUNTA($B$50:$G$50),"Error","OK"))</f>
        <v/>
      </c>
      <c r="L180" s="9" t="str">
        <f t="shared" ref="L180:L201" ca="1" si="59">IF($J180=0,"",IF(AND(B180&gt;=DATE(1900,1,1),B180&lt;=TODAY()),"OK","Error"))</f>
        <v/>
      </c>
      <c r="M180" s="9" t="str">
        <f t="shared" ref="M180:M201" si="60">IF($J180=0,"",IF(C180="Not Used","Error",IFERROR(IF(VLOOKUP(C180,C$44:C$48,1,0)=C180,"OK",""),"Error")))</f>
        <v/>
      </c>
      <c r="N180" s="9" t="str">
        <f t="shared" ref="N180:N201" si="61">IF($J180=0,"",IF(D180="Not Used","Error",IFERROR(IF(VLOOKUP(D180,D$44:D$48,1,0)=D180,"OK",""),"Error")))</f>
        <v/>
      </c>
      <c r="O180" s="9" t="str">
        <f t="shared" ref="O180:O201" si="62">IF($J180=0,"",IF(E180="Not Used","Error",IFERROR(IF(VLOOKUP(E180,E$44:E$48,1,0)=E180,"OK",""),"Error")))</f>
        <v/>
      </c>
      <c r="P180" s="9" t="str">
        <f t="shared" ref="P180:P201" si="63">IF($J180=0,"",IFERROR(IF(VLOOKUP(F180,F$44:F$48,1,0)=F180,"OK",""),"Error"))</f>
        <v/>
      </c>
      <c r="Q180" s="9" t="str">
        <f t="shared" ref="Q180:Q201" si="64">IF($J180=0,"",IFERROR(IF(VLOOKUP(H180,$A$21:$C$25,3,0)=G180,"OK","Error"),"Error"))</f>
        <v/>
      </c>
      <c r="R180" s="9" t="str">
        <f t="shared" ref="R180:R201" si="65">IF($J180=0,"",IFERROR(IF(AND($E180="Principal",$U180&lt;21),"Error","OK"),"Error"))</f>
        <v/>
      </c>
      <c r="S180" s="9" t="str">
        <f t="shared" ref="S180:S201" si="66">IF($J180=0,"",IFERROR(IF($U180&gt;=$S$47,"Error","OK"),"Error"))</f>
        <v/>
      </c>
      <c r="T180" s="9" t="str">
        <f t="shared" ref="T180:T211" si="67">IF($J180=0,"",IFERROR(IF(U180&lt;0,"Error","OK"),"Error"))</f>
        <v/>
      </c>
      <c r="U180" s="21" t="str">
        <f t="shared" ref="U180:U201" si="68">IF($J180=0,"",($B$16-B180)/365.25)</f>
        <v/>
      </c>
      <c r="W180" s="3"/>
      <c r="X180" s="3"/>
      <c r="Y180" s="3"/>
      <c r="Z180" s="3"/>
      <c r="AA180" s="3"/>
    </row>
    <row r="181" spans="1:27" x14ac:dyDescent="0.15">
      <c r="A181" s="27" t="s">
        <v>200</v>
      </c>
      <c r="B181" s="19"/>
      <c r="C181" s="18"/>
      <c r="D181" s="18"/>
      <c r="E181" s="18"/>
      <c r="F181" s="18"/>
      <c r="G181" s="37" t="str">
        <f t="shared" si="55"/>
        <v/>
      </c>
      <c r="H181" s="27" t="str">
        <f t="shared" si="56"/>
        <v/>
      </c>
      <c r="J181" s="20">
        <f t="shared" si="57"/>
        <v>0</v>
      </c>
      <c r="K181" s="9" t="str">
        <f t="shared" si="58"/>
        <v/>
      </c>
      <c r="L181" s="9" t="str">
        <f t="shared" ca="1" si="59"/>
        <v/>
      </c>
      <c r="M181" s="9" t="str">
        <f t="shared" si="60"/>
        <v/>
      </c>
      <c r="N181" s="9" t="str">
        <f t="shared" si="61"/>
        <v/>
      </c>
      <c r="O181" s="9" t="str">
        <f t="shared" si="62"/>
        <v/>
      </c>
      <c r="P181" s="9" t="str">
        <f t="shared" si="63"/>
        <v/>
      </c>
      <c r="Q181" s="9" t="str">
        <f t="shared" si="64"/>
        <v/>
      </c>
      <c r="R181" s="9" t="str">
        <f t="shared" si="65"/>
        <v/>
      </c>
      <c r="S181" s="9" t="str">
        <f t="shared" si="66"/>
        <v/>
      </c>
      <c r="T181" s="9" t="str">
        <f t="shared" si="67"/>
        <v/>
      </c>
      <c r="U181" s="21" t="str">
        <f t="shared" si="68"/>
        <v/>
      </c>
      <c r="W181" s="3"/>
      <c r="X181" s="3"/>
      <c r="Y181" s="3"/>
      <c r="Z181" s="3"/>
      <c r="AA181" s="3"/>
    </row>
    <row r="182" spans="1:27" x14ac:dyDescent="0.15">
      <c r="A182" s="27" t="s">
        <v>201</v>
      </c>
      <c r="B182" s="19"/>
      <c r="C182" s="18"/>
      <c r="D182" s="18"/>
      <c r="E182" s="18"/>
      <c r="F182" s="18"/>
      <c r="G182" s="37" t="str">
        <f t="shared" si="55"/>
        <v/>
      </c>
      <c r="H182" s="27" t="str">
        <f t="shared" si="56"/>
        <v/>
      </c>
      <c r="J182" s="20">
        <f t="shared" si="57"/>
        <v>0</v>
      </c>
      <c r="K182" s="9" t="str">
        <f t="shared" si="58"/>
        <v/>
      </c>
      <c r="L182" s="9" t="str">
        <f t="shared" ca="1" si="59"/>
        <v/>
      </c>
      <c r="M182" s="9" t="str">
        <f t="shared" si="60"/>
        <v/>
      </c>
      <c r="N182" s="9" t="str">
        <f t="shared" si="61"/>
        <v/>
      </c>
      <c r="O182" s="9" t="str">
        <f t="shared" si="62"/>
        <v/>
      </c>
      <c r="P182" s="9" t="str">
        <f t="shared" si="63"/>
        <v/>
      </c>
      <c r="Q182" s="9" t="str">
        <f t="shared" si="64"/>
        <v/>
      </c>
      <c r="R182" s="9" t="str">
        <f t="shared" si="65"/>
        <v/>
      </c>
      <c r="S182" s="9" t="str">
        <f t="shared" si="66"/>
        <v/>
      </c>
      <c r="T182" s="9" t="str">
        <f t="shared" si="67"/>
        <v/>
      </c>
      <c r="U182" s="21" t="str">
        <f t="shared" si="68"/>
        <v/>
      </c>
      <c r="W182" s="3"/>
      <c r="X182" s="3"/>
      <c r="Y182" s="3"/>
      <c r="Z182" s="3"/>
      <c r="AA182" s="3"/>
    </row>
    <row r="183" spans="1:27" x14ac:dyDescent="0.15">
      <c r="A183" s="27" t="s">
        <v>202</v>
      </c>
      <c r="B183" s="19"/>
      <c r="C183" s="18"/>
      <c r="D183" s="18"/>
      <c r="E183" s="18"/>
      <c r="F183" s="18"/>
      <c r="G183" s="37" t="str">
        <f t="shared" si="55"/>
        <v/>
      </c>
      <c r="H183" s="27" t="str">
        <f t="shared" si="56"/>
        <v/>
      </c>
      <c r="J183" s="20">
        <f t="shared" si="57"/>
        <v>0</v>
      </c>
      <c r="K183" s="9" t="str">
        <f t="shared" si="58"/>
        <v/>
      </c>
      <c r="L183" s="9" t="str">
        <f t="shared" ca="1" si="59"/>
        <v/>
      </c>
      <c r="M183" s="9" t="str">
        <f t="shared" si="60"/>
        <v/>
      </c>
      <c r="N183" s="9" t="str">
        <f t="shared" si="61"/>
        <v/>
      </c>
      <c r="O183" s="9" t="str">
        <f t="shared" si="62"/>
        <v/>
      </c>
      <c r="P183" s="9" t="str">
        <f t="shared" si="63"/>
        <v/>
      </c>
      <c r="Q183" s="9" t="str">
        <f t="shared" si="64"/>
        <v/>
      </c>
      <c r="R183" s="9" t="str">
        <f t="shared" si="65"/>
        <v/>
      </c>
      <c r="S183" s="9" t="str">
        <f t="shared" si="66"/>
        <v/>
      </c>
      <c r="T183" s="9" t="str">
        <f t="shared" si="67"/>
        <v/>
      </c>
      <c r="U183" s="21" t="str">
        <f t="shared" si="68"/>
        <v/>
      </c>
      <c r="W183" s="3"/>
      <c r="X183" s="3"/>
      <c r="Y183" s="3"/>
      <c r="Z183" s="3"/>
      <c r="AA183" s="3"/>
    </row>
    <row r="184" spans="1:27" x14ac:dyDescent="0.15">
      <c r="A184" s="27" t="s">
        <v>203</v>
      </c>
      <c r="B184" s="19"/>
      <c r="C184" s="18"/>
      <c r="D184" s="18"/>
      <c r="E184" s="18"/>
      <c r="F184" s="18"/>
      <c r="G184" s="37" t="str">
        <f t="shared" si="55"/>
        <v/>
      </c>
      <c r="H184" s="27" t="str">
        <f t="shared" si="56"/>
        <v/>
      </c>
      <c r="J184" s="20">
        <f t="shared" si="57"/>
        <v>0</v>
      </c>
      <c r="K184" s="9" t="str">
        <f t="shared" si="58"/>
        <v/>
      </c>
      <c r="L184" s="9" t="str">
        <f t="shared" ca="1" si="59"/>
        <v/>
      </c>
      <c r="M184" s="9" t="str">
        <f t="shared" si="60"/>
        <v/>
      </c>
      <c r="N184" s="9" t="str">
        <f t="shared" si="61"/>
        <v/>
      </c>
      <c r="O184" s="9" t="str">
        <f t="shared" si="62"/>
        <v/>
      </c>
      <c r="P184" s="9" t="str">
        <f t="shared" si="63"/>
        <v/>
      </c>
      <c r="Q184" s="9" t="str">
        <f t="shared" si="64"/>
        <v/>
      </c>
      <c r="R184" s="9" t="str">
        <f t="shared" si="65"/>
        <v/>
      </c>
      <c r="S184" s="9" t="str">
        <f t="shared" si="66"/>
        <v/>
      </c>
      <c r="T184" s="9" t="str">
        <f t="shared" si="67"/>
        <v/>
      </c>
      <c r="U184" s="21" t="str">
        <f t="shared" si="68"/>
        <v/>
      </c>
      <c r="W184" s="3"/>
      <c r="X184" s="3"/>
      <c r="Y184" s="3"/>
      <c r="Z184" s="3"/>
      <c r="AA184" s="3"/>
    </row>
    <row r="185" spans="1:27" x14ac:dyDescent="0.15">
      <c r="A185" s="27" t="s">
        <v>204</v>
      </c>
      <c r="B185" s="19"/>
      <c r="C185" s="18"/>
      <c r="D185" s="18"/>
      <c r="E185" s="18"/>
      <c r="F185" s="18"/>
      <c r="G185" s="37" t="str">
        <f t="shared" si="55"/>
        <v/>
      </c>
      <c r="H185" s="27" t="str">
        <f t="shared" si="56"/>
        <v/>
      </c>
      <c r="J185" s="20">
        <f t="shared" si="57"/>
        <v>0</v>
      </c>
      <c r="K185" s="9" t="str">
        <f t="shared" si="58"/>
        <v/>
      </c>
      <c r="L185" s="9" t="str">
        <f t="shared" ca="1" si="59"/>
        <v/>
      </c>
      <c r="M185" s="9" t="str">
        <f t="shared" si="60"/>
        <v/>
      </c>
      <c r="N185" s="9" t="str">
        <f t="shared" si="61"/>
        <v/>
      </c>
      <c r="O185" s="9" t="str">
        <f t="shared" si="62"/>
        <v/>
      </c>
      <c r="P185" s="9" t="str">
        <f t="shared" si="63"/>
        <v/>
      </c>
      <c r="Q185" s="9" t="str">
        <f t="shared" si="64"/>
        <v/>
      </c>
      <c r="R185" s="9" t="str">
        <f t="shared" si="65"/>
        <v/>
      </c>
      <c r="S185" s="9" t="str">
        <f t="shared" si="66"/>
        <v/>
      </c>
      <c r="T185" s="9" t="str">
        <f t="shared" si="67"/>
        <v/>
      </c>
      <c r="U185" s="21" t="str">
        <f t="shared" si="68"/>
        <v/>
      </c>
      <c r="W185" s="3"/>
      <c r="X185" s="3"/>
      <c r="Y185" s="3"/>
      <c r="Z185" s="3"/>
      <c r="AA185" s="3"/>
    </row>
    <row r="186" spans="1:27" x14ac:dyDescent="0.15">
      <c r="A186" s="27" t="s">
        <v>205</v>
      </c>
      <c r="B186" s="19"/>
      <c r="C186" s="18"/>
      <c r="D186" s="18"/>
      <c r="E186" s="18"/>
      <c r="F186" s="18"/>
      <c r="G186" s="37" t="str">
        <f t="shared" si="55"/>
        <v/>
      </c>
      <c r="H186" s="27" t="str">
        <f t="shared" si="56"/>
        <v/>
      </c>
      <c r="J186" s="20">
        <f t="shared" si="57"/>
        <v>0</v>
      </c>
      <c r="K186" s="9" t="str">
        <f t="shared" si="58"/>
        <v/>
      </c>
      <c r="L186" s="9" t="str">
        <f t="shared" ca="1" si="59"/>
        <v/>
      </c>
      <c r="M186" s="9" t="str">
        <f t="shared" si="60"/>
        <v/>
      </c>
      <c r="N186" s="9" t="str">
        <f t="shared" si="61"/>
        <v/>
      </c>
      <c r="O186" s="9" t="str">
        <f t="shared" si="62"/>
        <v/>
      </c>
      <c r="P186" s="9" t="str">
        <f t="shared" si="63"/>
        <v/>
      </c>
      <c r="Q186" s="9" t="str">
        <f t="shared" si="64"/>
        <v/>
      </c>
      <c r="R186" s="9" t="str">
        <f t="shared" si="65"/>
        <v/>
      </c>
      <c r="S186" s="9" t="str">
        <f t="shared" si="66"/>
        <v/>
      </c>
      <c r="T186" s="9" t="str">
        <f t="shared" si="67"/>
        <v/>
      </c>
      <c r="U186" s="21" t="str">
        <f t="shared" si="68"/>
        <v/>
      </c>
      <c r="W186" s="3"/>
      <c r="X186" s="3"/>
      <c r="Y186" s="3"/>
      <c r="Z186" s="3"/>
      <c r="AA186" s="3"/>
    </row>
    <row r="187" spans="1:27" x14ac:dyDescent="0.15">
      <c r="A187" s="27" t="s">
        <v>206</v>
      </c>
      <c r="B187" s="19"/>
      <c r="C187" s="18"/>
      <c r="D187" s="18"/>
      <c r="E187" s="18"/>
      <c r="F187" s="18"/>
      <c r="G187" s="37" t="str">
        <f t="shared" si="55"/>
        <v/>
      </c>
      <c r="H187" s="27" t="str">
        <f t="shared" si="56"/>
        <v/>
      </c>
      <c r="J187" s="20">
        <f t="shared" si="57"/>
        <v>0</v>
      </c>
      <c r="K187" s="9" t="str">
        <f t="shared" si="58"/>
        <v/>
      </c>
      <c r="L187" s="9" t="str">
        <f t="shared" ca="1" si="59"/>
        <v/>
      </c>
      <c r="M187" s="9" t="str">
        <f t="shared" si="60"/>
        <v/>
      </c>
      <c r="N187" s="9" t="str">
        <f t="shared" si="61"/>
        <v/>
      </c>
      <c r="O187" s="9" t="str">
        <f t="shared" si="62"/>
        <v/>
      </c>
      <c r="P187" s="9" t="str">
        <f t="shared" si="63"/>
        <v/>
      </c>
      <c r="Q187" s="9" t="str">
        <f t="shared" si="64"/>
        <v/>
      </c>
      <c r="R187" s="9" t="str">
        <f t="shared" si="65"/>
        <v/>
      </c>
      <c r="S187" s="9" t="str">
        <f t="shared" si="66"/>
        <v/>
      </c>
      <c r="T187" s="9" t="str">
        <f t="shared" si="67"/>
        <v/>
      </c>
      <c r="U187" s="21" t="str">
        <f t="shared" si="68"/>
        <v/>
      </c>
      <c r="W187" s="3"/>
      <c r="X187" s="3"/>
      <c r="Y187" s="3"/>
      <c r="Z187" s="3"/>
      <c r="AA187" s="3"/>
    </row>
    <row r="188" spans="1:27" x14ac:dyDescent="0.15">
      <c r="A188" s="27" t="s">
        <v>207</v>
      </c>
      <c r="B188" s="19"/>
      <c r="C188" s="18"/>
      <c r="D188" s="18"/>
      <c r="E188" s="18"/>
      <c r="F188" s="18"/>
      <c r="G188" s="37" t="str">
        <f t="shared" si="55"/>
        <v/>
      </c>
      <c r="H188" s="27" t="str">
        <f t="shared" si="56"/>
        <v/>
      </c>
      <c r="J188" s="20">
        <f t="shared" si="57"/>
        <v>0</v>
      </c>
      <c r="K188" s="9" t="str">
        <f t="shared" si="58"/>
        <v/>
      </c>
      <c r="L188" s="9" t="str">
        <f t="shared" ca="1" si="59"/>
        <v/>
      </c>
      <c r="M188" s="9" t="str">
        <f t="shared" si="60"/>
        <v/>
      </c>
      <c r="N188" s="9" t="str">
        <f t="shared" si="61"/>
        <v/>
      </c>
      <c r="O188" s="9" t="str">
        <f t="shared" si="62"/>
        <v/>
      </c>
      <c r="P188" s="9" t="str">
        <f t="shared" si="63"/>
        <v/>
      </c>
      <c r="Q188" s="9" t="str">
        <f t="shared" si="64"/>
        <v/>
      </c>
      <c r="R188" s="9" t="str">
        <f t="shared" si="65"/>
        <v/>
      </c>
      <c r="S188" s="9" t="str">
        <f t="shared" si="66"/>
        <v/>
      </c>
      <c r="T188" s="9" t="str">
        <f t="shared" si="67"/>
        <v/>
      </c>
      <c r="U188" s="21" t="str">
        <f t="shared" si="68"/>
        <v/>
      </c>
      <c r="W188" s="3"/>
      <c r="X188" s="3"/>
      <c r="Y188" s="3"/>
      <c r="Z188" s="3"/>
      <c r="AA188" s="3"/>
    </row>
    <row r="189" spans="1:27" x14ac:dyDescent="0.15">
      <c r="A189" s="27" t="s">
        <v>208</v>
      </c>
      <c r="B189" s="19"/>
      <c r="C189" s="18"/>
      <c r="D189" s="18"/>
      <c r="E189" s="18"/>
      <c r="F189" s="18"/>
      <c r="G189" s="37" t="str">
        <f t="shared" si="55"/>
        <v/>
      </c>
      <c r="H189" s="27" t="str">
        <f t="shared" si="56"/>
        <v/>
      </c>
      <c r="J189" s="20">
        <f t="shared" si="57"/>
        <v>0</v>
      </c>
      <c r="K189" s="9" t="str">
        <f t="shared" si="58"/>
        <v/>
      </c>
      <c r="L189" s="9" t="str">
        <f t="shared" ca="1" si="59"/>
        <v/>
      </c>
      <c r="M189" s="9" t="str">
        <f t="shared" si="60"/>
        <v/>
      </c>
      <c r="N189" s="9" t="str">
        <f t="shared" si="61"/>
        <v/>
      </c>
      <c r="O189" s="9" t="str">
        <f t="shared" si="62"/>
        <v/>
      </c>
      <c r="P189" s="9" t="str">
        <f t="shared" si="63"/>
        <v/>
      </c>
      <c r="Q189" s="9" t="str">
        <f t="shared" si="64"/>
        <v/>
      </c>
      <c r="R189" s="9" t="str">
        <f t="shared" si="65"/>
        <v/>
      </c>
      <c r="S189" s="9" t="str">
        <f t="shared" si="66"/>
        <v/>
      </c>
      <c r="T189" s="9" t="str">
        <f t="shared" si="67"/>
        <v/>
      </c>
      <c r="U189" s="21" t="str">
        <f t="shared" si="68"/>
        <v/>
      </c>
      <c r="W189" s="3"/>
      <c r="X189" s="3"/>
      <c r="Y189" s="3"/>
      <c r="Z189" s="3"/>
      <c r="AA189" s="3"/>
    </row>
    <row r="190" spans="1:27" x14ac:dyDescent="0.15">
      <c r="A190" s="27" t="s">
        <v>209</v>
      </c>
      <c r="B190" s="19"/>
      <c r="C190" s="18"/>
      <c r="D190" s="18"/>
      <c r="E190" s="18"/>
      <c r="F190" s="18"/>
      <c r="G190" s="37" t="str">
        <f t="shared" si="55"/>
        <v/>
      </c>
      <c r="H190" s="27" t="str">
        <f t="shared" si="56"/>
        <v/>
      </c>
      <c r="J190" s="20">
        <f t="shared" si="57"/>
        <v>0</v>
      </c>
      <c r="K190" s="9" t="str">
        <f t="shared" si="58"/>
        <v/>
      </c>
      <c r="L190" s="9" t="str">
        <f t="shared" ca="1" si="59"/>
        <v/>
      </c>
      <c r="M190" s="9" t="str">
        <f t="shared" si="60"/>
        <v/>
      </c>
      <c r="N190" s="9" t="str">
        <f t="shared" si="61"/>
        <v/>
      </c>
      <c r="O190" s="9" t="str">
        <f t="shared" si="62"/>
        <v/>
      </c>
      <c r="P190" s="9" t="str">
        <f t="shared" si="63"/>
        <v/>
      </c>
      <c r="Q190" s="9" t="str">
        <f t="shared" si="64"/>
        <v/>
      </c>
      <c r="R190" s="9" t="str">
        <f t="shared" si="65"/>
        <v/>
      </c>
      <c r="S190" s="9" t="str">
        <f t="shared" si="66"/>
        <v/>
      </c>
      <c r="T190" s="9" t="str">
        <f t="shared" si="67"/>
        <v/>
      </c>
      <c r="U190" s="21" t="str">
        <f t="shared" si="68"/>
        <v/>
      </c>
      <c r="W190" s="3"/>
      <c r="X190" s="3"/>
      <c r="Y190" s="3"/>
      <c r="Z190" s="3"/>
      <c r="AA190" s="3"/>
    </row>
    <row r="191" spans="1:27" x14ac:dyDescent="0.15">
      <c r="A191" s="27" t="s">
        <v>210</v>
      </c>
      <c r="B191" s="19"/>
      <c r="C191" s="18"/>
      <c r="D191" s="18"/>
      <c r="E191" s="18"/>
      <c r="F191" s="18"/>
      <c r="G191" s="37" t="str">
        <f t="shared" si="55"/>
        <v/>
      </c>
      <c r="H191" s="27" t="str">
        <f t="shared" si="56"/>
        <v/>
      </c>
      <c r="J191" s="20">
        <f t="shared" si="57"/>
        <v>0</v>
      </c>
      <c r="K191" s="9" t="str">
        <f t="shared" si="58"/>
        <v/>
      </c>
      <c r="L191" s="9" t="str">
        <f t="shared" ca="1" si="59"/>
        <v/>
      </c>
      <c r="M191" s="9" t="str">
        <f t="shared" si="60"/>
        <v/>
      </c>
      <c r="N191" s="9" t="str">
        <f t="shared" si="61"/>
        <v/>
      </c>
      <c r="O191" s="9" t="str">
        <f t="shared" si="62"/>
        <v/>
      </c>
      <c r="P191" s="9" t="str">
        <f t="shared" si="63"/>
        <v/>
      </c>
      <c r="Q191" s="9" t="str">
        <f t="shared" si="64"/>
        <v/>
      </c>
      <c r="R191" s="9" t="str">
        <f t="shared" si="65"/>
        <v/>
      </c>
      <c r="S191" s="9" t="str">
        <f t="shared" si="66"/>
        <v/>
      </c>
      <c r="T191" s="9" t="str">
        <f t="shared" si="67"/>
        <v/>
      </c>
      <c r="U191" s="21" t="str">
        <f t="shared" si="68"/>
        <v/>
      </c>
      <c r="W191" s="3"/>
      <c r="X191" s="3"/>
      <c r="Y191" s="3"/>
      <c r="Z191" s="3"/>
      <c r="AA191" s="3"/>
    </row>
    <row r="192" spans="1:27" x14ac:dyDescent="0.15">
      <c r="A192" s="27" t="s">
        <v>211</v>
      </c>
      <c r="B192" s="19"/>
      <c r="C192" s="18"/>
      <c r="D192" s="18"/>
      <c r="E192" s="18"/>
      <c r="F192" s="18"/>
      <c r="G192" s="37" t="str">
        <f t="shared" si="55"/>
        <v/>
      </c>
      <c r="H192" s="27" t="str">
        <f t="shared" si="56"/>
        <v/>
      </c>
      <c r="J192" s="20">
        <f t="shared" si="57"/>
        <v>0</v>
      </c>
      <c r="K192" s="9" t="str">
        <f t="shared" si="58"/>
        <v/>
      </c>
      <c r="L192" s="9" t="str">
        <f t="shared" ca="1" si="59"/>
        <v/>
      </c>
      <c r="M192" s="9" t="str">
        <f t="shared" si="60"/>
        <v/>
      </c>
      <c r="N192" s="9" t="str">
        <f t="shared" si="61"/>
        <v/>
      </c>
      <c r="O192" s="9" t="str">
        <f t="shared" si="62"/>
        <v/>
      </c>
      <c r="P192" s="9" t="str">
        <f t="shared" si="63"/>
        <v/>
      </c>
      <c r="Q192" s="9" t="str">
        <f t="shared" si="64"/>
        <v/>
      </c>
      <c r="R192" s="9" t="str">
        <f t="shared" si="65"/>
        <v/>
      </c>
      <c r="S192" s="9" t="str">
        <f t="shared" si="66"/>
        <v/>
      </c>
      <c r="T192" s="9" t="str">
        <f t="shared" si="67"/>
        <v/>
      </c>
      <c r="U192" s="21" t="str">
        <f t="shared" si="68"/>
        <v/>
      </c>
      <c r="W192" s="3"/>
      <c r="X192" s="3"/>
      <c r="Y192" s="3"/>
      <c r="Z192" s="3"/>
      <c r="AA192" s="3"/>
    </row>
    <row r="193" spans="1:27" x14ac:dyDescent="0.15">
      <c r="A193" s="27" t="s">
        <v>212</v>
      </c>
      <c r="B193" s="19"/>
      <c r="C193" s="18"/>
      <c r="D193" s="18"/>
      <c r="E193" s="18"/>
      <c r="F193" s="18"/>
      <c r="G193" s="37" t="str">
        <f t="shared" si="55"/>
        <v/>
      </c>
      <c r="H193" s="27" t="str">
        <f t="shared" si="56"/>
        <v/>
      </c>
      <c r="J193" s="20">
        <f t="shared" si="57"/>
        <v>0</v>
      </c>
      <c r="K193" s="9" t="str">
        <f t="shared" si="58"/>
        <v/>
      </c>
      <c r="L193" s="9" t="str">
        <f t="shared" ca="1" si="59"/>
        <v/>
      </c>
      <c r="M193" s="9" t="str">
        <f t="shared" si="60"/>
        <v/>
      </c>
      <c r="N193" s="9" t="str">
        <f t="shared" si="61"/>
        <v/>
      </c>
      <c r="O193" s="9" t="str">
        <f t="shared" si="62"/>
        <v/>
      </c>
      <c r="P193" s="9" t="str">
        <f t="shared" si="63"/>
        <v/>
      </c>
      <c r="Q193" s="9" t="str">
        <f t="shared" si="64"/>
        <v/>
      </c>
      <c r="R193" s="9" t="str">
        <f t="shared" si="65"/>
        <v/>
      </c>
      <c r="S193" s="9" t="str">
        <f t="shared" si="66"/>
        <v/>
      </c>
      <c r="T193" s="9" t="str">
        <f t="shared" si="67"/>
        <v/>
      </c>
      <c r="U193" s="21" t="str">
        <f t="shared" si="68"/>
        <v/>
      </c>
      <c r="W193" s="3"/>
      <c r="X193" s="3"/>
      <c r="Y193" s="3"/>
      <c r="Z193" s="3"/>
      <c r="AA193" s="3"/>
    </row>
    <row r="194" spans="1:27" x14ac:dyDescent="0.15">
      <c r="A194" s="27" t="s">
        <v>213</v>
      </c>
      <c r="B194" s="19"/>
      <c r="C194" s="18"/>
      <c r="D194" s="18"/>
      <c r="E194" s="18"/>
      <c r="F194" s="18"/>
      <c r="G194" s="37" t="str">
        <f t="shared" si="55"/>
        <v/>
      </c>
      <c r="H194" s="27" t="str">
        <f t="shared" si="56"/>
        <v/>
      </c>
      <c r="J194" s="20">
        <f t="shared" si="57"/>
        <v>0</v>
      </c>
      <c r="K194" s="9" t="str">
        <f t="shared" si="58"/>
        <v/>
      </c>
      <c r="L194" s="9" t="str">
        <f t="shared" ca="1" si="59"/>
        <v/>
      </c>
      <c r="M194" s="9" t="str">
        <f t="shared" si="60"/>
        <v/>
      </c>
      <c r="N194" s="9" t="str">
        <f t="shared" si="61"/>
        <v/>
      </c>
      <c r="O194" s="9" t="str">
        <f t="shared" si="62"/>
        <v/>
      </c>
      <c r="P194" s="9" t="str">
        <f t="shared" si="63"/>
        <v/>
      </c>
      <c r="Q194" s="9" t="str">
        <f t="shared" si="64"/>
        <v/>
      </c>
      <c r="R194" s="9" t="str">
        <f t="shared" si="65"/>
        <v/>
      </c>
      <c r="S194" s="9" t="str">
        <f t="shared" si="66"/>
        <v/>
      </c>
      <c r="T194" s="9" t="str">
        <f t="shared" si="67"/>
        <v/>
      </c>
      <c r="U194" s="21" t="str">
        <f t="shared" si="68"/>
        <v/>
      </c>
      <c r="W194" s="3"/>
      <c r="X194" s="3"/>
      <c r="Y194" s="3"/>
      <c r="Z194" s="3"/>
      <c r="AA194" s="3"/>
    </row>
    <row r="195" spans="1:27" x14ac:dyDescent="0.15">
      <c r="A195" s="27" t="s">
        <v>214</v>
      </c>
      <c r="B195" s="19"/>
      <c r="C195" s="18"/>
      <c r="D195" s="18"/>
      <c r="E195" s="18"/>
      <c r="F195" s="18"/>
      <c r="G195" s="37" t="str">
        <f t="shared" si="55"/>
        <v/>
      </c>
      <c r="H195" s="27" t="str">
        <f t="shared" si="56"/>
        <v/>
      </c>
      <c r="J195" s="20">
        <f t="shared" si="57"/>
        <v>0</v>
      </c>
      <c r="K195" s="9" t="str">
        <f t="shared" si="58"/>
        <v/>
      </c>
      <c r="L195" s="9" t="str">
        <f t="shared" ca="1" si="59"/>
        <v/>
      </c>
      <c r="M195" s="9" t="str">
        <f t="shared" si="60"/>
        <v/>
      </c>
      <c r="N195" s="9" t="str">
        <f t="shared" si="61"/>
        <v/>
      </c>
      <c r="O195" s="9" t="str">
        <f t="shared" si="62"/>
        <v/>
      </c>
      <c r="P195" s="9" t="str">
        <f t="shared" si="63"/>
        <v/>
      </c>
      <c r="Q195" s="9" t="str">
        <f t="shared" si="64"/>
        <v/>
      </c>
      <c r="R195" s="9" t="str">
        <f t="shared" si="65"/>
        <v/>
      </c>
      <c r="S195" s="9" t="str">
        <f t="shared" si="66"/>
        <v/>
      </c>
      <c r="T195" s="9" t="str">
        <f t="shared" si="67"/>
        <v/>
      </c>
      <c r="U195" s="21" t="str">
        <f t="shared" si="68"/>
        <v/>
      </c>
      <c r="W195" s="3"/>
      <c r="X195" s="3"/>
      <c r="Y195" s="3"/>
      <c r="Z195" s="3"/>
      <c r="AA195" s="3"/>
    </row>
    <row r="196" spans="1:27" x14ac:dyDescent="0.15">
      <c r="A196" s="27" t="s">
        <v>215</v>
      </c>
      <c r="B196" s="19"/>
      <c r="C196" s="18"/>
      <c r="D196" s="18"/>
      <c r="E196" s="18"/>
      <c r="F196" s="18"/>
      <c r="G196" s="37" t="str">
        <f t="shared" ref="G196:G227" si="69">IF(F196="","",VLOOKUP(F196,$B$21:$C$25,2,0))</f>
        <v/>
      </c>
      <c r="H196" s="27" t="str">
        <f t="shared" si="56"/>
        <v/>
      </c>
      <c r="J196" s="20">
        <f t="shared" si="57"/>
        <v>0</v>
      </c>
      <c r="K196" s="9" t="str">
        <f t="shared" si="58"/>
        <v/>
      </c>
      <c r="L196" s="9" t="str">
        <f t="shared" ca="1" si="59"/>
        <v/>
      </c>
      <c r="M196" s="9" t="str">
        <f t="shared" si="60"/>
        <v/>
      </c>
      <c r="N196" s="9" t="str">
        <f t="shared" si="61"/>
        <v/>
      </c>
      <c r="O196" s="9" t="str">
        <f t="shared" si="62"/>
        <v/>
      </c>
      <c r="P196" s="9" t="str">
        <f t="shared" si="63"/>
        <v/>
      </c>
      <c r="Q196" s="9" t="str">
        <f t="shared" si="64"/>
        <v/>
      </c>
      <c r="R196" s="9" t="str">
        <f t="shared" si="65"/>
        <v/>
      </c>
      <c r="S196" s="9" t="str">
        <f t="shared" si="66"/>
        <v/>
      </c>
      <c r="T196" s="9" t="str">
        <f t="shared" si="67"/>
        <v/>
      </c>
      <c r="U196" s="21" t="str">
        <f t="shared" si="68"/>
        <v/>
      </c>
      <c r="W196" s="3"/>
      <c r="X196" s="3"/>
      <c r="Y196" s="3"/>
      <c r="Z196" s="3"/>
      <c r="AA196" s="3"/>
    </row>
    <row r="197" spans="1:27" x14ac:dyDescent="0.15">
      <c r="A197" s="27" t="s">
        <v>216</v>
      </c>
      <c r="B197" s="19"/>
      <c r="C197" s="18"/>
      <c r="D197" s="18"/>
      <c r="E197" s="18"/>
      <c r="F197" s="18"/>
      <c r="G197" s="37" t="str">
        <f t="shared" si="69"/>
        <v/>
      </c>
      <c r="H197" s="27" t="str">
        <f t="shared" si="56"/>
        <v/>
      </c>
      <c r="J197" s="20">
        <f t="shared" si="57"/>
        <v>0</v>
      </c>
      <c r="K197" s="9" t="str">
        <f t="shared" si="58"/>
        <v/>
      </c>
      <c r="L197" s="9" t="str">
        <f t="shared" ca="1" si="59"/>
        <v/>
      </c>
      <c r="M197" s="9" t="str">
        <f t="shared" si="60"/>
        <v/>
      </c>
      <c r="N197" s="9" t="str">
        <f t="shared" si="61"/>
        <v/>
      </c>
      <c r="O197" s="9" t="str">
        <f t="shared" si="62"/>
        <v/>
      </c>
      <c r="P197" s="9" t="str">
        <f t="shared" si="63"/>
        <v/>
      </c>
      <c r="Q197" s="9" t="str">
        <f t="shared" si="64"/>
        <v/>
      </c>
      <c r="R197" s="9" t="str">
        <f t="shared" si="65"/>
        <v/>
      </c>
      <c r="S197" s="9" t="str">
        <f t="shared" si="66"/>
        <v/>
      </c>
      <c r="T197" s="9" t="str">
        <f t="shared" si="67"/>
        <v/>
      </c>
      <c r="U197" s="21" t="str">
        <f t="shared" si="68"/>
        <v/>
      </c>
      <c r="W197" s="3"/>
      <c r="X197" s="3"/>
      <c r="Y197" s="3"/>
      <c r="Z197" s="3"/>
      <c r="AA197" s="3"/>
    </row>
    <row r="198" spans="1:27" x14ac:dyDescent="0.15">
      <c r="A198" s="27" t="s">
        <v>217</v>
      </c>
      <c r="B198" s="19"/>
      <c r="C198" s="18"/>
      <c r="D198" s="18"/>
      <c r="E198" s="18"/>
      <c r="F198" s="18"/>
      <c r="G198" s="37" t="str">
        <f t="shared" si="69"/>
        <v/>
      </c>
      <c r="H198" s="27" t="str">
        <f t="shared" si="56"/>
        <v/>
      </c>
      <c r="J198" s="20">
        <f t="shared" si="57"/>
        <v>0</v>
      </c>
      <c r="K198" s="9" t="str">
        <f t="shared" si="58"/>
        <v/>
      </c>
      <c r="L198" s="9" t="str">
        <f t="shared" ca="1" si="59"/>
        <v/>
      </c>
      <c r="M198" s="9" t="str">
        <f t="shared" si="60"/>
        <v/>
      </c>
      <c r="N198" s="9" t="str">
        <f t="shared" si="61"/>
        <v/>
      </c>
      <c r="O198" s="9" t="str">
        <f t="shared" si="62"/>
        <v/>
      </c>
      <c r="P198" s="9" t="str">
        <f t="shared" si="63"/>
        <v/>
      </c>
      <c r="Q198" s="9" t="str">
        <f t="shared" si="64"/>
        <v/>
      </c>
      <c r="R198" s="9" t="str">
        <f t="shared" si="65"/>
        <v/>
      </c>
      <c r="S198" s="9" t="str">
        <f t="shared" si="66"/>
        <v/>
      </c>
      <c r="T198" s="9" t="str">
        <f t="shared" si="67"/>
        <v/>
      </c>
      <c r="U198" s="21" t="str">
        <f t="shared" si="68"/>
        <v/>
      </c>
      <c r="W198" s="3"/>
      <c r="X198" s="3"/>
      <c r="Y198" s="3"/>
      <c r="Z198" s="3"/>
      <c r="AA198" s="3"/>
    </row>
    <row r="199" spans="1:27" x14ac:dyDescent="0.15">
      <c r="A199" s="27" t="s">
        <v>218</v>
      </c>
      <c r="B199" s="19"/>
      <c r="C199" s="18"/>
      <c r="D199" s="18"/>
      <c r="E199" s="18"/>
      <c r="F199" s="18"/>
      <c r="G199" s="37" t="str">
        <f t="shared" si="69"/>
        <v/>
      </c>
      <c r="H199" s="27" t="str">
        <f t="shared" si="56"/>
        <v/>
      </c>
      <c r="J199" s="20">
        <f t="shared" si="57"/>
        <v>0</v>
      </c>
      <c r="K199" s="9" t="str">
        <f t="shared" si="58"/>
        <v/>
      </c>
      <c r="L199" s="9" t="str">
        <f t="shared" ca="1" si="59"/>
        <v/>
      </c>
      <c r="M199" s="9" t="str">
        <f t="shared" si="60"/>
        <v/>
      </c>
      <c r="N199" s="9" t="str">
        <f t="shared" si="61"/>
        <v/>
      </c>
      <c r="O199" s="9" t="str">
        <f t="shared" si="62"/>
        <v/>
      </c>
      <c r="P199" s="9" t="str">
        <f t="shared" si="63"/>
        <v/>
      </c>
      <c r="Q199" s="9" t="str">
        <f t="shared" si="64"/>
        <v/>
      </c>
      <c r="R199" s="9" t="str">
        <f t="shared" si="65"/>
        <v/>
      </c>
      <c r="S199" s="9" t="str">
        <f t="shared" si="66"/>
        <v/>
      </c>
      <c r="T199" s="9" t="str">
        <f t="shared" si="67"/>
        <v/>
      </c>
      <c r="U199" s="21" t="str">
        <f t="shared" si="68"/>
        <v/>
      </c>
      <c r="W199" s="3"/>
      <c r="X199" s="3"/>
      <c r="Y199" s="3"/>
      <c r="Z199" s="3"/>
      <c r="AA199" s="3"/>
    </row>
    <row r="200" spans="1:27" x14ac:dyDescent="0.15">
      <c r="A200" s="27" t="s">
        <v>219</v>
      </c>
      <c r="B200" s="19"/>
      <c r="C200" s="18"/>
      <c r="D200" s="18"/>
      <c r="E200" s="18"/>
      <c r="F200" s="18"/>
      <c r="G200" s="37" t="str">
        <f t="shared" si="69"/>
        <v/>
      </c>
      <c r="H200" s="27" t="str">
        <f t="shared" si="56"/>
        <v/>
      </c>
      <c r="J200" s="20">
        <f t="shared" si="57"/>
        <v>0</v>
      </c>
      <c r="K200" s="9" t="str">
        <f t="shared" si="58"/>
        <v/>
      </c>
      <c r="L200" s="9" t="str">
        <f t="shared" ca="1" si="59"/>
        <v/>
      </c>
      <c r="M200" s="9" t="str">
        <f t="shared" si="60"/>
        <v/>
      </c>
      <c r="N200" s="9" t="str">
        <f t="shared" si="61"/>
        <v/>
      </c>
      <c r="O200" s="9" t="str">
        <f t="shared" si="62"/>
        <v/>
      </c>
      <c r="P200" s="9" t="str">
        <f t="shared" si="63"/>
        <v/>
      </c>
      <c r="Q200" s="9" t="str">
        <f t="shared" si="64"/>
        <v/>
      </c>
      <c r="R200" s="9" t="str">
        <f t="shared" si="65"/>
        <v/>
      </c>
      <c r="S200" s="9" t="str">
        <f t="shared" si="66"/>
        <v/>
      </c>
      <c r="T200" s="9" t="str">
        <f t="shared" si="67"/>
        <v/>
      </c>
      <c r="U200" s="21" t="str">
        <f t="shared" si="68"/>
        <v/>
      </c>
      <c r="W200" s="3"/>
      <c r="X200" s="3"/>
      <c r="Y200" s="3"/>
      <c r="Z200" s="3"/>
      <c r="AA200" s="3"/>
    </row>
    <row r="201" spans="1:27" x14ac:dyDescent="0.15">
      <c r="A201" s="27" t="s">
        <v>220</v>
      </c>
      <c r="B201" s="19"/>
      <c r="C201" s="18"/>
      <c r="D201" s="18"/>
      <c r="E201" s="18"/>
      <c r="F201" s="18"/>
      <c r="G201" s="37" t="str">
        <f t="shared" si="69"/>
        <v/>
      </c>
      <c r="H201" s="27" t="str">
        <f t="shared" si="56"/>
        <v/>
      </c>
      <c r="J201" s="20">
        <f t="shared" si="57"/>
        <v>0</v>
      </c>
      <c r="K201" s="9" t="str">
        <f t="shared" si="58"/>
        <v/>
      </c>
      <c r="L201" s="9" t="str">
        <f t="shared" ca="1" si="59"/>
        <v/>
      </c>
      <c r="M201" s="9" t="str">
        <f t="shared" si="60"/>
        <v/>
      </c>
      <c r="N201" s="9" t="str">
        <f t="shared" si="61"/>
        <v/>
      </c>
      <c r="O201" s="9" t="str">
        <f t="shared" si="62"/>
        <v/>
      </c>
      <c r="P201" s="9" t="str">
        <f t="shared" si="63"/>
        <v/>
      </c>
      <c r="Q201" s="9" t="str">
        <f t="shared" si="64"/>
        <v/>
      </c>
      <c r="R201" s="9" t="str">
        <f t="shared" si="65"/>
        <v/>
      </c>
      <c r="S201" s="9" t="str">
        <f t="shared" si="66"/>
        <v/>
      </c>
      <c r="T201" s="9" t="str">
        <f t="shared" si="67"/>
        <v/>
      </c>
      <c r="U201" s="21" t="str">
        <f t="shared" si="68"/>
        <v/>
      </c>
      <c r="W201" s="3"/>
      <c r="X201" s="3"/>
      <c r="Y201" s="3"/>
      <c r="Z201" s="3"/>
      <c r="AA201" s="3"/>
    </row>
    <row r="202" spans="1:27" x14ac:dyDescent="0.15">
      <c r="B202" s="22"/>
      <c r="D202" s="3"/>
      <c r="H202" s="24"/>
      <c r="J202" s="4"/>
      <c r="K202" s="4"/>
      <c r="W202" s="3"/>
      <c r="X202" s="3"/>
      <c r="Y202" s="3"/>
      <c r="Z202" s="3"/>
      <c r="AA202" s="3"/>
    </row>
    <row r="203" spans="1:27" x14ac:dyDescent="0.15">
      <c r="H203" s="24"/>
    </row>
    <row r="204" spans="1:27" x14ac:dyDescent="0.15">
      <c r="H204" s="24"/>
    </row>
  </sheetData>
  <autoFilter ref="A51:X51" xr:uid="{00000000-0009-0000-0000-000000000000}"/>
  <mergeCells count="33">
    <mergeCell ref="K50:T50"/>
    <mergeCell ref="B31:J31"/>
    <mergeCell ref="A1:R1"/>
    <mergeCell ref="A2:J2"/>
    <mergeCell ref="B39:J39"/>
    <mergeCell ref="C43:G43"/>
    <mergeCell ref="A6:J6"/>
    <mergeCell ref="B36:J36"/>
    <mergeCell ref="B32:J32"/>
    <mergeCell ref="B41:J41"/>
    <mergeCell ref="A7:J7"/>
    <mergeCell ref="B35:J35"/>
    <mergeCell ref="C16:J16"/>
    <mergeCell ref="I23:N23"/>
    <mergeCell ref="B40:J40"/>
    <mergeCell ref="Q19:U19"/>
    <mergeCell ref="B33:J33"/>
    <mergeCell ref="I25:N25"/>
    <mergeCell ref="A5:J5"/>
    <mergeCell ref="A8:J8"/>
    <mergeCell ref="B42:J42"/>
    <mergeCell ref="O19:P19"/>
    <mergeCell ref="I22:N22"/>
    <mergeCell ref="F21:H25"/>
    <mergeCell ref="B29:D29"/>
    <mergeCell ref="A10:J10"/>
    <mergeCell ref="I21:N21"/>
    <mergeCell ref="B38:J38"/>
    <mergeCell ref="A19:J19"/>
    <mergeCell ref="B34:J34"/>
    <mergeCell ref="B37:J37"/>
    <mergeCell ref="I24:N24"/>
    <mergeCell ref="A9:J9"/>
  </mergeCells>
  <conditionalFormatting sqref="A52:A201">
    <cfRule type="expression" dxfId="10" priority="12">
      <formula>$B52=""</formula>
    </cfRule>
  </conditionalFormatting>
  <conditionalFormatting sqref="B29">
    <cfRule type="cellIs" dxfId="9" priority="14" operator="notEqual">
      <formula>"No errors"</formula>
    </cfRule>
  </conditionalFormatting>
  <conditionalFormatting sqref="B31:J42">
    <cfRule type="cellIs" dxfId="8" priority="8" operator="notEqual">
      <formula>"No errors"</formula>
    </cfRule>
  </conditionalFormatting>
  <conditionalFormatting sqref="C44:G48">
    <cfRule type="cellIs" dxfId="7" priority="11" operator="equal">
      <formula>"Not used"</formula>
    </cfRule>
  </conditionalFormatting>
  <conditionalFormatting sqref="I21:I25">
    <cfRule type="cellIs" dxfId="6" priority="1" operator="notEqual">
      <formula>"No specific warning"</formula>
    </cfRule>
  </conditionalFormatting>
  <conditionalFormatting sqref="K48:T48 T49">
    <cfRule type="cellIs" dxfId="5" priority="18" operator="notEqual">
      <formula>0</formula>
    </cfRule>
  </conditionalFormatting>
  <conditionalFormatting sqref="K52:T201">
    <cfRule type="cellIs" dxfId="4" priority="16" operator="equal">
      <formula>"Error"</formula>
    </cfRule>
  </conditionalFormatting>
  <conditionalFormatting sqref="P21:P25">
    <cfRule type="cellIs" dxfId="3" priority="2" operator="equal">
      <formula>"Yes"</formula>
    </cfRule>
  </conditionalFormatting>
  <conditionalFormatting sqref="S21:U25">
    <cfRule type="cellIs" dxfId="2" priority="3" operator="equal">
      <formula>"Yes"</formula>
    </cfRule>
  </conditionalFormatting>
  <conditionalFormatting sqref="AD21:AE25">
    <cfRule type="cellIs" dxfId="1" priority="5" operator="equal">
      <formula>"Error"</formula>
    </cfRule>
  </conditionalFormatting>
  <conditionalFormatting sqref="AD26:AE26">
    <cfRule type="cellIs" dxfId="0" priority="4" operator="notEqual">
      <formula>0</formula>
    </cfRule>
  </conditionalFormatting>
  <dataValidations count="6">
    <dataValidation type="date" operator="greaterThanOrEqual" allowBlank="1" showInputMessage="1" showErrorMessage="1" sqref="B16" xr:uid="{00000000-0002-0000-0000-000000000000}">
      <formula1>TODAY()</formula1>
    </dataValidation>
    <dataValidation type="list" allowBlank="1" showInputMessage="1" showErrorMessage="1" sqref="C21:C25" xr:uid="{00000000-0002-0000-0000-000001000000}">
      <formula1>$G$44:$G$46</formula1>
    </dataValidation>
    <dataValidation type="list" allowBlank="1" showInputMessage="1" showErrorMessage="1" sqref="C52:F201" xr:uid="{00000000-0002-0000-0000-000002000000}">
      <formula1>OFFSET(C$44,0,0,5-COUNTIF(C$44:C$48,"Not Used"),1)</formula1>
    </dataValidation>
    <dataValidation type="date" allowBlank="1" showInputMessage="1" showErrorMessage="1" sqref="B52:B65" xr:uid="{00000000-0002-0000-0000-000003000000}">
      <formula1>1</formula1>
      <formula2>TODAY()</formula2>
    </dataValidation>
    <dataValidation type="list" allowBlank="1" showInputMessage="1" showErrorMessage="1" sqref="E21:E25" xr:uid="{00000000-0002-0000-0000-000004000000}">
      <formula1>"LSB,HSB"</formula1>
    </dataValidation>
    <dataValidation type="list" allowBlank="1" showInputMessage="1" showErrorMessage="1" sqref="D21:D25" xr:uid="{00000000-0002-0000-0000-000005000000}">
      <formula1>OFFSET($W$16,1,0,COUNTA($W$17:$W$30),1)</formula1>
    </dataValidation>
  </dataValidations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Member_Details</vt:lpstr>
      <vt:lpstr>Error_Member</vt:lpstr>
      <vt:lpstr>Error_Section</vt:lpstr>
      <vt:lpstr>Member_Input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Khusboo Sanghvi</dc:creator>
  <cp:lastModifiedBy>Thevindu Rathnaweera</cp:lastModifiedBy>
  <dcterms:created xsi:type="dcterms:W3CDTF">2022-01-27T19:22:03Z</dcterms:created>
  <dcterms:modified xsi:type="dcterms:W3CDTF">2026-02-09T03:50:06Z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faf85c-8040-4472-969f-d48f62aef697_Enabled">
    <vt:lpwstr>true</vt:lpwstr>
  </property>
  <property fmtid="{D5CDD505-2E9C-101B-9397-08002B2CF9AE}" pid="3" name="MSIP_Label_a3faf85c-8040-4472-969f-d48f62aef697_SetDate">
    <vt:lpwstr>2022-01-27T19:46:30Z</vt:lpwstr>
  </property>
  <property fmtid="{D5CDD505-2E9C-101B-9397-08002B2CF9AE}" pid="4" name="MSIP_Label_a3faf85c-8040-4472-969f-d48f62aef697_Method">
    <vt:lpwstr>Privileged</vt:lpwstr>
  </property>
  <property fmtid="{D5CDD505-2E9C-101B-9397-08002B2CF9AE}" pid="5" name="MSIP_Label_a3faf85c-8040-4472-969f-d48f62aef697_Name">
    <vt:lpwstr>Daman Confidential</vt:lpwstr>
  </property>
  <property fmtid="{D5CDD505-2E9C-101B-9397-08002B2CF9AE}" pid="6" name="MSIP_Label_a3faf85c-8040-4472-969f-d48f62aef697_SiteId">
    <vt:lpwstr>2d529629-0823-4a41-9881-2099f3f2ce97</vt:lpwstr>
  </property>
  <property fmtid="{D5CDD505-2E9C-101B-9397-08002B2CF9AE}" pid="7" name="MSIP_Label_a3faf85c-8040-4472-969f-d48f62aef697_ActionId">
    <vt:lpwstr>03e10b01-6815-4ba1-a101-df6c042b6b50</vt:lpwstr>
  </property>
  <property fmtid="{D5CDD505-2E9C-101B-9397-08002B2CF9AE}" pid="8" name="MSIP_Label_a3faf85c-8040-4472-969f-d48f62aef697_ContentBits">
    <vt:lpwstr>0</vt:lpwstr>
  </property>
</Properties>
</file>